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0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dmin\Desktop\excel-main\"/>
    </mc:Choice>
  </mc:AlternateContent>
  <xr:revisionPtr revIDLastSave="0" documentId="13_ncr:1_{E3E48E25-9E3E-403F-A6D8-9D8F4C047BE2}" xr6:coauthVersionLast="47" xr6:coauthVersionMax="47" xr10:uidLastSave="{00000000-0000-0000-0000-000000000000}"/>
  <bookViews>
    <workbookView xWindow="-120" yWindow="-120" windowWidth="20730" windowHeight="11160" tabRatio="609" activeTab="1" xr2:uid="{00000000-000D-0000-FFFF-FFFF00000000}"/>
  </bookViews>
  <sheets>
    <sheet name="April 2021-22" sheetId="82" r:id="rId1"/>
    <sheet name="May 2021" sheetId="83" r:id="rId2"/>
  </sheets>
  <externalReferences>
    <externalReference r:id="rId3"/>
    <externalReference r:id="rId4"/>
  </externalReferences>
  <calcPr calcId="181029"/>
</workbook>
</file>

<file path=xl/calcChain.xml><?xml version="1.0" encoding="utf-8"?>
<calcChain xmlns="http://schemas.openxmlformats.org/spreadsheetml/2006/main">
  <c r="G22" i="83" l="1"/>
  <c r="P11" i="83"/>
  <c r="P10" i="83"/>
  <c r="G34" i="83"/>
  <c r="G33" i="83"/>
  <c r="G31" i="83"/>
  <c r="G30" i="83"/>
  <c r="G29" i="83"/>
  <c r="G27" i="83"/>
  <c r="G26" i="83"/>
  <c r="G25" i="83"/>
  <c r="G24" i="83"/>
  <c r="G21" i="83"/>
  <c r="P13" i="83"/>
  <c r="P12" i="83"/>
  <c r="T24" i="83" l="1"/>
  <c r="M33" i="83"/>
  <c r="M29" i="83"/>
  <c r="M30" i="83"/>
  <c r="M24" i="83"/>
  <c r="M22" i="83"/>
  <c r="M21" i="83"/>
  <c r="I29" i="83"/>
  <c r="I30" i="83"/>
  <c r="I31" i="83"/>
  <c r="I26" i="83"/>
  <c r="I21" i="83"/>
  <c r="I22" i="83"/>
  <c r="K33" i="83" l="1"/>
  <c r="K29" i="83"/>
  <c r="K31" i="83"/>
  <c r="K27" i="83"/>
  <c r="K26" i="83"/>
  <c r="K24" i="83"/>
  <c r="K21" i="83"/>
  <c r="K22" i="83"/>
  <c r="H10" i="82" l="1"/>
  <c r="T27" i="83" l="1"/>
  <c r="M34" i="83" l="1"/>
  <c r="T33" i="83" l="1"/>
  <c r="T22" i="83"/>
  <c r="T31" i="83"/>
  <c r="M32" i="83" l="1"/>
  <c r="I23" i="83"/>
  <c r="S36" i="83"/>
  <c r="E36" i="83"/>
  <c r="E35" i="83"/>
  <c r="L34" i="83"/>
  <c r="J34" i="83"/>
  <c r="H34" i="83"/>
  <c r="D34" i="83"/>
  <c r="M35" i="83"/>
  <c r="L33" i="83"/>
  <c r="J33" i="83"/>
  <c r="I35" i="83"/>
  <c r="H33" i="83"/>
  <c r="D33" i="83"/>
  <c r="D35" i="83" s="1"/>
  <c r="E32" i="83"/>
  <c r="L31" i="83"/>
  <c r="J31" i="83"/>
  <c r="H31" i="83"/>
  <c r="D31" i="83"/>
  <c r="L30" i="83"/>
  <c r="J30" i="83"/>
  <c r="H30" i="83"/>
  <c r="D30" i="83"/>
  <c r="K32" i="83"/>
  <c r="J29" i="83"/>
  <c r="I32" i="83"/>
  <c r="H29" i="83"/>
  <c r="D29" i="83"/>
  <c r="E28" i="83"/>
  <c r="L27" i="83"/>
  <c r="J27" i="83"/>
  <c r="H27" i="83"/>
  <c r="D27" i="83"/>
  <c r="T26" i="83"/>
  <c r="L26" i="83"/>
  <c r="J26" i="83"/>
  <c r="D26" i="83"/>
  <c r="L25" i="83"/>
  <c r="J25" i="83"/>
  <c r="H25" i="83"/>
  <c r="D25" i="83"/>
  <c r="M28" i="83"/>
  <c r="L24" i="83"/>
  <c r="J24" i="83"/>
  <c r="I28" i="83"/>
  <c r="H24" i="83"/>
  <c r="D24" i="83"/>
  <c r="K23" i="83"/>
  <c r="E23" i="83"/>
  <c r="L22" i="83"/>
  <c r="J22" i="83"/>
  <c r="H22" i="83"/>
  <c r="D22" i="83"/>
  <c r="T21" i="83"/>
  <c r="T36" i="83" s="1"/>
  <c r="M23" i="83"/>
  <c r="J21" i="83"/>
  <c r="H21" i="83"/>
  <c r="D21" i="83"/>
  <c r="I15" i="83"/>
  <c r="D15" i="83"/>
  <c r="B15" i="83"/>
  <c r="J13" i="83"/>
  <c r="E13" i="83"/>
  <c r="J12" i="83"/>
  <c r="E12" i="83"/>
  <c r="J11" i="83"/>
  <c r="E11" i="83"/>
  <c r="H15" i="83"/>
  <c r="G15" i="83"/>
  <c r="H6" i="83" s="1"/>
  <c r="E10" i="83"/>
  <c r="G6" i="83"/>
  <c r="G10" i="82"/>
  <c r="G13" i="82"/>
  <c r="D32" i="83" l="1"/>
  <c r="L35" i="83"/>
  <c r="P15" i="83"/>
  <c r="K6" i="83"/>
  <c r="E15" i="83"/>
  <c r="J32" i="83"/>
  <c r="H23" i="83"/>
  <c r="D23" i="83"/>
  <c r="D28" i="83"/>
  <c r="L29" i="83"/>
  <c r="L32" i="83" s="1"/>
  <c r="L28" i="83"/>
  <c r="J35" i="83"/>
  <c r="J28" i="83"/>
  <c r="J36" i="83"/>
  <c r="J23" i="83"/>
  <c r="H35" i="83"/>
  <c r="H32" i="83"/>
  <c r="H28" i="83"/>
  <c r="D36" i="83"/>
  <c r="H36" i="83"/>
  <c r="K28" i="83"/>
  <c r="K36" i="83"/>
  <c r="J10" i="83"/>
  <c r="I36" i="83"/>
  <c r="M36" i="83"/>
  <c r="K35" i="83"/>
  <c r="L21" i="83"/>
  <c r="M22" i="82"/>
  <c r="M31" i="82"/>
  <c r="T27" i="82"/>
  <c r="T24" i="82"/>
  <c r="T26" i="82"/>
  <c r="T22" i="82"/>
  <c r="T31" i="82"/>
  <c r="T33" i="82"/>
  <c r="J15" i="83" l="1"/>
  <c r="L23" i="83"/>
  <c r="L36" i="83"/>
  <c r="M33" i="82"/>
  <c r="M30" i="82"/>
  <c r="M29" i="82"/>
  <c r="M27" i="82"/>
  <c r="K33" i="82"/>
  <c r="K31" i="82"/>
  <c r="K30" i="82"/>
  <c r="K29" i="82"/>
  <c r="K27" i="82"/>
  <c r="K26" i="82"/>
  <c r="K24" i="82"/>
  <c r="K22" i="82"/>
  <c r="M24" i="82"/>
  <c r="I33" i="82"/>
  <c r="I31" i="82"/>
  <c r="I30" i="82"/>
  <c r="I29" i="82"/>
  <c r="I25" i="82"/>
  <c r="I22" i="82"/>
  <c r="M26" i="82"/>
  <c r="T21" i="82" l="1"/>
  <c r="I24" i="82" l="1"/>
  <c r="I21" i="82"/>
  <c r="M21" i="82" l="1"/>
  <c r="M34" i="82"/>
  <c r="M25" i="82"/>
  <c r="P13" i="82" l="1"/>
  <c r="P12" i="82"/>
  <c r="P11" i="82"/>
  <c r="P10" i="82"/>
  <c r="G34" i="82" l="1"/>
  <c r="G33" i="82"/>
  <c r="G31" i="82"/>
  <c r="G30" i="82"/>
  <c r="G29" i="82"/>
  <c r="G27" i="82"/>
  <c r="G26" i="82"/>
  <c r="G25" i="82"/>
  <c r="G24" i="82"/>
  <c r="G22" i="82"/>
  <c r="G21" i="82"/>
  <c r="L13" i="82" l="1"/>
  <c r="L10" i="82"/>
  <c r="L11" i="82"/>
  <c r="L12" i="82"/>
  <c r="K32" i="82"/>
  <c r="M35" i="82" l="1"/>
  <c r="L30" i="82"/>
  <c r="M23" i="82"/>
  <c r="L29" i="82"/>
  <c r="G6" i="82"/>
  <c r="F34" i="82"/>
  <c r="F31" i="82"/>
  <c r="F27" i="82"/>
  <c r="O25" i="82"/>
  <c r="U25" i="82" s="1"/>
  <c r="F22" i="82"/>
  <c r="S36" i="82"/>
  <c r="E36" i="82"/>
  <c r="K35" i="82"/>
  <c r="I35" i="82"/>
  <c r="E35" i="82"/>
  <c r="L34" i="82"/>
  <c r="J34" i="82"/>
  <c r="H34" i="82"/>
  <c r="D34" i="82"/>
  <c r="J33" i="82"/>
  <c r="H33" i="82"/>
  <c r="D33" i="82"/>
  <c r="I32" i="82"/>
  <c r="E32" i="82"/>
  <c r="J31" i="82"/>
  <c r="H31" i="82"/>
  <c r="D31" i="82"/>
  <c r="J30" i="82"/>
  <c r="H30" i="82"/>
  <c r="D30" i="82"/>
  <c r="H29" i="82"/>
  <c r="D29" i="82"/>
  <c r="E28" i="82"/>
  <c r="L27" i="82"/>
  <c r="H27" i="82"/>
  <c r="D27" i="82"/>
  <c r="L26" i="82"/>
  <c r="J26" i="82"/>
  <c r="D26" i="82"/>
  <c r="L25" i="82"/>
  <c r="J25" i="82"/>
  <c r="H25" i="82"/>
  <c r="D25" i="82"/>
  <c r="L24" i="82"/>
  <c r="K28" i="82"/>
  <c r="H24" i="82"/>
  <c r="D24" i="82"/>
  <c r="I23" i="82"/>
  <c r="E23" i="82"/>
  <c r="J22" i="82"/>
  <c r="H22" i="82"/>
  <c r="D22" i="82"/>
  <c r="L21" i="82"/>
  <c r="K36" i="82"/>
  <c r="H21" i="82"/>
  <c r="D21" i="82"/>
  <c r="I15" i="82"/>
  <c r="H15" i="82"/>
  <c r="G15" i="82"/>
  <c r="H6" i="82" s="1"/>
  <c r="D15" i="82"/>
  <c r="B15" i="82"/>
  <c r="J13" i="82"/>
  <c r="E13" i="82"/>
  <c r="J12" i="82"/>
  <c r="E12" i="82"/>
  <c r="J11" i="82"/>
  <c r="E11" i="82"/>
  <c r="J10" i="82"/>
  <c r="E10" i="82"/>
  <c r="H35" i="82" l="1"/>
  <c r="D35" i="82"/>
  <c r="J35" i="82"/>
  <c r="P15" i="82"/>
  <c r="O26" i="82"/>
  <c r="N26" i="82" s="1"/>
  <c r="L22" i="82"/>
  <c r="L23" i="82" s="1"/>
  <c r="O30" i="82"/>
  <c r="N30" i="82" s="1"/>
  <c r="M32" i="82"/>
  <c r="M28" i="82"/>
  <c r="L33" i="82"/>
  <c r="L35" i="82" s="1"/>
  <c r="L31" i="82"/>
  <c r="L32" i="82" s="1"/>
  <c r="G35" i="82"/>
  <c r="O34" i="82"/>
  <c r="G32" i="82"/>
  <c r="O27" i="82"/>
  <c r="N27" i="82" s="1"/>
  <c r="G28" i="82"/>
  <c r="F25" i="82"/>
  <c r="G36" i="82"/>
  <c r="D32" i="82"/>
  <c r="D28" i="82"/>
  <c r="D36" i="82"/>
  <c r="J15" i="82"/>
  <c r="E15" i="82"/>
  <c r="H36" i="82"/>
  <c r="H23" i="82"/>
  <c r="H28" i="82"/>
  <c r="H32" i="82"/>
  <c r="K6" i="82"/>
  <c r="L28" i="82"/>
  <c r="O21" i="82"/>
  <c r="O22" i="82"/>
  <c r="O24" i="82"/>
  <c r="O29" i="82"/>
  <c r="N11" i="82"/>
  <c r="Q11" i="82" s="1"/>
  <c r="N13" i="82"/>
  <c r="Q13" i="82" s="1"/>
  <c r="F21" i="82"/>
  <c r="J21" i="82"/>
  <c r="F24" i="82"/>
  <c r="J24" i="82"/>
  <c r="N25" i="82"/>
  <c r="F26" i="82"/>
  <c r="J27" i="82"/>
  <c r="I28" i="82"/>
  <c r="F29" i="82"/>
  <c r="J29" i="82"/>
  <c r="J32" i="82" s="1"/>
  <c r="F30" i="82"/>
  <c r="O31" i="82"/>
  <c r="N31" i="82" s="1"/>
  <c r="F33" i="82"/>
  <c r="F35" i="82" s="1"/>
  <c r="O33" i="82"/>
  <c r="D23" i="82"/>
  <c r="I36" i="82"/>
  <c r="M36" i="82"/>
  <c r="T36" i="82"/>
  <c r="N10" i="82"/>
  <c r="N12" i="82"/>
  <c r="Q12" i="82" s="1"/>
  <c r="G23" i="82"/>
  <c r="K23" i="82"/>
  <c r="U26" i="82" l="1"/>
  <c r="U30" i="82"/>
  <c r="F28" i="82"/>
  <c r="L36" i="82"/>
  <c r="U27" i="82"/>
  <c r="N34" i="82"/>
  <c r="U34" i="82"/>
  <c r="N15" i="82"/>
  <c r="Q10" i="82"/>
  <c r="Q15" i="82" s="1"/>
  <c r="F36" i="82"/>
  <c r="F23" i="82"/>
  <c r="O28" i="82"/>
  <c r="U24" i="82"/>
  <c r="N24" i="82"/>
  <c r="N28" i="82" s="1"/>
  <c r="L15" i="82"/>
  <c r="J28" i="82"/>
  <c r="F32" i="82"/>
  <c r="U31" i="82"/>
  <c r="O36" i="82"/>
  <c r="U36" i="82" s="1"/>
  <c r="O23" i="82"/>
  <c r="U21" i="82"/>
  <c r="N21" i="82"/>
  <c r="U22" i="82"/>
  <c r="N22" i="82"/>
  <c r="O35" i="82"/>
  <c r="N33" i="82"/>
  <c r="N35" i="82" s="1"/>
  <c r="J36" i="82"/>
  <c r="J23" i="82"/>
  <c r="O32" i="82"/>
  <c r="U29" i="82"/>
  <c r="N29" i="82"/>
  <c r="N32" i="82" s="1"/>
  <c r="U33" i="82"/>
  <c r="N23" i="82" l="1"/>
  <c r="N36" i="82"/>
  <c r="O34" i="83" l="1"/>
  <c r="F34" i="83"/>
  <c r="N34" i="83" l="1"/>
  <c r="U34" i="83"/>
  <c r="O33" i="83" l="1"/>
  <c r="F33" i="83"/>
  <c r="F35" i="83" s="1"/>
  <c r="L12" i="83"/>
  <c r="N12" i="83" s="1"/>
  <c r="Q12" i="83" s="1"/>
  <c r="G35" i="83"/>
  <c r="F27" i="83"/>
  <c r="O27" i="83"/>
  <c r="F26" i="83"/>
  <c r="O26" i="83"/>
  <c r="O25" i="83"/>
  <c r="F25" i="83"/>
  <c r="O30" i="83"/>
  <c r="F30" i="83"/>
  <c r="G28" i="83"/>
  <c r="F24" i="83"/>
  <c r="O24" i="83"/>
  <c r="L13" i="83"/>
  <c r="N13" i="83" s="1"/>
  <c r="Q13" i="83" s="1"/>
  <c r="O31" i="83"/>
  <c r="F31" i="83"/>
  <c r="O29" i="83"/>
  <c r="F29" i="83"/>
  <c r="L10" i="83"/>
  <c r="N10" i="83" s="1"/>
  <c r="Q10" i="83" s="1"/>
  <c r="G32" i="83"/>
  <c r="F22" i="83"/>
  <c r="O22" i="83"/>
  <c r="O21" i="83"/>
  <c r="L11" i="83"/>
  <c r="G23" i="83"/>
  <c r="F21" i="83"/>
  <c r="G36" i="83"/>
  <c r="O35" i="83" l="1"/>
  <c r="U33" i="83"/>
  <c r="N33" i="83"/>
  <c r="N35" i="83" s="1"/>
  <c r="U25" i="83"/>
  <c r="N25" i="83"/>
  <c r="U27" i="83"/>
  <c r="N27" i="83"/>
  <c r="F28" i="83"/>
  <c r="N30" i="83"/>
  <c r="U30" i="83"/>
  <c r="N26" i="83"/>
  <c r="U26" i="83"/>
  <c r="N24" i="83"/>
  <c r="U24" i="83"/>
  <c r="O28" i="83"/>
  <c r="U31" i="83"/>
  <c r="N31" i="83"/>
  <c r="F32" i="83"/>
  <c r="O32" i="83"/>
  <c r="U29" i="83"/>
  <c r="N29" i="83"/>
  <c r="U22" i="83"/>
  <c r="N22" i="83"/>
  <c r="U21" i="83"/>
  <c r="O36" i="83"/>
  <c r="U36" i="83" s="1"/>
  <c r="O23" i="83"/>
  <c r="N21" i="83"/>
  <c r="N11" i="83"/>
  <c r="L15" i="83"/>
  <c r="F36" i="83"/>
  <c r="F23" i="83"/>
  <c r="N28" i="83" l="1"/>
  <c r="N32" i="83"/>
  <c r="Q11" i="83"/>
  <c r="Q15" i="83" s="1"/>
  <c r="N15" i="83"/>
  <c r="N36" i="83"/>
  <c r="N23" i="83"/>
</calcChain>
</file>

<file path=xl/sharedStrings.xml><?xml version="1.0" encoding="utf-8"?>
<sst xmlns="http://schemas.openxmlformats.org/spreadsheetml/2006/main" count="151" uniqueCount="58">
  <si>
    <t>Received</t>
  </si>
  <si>
    <t>Total</t>
  </si>
  <si>
    <t>Blend Issuied</t>
  </si>
  <si>
    <t>Clo.Stock</t>
  </si>
  <si>
    <t>Kgs</t>
  </si>
  <si>
    <t>Kg</t>
  </si>
  <si>
    <t>Blend Type</t>
  </si>
  <si>
    <t>Production</t>
  </si>
  <si>
    <t>Special Blended Tea</t>
  </si>
  <si>
    <t xml:space="preserve">Premium Blended Tea </t>
  </si>
  <si>
    <t>Mukta Blended Tea</t>
  </si>
  <si>
    <t>Particulars</t>
  </si>
  <si>
    <t>Closing Balance</t>
  </si>
  <si>
    <t>PATAKA PREM 1 KG</t>
  </si>
  <si>
    <t>PATAKA PREM 250 GM</t>
  </si>
  <si>
    <t xml:space="preserve">PATAKA PREM 5 KG </t>
  </si>
  <si>
    <t>PATAKA  SPSL 1 KG</t>
  </si>
  <si>
    <t>PATAKA SPSL 250 GM</t>
  </si>
  <si>
    <t>PATAKA PREM 100 GM</t>
  </si>
  <si>
    <t>MUKTA JAR 500 GM</t>
  </si>
  <si>
    <t>MUKTA CARTOON 250 GM</t>
  </si>
  <si>
    <t>Grand Total</t>
  </si>
  <si>
    <t>Blended tea Received</t>
  </si>
  <si>
    <t>Blend Gain</t>
  </si>
  <si>
    <t>Short/Exces</t>
  </si>
  <si>
    <t>Kgs.</t>
  </si>
  <si>
    <t>Bags.</t>
  </si>
  <si>
    <t>FAC</t>
  </si>
  <si>
    <t>DEPO</t>
  </si>
  <si>
    <t>DIFFERENCE</t>
  </si>
  <si>
    <t>5 Kg Pack</t>
  </si>
  <si>
    <t>Sale.</t>
  </si>
  <si>
    <t>Stock Transfer</t>
  </si>
  <si>
    <t>Jaipur</t>
  </si>
  <si>
    <t>kundli</t>
  </si>
  <si>
    <t>Actual Blended Tea Closing</t>
  </si>
  <si>
    <t>PREMIUM TOTAL</t>
  </si>
  <si>
    <t>5 KG TOTAL</t>
  </si>
  <si>
    <t>SPECIAL TOTAL</t>
  </si>
  <si>
    <t>MUKTA TOTAL</t>
  </si>
  <si>
    <t>Actual Blended Tea Opening</t>
  </si>
  <si>
    <t>Allocated Blend Tea Opp.</t>
  </si>
  <si>
    <t>Allocated Blend Tea Clo.</t>
  </si>
  <si>
    <t>PATAKA SPSL 500 GM</t>
  </si>
  <si>
    <t xml:space="preserve">Inter </t>
  </si>
  <si>
    <t>Transfer</t>
  </si>
  <si>
    <t>Opening</t>
  </si>
  <si>
    <t>PATAKA PREM RS 10/- (22KG)</t>
  </si>
  <si>
    <t>PATAKA PREM RS 5/- (22KG)</t>
  </si>
  <si>
    <t>Destination Wise Production , Despatch and Stock Report for the month of April 01.04.2021 to 30.04.2021</t>
  </si>
  <si>
    <t>ORIGINAL/BLACK TEA  STATEMENT  AS ON  (01.04.2021 to 30.04.2021)</t>
  </si>
  <si>
    <t>BLENDED TEA  STATEMENT AS ON (01.04.2021 TO 30.04.2021)</t>
  </si>
  <si>
    <t>PACKED TEA  STATEMENT AS ON (01.04.2021 TO 30.04.2021)</t>
  </si>
  <si>
    <t>`</t>
  </si>
  <si>
    <t>Destination Wise Production , Despatch and Stock Report for the month of May 01.05.2021 to 31.05.2021</t>
  </si>
  <si>
    <t>ORIGINAL/BLACK TEA  STATEMENT  AS ON  (01.05.2021 to 31.05.2021)</t>
  </si>
  <si>
    <t>BLENDED TEA  STATEMENT AS ON (01.05.2021 TO 31.05.2021)</t>
  </si>
  <si>
    <t>PACKED TEA  STATEMENT AS ON (01.05.2021 TO 31.05.2021)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</si>
</sst>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Calibri"/>
      <family val="2"/>
      <scheme val="minor"/>
    </font>
    <font>
      <b/>
      <i/>
      <sz val="9"/>
      <name val="Arial"/>
      <family val="2"/>
    </font>
    <font>
      <sz val="11"/>
      <name val="Calibri"/>
      <family val="2"/>
      <scheme val="minor"/>
    </font>
    <font>
      <b/>
      <sz val="9"/>
      <name val="Calibri"/>
      <family val="2"/>
      <scheme val="minor"/>
    </font>
    <font>
      <sz val="9"/>
      <name val="Calibri"/>
      <family val="2"/>
      <scheme val="minor"/>
    </font>
    <font>
      <b/>
      <sz val="14"/>
      <name val="Calibri"/>
      <family val="2"/>
      <scheme val="minor"/>
    </font>
    <font>
      <b/>
      <i/>
      <sz val="11"/>
      <name val="Arial"/>
      <family val="2"/>
    </font>
    <font>
      <b/>
      <sz val="9"/>
      <name val="Arial"/>
      <family val="2"/>
    </font>
    <font>
      <b/>
      <i/>
      <sz val="11"/>
      <name val="Calibri"/>
      <family val="2"/>
      <scheme val="minor"/>
    </font>
    <font>
      <b/>
      <i/>
      <sz val="14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5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</borders>
  <cellStyleXfs count="1">
    <xf numFmtId="0" fontId="0" fillId="0" borderId="0"/>
  </cellStyleXfs>
  <cellXfs count="197">
    <xf numFmtId="0" fontId="0" fillId="0" borderId="0" xfId="0"/>
    <xf numFmtId="1" fontId="1" fillId="2" borderId="23" xfId="0" applyNumberFormat="1" applyFont="1" applyFill="1" applyBorder="1" applyAlignment="1">
      <alignment horizontal="center"/>
    </xf>
    <xf numFmtId="0" fontId="2" fillId="0" borderId="0" xfId="0" applyFont="1"/>
    <xf numFmtId="1" fontId="1" fillId="2" borderId="15" xfId="0" applyNumberFormat="1" applyFont="1" applyFill="1" applyBorder="1" applyAlignment="1">
      <alignment horizontal="center"/>
    </xf>
    <xf numFmtId="0" fontId="2" fillId="0" borderId="13" xfId="0" applyFont="1" applyBorder="1"/>
    <xf numFmtId="0" fontId="2" fillId="0" borderId="19" xfId="0" applyFont="1" applyBorder="1"/>
    <xf numFmtId="0" fontId="2" fillId="0" borderId="24" xfId="0" applyFont="1" applyBorder="1"/>
    <xf numFmtId="1" fontId="2" fillId="0" borderId="20" xfId="0" applyNumberFormat="1" applyFont="1" applyBorder="1"/>
    <xf numFmtId="0" fontId="2" fillId="0" borderId="14" xfId="0" applyFont="1" applyBorder="1"/>
    <xf numFmtId="0" fontId="2" fillId="0" borderId="29" xfId="0" applyFont="1" applyBorder="1"/>
    <xf numFmtId="1" fontId="1" fillId="2" borderId="22" xfId="0" applyNumberFormat="1" applyFont="1" applyFill="1" applyBorder="1" applyAlignment="1">
      <alignment horizontal="center"/>
    </xf>
    <xf numFmtId="1" fontId="1" fillId="2" borderId="37" xfId="0" applyNumberFormat="1" applyFont="1" applyFill="1" applyBorder="1" applyAlignment="1">
      <alignment horizontal="center"/>
    </xf>
    <xf numFmtId="1" fontId="1" fillId="2" borderId="32" xfId="0" applyNumberFormat="1" applyFont="1" applyFill="1" applyBorder="1" applyAlignment="1">
      <alignment horizontal="center"/>
    </xf>
    <xf numFmtId="1" fontId="1" fillId="2" borderId="38" xfId="0" applyNumberFormat="1" applyFont="1" applyFill="1" applyBorder="1" applyAlignment="1">
      <alignment horizontal="center"/>
    </xf>
    <xf numFmtId="1" fontId="1" fillId="2" borderId="34" xfId="0" applyNumberFormat="1" applyFont="1" applyFill="1" applyBorder="1" applyAlignment="1">
      <alignment horizontal="center"/>
    </xf>
    <xf numFmtId="1" fontId="1" fillId="2" borderId="4" xfId="0" applyNumberFormat="1" applyFont="1" applyFill="1" applyBorder="1" applyAlignment="1">
      <alignment horizontal="center"/>
    </xf>
    <xf numFmtId="0" fontId="2" fillId="0" borderId="20" xfId="0" applyFont="1" applyBorder="1"/>
    <xf numFmtId="0" fontId="2" fillId="0" borderId="26" xfId="0" applyFont="1" applyBorder="1"/>
    <xf numFmtId="0" fontId="2" fillId="0" borderId="30" xfId="0" applyFont="1" applyBorder="1"/>
    <xf numFmtId="0" fontId="2" fillId="0" borderId="35" xfId="0" applyFont="1" applyBorder="1"/>
    <xf numFmtId="0" fontId="2" fillId="0" borderId="28" xfId="0" applyFont="1" applyBorder="1"/>
    <xf numFmtId="1" fontId="1" fillId="3" borderId="27" xfId="0" applyNumberFormat="1" applyFont="1" applyFill="1" applyBorder="1" applyAlignment="1">
      <alignment horizontal="center"/>
    </xf>
    <xf numFmtId="0" fontId="2" fillId="0" borderId="15" xfId="0" applyFont="1" applyBorder="1"/>
    <xf numFmtId="1" fontId="1" fillId="2" borderId="21" xfId="0" applyNumberFormat="1" applyFont="1" applyFill="1" applyBorder="1" applyAlignment="1">
      <alignment horizontal="center"/>
    </xf>
    <xf numFmtId="1" fontId="1" fillId="2" borderId="31" xfId="0" applyNumberFormat="1" applyFont="1" applyFill="1" applyBorder="1" applyAlignment="1">
      <alignment horizontal="center"/>
    </xf>
    <xf numFmtId="1" fontId="1" fillId="2" borderId="13" xfId="0" applyNumberFormat="1" applyFont="1" applyFill="1" applyBorder="1" applyAlignment="1">
      <alignment horizontal="center"/>
    </xf>
    <xf numFmtId="1" fontId="1" fillId="2" borderId="40" xfId="0" applyNumberFormat="1" applyFont="1" applyFill="1" applyBorder="1" applyAlignment="1">
      <alignment horizontal="center"/>
    </xf>
    <xf numFmtId="1" fontId="1" fillId="2" borderId="46" xfId="0" applyNumberFormat="1" applyFont="1" applyFill="1" applyBorder="1" applyAlignment="1">
      <alignment horizontal="center"/>
    </xf>
    <xf numFmtId="1" fontId="1" fillId="2" borderId="44" xfId="0" applyNumberFormat="1" applyFont="1" applyFill="1" applyBorder="1" applyAlignment="1">
      <alignment horizontal="center"/>
    </xf>
    <xf numFmtId="2" fontId="2" fillId="0" borderId="0" xfId="0" applyNumberFormat="1" applyFont="1"/>
    <xf numFmtId="2" fontId="2" fillId="0" borderId="25" xfId="0" applyNumberFormat="1" applyFont="1" applyBorder="1"/>
    <xf numFmtId="164" fontId="2" fillId="0" borderId="16" xfId="0" applyNumberFormat="1" applyFont="1" applyBorder="1" applyAlignment="1">
      <alignment horizontal="right"/>
    </xf>
    <xf numFmtId="164" fontId="2" fillId="0" borderId="0" xfId="0" applyNumberFormat="1" applyFont="1"/>
    <xf numFmtId="1" fontId="1" fillId="2" borderId="42" xfId="0" applyNumberFormat="1" applyFont="1" applyFill="1" applyBorder="1" applyAlignment="1">
      <alignment horizontal="center"/>
    </xf>
    <xf numFmtId="2" fontId="2" fillId="0" borderId="48" xfId="0" applyNumberFormat="1" applyFont="1" applyBorder="1"/>
    <xf numFmtId="2" fontId="2" fillId="0" borderId="49" xfId="0" applyNumberFormat="1" applyFont="1" applyBorder="1"/>
    <xf numFmtId="1" fontId="1" fillId="2" borderId="50" xfId="0" applyNumberFormat="1" applyFont="1" applyFill="1" applyBorder="1" applyAlignment="1">
      <alignment horizontal="center"/>
    </xf>
    <xf numFmtId="49" fontId="1" fillId="2" borderId="16" xfId="0" applyNumberFormat="1" applyFont="1" applyFill="1" applyBorder="1" applyAlignment="1">
      <alignment horizontal="center" vertical="center"/>
    </xf>
    <xf numFmtId="1" fontId="1" fillId="2" borderId="36" xfId="0" applyNumberFormat="1" applyFont="1" applyFill="1" applyBorder="1" applyAlignment="1">
      <alignment horizontal="center"/>
    </xf>
    <xf numFmtId="1" fontId="1" fillId="2" borderId="19" xfId="0" applyNumberFormat="1" applyFont="1" applyFill="1" applyBorder="1" applyAlignment="1">
      <alignment horizontal="center"/>
    </xf>
    <xf numFmtId="1" fontId="1" fillId="2" borderId="51" xfId="0" applyNumberFormat="1" applyFont="1" applyFill="1" applyBorder="1" applyAlignment="1">
      <alignment horizontal="center"/>
    </xf>
    <xf numFmtId="1" fontId="1" fillId="2" borderId="55" xfId="0" applyNumberFormat="1" applyFont="1" applyFill="1" applyBorder="1" applyAlignment="1">
      <alignment horizontal="center"/>
    </xf>
    <xf numFmtId="1" fontId="1" fillId="2" borderId="24" xfId="0" applyNumberFormat="1" applyFont="1" applyFill="1" applyBorder="1" applyAlignment="1">
      <alignment horizontal="center"/>
    </xf>
    <xf numFmtId="1" fontId="1" fillId="2" borderId="54" xfId="0" applyNumberFormat="1" applyFont="1" applyFill="1" applyBorder="1" applyAlignment="1">
      <alignment horizontal="center"/>
    </xf>
    <xf numFmtId="1" fontId="1" fillId="2" borderId="52" xfId="0" applyNumberFormat="1" applyFont="1" applyFill="1" applyBorder="1" applyAlignment="1">
      <alignment horizontal="center"/>
    </xf>
    <xf numFmtId="0" fontId="2" fillId="0" borderId="33" xfId="0" applyFont="1" applyBorder="1"/>
    <xf numFmtId="0" fontId="2" fillId="0" borderId="56" xfId="0" applyFont="1" applyBorder="1"/>
    <xf numFmtId="2" fontId="2" fillId="0" borderId="40" xfId="0" applyNumberFormat="1" applyFont="1" applyBorder="1"/>
    <xf numFmtId="0" fontId="2" fillId="0" borderId="57" xfId="0" applyFont="1" applyBorder="1"/>
    <xf numFmtId="0" fontId="2" fillId="0" borderId="58" xfId="0" applyFont="1" applyBorder="1"/>
    <xf numFmtId="0" fontId="2" fillId="0" borderId="21" xfId="0" applyFont="1" applyBorder="1"/>
    <xf numFmtId="0" fontId="2" fillId="0" borderId="22" xfId="0" applyFont="1" applyBorder="1"/>
    <xf numFmtId="0" fontId="2" fillId="0" borderId="31" xfId="0" applyFont="1" applyBorder="1"/>
    <xf numFmtId="0" fontId="2" fillId="0" borderId="32" xfId="0" applyFont="1" applyBorder="1"/>
    <xf numFmtId="2" fontId="3" fillId="2" borderId="16" xfId="0" applyNumberFormat="1" applyFont="1" applyFill="1" applyBorder="1" applyAlignment="1">
      <alignment horizontal="center"/>
    </xf>
    <xf numFmtId="0" fontId="3" fillId="0" borderId="0" xfId="0" applyFont="1" applyAlignment="1"/>
    <xf numFmtId="0" fontId="3" fillId="0" borderId="6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3" fillId="0" borderId="1" xfId="0" applyFont="1" applyBorder="1" applyAlignment="1"/>
    <xf numFmtId="0" fontId="3" fillId="0" borderId="16" xfId="0" applyFont="1" applyFill="1" applyBorder="1" applyAlignment="1"/>
    <xf numFmtId="2" fontId="3" fillId="0" borderId="16" xfId="0" applyNumberFormat="1" applyFont="1" applyBorder="1" applyAlignment="1">
      <alignment horizontal="center"/>
    </xf>
    <xf numFmtId="164" fontId="3" fillId="0" borderId="16" xfId="0" applyNumberFormat="1" applyFont="1" applyBorder="1" applyAlignment="1">
      <alignment horizontal="center"/>
    </xf>
    <xf numFmtId="2" fontId="3" fillId="0" borderId="1" xfId="0" applyNumberFormat="1" applyFont="1" applyBorder="1" applyAlignment="1"/>
    <xf numFmtId="2" fontId="3" fillId="0" borderId="3" xfId="0" applyNumberFormat="1" applyFont="1" applyBorder="1" applyAlignment="1"/>
    <xf numFmtId="10" fontId="2" fillId="0" borderId="0" xfId="0" applyNumberFormat="1" applyFont="1"/>
    <xf numFmtId="0" fontId="3" fillId="0" borderId="0" xfId="0" applyFont="1" applyFill="1" applyBorder="1" applyAlignment="1"/>
    <xf numFmtId="0" fontId="3" fillId="0" borderId="0" xfId="0" applyFont="1" applyBorder="1"/>
    <xf numFmtId="0" fontId="3" fillId="0" borderId="0" xfId="0" applyFont="1"/>
    <xf numFmtId="49" fontId="7" fillId="2" borderId="0" xfId="0" applyNumberFormat="1" applyFont="1" applyFill="1" applyBorder="1" applyAlignment="1">
      <alignment wrapText="1"/>
    </xf>
    <xf numFmtId="49" fontId="7" fillId="2" borderId="1" xfId="0" applyNumberFormat="1" applyFont="1" applyFill="1" applyBorder="1" applyAlignment="1">
      <alignment horizontal="center" vertical="center"/>
    </xf>
    <xf numFmtId="49" fontId="1" fillId="2" borderId="6" xfId="0" applyNumberFormat="1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49" fontId="1" fillId="2" borderId="26" xfId="0" applyNumberFormat="1" applyFont="1" applyFill="1" applyBorder="1" applyAlignment="1">
      <alignment horizontal="center" vertical="center"/>
    </xf>
    <xf numFmtId="49" fontId="1" fillId="2" borderId="30" xfId="0" applyNumberFormat="1" applyFont="1" applyFill="1" applyBorder="1" applyAlignment="1">
      <alignment horizontal="center" vertical="center"/>
    </xf>
    <xf numFmtId="1" fontId="7" fillId="2" borderId="21" xfId="0" applyNumberFormat="1" applyFont="1" applyFill="1" applyBorder="1" applyAlignment="1">
      <alignment horizontal="center"/>
    </xf>
    <xf numFmtId="1" fontId="2" fillId="0" borderId="0" xfId="0" applyNumberFormat="1" applyFont="1"/>
    <xf numFmtId="1" fontId="7" fillId="2" borderId="31" xfId="0" applyNumberFormat="1" applyFont="1" applyFill="1" applyBorder="1" applyAlignment="1">
      <alignment horizontal="center"/>
    </xf>
    <xf numFmtId="1" fontId="7" fillId="3" borderId="11" xfId="0" applyNumberFormat="1" applyFont="1" applyFill="1" applyBorder="1" applyAlignment="1">
      <alignment horizontal="center"/>
    </xf>
    <xf numFmtId="1" fontId="7" fillId="3" borderId="27" xfId="0" applyNumberFormat="1" applyFont="1" applyFill="1" applyBorder="1" applyAlignment="1">
      <alignment horizontal="center"/>
    </xf>
    <xf numFmtId="1" fontId="7" fillId="3" borderId="26" xfId="0" applyNumberFormat="1" applyFont="1" applyFill="1" applyBorder="1" applyAlignment="1">
      <alignment horizontal="center"/>
    </xf>
    <xf numFmtId="1" fontId="7" fillId="3" borderId="3" xfId="0" applyNumberFormat="1" applyFont="1" applyFill="1" applyBorder="1" applyAlignment="1">
      <alignment horizontal="center"/>
    </xf>
    <xf numFmtId="1" fontId="7" fillId="2" borderId="19" xfId="0" applyNumberFormat="1" applyFont="1" applyFill="1" applyBorder="1" applyAlignment="1">
      <alignment horizontal="center"/>
    </xf>
    <xf numFmtId="1" fontId="7" fillId="2" borderId="13" xfId="0" applyNumberFormat="1" applyFont="1" applyFill="1" applyBorder="1" applyAlignment="1">
      <alignment horizontal="center"/>
    </xf>
    <xf numFmtId="1" fontId="7" fillId="2" borderId="24" xfId="0" applyNumberFormat="1" applyFont="1" applyFill="1" applyBorder="1" applyAlignment="1">
      <alignment horizontal="center"/>
    </xf>
    <xf numFmtId="1" fontId="7" fillId="3" borderId="1" xfId="0" applyNumberFormat="1" applyFont="1" applyFill="1" applyBorder="1" applyAlignment="1">
      <alignment horizontal="center"/>
    </xf>
    <xf numFmtId="1" fontId="7" fillId="2" borderId="33" xfId="0" applyNumberFormat="1" applyFont="1" applyFill="1" applyBorder="1" applyAlignment="1">
      <alignment horizontal="center"/>
    </xf>
    <xf numFmtId="1" fontId="8" fillId="0" borderId="0" xfId="0" applyNumberFormat="1" applyFont="1" applyAlignment="1">
      <alignment horizontal="center"/>
    </xf>
    <xf numFmtId="1" fontId="7" fillId="2" borderId="16" xfId="0" applyNumberFormat="1" applyFont="1" applyFill="1" applyBorder="1" applyAlignment="1">
      <alignment horizontal="center"/>
    </xf>
    <xf numFmtId="164" fontId="7" fillId="2" borderId="26" xfId="0" applyNumberFormat="1" applyFont="1" applyFill="1" applyBorder="1" applyAlignment="1">
      <alignment horizontal="right"/>
    </xf>
    <xf numFmtId="164" fontId="7" fillId="2" borderId="30" xfId="0" applyNumberFormat="1" applyFont="1" applyFill="1" applyBorder="1" applyAlignment="1">
      <alignment horizontal="right"/>
    </xf>
    <xf numFmtId="2" fontId="9" fillId="0" borderId="0" xfId="0" applyNumberFormat="1" applyFont="1"/>
    <xf numFmtId="2" fontId="3" fillId="0" borderId="27" xfId="0" applyNumberFormat="1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18" xfId="0" applyFont="1" applyBorder="1" applyAlignment="1">
      <alignment horizontal="center" wrapText="1"/>
    </xf>
    <xf numFmtId="0" fontId="3" fillId="0" borderId="12" xfId="0" applyFont="1" applyBorder="1" applyAlignment="1">
      <alignment horizontal="center"/>
    </xf>
    <xf numFmtId="0" fontId="3" fillId="0" borderId="6" xfId="0" applyFont="1" applyBorder="1" applyAlignment="1">
      <alignment horizontal="center" vertical="center" wrapText="1"/>
    </xf>
    <xf numFmtId="2" fontId="3" fillId="2" borderId="3" xfId="0" applyNumberFormat="1" applyFont="1" applyFill="1" applyBorder="1" applyAlignment="1">
      <alignment horizontal="center"/>
    </xf>
    <xf numFmtId="49" fontId="7" fillId="2" borderId="4" xfId="0" applyNumberFormat="1" applyFont="1" applyFill="1" applyBorder="1" applyAlignment="1">
      <alignment horizontal="center" vertical="center"/>
    </xf>
    <xf numFmtId="49" fontId="7" fillId="2" borderId="11" xfId="0" applyNumberFormat="1" applyFont="1" applyFill="1" applyBorder="1" applyAlignment="1">
      <alignment horizontal="center" vertical="center"/>
    </xf>
    <xf numFmtId="49" fontId="7" fillId="2" borderId="11" xfId="0" applyNumberFormat="1" applyFont="1" applyFill="1" applyBorder="1" applyAlignment="1">
      <alignment horizontal="center" vertical="center"/>
    </xf>
    <xf numFmtId="0" fontId="3" fillId="0" borderId="5" xfId="0" applyFont="1" applyBorder="1" applyAlignment="1">
      <alignment horizontal="center"/>
    </xf>
    <xf numFmtId="0" fontId="3" fillId="0" borderId="18" xfId="0" applyFont="1" applyBorder="1" applyAlignment="1">
      <alignment horizontal="center" wrapText="1"/>
    </xf>
    <xf numFmtId="0" fontId="3" fillId="0" borderId="12" xfId="0" applyFont="1" applyBorder="1" applyAlignment="1">
      <alignment horizontal="center"/>
    </xf>
    <xf numFmtId="2" fontId="3" fillId="0" borderId="27" xfId="0" applyNumberFormat="1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0" fontId="3" fillId="0" borderId="6" xfId="0" applyFont="1" applyBorder="1" applyAlignment="1">
      <alignment horizontal="center" vertical="center" wrapText="1"/>
    </xf>
    <xf numFmtId="2" fontId="3" fillId="2" borderId="3" xfId="0" applyNumberFormat="1" applyFont="1" applyFill="1" applyBorder="1" applyAlignment="1">
      <alignment horizontal="center"/>
    </xf>
    <xf numFmtId="49" fontId="7" fillId="2" borderId="4" xfId="0" applyNumberFormat="1" applyFont="1" applyFill="1" applyBorder="1" applyAlignment="1">
      <alignment horizontal="center" vertical="center"/>
    </xf>
    <xf numFmtId="49" fontId="7" fillId="2" borderId="11" xfId="0" applyNumberFormat="1" applyFont="1" applyFill="1" applyBorder="1" applyAlignment="1">
      <alignment horizontal="center" vertical="center"/>
    </xf>
    <xf numFmtId="2" fontId="3" fillId="0" borderId="17" xfId="0" applyNumberFormat="1" applyFont="1" applyBorder="1" applyAlignment="1">
      <alignment horizontal="center"/>
    </xf>
    <xf numFmtId="0" fontId="5" fillId="0" borderId="0" xfId="0" applyFont="1" applyAlignment="1">
      <alignment horizontal="center"/>
    </xf>
    <xf numFmtId="49" fontId="6" fillId="2" borderId="0" xfId="0" applyNumberFormat="1" applyFont="1" applyFill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3" fillId="0" borderId="9" xfId="0" applyFont="1" applyBorder="1" applyAlignment="1">
      <alignment horizontal="center"/>
    </xf>
    <xf numFmtId="2" fontId="3" fillId="0" borderId="4" xfId="0" applyNumberFormat="1" applyFont="1" applyBorder="1" applyAlignment="1">
      <alignment horizontal="center"/>
    </xf>
    <xf numFmtId="2" fontId="3" fillId="0" borderId="5" xfId="0" applyNumberFormat="1" applyFont="1" applyBorder="1" applyAlignment="1">
      <alignment horizontal="center"/>
    </xf>
    <xf numFmtId="0" fontId="3" fillId="0" borderId="6" xfId="0" applyFont="1" applyBorder="1" applyAlignment="1">
      <alignment horizontal="center" wrapText="1"/>
    </xf>
    <xf numFmtId="0" fontId="3" fillId="0" borderId="18" xfId="0" applyFont="1" applyBorder="1" applyAlignment="1">
      <alignment horizontal="center" wrapText="1"/>
    </xf>
    <xf numFmtId="0" fontId="3" fillId="0" borderId="7" xfId="0" applyFont="1" applyBorder="1" applyAlignment="1">
      <alignment horizontal="center"/>
    </xf>
    <xf numFmtId="2" fontId="3" fillId="0" borderId="11" xfId="0" applyNumberFormat="1" applyFont="1" applyBorder="1" applyAlignment="1">
      <alignment horizontal="center"/>
    </xf>
    <xf numFmtId="2" fontId="3" fillId="0" borderId="12" xfId="0" applyNumberFormat="1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0" fontId="3" fillId="0" borderId="0" xfId="0" applyFont="1" applyBorder="1" applyAlignment="1">
      <alignment horizontal="center"/>
    </xf>
    <xf numFmtId="0" fontId="3" fillId="0" borderId="12" xfId="0" applyFont="1" applyBorder="1" applyAlignment="1">
      <alignment horizontal="center"/>
    </xf>
    <xf numFmtId="0" fontId="3" fillId="0" borderId="31" xfId="0" applyFont="1" applyBorder="1" applyAlignment="1">
      <alignment horizontal="center"/>
    </xf>
    <xf numFmtId="0" fontId="3" fillId="0" borderId="45" xfId="0" applyFont="1" applyBorder="1" applyAlignment="1">
      <alignment horizontal="center"/>
    </xf>
    <xf numFmtId="2" fontId="3" fillId="0" borderId="26" xfId="0" applyNumberFormat="1" applyFont="1" applyBorder="1" applyAlignment="1">
      <alignment horizontal="center"/>
    </xf>
    <xf numFmtId="2" fontId="3" fillId="0" borderId="27" xfId="0" applyNumberFormat="1" applyFont="1" applyBorder="1" applyAlignment="1">
      <alignment horizontal="center"/>
    </xf>
    <xf numFmtId="2" fontId="3" fillId="0" borderId="2" xfId="0" applyNumberFormat="1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2" fontId="3" fillId="0" borderId="3" xfId="0" applyNumberFormat="1" applyFont="1" applyBorder="1" applyAlignment="1">
      <alignment horizontal="center"/>
    </xf>
    <xf numFmtId="2" fontId="3" fillId="0" borderId="8" xfId="0" applyNumberFormat="1" applyFont="1" applyBorder="1" applyAlignment="1">
      <alignment horizontal="center"/>
    </xf>
    <xf numFmtId="2" fontId="3" fillId="0" borderId="9" xfId="0" applyNumberFormat="1" applyFont="1" applyBorder="1" applyAlignment="1">
      <alignment horizontal="center"/>
    </xf>
    <xf numFmtId="0" fontId="3" fillId="0" borderId="6" xfId="0" applyFont="1" applyBorder="1" applyAlignment="1">
      <alignment horizontal="left" vertical="center"/>
    </xf>
    <xf numFmtId="0" fontId="3" fillId="0" borderId="18" xfId="0" applyFont="1" applyBorder="1" applyAlignment="1">
      <alignment horizontal="left" vertical="center"/>
    </xf>
    <xf numFmtId="0" fontId="3" fillId="0" borderId="4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 wrapText="1"/>
    </xf>
    <xf numFmtId="0" fontId="3" fillId="0" borderId="18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 wrapText="1"/>
    </xf>
    <xf numFmtId="0" fontId="3" fillId="0" borderId="9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/>
    </xf>
    <xf numFmtId="2" fontId="3" fillId="0" borderId="4" xfId="0" applyNumberFormat="1" applyFont="1" applyBorder="1" applyAlignment="1">
      <alignment horizontal="center" vertical="center"/>
    </xf>
    <xf numFmtId="2" fontId="3" fillId="0" borderId="5" xfId="0" applyNumberFormat="1" applyFont="1" applyBorder="1" applyAlignment="1">
      <alignment horizontal="center" vertical="center"/>
    </xf>
    <xf numFmtId="0" fontId="4" fillId="0" borderId="3" xfId="0" applyFont="1" applyBorder="1"/>
    <xf numFmtId="0" fontId="4" fillId="0" borderId="2" xfId="0" applyFont="1" applyBorder="1"/>
    <xf numFmtId="2" fontId="3" fillId="2" borderId="1" xfId="0" applyNumberFormat="1" applyFont="1" applyFill="1" applyBorder="1" applyAlignment="1">
      <alignment horizontal="center"/>
    </xf>
    <xf numFmtId="2" fontId="3" fillId="2" borderId="3" xfId="0" applyNumberFormat="1" applyFont="1" applyFill="1" applyBorder="1" applyAlignment="1">
      <alignment horizontal="center"/>
    </xf>
    <xf numFmtId="164" fontId="3" fillId="0" borderId="1" xfId="0" applyNumberFormat="1" applyFont="1" applyBorder="1" applyAlignment="1">
      <alignment horizontal="center"/>
    </xf>
    <xf numFmtId="164" fontId="3" fillId="0" borderId="2" xfId="0" applyNumberFormat="1" applyFont="1" applyBorder="1" applyAlignment="1">
      <alignment horizontal="center"/>
    </xf>
    <xf numFmtId="164" fontId="3" fillId="0" borderId="3" xfId="0" applyNumberFormat="1" applyFont="1" applyBorder="1" applyAlignment="1">
      <alignment horizontal="center"/>
    </xf>
    <xf numFmtId="49" fontId="7" fillId="2" borderId="23" xfId="0" applyNumberFormat="1" applyFont="1" applyFill="1" applyBorder="1" applyAlignment="1">
      <alignment horizontal="center"/>
    </xf>
    <xf numFmtId="49" fontId="7" fillId="2" borderId="43" xfId="0" applyNumberFormat="1" applyFont="1" applyFill="1" applyBorder="1" applyAlignment="1">
      <alignment horizontal="center"/>
    </xf>
    <xf numFmtId="49" fontId="7" fillId="2" borderId="44" xfId="0" applyNumberFormat="1" applyFont="1" applyFill="1" applyBorder="1" applyAlignment="1">
      <alignment horizontal="center"/>
    </xf>
    <xf numFmtId="49" fontId="7" fillId="2" borderId="4" xfId="0" applyNumberFormat="1" applyFont="1" applyFill="1" applyBorder="1" applyAlignment="1">
      <alignment horizontal="center" vertical="center"/>
    </xf>
    <xf numFmtId="49" fontId="7" fillId="2" borderId="7" xfId="0" applyNumberFormat="1" applyFont="1" applyFill="1" applyBorder="1" applyAlignment="1">
      <alignment horizontal="center" vertical="center"/>
    </xf>
    <xf numFmtId="49" fontId="7" fillId="2" borderId="11" xfId="0" applyNumberFormat="1" applyFont="1" applyFill="1" applyBorder="1" applyAlignment="1">
      <alignment horizontal="center" vertical="center"/>
    </xf>
    <xf numFmtId="49" fontId="7" fillId="2" borderId="0" xfId="0" applyNumberFormat="1" applyFont="1" applyFill="1" applyBorder="1" applyAlignment="1">
      <alignment horizontal="center" vertical="center"/>
    </xf>
    <xf numFmtId="49" fontId="7" fillId="2" borderId="12" xfId="0" applyNumberFormat="1" applyFont="1" applyFill="1" applyBorder="1" applyAlignment="1">
      <alignment horizontal="center" vertical="center"/>
    </xf>
    <xf numFmtId="49" fontId="7" fillId="2" borderId="8" xfId="0" applyNumberFormat="1" applyFont="1" applyFill="1" applyBorder="1" applyAlignment="1">
      <alignment horizontal="center" vertical="center"/>
    </xf>
    <xf numFmtId="49" fontId="7" fillId="2" borderId="17" xfId="0" applyNumberFormat="1" applyFont="1" applyFill="1" applyBorder="1" applyAlignment="1">
      <alignment horizontal="center" vertical="center"/>
    </xf>
    <xf numFmtId="49" fontId="7" fillId="2" borderId="9" xfId="0" applyNumberFormat="1" applyFont="1" applyFill="1" applyBorder="1" applyAlignment="1">
      <alignment horizontal="center" vertical="center"/>
    </xf>
    <xf numFmtId="49" fontId="7" fillId="2" borderId="1" xfId="0" applyNumberFormat="1" applyFont="1" applyFill="1" applyBorder="1" applyAlignment="1">
      <alignment horizontal="center" wrapText="1"/>
    </xf>
    <xf numFmtId="49" fontId="7" fillId="2" borderId="2" xfId="0" applyNumberFormat="1" applyFont="1" applyFill="1" applyBorder="1" applyAlignment="1">
      <alignment horizontal="center" wrapText="1"/>
    </xf>
    <xf numFmtId="49" fontId="7" fillId="2" borderId="3" xfId="0" applyNumberFormat="1" applyFont="1" applyFill="1" applyBorder="1" applyAlignment="1">
      <alignment horizontal="center" wrapText="1"/>
    </xf>
    <xf numFmtId="49" fontId="7" fillId="2" borderId="11" xfId="0" applyNumberFormat="1" applyFont="1" applyFill="1" applyBorder="1" applyAlignment="1">
      <alignment horizontal="center" vertical="center" wrapText="1"/>
    </xf>
    <xf numFmtId="49" fontId="7" fillId="2" borderId="12" xfId="0" applyNumberFormat="1" applyFont="1" applyFill="1" applyBorder="1" applyAlignment="1">
      <alignment horizontal="center" vertical="center" wrapText="1"/>
    </xf>
    <xf numFmtId="49" fontId="7" fillId="2" borderId="8" xfId="0" applyNumberFormat="1" applyFont="1" applyFill="1" applyBorder="1" applyAlignment="1">
      <alignment horizontal="center" vertical="center" wrapText="1"/>
    </xf>
    <xf numFmtId="49" fontId="7" fillId="2" borderId="9" xfId="0" applyNumberFormat="1" applyFont="1" applyFill="1" applyBorder="1" applyAlignment="1">
      <alignment horizontal="center" vertical="center" wrapText="1"/>
    </xf>
    <xf numFmtId="49" fontId="7" fillId="2" borderId="8" xfId="0" applyNumberFormat="1" applyFont="1" applyFill="1" applyBorder="1" applyAlignment="1">
      <alignment horizontal="center" wrapText="1"/>
    </xf>
    <xf numFmtId="49" fontId="7" fillId="2" borderId="17" xfId="0" applyNumberFormat="1" applyFont="1" applyFill="1" applyBorder="1" applyAlignment="1">
      <alignment horizontal="center" wrapText="1"/>
    </xf>
    <xf numFmtId="49" fontId="7" fillId="2" borderId="37" xfId="0" applyNumberFormat="1" applyFont="1" applyFill="1" applyBorder="1" applyAlignment="1">
      <alignment horizontal="center"/>
    </xf>
    <xf numFmtId="49" fontId="7" fillId="2" borderId="39" xfId="0" applyNumberFormat="1" applyFont="1" applyFill="1" applyBorder="1" applyAlignment="1">
      <alignment horizontal="center"/>
    </xf>
    <xf numFmtId="49" fontId="7" fillId="2" borderId="40" xfId="0" applyNumberFormat="1" applyFont="1" applyFill="1" applyBorder="1" applyAlignment="1">
      <alignment horizontal="center"/>
    </xf>
    <xf numFmtId="49" fontId="7" fillId="2" borderId="38" xfId="0" applyNumberFormat="1" applyFont="1" applyFill="1" applyBorder="1" applyAlignment="1">
      <alignment horizontal="center"/>
    </xf>
    <xf numFmtId="49" fontId="7" fillId="2" borderId="41" xfId="0" applyNumberFormat="1" applyFont="1" applyFill="1" applyBorder="1" applyAlignment="1">
      <alignment horizontal="center"/>
    </xf>
    <xf numFmtId="49" fontId="7" fillId="2" borderId="42" xfId="0" applyNumberFormat="1" applyFont="1" applyFill="1" applyBorder="1" applyAlignment="1">
      <alignment horizontal="center"/>
    </xf>
    <xf numFmtId="49" fontId="7" fillId="3" borderId="1" xfId="0" applyNumberFormat="1" applyFont="1" applyFill="1" applyBorder="1" applyAlignment="1">
      <alignment horizontal="center"/>
    </xf>
    <xf numFmtId="49" fontId="7" fillId="3" borderId="2" xfId="0" applyNumberFormat="1" applyFont="1" applyFill="1" applyBorder="1" applyAlignment="1">
      <alignment horizontal="center"/>
    </xf>
    <xf numFmtId="49" fontId="7" fillId="3" borderId="3" xfId="0" applyNumberFormat="1" applyFont="1" applyFill="1" applyBorder="1" applyAlignment="1">
      <alignment horizontal="center"/>
    </xf>
    <xf numFmtId="49" fontId="7" fillId="2" borderId="51" xfId="0" applyNumberFormat="1" applyFont="1" applyFill="1" applyBorder="1" applyAlignment="1">
      <alignment horizontal="center"/>
    </xf>
    <xf numFmtId="49" fontId="7" fillId="2" borderId="47" xfId="0" applyNumberFormat="1" applyFont="1" applyFill="1" applyBorder="1" applyAlignment="1">
      <alignment horizontal="center"/>
    </xf>
    <xf numFmtId="49" fontId="7" fillId="2" borderId="46" xfId="0" applyNumberFormat="1" applyFont="1" applyFill="1" applyBorder="1" applyAlignment="1">
      <alignment horizontal="center"/>
    </xf>
    <xf numFmtId="49" fontId="7" fillId="2" borderId="1" xfId="0" applyNumberFormat="1" applyFont="1" applyFill="1" applyBorder="1" applyAlignment="1">
      <alignment horizontal="center"/>
    </xf>
    <xf numFmtId="49" fontId="7" fillId="2" borderId="2" xfId="0" applyNumberFormat="1" applyFont="1" applyFill="1" applyBorder="1" applyAlignment="1">
      <alignment horizontal="center"/>
    </xf>
    <xf numFmtId="49" fontId="7" fillId="2" borderId="3" xfId="0" applyNumberFormat="1" applyFont="1" applyFill="1" applyBorder="1" applyAlignment="1">
      <alignment horizontal="center"/>
    </xf>
    <xf numFmtId="49" fontId="7" fillId="2" borderId="52" xfId="0" applyNumberFormat="1" applyFont="1" applyFill="1" applyBorder="1" applyAlignment="1">
      <alignment horizontal="center"/>
    </xf>
    <xf numFmtId="49" fontId="7" fillId="2" borderId="53" xfId="0" applyNumberFormat="1" applyFont="1" applyFill="1" applyBorder="1" applyAlignment="1">
      <alignment horizontal="center"/>
    </xf>
    <xf numFmtId="49" fontId="7" fillId="2" borderId="54" xfId="0" applyNumberFormat="1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2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BLENDED%20TEA%20STOCK%20REGISTER%202021-22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DAILY%20PRODUCTION%20REGISTER-2021-2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pril 2021-22"/>
      <sheetName val="May 2021"/>
    </sheetNames>
    <sheetDataSet>
      <sheetData sheetId="0">
        <row r="41">
          <cell r="K41">
            <v>28956.159999999996</v>
          </cell>
        </row>
        <row r="49">
          <cell r="K49">
            <v>21391.380000000005</v>
          </cell>
        </row>
        <row r="57">
          <cell r="K57">
            <v>0</v>
          </cell>
        </row>
        <row r="65">
          <cell r="K65">
            <v>12170.24</v>
          </cell>
        </row>
      </sheetData>
      <sheetData sheetId="1">
        <row r="15">
          <cell r="K15">
            <v>7044.7999999999993</v>
          </cell>
        </row>
        <row r="25">
          <cell r="K25">
            <v>6085.12</v>
          </cell>
        </row>
        <row r="35">
          <cell r="K35">
            <v>9600.42</v>
          </cell>
        </row>
        <row r="45">
          <cell r="K45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pril 2021-22"/>
      <sheetName val="May 2021"/>
    </sheetNames>
    <sheetDataSet>
      <sheetData sheetId="0">
        <row r="32">
          <cell r="B32">
            <v>1008</v>
          </cell>
          <cell r="C32">
            <v>7656</v>
          </cell>
          <cell r="D32">
            <v>35880</v>
          </cell>
          <cell r="E32">
            <v>552</v>
          </cell>
          <cell r="F32">
            <v>1870</v>
          </cell>
          <cell r="G32">
            <v>0</v>
          </cell>
          <cell r="H32">
            <v>10440</v>
          </cell>
          <cell r="I32">
            <v>5328</v>
          </cell>
          <cell r="J32">
            <v>58368</v>
          </cell>
          <cell r="K32">
            <v>6660</v>
          </cell>
          <cell r="L32">
            <v>900</v>
          </cell>
        </row>
      </sheetData>
      <sheetData sheetId="1">
        <row r="29">
          <cell r="B29">
            <v>672</v>
          </cell>
          <cell r="C29">
            <v>2280</v>
          </cell>
          <cell r="D29">
            <v>14700</v>
          </cell>
          <cell r="E29">
            <v>0</v>
          </cell>
          <cell r="F29">
            <v>572</v>
          </cell>
          <cell r="G29">
            <v>528</v>
          </cell>
          <cell r="H29">
            <v>7800</v>
          </cell>
          <cell r="I29">
            <v>4056</v>
          </cell>
          <cell r="J29">
            <v>32448</v>
          </cell>
          <cell r="K29">
            <v>3696</v>
          </cell>
          <cell r="L29">
            <v>3132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42"/>
  <sheetViews>
    <sheetView topLeftCell="A4" zoomScaleNormal="100" workbookViewId="0">
      <selection activeCell="H10" sqref="H10"/>
    </sheetView>
  </sheetViews>
  <sheetFormatPr defaultRowHeight="15" x14ac:dyDescent="0.25"/>
  <cols>
    <col min="1" max="1" width="16.7109375" style="2" customWidth="1"/>
    <col min="2" max="2" width="6" style="2" customWidth="1"/>
    <col min="3" max="3" width="2.5703125" style="2" customWidth="1"/>
    <col min="4" max="4" width="8" style="2" customWidth="1"/>
    <col min="5" max="5" width="8.28515625" style="2" bestFit="1" customWidth="1"/>
    <col min="6" max="6" width="6.140625" style="2" customWidth="1"/>
    <col min="7" max="7" width="8" style="2" customWidth="1"/>
    <col min="8" max="8" width="6.7109375" style="2" customWidth="1"/>
    <col min="9" max="9" width="7.140625" style="2" bestFit="1" customWidth="1"/>
    <col min="10" max="10" width="6.7109375" style="2" customWidth="1"/>
    <col min="11" max="11" width="6" style="2" customWidth="1"/>
    <col min="12" max="12" width="5.28515625" style="2" customWidth="1"/>
    <col min="13" max="13" width="7" style="2" customWidth="1"/>
    <col min="14" max="14" width="6.42578125" style="2" customWidth="1"/>
    <col min="15" max="15" width="7.28515625" style="2" customWidth="1"/>
    <col min="16" max="17" width="7.85546875" style="2" customWidth="1"/>
    <col min="18" max="18" width="6" style="2" customWidth="1"/>
    <col min="19" max="19" width="7.42578125" style="2" bestFit="1" customWidth="1"/>
    <col min="20" max="22" width="12.5703125" style="2" bestFit="1" customWidth="1"/>
    <col min="23" max="23" width="9.140625" style="2"/>
    <col min="24" max="24" width="12.5703125" style="2" bestFit="1" customWidth="1"/>
    <col min="25" max="16384" width="9.140625" style="2"/>
  </cols>
  <sheetData>
    <row r="1" spans="1:23" ht="18.75" x14ac:dyDescent="0.3">
      <c r="A1" s="111" t="s">
        <v>49</v>
      </c>
      <c r="B1" s="111"/>
      <c r="C1" s="111"/>
      <c r="D1" s="111"/>
      <c r="E1" s="111"/>
      <c r="F1" s="111"/>
      <c r="G1" s="111"/>
      <c r="H1" s="111"/>
      <c r="I1" s="111"/>
      <c r="J1" s="111"/>
      <c r="K1" s="111"/>
      <c r="L1" s="111"/>
      <c r="M1" s="111"/>
      <c r="N1" s="111"/>
      <c r="O1" s="111"/>
      <c r="P1" s="111"/>
      <c r="Q1" s="111"/>
      <c r="R1" s="111"/>
    </row>
    <row r="2" spans="1:23" ht="15.75" thickBot="1" x14ac:dyDescent="0.3">
      <c r="A2" s="112"/>
      <c r="B2" s="112"/>
      <c r="C2" s="112"/>
      <c r="D2" s="112"/>
      <c r="E2" s="112"/>
      <c r="F2" s="112"/>
      <c r="G2" s="112"/>
      <c r="H2" s="112"/>
      <c r="I2" s="112"/>
      <c r="J2" s="112"/>
      <c r="K2" s="112"/>
      <c r="L2" s="112"/>
      <c r="M2" s="112"/>
      <c r="N2" s="112"/>
      <c r="O2" s="112"/>
      <c r="P2" s="112"/>
      <c r="Q2" s="112"/>
      <c r="R2" s="112"/>
    </row>
    <row r="3" spans="1:23" ht="15.75" thickBot="1" x14ac:dyDescent="0.3">
      <c r="A3" s="113" t="s">
        <v>50</v>
      </c>
      <c r="B3" s="114"/>
      <c r="C3" s="114"/>
      <c r="D3" s="114"/>
      <c r="E3" s="114"/>
      <c r="F3" s="114"/>
      <c r="G3" s="114"/>
      <c r="H3" s="114"/>
      <c r="I3" s="114"/>
      <c r="J3" s="114"/>
      <c r="K3" s="114"/>
      <c r="L3" s="115"/>
      <c r="M3" s="55"/>
    </row>
    <row r="4" spans="1:23" x14ac:dyDescent="0.25">
      <c r="A4" s="116"/>
      <c r="B4" s="117"/>
      <c r="C4" s="120" t="s">
        <v>46</v>
      </c>
      <c r="D4" s="121"/>
      <c r="E4" s="56" t="s">
        <v>0</v>
      </c>
      <c r="F4" s="122" t="s">
        <v>24</v>
      </c>
      <c r="G4" s="93" t="s">
        <v>1</v>
      </c>
      <c r="H4" s="116" t="s">
        <v>2</v>
      </c>
      <c r="I4" s="124"/>
      <c r="J4" s="117"/>
      <c r="K4" s="120" t="s">
        <v>3</v>
      </c>
      <c r="L4" s="121"/>
      <c r="M4" s="55"/>
    </row>
    <row r="5" spans="1:23" ht="15.75" thickBot="1" x14ac:dyDescent="0.3">
      <c r="A5" s="118"/>
      <c r="B5" s="119"/>
      <c r="C5" s="125" t="s">
        <v>4</v>
      </c>
      <c r="D5" s="126"/>
      <c r="E5" s="57" t="s">
        <v>5</v>
      </c>
      <c r="F5" s="123"/>
      <c r="G5" s="95"/>
      <c r="H5" s="127" t="s">
        <v>5</v>
      </c>
      <c r="I5" s="128"/>
      <c r="J5" s="129"/>
      <c r="K5" s="125" t="s">
        <v>5</v>
      </c>
      <c r="L5" s="126"/>
      <c r="M5" s="55"/>
      <c r="T5" s="29"/>
      <c r="U5" s="29"/>
    </row>
    <row r="6" spans="1:23" ht="15.75" thickBot="1" x14ac:dyDescent="0.3">
      <c r="A6" s="130"/>
      <c r="B6" s="131"/>
      <c r="C6" s="132">
        <v>666070.9</v>
      </c>
      <c r="D6" s="133"/>
      <c r="E6" s="54"/>
      <c r="F6" s="97"/>
      <c r="G6" s="91">
        <f>C6+E6+F6</f>
        <v>666070.9</v>
      </c>
      <c r="H6" s="132">
        <f>G15</f>
        <v>160041.90000000002</v>
      </c>
      <c r="I6" s="134"/>
      <c r="J6" s="133"/>
      <c r="K6" s="135">
        <f>G6-H6</f>
        <v>506029</v>
      </c>
      <c r="L6" s="136"/>
      <c r="M6" s="55"/>
      <c r="O6" s="29"/>
      <c r="Q6" s="29"/>
    </row>
    <row r="7" spans="1:23" ht="13.5" customHeight="1" thickBot="1" x14ac:dyDescent="0.3">
      <c r="A7" s="110" t="s">
        <v>51</v>
      </c>
      <c r="B7" s="110"/>
      <c r="C7" s="110"/>
      <c r="D7" s="110"/>
      <c r="E7" s="110"/>
      <c r="F7" s="110"/>
      <c r="G7" s="110"/>
      <c r="H7" s="110"/>
      <c r="I7" s="110"/>
      <c r="J7" s="110"/>
      <c r="K7" s="110"/>
      <c r="L7" s="110"/>
      <c r="M7" s="110"/>
      <c r="N7" s="110"/>
      <c r="O7" s="110"/>
      <c r="P7" s="110"/>
      <c r="Q7" s="110"/>
      <c r="R7" s="110"/>
      <c r="U7" s="29"/>
    </row>
    <row r="8" spans="1:23" ht="22.5" customHeight="1" x14ac:dyDescent="0.25">
      <c r="A8" s="139" t="s">
        <v>6</v>
      </c>
      <c r="B8" s="141" t="s">
        <v>46</v>
      </c>
      <c r="C8" s="142"/>
      <c r="D8" s="143" t="s">
        <v>41</v>
      </c>
      <c r="E8" s="145" t="s">
        <v>40</v>
      </c>
      <c r="F8" s="146"/>
      <c r="G8" s="143" t="s">
        <v>22</v>
      </c>
      <c r="H8" s="143" t="s">
        <v>23</v>
      </c>
      <c r="I8" s="96" t="s">
        <v>44</v>
      </c>
      <c r="J8" s="142" t="s">
        <v>1</v>
      </c>
      <c r="K8" s="149"/>
      <c r="L8" s="141" t="s">
        <v>7</v>
      </c>
      <c r="M8" s="142"/>
      <c r="N8" s="150" t="s">
        <v>3</v>
      </c>
      <c r="O8" s="151"/>
      <c r="P8" s="143" t="s">
        <v>42</v>
      </c>
      <c r="Q8" s="145" t="s">
        <v>35</v>
      </c>
      <c r="R8" s="146"/>
    </row>
    <row r="9" spans="1:23" ht="19.5" customHeight="1" thickBot="1" x14ac:dyDescent="0.3">
      <c r="A9" s="140"/>
      <c r="B9" s="127" t="s">
        <v>5</v>
      </c>
      <c r="C9" s="128"/>
      <c r="D9" s="144"/>
      <c r="E9" s="147"/>
      <c r="F9" s="148"/>
      <c r="G9" s="144"/>
      <c r="H9" s="144"/>
      <c r="I9" s="94" t="s">
        <v>45</v>
      </c>
      <c r="J9" s="128" t="s">
        <v>5</v>
      </c>
      <c r="K9" s="129"/>
      <c r="L9" s="127" t="s">
        <v>5</v>
      </c>
      <c r="M9" s="128"/>
      <c r="N9" s="137" t="s">
        <v>5</v>
      </c>
      <c r="O9" s="138"/>
      <c r="P9" s="144"/>
      <c r="Q9" s="147"/>
      <c r="R9" s="148"/>
    </row>
    <row r="10" spans="1:23" ht="15.75" customHeight="1" thickBot="1" x14ac:dyDescent="0.3">
      <c r="A10" s="58" t="s">
        <v>8</v>
      </c>
      <c r="B10" s="135">
        <v>2060.5</v>
      </c>
      <c r="C10" s="134"/>
      <c r="D10" s="60">
        <v>0</v>
      </c>
      <c r="E10" s="135">
        <f>B10-D10</f>
        <v>2060.5</v>
      </c>
      <c r="F10" s="136"/>
      <c r="G10" s="92">
        <f>36127.6+36854+36195.2</f>
        <v>109176.8</v>
      </c>
      <c r="H10" s="60">
        <f>145+147.41</f>
        <v>292.40999999999997</v>
      </c>
      <c r="I10" s="60"/>
      <c r="J10" s="135">
        <f>B10+G10+H10+I10</f>
        <v>111529.71</v>
      </c>
      <c r="K10" s="136"/>
      <c r="L10" s="135">
        <f>G29+G30+G31</f>
        <v>74136</v>
      </c>
      <c r="M10" s="153"/>
      <c r="N10" s="135">
        <f>J10-L10</f>
        <v>37393.710000000006</v>
      </c>
      <c r="O10" s="136"/>
      <c r="P10" s="60">
        <f>'[1]April 2021-22'!$K$41</f>
        <v>28956.159999999996</v>
      </c>
      <c r="Q10" s="135">
        <f>N10-P10</f>
        <v>8437.5500000000102</v>
      </c>
      <c r="R10" s="152"/>
      <c r="S10" s="32"/>
    </row>
    <row r="11" spans="1:23" ht="15.75" thickBot="1" x14ac:dyDescent="0.3">
      <c r="A11" s="58" t="s">
        <v>9</v>
      </c>
      <c r="B11" s="135">
        <v>6061.85</v>
      </c>
      <c r="C11" s="134"/>
      <c r="D11" s="60">
        <v>0</v>
      </c>
      <c r="E11" s="135">
        <f t="shared" ref="E11:E13" si="0">B11-D11</f>
        <v>6061.85</v>
      </c>
      <c r="F11" s="136"/>
      <c r="G11" s="92">
        <v>15212.8</v>
      </c>
      <c r="H11" s="60"/>
      <c r="I11" s="60"/>
      <c r="J11" s="135">
        <f>B11+G11+H11+I11</f>
        <v>21274.65</v>
      </c>
      <c r="K11" s="136"/>
      <c r="L11" s="135">
        <f>SUM(G21:G22)</f>
        <v>8664</v>
      </c>
      <c r="M11" s="153"/>
      <c r="N11" s="154">
        <f>J11-L11</f>
        <v>12610.650000000001</v>
      </c>
      <c r="O11" s="155"/>
      <c r="P11" s="61">
        <f>'[1]April 2021-22'!$K$65</f>
        <v>12170.24</v>
      </c>
      <c r="Q11" s="135">
        <f t="shared" ref="Q11:Q13" si="1">N11-P11</f>
        <v>440.41000000000167</v>
      </c>
      <c r="R11" s="152"/>
      <c r="S11" s="32"/>
    </row>
    <row r="12" spans="1:23" ht="15.75" customHeight="1" thickBot="1" x14ac:dyDescent="0.3">
      <c r="A12" s="58" t="s">
        <v>10</v>
      </c>
      <c r="B12" s="135">
        <v>11800.7</v>
      </c>
      <c r="C12" s="134"/>
      <c r="D12" s="60">
        <v>0</v>
      </c>
      <c r="E12" s="135">
        <f t="shared" si="0"/>
        <v>11800.7</v>
      </c>
      <c r="F12" s="136"/>
      <c r="G12" s="92"/>
      <c r="H12" s="60"/>
      <c r="I12" s="60"/>
      <c r="J12" s="135">
        <f>B12+G12+H12+I12</f>
        <v>11800.7</v>
      </c>
      <c r="K12" s="136"/>
      <c r="L12" s="135">
        <f>SUM(G33:G34)</f>
        <v>7560</v>
      </c>
      <c r="M12" s="152"/>
      <c r="N12" s="135">
        <f>J12-L12</f>
        <v>4240.7000000000007</v>
      </c>
      <c r="O12" s="136"/>
      <c r="P12" s="61">
        <f>'[1]April 2021-22'!$K$57</f>
        <v>0</v>
      </c>
      <c r="Q12" s="135">
        <f t="shared" si="1"/>
        <v>4240.7000000000007</v>
      </c>
      <c r="R12" s="152"/>
    </row>
    <row r="13" spans="1:23" ht="15.75" thickBot="1" x14ac:dyDescent="0.3">
      <c r="A13" s="58" t="s">
        <v>30</v>
      </c>
      <c r="B13" s="135">
        <v>30749.88</v>
      </c>
      <c r="C13" s="134"/>
      <c r="D13" s="60">
        <v>0</v>
      </c>
      <c r="E13" s="135">
        <f t="shared" si="0"/>
        <v>30749.88</v>
      </c>
      <c r="F13" s="136"/>
      <c r="G13" s="92">
        <f>35652.3</f>
        <v>35652.300000000003</v>
      </c>
      <c r="H13" s="60"/>
      <c r="I13" s="60"/>
      <c r="J13" s="135">
        <f>B13+G13+H13+I13</f>
        <v>66402.180000000008</v>
      </c>
      <c r="K13" s="136"/>
      <c r="L13" s="135">
        <f>G24+G25+G26+G27</f>
        <v>38302</v>
      </c>
      <c r="M13" s="152"/>
      <c r="N13" s="135">
        <f>J13-L13</f>
        <v>28100.180000000008</v>
      </c>
      <c r="O13" s="136"/>
      <c r="P13" s="61">
        <f>'[1]April 2021-22'!$K$49</f>
        <v>21391.380000000005</v>
      </c>
      <c r="Q13" s="135">
        <f t="shared" si="1"/>
        <v>6708.8000000000029</v>
      </c>
      <c r="R13" s="152"/>
      <c r="U13" s="29"/>
      <c r="W13" s="29"/>
    </row>
    <row r="14" spans="1:23" ht="15.75" customHeight="1" thickBot="1" x14ac:dyDescent="0.3">
      <c r="A14" s="58"/>
      <c r="B14" s="156"/>
      <c r="C14" s="157"/>
      <c r="D14" s="61"/>
      <c r="E14" s="156"/>
      <c r="F14" s="158"/>
      <c r="G14" s="92"/>
      <c r="H14" s="60"/>
      <c r="I14" s="60"/>
      <c r="J14" s="134"/>
      <c r="K14" s="136"/>
      <c r="L14" s="135"/>
      <c r="M14" s="136"/>
      <c r="N14" s="62"/>
      <c r="O14" s="63"/>
      <c r="P14" s="60"/>
      <c r="Q14" s="135"/>
      <c r="R14" s="152"/>
      <c r="T14" s="64"/>
    </row>
    <row r="15" spans="1:23" ht="15.75" thickBot="1" x14ac:dyDescent="0.3">
      <c r="A15" s="59" t="s">
        <v>1</v>
      </c>
      <c r="B15" s="135">
        <f>SUM(B10:C14)</f>
        <v>50672.930000000008</v>
      </c>
      <c r="C15" s="136"/>
      <c r="D15" s="60">
        <f>SUM(D10:D14)</f>
        <v>0</v>
      </c>
      <c r="E15" s="135">
        <f>SUM(E10:F14)</f>
        <v>50672.930000000008</v>
      </c>
      <c r="F15" s="115"/>
      <c r="G15" s="92">
        <f>SUM(G10:G14)</f>
        <v>160041.90000000002</v>
      </c>
      <c r="H15" s="60">
        <f>SUM(H10:H14)</f>
        <v>292.40999999999997</v>
      </c>
      <c r="I15" s="60">
        <f>SUM(I10:I14)</f>
        <v>0</v>
      </c>
      <c r="J15" s="134">
        <f>SUM(J10:K14)</f>
        <v>211007.24000000005</v>
      </c>
      <c r="K15" s="136"/>
      <c r="L15" s="135">
        <f>SUM(L10:M14)</f>
        <v>128662</v>
      </c>
      <c r="M15" s="153"/>
      <c r="N15" s="135">
        <f>SUM(N10:O14)</f>
        <v>82345.24000000002</v>
      </c>
      <c r="O15" s="136"/>
      <c r="P15" s="60">
        <f>SUM(P10:P14)</f>
        <v>62517.78</v>
      </c>
      <c r="Q15" s="135">
        <f>SUM(Q10:R13)</f>
        <v>19827.460000000014</v>
      </c>
      <c r="R15" s="136"/>
      <c r="S15" s="29"/>
    </row>
    <row r="16" spans="1:23" ht="6.75" customHeight="1" thickBot="1" x14ac:dyDescent="0.3">
      <c r="A16" s="65"/>
      <c r="B16" s="66"/>
      <c r="C16" s="67"/>
      <c r="D16" s="67"/>
      <c r="E16" s="67"/>
      <c r="F16" s="67"/>
      <c r="G16" s="67"/>
      <c r="H16" s="67"/>
      <c r="I16" s="67"/>
      <c r="J16" s="67"/>
      <c r="K16" s="67"/>
      <c r="L16" s="67"/>
      <c r="M16" s="67"/>
    </row>
    <row r="17" spans="1:23" ht="15.75" customHeight="1" thickBot="1" x14ac:dyDescent="0.3">
      <c r="A17" s="162" t="s">
        <v>11</v>
      </c>
      <c r="B17" s="163"/>
      <c r="C17" s="163"/>
      <c r="D17" s="170" t="s">
        <v>52</v>
      </c>
      <c r="E17" s="171"/>
      <c r="F17" s="171"/>
      <c r="G17" s="171"/>
      <c r="H17" s="171"/>
      <c r="I17" s="171"/>
      <c r="J17" s="171"/>
      <c r="K17" s="171"/>
      <c r="L17" s="171"/>
      <c r="M17" s="171"/>
      <c r="N17" s="171"/>
      <c r="O17" s="172"/>
      <c r="P17" s="68"/>
      <c r="Q17" s="68"/>
      <c r="R17" s="68"/>
      <c r="S17" s="68"/>
    </row>
    <row r="18" spans="1:23" ht="15.75" customHeight="1" thickBot="1" x14ac:dyDescent="0.3">
      <c r="A18" s="164"/>
      <c r="B18" s="165"/>
      <c r="C18" s="166"/>
      <c r="D18" s="173" t="s">
        <v>46</v>
      </c>
      <c r="E18" s="174"/>
      <c r="F18" s="173" t="s">
        <v>7</v>
      </c>
      <c r="G18" s="174"/>
      <c r="H18" s="177" t="s">
        <v>32</v>
      </c>
      <c r="I18" s="178"/>
      <c r="J18" s="178"/>
      <c r="K18" s="178"/>
      <c r="L18" s="173" t="s">
        <v>31</v>
      </c>
      <c r="M18" s="174"/>
      <c r="N18" s="173" t="s">
        <v>12</v>
      </c>
      <c r="O18" s="174"/>
    </row>
    <row r="19" spans="1:23" ht="15.75" customHeight="1" thickBot="1" x14ac:dyDescent="0.3">
      <c r="A19" s="164"/>
      <c r="B19" s="165"/>
      <c r="C19" s="166"/>
      <c r="D19" s="175"/>
      <c r="E19" s="176"/>
      <c r="F19" s="173"/>
      <c r="G19" s="174"/>
      <c r="H19" s="170" t="s">
        <v>33</v>
      </c>
      <c r="I19" s="171"/>
      <c r="J19" s="170" t="s">
        <v>34</v>
      </c>
      <c r="K19" s="171"/>
      <c r="L19" s="175"/>
      <c r="M19" s="176"/>
      <c r="N19" s="175"/>
      <c r="O19" s="176"/>
    </row>
    <row r="20" spans="1:23" s="71" customFormat="1" ht="15.75" thickBot="1" x14ac:dyDescent="0.3">
      <c r="A20" s="167"/>
      <c r="B20" s="168"/>
      <c r="C20" s="169"/>
      <c r="D20" s="98" t="s">
        <v>26</v>
      </c>
      <c r="E20" s="37" t="s">
        <v>25</v>
      </c>
      <c r="F20" s="69" t="s">
        <v>26</v>
      </c>
      <c r="G20" s="37" t="s">
        <v>25</v>
      </c>
      <c r="H20" s="99" t="s">
        <v>26</v>
      </c>
      <c r="I20" s="37" t="s">
        <v>25</v>
      </c>
      <c r="J20" s="100" t="s">
        <v>26</v>
      </c>
      <c r="K20" s="37" t="s">
        <v>25</v>
      </c>
      <c r="L20" s="37" t="s">
        <v>26</v>
      </c>
      <c r="M20" s="70" t="s">
        <v>25</v>
      </c>
      <c r="N20" s="69" t="s">
        <v>26</v>
      </c>
      <c r="O20" s="37" t="s">
        <v>25</v>
      </c>
      <c r="S20" s="72" t="s">
        <v>27</v>
      </c>
      <c r="T20" s="73" t="s">
        <v>28</v>
      </c>
      <c r="U20" s="37" t="s">
        <v>29</v>
      </c>
    </row>
    <row r="21" spans="1:23" x14ac:dyDescent="0.25">
      <c r="A21" s="179" t="s">
        <v>13</v>
      </c>
      <c r="B21" s="180"/>
      <c r="C21" s="181"/>
      <c r="D21" s="74">
        <f>E21/24</f>
        <v>4</v>
      </c>
      <c r="E21" s="10">
        <v>96</v>
      </c>
      <c r="F21" s="74">
        <f>G21/24</f>
        <v>42</v>
      </c>
      <c r="G21" s="10">
        <f>'[2]April 2021-22'!$B$32</f>
        <v>1008</v>
      </c>
      <c r="H21" s="23">
        <f>I21/24</f>
        <v>30</v>
      </c>
      <c r="I21" s="26">
        <f>720</f>
        <v>720</v>
      </c>
      <c r="J21" s="11">
        <f>K21/24</f>
        <v>0</v>
      </c>
      <c r="K21" s="10">
        <v>0</v>
      </c>
      <c r="L21" s="11">
        <f>M21/24</f>
        <v>2</v>
      </c>
      <c r="M21" s="10">
        <f>48</f>
        <v>48</v>
      </c>
      <c r="N21" s="23">
        <f>O21/24</f>
        <v>14</v>
      </c>
      <c r="O21" s="36">
        <f>E21+G21-I21-K21-M21</f>
        <v>336</v>
      </c>
      <c r="S21" s="5">
        <v>288</v>
      </c>
      <c r="T21" s="7">
        <f>2*24</f>
        <v>48</v>
      </c>
      <c r="U21" s="30">
        <f>S21+T21-O21</f>
        <v>0</v>
      </c>
      <c r="V21" s="75"/>
      <c r="W21" s="29"/>
    </row>
    <row r="22" spans="1:23" ht="15.75" thickBot="1" x14ac:dyDescent="0.3">
      <c r="A22" s="182" t="s">
        <v>14</v>
      </c>
      <c r="B22" s="183"/>
      <c r="C22" s="184"/>
      <c r="D22" s="76">
        <f>E22/24</f>
        <v>1</v>
      </c>
      <c r="E22" s="12">
        <v>24</v>
      </c>
      <c r="F22" s="76">
        <f>G22/24</f>
        <v>319</v>
      </c>
      <c r="G22" s="12">
        <f>'[2]April 2021-22'!$C$32</f>
        <v>7656</v>
      </c>
      <c r="H22" s="24">
        <f>I22/24</f>
        <v>110</v>
      </c>
      <c r="I22" s="33">
        <f>1440+1200</f>
        <v>2640</v>
      </c>
      <c r="J22" s="13">
        <f>K22/24</f>
        <v>90</v>
      </c>
      <c r="K22" s="12">
        <f>1200+960</f>
        <v>2160</v>
      </c>
      <c r="L22" s="13">
        <f>M22/24</f>
        <v>38</v>
      </c>
      <c r="M22" s="12">
        <f>120+24+48+48+24+120+120+48+120+240</f>
        <v>912</v>
      </c>
      <c r="N22" s="24">
        <f>O22/24</f>
        <v>82</v>
      </c>
      <c r="O22" s="36">
        <f>E22+G22-I22-K22-M22</f>
        <v>1968</v>
      </c>
      <c r="S22" s="6">
        <v>1656</v>
      </c>
      <c r="T22" s="9">
        <f>12*24</f>
        <v>288</v>
      </c>
      <c r="U22" s="34">
        <f>S22+T22-O22</f>
        <v>-24</v>
      </c>
      <c r="V22" s="75"/>
      <c r="W22" s="29"/>
    </row>
    <row r="23" spans="1:23" ht="15.75" thickBot="1" x14ac:dyDescent="0.3">
      <c r="A23" s="185" t="s">
        <v>36</v>
      </c>
      <c r="B23" s="186"/>
      <c r="C23" s="187"/>
      <c r="D23" s="77">
        <f>SUM(D21:D22)</f>
        <v>5</v>
      </c>
      <c r="E23" s="78">
        <f t="shared" ref="E23:H23" si="2">SUM(E21:E22)</f>
        <v>120</v>
      </c>
      <c r="F23" s="77">
        <f t="shared" si="2"/>
        <v>361</v>
      </c>
      <c r="G23" s="78">
        <f t="shared" si="2"/>
        <v>8664</v>
      </c>
      <c r="H23" s="79">
        <f t="shared" si="2"/>
        <v>140</v>
      </c>
      <c r="I23" s="80">
        <f>SUM(I21:I22)</f>
        <v>3360</v>
      </c>
      <c r="J23" s="77">
        <f t="shared" ref="J23:O23" si="3">SUM(J21:J22)</f>
        <v>90</v>
      </c>
      <c r="K23" s="78">
        <f t="shared" si="3"/>
        <v>2160</v>
      </c>
      <c r="L23" s="77">
        <f t="shared" si="3"/>
        <v>40</v>
      </c>
      <c r="M23" s="78">
        <f t="shared" si="3"/>
        <v>960</v>
      </c>
      <c r="N23" s="77">
        <f t="shared" si="3"/>
        <v>96</v>
      </c>
      <c r="O23" s="78">
        <f t="shared" si="3"/>
        <v>2304</v>
      </c>
      <c r="S23" s="45"/>
      <c r="T23" s="48"/>
      <c r="U23" s="30"/>
      <c r="V23" s="75"/>
      <c r="W23" s="29"/>
    </row>
    <row r="24" spans="1:23" ht="15.75" thickBot="1" x14ac:dyDescent="0.3">
      <c r="A24" s="179" t="s">
        <v>15</v>
      </c>
      <c r="B24" s="180"/>
      <c r="C24" s="181"/>
      <c r="D24" s="74">
        <f>E24/30</f>
        <v>38</v>
      </c>
      <c r="E24" s="10">
        <v>1140</v>
      </c>
      <c r="F24" s="74">
        <f>G24/30</f>
        <v>1196</v>
      </c>
      <c r="G24" s="12">
        <f>'[2]April 2021-22'!$D$32</f>
        <v>35880</v>
      </c>
      <c r="H24" s="23">
        <f>I24/30</f>
        <v>20</v>
      </c>
      <c r="I24" s="10">
        <f>600</f>
        <v>600</v>
      </c>
      <c r="J24" s="23">
        <f>K24/30</f>
        <v>55</v>
      </c>
      <c r="K24" s="10">
        <f>900+750</f>
        <v>1650</v>
      </c>
      <c r="L24" s="23">
        <f>M24/30</f>
        <v>1021</v>
      </c>
      <c r="M24" s="10">
        <f>60+150+7050+600+1200+120+9750+600+6450+1800+450+1800+600</f>
        <v>30630</v>
      </c>
      <c r="N24" s="23">
        <f>O24/30</f>
        <v>138</v>
      </c>
      <c r="O24" s="36">
        <f>E24+G24-I24-K24-M24</f>
        <v>4140</v>
      </c>
      <c r="S24" s="50">
        <v>3240</v>
      </c>
      <c r="T24" s="51">
        <f>25*30</f>
        <v>750</v>
      </c>
      <c r="U24" s="47">
        <f>S24+T24-O24</f>
        <v>-150</v>
      </c>
      <c r="V24" s="75"/>
      <c r="W24" s="29"/>
    </row>
    <row r="25" spans="1:23" ht="15.75" thickBot="1" x14ac:dyDescent="0.3">
      <c r="A25" s="188" t="s">
        <v>18</v>
      </c>
      <c r="B25" s="189"/>
      <c r="C25" s="190"/>
      <c r="D25" s="81">
        <f>E25/24</f>
        <v>0</v>
      </c>
      <c r="E25" s="36">
        <v>0</v>
      </c>
      <c r="F25" s="81">
        <f>G25/24</f>
        <v>23</v>
      </c>
      <c r="G25" s="12">
        <f>'[2]April 2021-22'!$E$32</f>
        <v>552</v>
      </c>
      <c r="H25" s="39">
        <f>I25/24</f>
        <v>10</v>
      </c>
      <c r="I25" s="27">
        <f>240</f>
        <v>240</v>
      </c>
      <c r="J25" s="40">
        <f t="shared" ref="J25" si="4">K25/24</f>
        <v>0</v>
      </c>
      <c r="K25" s="36">
        <v>0</v>
      </c>
      <c r="L25" s="40">
        <f t="shared" ref="L25" si="5">M25/24</f>
        <v>5</v>
      </c>
      <c r="M25" s="36">
        <f>120</f>
        <v>120</v>
      </c>
      <c r="N25" s="39">
        <f>O25/24</f>
        <v>8</v>
      </c>
      <c r="O25" s="36">
        <f t="shared" ref="O25:O27" si="6">E25+G25-I25-K25-M25</f>
        <v>192</v>
      </c>
      <c r="S25" s="4">
        <v>192</v>
      </c>
      <c r="T25" s="22">
        <v>0</v>
      </c>
      <c r="U25" s="47">
        <f t="shared" ref="U25:U27" si="7">S25+T25-O25</f>
        <v>0</v>
      </c>
      <c r="V25" s="75"/>
      <c r="W25" s="29"/>
    </row>
    <row r="26" spans="1:23" ht="15.75" thickBot="1" x14ac:dyDescent="0.3">
      <c r="A26" s="159" t="s">
        <v>47</v>
      </c>
      <c r="B26" s="160"/>
      <c r="C26" s="161"/>
      <c r="D26" s="82">
        <f>E26/22</f>
        <v>51</v>
      </c>
      <c r="E26" s="3">
        <v>1122</v>
      </c>
      <c r="F26" s="82">
        <f>G26/22</f>
        <v>85</v>
      </c>
      <c r="G26" s="3">
        <f>'[2]April 2021-22'!$F$32</f>
        <v>1870</v>
      </c>
      <c r="H26" s="25">
        <v>0</v>
      </c>
      <c r="I26" s="28">
        <v>0</v>
      </c>
      <c r="J26" s="1">
        <f>K26/22</f>
        <v>60</v>
      </c>
      <c r="K26" s="3">
        <f>660+660</f>
        <v>1320</v>
      </c>
      <c r="L26" s="1">
        <f>M26/22</f>
        <v>51</v>
      </c>
      <c r="M26" s="3">
        <f>22+440+220+330+110</f>
        <v>1122</v>
      </c>
      <c r="N26" s="25">
        <f>O26/22</f>
        <v>25</v>
      </c>
      <c r="O26" s="36">
        <f t="shared" si="6"/>
        <v>550</v>
      </c>
      <c r="R26" s="29"/>
      <c r="S26" s="4">
        <v>440</v>
      </c>
      <c r="T26" s="22">
        <f>5*22</f>
        <v>110</v>
      </c>
      <c r="U26" s="47">
        <f t="shared" si="7"/>
        <v>0</v>
      </c>
      <c r="V26" s="29"/>
      <c r="W26" s="29"/>
    </row>
    <row r="27" spans="1:23" ht="15.75" thickBot="1" x14ac:dyDescent="0.3">
      <c r="A27" s="194" t="s">
        <v>48</v>
      </c>
      <c r="B27" s="195"/>
      <c r="C27" s="196"/>
      <c r="D27" s="83">
        <f>E27/22</f>
        <v>23</v>
      </c>
      <c r="E27" s="41">
        <v>506</v>
      </c>
      <c r="F27" s="83">
        <f>G27/22</f>
        <v>0</v>
      </c>
      <c r="G27" s="41">
        <f>'[2]April 2021-22'!$G$32</f>
        <v>0</v>
      </c>
      <c r="H27" s="42">
        <f>I27/22</f>
        <v>0</v>
      </c>
      <c r="I27" s="43">
        <v>0</v>
      </c>
      <c r="J27" s="44">
        <f>K27/22</f>
        <v>15</v>
      </c>
      <c r="K27" s="41">
        <f>330</f>
        <v>330</v>
      </c>
      <c r="L27" s="44">
        <f>M27/22</f>
        <v>5</v>
      </c>
      <c r="M27" s="41">
        <f>110</f>
        <v>110</v>
      </c>
      <c r="N27" s="42">
        <f>O27/22</f>
        <v>3</v>
      </c>
      <c r="O27" s="38">
        <f t="shared" si="6"/>
        <v>66</v>
      </c>
      <c r="S27" s="52">
        <v>0</v>
      </c>
      <c r="T27" s="53">
        <f>2*22</f>
        <v>44</v>
      </c>
      <c r="U27" s="47">
        <f t="shared" si="7"/>
        <v>-22</v>
      </c>
      <c r="V27" s="75"/>
      <c r="W27" s="29"/>
    </row>
    <row r="28" spans="1:23" ht="15.75" thickBot="1" x14ac:dyDescent="0.3">
      <c r="A28" s="185" t="s">
        <v>37</v>
      </c>
      <c r="B28" s="186"/>
      <c r="C28" s="187"/>
      <c r="D28" s="79">
        <f t="shared" ref="D28:O28" si="8">SUM(D24:D27)</f>
        <v>112</v>
      </c>
      <c r="E28" s="21">
        <f t="shared" si="8"/>
        <v>2768</v>
      </c>
      <c r="F28" s="79">
        <f t="shared" si="8"/>
        <v>1304</v>
      </c>
      <c r="G28" s="21">
        <f t="shared" si="8"/>
        <v>38302</v>
      </c>
      <c r="H28" s="79">
        <f t="shared" si="8"/>
        <v>30</v>
      </c>
      <c r="I28" s="21">
        <f t="shared" si="8"/>
        <v>840</v>
      </c>
      <c r="J28" s="79">
        <f t="shared" si="8"/>
        <v>130</v>
      </c>
      <c r="K28" s="21">
        <f t="shared" si="8"/>
        <v>3300</v>
      </c>
      <c r="L28" s="79">
        <f t="shared" si="8"/>
        <v>1082</v>
      </c>
      <c r="M28" s="21">
        <f t="shared" si="8"/>
        <v>31982</v>
      </c>
      <c r="N28" s="79">
        <f t="shared" si="8"/>
        <v>174</v>
      </c>
      <c r="O28" s="21">
        <f t="shared" si="8"/>
        <v>4948</v>
      </c>
      <c r="S28" s="46"/>
      <c r="T28" s="49"/>
      <c r="U28" s="30"/>
      <c r="V28" s="75"/>
      <c r="W28" s="29"/>
    </row>
    <row r="29" spans="1:23" x14ac:dyDescent="0.25">
      <c r="A29" s="179" t="s">
        <v>16</v>
      </c>
      <c r="B29" s="180"/>
      <c r="C29" s="181"/>
      <c r="D29" s="74">
        <f>E29/24</f>
        <v>0</v>
      </c>
      <c r="E29" s="10">
        <v>0</v>
      </c>
      <c r="F29" s="74">
        <f>G29/24</f>
        <v>435</v>
      </c>
      <c r="G29" s="10">
        <f>'[2]April 2021-22'!$H$32</f>
        <v>10440</v>
      </c>
      <c r="H29" s="23">
        <f>I29/24</f>
        <v>70</v>
      </c>
      <c r="I29" s="26">
        <f>480+1200</f>
        <v>1680</v>
      </c>
      <c r="J29" s="11">
        <f t="shared" ref="J29:J31" si="9">K29/24</f>
        <v>15</v>
      </c>
      <c r="K29" s="10">
        <f>360</f>
        <v>360</v>
      </c>
      <c r="L29" s="11">
        <f t="shared" ref="L29:L31" si="10">M29/24</f>
        <v>350</v>
      </c>
      <c r="M29" s="10">
        <f>600+840+600+600+600+1200+480+240+240+600+1200+720+480</f>
        <v>8400</v>
      </c>
      <c r="N29" s="23">
        <f>O29/24</f>
        <v>0</v>
      </c>
      <c r="O29" s="36">
        <f>E29+G29-I29-K29-M29</f>
        <v>0</v>
      </c>
      <c r="S29" s="5">
        <v>0</v>
      </c>
      <c r="T29" s="16">
        <v>0</v>
      </c>
      <c r="U29" s="30">
        <f t="shared" ref="U29:U30" si="11">S29+T29-O29</f>
        <v>0</v>
      </c>
      <c r="V29" s="75"/>
      <c r="W29" s="29"/>
    </row>
    <row r="30" spans="1:23" x14ac:dyDescent="0.25">
      <c r="A30" s="159" t="s">
        <v>43</v>
      </c>
      <c r="B30" s="160"/>
      <c r="C30" s="161"/>
      <c r="D30" s="82">
        <f>E30/24</f>
        <v>49</v>
      </c>
      <c r="E30" s="3">
        <v>1176</v>
      </c>
      <c r="F30" s="82">
        <f>G30/24</f>
        <v>222</v>
      </c>
      <c r="G30" s="3">
        <f>'[2]April 2021-22'!$I$32</f>
        <v>5328</v>
      </c>
      <c r="H30" s="25">
        <f>I30/24</f>
        <v>60</v>
      </c>
      <c r="I30" s="28">
        <f>720+720</f>
        <v>1440</v>
      </c>
      <c r="J30" s="1">
        <f t="shared" si="9"/>
        <v>10</v>
      </c>
      <c r="K30" s="3">
        <f>240</f>
        <v>240</v>
      </c>
      <c r="L30" s="1">
        <f>M30/24</f>
        <v>201</v>
      </c>
      <c r="M30" s="3">
        <f>480+240+480+240+600+144+120+480+120+240+1200+240+240</f>
        <v>4824</v>
      </c>
      <c r="N30" s="25">
        <f>O30/24</f>
        <v>0</v>
      </c>
      <c r="O30" s="36">
        <f t="shared" ref="O30:O31" si="12">E30+G30-I30-K30-M30</f>
        <v>0</v>
      </c>
      <c r="S30" s="4">
        <v>0</v>
      </c>
      <c r="T30" s="8">
        <v>0</v>
      </c>
      <c r="U30" s="35">
        <f t="shared" si="11"/>
        <v>0</v>
      </c>
      <c r="V30" s="75"/>
      <c r="W30" s="29"/>
    </row>
    <row r="31" spans="1:23" ht="15.75" thickBot="1" x14ac:dyDescent="0.3">
      <c r="A31" s="159" t="s">
        <v>17</v>
      </c>
      <c r="B31" s="160"/>
      <c r="C31" s="161"/>
      <c r="D31" s="82">
        <f>E31/24</f>
        <v>18</v>
      </c>
      <c r="E31" s="3">
        <v>432</v>
      </c>
      <c r="F31" s="82">
        <f>G31/24</f>
        <v>2432</v>
      </c>
      <c r="G31" s="3">
        <f>'[2]April 2021-22'!$J$32</f>
        <v>58368</v>
      </c>
      <c r="H31" s="25">
        <f>I31/24</f>
        <v>350</v>
      </c>
      <c r="I31" s="28">
        <f>4800+3600</f>
        <v>8400</v>
      </c>
      <c r="J31" s="1">
        <f t="shared" si="9"/>
        <v>230</v>
      </c>
      <c r="K31" s="3">
        <f>4320+1200</f>
        <v>5520</v>
      </c>
      <c r="L31" s="1">
        <f t="shared" si="10"/>
        <v>1747</v>
      </c>
      <c r="M31" s="3">
        <f>1800+120+360+480+2400+264+360+3600+840+1920+1440+72+2400+120+120+72+720+480+2400+120+1200+4200+2640+1200+1800+5400+120+120+240+360+240+2640+1200+480</f>
        <v>41928</v>
      </c>
      <c r="N31" s="25">
        <f>O31/24</f>
        <v>123</v>
      </c>
      <c r="O31" s="36">
        <f t="shared" si="12"/>
        <v>2952</v>
      </c>
      <c r="S31" s="4">
        <v>2760</v>
      </c>
      <c r="T31" s="8">
        <f>8*24</f>
        <v>192</v>
      </c>
      <c r="U31" s="35">
        <f>S31+T31-O31</f>
        <v>0</v>
      </c>
      <c r="V31" s="75"/>
      <c r="W31" s="29"/>
    </row>
    <row r="32" spans="1:23" ht="15.75" thickBot="1" x14ac:dyDescent="0.3">
      <c r="A32" s="185" t="s">
        <v>38</v>
      </c>
      <c r="B32" s="186"/>
      <c r="C32" s="187"/>
      <c r="D32" s="84">
        <f t="shared" ref="D32:O32" si="13">SUM(D29:D31)</f>
        <v>67</v>
      </c>
      <c r="E32" s="78">
        <f t="shared" si="13"/>
        <v>1608</v>
      </c>
      <c r="F32" s="84">
        <f t="shared" si="13"/>
        <v>3089</v>
      </c>
      <c r="G32" s="78">
        <f t="shared" si="13"/>
        <v>74136</v>
      </c>
      <c r="H32" s="79">
        <f t="shared" si="13"/>
        <v>480</v>
      </c>
      <c r="I32" s="80">
        <f t="shared" si="13"/>
        <v>11520</v>
      </c>
      <c r="J32" s="84">
        <f t="shared" si="13"/>
        <v>255</v>
      </c>
      <c r="K32" s="78">
        <f t="shared" si="13"/>
        <v>6120</v>
      </c>
      <c r="L32" s="84">
        <f t="shared" si="13"/>
        <v>2298</v>
      </c>
      <c r="M32" s="78">
        <f t="shared" si="13"/>
        <v>55152</v>
      </c>
      <c r="N32" s="84">
        <f t="shared" si="13"/>
        <v>123</v>
      </c>
      <c r="O32" s="78">
        <f t="shared" si="13"/>
        <v>2952</v>
      </c>
      <c r="S32" s="17"/>
      <c r="T32" s="18"/>
      <c r="U32" s="30"/>
      <c r="V32" s="75"/>
      <c r="W32" s="29"/>
    </row>
    <row r="33" spans="1:23" x14ac:dyDescent="0.25">
      <c r="A33" s="179" t="s">
        <v>19</v>
      </c>
      <c r="B33" s="180"/>
      <c r="C33" s="181"/>
      <c r="D33" s="85">
        <f>E33/12</f>
        <v>35</v>
      </c>
      <c r="E33" s="14">
        <v>420</v>
      </c>
      <c r="F33" s="85">
        <f>G33/12</f>
        <v>555</v>
      </c>
      <c r="G33" s="14">
        <f>'[2]April 2021-22'!$K$32</f>
        <v>6660</v>
      </c>
      <c r="H33" s="23">
        <f>I33/12</f>
        <v>20</v>
      </c>
      <c r="I33" s="26">
        <f>240</f>
        <v>240</v>
      </c>
      <c r="J33" s="15">
        <f t="shared" ref="J33:J34" si="14">K33/12</f>
        <v>30</v>
      </c>
      <c r="K33" s="10">
        <f>360</f>
        <v>360</v>
      </c>
      <c r="L33" s="15">
        <f t="shared" ref="L33:L34" si="15">M33/12</f>
        <v>506</v>
      </c>
      <c r="M33" s="10">
        <f>120+48+48+1560+24+24+24+120+120+60+60+120+1500+60+24+2100+60</f>
        <v>6072</v>
      </c>
      <c r="N33" s="23">
        <f>O33/12</f>
        <v>34</v>
      </c>
      <c r="O33" s="36">
        <f>E33+G33-I33-K33-M33</f>
        <v>408</v>
      </c>
      <c r="S33" s="5">
        <v>336</v>
      </c>
      <c r="T33" s="16">
        <f>3*12</f>
        <v>36</v>
      </c>
      <c r="U33" s="30">
        <f>S33+T33-O33</f>
        <v>-36</v>
      </c>
      <c r="V33" s="86"/>
      <c r="W33" s="29"/>
    </row>
    <row r="34" spans="1:23" ht="15.75" thickBot="1" x14ac:dyDescent="0.3">
      <c r="A34" s="182" t="s">
        <v>20</v>
      </c>
      <c r="B34" s="183"/>
      <c r="C34" s="184"/>
      <c r="D34" s="76">
        <f>E34/12</f>
        <v>0</v>
      </c>
      <c r="E34" s="12">
        <v>0</v>
      </c>
      <c r="F34" s="76">
        <f>G34/12</f>
        <v>75</v>
      </c>
      <c r="G34" s="12">
        <f>'[2]April 2021-22'!$L$32</f>
        <v>900</v>
      </c>
      <c r="H34" s="24">
        <f>I34/12</f>
        <v>0</v>
      </c>
      <c r="I34" s="33">
        <v>0</v>
      </c>
      <c r="J34" s="13">
        <f t="shared" si="14"/>
        <v>0</v>
      </c>
      <c r="K34" s="12">
        <v>0</v>
      </c>
      <c r="L34" s="13">
        <f t="shared" si="15"/>
        <v>75</v>
      </c>
      <c r="M34" s="12">
        <f>900</f>
        <v>900</v>
      </c>
      <c r="N34" s="24">
        <f>O34/12</f>
        <v>0</v>
      </c>
      <c r="O34" s="36">
        <f>E34+G34-I34-K34-M34</f>
        <v>0</v>
      </c>
      <c r="S34" s="4">
        <v>0</v>
      </c>
      <c r="T34" s="22">
        <v>0</v>
      </c>
      <c r="U34" s="35">
        <f>S34+T34-O34</f>
        <v>0</v>
      </c>
      <c r="V34" s="75"/>
      <c r="W34" s="29"/>
    </row>
    <row r="35" spans="1:23" ht="15.75" thickBot="1" x14ac:dyDescent="0.3">
      <c r="A35" s="185" t="s">
        <v>39</v>
      </c>
      <c r="B35" s="186"/>
      <c r="C35" s="187"/>
      <c r="D35" s="84">
        <f>SUM(D33:D34)</f>
        <v>35</v>
      </c>
      <c r="E35" s="78">
        <f t="shared" ref="E35:H35" si="16">SUM(E33:E34)</f>
        <v>420</v>
      </c>
      <c r="F35" s="84">
        <f t="shared" si="16"/>
        <v>630</v>
      </c>
      <c r="G35" s="78">
        <f t="shared" si="16"/>
        <v>7560</v>
      </c>
      <c r="H35" s="79">
        <f t="shared" si="16"/>
        <v>20</v>
      </c>
      <c r="I35" s="80">
        <f>SUM(I33:I34)</f>
        <v>240</v>
      </c>
      <c r="J35" s="84">
        <f t="shared" ref="J35:O35" si="17">SUM(J33:J34)</f>
        <v>30</v>
      </c>
      <c r="K35" s="78">
        <f t="shared" si="17"/>
        <v>360</v>
      </c>
      <c r="L35" s="84">
        <f t="shared" si="17"/>
        <v>581</v>
      </c>
      <c r="M35" s="78">
        <f t="shared" si="17"/>
        <v>6972</v>
      </c>
      <c r="N35" s="84">
        <f t="shared" si="17"/>
        <v>34</v>
      </c>
      <c r="O35" s="78">
        <f t="shared" si="17"/>
        <v>408</v>
      </c>
      <c r="S35" s="19"/>
      <c r="T35" s="20"/>
      <c r="U35" s="34"/>
      <c r="W35" s="29"/>
    </row>
    <row r="36" spans="1:23" ht="15.75" thickBot="1" x14ac:dyDescent="0.3">
      <c r="A36" s="191" t="s">
        <v>21</v>
      </c>
      <c r="B36" s="192"/>
      <c r="C36" s="193"/>
      <c r="D36" s="87">
        <f t="shared" ref="D36:O36" si="18">D21+D22+D24+D25+D26+D27+D29+D30+D31+D33+D34</f>
        <v>219</v>
      </c>
      <c r="E36" s="87">
        <f t="shared" si="18"/>
        <v>4916</v>
      </c>
      <c r="F36" s="87">
        <f t="shared" si="18"/>
        <v>5384</v>
      </c>
      <c r="G36" s="87">
        <f t="shared" si="18"/>
        <v>128662</v>
      </c>
      <c r="H36" s="87">
        <f t="shared" si="18"/>
        <v>670</v>
      </c>
      <c r="I36" s="87">
        <f>I21+I22+I24+I25+I26+I27+I29+I30+I31+I33+I34</f>
        <v>15960</v>
      </c>
      <c r="J36" s="87">
        <f t="shared" si="18"/>
        <v>505</v>
      </c>
      <c r="K36" s="87">
        <f t="shared" si="18"/>
        <v>11940</v>
      </c>
      <c r="L36" s="87">
        <f t="shared" si="18"/>
        <v>4001</v>
      </c>
      <c r="M36" s="87">
        <f t="shared" si="18"/>
        <v>95066</v>
      </c>
      <c r="N36" s="87">
        <f t="shared" si="18"/>
        <v>427</v>
      </c>
      <c r="O36" s="87">
        <f t="shared" si="18"/>
        <v>10612</v>
      </c>
      <c r="S36" s="88">
        <f>SUM(S21:S34)</f>
        <v>8912</v>
      </c>
      <c r="T36" s="89">
        <f>SUM(T21:T34)</f>
        <v>1468</v>
      </c>
      <c r="U36" s="31">
        <f>S36+T36-O36</f>
        <v>-232</v>
      </c>
      <c r="W36" s="29"/>
    </row>
    <row r="37" spans="1:23" ht="9" customHeight="1" x14ac:dyDescent="0.25">
      <c r="U37" s="32"/>
    </row>
    <row r="38" spans="1:23" x14ac:dyDescent="0.25">
      <c r="V38" s="29"/>
    </row>
    <row r="40" spans="1:23" x14ac:dyDescent="0.25">
      <c r="P40" s="75"/>
    </row>
    <row r="41" spans="1:23" x14ac:dyDescent="0.25">
      <c r="G41" s="29"/>
    </row>
    <row r="42" spans="1:23" ht="18.75" x14ac:dyDescent="0.3">
      <c r="P42" s="90"/>
    </row>
  </sheetData>
  <mergeCells count="91">
    <mergeCell ref="A33:C33"/>
    <mergeCell ref="A34:C34"/>
    <mergeCell ref="A35:C35"/>
    <mergeCell ref="A36:C36"/>
    <mergeCell ref="A27:C27"/>
    <mergeCell ref="A28:C28"/>
    <mergeCell ref="A29:C29"/>
    <mergeCell ref="A30:C30"/>
    <mergeCell ref="A31:C31"/>
    <mergeCell ref="A32:C32"/>
    <mergeCell ref="A21:C21"/>
    <mergeCell ref="A22:C22"/>
    <mergeCell ref="A23:C23"/>
    <mergeCell ref="A24:C24"/>
    <mergeCell ref="A25:C25"/>
    <mergeCell ref="A26:C26"/>
    <mergeCell ref="Q15:R15"/>
    <mergeCell ref="A17:C20"/>
    <mergeCell ref="D17:O17"/>
    <mergeCell ref="D18:E19"/>
    <mergeCell ref="F18:G19"/>
    <mergeCell ref="H18:K18"/>
    <mergeCell ref="L18:M19"/>
    <mergeCell ref="N18:O19"/>
    <mergeCell ref="H19:I19"/>
    <mergeCell ref="J19:K19"/>
    <mergeCell ref="B15:C15"/>
    <mergeCell ref="E15:F15"/>
    <mergeCell ref="J15:K15"/>
    <mergeCell ref="L15:M15"/>
    <mergeCell ref="N15:O15"/>
    <mergeCell ref="B14:C14"/>
    <mergeCell ref="E14:F14"/>
    <mergeCell ref="J14:K14"/>
    <mergeCell ref="L14:M14"/>
    <mergeCell ref="Q14:R14"/>
    <mergeCell ref="Q13:R13"/>
    <mergeCell ref="B12:C12"/>
    <mergeCell ref="E12:F12"/>
    <mergeCell ref="J12:K12"/>
    <mergeCell ref="L12:M12"/>
    <mergeCell ref="N12:O12"/>
    <mergeCell ref="Q12:R12"/>
    <mergeCell ref="B13:C13"/>
    <mergeCell ref="E13:F13"/>
    <mergeCell ref="J13:K13"/>
    <mergeCell ref="L13:M13"/>
    <mergeCell ref="N13:O13"/>
    <mergeCell ref="P8:P9"/>
    <mergeCell ref="Q8:R9"/>
    <mergeCell ref="Q11:R11"/>
    <mergeCell ref="B10:C10"/>
    <mergeCell ref="E10:F10"/>
    <mergeCell ref="J10:K10"/>
    <mergeCell ref="L10:M10"/>
    <mergeCell ref="N10:O10"/>
    <mergeCell ref="Q10:R10"/>
    <mergeCell ref="B11:C11"/>
    <mergeCell ref="E11:F11"/>
    <mergeCell ref="J11:K11"/>
    <mergeCell ref="L11:M11"/>
    <mergeCell ref="N11:O11"/>
    <mergeCell ref="B9:C9"/>
    <mergeCell ref="J9:K9"/>
    <mergeCell ref="L9:M9"/>
    <mergeCell ref="N9:O9"/>
    <mergeCell ref="A8:A9"/>
    <mergeCell ref="B8:C8"/>
    <mergeCell ref="D8:D9"/>
    <mergeCell ref="E8:F9"/>
    <mergeCell ref="G8:G9"/>
    <mergeCell ref="H8:H9"/>
    <mergeCell ref="J8:K8"/>
    <mergeCell ref="L8:M8"/>
    <mergeCell ref="N8:O8"/>
    <mergeCell ref="A7:R7"/>
    <mergeCell ref="A1:R1"/>
    <mergeCell ref="A2:R2"/>
    <mergeCell ref="A3:L3"/>
    <mergeCell ref="A4:B5"/>
    <mergeCell ref="C4:D4"/>
    <mergeCell ref="F4:F5"/>
    <mergeCell ref="H4:J4"/>
    <mergeCell ref="K4:L4"/>
    <mergeCell ref="C5:D5"/>
    <mergeCell ref="H5:J5"/>
    <mergeCell ref="K5:L5"/>
    <mergeCell ref="A6:B6"/>
    <mergeCell ref="C6:D6"/>
    <mergeCell ref="H6:J6"/>
    <mergeCell ref="K6:L6"/>
  </mergeCells>
  <pageMargins left="0.16" right="0.16" top="0.25" bottom="0.23" header="0.23" footer="0.2"/>
  <pageSetup orientation="landscape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W42"/>
  <sheetViews>
    <sheetView tabSelected="1" topLeftCell="A4" zoomScaleNormal="100" workbookViewId="0">
      <selection activeCell="G22" sqref="G22"/>
    </sheetView>
  </sheetViews>
  <sheetFormatPr defaultRowHeight="15" x14ac:dyDescent="0.25"/>
  <cols>
    <col min="1" max="1" width="16.7109375" style="2" customWidth="1"/>
    <col min="2" max="2" width="6" style="2" customWidth="1"/>
    <col min="3" max="3" width="2.5703125" style="2" customWidth="1"/>
    <col min="4" max="4" width="8" style="2" customWidth="1"/>
    <col min="5" max="5" width="8.28515625" style="2" bestFit="1" customWidth="1"/>
    <col min="6" max="6" width="6.140625" style="2" customWidth="1"/>
    <col min="7" max="7" width="8" style="2" customWidth="1"/>
    <col min="8" max="8" width="6.7109375" style="2" customWidth="1"/>
    <col min="9" max="9" width="7.140625" style="2" bestFit="1" customWidth="1"/>
    <col min="10" max="10" width="6.7109375" style="2" customWidth="1"/>
    <col min="11" max="11" width="6" style="2" customWidth="1"/>
    <col min="12" max="12" width="5.28515625" style="2" customWidth="1"/>
    <col min="13" max="13" width="7" style="2" customWidth="1"/>
    <col min="14" max="14" width="6.42578125" style="2" customWidth="1"/>
    <col min="15" max="15" width="7.28515625" style="2" customWidth="1"/>
    <col min="16" max="17" width="7.85546875" style="2" customWidth="1"/>
    <col min="18" max="18" width="6" style="2" customWidth="1"/>
    <col min="19" max="19" width="7.42578125" style="2" bestFit="1" customWidth="1"/>
    <col min="20" max="22" width="12.5703125" style="2" bestFit="1" customWidth="1"/>
    <col min="23" max="23" width="9.140625" style="2"/>
    <col min="24" max="24" width="12.5703125" style="2" bestFit="1" customWidth="1"/>
    <col min="25" max="16384" width="9.140625" style="2"/>
  </cols>
  <sheetData>
    <row r="1" spans="1:23" ht="18.75" x14ac:dyDescent="0.3">
      <c r="A1" s="111" t="s">
        <v>54</v>
      </c>
      <c r="B1" s="111"/>
      <c r="C1" s="111"/>
      <c r="D1" s="111"/>
      <c r="E1" s="111"/>
      <c r="F1" s="111"/>
      <c r="G1" s="111"/>
      <c r="H1" s="111"/>
      <c r="I1" s="111"/>
      <c r="J1" s="111"/>
      <c r="K1" s="111"/>
      <c r="L1" s="111"/>
      <c r="M1" s="111"/>
      <c r="N1" s="111"/>
      <c r="O1" s="111"/>
      <c r="P1" s="111"/>
      <c r="Q1" s="111"/>
      <c r="R1" s="111"/>
    </row>
    <row r="2" spans="1:23" ht="15.75" thickBot="1" x14ac:dyDescent="0.3">
      <c r="A2" s="112"/>
      <c r="B2" s="112"/>
      <c r="C2" s="112"/>
      <c r="D2" s="112"/>
      <c r="E2" s="112"/>
      <c r="F2" s="112"/>
      <c r="G2" s="112"/>
      <c r="H2" s="112"/>
      <c r="I2" s="112"/>
      <c r="J2" s="112"/>
      <c r="K2" s="112"/>
      <c r="L2" s="112"/>
      <c r="M2" s="112"/>
      <c r="N2" s="112"/>
      <c r="O2" s="112"/>
      <c r="P2" s="112"/>
      <c r="Q2" s="112"/>
      <c r="R2" s="112"/>
    </row>
    <row r="3" spans="1:23" ht="15.75" thickBot="1" x14ac:dyDescent="0.3">
      <c r="A3" s="113" t="s">
        <v>55</v>
      </c>
      <c r="B3" s="114"/>
      <c r="C3" s="114"/>
      <c r="D3" s="114"/>
      <c r="E3" s="114"/>
      <c r="F3" s="114"/>
      <c r="G3" s="114"/>
      <c r="H3" s="114"/>
      <c r="I3" s="114"/>
      <c r="J3" s="114"/>
      <c r="K3" s="114"/>
      <c r="L3" s="115"/>
      <c r="M3" s="55"/>
    </row>
    <row r="4" spans="1:23" x14ac:dyDescent="0.25">
      <c r="A4" s="116"/>
      <c r="B4" s="117"/>
      <c r="C4" s="120" t="s">
        <v>46</v>
      </c>
      <c r="D4" s="121"/>
      <c r="E4" s="56" t="s">
        <v>0</v>
      </c>
      <c r="F4" s="122" t="s">
        <v>24</v>
      </c>
      <c r="G4" s="101" t="s">
        <v>1</v>
      </c>
      <c r="H4" s="116" t="s">
        <v>2</v>
      </c>
      <c r="I4" s="124"/>
      <c r="J4" s="117"/>
      <c r="K4" s="120" t="s">
        <v>3</v>
      </c>
      <c r="L4" s="121"/>
      <c r="M4" s="55"/>
    </row>
    <row r="5" spans="1:23" ht="15.75" thickBot="1" x14ac:dyDescent="0.3">
      <c r="A5" s="118"/>
      <c r="B5" s="119"/>
      <c r="C5" s="125" t="s">
        <v>4</v>
      </c>
      <c r="D5" s="126"/>
      <c r="E5" s="57" t="s">
        <v>5</v>
      </c>
      <c r="F5" s="123"/>
      <c r="G5" s="103"/>
      <c r="H5" s="127" t="s">
        <v>5</v>
      </c>
      <c r="I5" s="128"/>
      <c r="J5" s="129"/>
      <c r="K5" s="125" t="s">
        <v>5</v>
      </c>
      <c r="L5" s="126"/>
      <c r="M5" s="55"/>
      <c r="T5" s="29"/>
      <c r="U5" s="29"/>
    </row>
    <row r="6" spans="1:23" ht="15.75" thickBot="1" x14ac:dyDescent="0.3">
      <c r="A6" s="130"/>
      <c r="B6" s="131"/>
      <c r="C6" s="132">
        <v>506029</v>
      </c>
      <c r="D6" s="133"/>
      <c r="E6" s="54"/>
      <c r="F6" s="107"/>
      <c r="G6" s="104">
        <f>C6+E6+F6</f>
        <v>506029</v>
      </c>
      <c r="H6" s="132">
        <f>G15</f>
        <v>51224.7</v>
      </c>
      <c r="I6" s="134"/>
      <c r="J6" s="133"/>
      <c r="K6" s="135">
        <f>G6-H6</f>
        <v>454804.3</v>
      </c>
      <c r="L6" s="136"/>
      <c r="M6" s="55"/>
      <c r="O6" s="29"/>
      <c r="Q6" s="29"/>
    </row>
    <row r="7" spans="1:23" ht="13.5" customHeight="1" thickBot="1" x14ac:dyDescent="0.3">
      <c r="A7" s="110" t="s">
        <v>56</v>
      </c>
      <c r="B7" s="110"/>
      <c r="C7" s="110"/>
      <c r="D7" s="110"/>
      <c r="E7" s="110"/>
      <c r="F7" s="110"/>
      <c r="G7" s="110"/>
      <c r="H7" s="110"/>
      <c r="I7" s="110"/>
      <c r="J7" s="110"/>
      <c r="K7" s="110"/>
      <c r="L7" s="110"/>
      <c r="M7" s="110"/>
      <c r="N7" s="110"/>
      <c r="O7" s="110"/>
      <c r="P7" s="110"/>
      <c r="Q7" s="110"/>
      <c r="R7" s="110"/>
      <c r="U7" s="29"/>
    </row>
    <row r="8" spans="1:23" ht="22.5" customHeight="1" x14ac:dyDescent="0.25">
      <c r="A8" s="139" t="s">
        <v>6</v>
      </c>
      <c r="B8" s="141" t="s">
        <v>46</v>
      </c>
      <c r="C8" s="142"/>
      <c r="D8" s="143" t="s">
        <v>41</v>
      </c>
      <c r="E8" s="145" t="s">
        <v>40</v>
      </c>
      <c r="F8" s="146"/>
      <c r="G8" s="143" t="s">
        <v>22</v>
      </c>
      <c r="H8" s="143" t="s">
        <v>23</v>
      </c>
      <c r="I8" s="106" t="s">
        <v>44</v>
      </c>
      <c r="J8" s="142" t="s">
        <v>1</v>
      </c>
      <c r="K8" s="149"/>
      <c r="L8" s="141" t="s">
        <v>7</v>
      </c>
      <c r="M8" s="142"/>
      <c r="N8" s="150" t="s">
        <v>3</v>
      </c>
      <c r="O8" s="151"/>
      <c r="P8" s="143" t="s">
        <v>42</v>
      </c>
      <c r="Q8" s="145" t="s">
        <v>35</v>
      </c>
      <c r="R8" s="146"/>
    </row>
    <row r="9" spans="1:23" ht="19.5" customHeight="1" thickBot="1" x14ac:dyDescent="0.3">
      <c r="A9" s="140"/>
      <c r="B9" s="127" t="s">
        <v>5</v>
      </c>
      <c r="C9" s="128"/>
      <c r="D9" s="144"/>
      <c r="E9" s="147"/>
      <c r="F9" s="148"/>
      <c r="G9" s="144"/>
      <c r="H9" s="144"/>
      <c r="I9" s="102" t="s">
        <v>45</v>
      </c>
      <c r="J9" s="128" t="s">
        <v>5</v>
      </c>
      <c r="K9" s="129"/>
      <c r="L9" s="127" t="s">
        <v>5</v>
      </c>
      <c r="M9" s="128"/>
      <c r="N9" s="137" t="s">
        <v>5</v>
      </c>
      <c r="O9" s="138"/>
      <c r="P9" s="144"/>
      <c r="Q9" s="147"/>
      <c r="R9" s="148"/>
    </row>
    <row r="10" spans="1:23" ht="15.75" customHeight="1" thickBot="1" x14ac:dyDescent="0.3">
      <c r="A10" s="58" t="s">
        <v>8</v>
      </c>
      <c r="B10" s="135">
        <v>37393.71</v>
      </c>
      <c r="C10" s="134"/>
      <c r="D10" s="60">
        <v>28956.16</v>
      </c>
      <c r="E10" s="135">
        <f>B10-D10</f>
        <v>8437.5499999999993</v>
      </c>
      <c r="F10" s="136"/>
      <c r="G10" s="105">
        <v>35224</v>
      </c>
      <c r="H10" s="60">
        <v>144.78</v>
      </c>
      <c r="I10" s="60"/>
      <c r="J10" s="135">
        <f>B10+G10+H10+I10</f>
        <v>72762.489999999991</v>
      </c>
      <c r="K10" s="136"/>
      <c r="L10" s="135">
        <f>G29+G30+G31</f>
        <v>44304</v>
      </c>
      <c r="M10" s="153"/>
      <c r="N10" s="135">
        <f>J10-L10</f>
        <v>28458.489999999991</v>
      </c>
      <c r="O10" s="136"/>
      <c r="P10" s="60">
        <f>'[1]May 2021'!$K$15</f>
        <v>7044.7999999999993</v>
      </c>
      <c r="Q10" s="135">
        <f>N10-P10</f>
        <v>21413.689999999991</v>
      </c>
      <c r="R10" s="152"/>
      <c r="S10" s="32"/>
      <c r="U10" s="2" t="s">
        <v>53</v>
      </c>
    </row>
    <row r="11" spans="1:23" ht="15.75" thickBot="1" x14ac:dyDescent="0.3">
      <c r="A11" s="58" t="s">
        <v>9</v>
      </c>
      <c r="B11" s="135">
        <v>12610.65</v>
      </c>
      <c r="C11" s="134"/>
      <c r="D11" s="60">
        <v>12170.24</v>
      </c>
      <c r="E11" s="135">
        <f t="shared" ref="E11:E13" si="0">B11-D11</f>
        <v>440.40999999999985</v>
      </c>
      <c r="F11" s="136"/>
      <c r="G11" s="105"/>
      <c r="H11" s="60"/>
      <c r="I11" s="60"/>
      <c r="J11" s="135">
        <f>B11+G11+H11+I11</f>
        <v>12610.65</v>
      </c>
      <c r="K11" s="136"/>
      <c r="L11" s="135">
        <f>SUM(G21:G22)</f>
        <v>2952</v>
      </c>
      <c r="M11" s="153"/>
      <c r="N11" s="154">
        <f>J11-L11</f>
        <v>9658.65</v>
      </c>
      <c r="O11" s="155"/>
      <c r="P11" s="60">
        <f>'[1]May 2021'!$K$25</f>
        <v>6085.12</v>
      </c>
      <c r="Q11" s="135">
        <f t="shared" ref="Q11:Q13" si="1">N11-P11</f>
        <v>3573.5299999999997</v>
      </c>
      <c r="R11" s="152"/>
      <c r="S11" s="32"/>
    </row>
    <row r="12" spans="1:23" ht="15.75" customHeight="1" thickBot="1" x14ac:dyDescent="0.3">
      <c r="A12" s="58" t="s">
        <v>10</v>
      </c>
      <c r="B12" s="135">
        <v>4240.7</v>
      </c>
      <c r="C12" s="134"/>
      <c r="D12" s="60">
        <v>0</v>
      </c>
      <c r="E12" s="135">
        <f t="shared" si="0"/>
        <v>4240.7</v>
      </c>
      <c r="F12" s="136"/>
      <c r="G12" s="105">
        <v>16000.7</v>
      </c>
      <c r="H12" s="60"/>
      <c r="I12" s="60"/>
      <c r="J12" s="135">
        <f>B12+G12+H12+I12</f>
        <v>20241.400000000001</v>
      </c>
      <c r="K12" s="136"/>
      <c r="L12" s="135">
        <f>SUM(G33:G34)</f>
        <v>6828</v>
      </c>
      <c r="M12" s="152"/>
      <c r="N12" s="135">
        <f>J12-L12</f>
        <v>13413.400000000001</v>
      </c>
      <c r="O12" s="136"/>
      <c r="P12" s="60">
        <f>'[1]May 2021'!$K$35</f>
        <v>9600.42</v>
      </c>
      <c r="Q12" s="135">
        <f t="shared" si="1"/>
        <v>3812.9800000000014</v>
      </c>
      <c r="R12" s="152"/>
    </row>
    <row r="13" spans="1:23" ht="15.75" thickBot="1" x14ac:dyDescent="0.3">
      <c r="A13" s="58" t="s">
        <v>30</v>
      </c>
      <c r="B13" s="135">
        <v>28100.18</v>
      </c>
      <c r="C13" s="134"/>
      <c r="D13" s="60">
        <v>21391.38</v>
      </c>
      <c r="E13" s="135">
        <f t="shared" si="0"/>
        <v>6708.7999999999993</v>
      </c>
      <c r="F13" s="136"/>
      <c r="G13" s="105"/>
      <c r="H13" s="60">
        <v>142.61000000000001</v>
      </c>
      <c r="I13" s="60"/>
      <c r="J13" s="135">
        <f>B13+G13+H13+I13</f>
        <v>28242.79</v>
      </c>
      <c r="K13" s="136"/>
      <c r="L13" s="135">
        <f>G24+G25+G26+G27</f>
        <v>15800</v>
      </c>
      <c r="M13" s="152"/>
      <c r="N13" s="135">
        <f>J13-L13</f>
        <v>12442.79</v>
      </c>
      <c r="O13" s="136"/>
      <c r="P13" s="60">
        <f>'[1]May 2021'!$K$45</f>
        <v>0</v>
      </c>
      <c r="Q13" s="135">
        <f t="shared" si="1"/>
        <v>12442.79</v>
      </c>
      <c r="R13" s="152"/>
      <c r="V13" s="29"/>
      <c r="W13" s="29"/>
    </row>
    <row r="14" spans="1:23" ht="15.75" customHeight="1" thickBot="1" x14ac:dyDescent="0.3">
      <c r="A14" s="58"/>
      <c r="B14" s="156"/>
      <c r="C14" s="157"/>
      <c r="D14" s="61"/>
      <c r="E14" s="156"/>
      <c r="F14" s="158"/>
      <c r="G14" s="105"/>
      <c r="H14" s="60"/>
      <c r="I14" s="60"/>
      <c r="J14" s="134"/>
      <c r="K14" s="136"/>
      <c r="L14" s="135"/>
      <c r="M14" s="136"/>
      <c r="N14" s="62"/>
      <c r="O14" s="63"/>
      <c r="P14" s="60"/>
      <c r="Q14" s="135"/>
      <c r="R14" s="152"/>
      <c r="T14" s="64"/>
    </row>
    <row r="15" spans="1:23" ht="15.75" thickBot="1" x14ac:dyDescent="0.3">
      <c r="A15" s="59" t="s">
        <v>1</v>
      </c>
      <c r="B15" s="135">
        <f>SUM(B10:C14)</f>
        <v>82345.239999999991</v>
      </c>
      <c r="C15" s="136"/>
      <c r="D15" s="60">
        <f>SUM(D10:D14)</f>
        <v>62517.78</v>
      </c>
      <c r="E15" s="135">
        <f>SUM(E10:F14)</f>
        <v>19827.46</v>
      </c>
      <c r="F15" s="115"/>
      <c r="G15" s="105">
        <f>SUM(G10:G14)</f>
        <v>51224.7</v>
      </c>
      <c r="H15" s="60">
        <f>SUM(H10:H14)</f>
        <v>287.39</v>
      </c>
      <c r="I15" s="60">
        <f>SUM(I10:I14)</f>
        <v>0</v>
      </c>
      <c r="J15" s="134">
        <f>SUM(J10:K14)</f>
        <v>133857.32999999999</v>
      </c>
      <c r="K15" s="136"/>
      <c r="L15" s="135">
        <f>SUM(L10:M14)</f>
        <v>69884</v>
      </c>
      <c r="M15" s="153"/>
      <c r="N15" s="135">
        <f>SUM(N10:O14)</f>
        <v>63973.329999999994</v>
      </c>
      <c r="O15" s="136"/>
      <c r="P15" s="60">
        <f>SUM(P10:P14)</f>
        <v>22730.339999999997</v>
      </c>
      <c r="Q15" s="135">
        <f>SUM(Q10:R13)</f>
        <v>41242.989999999991</v>
      </c>
      <c r="R15" s="136"/>
      <c r="S15" s="29"/>
    </row>
    <row r="16" spans="1:23" ht="6.75" customHeight="1" thickBot="1" x14ac:dyDescent="0.3">
      <c r="A16" s="65"/>
      <c r="B16" s="66"/>
      <c r="C16" s="67"/>
      <c r="D16" s="67"/>
      <c r="E16" s="67"/>
      <c r="F16" s="67"/>
      <c r="G16" s="67"/>
      <c r="H16" s="67"/>
      <c r="I16" s="67"/>
      <c r="J16" s="67"/>
      <c r="K16" s="67"/>
      <c r="L16" s="67"/>
      <c r="M16" s="67"/>
    </row>
    <row r="17" spans="1:23" ht="15.75" customHeight="1" thickBot="1" x14ac:dyDescent="0.3">
      <c r="A17" s="162" t="s">
        <v>11</v>
      </c>
      <c r="B17" s="163"/>
      <c r="C17" s="163"/>
      <c r="D17" s="170" t="s">
        <v>57</v>
      </c>
      <c r="E17" s="171"/>
      <c r="F17" s="171"/>
      <c r="G17" s="171"/>
      <c r="H17" s="171"/>
      <c r="I17" s="171"/>
      <c r="J17" s="171"/>
      <c r="K17" s="171"/>
      <c r="L17" s="171"/>
      <c r="M17" s="171"/>
      <c r="N17" s="171"/>
      <c r="O17" s="172"/>
      <c r="P17" s="68"/>
      <c r="Q17" s="68"/>
      <c r="R17" s="68"/>
      <c r="S17" s="68"/>
    </row>
    <row r="18" spans="1:23" ht="15.75" customHeight="1" thickBot="1" x14ac:dyDescent="0.3">
      <c r="A18" s="164"/>
      <c r="B18" s="165"/>
      <c r="C18" s="166"/>
      <c r="D18" s="173" t="s">
        <v>46</v>
      </c>
      <c r="E18" s="174"/>
      <c r="F18" s="173" t="s">
        <v>7</v>
      </c>
      <c r="G18" s="174"/>
      <c r="H18" s="177" t="s">
        <v>32</v>
      </c>
      <c r="I18" s="178"/>
      <c r="J18" s="178"/>
      <c r="K18" s="178"/>
      <c r="L18" s="173" t="s">
        <v>31</v>
      </c>
      <c r="M18" s="174"/>
      <c r="N18" s="173" t="s">
        <v>12</v>
      </c>
      <c r="O18" s="174"/>
    </row>
    <row r="19" spans="1:23" ht="15.75" customHeight="1" thickBot="1" x14ac:dyDescent="0.3">
      <c r="A19" s="164"/>
      <c r="B19" s="165"/>
      <c r="C19" s="166"/>
      <c r="D19" s="175"/>
      <c r="E19" s="176"/>
      <c r="F19" s="173"/>
      <c r="G19" s="174"/>
      <c r="H19" s="170" t="s">
        <v>33</v>
      </c>
      <c r="I19" s="171"/>
      <c r="J19" s="170" t="s">
        <v>34</v>
      </c>
      <c r="K19" s="171"/>
      <c r="L19" s="175"/>
      <c r="M19" s="176"/>
      <c r="N19" s="175"/>
      <c r="O19" s="176"/>
    </row>
    <row r="20" spans="1:23" s="71" customFormat="1" ht="15.75" thickBot="1" x14ac:dyDescent="0.3">
      <c r="A20" s="167"/>
      <c r="B20" s="168"/>
      <c r="C20" s="169"/>
      <c r="D20" s="108" t="s">
        <v>26</v>
      </c>
      <c r="E20" s="37" t="s">
        <v>25</v>
      </c>
      <c r="F20" s="69" t="s">
        <v>26</v>
      </c>
      <c r="G20" s="37" t="s">
        <v>25</v>
      </c>
      <c r="H20" s="109" t="s">
        <v>26</v>
      </c>
      <c r="I20" s="37" t="s">
        <v>25</v>
      </c>
      <c r="J20" s="109" t="s">
        <v>26</v>
      </c>
      <c r="K20" s="37" t="s">
        <v>25</v>
      </c>
      <c r="L20" s="37" t="s">
        <v>26</v>
      </c>
      <c r="M20" s="70" t="s">
        <v>25</v>
      </c>
      <c r="N20" s="69" t="s">
        <v>26</v>
      </c>
      <c r="O20" s="37" t="s">
        <v>25</v>
      </c>
      <c r="S20" s="72" t="s">
        <v>27</v>
      </c>
      <c r="T20" s="73" t="s">
        <v>28</v>
      </c>
      <c r="U20" s="37" t="s">
        <v>29</v>
      </c>
    </row>
    <row r="21" spans="1:23" x14ac:dyDescent="0.25">
      <c r="A21" s="179" t="s">
        <v>13</v>
      </c>
      <c r="B21" s="180"/>
      <c r="C21" s="181"/>
      <c r="D21" s="74">
        <f>E21/24</f>
        <v>14</v>
      </c>
      <c r="E21" s="10">
        <v>336</v>
      </c>
      <c r="F21" s="74">
        <f>G21/24</f>
        <v>28</v>
      </c>
      <c r="G21" s="10">
        <f>'[2]May 2021'!$B$29</f>
        <v>672</v>
      </c>
      <c r="H21" s="23">
        <f>I21/24</f>
        <v>25</v>
      </c>
      <c r="I21" s="26">
        <f>600</f>
        <v>600</v>
      </c>
      <c r="J21" s="11">
        <f>K21/24</f>
        <v>1</v>
      </c>
      <c r="K21" s="10">
        <f>24</f>
        <v>24</v>
      </c>
      <c r="L21" s="11">
        <f>M21/24</f>
        <v>5</v>
      </c>
      <c r="M21" s="10">
        <f>120</f>
        <v>120</v>
      </c>
      <c r="N21" s="23">
        <f>O21/24</f>
        <v>11</v>
      </c>
      <c r="O21" s="36">
        <f>E21+G21-I21-K21-M21</f>
        <v>264</v>
      </c>
      <c r="S21" s="5">
        <v>216</v>
      </c>
      <c r="T21" s="7">
        <f>2*24</f>
        <v>48</v>
      </c>
      <c r="U21" s="30">
        <f>S21+T21-O21</f>
        <v>0</v>
      </c>
      <c r="V21" s="75"/>
      <c r="W21" s="29"/>
    </row>
    <row r="22" spans="1:23" ht="15.75" thickBot="1" x14ac:dyDescent="0.3">
      <c r="A22" s="182" t="s">
        <v>14</v>
      </c>
      <c r="B22" s="183"/>
      <c r="C22" s="184"/>
      <c r="D22" s="76">
        <f>E22/24</f>
        <v>82</v>
      </c>
      <c r="E22" s="12">
        <v>1968</v>
      </c>
      <c r="F22" s="76">
        <f>G22/24</f>
        <v>95</v>
      </c>
      <c r="G22" s="12">
        <f>'[2]May 2021'!$C$29</f>
        <v>2280</v>
      </c>
      <c r="H22" s="24">
        <f>I22/24</f>
        <v>50</v>
      </c>
      <c r="I22" s="33">
        <f>1200</f>
        <v>1200</v>
      </c>
      <c r="J22" s="13">
        <f>K22/24</f>
        <v>50</v>
      </c>
      <c r="K22" s="12">
        <f>1200</f>
        <v>1200</v>
      </c>
      <c r="L22" s="13">
        <f>M22/24</f>
        <v>12</v>
      </c>
      <c r="M22" s="12">
        <f>48+240</f>
        <v>288</v>
      </c>
      <c r="N22" s="24">
        <f>O22/24</f>
        <v>65</v>
      </c>
      <c r="O22" s="36">
        <f>E22+G22-I22-K22-M22</f>
        <v>1560</v>
      </c>
      <c r="S22" s="6">
        <v>1056</v>
      </c>
      <c r="T22" s="9">
        <f>20*24</f>
        <v>480</v>
      </c>
      <c r="U22" s="34">
        <f>S22+T22-O22</f>
        <v>-24</v>
      </c>
      <c r="V22" s="75"/>
      <c r="W22" s="29"/>
    </row>
    <row r="23" spans="1:23" ht="15.75" thickBot="1" x14ac:dyDescent="0.3">
      <c r="A23" s="185" t="s">
        <v>36</v>
      </c>
      <c r="B23" s="186"/>
      <c r="C23" s="187"/>
      <c r="D23" s="77">
        <f>SUM(D21:D22)</f>
        <v>96</v>
      </c>
      <c r="E23" s="78">
        <f t="shared" ref="E23:H23" si="2">SUM(E21:E22)</f>
        <v>2304</v>
      </c>
      <c r="F23" s="77">
        <f t="shared" si="2"/>
        <v>123</v>
      </c>
      <c r="G23" s="78">
        <f t="shared" si="2"/>
        <v>2952</v>
      </c>
      <c r="H23" s="79">
        <f t="shared" si="2"/>
        <v>75</v>
      </c>
      <c r="I23" s="80">
        <f>SUM(I21:I22)</f>
        <v>1800</v>
      </c>
      <c r="J23" s="77">
        <f t="shared" ref="J23:O23" si="3">SUM(J21:J22)</f>
        <v>51</v>
      </c>
      <c r="K23" s="78">
        <f t="shared" si="3"/>
        <v>1224</v>
      </c>
      <c r="L23" s="77">
        <f t="shared" si="3"/>
        <v>17</v>
      </c>
      <c r="M23" s="78">
        <f t="shared" si="3"/>
        <v>408</v>
      </c>
      <c r="N23" s="77">
        <f t="shared" si="3"/>
        <v>76</v>
      </c>
      <c r="O23" s="78">
        <f t="shared" si="3"/>
        <v>1824</v>
      </c>
      <c r="S23" s="45"/>
      <c r="T23" s="48"/>
      <c r="U23" s="30"/>
      <c r="V23" s="75"/>
      <c r="W23" s="29"/>
    </row>
    <row r="24" spans="1:23" ht="15.75" thickBot="1" x14ac:dyDescent="0.3">
      <c r="A24" s="179" t="s">
        <v>15</v>
      </c>
      <c r="B24" s="180"/>
      <c r="C24" s="181"/>
      <c r="D24" s="74">
        <f>E24/30</f>
        <v>138</v>
      </c>
      <c r="E24" s="10">
        <v>4140</v>
      </c>
      <c r="F24" s="74">
        <f>G24/30</f>
        <v>490</v>
      </c>
      <c r="G24" s="10">
        <f>'[2]May 2021'!$D$29</f>
        <v>14700</v>
      </c>
      <c r="H24" s="23">
        <f>I24/30</f>
        <v>0</v>
      </c>
      <c r="I24" s="10">
        <v>0</v>
      </c>
      <c r="J24" s="23">
        <f>K24/30</f>
        <v>23</v>
      </c>
      <c r="K24" s="10">
        <f>690</f>
        <v>690</v>
      </c>
      <c r="L24" s="23">
        <f>M24/30</f>
        <v>268</v>
      </c>
      <c r="M24" s="10">
        <f>7740+300</f>
        <v>8040</v>
      </c>
      <c r="N24" s="23">
        <f>O24/30</f>
        <v>337</v>
      </c>
      <c r="O24" s="36">
        <f>E24+G24-I24-K24-M24</f>
        <v>10110</v>
      </c>
      <c r="S24" s="50">
        <v>6390</v>
      </c>
      <c r="T24" s="51">
        <f>34*30</f>
        <v>1020</v>
      </c>
      <c r="U24" s="47">
        <f>S24+T24-O24</f>
        <v>-2700</v>
      </c>
      <c r="V24" s="75"/>
      <c r="W24" s="29"/>
    </row>
    <row r="25" spans="1:23" ht="15.75" thickBot="1" x14ac:dyDescent="0.3">
      <c r="A25" s="188" t="s">
        <v>18</v>
      </c>
      <c r="B25" s="189"/>
      <c r="C25" s="190"/>
      <c r="D25" s="81">
        <f>E25/24</f>
        <v>8</v>
      </c>
      <c r="E25" s="36">
        <v>192</v>
      </c>
      <c r="F25" s="81">
        <f>G25/24</f>
        <v>0</v>
      </c>
      <c r="G25" s="27">
        <f>'[2]May 2021'!$E$29</f>
        <v>0</v>
      </c>
      <c r="H25" s="39">
        <f>I25/24</f>
        <v>0</v>
      </c>
      <c r="I25" s="27">
        <v>0</v>
      </c>
      <c r="J25" s="40">
        <f t="shared" ref="J25" si="4">K25/24</f>
        <v>0</v>
      </c>
      <c r="K25" s="36">
        <v>0</v>
      </c>
      <c r="L25" s="40">
        <f t="shared" ref="L25" si="5">M25/24</f>
        <v>0</v>
      </c>
      <c r="M25" s="36">
        <v>0</v>
      </c>
      <c r="N25" s="39">
        <f>O25/24</f>
        <v>8</v>
      </c>
      <c r="O25" s="36">
        <f t="shared" ref="O25:O27" si="6">E25+G25-I25-K25-M25</f>
        <v>192</v>
      </c>
      <c r="S25" s="4">
        <v>192</v>
      </c>
      <c r="T25" s="22">
        <v>0</v>
      </c>
      <c r="U25" s="47">
        <f t="shared" ref="U25:U27" si="7">S25+T25-O25</f>
        <v>0</v>
      </c>
      <c r="V25" s="75"/>
      <c r="W25" s="29"/>
    </row>
    <row r="26" spans="1:23" ht="15.75" thickBot="1" x14ac:dyDescent="0.3">
      <c r="A26" s="159" t="s">
        <v>47</v>
      </c>
      <c r="B26" s="160"/>
      <c r="C26" s="161"/>
      <c r="D26" s="82">
        <f>E26/22</f>
        <v>25</v>
      </c>
      <c r="E26" s="3">
        <v>550</v>
      </c>
      <c r="F26" s="82">
        <f>G26/22</f>
        <v>26</v>
      </c>
      <c r="G26" s="3">
        <f>'[2]May 2021'!$F$29</f>
        <v>572</v>
      </c>
      <c r="H26" s="25">
        <v>0</v>
      </c>
      <c r="I26" s="28">
        <f>220</f>
        <v>220</v>
      </c>
      <c r="J26" s="1">
        <f>K26/22</f>
        <v>10</v>
      </c>
      <c r="K26" s="3">
        <f>220</f>
        <v>220</v>
      </c>
      <c r="L26" s="1">
        <f>M26/22</f>
        <v>0</v>
      </c>
      <c r="M26" s="3">
        <v>0</v>
      </c>
      <c r="N26" s="25">
        <f>O26/22</f>
        <v>31</v>
      </c>
      <c r="O26" s="36">
        <f t="shared" si="6"/>
        <v>682</v>
      </c>
      <c r="R26" s="29"/>
      <c r="S26" s="4">
        <v>242</v>
      </c>
      <c r="T26" s="22">
        <f>5*22</f>
        <v>110</v>
      </c>
      <c r="U26" s="47">
        <f t="shared" si="7"/>
        <v>-330</v>
      </c>
      <c r="V26" s="29"/>
      <c r="W26" s="29"/>
    </row>
    <row r="27" spans="1:23" ht="15.75" thickBot="1" x14ac:dyDescent="0.3">
      <c r="A27" s="194" t="s">
        <v>48</v>
      </c>
      <c r="B27" s="195"/>
      <c r="C27" s="196"/>
      <c r="D27" s="83">
        <f>E27/22</f>
        <v>3</v>
      </c>
      <c r="E27" s="41">
        <v>66</v>
      </c>
      <c r="F27" s="83">
        <f>G27/22</f>
        <v>24</v>
      </c>
      <c r="G27" s="41">
        <f>'[2]May 2021'!$G$29</f>
        <v>528</v>
      </c>
      <c r="H27" s="42">
        <f>I27/22</f>
        <v>0</v>
      </c>
      <c r="I27" s="43">
        <v>0</v>
      </c>
      <c r="J27" s="44">
        <f>K27/22</f>
        <v>5</v>
      </c>
      <c r="K27" s="41">
        <f>110</f>
        <v>110</v>
      </c>
      <c r="L27" s="44">
        <f>M27/22</f>
        <v>0</v>
      </c>
      <c r="M27" s="41">
        <v>0</v>
      </c>
      <c r="N27" s="42">
        <f>O27/22</f>
        <v>22</v>
      </c>
      <c r="O27" s="38">
        <f t="shared" si="6"/>
        <v>484</v>
      </c>
      <c r="S27" s="52">
        <v>308</v>
      </c>
      <c r="T27" s="53">
        <f>3*22</f>
        <v>66</v>
      </c>
      <c r="U27" s="47">
        <f t="shared" si="7"/>
        <v>-110</v>
      </c>
      <c r="V27" s="75"/>
      <c r="W27" s="29"/>
    </row>
    <row r="28" spans="1:23" ht="15.75" thickBot="1" x14ac:dyDescent="0.3">
      <c r="A28" s="185" t="s">
        <v>37</v>
      </c>
      <c r="B28" s="186"/>
      <c r="C28" s="187"/>
      <c r="D28" s="79">
        <f t="shared" ref="D28:O28" si="8">SUM(D24:D27)</f>
        <v>174</v>
      </c>
      <c r="E28" s="21">
        <f t="shared" si="8"/>
        <v>4948</v>
      </c>
      <c r="F28" s="79">
        <f t="shared" si="8"/>
        <v>540</v>
      </c>
      <c r="G28" s="21">
        <f t="shared" si="8"/>
        <v>15800</v>
      </c>
      <c r="H28" s="79">
        <f t="shared" si="8"/>
        <v>0</v>
      </c>
      <c r="I28" s="21">
        <f t="shared" si="8"/>
        <v>220</v>
      </c>
      <c r="J28" s="79">
        <f t="shared" si="8"/>
        <v>38</v>
      </c>
      <c r="K28" s="21">
        <f t="shared" si="8"/>
        <v>1020</v>
      </c>
      <c r="L28" s="79">
        <f t="shared" si="8"/>
        <v>268</v>
      </c>
      <c r="M28" s="21">
        <f t="shared" si="8"/>
        <v>8040</v>
      </c>
      <c r="N28" s="79">
        <f t="shared" si="8"/>
        <v>398</v>
      </c>
      <c r="O28" s="21">
        <f t="shared" si="8"/>
        <v>11468</v>
      </c>
      <c r="S28" s="46"/>
      <c r="T28" s="49"/>
      <c r="U28" s="30"/>
      <c r="V28" s="75"/>
      <c r="W28" s="29"/>
    </row>
    <row r="29" spans="1:23" x14ac:dyDescent="0.25">
      <c r="A29" s="179" t="s">
        <v>16</v>
      </c>
      <c r="B29" s="180"/>
      <c r="C29" s="181"/>
      <c r="D29" s="74">
        <f>E29/24</f>
        <v>0</v>
      </c>
      <c r="E29" s="10">
        <v>0</v>
      </c>
      <c r="F29" s="74">
        <f>G29/24</f>
        <v>325</v>
      </c>
      <c r="G29" s="10">
        <f>'[2]May 2021'!$H$29</f>
        <v>7800</v>
      </c>
      <c r="H29" s="23">
        <f>I29/24</f>
        <v>20</v>
      </c>
      <c r="I29" s="26">
        <f>480</f>
        <v>480</v>
      </c>
      <c r="J29" s="11">
        <f t="shared" ref="J29:J31" si="9">K29/24</f>
        <v>10</v>
      </c>
      <c r="K29" s="10">
        <f>240</f>
        <v>240</v>
      </c>
      <c r="L29" s="11">
        <f t="shared" ref="L29:L31" si="10">M29/24</f>
        <v>155</v>
      </c>
      <c r="M29" s="10">
        <f>2520+1200</f>
        <v>3720</v>
      </c>
      <c r="N29" s="23">
        <f>O29/24</f>
        <v>140</v>
      </c>
      <c r="O29" s="36">
        <f>E29+G29-I29-K29-M29</f>
        <v>3360</v>
      </c>
      <c r="S29" s="5">
        <v>2928</v>
      </c>
      <c r="T29" s="16">
        <v>0</v>
      </c>
      <c r="U29" s="30">
        <f t="shared" ref="U29:U30" si="11">S29+T29-O29</f>
        <v>-432</v>
      </c>
      <c r="V29" s="75"/>
      <c r="W29" s="29"/>
    </row>
    <row r="30" spans="1:23" x14ac:dyDescent="0.25">
      <c r="A30" s="159" t="s">
        <v>43</v>
      </c>
      <c r="B30" s="160"/>
      <c r="C30" s="161"/>
      <c r="D30" s="82">
        <f>E30/24</f>
        <v>0</v>
      </c>
      <c r="E30" s="3">
        <v>0</v>
      </c>
      <c r="F30" s="82">
        <f>G30/24</f>
        <v>169</v>
      </c>
      <c r="G30" s="3">
        <f>'[2]May 2021'!$I$29</f>
        <v>4056</v>
      </c>
      <c r="H30" s="25">
        <f>I30/24</f>
        <v>25</v>
      </c>
      <c r="I30" s="28">
        <f>600</f>
        <v>600</v>
      </c>
      <c r="J30" s="1">
        <f t="shared" si="9"/>
        <v>0</v>
      </c>
      <c r="K30" s="3">
        <v>0</v>
      </c>
      <c r="L30" s="1">
        <f>M30/24</f>
        <v>75</v>
      </c>
      <c r="M30" s="3">
        <f>1080+720</f>
        <v>1800</v>
      </c>
      <c r="N30" s="25">
        <f>O30/24</f>
        <v>69</v>
      </c>
      <c r="O30" s="36">
        <f t="shared" ref="O30:O31" si="12">E30+G30-I30-K30-M30</f>
        <v>1656</v>
      </c>
      <c r="S30" s="4">
        <v>1608</v>
      </c>
      <c r="T30" s="8">
        <v>0</v>
      </c>
      <c r="U30" s="35">
        <f t="shared" si="11"/>
        <v>-48</v>
      </c>
      <c r="V30" s="75"/>
      <c r="W30" s="29"/>
    </row>
    <row r="31" spans="1:23" ht="15.75" thickBot="1" x14ac:dyDescent="0.3">
      <c r="A31" s="159" t="s">
        <v>17</v>
      </c>
      <c r="B31" s="160"/>
      <c r="C31" s="161"/>
      <c r="D31" s="82">
        <f>E31/24</f>
        <v>123</v>
      </c>
      <c r="E31" s="3">
        <v>2952</v>
      </c>
      <c r="F31" s="82">
        <f>G31/24</f>
        <v>1352</v>
      </c>
      <c r="G31" s="3">
        <f>'[2]May 2021'!$J$29</f>
        <v>32448</v>
      </c>
      <c r="H31" s="25">
        <f>I31/24</f>
        <v>225</v>
      </c>
      <c r="I31" s="28">
        <f>5400</f>
        <v>5400</v>
      </c>
      <c r="J31" s="1">
        <f t="shared" si="9"/>
        <v>175</v>
      </c>
      <c r="K31" s="3">
        <f>4200</f>
        <v>4200</v>
      </c>
      <c r="L31" s="1">
        <f t="shared" si="10"/>
        <v>295</v>
      </c>
      <c r="M31" s="3">
        <v>7080</v>
      </c>
      <c r="N31" s="25">
        <f>O31/24</f>
        <v>780</v>
      </c>
      <c r="O31" s="36">
        <f t="shared" si="12"/>
        <v>18720</v>
      </c>
      <c r="S31" s="4">
        <v>11616</v>
      </c>
      <c r="T31" s="8">
        <f>53*24</f>
        <v>1272</v>
      </c>
      <c r="U31" s="35">
        <f>S31+T31-O31</f>
        <v>-5832</v>
      </c>
      <c r="V31" s="75"/>
      <c r="W31" s="29"/>
    </row>
    <row r="32" spans="1:23" ht="15.75" thickBot="1" x14ac:dyDescent="0.3">
      <c r="A32" s="185" t="s">
        <v>38</v>
      </c>
      <c r="B32" s="186"/>
      <c r="C32" s="187"/>
      <c r="D32" s="84">
        <f t="shared" ref="D32:O32" si="13">SUM(D29:D31)</f>
        <v>123</v>
      </c>
      <c r="E32" s="78">
        <f t="shared" si="13"/>
        <v>2952</v>
      </c>
      <c r="F32" s="84">
        <f t="shared" si="13"/>
        <v>1846</v>
      </c>
      <c r="G32" s="78">
        <f t="shared" si="13"/>
        <v>44304</v>
      </c>
      <c r="H32" s="79">
        <f t="shared" si="13"/>
        <v>270</v>
      </c>
      <c r="I32" s="80">
        <f t="shared" si="13"/>
        <v>6480</v>
      </c>
      <c r="J32" s="84">
        <f t="shared" si="13"/>
        <v>185</v>
      </c>
      <c r="K32" s="78">
        <f t="shared" si="13"/>
        <v>4440</v>
      </c>
      <c r="L32" s="84">
        <f t="shared" si="13"/>
        <v>525</v>
      </c>
      <c r="M32" s="78">
        <f t="shared" si="13"/>
        <v>12600</v>
      </c>
      <c r="N32" s="84">
        <f t="shared" si="13"/>
        <v>989</v>
      </c>
      <c r="O32" s="78">
        <f t="shared" si="13"/>
        <v>23736</v>
      </c>
      <c r="S32" s="17"/>
      <c r="T32" s="18"/>
      <c r="U32" s="30"/>
      <c r="V32" s="75"/>
      <c r="W32" s="29"/>
    </row>
    <row r="33" spans="1:23" x14ac:dyDescent="0.25">
      <c r="A33" s="179" t="s">
        <v>19</v>
      </c>
      <c r="B33" s="180"/>
      <c r="C33" s="181"/>
      <c r="D33" s="85">
        <f>E33/12</f>
        <v>34</v>
      </c>
      <c r="E33" s="14">
        <v>408</v>
      </c>
      <c r="F33" s="85">
        <f>G33/12</f>
        <v>308</v>
      </c>
      <c r="G33" s="14">
        <f>'[2]May 2021'!$K$29</f>
        <v>3696</v>
      </c>
      <c r="H33" s="23">
        <f>I33/12</f>
        <v>0</v>
      </c>
      <c r="I33" s="26">
        <v>0</v>
      </c>
      <c r="J33" s="15">
        <f t="shared" ref="J33:J34" si="14">K33/12</f>
        <v>30</v>
      </c>
      <c r="K33" s="10">
        <f>360</f>
        <v>360</v>
      </c>
      <c r="L33" s="15">
        <f t="shared" ref="L33:L34" si="15">M33/12</f>
        <v>25</v>
      </c>
      <c r="M33" s="10">
        <f>180+120</f>
        <v>300</v>
      </c>
      <c r="N33" s="23">
        <f>O33/12</f>
        <v>287</v>
      </c>
      <c r="O33" s="36">
        <f>E33+G33-I33-K33-M33</f>
        <v>3444</v>
      </c>
      <c r="S33" s="5">
        <v>1092</v>
      </c>
      <c r="T33" s="16">
        <f>17*12</f>
        <v>204</v>
      </c>
      <c r="U33" s="30">
        <f>S33+T33-O33</f>
        <v>-2148</v>
      </c>
      <c r="V33" s="86"/>
      <c r="W33" s="29"/>
    </row>
    <row r="34" spans="1:23" ht="15.75" thickBot="1" x14ac:dyDescent="0.3">
      <c r="A34" s="182" t="s">
        <v>20</v>
      </c>
      <c r="B34" s="183"/>
      <c r="C34" s="184"/>
      <c r="D34" s="76">
        <f>E34/12</f>
        <v>0</v>
      </c>
      <c r="E34" s="12">
        <v>0</v>
      </c>
      <c r="F34" s="76">
        <f>G34/12</f>
        <v>261</v>
      </c>
      <c r="G34" s="12">
        <f>'[2]May 2021'!$L$29</f>
        <v>3132</v>
      </c>
      <c r="H34" s="24">
        <f>I34/12</f>
        <v>0</v>
      </c>
      <c r="I34" s="33">
        <v>0</v>
      </c>
      <c r="J34" s="13">
        <f t="shared" si="14"/>
        <v>0</v>
      </c>
      <c r="K34" s="12">
        <v>0</v>
      </c>
      <c r="L34" s="13">
        <f t="shared" si="15"/>
        <v>261</v>
      </c>
      <c r="M34" s="12">
        <f>3132</f>
        <v>3132</v>
      </c>
      <c r="N34" s="24">
        <f>O34/12</f>
        <v>0</v>
      </c>
      <c r="O34" s="36">
        <f>E34+G34-I34-K34-M34</f>
        <v>0</v>
      </c>
      <c r="S34" s="4">
        <v>0</v>
      </c>
      <c r="T34" s="22">
        <v>0</v>
      </c>
      <c r="U34" s="35">
        <f>S34+T34-O34</f>
        <v>0</v>
      </c>
      <c r="V34" s="75"/>
      <c r="W34" s="29"/>
    </row>
    <row r="35" spans="1:23" ht="15.75" thickBot="1" x14ac:dyDescent="0.3">
      <c r="A35" s="185" t="s">
        <v>39</v>
      </c>
      <c r="B35" s="186"/>
      <c r="C35" s="187"/>
      <c r="D35" s="84">
        <f>SUM(D33:D34)</f>
        <v>34</v>
      </c>
      <c r="E35" s="78">
        <f t="shared" ref="E35:H35" si="16">SUM(E33:E34)</f>
        <v>408</v>
      </c>
      <c r="F35" s="84">
        <f t="shared" si="16"/>
        <v>569</v>
      </c>
      <c r="G35" s="78">
        <f t="shared" si="16"/>
        <v>6828</v>
      </c>
      <c r="H35" s="79">
        <f t="shared" si="16"/>
        <v>0</v>
      </c>
      <c r="I35" s="80">
        <f>SUM(I33:I34)</f>
        <v>0</v>
      </c>
      <c r="J35" s="84">
        <f t="shared" ref="J35:O35" si="17">SUM(J33:J34)</f>
        <v>30</v>
      </c>
      <c r="K35" s="78">
        <f t="shared" si="17"/>
        <v>360</v>
      </c>
      <c r="L35" s="84">
        <f t="shared" si="17"/>
        <v>286</v>
      </c>
      <c r="M35" s="78">
        <f t="shared" si="17"/>
        <v>3432</v>
      </c>
      <c r="N35" s="84">
        <f t="shared" si="17"/>
        <v>287</v>
      </c>
      <c r="O35" s="78">
        <f t="shared" si="17"/>
        <v>3444</v>
      </c>
      <c r="S35" s="19"/>
      <c r="T35" s="20"/>
      <c r="U35" s="34"/>
      <c r="W35" s="29"/>
    </row>
    <row r="36" spans="1:23" ht="15.75" thickBot="1" x14ac:dyDescent="0.3">
      <c r="A36" s="191" t="s">
        <v>21</v>
      </c>
      <c r="B36" s="192"/>
      <c r="C36" s="193"/>
      <c r="D36" s="87">
        <f t="shared" ref="D36:O36" si="18">D21+D22+D24+D25+D26+D27+D29+D30+D31+D33+D34</f>
        <v>427</v>
      </c>
      <c r="E36" s="87">
        <f t="shared" si="18"/>
        <v>10612</v>
      </c>
      <c r="F36" s="87">
        <f t="shared" si="18"/>
        <v>3078</v>
      </c>
      <c r="G36" s="87">
        <f t="shared" si="18"/>
        <v>69884</v>
      </c>
      <c r="H36" s="87">
        <f t="shared" si="18"/>
        <v>345</v>
      </c>
      <c r="I36" s="87">
        <f>I21+I22+I24+I25+I26+I27+I29+I30+I31+I33+I34</f>
        <v>8500</v>
      </c>
      <c r="J36" s="87">
        <f t="shared" si="18"/>
        <v>304</v>
      </c>
      <c r="K36" s="87">
        <f t="shared" si="18"/>
        <v>7044</v>
      </c>
      <c r="L36" s="87">
        <f t="shared" si="18"/>
        <v>1096</v>
      </c>
      <c r="M36" s="87">
        <f t="shared" si="18"/>
        <v>24480</v>
      </c>
      <c r="N36" s="87">
        <f t="shared" si="18"/>
        <v>1750</v>
      </c>
      <c r="O36" s="87">
        <f t="shared" si="18"/>
        <v>40472</v>
      </c>
      <c r="S36" s="88">
        <f>SUM(S21:S34)</f>
        <v>25648</v>
      </c>
      <c r="T36" s="89">
        <f>SUM(T21:T34)</f>
        <v>3200</v>
      </c>
      <c r="U36" s="31">
        <f>S36+T36-O36</f>
        <v>-11624</v>
      </c>
      <c r="W36" s="29"/>
    </row>
    <row r="37" spans="1:23" ht="9" customHeight="1" x14ac:dyDescent="0.25">
      <c r="U37" s="32"/>
    </row>
    <row r="38" spans="1:23" x14ac:dyDescent="0.25">
      <c r="V38" s="29"/>
    </row>
    <row r="40" spans="1:23" x14ac:dyDescent="0.25">
      <c r="P40" s="75"/>
    </row>
    <row r="41" spans="1:23" x14ac:dyDescent="0.25">
      <c r="G41" s="29"/>
    </row>
    <row r="42" spans="1:23" ht="18.75" x14ac:dyDescent="0.3">
      <c r="P42" s="90"/>
    </row>
  </sheetData>
  <mergeCells count="91">
    <mergeCell ref="A7:R7"/>
    <mergeCell ref="A1:R1"/>
    <mergeCell ref="A2:R2"/>
    <mergeCell ref="A3:L3"/>
    <mergeCell ref="A4:B5"/>
    <mergeCell ref="C4:D4"/>
    <mergeCell ref="F4:F5"/>
    <mergeCell ref="H4:J4"/>
    <mergeCell ref="K4:L4"/>
    <mergeCell ref="C5:D5"/>
    <mergeCell ref="H5:J5"/>
    <mergeCell ref="K5:L5"/>
    <mergeCell ref="A6:B6"/>
    <mergeCell ref="C6:D6"/>
    <mergeCell ref="H6:J6"/>
    <mergeCell ref="K6:L6"/>
    <mergeCell ref="L9:M9"/>
    <mergeCell ref="N9:O9"/>
    <mergeCell ref="A8:A9"/>
    <mergeCell ref="B8:C8"/>
    <mergeCell ref="D8:D9"/>
    <mergeCell ref="E8:F9"/>
    <mergeCell ref="G8:G9"/>
    <mergeCell ref="H8:H9"/>
    <mergeCell ref="J8:K8"/>
    <mergeCell ref="L8:M8"/>
    <mergeCell ref="N8:O8"/>
    <mergeCell ref="P8:P9"/>
    <mergeCell ref="Q8:R9"/>
    <mergeCell ref="Q11:R11"/>
    <mergeCell ref="B10:C10"/>
    <mergeCell ref="E10:F10"/>
    <mergeCell ref="J10:K10"/>
    <mergeCell ref="L10:M10"/>
    <mergeCell ref="N10:O10"/>
    <mergeCell ref="Q10:R10"/>
    <mergeCell ref="B11:C11"/>
    <mergeCell ref="E11:F11"/>
    <mergeCell ref="J11:K11"/>
    <mergeCell ref="L11:M11"/>
    <mergeCell ref="N11:O11"/>
    <mergeCell ref="B9:C9"/>
    <mergeCell ref="J9:K9"/>
    <mergeCell ref="Q13:R13"/>
    <mergeCell ref="B12:C12"/>
    <mergeCell ref="E12:F12"/>
    <mergeCell ref="J12:K12"/>
    <mergeCell ref="L12:M12"/>
    <mergeCell ref="N12:O12"/>
    <mergeCell ref="Q12:R12"/>
    <mergeCell ref="B13:C13"/>
    <mergeCell ref="E13:F13"/>
    <mergeCell ref="J13:K13"/>
    <mergeCell ref="L13:M13"/>
    <mergeCell ref="N13:O13"/>
    <mergeCell ref="B14:C14"/>
    <mergeCell ref="E14:F14"/>
    <mergeCell ref="J14:K14"/>
    <mergeCell ref="L14:M14"/>
    <mergeCell ref="Q14:R14"/>
    <mergeCell ref="A26:C26"/>
    <mergeCell ref="Q15:R15"/>
    <mergeCell ref="A17:C20"/>
    <mergeCell ref="D17:O17"/>
    <mergeCell ref="D18:E19"/>
    <mergeCell ref="F18:G19"/>
    <mergeCell ref="H18:K18"/>
    <mergeCell ref="L18:M19"/>
    <mergeCell ref="N18:O19"/>
    <mergeCell ref="H19:I19"/>
    <mergeCell ref="J19:K19"/>
    <mergeCell ref="B15:C15"/>
    <mergeCell ref="E15:F15"/>
    <mergeCell ref="J15:K15"/>
    <mergeCell ref="L15:M15"/>
    <mergeCell ref="N15:O15"/>
    <mergeCell ref="A21:C21"/>
    <mergeCell ref="A22:C22"/>
    <mergeCell ref="A23:C23"/>
    <mergeCell ref="A24:C24"/>
    <mergeCell ref="A25:C25"/>
    <mergeCell ref="A33:C33"/>
    <mergeCell ref="A34:C34"/>
    <mergeCell ref="A35:C35"/>
    <mergeCell ref="A36:C36"/>
    <mergeCell ref="A27:C27"/>
    <mergeCell ref="A28:C28"/>
    <mergeCell ref="A29:C29"/>
    <mergeCell ref="A30:C30"/>
    <mergeCell ref="A31:C31"/>
    <mergeCell ref="A32:C32"/>
  </mergeCells>
  <pageMargins left="0.16" right="0.16" top="0.25" bottom="0.23" header="0.23" footer="0.2"/>
  <pageSetup orientation="landscape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April 2021-22</vt:lpstr>
      <vt:lpstr>May 2021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sarowar</dc:creator>
  <cp:lastModifiedBy>Raj</cp:lastModifiedBy>
  <cp:lastPrinted>2021-05-19T06:23:50Z</cp:lastPrinted>
  <dcterms:created xsi:type="dcterms:W3CDTF">2013-12-03T07:20:57Z</dcterms:created>
  <dcterms:modified xsi:type="dcterms:W3CDTF">2021-05-27T15:15:04Z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95524085-d755-462d-8fd6-b20d96b49f2b</vt:lpwstr>
  </property>
</Properties>
</file>