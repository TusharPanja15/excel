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6"/>
  <workbookPr defaultThemeVersion="124226"/>
  <bookViews>
    <workbookView xWindow="-120" yWindow="-120" windowWidth="20730" windowHeight="11160" tabRatio="609" firstSheet="1" activeTab="6"/>
  </bookViews>
  <sheets>
    <sheet name="April 2021-22" sheetId="82" r:id="rId1"/>
    <sheet name="May 2021" sheetId="83" r:id="rId2"/>
    <sheet name="June 2021" sheetId="85" r:id="rId3"/>
    <sheet name="July 2021" sheetId="86" r:id="rId4"/>
    <sheet name="August 2021" sheetId="87" r:id="rId5"/>
    <sheet name="September 2021" sheetId="88" r:id="rId6"/>
    <sheet name="October 2021" sheetId="101" r:id="rId7"/>
  </sheets>
  <externalReferences>
    <externalReference r:id="rId8"/>
    <externalReference r:id="rId9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7" i="101"/>
  <c r="G26"/>
  <c r="G29"/>
  <c r="O29" s="1"/>
  <c r="G30"/>
  <c r="G31"/>
  <c r="G33"/>
  <c r="G34"/>
  <c r="O34" s="1"/>
  <c r="O33"/>
  <c r="O31"/>
  <c r="O30"/>
  <c r="O27"/>
  <c r="O26"/>
  <c r="G21"/>
  <c r="O24"/>
  <c r="O22"/>
  <c r="O21"/>
  <c r="C6"/>
  <c r="H6"/>
  <c r="B11"/>
  <c r="D10"/>
  <c r="B13"/>
  <c r="B12"/>
  <c r="B10"/>
  <c r="G25" l="1"/>
  <c r="G24"/>
  <c r="G22"/>
  <c r="E23" l="1"/>
  <c r="S36" l="1"/>
  <c r="M36"/>
  <c r="I36"/>
  <c r="E36"/>
  <c r="M35"/>
  <c r="K35"/>
  <c r="I35"/>
  <c r="E35"/>
  <c r="U34"/>
  <c r="L34"/>
  <c r="J34"/>
  <c r="H34"/>
  <c r="F34"/>
  <c r="D34"/>
  <c r="T33"/>
  <c r="L33"/>
  <c r="L35" s="1"/>
  <c r="J33"/>
  <c r="J35" s="1"/>
  <c r="H33"/>
  <c r="H35" s="1"/>
  <c r="G35"/>
  <c r="F33"/>
  <c r="D33"/>
  <c r="D35" s="1"/>
  <c r="M32"/>
  <c r="K32"/>
  <c r="I32"/>
  <c r="E32"/>
  <c r="T31"/>
  <c r="N31"/>
  <c r="L31"/>
  <c r="J31"/>
  <c r="H31"/>
  <c r="F31"/>
  <c r="D31"/>
  <c r="N30"/>
  <c r="L30"/>
  <c r="J30"/>
  <c r="H30"/>
  <c r="F30"/>
  <c r="D30"/>
  <c r="L29"/>
  <c r="L32" s="1"/>
  <c r="J29"/>
  <c r="J32" s="1"/>
  <c r="H29"/>
  <c r="G32"/>
  <c r="F29"/>
  <c r="D29"/>
  <c r="D32" s="1"/>
  <c r="M28"/>
  <c r="K28"/>
  <c r="I28"/>
  <c r="E28"/>
  <c r="T27"/>
  <c r="N27"/>
  <c r="L27"/>
  <c r="J27"/>
  <c r="H27"/>
  <c r="F27"/>
  <c r="D27"/>
  <c r="T26"/>
  <c r="L26"/>
  <c r="J26"/>
  <c r="H26"/>
  <c r="D26"/>
  <c r="O25"/>
  <c r="U25" s="1"/>
  <c r="L25"/>
  <c r="J25"/>
  <c r="H25"/>
  <c r="F25"/>
  <c r="D25"/>
  <c r="T24"/>
  <c r="L24"/>
  <c r="J24"/>
  <c r="J28" s="1"/>
  <c r="H24"/>
  <c r="D24"/>
  <c r="M23"/>
  <c r="K23"/>
  <c r="I23"/>
  <c r="T22"/>
  <c r="N22"/>
  <c r="L22"/>
  <c r="J22"/>
  <c r="H22"/>
  <c r="F22"/>
  <c r="D22"/>
  <c r="T21"/>
  <c r="L21"/>
  <c r="J21"/>
  <c r="H21"/>
  <c r="G36"/>
  <c r="O36" s="1"/>
  <c r="D21"/>
  <c r="P15"/>
  <c r="I15"/>
  <c r="B15"/>
  <c r="L13"/>
  <c r="J13"/>
  <c r="E13"/>
  <c r="J12"/>
  <c r="E12"/>
  <c r="J11"/>
  <c r="D11"/>
  <c r="E11" s="1"/>
  <c r="P10"/>
  <c r="L10"/>
  <c r="J10"/>
  <c r="G15"/>
  <c r="E10"/>
  <c r="G6"/>
  <c r="K6" s="1"/>
  <c r="F35" l="1"/>
  <c r="J15"/>
  <c r="N13"/>
  <c r="Q13" s="1"/>
  <c r="L28"/>
  <c r="L36"/>
  <c r="J23"/>
  <c r="U22"/>
  <c r="U31"/>
  <c r="H32"/>
  <c r="H28"/>
  <c r="H36"/>
  <c r="U30"/>
  <c r="U27"/>
  <c r="D28"/>
  <c r="D36"/>
  <c r="U26"/>
  <c r="N26"/>
  <c r="F32"/>
  <c r="N24"/>
  <c r="O28"/>
  <c r="U24"/>
  <c r="E15"/>
  <c r="J36"/>
  <c r="L11"/>
  <c r="N11" s="1"/>
  <c r="Q11" s="1"/>
  <c r="H15"/>
  <c r="F21"/>
  <c r="N25"/>
  <c r="T36"/>
  <c r="L12"/>
  <c r="N12" s="1"/>
  <c r="Q12" s="1"/>
  <c r="D23"/>
  <c r="H23"/>
  <c r="L23"/>
  <c r="G28"/>
  <c r="D15"/>
  <c r="F24"/>
  <c r="F26"/>
  <c r="N34"/>
  <c r="N10"/>
  <c r="G23"/>
  <c r="F28" l="1"/>
  <c r="N28"/>
  <c r="U36"/>
  <c r="O23"/>
  <c r="U21"/>
  <c r="N21"/>
  <c r="N29"/>
  <c r="N32" s="1"/>
  <c r="U29"/>
  <c r="O32"/>
  <c r="F36"/>
  <c r="F23"/>
  <c r="O35"/>
  <c r="N33"/>
  <c r="N35" s="1"/>
  <c r="U33"/>
  <c r="N15"/>
  <c r="Q10"/>
  <c r="Q15" s="1"/>
  <c r="L15"/>
  <c r="N36" l="1"/>
  <c r="N23"/>
  <c r="P10" i="88" l="1"/>
  <c r="H10"/>
  <c r="G10"/>
  <c r="D13" l="1"/>
  <c r="D12"/>
  <c r="D11"/>
  <c r="D10"/>
  <c r="E6" l="1"/>
  <c r="U10" i="87" l="1"/>
  <c r="U9"/>
  <c r="T24" i="88" l="1"/>
  <c r="L24" l="1"/>
  <c r="G34" l="1"/>
  <c r="G33"/>
  <c r="G31"/>
  <c r="G30"/>
  <c r="G29"/>
  <c r="G27"/>
  <c r="G26"/>
  <c r="G25"/>
  <c r="G24"/>
  <c r="G22"/>
  <c r="G21"/>
  <c r="F21" s="1"/>
  <c r="G10" i="85" l="1"/>
  <c r="H12" i="88" l="1"/>
  <c r="T27" l="1"/>
  <c r="T22"/>
  <c r="T21"/>
  <c r="G34" i="87"/>
  <c r="G33"/>
  <c r="G31"/>
  <c r="G30"/>
  <c r="G29"/>
  <c r="G27"/>
  <c r="G26"/>
  <c r="G25"/>
  <c r="G24"/>
  <c r="G22"/>
  <c r="G21"/>
  <c r="L33" i="88" l="1"/>
  <c r="L30"/>
  <c r="M27"/>
  <c r="L27" s="1"/>
  <c r="L26"/>
  <c r="M25"/>
  <c r="L25" s="1"/>
  <c r="F34"/>
  <c r="F31"/>
  <c r="F30"/>
  <c r="F27"/>
  <c r="S36"/>
  <c r="E36"/>
  <c r="E35"/>
  <c r="L34"/>
  <c r="J34"/>
  <c r="H34"/>
  <c r="D34"/>
  <c r="T33"/>
  <c r="K35"/>
  <c r="J33"/>
  <c r="H33"/>
  <c r="H35" s="1"/>
  <c r="D33"/>
  <c r="D35" s="1"/>
  <c r="E32"/>
  <c r="T31"/>
  <c r="L31"/>
  <c r="K32"/>
  <c r="H31"/>
  <c r="D31"/>
  <c r="J30"/>
  <c r="H30"/>
  <c r="D30"/>
  <c r="L29"/>
  <c r="J29"/>
  <c r="I32"/>
  <c r="D29"/>
  <c r="D32" s="1"/>
  <c r="I28"/>
  <c r="E28"/>
  <c r="J27"/>
  <c r="H27"/>
  <c r="D27"/>
  <c r="T26"/>
  <c r="T36" s="1"/>
  <c r="J26"/>
  <c r="H26"/>
  <c r="D26"/>
  <c r="D28" s="1"/>
  <c r="J25"/>
  <c r="H25"/>
  <c r="D25"/>
  <c r="K28"/>
  <c r="H24"/>
  <c r="D24"/>
  <c r="K23"/>
  <c r="E23"/>
  <c r="L22"/>
  <c r="J22"/>
  <c r="H22"/>
  <c r="D22"/>
  <c r="L21"/>
  <c r="K36"/>
  <c r="I36"/>
  <c r="H21"/>
  <c r="D21"/>
  <c r="I15"/>
  <c r="H15"/>
  <c r="G15"/>
  <c r="D15"/>
  <c r="B15"/>
  <c r="J13"/>
  <c r="E13"/>
  <c r="J12"/>
  <c r="E12"/>
  <c r="P15"/>
  <c r="J11"/>
  <c r="E11"/>
  <c r="J10"/>
  <c r="E10"/>
  <c r="G6"/>
  <c r="M31" i="87"/>
  <c r="M33"/>
  <c r="M30"/>
  <c r="M29"/>
  <c r="M26"/>
  <c r="M24"/>
  <c r="P13"/>
  <c r="H28" i="88" l="1"/>
  <c r="E15"/>
  <c r="J15"/>
  <c r="K6"/>
  <c r="D36"/>
  <c r="L35"/>
  <c r="M32"/>
  <c r="M36"/>
  <c r="L32"/>
  <c r="O26"/>
  <c r="N26" s="1"/>
  <c r="O25"/>
  <c r="U25" s="1"/>
  <c r="O22"/>
  <c r="J35"/>
  <c r="G35"/>
  <c r="O34"/>
  <c r="U34" s="1"/>
  <c r="G32"/>
  <c r="F29"/>
  <c r="F32" s="1"/>
  <c r="L10"/>
  <c r="N10" s="1"/>
  <c r="Q10" s="1"/>
  <c r="O27"/>
  <c r="N27" s="1"/>
  <c r="G28"/>
  <c r="G23"/>
  <c r="G36"/>
  <c r="O29"/>
  <c r="U29" s="1"/>
  <c r="H36"/>
  <c r="L28"/>
  <c r="L36"/>
  <c r="L12"/>
  <c r="N12" s="1"/>
  <c r="Q12" s="1"/>
  <c r="M28"/>
  <c r="O21"/>
  <c r="N21" s="1"/>
  <c r="O24"/>
  <c r="N29"/>
  <c r="O30"/>
  <c r="O31"/>
  <c r="N31" s="1"/>
  <c r="L11"/>
  <c r="N11" s="1"/>
  <c r="Q11" s="1"/>
  <c r="L13"/>
  <c r="N13" s="1"/>
  <c r="Q13" s="1"/>
  <c r="J21"/>
  <c r="F22"/>
  <c r="I23"/>
  <c r="M23"/>
  <c r="F24"/>
  <c r="J24"/>
  <c r="J28" s="1"/>
  <c r="F25"/>
  <c r="H29"/>
  <c r="H32" s="1"/>
  <c r="J31"/>
  <c r="J32" s="1"/>
  <c r="I35"/>
  <c r="M35"/>
  <c r="F33"/>
  <c r="F35" s="1"/>
  <c r="D23"/>
  <c r="H23"/>
  <c r="L23"/>
  <c r="F26"/>
  <c r="O33"/>
  <c r="P12" i="87"/>
  <c r="N22" i="88" l="1"/>
  <c r="U22"/>
  <c r="N34"/>
  <c r="N25"/>
  <c r="U26"/>
  <c r="Q15"/>
  <c r="L15"/>
  <c r="F28"/>
  <c r="U27"/>
  <c r="O35"/>
  <c r="U33"/>
  <c r="N33"/>
  <c r="F36"/>
  <c r="F23"/>
  <c r="N30"/>
  <c r="N32" s="1"/>
  <c r="U30"/>
  <c r="J23"/>
  <c r="J36"/>
  <c r="O36"/>
  <c r="U36" s="1"/>
  <c r="O23"/>
  <c r="U21"/>
  <c r="U24"/>
  <c r="O28"/>
  <c r="N24"/>
  <c r="O32"/>
  <c r="U31"/>
  <c r="N15"/>
  <c r="M22" i="87"/>
  <c r="I33"/>
  <c r="I31"/>
  <c r="I30"/>
  <c r="I29"/>
  <c r="I25"/>
  <c r="I22"/>
  <c r="N28" i="88" l="1"/>
  <c r="N35"/>
  <c r="N23"/>
  <c r="N36"/>
  <c r="E6" i="87"/>
  <c r="K24"/>
  <c r="M34"/>
  <c r="M25"/>
  <c r="K33"/>
  <c r="K31"/>
  <c r="K27"/>
  <c r="K26"/>
  <c r="K22"/>
  <c r="M32" l="1"/>
  <c r="I24"/>
  <c r="I21"/>
  <c r="K21"/>
  <c r="G6" l="1"/>
  <c r="L31"/>
  <c r="L22"/>
  <c r="M21"/>
  <c r="L21" s="1"/>
  <c r="O34"/>
  <c r="U34" s="1"/>
  <c r="F30"/>
  <c r="O25"/>
  <c r="F22"/>
  <c r="S36"/>
  <c r="I36"/>
  <c r="E36"/>
  <c r="I35"/>
  <c r="E35"/>
  <c r="L34"/>
  <c r="J34"/>
  <c r="H34"/>
  <c r="D34"/>
  <c r="T33"/>
  <c r="M35"/>
  <c r="K35"/>
  <c r="J33"/>
  <c r="H33"/>
  <c r="H35" s="1"/>
  <c r="D33"/>
  <c r="D35" s="1"/>
  <c r="E32"/>
  <c r="T31"/>
  <c r="J31"/>
  <c r="H31"/>
  <c r="D31"/>
  <c r="L30"/>
  <c r="J30"/>
  <c r="H30"/>
  <c r="D30"/>
  <c r="L29"/>
  <c r="J29"/>
  <c r="I32"/>
  <c r="H29"/>
  <c r="D29"/>
  <c r="M28"/>
  <c r="I28"/>
  <c r="E28"/>
  <c r="T27"/>
  <c r="L27"/>
  <c r="J27"/>
  <c r="H27"/>
  <c r="D27"/>
  <c r="T26"/>
  <c r="L26"/>
  <c r="J26"/>
  <c r="H26"/>
  <c r="D26"/>
  <c r="L25"/>
  <c r="J25"/>
  <c r="H25"/>
  <c r="D25"/>
  <c r="L24"/>
  <c r="K28"/>
  <c r="H24"/>
  <c r="D24"/>
  <c r="I23"/>
  <c r="E23"/>
  <c r="J22"/>
  <c r="H22"/>
  <c r="D22"/>
  <c r="K36"/>
  <c r="H21"/>
  <c r="D21"/>
  <c r="P15"/>
  <c r="I15"/>
  <c r="H15"/>
  <c r="G15"/>
  <c r="H6" s="1"/>
  <c r="D15"/>
  <c r="B15"/>
  <c r="J13"/>
  <c r="E13"/>
  <c r="J12"/>
  <c r="E12"/>
  <c r="J11"/>
  <c r="E11"/>
  <c r="J10"/>
  <c r="E10"/>
  <c r="H26" i="86"/>
  <c r="M33"/>
  <c r="M22"/>
  <c r="P11"/>
  <c r="P13"/>
  <c r="M31"/>
  <c r="M30"/>
  <c r="M29"/>
  <c r="M24"/>
  <c r="M26"/>
  <c r="K33"/>
  <c r="K31"/>
  <c r="K26"/>
  <c r="K22"/>
  <c r="I31"/>
  <c r="I30"/>
  <c r="I29"/>
  <c r="I22"/>
  <c r="O21" i="87" l="1"/>
  <c r="J35"/>
  <c r="F34"/>
  <c r="H32"/>
  <c r="L32"/>
  <c r="M23"/>
  <c r="K6"/>
  <c r="L11"/>
  <c r="N11" s="1"/>
  <c r="Q11" s="1"/>
  <c r="L28"/>
  <c r="J32"/>
  <c r="H28"/>
  <c r="D32"/>
  <c r="D28"/>
  <c r="D36"/>
  <c r="J15"/>
  <c r="E15"/>
  <c r="H36"/>
  <c r="H23"/>
  <c r="N25"/>
  <c r="U25"/>
  <c r="L23"/>
  <c r="O22"/>
  <c r="O29"/>
  <c r="J21"/>
  <c r="J24"/>
  <c r="J28" s="1"/>
  <c r="F25"/>
  <c r="F29"/>
  <c r="K32"/>
  <c r="N34"/>
  <c r="M36"/>
  <c r="D23"/>
  <c r="L33"/>
  <c r="L35" s="1"/>
  <c r="O30"/>
  <c r="F21"/>
  <c r="T36"/>
  <c r="G23"/>
  <c r="K23"/>
  <c r="K30" i="86"/>
  <c r="K29"/>
  <c r="K27"/>
  <c r="K24"/>
  <c r="K21"/>
  <c r="L36" i="87" l="1"/>
  <c r="F23"/>
  <c r="J36"/>
  <c r="J23"/>
  <c r="U22"/>
  <c r="N22"/>
  <c r="U30"/>
  <c r="N30"/>
  <c r="U29"/>
  <c r="N29"/>
  <c r="O23"/>
  <c r="U21"/>
  <c r="N21"/>
  <c r="I26" i="86"/>
  <c r="I24"/>
  <c r="I21"/>
  <c r="N23" i="87" l="1"/>
  <c r="P15" i="86"/>
  <c r="M35" l="1"/>
  <c r="L31"/>
  <c r="L29"/>
  <c r="L26"/>
  <c r="M27"/>
  <c r="M25"/>
  <c r="L25" s="1"/>
  <c r="M21"/>
  <c r="H31"/>
  <c r="H30"/>
  <c r="I25"/>
  <c r="H25" s="1"/>
  <c r="H24"/>
  <c r="G34"/>
  <c r="O34" s="1"/>
  <c r="V34" s="1"/>
  <c r="G26"/>
  <c r="G25"/>
  <c r="F25" s="1"/>
  <c r="G24"/>
  <c r="F21"/>
  <c r="T36"/>
  <c r="E36"/>
  <c r="K35"/>
  <c r="I35"/>
  <c r="E35"/>
  <c r="L34"/>
  <c r="J34"/>
  <c r="H34"/>
  <c r="D34"/>
  <c r="U33"/>
  <c r="J33"/>
  <c r="H33"/>
  <c r="H35" s="1"/>
  <c r="D33"/>
  <c r="K32"/>
  <c r="E32"/>
  <c r="U31"/>
  <c r="J31"/>
  <c r="D31"/>
  <c r="J30"/>
  <c r="D30"/>
  <c r="J29"/>
  <c r="D29"/>
  <c r="E28"/>
  <c r="U27"/>
  <c r="L27"/>
  <c r="H27"/>
  <c r="D27"/>
  <c r="U26"/>
  <c r="J26"/>
  <c r="D26"/>
  <c r="J25"/>
  <c r="D25"/>
  <c r="K28"/>
  <c r="J24"/>
  <c r="D24"/>
  <c r="I23"/>
  <c r="E23"/>
  <c r="K36"/>
  <c r="J22"/>
  <c r="H22"/>
  <c r="D22"/>
  <c r="J21"/>
  <c r="H21"/>
  <c r="D21"/>
  <c r="I15"/>
  <c r="B15"/>
  <c r="J13"/>
  <c r="J12"/>
  <c r="J11"/>
  <c r="H15"/>
  <c r="J10"/>
  <c r="G6"/>
  <c r="T36" i="85"/>
  <c r="U21"/>
  <c r="U22"/>
  <c r="U36" s="1"/>
  <c r="U24"/>
  <c r="U26"/>
  <c r="U27"/>
  <c r="U31"/>
  <c r="U33"/>
  <c r="K33"/>
  <c r="K31"/>
  <c r="K26"/>
  <c r="K24"/>
  <c r="K22"/>
  <c r="L11" i="86" l="1"/>
  <c r="N11" s="1"/>
  <c r="Q11" s="1"/>
  <c r="O22"/>
  <c r="J35"/>
  <c r="J23"/>
  <c r="D32"/>
  <c r="L33"/>
  <c r="L35" s="1"/>
  <c r="L22"/>
  <c r="D35"/>
  <c r="D28"/>
  <c r="D36"/>
  <c r="M32"/>
  <c r="L30"/>
  <c r="L32" s="1"/>
  <c r="O26"/>
  <c r="N26" s="1"/>
  <c r="M28"/>
  <c r="L24"/>
  <c r="L28" s="1"/>
  <c r="M36"/>
  <c r="O21"/>
  <c r="V21" s="1"/>
  <c r="M23"/>
  <c r="L21"/>
  <c r="I32"/>
  <c r="H29"/>
  <c r="H32" s="1"/>
  <c r="F34"/>
  <c r="F26"/>
  <c r="O24"/>
  <c r="V24" s="1"/>
  <c r="F24"/>
  <c r="F22"/>
  <c r="F23" s="1"/>
  <c r="J15"/>
  <c r="H23"/>
  <c r="H28"/>
  <c r="J32"/>
  <c r="G15"/>
  <c r="H6" s="1"/>
  <c r="K6" s="1"/>
  <c r="D23"/>
  <c r="O25"/>
  <c r="J27"/>
  <c r="J28" s="1"/>
  <c r="I28"/>
  <c r="N34"/>
  <c r="I36"/>
  <c r="U36"/>
  <c r="G23"/>
  <c r="K23"/>
  <c r="I24" i="85"/>
  <c r="I22"/>
  <c r="I21"/>
  <c r="V22" i="86" l="1"/>
  <c r="N22"/>
  <c r="J36"/>
  <c r="V26"/>
  <c r="L36"/>
  <c r="L23"/>
  <c r="O23"/>
  <c r="N21"/>
  <c r="N24"/>
  <c r="H36"/>
  <c r="N25"/>
  <c r="V25"/>
  <c r="H10" i="85"/>
  <c r="N23" i="86" l="1"/>
  <c r="K30" i="85"/>
  <c r="K29"/>
  <c r="K27"/>
  <c r="M34" l="1"/>
  <c r="M21"/>
  <c r="P13" l="1"/>
  <c r="D13" i="86" s="1"/>
  <c r="E13" s="1"/>
  <c r="P12" i="85"/>
  <c r="D12" i="86" s="1"/>
  <c r="E12" s="1"/>
  <c r="P11" i="85"/>
  <c r="D11" i="86" s="1"/>
  <c r="E11" s="1"/>
  <c r="P10" i="85" l="1"/>
  <c r="D10" i="86" s="1"/>
  <c r="D15" l="1"/>
  <c r="E10"/>
  <c r="E15" s="1"/>
  <c r="P13" i="83"/>
  <c r="P12"/>
  <c r="P11"/>
  <c r="P10"/>
  <c r="P13" i="82"/>
  <c r="P12"/>
  <c r="P11"/>
  <c r="P10"/>
  <c r="I25" i="85" l="1"/>
  <c r="G24" l="1"/>
  <c r="E36" l="1"/>
  <c r="I35"/>
  <c r="E35"/>
  <c r="L34"/>
  <c r="J34"/>
  <c r="H34"/>
  <c r="D34"/>
  <c r="M35"/>
  <c r="L33"/>
  <c r="J33"/>
  <c r="H33"/>
  <c r="D33"/>
  <c r="M32"/>
  <c r="I32"/>
  <c r="E32"/>
  <c r="L31"/>
  <c r="J31"/>
  <c r="H31"/>
  <c r="D31"/>
  <c r="L30"/>
  <c r="J30"/>
  <c r="H30"/>
  <c r="D30"/>
  <c r="L29"/>
  <c r="J29"/>
  <c r="H29"/>
  <c r="D29"/>
  <c r="D32" s="1"/>
  <c r="M28"/>
  <c r="I28"/>
  <c r="E28"/>
  <c r="L27"/>
  <c r="J27"/>
  <c r="H27"/>
  <c r="D27"/>
  <c r="L26"/>
  <c r="D26"/>
  <c r="L25"/>
  <c r="J25"/>
  <c r="H25"/>
  <c r="D25"/>
  <c r="L24"/>
  <c r="J24"/>
  <c r="H24"/>
  <c r="D24"/>
  <c r="K23"/>
  <c r="E23"/>
  <c r="L22"/>
  <c r="J22"/>
  <c r="H22"/>
  <c r="D22"/>
  <c r="J21"/>
  <c r="D21"/>
  <c r="I15"/>
  <c r="H15"/>
  <c r="G15"/>
  <c r="H6" s="1"/>
  <c r="D15"/>
  <c r="B15"/>
  <c r="J13"/>
  <c r="E13"/>
  <c r="J12"/>
  <c r="E12"/>
  <c r="J11"/>
  <c r="E11"/>
  <c r="J10"/>
  <c r="E10"/>
  <c r="G6"/>
  <c r="J35" l="1"/>
  <c r="H28"/>
  <c r="J23"/>
  <c r="H35"/>
  <c r="K6"/>
  <c r="D35"/>
  <c r="D28"/>
  <c r="L28"/>
  <c r="L32"/>
  <c r="L35"/>
  <c r="H32"/>
  <c r="E15"/>
  <c r="I23"/>
  <c r="H21"/>
  <c r="I36"/>
  <c r="J26"/>
  <c r="J28" s="1"/>
  <c r="K28"/>
  <c r="D23"/>
  <c r="D36"/>
  <c r="J36"/>
  <c r="J32"/>
  <c r="K35"/>
  <c r="K36"/>
  <c r="J15"/>
  <c r="M23"/>
  <c r="L21"/>
  <c r="M36"/>
  <c r="K32"/>
  <c r="G34" i="83"/>
  <c r="G33"/>
  <c r="G31"/>
  <c r="G30"/>
  <c r="G29"/>
  <c r="G27"/>
  <c r="G26"/>
  <c r="G25"/>
  <c r="G24"/>
  <c r="G22"/>
  <c r="G21"/>
  <c r="H23" i="85" l="1"/>
  <c r="H36"/>
  <c r="L23"/>
  <c r="L36"/>
  <c r="G34" l="1"/>
  <c r="G33"/>
  <c r="G31"/>
  <c r="G30"/>
  <c r="G29"/>
  <c r="G27"/>
  <c r="G25"/>
  <c r="G26"/>
  <c r="G21"/>
  <c r="G22"/>
  <c r="L12" l="1"/>
  <c r="N12" s="1"/>
  <c r="L13"/>
  <c r="N13" s="1"/>
  <c r="Q13" s="1"/>
  <c r="F34"/>
  <c r="O34"/>
  <c r="V34" s="1"/>
  <c r="G35"/>
  <c r="F33"/>
  <c r="O33"/>
  <c r="V33" s="1"/>
  <c r="F31"/>
  <c r="O31"/>
  <c r="V31" s="1"/>
  <c r="O30"/>
  <c r="V30" s="1"/>
  <c r="F30"/>
  <c r="F29"/>
  <c r="L10"/>
  <c r="N10" s="1"/>
  <c r="O29"/>
  <c r="V29" s="1"/>
  <c r="G32"/>
  <c r="O27"/>
  <c r="V27" s="1"/>
  <c r="F27"/>
  <c r="F25"/>
  <c r="O25"/>
  <c r="V25" s="1"/>
  <c r="O24"/>
  <c r="V24" s="1"/>
  <c r="F24"/>
  <c r="F26"/>
  <c r="G28"/>
  <c r="O26"/>
  <c r="V26" s="1"/>
  <c r="F21"/>
  <c r="O21"/>
  <c r="V21" s="1"/>
  <c r="G23"/>
  <c r="F22"/>
  <c r="L11"/>
  <c r="O22"/>
  <c r="V22" s="1"/>
  <c r="G36"/>
  <c r="M31" i="83"/>
  <c r="M30"/>
  <c r="M29"/>
  <c r="M24"/>
  <c r="T24"/>
  <c r="T33"/>
  <c r="T22"/>
  <c r="T31"/>
  <c r="F35" i="85" l="1"/>
  <c r="F32"/>
  <c r="F28"/>
  <c r="N34"/>
  <c r="O35"/>
  <c r="N33"/>
  <c r="N31"/>
  <c r="N30"/>
  <c r="N29"/>
  <c r="O32"/>
  <c r="N27"/>
  <c r="N25"/>
  <c r="N24"/>
  <c r="N26"/>
  <c r="O28"/>
  <c r="N21"/>
  <c r="F36"/>
  <c r="F23"/>
  <c r="N22"/>
  <c r="O23"/>
  <c r="O36"/>
  <c r="V36" s="1"/>
  <c r="N11"/>
  <c r="L15"/>
  <c r="M33" i="83"/>
  <c r="M27"/>
  <c r="M26"/>
  <c r="M22"/>
  <c r="M21"/>
  <c r="N35" i="85" l="1"/>
  <c r="N32"/>
  <c r="N28"/>
  <c r="N36"/>
  <c r="N23"/>
  <c r="Q11"/>
  <c r="N15"/>
  <c r="I29" i="83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  <c r="Q12" i="85" l="1"/>
  <c r="P15" l="1"/>
  <c r="Q10"/>
  <c r="Q15" s="1"/>
  <c r="G33" i="86" l="1"/>
  <c r="G31"/>
  <c r="G30"/>
  <c r="G29"/>
  <c r="G27"/>
  <c r="F33" l="1"/>
  <c r="F35" s="1"/>
  <c r="O33"/>
  <c r="G35"/>
  <c r="L12"/>
  <c r="N12" s="1"/>
  <c r="Q12" s="1"/>
  <c r="O31"/>
  <c r="F31"/>
  <c r="F30"/>
  <c r="O30"/>
  <c r="L10"/>
  <c r="N10" s="1"/>
  <c r="Q10" s="1"/>
  <c r="F29"/>
  <c r="O29"/>
  <c r="G32"/>
  <c r="F27"/>
  <c r="O27"/>
  <c r="G28"/>
  <c r="L13"/>
  <c r="G36"/>
  <c r="V33" l="1"/>
  <c r="X33" s="1"/>
  <c r="O35"/>
  <c r="N33"/>
  <c r="N35" s="1"/>
  <c r="N31"/>
  <c r="V31"/>
  <c r="X31" s="1"/>
  <c r="V30"/>
  <c r="N30"/>
  <c r="F32"/>
  <c r="V29"/>
  <c r="O32"/>
  <c r="N29"/>
  <c r="N27"/>
  <c r="V27"/>
  <c r="O36"/>
  <c r="V36" s="1"/>
  <c r="O28"/>
  <c r="F36"/>
  <c r="F28"/>
  <c r="N13"/>
  <c r="L15"/>
  <c r="N32" l="1"/>
  <c r="N36"/>
  <c r="N28"/>
  <c r="Q13"/>
  <c r="Q15" s="1"/>
  <c r="N15"/>
  <c r="F33" i="87" l="1"/>
  <c r="F35" s="1"/>
  <c r="G35"/>
  <c r="L12"/>
  <c r="N12" s="1"/>
  <c r="Q12" s="1"/>
  <c r="O33"/>
  <c r="F31"/>
  <c r="F32" s="1"/>
  <c r="G32"/>
  <c r="L10"/>
  <c r="N10" s="1"/>
  <c r="Q10" s="1"/>
  <c r="O31"/>
  <c r="O27"/>
  <c r="F27"/>
  <c r="F26"/>
  <c r="O26"/>
  <c r="O24"/>
  <c r="L13"/>
  <c r="G36"/>
  <c r="G28"/>
  <c r="F24"/>
  <c r="U33" l="1"/>
  <c r="N33"/>
  <c r="N35" s="1"/>
  <c r="O35"/>
  <c r="N31"/>
  <c r="N32" s="1"/>
  <c r="O32"/>
  <c r="U31"/>
  <c r="N27"/>
  <c r="U27"/>
  <c r="N26"/>
  <c r="U26"/>
  <c r="F28"/>
  <c r="F36"/>
  <c r="N24"/>
  <c r="U24"/>
  <c r="O28"/>
  <c r="O36"/>
  <c r="U36" s="1"/>
  <c r="N13"/>
  <c r="L15"/>
  <c r="Q13" l="1"/>
  <c r="Q15" s="1"/>
  <c r="N15"/>
  <c r="N28"/>
  <c r="N36"/>
</calcChain>
</file>

<file path=xl/sharedStrings.xml><?xml version="1.0" encoding="utf-8"?>
<sst xmlns="http://schemas.openxmlformats.org/spreadsheetml/2006/main" count="526" uniqueCount="78">
  <si>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</si>
  <si>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</si>
  <si>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</si>
  <si>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</si>
  <si>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</si>
  <si>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</si>
  <si>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</si>
  <si>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</si>
  <si>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</si>
  <si>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</si>
  <si>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</si>
  <si>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</si>
  <si>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</si>
  <si>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</si>
  <si>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</si>
  <si>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</si>
  <si>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</si>
  <si>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</si>
  <si>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</si>
  <si>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</si>
  <si>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</si>
  <si>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</si>
  <si>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</si>
  <si>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</si>
  <si>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</si>
  <si>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</si>
  <si>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</si>
  <si>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</si>
  <si>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</si>
  <si>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</si>
  <si>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</si>
  <si>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</si>
  <si>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</si>
  <si>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</si>
  <si>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</si>
  <si>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</si>
  <si>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</si>
  <si>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</si>
  <si>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</si>
  <si>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</si>
  <si>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</si>
  <si>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</si>
  <si>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</si>
  <si>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</si>
  <si>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</si>
  <si>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</si>
  <si>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</si>
  <si>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</si>
  <si>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</si>
  <si>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</si>
  <si>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</si>
  <si>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</si>
  <si>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</si>
  <si>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</si>
  <si>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</si>
  <si>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</si>
  <si>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</si>
  <si>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</si>
  <si>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</si>
  <si>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</si>
  <si>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</si>
  <si>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</si>
  <si>
    <t>PACKED TEA  STATEMENT AS ON (01.07.2021 TO 31.07.2021)</t>
  </si>
  <si>
    <t>BLENDED TEA  STATEMENT AS ON (01.07.2021 TO 31.07.2021)</t>
  </si>
  <si>
    <t>Destination Wise Production , Despatch and Stock Report for the month of July 01.07.2021 to 31.07.2021</t>
  </si>
  <si>
    <t>ORIGINAL/BLACK TEA  STATEMENT  AS ON  (01.07.2021 to 31.07.2021)</t>
  </si>
  <si>
    <t>Destination Wise Production , Despatch and Stock Report for the month of August 01.08.2021 to 31.08.2021</t>
  </si>
  <si>
    <t>ORIGINAL/BLACK TEA  STATEMENT  AS ON  (01.08.2021 to 31.08.2021)</t>
  </si>
  <si>
    <t>BLENDED TEA  STATEMENT AS ON (01.08.2021 TO 31.08.2021)</t>
  </si>
  <si>
    <t>PACKED TEA  STATEMENT AS ON (01.08.2021 TO 31.08.2021)</t>
  </si>
  <si>
    <t>PACKED TEA  STATEMENT AS ON (01.09.2021 TO 30.09.2021)</t>
  </si>
  <si>
    <t>ORIGINAL/BLACK TEA  STATEMENT  AS ON  (01.09.2021 to 30.09.2021)</t>
  </si>
  <si>
    <t>BLENDED TEA  STATEMENT AS ON (01.09.2021 TO 30.09.2021)</t>
  </si>
  <si>
    <t>Destination Wise Production , Despatch and Stock Report for the month of September 01.09.2021 to 30.09.2021</t>
  </si>
  <si>
    <t>Destination Wise Production , Despatch and Stock Report for the month of October 01.10.2021 to 31.10.2021</t>
  </si>
  <si>
    <t>ORIGINAL/BLACK TEA  STATEMENT  AS ON  (01.10.2021 to 31.10.2021)</t>
  </si>
  <si>
    <t>PACKED TEA  STATEMENT AS ON (01.10.2021 TO 31.10.2021)</t>
  </si>
  <si>
    <t>BLENDED TEA  STATEMENT AS ON (01.10.2021 TO 30.10.2021)</t>
  </si>
</sst>
</file>

<file path=xl/styles.xml><?xml version="1.0" encoding="utf-8"?>
<styleSheet xmlns="http://schemas.openxmlformats.org/spreadsheetml/2006/main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b/>
      <i/>
      <sz val="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69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/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right"/>
    </xf>
    <xf numFmtId="2" fontId="2" fillId="0" borderId="46" xfId="0" applyNumberFormat="1" applyFont="1" applyBorder="1"/>
    <xf numFmtId="1" fontId="1" fillId="2" borderId="0" xfId="0" applyNumberFormat="1" applyFont="1" applyFill="1" applyBorder="1" applyAlignment="1">
      <alignment horizontal="center"/>
    </xf>
    <xf numFmtId="1" fontId="11" fillId="2" borderId="0" xfId="0" applyNumberFormat="1" applyFont="1" applyFill="1" applyBorder="1" applyAlignment="1">
      <alignment horizontal="center"/>
    </xf>
    <xf numFmtId="1" fontId="12" fillId="2" borderId="0" xfId="0" applyNumberFormat="1" applyFont="1" applyFill="1" applyBorder="1" applyAlignment="1">
      <alignment horizontal="center"/>
    </xf>
    <xf numFmtId="0" fontId="10" fillId="2" borderId="0" xfId="0" applyFont="1" applyFill="1" applyBorder="1"/>
    <xf numFmtId="49" fontId="11" fillId="2" borderId="0" xfId="0" applyNumberFormat="1" applyFont="1" applyFill="1" applyBorder="1" applyAlignment="1">
      <alignment horizontal="center" vertical="center"/>
    </xf>
    <xf numFmtId="1" fontId="7" fillId="2" borderId="0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13" fillId="2" borderId="25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0" fontId="3" fillId="0" borderId="3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0" fontId="4" fillId="0" borderId="2" xfId="0" applyFont="1" applyBorder="1"/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2" fontId="1" fillId="2" borderId="0" xfId="0" applyNumberFormat="1" applyFont="1" applyFill="1" applyBorder="1" applyAlignment="1">
      <alignment horizontal="center"/>
    </xf>
    <xf numFmtId="2" fontId="1" fillId="2" borderId="12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Sheet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30026.959999999999</v>
          </cell>
        </row>
        <row r="25">
          <cell r="K25">
            <v>3042.56</v>
          </cell>
        </row>
        <row r="35">
          <cell r="K35">
            <v>14868</v>
          </cell>
        </row>
        <row r="45">
          <cell r="K45">
            <v>0</v>
          </cell>
        </row>
      </sheetData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1032</v>
          </cell>
          <cell r="C30">
            <v>2736</v>
          </cell>
          <cell r="D30">
            <v>10140</v>
          </cell>
          <cell r="E30">
            <v>576</v>
          </cell>
          <cell r="F30">
            <v>0</v>
          </cell>
          <cell r="G30">
            <v>0</v>
          </cell>
          <cell r="H30">
            <v>1152</v>
          </cell>
          <cell r="I30">
            <v>744</v>
          </cell>
          <cell r="J30">
            <v>13776</v>
          </cell>
          <cell r="K30">
            <v>2856</v>
          </cell>
          <cell r="L30">
            <v>132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42"/>
  <sheetViews>
    <sheetView topLeftCell="A16" zoomScaleNormal="100" workbookViewId="0">
      <selection activeCell="T33" sqref="T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46" t="s">
        <v>49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23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</row>
    <row r="3" spans="1:23" ht="15.75" thickBot="1">
      <c r="A3" s="248" t="s">
        <v>50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3">
      <c r="A4" s="250"/>
      <c r="B4" s="251"/>
      <c r="C4" s="254" t="s">
        <v>46</v>
      </c>
      <c r="D4" s="255"/>
      <c r="E4" s="56" t="s">
        <v>0</v>
      </c>
      <c r="F4" s="256" t="s">
        <v>24</v>
      </c>
      <c r="G4" s="93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3" ht="15.75" thickBot="1">
      <c r="A5" s="252"/>
      <c r="B5" s="253"/>
      <c r="C5" s="259" t="s">
        <v>4</v>
      </c>
      <c r="D5" s="260"/>
      <c r="E5" s="57" t="s">
        <v>5</v>
      </c>
      <c r="F5" s="257"/>
      <c r="G5" s="95"/>
      <c r="H5" s="233" t="s">
        <v>5</v>
      </c>
      <c r="I5" s="234"/>
      <c r="J5" s="235"/>
      <c r="K5" s="259" t="s">
        <v>5</v>
      </c>
      <c r="L5" s="260"/>
      <c r="M5" s="55"/>
      <c r="T5" s="29"/>
      <c r="U5" s="29"/>
    </row>
    <row r="6" spans="1:23" ht="15.75" thickBot="1">
      <c r="A6" s="261"/>
      <c r="B6" s="262"/>
      <c r="C6" s="263">
        <v>666070.9</v>
      </c>
      <c r="D6" s="264"/>
      <c r="E6" s="54"/>
      <c r="F6" s="97"/>
      <c r="G6" s="91">
        <f>C6+E6+F6</f>
        <v>666070.9</v>
      </c>
      <c r="H6" s="263">
        <f>G15</f>
        <v>160041.90000000002</v>
      </c>
      <c r="I6" s="219"/>
      <c r="J6" s="264"/>
      <c r="K6" s="199">
        <f>G6-H6</f>
        <v>506029</v>
      </c>
      <c r="L6" s="200"/>
      <c r="M6" s="55"/>
      <c r="O6" s="29"/>
      <c r="Q6" s="29"/>
    </row>
    <row r="7" spans="1:23" ht="13.5" customHeight="1" thickBot="1">
      <c r="A7" s="245" t="s">
        <v>51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U7" s="29"/>
    </row>
    <row r="8" spans="1:23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96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</row>
    <row r="9" spans="1:23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94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</row>
    <row r="10" spans="1:23" ht="15.75" customHeight="1" thickBot="1">
      <c r="A10" s="58" t="s">
        <v>8</v>
      </c>
      <c r="B10" s="199">
        <v>2060.5</v>
      </c>
      <c r="C10" s="219"/>
      <c r="D10" s="60">
        <v>0</v>
      </c>
      <c r="E10" s="199">
        <f>B10-D10</f>
        <v>2060.5</v>
      </c>
      <c r="F10" s="200"/>
      <c r="G10" s="92">
        <f>36127.6+36854+36195.2</f>
        <v>109176.8</v>
      </c>
      <c r="H10" s="60">
        <f>145+147.41</f>
        <v>292.40999999999997</v>
      </c>
      <c r="I10" s="60"/>
      <c r="J10" s="199">
        <f>B10+G10+H10+I10</f>
        <v>111529.71</v>
      </c>
      <c r="K10" s="200"/>
      <c r="L10" s="199">
        <f>G29+G30+G31</f>
        <v>74136</v>
      </c>
      <c r="M10" s="220"/>
      <c r="N10" s="199">
        <f>J10-L10</f>
        <v>37393.710000000006</v>
      </c>
      <c r="O10" s="200"/>
      <c r="P10" s="60">
        <f>'[1]April 2021-22'!$K$41</f>
        <v>28956.159999999996</v>
      </c>
      <c r="Q10" s="199">
        <f>N10-P10</f>
        <v>8437.5500000000102</v>
      </c>
      <c r="R10" s="224"/>
      <c r="S10" s="32"/>
    </row>
    <row r="11" spans="1:23" ht="15.75" thickBot="1">
      <c r="A11" s="58" t="s">
        <v>9</v>
      </c>
      <c r="B11" s="199">
        <v>6061.85</v>
      </c>
      <c r="C11" s="219"/>
      <c r="D11" s="60">
        <v>0</v>
      </c>
      <c r="E11" s="199">
        <f t="shared" ref="E11:E13" si="0">B11-D11</f>
        <v>6061.85</v>
      </c>
      <c r="F11" s="200"/>
      <c r="G11" s="92">
        <v>15212.8</v>
      </c>
      <c r="H11" s="60"/>
      <c r="I11" s="60"/>
      <c r="J11" s="199">
        <f>B11+G11+H11+I11</f>
        <v>21274.65</v>
      </c>
      <c r="K11" s="200"/>
      <c r="L11" s="199">
        <f>SUM(G21:G22)</f>
        <v>8664</v>
      </c>
      <c r="M11" s="220"/>
      <c r="N11" s="231">
        <f>J11-L11</f>
        <v>12610.650000000001</v>
      </c>
      <c r="O11" s="232"/>
      <c r="P11" s="61">
        <f>'[1]April 2021-22'!$K$65</f>
        <v>12170.24</v>
      </c>
      <c r="Q11" s="199">
        <f t="shared" ref="Q11:Q13" si="1">N11-P11</f>
        <v>440.41000000000167</v>
      </c>
      <c r="R11" s="224"/>
      <c r="S11" s="32"/>
    </row>
    <row r="12" spans="1:23" ht="15.75" customHeight="1" thickBot="1">
      <c r="A12" s="58" t="s">
        <v>10</v>
      </c>
      <c r="B12" s="199">
        <v>11800.7</v>
      </c>
      <c r="C12" s="219"/>
      <c r="D12" s="60">
        <v>0</v>
      </c>
      <c r="E12" s="199">
        <f t="shared" si="0"/>
        <v>11800.7</v>
      </c>
      <c r="F12" s="200"/>
      <c r="G12" s="92"/>
      <c r="H12" s="60"/>
      <c r="I12" s="60"/>
      <c r="J12" s="199">
        <f>B12+G12+H12+I12</f>
        <v>11800.7</v>
      </c>
      <c r="K12" s="200"/>
      <c r="L12" s="199">
        <f>SUM(G33:G34)</f>
        <v>7560</v>
      </c>
      <c r="M12" s="224"/>
      <c r="N12" s="199">
        <f>J12-L12</f>
        <v>4240.7000000000007</v>
      </c>
      <c r="O12" s="200"/>
      <c r="P12" s="61">
        <f>'[1]April 2021-22'!$K$57</f>
        <v>0</v>
      </c>
      <c r="Q12" s="199">
        <f t="shared" si="1"/>
        <v>4240.7000000000007</v>
      </c>
      <c r="R12" s="224"/>
    </row>
    <row r="13" spans="1:23" ht="15.75" thickBot="1">
      <c r="A13" s="58" t="s">
        <v>30</v>
      </c>
      <c r="B13" s="199">
        <v>30749.88</v>
      </c>
      <c r="C13" s="219"/>
      <c r="D13" s="60">
        <v>0</v>
      </c>
      <c r="E13" s="199">
        <f t="shared" si="0"/>
        <v>30749.88</v>
      </c>
      <c r="F13" s="200"/>
      <c r="G13" s="92">
        <f>35652.3</f>
        <v>35652.300000000003</v>
      </c>
      <c r="H13" s="60"/>
      <c r="I13" s="60"/>
      <c r="J13" s="199">
        <f>B13+G13+H13+I13</f>
        <v>66402.180000000008</v>
      </c>
      <c r="K13" s="200"/>
      <c r="L13" s="199">
        <f>G24+G25+G26+G27</f>
        <v>38302</v>
      </c>
      <c r="M13" s="224"/>
      <c r="N13" s="199">
        <f>J13-L13</f>
        <v>28100.180000000008</v>
      </c>
      <c r="O13" s="200"/>
      <c r="P13" s="61">
        <f>'[1]April 2021-22'!$K$49</f>
        <v>21391.380000000005</v>
      </c>
      <c r="Q13" s="199">
        <f t="shared" si="1"/>
        <v>6708.8000000000029</v>
      </c>
      <c r="R13" s="224"/>
      <c r="U13" s="29"/>
      <c r="W13" s="29"/>
    </row>
    <row r="14" spans="1:23" ht="15.75" customHeight="1" thickBot="1">
      <c r="A14" s="58"/>
      <c r="B14" s="221"/>
      <c r="C14" s="222"/>
      <c r="D14" s="61"/>
      <c r="E14" s="221"/>
      <c r="F14" s="223"/>
      <c r="G14" s="92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T14" s="64"/>
    </row>
    <row r="15" spans="1:23" ht="15.75" thickBot="1">
      <c r="A15" s="59" t="s">
        <v>1</v>
      </c>
      <c r="B15" s="199">
        <f>SUM(B10:C14)</f>
        <v>50672.930000000008</v>
      </c>
      <c r="C15" s="200"/>
      <c r="D15" s="60">
        <f>SUM(D10:D14)</f>
        <v>0</v>
      </c>
      <c r="E15" s="199">
        <f>SUM(E10:F14)</f>
        <v>50672.930000000008</v>
      </c>
      <c r="F15" s="218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219">
        <f>SUM(J10:K14)</f>
        <v>211007.24000000005</v>
      </c>
      <c r="K15" s="200"/>
      <c r="L15" s="199">
        <f>SUM(L10:M14)</f>
        <v>128662</v>
      </c>
      <c r="M15" s="220"/>
      <c r="N15" s="199">
        <f>SUM(N10:O14)</f>
        <v>82345.24000000002</v>
      </c>
      <c r="O15" s="200"/>
      <c r="P15" s="60">
        <f>SUM(P10:P14)</f>
        <v>62517.78</v>
      </c>
      <c r="Q15" s="199">
        <f>SUM(Q10:R13)</f>
        <v>19827.460000000014</v>
      </c>
      <c r="R15" s="200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52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3" s="71" customFormat="1" ht="15.75" thickBot="1">
      <c r="A20" s="206"/>
      <c r="B20" s="207"/>
      <c r="C20" s="208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178" t="s">
        <v>15</v>
      </c>
      <c r="B24" s="179"/>
      <c r="C24" s="180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93" t="s">
        <v>47</v>
      </c>
      <c r="B26" s="194"/>
      <c r="C26" s="195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W42"/>
  <sheetViews>
    <sheetView topLeftCell="A16" zoomScaleNormal="100" workbookViewId="0">
      <selection activeCell="U33" sqref="U33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46" t="s">
        <v>54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</row>
    <row r="2" spans="1:23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</row>
    <row r="3" spans="1:23" ht="15.75" thickBot="1">
      <c r="A3" s="248" t="s">
        <v>55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3">
      <c r="A4" s="250"/>
      <c r="B4" s="251"/>
      <c r="C4" s="254" t="s">
        <v>46</v>
      </c>
      <c r="D4" s="255"/>
      <c r="E4" s="56" t="s">
        <v>0</v>
      </c>
      <c r="F4" s="256" t="s">
        <v>24</v>
      </c>
      <c r="G4" s="101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3" ht="15.75" thickBot="1">
      <c r="A5" s="252"/>
      <c r="B5" s="253"/>
      <c r="C5" s="259" t="s">
        <v>4</v>
      </c>
      <c r="D5" s="260"/>
      <c r="E5" s="57" t="s">
        <v>5</v>
      </c>
      <c r="F5" s="257"/>
      <c r="G5" s="103"/>
      <c r="H5" s="233" t="s">
        <v>5</v>
      </c>
      <c r="I5" s="234"/>
      <c r="J5" s="235"/>
      <c r="K5" s="259" t="s">
        <v>5</v>
      </c>
      <c r="L5" s="260"/>
      <c r="M5" s="55"/>
      <c r="T5" s="29"/>
      <c r="U5" s="29"/>
    </row>
    <row r="6" spans="1:23" ht="15.75" thickBot="1">
      <c r="A6" s="261"/>
      <c r="B6" s="262"/>
      <c r="C6" s="263">
        <v>506029</v>
      </c>
      <c r="D6" s="264"/>
      <c r="E6" s="54"/>
      <c r="F6" s="107"/>
      <c r="G6" s="104">
        <f>C6+E6+F6</f>
        <v>506029</v>
      </c>
      <c r="H6" s="263">
        <f>G15</f>
        <v>51224.7</v>
      </c>
      <c r="I6" s="219"/>
      <c r="J6" s="264"/>
      <c r="K6" s="199">
        <f>G6-H6</f>
        <v>454804.3</v>
      </c>
      <c r="L6" s="200"/>
      <c r="M6" s="55"/>
      <c r="O6" s="29"/>
      <c r="Q6" s="29"/>
    </row>
    <row r="7" spans="1:23" ht="13.5" customHeight="1" thickBot="1">
      <c r="A7" s="245" t="s">
        <v>56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U7" s="29"/>
    </row>
    <row r="8" spans="1:23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06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</row>
    <row r="9" spans="1:23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02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</row>
    <row r="10" spans="1:23" ht="15.75" customHeight="1" thickBot="1">
      <c r="A10" s="58" t="s">
        <v>8</v>
      </c>
      <c r="B10" s="199">
        <v>37393.71</v>
      </c>
      <c r="C10" s="219"/>
      <c r="D10" s="60">
        <v>28956.16</v>
      </c>
      <c r="E10" s="199">
        <f>B10-D10</f>
        <v>8437.5499999999993</v>
      </c>
      <c r="F10" s="200"/>
      <c r="G10" s="105">
        <v>35224</v>
      </c>
      <c r="H10" s="60">
        <v>144.78</v>
      </c>
      <c r="I10" s="60"/>
      <c r="J10" s="199">
        <f>B10+G10+H10+I10</f>
        <v>72762.489999999991</v>
      </c>
      <c r="K10" s="200"/>
      <c r="L10" s="199">
        <f>G29+G30+G31</f>
        <v>52536</v>
      </c>
      <c r="M10" s="220"/>
      <c r="N10" s="199">
        <f>J10-L10</f>
        <v>20226.489999999991</v>
      </c>
      <c r="O10" s="200"/>
      <c r="P10" s="60">
        <f>'[1]May 2021'!$K$15</f>
        <v>7044.7999999999993</v>
      </c>
      <c r="Q10" s="199">
        <f>N10-P10</f>
        <v>13181.689999999991</v>
      </c>
      <c r="R10" s="224"/>
      <c r="S10" s="32"/>
      <c r="U10" s="2" t="s">
        <v>53</v>
      </c>
    </row>
    <row r="11" spans="1:23" ht="15.75" thickBot="1">
      <c r="A11" s="58" t="s">
        <v>9</v>
      </c>
      <c r="B11" s="199">
        <v>12610.65</v>
      </c>
      <c r="C11" s="219"/>
      <c r="D11" s="60">
        <v>12170.24</v>
      </c>
      <c r="E11" s="199">
        <f t="shared" ref="E11:E13" si="0">B11-D11</f>
        <v>440.40999999999985</v>
      </c>
      <c r="F11" s="200"/>
      <c r="G11" s="105"/>
      <c r="H11" s="60"/>
      <c r="I11" s="60"/>
      <c r="J11" s="199">
        <f>B11+G11+H11+I11</f>
        <v>12610.65</v>
      </c>
      <c r="K11" s="200"/>
      <c r="L11" s="199">
        <f>SUM(G21:G22)</f>
        <v>4344</v>
      </c>
      <c r="M11" s="220"/>
      <c r="N11" s="231">
        <f>J11-L11</f>
        <v>8266.65</v>
      </c>
      <c r="O11" s="232"/>
      <c r="P11" s="60">
        <f>'[1]May 2021'!$K$25</f>
        <v>6085.12</v>
      </c>
      <c r="Q11" s="199">
        <f t="shared" ref="Q11:Q13" si="1">N11-P11</f>
        <v>2181.5299999999997</v>
      </c>
      <c r="R11" s="224"/>
      <c r="S11" s="32"/>
    </row>
    <row r="12" spans="1:23" ht="15.75" customHeight="1" thickBot="1">
      <c r="A12" s="58" t="s">
        <v>10</v>
      </c>
      <c r="B12" s="199">
        <v>4240.7</v>
      </c>
      <c r="C12" s="219"/>
      <c r="D12" s="60">
        <v>0</v>
      </c>
      <c r="E12" s="199">
        <f t="shared" si="0"/>
        <v>4240.7</v>
      </c>
      <c r="F12" s="200"/>
      <c r="G12" s="105">
        <v>16000.7</v>
      </c>
      <c r="H12" s="60"/>
      <c r="I12" s="60"/>
      <c r="J12" s="199">
        <f>B12+G12+H12+I12</f>
        <v>20241.400000000001</v>
      </c>
      <c r="K12" s="200"/>
      <c r="L12" s="199">
        <f>SUM(G33:G34)</f>
        <v>9492</v>
      </c>
      <c r="M12" s="224"/>
      <c r="N12" s="199">
        <f>J12-L12</f>
        <v>10749.400000000001</v>
      </c>
      <c r="O12" s="200"/>
      <c r="P12" s="60">
        <f>'[1]May 2021'!$K$35</f>
        <v>9600.42</v>
      </c>
      <c r="Q12" s="199">
        <f t="shared" si="1"/>
        <v>1148.9800000000014</v>
      </c>
      <c r="R12" s="224"/>
    </row>
    <row r="13" spans="1:23" ht="15.75" thickBot="1">
      <c r="A13" s="58" t="s">
        <v>30</v>
      </c>
      <c r="B13" s="199">
        <v>28100.18</v>
      </c>
      <c r="C13" s="219"/>
      <c r="D13" s="60">
        <v>21391.38</v>
      </c>
      <c r="E13" s="199">
        <f t="shared" si="0"/>
        <v>6708.7999999999993</v>
      </c>
      <c r="F13" s="200"/>
      <c r="G13" s="105"/>
      <c r="H13" s="60">
        <v>142.61000000000001</v>
      </c>
      <c r="I13" s="60"/>
      <c r="J13" s="199">
        <f>B13+G13+H13+I13</f>
        <v>28242.79</v>
      </c>
      <c r="K13" s="200"/>
      <c r="L13" s="199">
        <f>G24+G25+G26+G27</f>
        <v>24454</v>
      </c>
      <c r="M13" s="224"/>
      <c r="N13" s="199">
        <f>J13-L13</f>
        <v>3788.7900000000009</v>
      </c>
      <c r="O13" s="200"/>
      <c r="P13" s="60">
        <f>'[1]May 2021'!$K$45</f>
        <v>0</v>
      </c>
      <c r="Q13" s="199">
        <f t="shared" si="1"/>
        <v>3788.7900000000009</v>
      </c>
      <c r="R13" s="224"/>
      <c r="V13" s="29"/>
      <c r="W13" s="29"/>
    </row>
    <row r="14" spans="1:23" ht="15.75" customHeight="1" thickBot="1">
      <c r="A14" s="58"/>
      <c r="B14" s="221"/>
      <c r="C14" s="222"/>
      <c r="D14" s="61"/>
      <c r="E14" s="221"/>
      <c r="F14" s="223"/>
      <c r="G14" s="105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T14" s="64"/>
    </row>
    <row r="15" spans="1:23" ht="15.75" thickBot="1">
      <c r="A15" s="59" t="s">
        <v>1</v>
      </c>
      <c r="B15" s="199">
        <f>SUM(B10:C14)</f>
        <v>82345.239999999991</v>
      </c>
      <c r="C15" s="200"/>
      <c r="D15" s="60">
        <f>SUM(D10:D14)</f>
        <v>62517.78</v>
      </c>
      <c r="E15" s="199">
        <f>SUM(E10:F14)</f>
        <v>19827.46</v>
      </c>
      <c r="F15" s="218"/>
      <c r="G15" s="105">
        <f>SUM(G10:G14)</f>
        <v>51224.7</v>
      </c>
      <c r="H15" s="60">
        <f>SUM(H10:H14)</f>
        <v>287.39</v>
      </c>
      <c r="I15" s="60">
        <f>SUM(I10:I14)</f>
        <v>0</v>
      </c>
      <c r="J15" s="219">
        <f>SUM(J10:K14)</f>
        <v>133857.32999999999</v>
      </c>
      <c r="K15" s="200"/>
      <c r="L15" s="199">
        <f>SUM(L10:M14)</f>
        <v>90826</v>
      </c>
      <c r="M15" s="220"/>
      <c r="N15" s="199">
        <f>SUM(N10:O14)</f>
        <v>43031.329999999994</v>
      </c>
      <c r="O15" s="200"/>
      <c r="P15" s="60">
        <f>SUM(P10:P14)</f>
        <v>22730.339999999997</v>
      </c>
      <c r="Q15" s="199">
        <f>SUM(Q10:R13)</f>
        <v>20300.989999999991</v>
      </c>
      <c r="R15" s="200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57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3" s="71" customFormat="1" ht="15.75" thickBot="1">
      <c r="A20" s="206"/>
      <c r="B20" s="207"/>
      <c r="C20" s="208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178" t="s">
        <v>15</v>
      </c>
      <c r="B24" s="179"/>
      <c r="C24" s="180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196" t="s">
        <v>18</v>
      </c>
      <c r="B25" s="197"/>
      <c r="C25" s="198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193" t="s">
        <v>47</v>
      </c>
      <c r="B26" s="194"/>
      <c r="C26" s="195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V21" sqref="V21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58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19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20"/>
    </row>
    <row r="3" spans="1:24" ht="15.75" thickBot="1">
      <c r="A3" s="248" t="s">
        <v>59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16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15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454804.3</v>
      </c>
      <c r="D6" s="264"/>
      <c r="E6" s="54"/>
      <c r="F6" s="114"/>
      <c r="G6" s="118">
        <f>C6+E6+F6</f>
        <v>454804.3</v>
      </c>
      <c r="H6" s="263">
        <f>G15</f>
        <v>128728.2</v>
      </c>
      <c r="I6" s="219"/>
      <c r="J6" s="264"/>
      <c r="K6" s="199">
        <f>G6-H6</f>
        <v>326076.09999999998</v>
      </c>
      <c r="L6" s="200"/>
      <c r="M6" s="55"/>
      <c r="O6" s="29"/>
      <c r="Q6" s="29"/>
    </row>
    <row r="7" spans="1:24" ht="13.5" customHeight="1" thickBot="1">
      <c r="A7" s="245" t="s">
        <v>60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13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17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20226.490000000002</v>
      </c>
      <c r="C10" s="219"/>
      <c r="D10" s="60">
        <v>7044.8</v>
      </c>
      <c r="E10" s="199">
        <f>B10-D10</f>
        <v>13181.690000000002</v>
      </c>
      <c r="F10" s="200"/>
      <c r="G10" s="110">
        <f>37289.5+37533.7</f>
        <v>74823.199999999997</v>
      </c>
      <c r="H10" s="60">
        <f>140.9+149.16</f>
        <v>290.06</v>
      </c>
      <c r="I10" s="60"/>
      <c r="J10" s="199">
        <f>B10+G10+H10+I10</f>
        <v>95339.75</v>
      </c>
      <c r="K10" s="200"/>
      <c r="L10" s="199">
        <f>G29+G30+G31</f>
        <v>57168</v>
      </c>
      <c r="M10" s="220"/>
      <c r="N10" s="199">
        <f>J10-L10</f>
        <v>38171.75</v>
      </c>
      <c r="O10" s="200"/>
      <c r="P10" s="60">
        <f>'[1]June 2021'!$K$15</f>
        <v>30026.959999999999</v>
      </c>
      <c r="Q10" s="199">
        <f>N10-P10</f>
        <v>8144.7900000000009</v>
      </c>
      <c r="R10" s="224"/>
      <c r="S10" s="123"/>
      <c r="T10" s="32"/>
    </row>
    <row r="11" spans="1:24" ht="15.75" thickBot="1">
      <c r="A11" s="58" t="s">
        <v>9</v>
      </c>
      <c r="B11" s="199">
        <v>8266.65</v>
      </c>
      <c r="C11" s="219"/>
      <c r="D11" s="60">
        <v>6085.12</v>
      </c>
      <c r="E11" s="199">
        <f t="shared" ref="E11:E13" si="0">B11-D11</f>
        <v>2181.5299999999997</v>
      </c>
      <c r="F11" s="200"/>
      <c r="G11" s="110"/>
      <c r="H11" s="60"/>
      <c r="I11" s="60"/>
      <c r="J11" s="199">
        <f>B11+G11+H11+I11</f>
        <v>8266.65</v>
      </c>
      <c r="K11" s="200"/>
      <c r="L11" s="199">
        <f>SUM(G21:G22)</f>
        <v>5040</v>
      </c>
      <c r="M11" s="220"/>
      <c r="N11" s="231">
        <f>J11-L11</f>
        <v>3226.6499999999996</v>
      </c>
      <c r="O11" s="232"/>
      <c r="P11" s="60">
        <f>'[1]June 2021'!$K$25</f>
        <v>3042.56</v>
      </c>
      <c r="Q11" s="199">
        <f t="shared" ref="Q11:Q13" si="1">N11-P11</f>
        <v>184.08999999999969</v>
      </c>
      <c r="R11" s="224"/>
      <c r="S11" s="123"/>
      <c r="T11" s="32"/>
    </row>
    <row r="12" spans="1:24" ht="15.75" customHeight="1" thickBot="1">
      <c r="A12" s="58" t="s">
        <v>10</v>
      </c>
      <c r="B12" s="199">
        <v>10749.4</v>
      </c>
      <c r="C12" s="219"/>
      <c r="D12" s="60">
        <v>9600.42</v>
      </c>
      <c r="E12" s="199">
        <f t="shared" si="0"/>
        <v>1148.9799999999996</v>
      </c>
      <c r="F12" s="200"/>
      <c r="G12" s="110">
        <v>18585</v>
      </c>
      <c r="H12" s="60">
        <v>64</v>
      </c>
      <c r="I12" s="60"/>
      <c r="J12" s="199">
        <f>B12+G12+H12+I12</f>
        <v>29398.400000000001</v>
      </c>
      <c r="K12" s="200"/>
      <c r="L12" s="199">
        <f>SUM(G33:G34)</f>
        <v>11556</v>
      </c>
      <c r="M12" s="224"/>
      <c r="N12" s="199">
        <f>J12-L12</f>
        <v>17842.400000000001</v>
      </c>
      <c r="O12" s="200"/>
      <c r="P12" s="60">
        <f>'[1]June 2021'!$K$35</f>
        <v>14868</v>
      </c>
      <c r="Q12" s="199">
        <f t="shared" si="1"/>
        <v>2974.4000000000015</v>
      </c>
      <c r="R12" s="224"/>
      <c r="S12" s="123"/>
    </row>
    <row r="13" spans="1:24" ht="15.75" thickBot="1">
      <c r="A13" s="58" t="s">
        <v>30</v>
      </c>
      <c r="B13" s="199">
        <v>3788.79</v>
      </c>
      <c r="C13" s="219"/>
      <c r="D13" s="60">
        <v>0</v>
      </c>
      <c r="E13" s="199">
        <f t="shared" si="0"/>
        <v>3788.79</v>
      </c>
      <c r="F13" s="200"/>
      <c r="G13" s="110">
        <v>35320</v>
      </c>
      <c r="H13" s="60">
        <v>141.28</v>
      </c>
      <c r="I13" s="60"/>
      <c r="J13" s="199">
        <f>B13+G13+H13+I13</f>
        <v>39250.07</v>
      </c>
      <c r="K13" s="200"/>
      <c r="L13" s="199">
        <f>G24+G25+G26+G27</f>
        <v>33054</v>
      </c>
      <c r="M13" s="224"/>
      <c r="N13" s="199">
        <f>J13-L13</f>
        <v>6196.07</v>
      </c>
      <c r="O13" s="200"/>
      <c r="P13" s="60">
        <f>'[1]June 2021'!$K$45</f>
        <v>0</v>
      </c>
      <c r="Q13" s="199">
        <f t="shared" si="1"/>
        <v>6196.07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10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43031.33</v>
      </c>
      <c r="C15" s="200"/>
      <c r="D15" s="60">
        <f>SUM(D10:D14)</f>
        <v>22730.34</v>
      </c>
      <c r="E15" s="199">
        <f>SUM(E10:F14)</f>
        <v>20300.990000000002</v>
      </c>
      <c r="F15" s="218"/>
      <c r="G15" s="110">
        <f>SUM(G10:G14)</f>
        <v>128728.2</v>
      </c>
      <c r="H15" s="60">
        <f>SUM(H10:H14)</f>
        <v>495.34000000000003</v>
      </c>
      <c r="I15" s="60">
        <f>SUM(I10:I14)</f>
        <v>0</v>
      </c>
      <c r="J15" s="219">
        <f>SUM(J10:K14)</f>
        <v>172254.87</v>
      </c>
      <c r="K15" s="200"/>
      <c r="L15" s="199">
        <f>SUM(L10:M14)</f>
        <v>106818</v>
      </c>
      <c r="M15" s="220"/>
      <c r="N15" s="199">
        <f>SUM(N10:O14)</f>
        <v>65436.87</v>
      </c>
      <c r="O15" s="200"/>
      <c r="P15" s="60">
        <f>SUM(P10:P14)</f>
        <v>47937.52</v>
      </c>
      <c r="Q15" s="199">
        <f>SUM(Q10:R14)</f>
        <v>17499.350000000002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01" t="s">
        <v>11</v>
      </c>
      <c r="B17" s="202"/>
      <c r="C17" s="202"/>
      <c r="D17" s="209" t="s">
        <v>61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4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4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4" s="71" customFormat="1" ht="15.75" thickBot="1">
      <c r="A20" s="206"/>
      <c r="B20" s="207"/>
      <c r="C20" s="208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178" t="s">
        <v>13</v>
      </c>
      <c r="B21" s="179"/>
      <c r="C21" s="180"/>
      <c r="D21" s="74">
        <f>E21/24</f>
        <v>23</v>
      </c>
      <c r="E21" s="10">
        <v>552</v>
      </c>
      <c r="F21" s="74">
        <f>G21/24</f>
        <v>24</v>
      </c>
      <c r="G21" s="10">
        <f>'[2]June 2021'!$B$30</f>
        <v>576</v>
      </c>
      <c r="H21" s="23">
        <f>I21/24</f>
        <v>25</v>
      </c>
      <c r="I21" s="26">
        <f>600</f>
        <v>600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9</v>
      </c>
      <c r="O21" s="36">
        <f>E21+G21-I21-K21-M21</f>
        <v>216</v>
      </c>
      <c r="T21" s="5">
        <v>216</v>
      </c>
      <c r="U21" s="7">
        <f>6*24</f>
        <v>144</v>
      </c>
      <c r="V21" s="30">
        <f>T21+U21-O21</f>
        <v>144</v>
      </c>
      <c r="W21" s="75"/>
      <c r="X21" s="29"/>
    </row>
    <row r="22" spans="1:24" ht="15.75" thickBot="1">
      <c r="A22" s="181" t="s">
        <v>14</v>
      </c>
      <c r="B22" s="182"/>
      <c r="C22" s="183"/>
      <c r="D22" s="76">
        <f>E22/24</f>
        <v>103</v>
      </c>
      <c r="E22" s="12">
        <v>2472</v>
      </c>
      <c r="F22" s="76">
        <f>G22/24</f>
        <v>186</v>
      </c>
      <c r="G22" s="12">
        <f>'[2]June 2021'!$C$30</f>
        <v>4464</v>
      </c>
      <c r="H22" s="24">
        <f>I22/24</f>
        <v>120</v>
      </c>
      <c r="I22" s="33">
        <f>2880</f>
        <v>2880</v>
      </c>
      <c r="J22" s="13">
        <f>K22/24</f>
        <v>130</v>
      </c>
      <c r="K22" s="12">
        <f>3120</f>
        <v>3120</v>
      </c>
      <c r="L22" s="13">
        <f>M22/24</f>
        <v>23</v>
      </c>
      <c r="M22" s="12">
        <v>552</v>
      </c>
      <c r="N22" s="24">
        <f>O22/24</f>
        <v>16</v>
      </c>
      <c r="O22" s="36">
        <f>E22+G22-I22-K22-M22</f>
        <v>384</v>
      </c>
      <c r="T22" s="6">
        <v>360</v>
      </c>
      <c r="U22" s="9">
        <f>0*24</f>
        <v>0</v>
      </c>
      <c r="V22" s="34">
        <f>T22+U22-O22</f>
        <v>-24</v>
      </c>
      <c r="W22" s="75"/>
      <c r="X22" s="29"/>
    </row>
    <row r="23" spans="1:24" ht="15.75" thickBot="1">
      <c r="A23" s="184" t="s">
        <v>36</v>
      </c>
      <c r="B23" s="185"/>
      <c r="C23" s="186"/>
      <c r="D23" s="77">
        <f>SUM(D21:D22)</f>
        <v>126</v>
      </c>
      <c r="E23" s="78">
        <f t="shared" ref="E23:H23" si="2">SUM(E21:E22)</f>
        <v>3024</v>
      </c>
      <c r="F23" s="77">
        <f t="shared" si="2"/>
        <v>210</v>
      </c>
      <c r="G23" s="78">
        <f t="shared" si="2"/>
        <v>5040</v>
      </c>
      <c r="H23" s="79">
        <f t="shared" si="2"/>
        <v>145</v>
      </c>
      <c r="I23" s="80">
        <f>SUM(I21:I22)</f>
        <v>3480</v>
      </c>
      <c r="J23" s="77">
        <f t="shared" ref="J23:O23" si="3">SUM(J21:J22)</f>
        <v>130</v>
      </c>
      <c r="K23" s="78">
        <f t="shared" si="3"/>
        <v>3120</v>
      </c>
      <c r="L23" s="77">
        <f t="shared" si="3"/>
        <v>36</v>
      </c>
      <c r="M23" s="78">
        <f t="shared" si="3"/>
        <v>864</v>
      </c>
      <c r="N23" s="77">
        <f t="shared" si="3"/>
        <v>25</v>
      </c>
      <c r="O23" s="78">
        <f t="shared" si="3"/>
        <v>600</v>
      </c>
      <c r="T23" s="45"/>
      <c r="U23" s="48"/>
      <c r="V23" s="30"/>
      <c r="W23" s="75"/>
      <c r="X23" s="29"/>
    </row>
    <row r="24" spans="1:24" ht="15.75" thickBot="1">
      <c r="A24" s="178" t="s">
        <v>15</v>
      </c>
      <c r="B24" s="179"/>
      <c r="C24" s="180"/>
      <c r="D24" s="74">
        <f>E24/30</f>
        <v>422</v>
      </c>
      <c r="E24" s="10">
        <v>12660</v>
      </c>
      <c r="F24" s="74">
        <f>G24/30</f>
        <v>1035</v>
      </c>
      <c r="G24" s="10">
        <f>'[2]June 2021'!$D$30</f>
        <v>31050</v>
      </c>
      <c r="H24" s="23">
        <f>I24/30</f>
        <v>40</v>
      </c>
      <c r="I24" s="10">
        <f>1200</f>
        <v>1200</v>
      </c>
      <c r="J24" s="23">
        <f>K24/30</f>
        <v>100</v>
      </c>
      <c r="K24" s="10">
        <f>3000</f>
        <v>3000</v>
      </c>
      <c r="L24" s="23">
        <f>M24/30</f>
        <v>1259</v>
      </c>
      <c r="M24" s="10">
        <v>37770</v>
      </c>
      <c r="N24" s="23">
        <f>O24/30</f>
        <v>58</v>
      </c>
      <c r="O24" s="36">
        <f>E24+G24-I24-K24-M24</f>
        <v>1740</v>
      </c>
      <c r="T24" s="50">
        <v>1680</v>
      </c>
      <c r="U24" s="51">
        <f>3*30</f>
        <v>90</v>
      </c>
      <c r="V24" s="47">
        <f>T24+U24-O24</f>
        <v>30</v>
      </c>
      <c r="W24" s="75"/>
      <c r="X24" s="29"/>
    </row>
    <row r="25" spans="1:24" ht="15.75" thickBot="1">
      <c r="A25" s="196" t="s">
        <v>18</v>
      </c>
      <c r="B25" s="197"/>
      <c r="C25" s="198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11</v>
      </c>
      <c r="M25" s="36">
        <v>264</v>
      </c>
      <c r="N25" s="39">
        <f>O25/24</f>
        <v>0</v>
      </c>
      <c r="O25" s="36">
        <f t="shared" ref="O25:O27" si="6">E25+G25-I25-K25-M25</f>
        <v>0</v>
      </c>
      <c r="T25" s="4">
        <v>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193" t="s">
        <v>47</v>
      </c>
      <c r="B26" s="194"/>
      <c r="C26" s="195"/>
      <c r="D26" s="82">
        <f>E26/22</f>
        <v>43</v>
      </c>
      <c r="E26" s="3">
        <v>946</v>
      </c>
      <c r="F26" s="82">
        <f>G26/22</f>
        <v>66</v>
      </c>
      <c r="G26" s="3">
        <f>'[2]June 2021'!$F$30</f>
        <v>1452</v>
      </c>
      <c r="H26" s="25">
        <v>0</v>
      </c>
      <c r="I26" s="28">
        <v>330</v>
      </c>
      <c r="J26" s="1">
        <f>K26/22</f>
        <v>30</v>
      </c>
      <c r="K26" s="3">
        <f>660</f>
        <v>660</v>
      </c>
      <c r="L26" s="1">
        <f>M26/22</f>
        <v>64</v>
      </c>
      <c r="M26" s="3">
        <v>1408</v>
      </c>
      <c r="N26" s="25">
        <f>O26/22</f>
        <v>0</v>
      </c>
      <c r="O26" s="36">
        <f t="shared" si="6"/>
        <v>0</v>
      </c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190" t="s">
        <v>48</v>
      </c>
      <c r="B27" s="191"/>
      <c r="C27" s="192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20</v>
      </c>
      <c r="K27" s="41">
        <f>440</f>
        <v>440</v>
      </c>
      <c r="L27" s="44">
        <f>M27/22</f>
        <v>0</v>
      </c>
      <c r="M27" s="41">
        <v>0</v>
      </c>
      <c r="N27" s="42">
        <f>O27/22</f>
        <v>2</v>
      </c>
      <c r="O27" s="38">
        <f t="shared" si="6"/>
        <v>44</v>
      </c>
      <c r="T27" s="52">
        <v>44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184" t="s">
        <v>37</v>
      </c>
      <c r="B28" s="185"/>
      <c r="C28" s="186"/>
      <c r="D28" s="79">
        <f t="shared" ref="D28:O28" si="7">SUM(D24:D27)</f>
        <v>495</v>
      </c>
      <c r="E28" s="21">
        <f t="shared" si="7"/>
        <v>14282</v>
      </c>
      <c r="F28" s="79">
        <f t="shared" si="7"/>
        <v>1124</v>
      </c>
      <c r="G28" s="21">
        <f t="shared" si="7"/>
        <v>33054</v>
      </c>
      <c r="H28" s="79">
        <f t="shared" si="7"/>
        <v>60</v>
      </c>
      <c r="I28" s="21">
        <f t="shared" si="7"/>
        <v>2010</v>
      </c>
      <c r="J28" s="79">
        <f t="shared" si="7"/>
        <v>150</v>
      </c>
      <c r="K28" s="21">
        <f t="shared" si="7"/>
        <v>4100</v>
      </c>
      <c r="L28" s="79">
        <f t="shared" si="7"/>
        <v>1334</v>
      </c>
      <c r="M28" s="21">
        <f t="shared" si="7"/>
        <v>39442</v>
      </c>
      <c r="N28" s="79">
        <f t="shared" si="7"/>
        <v>60</v>
      </c>
      <c r="O28" s="21">
        <f t="shared" si="7"/>
        <v>1784</v>
      </c>
      <c r="T28" s="46"/>
      <c r="U28" s="49"/>
      <c r="V28" s="30"/>
      <c r="W28" s="75"/>
      <c r="X28" s="29"/>
    </row>
    <row r="29" spans="1:24">
      <c r="A29" s="178" t="s">
        <v>16</v>
      </c>
      <c r="B29" s="179"/>
      <c r="C29" s="180"/>
      <c r="D29" s="74">
        <f>E29/24</f>
        <v>54</v>
      </c>
      <c r="E29" s="10">
        <v>1296</v>
      </c>
      <c r="F29" s="74">
        <f>G29/24</f>
        <v>444</v>
      </c>
      <c r="G29" s="10">
        <f>'[2]June 2021'!$H$30</f>
        <v>10656</v>
      </c>
      <c r="H29" s="23">
        <f>I29/24</f>
        <v>70</v>
      </c>
      <c r="I29" s="26">
        <v>1680</v>
      </c>
      <c r="J29" s="11">
        <f t="shared" ref="J29:J31" si="8">K29/24</f>
        <v>30</v>
      </c>
      <c r="K29" s="10">
        <f>720</f>
        <v>720</v>
      </c>
      <c r="L29" s="11">
        <f t="shared" ref="L29:L31" si="9">M29/24</f>
        <v>375</v>
      </c>
      <c r="M29" s="10">
        <v>9000</v>
      </c>
      <c r="N29" s="23">
        <f>O29/24</f>
        <v>23</v>
      </c>
      <c r="O29" s="36">
        <f>E29+G29-I29-K29-M29</f>
        <v>552</v>
      </c>
      <c r="T29" s="5">
        <v>552</v>
      </c>
      <c r="U29" s="16">
        <v>0</v>
      </c>
      <c r="V29" s="30">
        <f>T29+U29-O29</f>
        <v>0</v>
      </c>
      <c r="W29" s="75"/>
      <c r="X29" s="29"/>
    </row>
    <row r="30" spans="1:24">
      <c r="A30" s="193" t="s">
        <v>43</v>
      </c>
      <c r="B30" s="194"/>
      <c r="C30" s="195"/>
      <c r="D30" s="82">
        <f>E30/24</f>
        <v>62</v>
      </c>
      <c r="E30" s="3">
        <v>1488</v>
      </c>
      <c r="F30" s="82">
        <f>G30/24</f>
        <v>206</v>
      </c>
      <c r="G30" s="3">
        <f>'[2]June 2021'!$I$30</f>
        <v>4944</v>
      </c>
      <c r="H30" s="25">
        <f>I30/24</f>
        <v>45</v>
      </c>
      <c r="I30" s="28">
        <v>1080</v>
      </c>
      <c r="J30" s="1">
        <f t="shared" si="8"/>
        <v>10</v>
      </c>
      <c r="K30" s="3">
        <f>120+120</f>
        <v>240</v>
      </c>
      <c r="L30" s="1">
        <f>M30/24</f>
        <v>213</v>
      </c>
      <c r="M30" s="3">
        <v>5112</v>
      </c>
      <c r="N30" s="25">
        <f>O30/24</f>
        <v>0</v>
      </c>
      <c r="O30" s="36">
        <f t="shared" ref="O30:O31" si="10">E30+G30-I30-K30-M30</f>
        <v>0</v>
      </c>
      <c r="T30" s="4">
        <v>0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193" t="s">
        <v>17</v>
      </c>
      <c r="B31" s="194"/>
      <c r="C31" s="195"/>
      <c r="D31" s="82">
        <f>E31/24</f>
        <v>414</v>
      </c>
      <c r="E31" s="3">
        <v>9936</v>
      </c>
      <c r="F31" s="82">
        <f>G31/24</f>
        <v>1732</v>
      </c>
      <c r="G31" s="3">
        <f>'[2]June 2021'!$J$30</f>
        <v>41568</v>
      </c>
      <c r="H31" s="25">
        <f>I31/24</f>
        <v>375</v>
      </c>
      <c r="I31" s="28">
        <v>9000</v>
      </c>
      <c r="J31" s="1">
        <f t="shared" si="8"/>
        <v>330</v>
      </c>
      <c r="K31" s="3">
        <f>7920</f>
        <v>7920</v>
      </c>
      <c r="L31" s="1">
        <f t="shared" si="9"/>
        <v>1410</v>
      </c>
      <c r="M31" s="3">
        <v>33840</v>
      </c>
      <c r="N31" s="25">
        <f>O31/24</f>
        <v>31</v>
      </c>
      <c r="O31" s="36">
        <f t="shared" si="10"/>
        <v>744</v>
      </c>
      <c r="T31" s="4">
        <v>744</v>
      </c>
      <c r="U31" s="8">
        <f>0*24</f>
        <v>0</v>
      </c>
      <c r="V31" s="35">
        <f>T31+U31-O31</f>
        <v>0</v>
      </c>
      <c r="W31" s="75"/>
      <c r="X31" s="29"/>
    </row>
    <row r="32" spans="1:24" ht="15.75" thickBot="1">
      <c r="A32" s="184" t="s">
        <v>38</v>
      </c>
      <c r="B32" s="185"/>
      <c r="C32" s="186"/>
      <c r="D32" s="84">
        <f t="shared" ref="D32:O32" si="11">SUM(D29:D31)</f>
        <v>530</v>
      </c>
      <c r="E32" s="78">
        <f t="shared" si="11"/>
        <v>12720</v>
      </c>
      <c r="F32" s="84">
        <f t="shared" si="11"/>
        <v>2382</v>
      </c>
      <c r="G32" s="78">
        <f t="shared" si="11"/>
        <v>57168</v>
      </c>
      <c r="H32" s="79">
        <f t="shared" si="11"/>
        <v>490</v>
      </c>
      <c r="I32" s="80">
        <f t="shared" si="11"/>
        <v>11760</v>
      </c>
      <c r="J32" s="84">
        <f t="shared" si="11"/>
        <v>370</v>
      </c>
      <c r="K32" s="78">
        <f t="shared" si="11"/>
        <v>8880</v>
      </c>
      <c r="L32" s="84">
        <f t="shared" si="11"/>
        <v>1998</v>
      </c>
      <c r="M32" s="78">
        <f t="shared" si="11"/>
        <v>47952</v>
      </c>
      <c r="N32" s="84">
        <f t="shared" si="11"/>
        <v>54</v>
      </c>
      <c r="O32" s="78">
        <f t="shared" si="11"/>
        <v>1296</v>
      </c>
      <c r="T32" s="17"/>
      <c r="U32" s="18"/>
      <c r="V32" s="30"/>
      <c r="W32" s="75"/>
      <c r="X32" s="29"/>
    </row>
    <row r="33" spans="1:24">
      <c r="A33" s="178" t="s">
        <v>19</v>
      </c>
      <c r="B33" s="179"/>
      <c r="C33" s="180"/>
      <c r="D33" s="85">
        <f>E33/12</f>
        <v>184</v>
      </c>
      <c r="E33" s="14">
        <v>2208</v>
      </c>
      <c r="F33" s="85">
        <f>G33/12</f>
        <v>912</v>
      </c>
      <c r="G33" s="14">
        <f>'[2]June 2021'!$K$30</f>
        <v>10944</v>
      </c>
      <c r="H33" s="23">
        <f>I33/12</f>
        <v>30</v>
      </c>
      <c r="I33" s="26">
        <v>360</v>
      </c>
      <c r="J33" s="15">
        <f t="shared" ref="J33:J34" si="12">K33/12</f>
        <v>70</v>
      </c>
      <c r="K33" s="10">
        <f>840</f>
        <v>840</v>
      </c>
      <c r="L33" s="15">
        <f t="shared" ref="L33:L34" si="13">M33/12</f>
        <v>987</v>
      </c>
      <c r="M33" s="10">
        <v>11844</v>
      </c>
      <c r="N33" s="23">
        <f>O33/12</f>
        <v>9</v>
      </c>
      <c r="O33" s="36">
        <f>E33+G33-I33-K33-M33</f>
        <v>108</v>
      </c>
      <c r="T33" s="5">
        <v>12</v>
      </c>
      <c r="U33" s="16">
        <f>0*12</f>
        <v>0</v>
      </c>
      <c r="V33" s="30">
        <f>T33+U33-O33</f>
        <v>-96</v>
      </c>
      <c r="W33" s="86"/>
      <c r="X33" s="29"/>
    </row>
    <row r="34" spans="1:24" ht="15.75" thickBot="1">
      <c r="A34" s="181" t="s">
        <v>20</v>
      </c>
      <c r="B34" s="182"/>
      <c r="C34" s="183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2"/>
        <v>0</v>
      </c>
      <c r="K34" s="12">
        <v>0</v>
      </c>
      <c r="L34" s="13">
        <f t="shared" si="13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184" t="s">
        <v>39</v>
      </c>
      <c r="B35" s="185"/>
      <c r="C35" s="186"/>
      <c r="D35" s="84">
        <f>SUM(D33:D34)</f>
        <v>334</v>
      </c>
      <c r="E35" s="78">
        <f t="shared" ref="E35:H35" si="14">SUM(E33:E34)</f>
        <v>4008</v>
      </c>
      <c r="F35" s="84">
        <f t="shared" si="14"/>
        <v>963</v>
      </c>
      <c r="G35" s="78">
        <f t="shared" si="14"/>
        <v>11556</v>
      </c>
      <c r="H35" s="79">
        <f t="shared" si="14"/>
        <v>30</v>
      </c>
      <c r="I35" s="80">
        <f>SUM(I33:I34)</f>
        <v>360</v>
      </c>
      <c r="J35" s="84">
        <f t="shared" ref="J35:O35" si="15">SUM(J33:J34)</f>
        <v>70</v>
      </c>
      <c r="K35" s="78">
        <f t="shared" si="15"/>
        <v>840</v>
      </c>
      <c r="L35" s="84">
        <f t="shared" si="15"/>
        <v>1188</v>
      </c>
      <c r="M35" s="78">
        <f t="shared" si="15"/>
        <v>14256</v>
      </c>
      <c r="N35" s="84">
        <f t="shared" si="15"/>
        <v>9</v>
      </c>
      <c r="O35" s="78">
        <f t="shared" si="15"/>
        <v>108</v>
      </c>
      <c r="T35" s="19"/>
      <c r="U35" s="20"/>
      <c r="V35" s="34"/>
      <c r="X35" s="29"/>
    </row>
    <row r="36" spans="1:24" ht="15.75" thickBot="1">
      <c r="A36" s="187" t="s">
        <v>21</v>
      </c>
      <c r="B36" s="188"/>
      <c r="C36" s="189"/>
      <c r="D36" s="87">
        <f t="shared" ref="D36:O36" si="16">D21+D22+D24+D25+D26+D27+D29+D30+D31+D33+D34</f>
        <v>1485</v>
      </c>
      <c r="E36" s="87">
        <f t="shared" si="16"/>
        <v>34034</v>
      </c>
      <c r="F36" s="87">
        <f t="shared" si="16"/>
        <v>4679</v>
      </c>
      <c r="G36" s="87">
        <f t="shared" si="16"/>
        <v>106818</v>
      </c>
      <c r="H36" s="87">
        <f t="shared" si="16"/>
        <v>725</v>
      </c>
      <c r="I36" s="87">
        <f>I21+I22+I24+I25+I26+I27+I29+I30+I31+I33+I34</f>
        <v>17610</v>
      </c>
      <c r="J36" s="87">
        <f t="shared" si="16"/>
        <v>720</v>
      </c>
      <c r="K36" s="87">
        <f t="shared" si="16"/>
        <v>16940</v>
      </c>
      <c r="L36" s="87">
        <f t="shared" si="16"/>
        <v>4556</v>
      </c>
      <c r="M36" s="87">
        <f t="shared" si="16"/>
        <v>102514</v>
      </c>
      <c r="N36" s="87">
        <f t="shared" si="16"/>
        <v>148</v>
      </c>
      <c r="O36" s="87">
        <f t="shared" si="16"/>
        <v>3788</v>
      </c>
      <c r="T36" s="88">
        <f>SUM(T21:T34)</f>
        <v>3608</v>
      </c>
      <c r="U36" s="89">
        <f>SUM(U21:U34)</f>
        <v>234</v>
      </c>
      <c r="V36" s="31">
        <f>T36+U36-O36</f>
        <v>54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G24" sqref="G24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64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24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25"/>
    </row>
    <row r="3" spans="1:24" ht="15.75" thickBot="1">
      <c r="A3" s="248" t="s">
        <v>65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26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28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326076.09999999998</v>
      </c>
      <c r="D6" s="264"/>
      <c r="E6" s="54"/>
      <c r="F6" s="132"/>
      <c r="G6" s="129">
        <f>C6+E6+F6</f>
        <v>326076.09999999998</v>
      </c>
      <c r="H6" s="263">
        <f>G15</f>
        <v>285924.29999999993</v>
      </c>
      <c r="I6" s="219"/>
      <c r="J6" s="264"/>
      <c r="K6" s="199">
        <f>G6-H6</f>
        <v>40151.800000000047</v>
      </c>
      <c r="L6" s="200"/>
      <c r="M6" s="55"/>
      <c r="O6" s="29"/>
      <c r="Q6" s="29"/>
    </row>
    <row r="7" spans="1:24" ht="13.5" customHeight="1" thickBot="1">
      <c r="A7" s="245" t="s">
        <v>63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31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27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38171.75</v>
      </c>
      <c r="C10" s="219"/>
      <c r="D10" s="60">
        <f>'June 2021'!P10</f>
        <v>30026.959999999999</v>
      </c>
      <c r="E10" s="199">
        <f>B10-D10</f>
        <v>8144.7900000000009</v>
      </c>
      <c r="F10" s="200"/>
      <c r="G10" s="130">
        <v>113109.9</v>
      </c>
      <c r="H10" s="60">
        <v>463.75</v>
      </c>
      <c r="I10" s="60"/>
      <c r="J10" s="199">
        <f>B10+G10+H10+I10</f>
        <v>151745.4</v>
      </c>
      <c r="K10" s="200"/>
      <c r="L10" s="199">
        <f>G29+G30+G31</f>
        <v>68352</v>
      </c>
      <c r="M10" s="220"/>
      <c r="N10" s="199">
        <f>J10-L10</f>
        <v>83393.399999999994</v>
      </c>
      <c r="O10" s="200"/>
      <c r="P10" s="60">
        <v>75587.600000000006</v>
      </c>
      <c r="Q10" s="199">
        <f>N10-P10</f>
        <v>7805.7999999999884</v>
      </c>
      <c r="R10" s="224"/>
      <c r="S10" s="123"/>
      <c r="T10" s="32"/>
    </row>
    <row r="11" spans="1:24" ht="15.75" thickBot="1">
      <c r="A11" s="58" t="s">
        <v>9</v>
      </c>
      <c r="B11" s="199">
        <v>3226.65</v>
      </c>
      <c r="C11" s="219"/>
      <c r="D11" s="60">
        <f>'June 2021'!P11</f>
        <v>3042.56</v>
      </c>
      <c r="E11" s="199">
        <f t="shared" ref="E11:E13" si="0">B11-D11</f>
        <v>184.09000000000015</v>
      </c>
      <c r="F11" s="200"/>
      <c r="G11" s="130">
        <v>18143.8</v>
      </c>
      <c r="H11" s="60">
        <v>74.39</v>
      </c>
      <c r="I11" s="60"/>
      <c r="J11" s="199">
        <f>B11+G11+H11+I11</f>
        <v>21444.84</v>
      </c>
      <c r="K11" s="200"/>
      <c r="L11" s="199">
        <f>SUM(G21:G22)</f>
        <v>0</v>
      </c>
      <c r="M11" s="220"/>
      <c r="N11" s="231">
        <f>J11-L11</f>
        <v>21444.84</v>
      </c>
      <c r="O11" s="232"/>
      <c r="P11" s="60">
        <f>3023*5</f>
        <v>15115</v>
      </c>
      <c r="Q11" s="199">
        <f>N11-P11</f>
        <v>6329.84</v>
      </c>
      <c r="R11" s="224"/>
      <c r="S11" s="123"/>
      <c r="T11" s="32"/>
    </row>
    <row r="12" spans="1:24" ht="15.75" customHeight="1" thickBot="1">
      <c r="A12" s="58" t="s">
        <v>10</v>
      </c>
      <c r="B12" s="199">
        <v>17842.400000000001</v>
      </c>
      <c r="C12" s="219"/>
      <c r="D12" s="60">
        <f>'June 2021'!P12</f>
        <v>14868</v>
      </c>
      <c r="E12" s="199">
        <f t="shared" si="0"/>
        <v>2974.4000000000015</v>
      </c>
      <c r="F12" s="200"/>
      <c r="G12" s="130">
        <v>9214.7999999999993</v>
      </c>
      <c r="H12" s="60"/>
      <c r="I12" s="60"/>
      <c r="J12" s="199">
        <f>B12+G12+H12+I12</f>
        <v>27057.200000000001</v>
      </c>
      <c r="K12" s="200"/>
      <c r="L12" s="199">
        <f>SUM(G33:G34)</f>
        <v>10608</v>
      </c>
      <c r="M12" s="224"/>
      <c r="N12" s="199">
        <f>J12-L12</f>
        <v>16449.2</v>
      </c>
      <c r="O12" s="200"/>
      <c r="P12" s="60">
        <v>15216</v>
      </c>
      <c r="Q12" s="199">
        <f>N12-P12</f>
        <v>1233.2000000000007</v>
      </c>
      <c r="R12" s="224"/>
      <c r="S12" s="123"/>
    </row>
    <row r="13" spans="1:24" ht="15.75" thickBot="1">
      <c r="A13" s="58" t="s">
        <v>30</v>
      </c>
      <c r="B13" s="199">
        <v>6196.07</v>
      </c>
      <c r="C13" s="219"/>
      <c r="D13" s="60">
        <f>'June 2021'!P13</f>
        <v>0</v>
      </c>
      <c r="E13" s="199">
        <f t="shared" si="0"/>
        <v>6196.07</v>
      </c>
      <c r="F13" s="200"/>
      <c r="G13" s="135">
        <v>145455.79999999999</v>
      </c>
      <c r="H13" s="60">
        <v>596.37</v>
      </c>
      <c r="I13" s="60"/>
      <c r="J13" s="199">
        <f>B13+G13+H13+I13</f>
        <v>152248.24</v>
      </c>
      <c r="K13" s="200"/>
      <c r="L13" s="199">
        <f>G24+G25+G26+G27</f>
        <v>45088</v>
      </c>
      <c r="M13" s="224"/>
      <c r="N13" s="199">
        <f>J13-L13</f>
        <v>107160.23999999999</v>
      </c>
      <c r="O13" s="200"/>
      <c r="P13" s="60">
        <f>71881.3+27000</f>
        <v>98881.3</v>
      </c>
      <c r="Q13" s="199">
        <f>N13-P13</f>
        <v>8278.9399999999878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30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65436.87</v>
      </c>
      <c r="C15" s="200"/>
      <c r="D15" s="60">
        <f>SUM(D10:D14)</f>
        <v>47937.52</v>
      </c>
      <c r="E15" s="199">
        <f>SUM(E10:F14)</f>
        <v>17499.350000000002</v>
      </c>
      <c r="F15" s="218"/>
      <c r="G15" s="130">
        <f>SUM(G10:G14)</f>
        <v>285924.29999999993</v>
      </c>
      <c r="H15" s="60">
        <f>SUM(H10:H14)</f>
        <v>1134.51</v>
      </c>
      <c r="I15" s="60">
        <f>SUM(I10:I14)</f>
        <v>0</v>
      </c>
      <c r="J15" s="219">
        <f>SUM(J10:K14)</f>
        <v>352495.68</v>
      </c>
      <c r="K15" s="200"/>
      <c r="L15" s="199">
        <f>SUM(L10:M14)</f>
        <v>124048</v>
      </c>
      <c r="M15" s="220"/>
      <c r="N15" s="199">
        <f>SUM(N10:O14)</f>
        <v>228447.68</v>
      </c>
      <c r="O15" s="200"/>
      <c r="P15" s="60">
        <f>SUM(P10:P14)</f>
        <v>204799.90000000002</v>
      </c>
      <c r="Q15" s="199">
        <f>SUM(Q10:R13)</f>
        <v>23647.779999999977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01" t="s">
        <v>11</v>
      </c>
      <c r="B17" s="202"/>
      <c r="C17" s="202"/>
      <c r="D17" s="209" t="s">
        <v>62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4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12" t="s">
        <v>12</v>
      </c>
      <c r="O18" s="213"/>
    </row>
    <row r="19" spans="1:24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</row>
    <row r="20" spans="1:24" s="71" customFormat="1" ht="15.75" thickBot="1">
      <c r="A20" s="206"/>
      <c r="B20" s="207"/>
      <c r="C20" s="208"/>
      <c r="D20" s="133" t="s">
        <v>26</v>
      </c>
      <c r="E20" s="37" t="s">
        <v>25</v>
      </c>
      <c r="F20" s="69" t="s">
        <v>26</v>
      </c>
      <c r="G20" s="37" t="s">
        <v>25</v>
      </c>
      <c r="H20" s="134" t="s">
        <v>26</v>
      </c>
      <c r="I20" s="37" t="s">
        <v>25</v>
      </c>
      <c r="J20" s="134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178" t="s">
        <v>13</v>
      </c>
      <c r="B21" s="179"/>
      <c r="C21" s="180"/>
      <c r="D21" s="74">
        <f>E21/24</f>
        <v>9</v>
      </c>
      <c r="E21" s="10">
        <v>216</v>
      </c>
      <c r="F21" s="74">
        <f>G21/24</f>
        <v>0</v>
      </c>
      <c r="G21" s="74"/>
      <c r="H21" s="23">
        <f>I21/24</f>
        <v>30</v>
      </c>
      <c r="I21" s="26">
        <f>720</f>
        <v>720</v>
      </c>
      <c r="J21" s="11">
        <f>K21/24</f>
        <v>11</v>
      </c>
      <c r="K21" s="10">
        <f>264</f>
        <v>264</v>
      </c>
      <c r="L21" s="11">
        <f>M21/24</f>
        <v>4</v>
      </c>
      <c r="M21" s="10">
        <f>48+48</f>
        <v>96</v>
      </c>
      <c r="N21" s="23">
        <f>O21/24</f>
        <v>-36</v>
      </c>
      <c r="O21" s="36">
        <f>E21+G21-I21-K21-M21</f>
        <v>-864</v>
      </c>
      <c r="T21" s="5">
        <v>168</v>
      </c>
      <c r="U21" s="7">
        <v>0</v>
      </c>
      <c r="V21" s="30">
        <f>T21+U21-O21</f>
        <v>1032</v>
      </c>
      <c r="W21" s="75"/>
      <c r="X21" s="29"/>
    </row>
    <row r="22" spans="1:24" ht="15.75" thickBot="1">
      <c r="A22" s="181" t="s">
        <v>14</v>
      </c>
      <c r="B22" s="182"/>
      <c r="C22" s="183"/>
      <c r="D22" s="76">
        <f>E22/24</f>
        <v>16</v>
      </c>
      <c r="E22" s="12">
        <v>384</v>
      </c>
      <c r="F22" s="76">
        <f>G22/24</f>
        <v>0</v>
      </c>
      <c r="G22" s="12"/>
      <c r="H22" s="24">
        <f>I22/24</f>
        <v>85</v>
      </c>
      <c r="I22" s="33">
        <f>1080+960</f>
        <v>2040</v>
      </c>
      <c r="J22" s="13">
        <f>K22/24</f>
        <v>70</v>
      </c>
      <c r="K22" s="12">
        <f>720+960</f>
        <v>1680</v>
      </c>
      <c r="L22" s="13">
        <f>M22/24</f>
        <v>25</v>
      </c>
      <c r="M22" s="12">
        <f>72+48+48+24+72+24+24+48+24+48+72+96</f>
        <v>600</v>
      </c>
      <c r="N22" s="24">
        <f>O22/24</f>
        <v>-164</v>
      </c>
      <c r="O22" s="36">
        <f>E22+G22-I22-K22-M22</f>
        <v>-3936</v>
      </c>
      <c r="T22" s="6">
        <v>24</v>
      </c>
      <c r="U22" s="9">
        <v>0</v>
      </c>
      <c r="V22" s="34">
        <f>T22-O22</f>
        <v>3960</v>
      </c>
      <c r="W22" s="75"/>
      <c r="X22" s="29"/>
    </row>
    <row r="23" spans="1:24" ht="15.75" thickBot="1">
      <c r="A23" s="184" t="s">
        <v>36</v>
      </c>
      <c r="B23" s="185"/>
      <c r="C23" s="186"/>
      <c r="D23" s="77">
        <f>SUM(D21:D22)</f>
        <v>25</v>
      </c>
      <c r="E23" s="78">
        <f t="shared" ref="E23:H23" si="1">SUM(E21:E22)</f>
        <v>600</v>
      </c>
      <c r="F23" s="77">
        <f t="shared" si="1"/>
        <v>0</v>
      </c>
      <c r="G23" s="78">
        <f t="shared" si="1"/>
        <v>0</v>
      </c>
      <c r="H23" s="79">
        <f t="shared" si="1"/>
        <v>115</v>
      </c>
      <c r="I23" s="80">
        <f>SUM(I21:I22)</f>
        <v>2760</v>
      </c>
      <c r="J23" s="77">
        <f t="shared" ref="J23:O23" si="2">SUM(J21:J22)</f>
        <v>81</v>
      </c>
      <c r="K23" s="78">
        <f t="shared" si="2"/>
        <v>1944</v>
      </c>
      <c r="L23" s="77">
        <f t="shared" si="2"/>
        <v>29</v>
      </c>
      <c r="M23" s="78">
        <f t="shared" si="2"/>
        <v>696</v>
      </c>
      <c r="N23" s="77">
        <f t="shared" si="2"/>
        <v>-200</v>
      </c>
      <c r="O23" s="78">
        <f t="shared" si="2"/>
        <v>-4800</v>
      </c>
      <c r="T23" s="45"/>
      <c r="U23" s="48"/>
      <c r="V23" s="30"/>
      <c r="W23" s="75"/>
      <c r="X23" s="29"/>
    </row>
    <row r="24" spans="1:24" ht="15.75" thickBot="1">
      <c r="A24" s="178" t="s">
        <v>15</v>
      </c>
      <c r="B24" s="179"/>
      <c r="C24" s="180"/>
      <c r="D24" s="74">
        <f>E24/30</f>
        <v>58</v>
      </c>
      <c r="E24" s="10">
        <v>1740</v>
      </c>
      <c r="F24" s="74">
        <f>G24/30</f>
        <v>1396</v>
      </c>
      <c r="G24" s="10">
        <f>'[2]July 2020'!$D$30</f>
        <v>41880</v>
      </c>
      <c r="H24" s="23">
        <f>I24/30</f>
        <v>30</v>
      </c>
      <c r="I24" s="10">
        <f>600+300</f>
        <v>900</v>
      </c>
      <c r="J24" s="23">
        <f>K24/30</f>
        <v>22</v>
      </c>
      <c r="K24" s="10">
        <f>660</f>
        <v>660</v>
      </c>
      <c r="L24" s="23">
        <f>M24/30</f>
        <v>1384</v>
      </c>
      <c r="M24" s="10">
        <f>30+900+450+6600+150+60+30+9150+900+750+9450+7800+90+900+450+210+2850+750</f>
        <v>41520</v>
      </c>
      <c r="N24" s="23">
        <f>O24/30</f>
        <v>18</v>
      </c>
      <c r="O24" s="36">
        <f>E24+G24-I24-K24-M24</f>
        <v>540</v>
      </c>
      <c r="T24" s="50">
        <v>540</v>
      </c>
      <c r="U24" s="51">
        <v>0</v>
      </c>
      <c r="V24" s="47">
        <f>T24+U24-O24</f>
        <v>0</v>
      </c>
      <c r="W24" s="75"/>
      <c r="X24" s="29"/>
    </row>
    <row r="25" spans="1:24" ht="15.75" thickBot="1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31</v>
      </c>
      <c r="G25" s="27">
        <f>'[2]July 2020'!$E$30</f>
        <v>744</v>
      </c>
      <c r="H25" s="39">
        <f>I25/24</f>
        <v>10</v>
      </c>
      <c r="I25" s="27">
        <f>240</f>
        <v>240</v>
      </c>
      <c r="J25" s="40">
        <f t="shared" ref="J25" si="3">K25/24</f>
        <v>0</v>
      </c>
      <c r="K25" s="36">
        <v>0</v>
      </c>
      <c r="L25" s="40">
        <f t="shared" ref="L25" si="4">M25/24</f>
        <v>1</v>
      </c>
      <c r="M25" s="36">
        <f>24</f>
        <v>24</v>
      </c>
      <c r="N25" s="39">
        <f>O25/24</f>
        <v>20</v>
      </c>
      <c r="O25" s="36">
        <f t="shared" ref="O25:O27" si="5">E25+G25-I25-K25-M25</f>
        <v>480</v>
      </c>
      <c r="T25" s="4">
        <v>480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193" t="s">
        <v>47</v>
      </c>
      <c r="B26" s="194"/>
      <c r="C26" s="195"/>
      <c r="D26" s="82">
        <f>E26/22</f>
        <v>0</v>
      </c>
      <c r="E26" s="3">
        <v>0</v>
      </c>
      <c r="F26" s="82">
        <f>G26/22</f>
        <v>98</v>
      </c>
      <c r="G26" s="3">
        <f>'[2]July 2020'!$F$30</f>
        <v>2156</v>
      </c>
      <c r="H26" s="42">
        <f>I26/22</f>
        <v>10</v>
      </c>
      <c r="I26" s="28">
        <f>220</f>
        <v>220</v>
      </c>
      <c r="J26" s="1">
        <f>K26/22</f>
        <v>22</v>
      </c>
      <c r="K26" s="3">
        <f>330+154</f>
        <v>484</v>
      </c>
      <c r="L26" s="1">
        <f>M26/22</f>
        <v>66</v>
      </c>
      <c r="M26" s="3">
        <f>22+440+220+220+330+220</f>
        <v>1452</v>
      </c>
      <c r="N26" s="25">
        <f>O26/22</f>
        <v>0</v>
      </c>
      <c r="O26" s="36">
        <f t="shared" si="5"/>
        <v>0</v>
      </c>
      <c r="Q26" s="29"/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190" t="s">
        <v>48</v>
      </c>
      <c r="B27" s="191"/>
      <c r="C27" s="192"/>
      <c r="D27" s="83">
        <f>E27/22</f>
        <v>2</v>
      </c>
      <c r="E27" s="41">
        <v>44</v>
      </c>
      <c r="F27" s="83">
        <f>G27/22</f>
        <v>14</v>
      </c>
      <c r="G27" s="41">
        <f>'[2]July 2020'!$G$30</f>
        <v>308</v>
      </c>
      <c r="H27" s="42">
        <f>I27/22</f>
        <v>0</v>
      </c>
      <c r="I27" s="43">
        <v>0</v>
      </c>
      <c r="J27" s="44">
        <f>K27/22</f>
        <v>8</v>
      </c>
      <c r="K27" s="41">
        <f>176</f>
        <v>176</v>
      </c>
      <c r="L27" s="44">
        <f>M27/22</f>
        <v>8</v>
      </c>
      <c r="M27" s="41">
        <f>22+154</f>
        <v>176</v>
      </c>
      <c r="N27" s="42">
        <f>O27/22</f>
        <v>0</v>
      </c>
      <c r="O27" s="38">
        <f t="shared" si="5"/>
        <v>0</v>
      </c>
      <c r="T27" s="52">
        <v>0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184" t="s">
        <v>37</v>
      </c>
      <c r="B28" s="185"/>
      <c r="C28" s="186"/>
      <c r="D28" s="79">
        <f t="shared" ref="D28:O28" si="6">SUM(D24:D27)</f>
        <v>60</v>
      </c>
      <c r="E28" s="21">
        <f t="shared" si="6"/>
        <v>1784</v>
      </c>
      <c r="F28" s="79">
        <f t="shared" si="6"/>
        <v>1539</v>
      </c>
      <c r="G28" s="21">
        <f t="shared" si="6"/>
        <v>45088</v>
      </c>
      <c r="H28" s="79">
        <f t="shared" si="6"/>
        <v>50</v>
      </c>
      <c r="I28" s="21">
        <f t="shared" si="6"/>
        <v>1360</v>
      </c>
      <c r="J28" s="79">
        <f t="shared" si="6"/>
        <v>52</v>
      </c>
      <c r="K28" s="21">
        <f t="shared" si="6"/>
        <v>1320</v>
      </c>
      <c r="L28" s="79">
        <f t="shared" si="6"/>
        <v>1459</v>
      </c>
      <c r="M28" s="21">
        <f t="shared" si="6"/>
        <v>43172</v>
      </c>
      <c r="N28" s="79">
        <f t="shared" si="6"/>
        <v>38</v>
      </c>
      <c r="O28" s="21">
        <f t="shared" si="6"/>
        <v>1020</v>
      </c>
      <c r="T28" s="46"/>
      <c r="U28" s="49"/>
      <c r="V28" s="30"/>
      <c r="W28" s="75"/>
      <c r="X28" s="29"/>
    </row>
    <row r="29" spans="1:24">
      <c r="A29" s="178" t="s">
        <v>16</v>
      </c>
      <c r="B29" s="179"/>
      <c r="C29" s="180"/>
      <c r="D29" s="74">
        <f>E29/24</f>
        <v>23</v>
      </c>
      <c r="E29" s="10">
        <v>552</v>
      </c>
      <c r="F29" s="74">
        <f>G29/24</f>
        <v>395</v>
      </c>
      <c r="G29" s="10">
        <f>'[2]July 2020'!$H$30</f>
        <v>9480</v>
      </c>
      <c r="H29" s="23">
        <f>I29/24</f>
        <v>70</v>
      </c>
      <c r="I29" s="26">
        <f>480+240+960</f>
        <v>1680</v>
      </c>
      <c r="J29" s="11">
        <f t="shared" ref="J29:J31" si="7">K29/24</f>
        <v>10</v>
      </c>
      <c r="K29" s="10">
        <f>240</f>
        <v>240</v>
      </c>
      <c r="L29" s="11">
        <f t="shared" ref="L29:L31" si="8">M29/24</f>
        <v>337</v>
      </c>
      <c r="M29" s="10">
        <f>1200+240+840+360+840+1200+600+600+600+600+48+960</f>
        <v>8088</v>
      </c>
      <c r="N29" s="23">
        <f>O29/24</f>
        <v>1</v>
      </c>
      <c r="O29" s="36">
        <f>E29+G29-I29-K29-M29</f>
        <v>24</v>
      </c>
      <c r="T29" s="5">
        <v>24</v>
      </c>
      <c r="U29" s="16">
        <v>0</v>
      </c>
      <c r="V29" s="30">
        <f>T29+U29-O29</f>
        <v>0</v>
      </c>
      <c r="W29" s="75"/>
      <c r="X29" s="29"/>
    </row>
    <row r="30" spans="1:24">
      <c r="A30" s="193" t="s">
        <v>43</v>
      </c>
      <c r="B30" s="194"/>
      <c r="C30" s="195"/>
      <c r="D30" s="82">
        <f>E30/24</f>
        <v>0</v>
      </c>
      <c r="E30" s="3">
        <v>0</v>
      </c>
      <c r="F30" s="82">
        <f>G30/24</f>
        <v>279</v>
      </c>
      <c r="G30" s="3">
        <f>'[2]July 2020'!$I$30</f>
        <v>6696</v>
      </c>
      <c r="H30" s="25">
        <f>I30/24</f>
        <v>70</v>
      </c>
      <c r="I30" s="28">
        <f>480+240+960</f>
        <v>1680</v>
      </c>
      <c r="J30" s="1">
        <f t="shared" si="7"/>
        <v>5</v>
      </c>
      <c r="K30" s="3">
        <f>120</f>
        <v>120</v>
      </c>
      <c r="L30" s="1">
        <f>M30/24</f>
        <v>203</v>
      </c>
      <c r="M30" s="3">
        <f>480+360+240+1200+600+240+240+360+192+960</f>
        <v>4872</v>
      </c>
      <c r="N30" s="25">
        <f>O30/24</f>
        <v>1</v>
      </c>
      <c r="O30" s="36">
        <f t="shared" ref="O30:O31" si="9">E30+G30-I30-K30-M30</f>
        <v>24</v>
      </c>
      <c r="T30" s="4">
        <v>24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193" t="s">
        <v>17</v>
      </c>
      <c r="B31" s="194"/>
      <c r="C31" s="195"/>
      <c r="D31" s="82">
        <f>E31/24</f>
        <v>31</v>
      </c>
      <c r="E31" s="3">
        <v>744</v>
      </c>
      <c r="F31" s="82">
        <f>G31/24</f>
        <v>2174</v>
      </c>
      <c r="G31" s="3">
        <f>'[2]July 2020'!$J$30</f>
        <v>52176</v>
      </c>
      <c r="H31" s="25">
        <f>I31/24</f>
        <v>380</v>
      </c>
      <c r="I31" s="28">
        <f>2400+2400+4320</f>
        <v>9120</v>
      </c>
      <c r="J31" s="1">
        <f t="shared" si="7"/>
        <v>300</v>
      </c>
      <c r="K31" s="3">
        <f>3600+3600</f>
        <v>7200</v>
      </c>
      <c r="L31" s="1">
        <f t="shared" si="8"/>
        <v>1514</v>
      </c>
      <c r="M31" s="3">
        <f>120+120+1800+1200+168+72+3600+360+2400+120+24+1800+120+3000+1200+1200+2040+240+3120+480+48+480+2880+1800+1440+480+168+264+120+1920+48+504+3000</f>
        <v>36336</v>
      </c>
      <c r="N31" s="25">
        <f>O31/24</f>
        <v>11</v>
      </c>
      <c r="O31" s="36">
        <f t="shared" si="9"/>
        <v>264</v>
      </c>
      <c r="T31" s="4">
        <v>216</v>
      </c>
      <c r="U31" s="8">
        <f>0*24</f>
        <v>0</v>
      </c>
      <c r="V31" s="35">
        <f>T31+U31-O31</f>
        <v>-48</v>
      </c>
      <c r="W31" s="75"/>
      <c r="X31" s="29">
        <f>V31/24</f>
        <v>-2</v>
      </c>
    </row>
    <row r="32" spans="1:24" ht="15.75" thickBot="1">
      <c r="A32" s="184" t="s">
        <v>38</v>
      </c>
      <c r="B32" s="185"/>
      <c r="C32" s="186"/>
      <c r="D32" s="84">
        <f t="shared" ref="D32:O32" si="10">SUM(D29:D31)</f>
        <v>54</v>
      </c>
      <c r="E32" s="78">
        <f t="shared" si="10"/>
        <v>1296</v>
      </c>
      <c r="F32" s="84">
        <f t="shared" si="10"/>
        <v>2848</v>
      </c>
      <c r="G32" s="78">
        <f t="shared" si="10"/>
        <v>68352</v>
      </c>
      <c r="H32" s="79">
        <f t="shared" si="10"/>
        <v>520</v>
      </c>
      <c r="I32" s="80">
        <f t="shared" si="10"/>
        <v>12480</v>
      </c>
      <c r="J32" s="84">
        <f t="shared" si="10"/>
        <v>315</v>
      </c>
      <c r="K32" s="78">
        <f t="shared" si="10"/>
        <v>7560</v>
      </c>
      <c r="L32" s="84">
        <f t="shared" si="10"/>
        <v>2054</v>
      </c>
      <c r="M32" s="78">
        <f t="shared" si="10"/>
        <v>49296</v>
      </c>
      <c r="N32" s="84">
        <f t="shared" si="10"/>
        <v>13</v>
      </c>
      <c r="O32" s="78">
        <f t="shared" si="10"/>
        <v>312</v>
      </c>
      <c r="T32" s="17"/>
      <c r="U32" s="18"/>
      <c r="V32" s="30"/>
      <c r="W32" s="75"/>
      <c r="X32" s="29"/>
    </row>
    <row r="33" spans="1:24">
      <c r="A33" s="178" t="s">
        <v>19</v>
      </c>
      <c r="B33" s="179"/>
      <c r="C33" s="180"/>
      <c r="D33" s="85">
        <f>E33/12</f>
        <v>9</v>
      </c>
      <c r="E33" s="14">
        <v>108</v>
      </c>
      <c r="F33" s="85">
        <f>G33/12</f>
        <v>883</v>
      </c>
      <c r="G33" s="14">
        <f>'[2]July 2020'!$K$30</f>
        <v>10596</v>
      </c>
      <c r="H33" s="23">
        <f>I33/12</f>
        <v>0</v>
      </c>
      <c r="I33" s="26">
        <v>0</v>
      </c>
      <c r="J33" s="15">
        <f t="shared" ref="J33:J34" si="11">K33/12</f>
        <v>45</v>
      </c>
      <c r="K33" s="10">
        <f>240+300</f>
        <v>540</v>
      </c>
      <c r="L33" s="15">
        <f t="shared" ref="L33:L34" si="12">M33/12</f>
        <v>842</v>
      </c>
      <c r="M33" s="10">
        <f>120+36+36+60+1800+120+240+1800+60+840+24+2400+24+24+24+24+60+12+60+60+1980+60+180+60</f>
        <v>10104</v>
      </c>
      <c r="N33" s="23">
        <f>O33/12</f>
        <v>5</v>
      </c>
      <c r="O33" s="36">
        <f>E33+G33-I33-K33-M33</f>
        <v>60</v>
      </c>
      <c r="T33" s="5">
        <v>84</v>
      </c>
      <c r="U33" s="16">
        <f>0*12</f>
        <v>0</v>
      </c>
      <c r="V33" s="30">
        <f>T33+U33-O33</f>
        <v>24</v>
      </c>
      <c r="W33" s="86"/>
      <c r="X33" s="29">
        <f>V33/12</f>
        <v>2</v>
      </c>
    </row>
    <row r="34" spans="1:24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1</v>
      </c>
      <c r="G34" s="12">
        <f>'[2]July 2020'!$L$30</f>
        <v>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</v>
      </c>
      <c r="M34" s="12">
        <v>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184" t="s">
        <v>39</v>
      </c>
      <c r="B35" s="185"/>
      <c r="C35" s="186"/>
      <c r="D35" s="84">
        <f>SUM(D33:D34)</f>
        <v>9</v>
      </c>
      <c r="E35" s="78">
        <f t="shared" ref="E35:H35" si="13">SUM(E33:E34)</f>
        <v>108</v>
      </c>
      <c r="F35" s="84">
        <f t="shared" si="13"/>
        <v>884</v>
      </c>
      <c r="G35" s="78">
        <f t="shared" si="13"/>
        <v>10608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45</v>
      </c>
      <c r="K35" s="78">
        <f t="shared" si="14"/>
        <v>540</v>
      </c>
      <c r="L35" s="84">
        <f t="shared" si="14"/>
        <v>843</v>
      </c>
      <c r="M35" s="78">
        <f t="shared" si="14"/>
        <v>10116</v>
      </c>
      <c r="N35" s="84">
        <f t="shared" si="14"/>
        <v>5</v>
      </c>
      <c r="O35" s="78">
        <f t="shared" si="14"/>
        <v>60</v>
      </c>
      <c r="T35" s="19"/>
      <c r="U35" s="20"/>
      <c r="V35" s="34"/>
      <c r="X35" s="29"/>
    </row>
    <row r="36" spans="1:24" ht="15.75" thickBot="1">
      <c r="A36" s="187" t="s">
        <v>21</v>
      </c>
      <c r="B36" s="188"/>
      <c r="C36" s="189"/>
      <c r="D36" s="87">
        <f t="shared" ref="D36:O36" si="15">D21+D22+D24+D25+D26+D27+D29+D30+D31+D33+D34</f>
        <v>148</v>
      </c>
      <c r="E36" s="87">
        <f t="shared" si="15"/>
        <v>3788</v>
      </c>
      <c r="F36" s="87">
        <f t="shared" si="15"/>
        <v>5271</v>
      </c>
      <c r="G36" s="87">
        <f t="shared" si="15"/>
        <v>124048</v>
      </c>
      <c r="H36" s="87">
        <f t="shared" si="15"/>
        <v>685</v>
      </c>
      <c r="I36" s="87">
        <f>I21+I22+I24+I25+I26+I27+I29+I30+I31+I33+I34</f>
        <v>16600</v>
      </c>
      <c r="J36" s="87">
        <f t="shared" si="15"/>
        <v>493</v>
      </c>
      <c r="K36" s="87">
        <f t="shared" si="15"/>
        <v>11364</v>
      </c>
      <c r="L36" s="87">
        <f t="shared" si="15"/>
        <v>4385</v>
      </c>
      <c r="M36" s="87">
        <f t="shared" si="15"/>
        <v>103280</v>
      </c>
      <c r="N36" s="87">
        <f t="shared" si="15"/>
        <v>-144</v>
      </c>
      <c r="O36" s="87">
        <f t="shared" si="15"/>
        <v>-3408</v>
      </c>
      <c r="T36" s="88">
        <f>SUM(T21:T34)</f>
        <v>1560</v>
      </c>
      <c r="U36" s="89">
        <f>SUM(U21:U34)</f>
        <v>0</v>
      </c>
      <c r="V36" s="31">
        <f>T36+U36-O36</f>
        <v>4968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X42"/>
  <sheetViews>
    <sheetView zoomScaleNormal="100" workbookViewId="0">
      <selection activeCell="H6" sqref="H6:J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66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42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43"/>
    </row>
    <row r="3" spans="1:24" ht="15.75" thickBot="1">
      <c r="A3" s="248" t="s">
        <v>67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44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41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40151.800000000003</v>
      </c>
      <c r="D6" s="264"/>
      <c r="E6" s="54">
        <f>3800+2280+5320+14922.8+13715+3040+1560+2135+3780+2400+1650+1456+6855+17900.6+7039+1140+6840+18313+4844.7+10855.2</f>
        <v>129846.29999999999</v>
      </c>
      <c r="F6" s="140"/>
      <c r="G6" s="146">
        <f>C6+E6+F6</f>
        <v>169998.09999999998</v>
      </c>
      <c r="H6" s="263">
        <f>G15</f>
        <v>0</v>
      </c>
      <c r="I6" s="219"/>
      <c r="J6" s="264"/>
      <c r="K6" s="199">
        <f>G6-H6</f>
        <v>169998.09999999998</v>
      </c>
      <c r="L6" s="200"/>
      <c r="M6" s="55"/>
      <c r="O6" s="29"/>
      <c r="Q6" s="29"/>
    </row>
    <row r="7" spans="1:24" ht="13.5" customHeight="1" thickBot="1">
      <c r="A7" s="245" t="s">
        <v>68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39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45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  <c r="U9" s="2">
        <f>37658.3-22594.98</f>
        <v>15063.320000000003</v>
      </c>
    </row>
    <row r="10" spans="1:24" ht="15.75" customHeight="1" thickBot="1">
      <c r="A10" s="58" t="s">
        <v>8</v>
      </c>
      <c r="B10" s="199">
        <v>83393.399999999994</v>
      </c>
      <c r="C10" s="219"/>
      <c r="D10" s="60">
        <v>75587.600000000006</v>
      </c>
      <c r="E10" s="199">
        <f>B10-D10</f>
        <v>7805.7999999999884</v>
      </c>
      <c r="F10" s="200"/>
      <c r="G10" s="136"/>
      <c r="H10" s="60"/>
      <c r="I10" s="60"/>
      <c r="J10" s="199">
        <f>B10+G10+H10+I10</f>
        <v>83393.399999999994</v>
      </c>
      <c r="K10" s="200"/>
      <c r="L10" s="199">
        <f>G29+G30+G31</f>
        <v>57624</v>
      </c>
      <c r="M10" s="220"/>
      <c r="N10" s="199">
        <f>J10-L10</f>
        <v>25769.399999999994</v>
      </c>
      <c r="O10" s="200"/>
      <c r="P10" s="60">
        <v>22594.98</v>
      </c>
      <c r="Q10" s="199">
        <f>N10-P10</f>
        <v>3174.4199999999946</v>
      </c>
      <c r="R10" s="224"/>
      <c r="S10" s="123"/>
      <c r="T10" s="32"/>
      <c r="U10" s="2">
        <f>7531.66*3</f>
        <v>22594.98</v>
      </c>
    </row>
    <row r="11" spans="1:24" ht="15.75" thickBot="1">
      <c r="A11" s="58" t="s">
        <v>9</v>
      </c>
      <c r="B11" s="199">
        <v>16500.84</v>
      </c>
      <c r="C11" s="219"/>
      <c r="D11" s="60">
        <v>15115</v>
      </c>
      <c r="E11" s="199">
        <f t="shared" ref="E11:E13" si="0">B11-D11</f>
        <v>1385.8400000000001</v>
      </c>
      <c r="F11" s="200"/>
      <c r="G11" s="136"/>
      <c r="H11" s="60"/>
      <c r="I11" s="60"/>
      <c r="J11" s="199">
        <f>B11+G11+H11+I11</f>
        <v>16500.84</v>
      </c>
      <c r="K11" s="200"/>
      <c r="L11" s="199">
        <f>SUM(G21:G22)</f>
        <v>8496</v>
      </c>
      <c r="M11" s="220"/>
      <c r="N11" s="231">
        <f>J11-L11</f>
        <v>8004.84</v>
      </c>
      <c r="O11" s="232"/>
      <c r="P11" s="60">
        <v>0</v>
      </c>
      <c r="Q11" s="199">
        <f>N11-P11</f>
        <v>8004.84</v>
      </c>
      <c r="R11" s="224"/>
      <c r="S11" s="123"/>
      <c r="T11" s="32"/>
    </row>
    <row r="12" spans="1:24" ht="15.75" customHeight="1" thickBot="1">
      <c r="A12" s="58" t="s">
        <v>10</v>
      </c>
      <c r="B12" s="199">
        <v>16449.2</v>
      </c>
      <c r="C12" s="219"/>
      <c r="D12" s="60">
        <v>15216</v>
      </c>
      <c r="E12" s="199">
        <f t="shared" si="0"/>
        <v>1233.2000000000007</v>
      </c>
      <c r="F12" s="200"/>
      <c r="G12" s="136"/>
      <c r="H12" s="60"/>
      <c r="I12" s="60"/>
      <c r="J12" s="199">
        <f>B12+G12+H12+I12</f>
        <v>16449.2</v>
      </c>
      <c r="K12" s="200"/>
      <c r="L12" s="199">
        <f>SUM(G33:G34)</f>
        <v>9552</v>
      </c>
      <c r="M12" s="224"/>
      <c r="N12" s="199">
        <f>J12-L12</f>
        <v>6897.2000000000007</v>
      </c>
      <c r="O12" s="200"/>
      <c r="P12" s="60">
        <f>9214.8-3684</f>
        <v>5530.7999999999993</v>
      </c>
      <c r="Q12" s="199">
        <f>N12-P12</f>
        <v>1366.4000000000015</v>
      </c>
      <c r="R12" s="224"/>
      <c r="S12" s="123"/>
    </row>
    <row r="13" spans="1:24" ht="15.75" thickBot="1">
      <c r="A13" s="58" t="s">
        <v>30</v>
      </c>
      <c r="B13" s="199">
        <v>107160.24</v>
      </c>
      <c r="C13" s="219"/>
      <c r="D13" s="60">
        <v>98881.3</v>
      </c>
      <c r="E13" s="199">
        <f t="shared" si="0"/>
        <v>8278.9400000000023</v>
      </c>
      <c r="F13" s="200"/>
      <c r="G13" s="146"/>
      <c r="H13" s="60"/>
      <c r="I13" s="60"/>
      <c r="J13" s="199">
        <f>B13+G13+H13+I13</f>
        <v>107160.24</v>
      </c>
      <c r="K13" s="200"/>
      <c r="L13" s="199">
        <f>G24+G25+G26+G27</f>
        <v>43148</v>
      </c>
      <c r="M13" s="224"/>
      <c r="N13" s="199">
        <f>J13-L13</f>
        <v>64012.240000000005</v>
      </c>
      <c r="O13" s="200"/>
      <c r="P13" s="60">
        <f>71881.3-11984</f>
        <v>59897.3</v>
      </c>
      <c r="Q13" s="199">
        <f>N13-P13</f>
        <v>4114.9400000000023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36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223503.68</v>
      </c>
      <c r="C15" s="200"/>
      <c r="D15" s="60">
        <f>SUM(D10:D14)</f>
        <v>204799.90000000002</v>
      </c>
      <c r="E15" s="199">
        <f>SUM(E10:F14)</f>
        <v>18703.779999999992</v>
      </c>
      <c r="F15" s="218"/>
      <c r="G15" s="136">
        <f>SUM(G10:G14)</f>
        <v>0</v>
      </c>
      <c r="H15" s="60">
        <f>SUM(H10:H14)</f>
        <v>0</v>
      </c>
      <c r="I15" s="60">
        <f>SUM(I10:I14)</f>
        <v>0</v>
      </c>
      <c r="J15" s="219">
        <f>SUM(J10:K14)</f>
        <v>223503.68</v>
      </c>
      <c r="K15" s="200"/>
      <c r="L15" s="199">
        <f>SUM(L10:M14)</f>
        <v>118820</v>
      </c>
      <c r="M15" s="220"/>
      <c r="N15" s="199">
        <f>SUM(N10:O14)</f>
        <v>104683.68</v>
      </c>
      <c r="O15" s="200"/>
      <c r="P15" s="60">
        <f>SUM(P10:P14)</f>
        <v>88023.08</v>
      </c>
      <c r="Q15" s="199">
        <f>SUM(Q10:R13)</f>
        <v>16660.599999999999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69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37" t="s">
        <v>26</v>
      </c>
      <c r="E20" s="37" t="s">
        <v>25</v>
      </c>
      <c r="F20" s="69" t="s">
        <v>26</v>
      </c>
      <c r="G20" s="37" t="s">
        <v>25</v>
      </c>
      <c r="H20" s="138" t="s">
        <v>26</v>
      </c>
      <c r="I20" s="37" t="s">
        <v>25</v>
      </c>
      <c r="J20" s="138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>
      <c r="A21" s="178" t="s">
        <v>13</v>
      </c>
      <c r="B21" s="179"/>
      <c r="C21" s="180"/>
      <c r="D21" s="74">
        <f>E21/24</f>
        <v>6</v>
      </c>
      <c r="E21" s="10">
        <v>144</v>
      </c>
      <c r="F21" s="74">
        <f>G21/24</f>
        <v>32</v>
      </c>
      <c r="G21" s="10">
        <f>'[2]August 2021'!$B$30</f>
        <v>768</v>
      </c>
      <c r="H21" s="23">
        <f>I21/24</f>
        <v>20</v>
      </c>
      <c r="I21" s="26">
        <f>480</f>
        <v>480</v>
      </c>
      <c r="J21" s="11">
        <f>K21/24</f>
        <v>1</v>
      </c>
      <c r="K21" s="10">
        <f>24</f>
        <v>24</v>
      </c>
      <c r="L21" s="11">
        <f>M21/24</f>
        <v>4</v>
      </c>
      <c r="M21" s="10">
        <f>48+48</f>
        <v>96</v>
      </c>
      <c r="N21" s="23">
        <f>O21/24</f>
        <v>13</v>
      </c>
      <c r="O21" s="36">
        <f>E21+G21-I21-K21-M21</f>
        <v>312</v>
      </c>
      <c r="P21" s="150"/>
      <c r="Q21" s="150"/>
      <c r="R21" s="150"/>
      <c r="S21" s="5">
        <v>312</v>
      </c>
      <c r="T21" s="7">
        <v>0</v>
      </c>
      <c r="U21" s="30">
        <f>S21+T21-O21</f>
        <v>0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0</v>
      </c>
      <c r="E22" s="12">
        <v>0</v>
      </c>
      <c r="F22" s="76">
        <f>G22/24</f>
        <v>322</v>
      </c>
      <c r="G22" s="12">
        <f>'[2]August 2021'!$C$30</f>
        <v>7728</v>
      </c>
      <c r="H22" s="24">
        <f>I22/24</f>
        <v>50</v>
      </c>
      <c r="I22" s="33">
        <f>1200</f>
        <v>1200</v>
      </c>
      <c r="J22" s="13">
        <f>K22/24</f>
        <v>100</v>
      </c>
      <c r="K22" s="12">
        <f>720+1680</f>
        <v>2400</v>
      </c>
      <c r="L22" s="13">
        <f>M22/24</f>
        <v>42</v>
      </c>
      <c r="M22" s="12">
        <f>48+72+120+48+72+48+48+240+48+120+48+24+24+48</f>
        <v>1008</v>
      </c>
      <c r="N22" s="24">
        <f>O22/24</f>
        <v>130</v>
      </c>
      <c r="O22" s="36">
        <f>E22+G22-I22-K22-M22</f>
        <v>3120</v>
      </c>
      <c r="P22" s="149"/>
      <c r="Q22" s="149"/>
      <c r="R22" s="150"/>
      <c r="S22" s="6">
        <v>3120</v>
      </c>
      <c r="T22" s="9">
        <v>0</v>
      </c>
      <c r="U22" s="34">
        <f>S22-O22</f>
        <v>0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6</v>
      </c>
      <c r="E23" s="78">
        <f t="shared" ref="E23:H23" si="1">SUM(E21:E22)</f>
        <v>144</v>
      </c>
      <c r="F23" s="77">
        <f t="shared" si="1"/>
        <v>354</v>
      </c>
      <c r="G23" s="78">
        <f t="shared" si="1"/>
        <v>8496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101</v>
      </c>
      <c r="K23" s="78">
        <f t="shared" si="2"/>
        <v>2424</v>
      </c>
      <c r="L23" s="77">
        <f t="shared" si="2"/>
        <v>46</v>
      </c>
      <c r="M23" s="78">
        <f t="shared" si="2"/>
        <v>1104</v>
      </c>
      <c r="N23" s="77">
        <f t="shared" si="2"/>
        <v>143</v>
      </c>
      <c r="O23" s="78">
        <f t="shared" si="2"/>
        <v>3432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18</v>
      </c>
      <c r="E24" s="10">
        <v>540</v>
      </c>
      <c r="F24" s="74">
        <f>G24/30</f>
        <v>1330</v>
      </c>
      <c r="G24" s="10">
        <f>'[2]August 2021'!$D$30</f>
        <v>39900</v>
      </c>
      <c r="H24" s="23">
        <f>I24/30</f>
        <v>20</v>
      </c>
      <c r="I24" s="10">
        <f>600</f>
        <v>600</v>
      </c>
      <c r="J24" s="23">
        <f>K24/30</f>
        <v>22</v>
      </c>
      <c r="K24" s="10">
        <f>60+600</f>
        <v>660</v>
      </c>
      <c r="L24" s="23">
        <f>M24/30</f>
        <v>1159</v>
      </c>
      <c r="M24" s="10">
        <f>60+7500+150+870+9300+150+7200+7800+30+150+60+1050+300+150</f>
        <v>34770</v>
      </c>
      <c r="N24" s="23">
        <f>O24/30</f>
        <v>147</v>
      </c>
      <c r="O24" s="36">
        <f>E24+G24-I24-K24-M24</f>
        <v>4410</v>
      </c>
      <c r="P24" s="150"/>
      <c r="Q24" s="150"/>
      <c r="R24" s="150"/>
      <c r="S24" s="50">
        <v>4410</v>
      </c>
      <c r="T24" s="51">
        <v>0</v>
      </c>
      <c r="U24" s="30">
        <f>S24+T24-O24</f>
        <v>0</v>
      </c>
      <c r="V24" s="75"/>
      <c r="W24" s="29"/>
    </row>
    <row r="25" spans="1:23">
      <c r="A25" s="196" t="s">
        <v>18</v>
      </c>
      <c r="B25" s="197"/>
      <c r="C25" s="198"/>
      <c r="D25" s="81">
        <f>E25/24</f>
        <v>20</v>
      </c>
      <c r="E25" s="36">
        <v>480</v>
      </c>
      <c r="F25" s="81">
        <f>G25/24</f>
        <v>29</v>
      </c>
      <c r="G25" s="27">
        <f>'[2]August 2021'!$E$30</f>
        <v>696</v>
      </c>
      <c r="H25" s="39">
        <f>I25/24</f>
        <v>20</v>
      </c>
      <c r="I25" s="27">
        <f>480</f>
        <v>480</v>
      </c>
      <c r="J25" s="40">
        <f t="shared" ref="J25" si="3">K25/24</f>
        <v>0</v>
      </c>
      <c r="K25" s="36">
        <v>0</v>
      </c>
      <c r="L25" s="40">
        <f t="shared" ref="L25" si="4">M25/24</f>
        <v>13</v>
      </c>
      <c r="M25" s="36">
        <f>120+72+120</f>
        <v>312</v>
      </c>
      <c r="N25" s="39">
        <f>O25/24</f>
        <v>16</v>
      </c>
      <c r="O25" s="36">
        <f t="shared" ref="O25:O27" si="5">E25+G25-I25-K25-M25</f>
        <v>384</v>
      </c>
      <c r="P25" s="150"/>
      <c r="Q25" s="150"/>
      <c r="R25" s="150"/>
      <c r="S25" s="4">
        <v>384</v>
      </c>
      <c r="T25" s="22">
        <v>0</v>
      </c>
      <c r="U25" s="35">
        <f>S25+T25-O25</f>
        <v>0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0</v>
      </c>
      <c r="E26" s="3">
        <v>0</v>
      </c>
      <c r="F26" s="82">
        <f>G26/22</f>
        <v>101</v>
      </c>
      <c r="G26" s="3">
        <f>'[2]August 2021'!$F$30</f>
        <v>2222</v>
      </c>
      <c r="H26" s="42">
        <f>I26/22</f>
        <v>10</v>
      </c>
      <c r="I26" s="28">
        <v>220</v>
      </c>
      <c r="J26" s="1">
        <f>K26/22</f>
        <v>23</v>
      </c>
      <c r="K26" s="3">
        <f>110+396</f>
        <v>506</v>
      </c>
      <c r="L26" s="1">
        <f>M26/22</f>
        <v>47</v>
      </c>
      <c r="M26" s="3">
        <f>550+22+22+110+330</f>
        <v>1034</v>
      </c>
      <c r="N26" s="25">
        <f>O26/22</f>
        <v>21</v>
      </c>
      <c r="O26" s="36">
        <f t="shared" si="5"/>
        <v>462</v>
      </c>
      <c r="P26" s="150"/>
      <c r="Q26" s="150"/>
      <c r="R26" s="150"/>
      <c r="S26" s="4">
        <v>462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0</v>
      </c>
      <c r="E27" s="41">
        <v>0</v>
      </c>
      <c r="F27" s="83">
        <f>G27/22</f>
        <v>15</v>
      </c>
      <c r="G27" s="41">
        <f>'[2]August 2021'!$G$30</f>
        <v>330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5</v>
      </c>
      <c r="M27" s="41">
        <v>110</v>
      </c>
      <c r="N27" s="42">
        <f>O27/22</f>
        <v>0</v>
      </c>
      <c r="O27" s="38">
        <f t="shared" si="5"/>
        <v>0</v>
      </c>
      <c r="P27" s="150"/>
      <c r="Q27" s="150"/>
      <c r="R27" s="150"/>
      <c r="S27" s="52">
        <v>0</v>
      </c>
      <c r="T27" s="53">
        <f>0*22</f>
        <v>0</v>
      </c>
      <c r="U27" s="148">
        <f>S27+T27-O27</f>
        <v>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6">SUM(D24:D27)</f>
        <v>38</v>
      </c>
      <c r="E28" s="21">
        <f t="shared" si="6"/>
        <v>1020</v>
      </c>
      <c r="F28" s="79">
        <f t="shared" si="6"/>
        <v>1475</v>
      </c>
      <c r="G28" s="21">
        <f t="shared" si="6"/>
        <v>43148</v>
      </c>
      <c r="H28" s="79">
        <f t="shared" si="6"/>
        <v>50</v>
      </c>
      <c r="I28" s="21">
        <f t="shared" si="6"/>
        <v>1300</v>
      </c>
      <c r="J28" s="79">
        <f t="shared" si="6"/>
        <v>55</v>
      </c>
      <c r="K28" s="21">
        <f t="shared" si="6"/>
        <v>1386</v>
      </c>
      <c r="L28" s="79">
        <f t="shared" si="6"/>
        <v>1224</v>
      </c>
      <c r="M28" s="21">
        <f t="shared" si="6"/>
        <v>36226</v>
      </c>
      <c r="N28" s="79">
        <f t="shared" si="6"/>
        <v>184</v>
      </c>
      <c r="O28" s="21">
        <f t="shared" si="6"/>
        <v>5256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</v>
      </c>
      <c r="E29" s="10">
        <v>24</v>
      </c>
      <c r="F29" s="74">
        <f>G29/24</f>
        <v>290</v>
      </c>
      <c r="G29" s="10">
        <f>'[2]August 2021'!$H$30</f>
        <v>6960</v>
      </c>
      <c r="H29" s="23">
        <f>I29/24</f>
        <v>35</v>
      </c>
      <c r="I29" s="26">
        <f>360+480</f>
        <v>840</v>
      </c>
      <c r="J29" s="11">
        <f t="shared" ref="J29:J31" si="7">K29/24</f>
        <v>5</v>
      </c>
      <c r="K29" s="10">
        <v>120</v>
      </c>
      <c r="L29" s="11">
        <f t="shared" ref="L29:L31" si="8">M29/24</f>
        <v>237</v>
      </c>
      <c r="M29" s="10">
        <f>360+1200+720+240+1200+600+360+48+360+600</f>
        <v>5688</v>
      </c>
      <c r="N29" s="23">
        <f>O29/24</f>
        <v>14</v>
      </c>
      <c r="O29" s="36">
        <f>E29+G29-I29-K29-M29</f>
        <v>336</v>
      </c>
      <c r="P29" s="150"/>
      <c r="Q29" s="150"/>
      <c r="R29" s="150"/>
      <c r="S29" s="5">
        <v>336</v>
      </c>
      <c r="T29" s="16">
        <v>0</v>
      </c>
      <c r="U29" s="30">
        <f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1</v>
      </c>
      <c r="E30" s="3">
        <v>24</v>
      </c>
      <c r="F30" s="82">
        <f>G30/24</f>
        <v>151</v>
      </c>
      <c r="G30" s="3">
        <f>'[2]August 2021'!$I$30</f>
        <v>3624</v>
      </c>
      <c r="H30" s="25">
        <f>I30/24</f>
        <v>20</v>
      </c>
      <c r="I30" s="28">
        <f>480</f>
        <v>480</v>
      </c>
      <c r="J30" s="1">
        <f t="shared" si="7"/>
        <v>5</v>
      </c>
      <c r="K30" s="3">
        <v>120</v>
      </c>
      <c r="L30" s="1">
        <f>M30/24</f>
        <v>116</v>
      </c>
      <c r="M30" s="3">
        <f>240+240+240+1200+360+240+24+240</f>
        <v>2784</v>
      </c>
      <c r="N30" s="25">
        <f>O30/24</f>
        <v>11</v>
      </c>
      <c r="O30" s="36">
        <f t="shared" ref="O30:O31" si="9">E30+G30-I30-K30-M30</f>
        <v>264</v>
      </c>
      <c r="P30" s="150"/>
      <c r="Q30" s="150"/>
      <c r="R30" s="150"/>
      <c r="S30" s="4">
        <v>264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11</v>
      </c>
      <c r="E31" s="3">
        <v>264</v>
      </c>
      <c r="F31" s="82">
        <f>G31/24</f>
        <v>1960</v>
      </c>
      <c r="G31" s="3">
        <f>'[2]August 2021'!$J$30</f>
        <v>47040</v>
      </c>
      <c r="H31" s="25">
        <f>I31/24</f>
        <v>250</v>
      </c>
      <c r="I31" s="28">
        <f>2400+3600</f>
        <v>6000</v>
      </c>
      <c r="J31" s="1">
        <f t="shared" si="7"/>
        <v>225</v>
      </c>
      <c r="K31" s="3">
        <f>1200+4200</f>
        <v>5400</v>
      </c>
      <c r="L31" s="1">
        <f t="shared" si="8"/>
        <v>1287</v>
      </c>
      <c r="M31" s="3">
        <f>240+120+48+3840+240+168+72+168+2640+480+1800+1800+240+3600+3600+3120+48+240+24+360+240+2400+360+3000+600+1440</f>
        <v>30888</v>
      </c>
      <c r="N31" s="25">
        <f>O31/24</f>
        <v>209</v>
      </c>
      <c r="O31" s="36">
        <f t="shared" si="9"/>
        <v>5016</v>
      </c>
      <c r="P31" s="150"/>
      <c r="Q31" s="267"/>
      <c r="R31" s="268"/>
      <c r="S31" s="4">
        <v>5016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13</v>
      </c>
      <c r="E32" s="78">
        <f t="shared" si="10"/>
        <v>312</v>
      </c>
      <c r="F32" s="84">
        <f t="shared" si="10"/>
        <v>2401</v>
      </c>
      <c r="G32" s="78">
        <f t="shared" si="10"/>
        <v>57624</v>
      </c>
      <c r="H32" s="79">
        <f t="shared" si="10"/>
        <v>305</v>
      </c>
      <c r="I32" s="80">
        <f t="shared" si="10"/>
        <v>7320</v>
      </c>
      <c r="J32" s="84">
        <f t="shared" si="10"/>
        <v>235</v>
      </c>
      <c r="K32" s="78">
        <f t="shared" si="10"/>
        <v>5640</v>
      </c>
      <c r="L32" s="84">
        <f t="shared" si="10"/>
        <v>1640</v>
      </c>
      <c r="M32" s="78">
        <f t="shared" si="10"/>
        <v>39360</v>
      </c>
      <c r="N32" s="84">
        <f t="shared" si="10"/>
        <v>234</v>
      </c>
      <c r="O32" s="78">
        <f t="shared" si="10"/>
        <v>5616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</v>
      </c>
      <c r="E33" s="14">
        <v>60</v>
      </c>
      <c r="F33" s="85">
        <f>G33/12</f>
        <v>746</v>
      </c>
      <c r="G33" s="14">
        <f>'[2]August 2021'!$K$30</f>
        <v>8952</v>
      </c>
      <c r="H33" s="23">
        <f>I33/12</f>
        <v>20</v>
      </c>
      <c r="I33" s="26">
        <f>120+120</f>
        <v>240</v>
      </c>
      <c r="J33" s="15">
        <f t="shared" ref="J33:J34" si="11">K33/12</f>
        <v>25</v>
      </c>
      <c r="K33" s="10">
        <f>180+120</f>
        <v>300</v>
      </c>
      <c r="L33" s="15">
        <f t="shared" ref="L33:L34" si="12">M33/12</f>
        <v>654</v>
      </c>
      <c r="M33" s="10">
        <f>24+2520+24+120+1800+12+24+1200+24+1800+60+24+60+48+48+60</f>
        <v>7848</v>
      </c>
      <c r="N33" s="23">
        <f>O33/12</f>
        <v>52</v>
      </c>
      <c r="O33" s="36">
        <f>E33+G33-I33-K33-M33</f>
        <v>624</v>
      </c>
      <c r="P33" s="150"/>
      <c r="Q33" s="150"/>
      <c r="R33" s="150"/>
      <c r="S33" s="5">
        <v>648</v>
      </c>
      <c r="T33" s="16">
        <f>0*12</f>
        <v>0</v>
      </c>
      <c r="U33" s="30">
        <f>S33+T33-O33</f>
        <v>24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50</v>
      </c>
      <c r="G34" s="12">
        <f>'[2]August 2021'!$L$30</f>
        <v>600</v>
      </c>
      <c r="H34" s="24">
        <f>I34/12</f>
        <v>0</v>
      </c>
      <c r="I34" s="33">
        <v>0</v>
      </c>
      <c r="J34" s="13">
        <f t="shared" si="11"/>
        <v>0</v>
      </c>
      <c r="K34" s="12"/>
      <c r="L34" s="13">
        <f t="shared" si="12"/>
        <v>50</v>
      </c>
      <c r="M34" s="12">
        <f>600</f>
        <v>600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</v>
      </c>
      <c r="E35" s="78">
        <f t="shared" ref="E35:H35" si="13">SUM(E33:E34)</f>
        <v>60</v>
      </c>
      <c r="F35" s="84">
        <f t="shared" si="13"/>
        <v>796</v>
      </c>
      <c r="G35" s="78">
        <f t="shared" si="13"/>
        <v>9552</v>
      </c>
      <c r="H35" s="79">
        <f t="shared" si="13"/>
        <v>20</v>
      </c>
      <c r="I35" s="80">
        <f>SUM(I33:I34)</f>
        <v>240</v>
      </c>
      <c r="J35" s="84">
        <f t="shared" ref="J35:O35" si="14">SUM(J33:J34)</f>
        <v>25</v>
      </c>
      <c r="K35" s="78">
        <f t="shared" si="14"/>
        <v>300</v>
      </c>
      <c r="L35" s="84">
        <f t="shared" si="14"/>
        <v>704</v>
      </c>
      <c r="M35" s="78">
        <f t="shared" si="14"/>
        <v>8448</v>
      </c>
      <c r="N35" s="84">
        <f t="shared" si="14"/>
        <v>52</v>
      </c>
      <c r="O35" s="78">
        <f t="shared" si="14"/>
        <v>624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5">D21+D22+D24+D25+D26+D27+D29+D30+D31+D33+D34</f>
        <v>62</v>
      </c>
      <c r="E36" s="87">
        <f t="shared" si="15"/>
        <v>1536</v>
      </c>
      <c r="F36" s="87">
        <f t="shared" si="15"/>
        <v>5026</v>
      </c>
      <c r="G36" s="87">
        <f t="shared" si="15"/>
        <v>118820</v>
      </c>
      <c r="H36" s="87">
        <f t="shared" si="15"/>
        <v>445</v>
      </c>
      <c r="I36" s="87">
        <f>I21+I22+I24+I25+I26+I27+I29+I30+I31+I33+I34</f>
        <v>10540</v>
      </c>
      <c r="J36" s="87">
        <f t="shared" si="15"/>
        <v>416</v>
      </c>
      <c r="K36" s="87">
        <f t="shared" si="15"/>
        <v>9750</v>
      </c>
      <c r="L36" s="87">
        <f t="shared" si="15"/>
        <v>3614</v>
      </c>
      <c r="M36" s="87">
        <f t="shared" si="15"/>
        <v>85138</v>
      </c>
      <c r="N36" s="87">
        <f t="shared" si="15"/>
        <v>613</v>
      </c>
      <c r="O36" s="87">
        <f t="shared" si="15"/>
        <v>14928</v>
      </c>
      <c r="P36" s="151"/>
      <c r="Q36" s="151"/>
      <c r="R36" s="151"/>
      <c r="S36" s="88">
        <f>SUM(S21:S34)</f>
        <v>14952</v>
      </c>
      <c r="T36" s="89">
        <f>SUM(T21:T34)</f>
        <v>0</v>
      </c>
      <c r="U36" s="147">
        <f>S36+T36-O36</f>
        <v>24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Q31:R31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  <ignoredErrors>
    <ignoredError sqref="K2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X42"/>
  <sheetViews>
    <sheetView topLeftCell="A19" zoomScaleNormal="100" workbookViewId="0">
      <selection activeCell="K6" sqref="K6:L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73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61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62"/>
    </row>
    <row r="3" spans="1:24" ht="15.75" thickBot="1">
      <c r="A3" s="248" t="s">
        <v>71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63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60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v>169998.1</v>
      </c>
      <c r="D6" s="264"/>
      <c r="E6" s="54">
        <f>17782.4+7181.3+4896.1+6430+8671.8+19479.2+5593.4</f>
        <v>70034.2</v>
      </c>
      <c r="F6" s="159"/>
      <c r="G6" s="165">
        <f>C6+E6+F6</f>
        <v>240032.3</v>
      </c>
      <c r="H6" s="263">
        <v>90034.8</v>
      </c>
      <c r="I6" s="219"/>
      <c r="J6" s="264"/>
      <c r="K6" s="199">
        <f>G6-H6</f>
        <v>149997.5</v>
      </c>
      <c r="L6" s="200"/>
      <c r="M6" s="55"/>
      <c r="O6" s="29"/>
      <c r="Q6" s="29"/>
    </row>
    <row r="7" spans="1:24" ht="13.5" customHeight="1" thickBot="1">
      <c r="A7" s="245" t="s">
        <v>72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58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64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</row>
    <row r="10" spans="1:24" ht="15.75" customHeight="1" thickBot="1">
      <c r="A10" s="58" t="s">
        <v>8</v>
      </c>
      <c r="B10" s="199">
        <v>25769.4</v>
      </c>
      <c r="C10" s="219"/>
      <c r="D10" s="60">
        <f>'August 2021'!P10</f>
        <v>22594.98</v>
      </c>
      <c r="E10" s="199">
        <f>B10-D10</f>
        <v>3174.4200000000019</v>
      </c>
      <c r="F10" s="200"/>
      <c r="G10" s="155">
        <f>37635.6+35886.6</f>
        <v>73522.2</v>
      </c>
      <c r="H10" s="60">
        <f>150.54+143.54</f>
        <v>294.08</v>
      </c>
      <c r="I10" s="60"/>
      <c r="J10" s="199">
        <f>B10+G10+H10+I10</f>
        <v>99585.680000000008</v>
      </c>
      <c r="K10" s="200"/>
      <c r="L10" s="199">
        <f>G29+G30+G31</f>
        <v>64128</v>
      </c>
      <c r="M10" s="220"/>
      <c r="N10" s="199">
        <f>J10-L10</f>
        <v>35457.680000000008</v>
      </c>
      <c r="O10" s="200"/>
      <c r="P10" s="60">
        <f>35886.6-5981</f>
        <v>29905.599999999999</v>
      </c>
      <c r="Q10" s="199">
        <f>N10-P10</f>
        <v>5552.080000000009</v>
      </c>
      <c r="R10" s="224"/>
      <c r="S10" s="123"/>
      <c r="T10" s="32"/>
    </row>
    <row r="11" spans="1:24" ht="15.75" thickBot="1">
      <c r="A11" s="58" t="s">
        <v>9</v>
      </c>
      <c r="B11" s="199">
        <v>8004.84</v>
      </c>
      <c r="C11" s="219"/>
      <c r="D11" s="60">
        <f>'August 2021'!P11</f>
        <v>0</v>
      </c>
      <c r="E11" s="199">
        <f t="shared" ref="E11:E13" si="0">B11-D11</f>
        <v>8004.84</v>
      </c>
      <c r="F11" s="200"/>
      <c r="G11" s="155"/>
      <c r="H11" s="60"/>
      <c r="I11" s="60"/>
      <c r="J11" s="199">
        <f>B11+G11+H11+I11</f>
        <v>8004.84</v>
      </c>
      <c r="K11" s="200"/>
      <c r="L11" s="199">
        <f>SUM(G21:G22)</f>
        <v>4320</v>
      </c>
      <c r="M11" s="220"/>
      <c r="N11" s="231">
        <f>J11-L11</f>
        <v>3684.84</v>
      </c>
      <c r="O11" s="232"/>
      <c r="P11" s="60">
        <v>0</v>
      </c>
      <c r="Q11" s="199">
        <f>N11-P11</f>
        <v>3684.84</v>
      </c>
      <c r="R11" s="224"/>
      <c r="S11" s="123"/>
      <c r="T11" s="32"/>
    </row>
    <row r="12" spans="1:24" ht="15.75" customHeight="1" thickBot="1">
      <c r="A12" s="58" t="s">
        <v>10</v>
      </c>
      <c r="B12" s="199">
        <v>6897.2</v>
      </c>
      <c r="C12" s="219"/>
      <c r="D12" s="60">
        <f>'August 2021'!P12</f>
        <v>5530.7999999999993</v>
      </c>
      <c r="E12" s="199">
        <f t="shared" si="0"/>
        <v>1366.4000000000005</v>
      </c>
      <c r="F12" s="200"/>
      <c r="G12" s="155">
        <v>16512.599999999999</v>
      </c>
      <c r="H12" s="60">
        <f>G12*0.4%</f>
        <v>66.050399999999996</v>
      </c>
      <c r="I12" s="60"/>
      <c r="J12" s="199">
        <f>B12+G12+H12+I12</f>
        <v>23475.850399999999</v>
      </c>
      <c r="K12" s="200"/>
      <c r="L12" s="199">
        <f>SUM(G33:G34)</f>
        <v>15396</v>
      </c>
      <c r="M12" s="224"/>
      <c r="N12" s="199">
        <f>J12-L12</f>
        <v>8079.8503999999994</v>
      </c>
      <c r="O12" s="200"/>
      <c r="P12" s="60">
        <v>0</v>
      </c>
      <c r="Q12" s="199">
        <f>N12-P12</f>
        <v>8079.8503999999994</v>
      </c>
      <c r="R12" s="224"/>
      <c r="S12" s="123"/>
    </row>
    <row r="13" spans="1:24" ht="15.75" thickBot="1">
      <c r="A13" s="58" t="s">
        <v>30</v>
      </c>
      <c r="B13" s="199">
        <v>64012.24</v>
      </c>
      <c r="C13" s="219"/>
      <c r="D13" s="60">
        <f>'August 2021'!P13</f>
        <v>59897.3</v>
      </c>
      <c r="E13" s="199">
        <f t="shared" si="0"/>
        <v>4114.9399999999951</v>
      </c>
      <c r="F13" s="200"/>
      <c r="G13" s="165"/>
      <c r="H13" s="60"/>
      <c r="I13" s="60"/>
      <c r="J13" s="199">
        <f>B13+G13+H13+I13</f>
        <v>64012.24</v>
      </c>
      <c r="K13" s="200"/>
      <c r="L13" s="199">
        <f>G24+G25+G26+G27</f>
        <v>42158</v>
      </c>
      <c r="M13" s="224"/>
      <c r="N13" s="199">
        <f>J13-L13</f>
        <v>21854.239999999998</v>
      </c>
      <c r="O13" s="200"/>
      <c r="P13" s="60">
        <v>0</v>
      </c>
      <c r="Q13" s="199">
        <f>N13-P13</f>
        <v>21854.239999999998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55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104683.68</v>
      </c>
      <c r="C15" s="200"/>
      <c r="D15" s="60">
        <f>SUM(D10:D14)</f>
        <v>88023.08</v>
      </c>
      <c r="E15" s="199">
        <f>SUM(E10:F14)</f>
        <v>16660.599999999999</v>
      </c>
      <c r="F15" s="218"/>
      <c r="G15" s="155">
        <f>SUM(G10:G14)</f>
        <v>90034.799999999988</v>
      </c>
      <c r="H15" s="60">
        <f>SUM(H10:H14)</f>
        <v>360.13040000000001</v>
      </c>
      <c r="I15" s="60">
        <f>SUM(I10:I14)</f>
        <v>0</v>
      </c>
      <c r="J15" s="219">
        <f>SUM(J10:K14)</f>
        <v>195078.61040000001</v>
      </c>
      <c r="K15" s="200"/>
      <c r="L15" s="199">
        <f>SUM(L10:M14)</f>
        <v>126002</v>
      </c>
      <c r="M15" s="220"/>
      <c r="N15" s="199">
        <f>SUM(N10:O14)</f>
        <v>69076.610400000005</v>
      </c>
      <c r="O15" s="200"/>
      <c r="P15" s="60">
        <f>SUM(P10:P14)</f>
        <v>29905.599999999999</v>
      </c>
      <c r="Q15" s="199">
        <f>SUM(Q10:R13)</f>
        <v>39171.010400000006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70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56" t="s">
        <v>26</v>
      </c>
      <c r="E20" s="37" t="s">
        <v>25</v>
      </c>
      <c r="F20" s="69" t="s">
        <v>26</v>
      </c>
      <c r="G20" s="37" t="s">
        <v>25</v>
      </c>
      <c r="H20" s="157" t="s">
        <v>26</v>
      </c>
      <c r="I20" s="37" t="s">
        <v>25</v>
      </c>
      <c r="J20" s="15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178" t="s">
        <v>13</v>
      </c>
      <c r="B21" s="179"/>
      <c r="C21" s="180"/>
      <c r="D21" s="74">
        <f>E21/24</f>
        <v>13</v>
      </c>
      <c r="E21" s="10">
        <v>312</v>
      </c>
      <c r="F21" s="74">
        <f>G21/24</f>
        <v>67</v>
      </c>
      <c r="G21" s="10">
        <f>'[2]September 2021'!$B$30</f>
        <v>1608</v>
      </c>
      <c r="H21" s="23">
        <f>I21/24</f>
        <v>50</v>
      </c>
      <c r="I21" s="26">
        <v>1200</v>
      </c>
      <c r="J21" s="11">
        <f>K21/24</f>
        <v>16</v>
      </c>
      <c r="K21" s="10">
        <v>384</v>
      </c>
      <c r="L21" s="11">
        <f>M21/24</f>
        <v>7</v>
      </c>
      <c r="M21" s="10">
        <v>168</v>
      </c>
      <c r="N21" s="23">
        <f>O21/24</f>
        <v>7</v>
      </c>
      <c r="O21" s="36">
        <f>E21+G21-I21-K21-M21</f>
        <v>168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96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130</v>
      </c>
      <c r="E22" s="12">
        <v>3120</v>
      </c>
      <c r="F22" s="76">
        <f>G22/24</f>
        <v>113</v>
      </c>
      <c r="G22" s="12">
        <f>'[2]September 2021'!$C$30</f>
        <v>2712</v>
      </c>
      <c r="H22" s="24">
        <f>I22/24</f>
        <v>90</v>
      </c>
      <c r="I22" s="33">
        <v>2160</v>
      </c>
      <c r="J22" s="13">
        <f>K22/24</f>
        <v>105</v>
      </c>
      <c r="K22" s="12">
        <v>2520</v>
      </c>
      <c r="L22" s="13">
        <f>M22/24</f>
        <v>38</v>
      </c>
      <c r="M22" s="12">
        <v>912</v>
      </c>
      <c r="N22" s="24">
        <f>O22/24</f>
        <v>10</v>
      </c>
      <c r="O22" s="36">
        <f>E22+G22-I22-K22-M22</f>
        <v>240</v>
      </c>
      <c r="P22" s="150"/>
      <c r="Q22" s="149"/>
      <c r="R22" s="150"/>
      <c r="S22" s="6">
        <v>240</v>
      </c>
      <c r="T22" s="9">
        <f>28*24</f>
        <v>672</v>
      </c>
      <c r="U22" s="30">
        <f>S22+T22-O22</f>
        <v>672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143</v>
      </c>
      <c r="E23" s="78">
        <f t="shared" ref="E23:H23" si="1">SUM(E21:E22)</f>
        <v>3432</v>
      </c>
      <c r="F23" s="77">
        <f t="shared" si="1"/>
        <v>180</v>
      </c>
      <c r="G23" s="78">
        <f t="shared" si="1"/>
        <v>4320</v>
      </c>
      <c r="H23" s="79">
        <f t="shared" si="1"/>
        <v>140</v>
      </c>
      <c r="I23" s="80">
        <f>SUM(I21:I22)</f>
        <v>3360</v>
      </c>
      <c r="J23" s="77">
        <f t="shared" ref="J23:O23" si="2">SUM(J21:J22)</f>
        <v>121</v>
      </c>
      <c r="K23" s="78">
        <f t="shared" si="2"/>
        <v>2904</v>
      </c>
      <c r="L23" s="77">
        <f t="shared" si="2"/>
        <v>45</v>
      </c>
      <c r="M23" s="78">
        <f t="shared" si="2"/>
        <v>1080</v>
      </c>
      <c r="N23" s="77">
        <f t="shared" si="2"/>
        <v>17</v>
      </c>
      <c r="O23" s="78">
        <f t="shared" si="2"/>
        <v>408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147</v>
      </c>
      <c r="E24" s="10">
        <v>4410</v>
      </c>
      <c r="F24" s="74">
        <f>G24/30</f>
        <v>1340</v>
      </c>
      <c r="G24" s="10">
        <f>'[2]September 2021'!$D$30</f>
        <v>40200</v>
      </c>
      <c r="H24" s="23">
        <f>I24/30</f>
        <v>65</v>
      </c>
      <c r="I24" s="166">
        <v>1950</v>
      </c>
      <c r="J24" s="23">
        <f>K24/30</f>
        <v>33</v>
      </c>
      <c r="K24" s="10">
        <v>990</v>
      </c>
      <c r="L24" s="23">
        <f>M24/30</f>
        <v>1346</v>
      </c>
      <c r="M24" s="10">
        <v>40380</v>
      </c>
      <c r="N24" s="23">
        <f>O24/30</f>
        <v>43</v>
      </c>
      <c r="O24" s="36">
        <f>E24+G24-I24-K24-M24</f>
        <v>1290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120</v>
      </c>
      <c r="V24" s="75"/>
      <c r="W24" s="29"/>
    </row>
    <row r="25" spans="1:23">
      <c r="A25" s="196" t="s">
        <v>18</v>
      </c>
      <c r="B25" s="197"/>
      <c r="C25" s="198"/>
      <c r="D25" s="81">
        <f>E25/24</f>
        <v>16</v>
      </c>
      <c r="E25" s="36">
        <v>384</v>
      </c>
      <c r="F25" s="81">
        <f>G25/24</f>
        <v>0</v>
      </c>
      <c r="G25" s="27">
        <f>'[2]September 2021'!$E$30</f>
        <v>0</v>
      </c>
      <c r="H25" s="39">
        <f>I25/24</f>
        <v>12</v>
      </c>
      <c r="I25" s="27">
        <v>288</v>
      </c>
      <c r="J25" s="40">
        <f t="shared" ref="J25" si="3">K25/24</f>
        <v>0</v>
      </c>
      <c r="K25" s="36">
        <v>0</v>
      </c>
      <c r="L25" s="40">
        <f t="shared" ref="L25" si="4">M25/24</f>
        <v>4</v>
      </c>
      <c r="M25" s="36">
        <f>96</f>
        <v>96</v>
      </c>
      <c r="N25" s="39">
        <f>O25/24</f>
        <v>0</v>
      </c>
      <c r="O25" s="36">
        <f t="shared" ref="O25:O27" si="5">E25+G25-I25-K25-M25</f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21</v>
      </c>
      <c r="E26" s="3">
        <v>462</v>
      </c>
      <c r="F26" s="82">
        <f>G26/22</f>
        <v>61</v>
      </c>
      <c r="G26" s="3">
        <f>'[2]September 2021'!$F$30</f>
        <v>1342</v>
      </c>
      <c r="H26" s="42">
        <f>I26/22</f>
        <v>5</v>
      </c>
      <c r="I26" s="28">
        <v>110</v>
      </c>
      <c r="J26" s="1">
        <f>K26/22</f>
        <v>30</v>
      </c>
      <c r="K26" s="3">
        <v>660</v>
      </c>
      <c r="L26" s="1">
        <f>M26/22</f>
        <v>37</v>
      </c>
      <c r="M26" s="3">
        <v>814</v>
      </c>
      <c r="N26" s="25">
        <f>O26/22</f>
        <v>10</v>
      </c>
      <c r="O26" s="36">
        <f t="shared" si="5"/>
        <v>220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0</v>
      </c>
      <c r="E27" s="41">
        <v>0</v>
      </c>
      <c r="F27" s="83">
        <f>G27/22</f>
        <v>28</v>
      </c>
      <c r="G27" s="41">
        <f>'[2]September 2021'!$G$30</f>
        <v>616</v>
      </c>
      <c r="H27" s="42">
        <f>I27/22</f>
        <v>0</v>
      </c>
      <c r="I27" s="43">
        <v>0</v>
      </c>
      <c r="J27" s="44">
        <f>K27/22</f>
        <v>15</v>
      </c>
      <c r="K27" s="41">
        <v>330</v>
      </c>
      <c r="L27" s="44">
        <f>M27/22</f>
        <v>1</v>
      </c>
      <c r="M27" s="41">
        <f>22</f>
        <v>22</v>
      </c>
      <c r="N27" s="42">
        <f>O27/22</f>
        <v>12</v>
      </c>
      <c r="O27" s="38">
        <f t="shared" si="5"/>
        <v>264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6">SUM(D24:D27)</f>
        <v>184</v>
      </c>
      <c r="E28" s="21">
        <f t="shared" si="6"/>
        <v>5256</v>
      </c>
      <c r="F28" s="79">
        <f t="shared" si="6"/>
        <v>1429</v>
      </c>
      <c r="G28" s="21">
        <f t="shared" si="6"/>
        <v>42158</v>
      </c>
      <c r="H28" s="79">
        <f t="shared" si="6"/>
        <v>82</v>
      </c>
      <c r="I28" s="21">
        <f t="shared" si="6"/>
        <v>2348</v>
      </c>
      <c r="J28" s="79">
        <f t="shared" si="6"/>
        <v>78</v>
      </c>
      <c r="K28" s="21">
        <f t="shared" si="6"/>
        <v>1980</v>
      </c>
      <c r="L28" s="79">
        <f t="shared" si="6"/>
        <v>1388</v>
      </c>
      <c r="M28" s="21">
        <f t="shared" si="6"/>
        <v>41312</v>
      </c>
      <c r="N28" s="79">
        <f t="shared" si="6"/>
        <v>65</v>
      </c>
      <c r="O28" s="21">
        <f t="shared" si="6"/>
        <v>1774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14</v>
      </c>
      <c r="E29" s="10">
        <v>336</v>
      </c>
      <c r="F29" s="74">
        <f>G29/24</f>
        <v>331</v>
      </c>
      <c r="G29" s="10">
        <f>'[2]September 2021'!$H$30</f>
        <v>7944</v>
      </c>
      <c r="H29" s="23">
        <f>I29/24</f>
        <v>60</v>
      </c>
      <c r="I29" s="26">
        <v>1440</v>
      </c>
      <c r="J29" s="11">
        <f t="shared" ref="J29:J31" si="7">K29/24</f>
        <v>10</v>
      </c>
      <c r="K29" s="10">
        <v>240</v>
      </c>
      <c r="L29" s="11">
        <f t="shared" ref="L29:L31" si="8">M29/24</f>
        <v>264</v>
      </c>
      <c r="M29" s="10">
        <v>6336</v>
      </c>
      <c r="N29" s="23">
        <f>O29/24</f>
        <v>11</v>
      </c>
      <c r="O29" s="36">
        <f>E29+G29-I29-K29-M29</f>
        <v>264</v>
      </c>
      <c r="P29" s="150"/>
      <c r="Q29" s="150"/>
      <c r="R29" s="150"/>
      <c r="S29" s="5">
        <v>264</v>
      </c>
      <c r="T29" s="16">
        <v>0</v>
      </c>
      <c r="U29" s="30">
        <f>S29+T29-O29</f>
        <v>0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11</v>
      </c>
      <c r="E30" s="3">
        <v>264</v>
      </c>
      <c r="F30" s="82">
        <f>G30/24</f>
        <v>249</v>
      </c>
      <c r="G30" s="3">
        <f>'[2]September 2021'!$I$30</f>
        <v>5976</v>
      </c>
      <c r="H30" s="25">
        <f>I30/24</f>
        <v>40</v>
      </c>
      <c r="I30" s="28">
        <v>960</v>
      </c>
      <c r="J30" s="1">
        <f t="shared" si="7"/>
        <v>10</v>
      </c>
      <c r="K30" s="3">
        <v>240</v>
      </c>
      <c r="L30" s="1">
        <f>M30/24</f>
        <v>185</v>
      </c>
      <c r="M30" s="3">
        <v>4440</v>
      </c>
      <c r="N30" s="25">
        <f>O30/24</f>
        <v>25</v>
      </c>
      <c r="O30" s="36">
        <f t="shared" ref="O30:O31" si="9">E30+G30-I30-K30-M30</f>
        <v>600</v>
      </c>
      <c r="P30" s="150"/>
      <c r="Q30" s="150"/>
      <c r="R30" s="150"/>
      <c r="S30" s="4">
        <v>600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209</v>
      </c>
      <c r="E31" s="3">
        <v>5016</v>
      </c>
      <c r="F31" s="82">
        <f>G31/24</f>
        <v>2092</v>
      </c>
      <c r="G31" s="3">
        <f>'[2]September 2021'!$J$30</f>
        <v>50208</v>
      </c>
      <c r="H31" s="25">
        <f>I31/24</f>
        <v>325</v>
      </c>
      <c r="I31" s="28">
        <v>7800</v>
      </c>
      <c r="J31" s="1">
        <f t="shared" si="7"/>
        <v>350</v>
      </c>
      <c r="K31" s="3">
        <v>8400</v>
      </c>
      <c r="L31" s="1">
        <f t="shared" si="8"/>
        <v>1577</v>
      </c>
      <c r="M31" s="3">
        <v>37848</v>
      </c>
      <c r="N31" s="25">
        <f>O31/24</f>
        <v>49</v>
      </c>
      <c r="O31" s="36">
        <f t="shared" si="9"/>
        <v>1176</v>
      </c>
      <c r="P31" s="150"/>
      <c r="Q31" s="267"/>
      <c r="R31" s="268"/>
      <c r="S31" s="4">
        <v>1176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234</v>
      </c>
      <c r="E32" s="78">
        <f t="shared" si="10"/>
        <v>5616</v>
      </c>
      <c r="F32" s="84">
        <f t="shared" si="10"/>
        <v>2672</v>
      </c>
      <c r="G32" s="78">
        <f t="shared" si="10"/>
        <v>64128</v>
      </c>
      <c r="H32" s="79">
        <f t="shared" si="10"/>
        <v>425</v>
      </c>
      <c r="I32" s="80">
        <f t="shared" si="10"/>
        <v>10200</v>
      </c>
      <c r="J32" s="84">
        <f t="shared" si="10"/>
        <v>370</v>
      </c>
      <c r="K32" s="78">
        <f t="shared" si="10"/>
        <v>8880</v>
      </c>
      <c r="L32" s="84">
        <f t="shared" si="10"/>
        <v>2026</v>
      </c>
      <c r="M32" s="78">
        <f t="shared" si="10"/>
        <v>48624</v>
      </c>
      <c r="N32" s="84">
        <f t="shared" si="10"/>
        <v>85</v>
      </c>
      <c r="O32" s="78">
        <f t="shared" si="10"/>
        <v>2040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52</v>
      </c>
      <c r="E33" s="14">
        <v>624</v>
      </c>
      <c r="F33" s="85">
        <f>G33/12</f>
        <v>682</v>
      </c>
      <c r="G33" s="14">
        <f>'[2]September 2021'!$K$30</f>
        <v>8184</v>
      </c>
      <c r="H33" s="23">
        <f>I33/12</f>
        <v>15</v>
      </c>
      <c r="I33" s="26">
        <v>180</v>
      </c>
      <c r="J33" s="15">
        <f t="shared" ref="J33:J34" si="11">K33/12</f>
        <v>30</v>
      </c>
      <c r="K33" s="10">
        <v>360</v>
      </c>
      <c r="L33" s="15">
        <f t="shared" ref="L33:L34" si="12">M33/12</f>
        <v>632</v>
      </c>
      <c r="M33" s="10">
        <v>7584</v>
      </c>
      <c r="N33" s="23">
        <f>O33/12</f>
        <v>57</v>
      </c>
      <c r="O33" s="36">
        <f>E33+G33-I33-K33-M33</f>
        <v>684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0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601</v>
      </c>
      <c r="G34" s="12">
        <f>'[2]September 2021'!$L$30</f>
        <v>7212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601</v>
      </c>
      <c r="M34" s="12">
        <v>7212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52</v>
      </c>
      <c r="E35" s="78">
        <f t="shared" ref="E35:H35" si="13">SUM(E33:E34)</f>
        <v>624</v>
      </c>
      <c r="F35" s="84">
        <f t="shared" si="13"/>
        <v>1283</v>
      </c>
      <c r="G35" s="78">
        <f t="shared" si="13"/>
        <v>15396</v>
      </c>
      <c r="H35" s="79">
        <f t="shared" si="13"/>
        <v>15</v>
      </c>
      <c r="I35" s="80">
        <f>SUM(I33:I34)</f>
        <v>180</v>
      </c>
      <c r="J35" s="84">
        <f t="shared" ref="J35:O35" si="14">SUM(J33:J34)</f>
        <v>30</v>
      </c>
      <c r="K35" s="78">
        <f t="shared" si="14"/>
        <v>360</v>
      </c>
      <c r="L35" s="84">
        <f t="shared" si="14"/>
        <v>1233</v>
      </c>
      <c r="M35" s="78">
        <f t="shared" si="14"/>
        <v>14796</v>
      </c>
      <c r="N35" s="84">
        <f t="shared" si="14"/>
        <v>57</v>
      </c>
      <c r="O35" s="78">
        <f t="shared" si="14"/>
        <v>684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O36" si="15">D21+D22+D24+D25+D26+D27+D29+D30+D31+D33+D34</f>
        <v>613</v>
      </c>
      <c r="E36" s="87">
        <f t="shared" si="15"/>
        <v>14928</v>
      </c>
      <c r="F36" s="87">
        <f t="shared" si="15"/>
        <v>5564</v>
      </c>
      <c r="G36" s="87">
        <f t="shared" si="15"/>
        <v>126002</v>
      </c>
      <c r="H36" s="87">
        <f t="shared" si="15"/>
        <v>662</v>
      </c>
      <c r="I36" s="87">
        <f>I21+I22+I24+I25+I26+I27+I29+I30+I31+I33+I34</f>
        <v>16088</v>
      </c>
      <c r="J36" s="87">
        <f t="shared" si="15"/>
        <v>599</v>
      </c>
      <c r="K36" s="87">
        <f t="shared" si="15"/>
        <v>14124</v>
      </c>
      <c r="L36" s="87">
        <f t="shared" si="15"/>
        <v>4692</v>
      </c>
      <c r="M36" s="87">
        <f t="shared" si="15"/>
        <v>105812</v>
      </c>
      <c r="N36" s="87">
        <f t="shared" si="15"/>
        <v>224</v>
      </c>
      <c r="O36" s="87">
        <f t="shared" si="15"/>
        <v>4906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1008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</mergeCells>
  <pageMargins left="0.23" right="0.25" top="0.28000000000000003" bottom="0.22" header="0.22" footer="0.15"/>
  <pageSetup paperSize="9"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tabSelected="1" topLeftCell="A16" zoomScaleNormal="100" workbookViewId="0">
      <selection activeCell="G28" sqref="G28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425781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46" t="s">
        <v>74</v>
      </c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6"/>
      <c r="S1" s="167"/>
    </row>
    <row r="2" spans="1:24" ht="15.75" thickBot="1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  <c r="Q2" s="247"/>
      <c r="R2" s="247"/>
      <c r="S2" s="168"/>
    </row>
    <row r="3" spans="1:24" ht="15.75" thickBot="1">
      <c r="A3" s="248" t="s">
        <v>75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18"/>
      <c r="M3" s="55"/>
    </row>
    <row r="4" spans="1:24">
      <c r="A4" s="250"/>
      <c r="B4" s="251"/>
      <c r="C4" s="254" t="s">
        <v>46</v>
      </c>
      <c r="D4" s="255"/>
      <c r="E4" s="56" t="s">
        <v>0</v>
      </c>
      <c r="F4" s="256" t="s">
        <v>24</v>
      </c>
      <c r="G4" s="169" t="s">
        <v>1</v>
      </c>
      <c r="H4" s="250" t="s">
        <v>2</v>
      </c>
      <c r="I4" s="258"/>
      <c r="J4" s="251"/>
      <c r="K4" s="254" t="s">
        <v>3</v>
      </c>
      <c r="L4" s="255"/>
      <c r="M4" s="55"/>
    </row>
    <row r="5" spans="1:24" ht="15.75" thickBot="1">
      <c r="A5" s="252"/>
      <c r="B5" s="253"/>
      <c r="C5" s="259" t="s">
        <v>4</v>
      </c>
      <c r="D5" s="260"/>
      <c r="E5" s="57" t="s">
        <v>5</v>
      </c>
      <c r="F5" s="257"/>
      <c r="G5" s="171"/>
      <c r="H5" s="233" t="s">
        <v>5</v>
      </c>
      <c r="I5" s="234"/>
      <c r="J5" s="235"/>
      <c r="K5" s="259" t="s">
        <v>5</v>
      </c>
      <c r="L5" s="260"/>
      <c r="M5" s="55"/>
      <c r="U5" s="29"/>
      <c r="V5" s="29"/>
    </row>
    <row r="6" spans="1:24" ht="15.75" thickBot="1">
      <c r="A6" s="261"/>
      <c r="B6" s="262"/>
      <c r="C6" s="263">
        <f>'September 2021'!K6</f>
        <v>149997.5</v>
      </c>
      <c r="D6" s="264"/>
      <c r="E6" s="54"/>
      <c r="F6" s="175"/>
      <c r="G6" s="172">
        <f>C6+E6+F6</f>
        <v>149997.5</v>
      </c>
      <c r="H6" s="263">
        <f>G15</f>
        <v>0</v>
      </c>
      <c r="I6" s="219"/>
      <c r="J6" s="264"/>
      <c r="K6" s="199">
        <f>G6-H6</f>
        <v>149997.5</v>
      </c>
      <c r="L6" s="200"/>
      <c r="M6" s="55"/>
      <c r="O6" s="29"/>
      <c r="Q6" s="29"/>
    </row>
    <row r="7" spans="1:24" ht="13.5" customHeight="1" thickBot="1">
      <c r="A7" s="245" t="s">
        <v>77</v>
      </c>
      <c r="B7" s="245"/>
      <c r="C7" s="245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5"/>
      <c r="P7" s="245"/>
      <c r="Q7" s="245"/>
      <c r="R7" s="245"/>
      <c r="S7" s="121"/>
      <c r="V7" s="29"/>
    </row>
    <row r="8" spans="1:24" ht="22.5" customHeight="1">
      <c r="A8" s="238" t="s">
        <v>6</v>
      </c>
      <c r="B8" s="240" t="s">
        <v>46</v>
      </c>
      <c r="C8" s="241"/>
      <c r="D8" s="225" t="s">
        <v>41</v>
      </c>
      <c r="E8" s="227" t="s">
        <v>40</v>
      </c>
      <c r="F8" s="228"/>
      <c r="G8" s="225" t="s">
        <v>22</v>
      </c>
      <c r="H8" s="225" t="s">
        <v>23</v>
      </c>
      <c r="I8" s="174" t="s">
        <v>44</v>
      </c>
      <c r="J8" s="241" t="s">
        <v>1</v>
      </c>
      <c r="K8" s="242"/>
      <c r="L8" s="240" t="s">
        <v>7</v>
      </c>
      <c r="M8" s="241"/>
      <c r="N8" s="243" t="s">
        <v>3</v>
      </c>
      <c r="O8" s="244"/>
      <c r="P8" s="225" t="s">
        <v>42</v>
      </c>
      <c r="Q8" s="227" t="s">
        <v>35</v>
      </c>
      <c r="R8" s="228"/>
      <c r="S8" s="122"/>
    </row>
    <row r="9" spans="1:24" ht="19.5" customHeight="1" thickBot="1">
      <c r="A9" s="239"/>
      <c r="B9" s="233" t="s">
        <v>5</v>
      </c>
      <c r="C9" s="234"/>
      <c r="D9" s="226"/>
      <c r="E9" s="229"/>
      <c r="F9" s="230"/>
      <c r="G9" s="226"/>
      <c r="H9" s="226"/>
      <c r="I9" s="170" t="s">
        <v>45</v>
      </c>
      <c r="J9" s="234" t="s">
        <v>5</v>
      </c>
      <c r="K9" s="235"/>
      <c r="L9" s="233" t="s">
        <v>5</v>
      </c>
      <c r="M9" s="234"/>
      <c r="N9" s="236" t="s">
        <v>5</v>
      </c>
      <c r="O9" s="237"/>
      <c r="P9" s="226"/>
      <c r="Q9" s="229"/>
      <c r="R9" s="230"/>
      <c r="S9" s="122"/>
      <c r="U9" s="64">
        <v>4.0000000000000001E-3</v>
      </c>
    </row>
    <row r="10" spans="1:24" ht="15.75" customHeight="1" thickBot="1">
      <c r="A10" s="58" t="s">
        <v>8</v>
      </c>
      <c r="B10" s="199">
        <f>'September 2021'!N10</f>
        <v>35457.680000000008</v>
      </c>
      <c r="C10" s="219"/>
      <c r="D10" s="60">
        <f>'September 2021'!P10</f>
        <v>29905.599999999999</v>
      </c>
      <c r="E10" s="199">
        <f>B10-D10</f>
        <v>5552.080000000009</v>
      </c>
      <c r="F10" s="200"/>
      <c r="G10" s="173"/>
      <c r="H10" s="60"/>
      <c r="I10" s="60"/>
      <c r="J10" s="199">
        <f>B10+G10+H10+I10</f>
        <v>35457.680000000008</v>
      </c>
      <c r="K10" s="200"/>
      <c r="L10" s="199">
        <f>G29+G30+G31</f>
        <v>15672</v>
      </c>
      <c r="M10" s="220"/>
      <c r="N10" s="199">
        <f>J10-L10</f>
        <v>19785.680000000008</v>
      </c>
      <c r="O10" s="200"/>
      <c r="P10" s="60">
        <f>35886.6-5981</f>
        <v>29905.599999999999</v>
      </c>
      <c r="Q10" s="199">
        <f>N10-P10</f>
        <v>-10119.919999999991</v>
      </c>
      <c r="R10" s="224"/>
      <c r="S10" s="123"/>
      <c r="T10" s="32"/>
    </row>
    <row r="11" spans="1:24" ht="15.75" thickBot="1">
      <c r="A11" s="58" t="s">
        <v>9</v>
      </c>
      <c r="B11" s="199">
        <f>'September 2021'!N11</f>
        <v>3684.84</v>
      </c>
      <c r="C11" s="219"/>
      <c r="D11" s="60">
        <f>'August 2021'!P11</f>
        <v>0</v>
      </c>
      <c r="E11" s="199">
        <f t="shared" ref="E11:E13" si="0">B11-D11</f>
        <v>3684.84</v>
      </c>
      <c r="F11" s="200"/>
      <c r="G11" s="173"/>
      <c r="H11" s="60"/>
      <c r="I11" s="60"/>
      <c r="J11" s="199">
        <f>B11+G11+H11+I11</f>
        <v>3684.84</v>
      </c>
      <c r="K11" s="200"/>
      <c r="L11" s="199">
        <f>SUM(G21:G22)</f>
        <v>3768</v>
      </c>
      <c r="M11" s="220"/>
      <c r="N11" s="231">
        <f>J11-L11</f>
        <v>-83.159999999999854</v>
      </c>
      <c r="O11" s="232"/>
      <c r="P11" s="60">
        <v>0</v>
      </c>
      <c r="Q11" s="199">
        <f>N11-P11</f>
        <v>-83.159999999999854</v>
      </c>
      <c r="R11" s="224"/>
      <c r="S11" s="123"/>
      <c r="T11" s="32"/>
    </row>
    <row r="12" spans="1:24" ht="15.75" customHeight="1" thickBot="1">
      <c r="A12" s="58" t="s">
        <v>10</v>
      </c>
      <c r="B12" s="199">
        <f>'September 2021'!N12</f>
        <v>8079.8503999999994</v>
      </c>
      <c r="C12" s="219"/>
      <c r="D12" s="60">
        <v>0</v>
      </c>
      <c r="E12" s="199">
        <f t="shared" si="0"/>
        <v>8079.8503999999994</v>
      </c>
      <c r="F12" s="200"/>
      <c r="G12" s="173"/>
      <c r="H12" s="60"/>
      <c r="I12" s="60"/>
      <c r="J12" s="199">
        <f>B12+G12+H12+I12</f>
        <v>8079.8503999999994</v>
      </c>
      <c r="K12" s="200"/>
      <c r="L12" s="199">
        <f>SUM(G33:G34)</f>
        <v>2988</v>
      </c>
      <c r="M12" s="224"/>
      <c r="N12" s="199">
        <f>J12-L12</f>
        <v>5091.8503999999994</v>
      </c>
      <c r="O12" s="200"/>
      <c r="P12" s="60">
        <v>0</v>
      </c>
      <c r="Q12" s="199">
        <f>N12-P12</f>
        <v>5091.8503999999994</v>
      </c>
      <c r="R12" s="224"/>
      <c r="S12" s="123"/>
    </row>
    <row r="13" spans="1:24" ht="15.75" thickBot="1">
      <c r="A13" s="58" t="s">
        <v>30</v>
      </c>
      <c r="B13" s="199">
        <f>'September 2021'!N13</f>
        <v>21854.239999999998</v>
      </c>
      <c r="C13" s="219"/>
      <c r="D13" s="60">
        <v>0</v>
      </c>
      <c r="E13" s="199">
        <f t="shared" si="0"/>
        <v>21854.239999999998</v>
      </c>
      <c r="F13" s="200"/>
      <c r="G13" s="172"/>
      <c r="H13" s="60"/>
      <c r="I13" s="60"/>
      <c r="J13" s="199">
        <f>B13+G13+H13+I13</f>
        <v>21854.239999999998</v>
      </c>
      <c r="K13" s="200"/>
      <c r="L13" s="199">
        <f>G24+G25+G26+G27</f>
        <v>10716</v>
      </c>
      <c r="M13" s="224"/>
      <c r="N13" s="199">
        <f>J13-L13</f>
        <v>11138.239999999998</v>
      </c>
      <c r="O13" s="200"/>
      <c r="P13" s="60">
        <v>0</v>
      </c>
      <c r="Q13" s="199">
        <f>N13-P13</f>
        <v>11138.239999999998</v>
      </c>
      <c r="R13" s="224"/>
      <c r="S13" s="123"/>
      <c r="W13" s="29"/>
      <c r="X13" s="29"/>
    </row>
    <row r="14" spans="1:24" ht="15.75" customHeight="1" thickBot="1">
      <c r="A14" s="58"/>
      <c r="B14" s="221"/>
      <c r="C14" s="222"/>
      <c r="D14" s="61"/>
      <c r="E14" s="221"/>
      <c r="F14" s="223"/>
      <c r="G14" s="173"/>
      <c r="H14" s="60"/>
      <c r="I14" s="60"/>
      <c r="J14" s="219"/>
      <c r="K14" s="200"/>
      <c r="L14" s="199"/>
      <c r="M14" s="200"/>
      <c r="N14" s="62"/>
      <c r="O14" s="63"/>
      <c r="P14" s="60"/>
      <c r="Q14" s="199"/>
      <c r="R14" s="224"/>
      <c r="S14" s="123"/>
      <c r="U14" s="64"/>
    </row>
    <row r="15" spans="1:24" ht="15.75" thickBot="1">
      <c r="A15" s="59" t="s">
        <v>1</v>
      </c>
      <c r="B15" s="199">
        <f>SUM(B10:C14)</f>
        <v>69076.610400000005</v>
      </c>
      <c r="C15" s="200"/>
      <c r="D15" s="60">
        <f>SUM(D10:D14)</f>
        <v>29905.599999999999</v>
      </c>
      <c r="E15" s="199">
        <f>SUM(E10:F14)</f>
        <v>39171.010400000006</v>
      </c>
      <c r="F15" s="218"/>
      <c r="G15" s="173">
        <f>SUM(G10:G14)</f>
        <v>0</v>
      </c>
      <c r="H15" s="60">
        <f>SUM(H10:H14)</f>
        <v>0</v>
      </c>
      <c r="I15" s="60">
        <f>SUM(I10:I14)</f>
        <v>0</v>
      </c>
      <c r="J15" s="219">
        <f>SUM(J10:K14)</f>
        <v>69076.610400000005</v>
      </c>
      <c r="K15" s="200"/>
      <c r="L15" s="199">
        <f>SUM(L10:M14)</f>
        <v>33144</v>
      </c>
      <c r="M15" s="220"/>
      <c r="N15" s="199">
        <f>SUM(N10:O14)</f>
        <v>35932.610400000005</v>
      </c>
      <c r="O15" s="200"/>
      <c r="P15" s="60">
        <f>SUM(P10:P14)</f>
        <v>29905.599999999999</v>
      </c>
      <c r="Q15" s="199">
        <f>SUM(Q10:R13)</f>
        <v>6027.0104000000065</v>
      </c>
      <c r="R15" s="200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01" t="s">
        <v>11</v>
      </c>
      <c r="B17" s="202"/>
      <c r="C17" s="202"/>
      <c r="D17" s="209" t="s">
        <v>76</v>
      </c>
      <c r="E17" s="210"/>
      <c r="F17" s="210"/>
      <c r="G17" s="210"/>
      <c r="H17" s="210"/>
      <c r="I17" s="210"/>
      <c r="J17" s="210"/>
      <c r="K17" s="210"/>
      <c r="L17" s="210"/>
      <c r="M17" s="210"/>
      <c r="N17" s="210"/>
      <c r="O17" s="211"/>
      <c r="P17" s="68"/>
      <c r="Q17" s="68"/>
      <c r="R17" s="68"/>
      <c r="S17" s="68"/>
      <c r="T17" s="68"/>
    </row>
    <row r="18" spans="1:23" ht="15.75" customHeight="1" thickBot="1">
      <c r="A18" s="203"/>
      <c r="B18" s="204"/>
      <c r="C18" s="205"/>
      <c r="D18" s="212" t="s">
        <v>46</v>
      </c>
      <c r="E18" s="213"/>
      <c r="F18" s="212" t="s">
        <v>7</v>
      </c>
      <c r="G18" s="213"/>
      <c r="H18" s="216" t="s">
        <v>32</v>
      </c>
      <c r="I18" s="217"/>
      <c r="J18" s="217"/>
      <c r="K18" s="217"/>
      <c r="L18" s="212" t="s">
        <v>31</v>
      </c>
      <c r="M18" s="213"/>
      <c r="N18" s="265" t="s">
        <v>12</v>
      </c>
      <c r="O18" s="266"/>
    </row>
    <row r="19" spans="1:23" ht="15.75" customHeight="1" thickBot="1">
      <c r="A19" s="203"/>
      <c r="B19" s="204"/>
      <c r="C19" s="205"/>
      <c r="D19" s="214"/>
      <c r="E19" s="215"/>
      <c r="F19" s="212"/>
      <c r="G19" s="213"/>
      <c r="H19" s="209" t="s">
        <v>33</v>
      </c>
      <c r="I19" s="210"/>
      <c r="J19" s="209" t="s">
        <v>34</v>
      </c>
      <c r="K19" s="210"/>
      <c r="L19" s="214"/>
      <c r="M19" s="215"/>
      <c r="N19" s="214"/>
      <c r="O19" s="215"/>
      <c r="P19" s="152"/>
      <c r="Q19" s="152"/>
      <c r="R19" s="152"/>
    </row>
    <row r="20" spans="1:23" s="71" customFormat="1" ht="15.75" thickBot="1">
      <c r="A20" s="206"/>
      <c r="B20" s="207"/>
      <c r="C20" s="208"/>
      <c r="D20" s="176" t="s">
        <v>26</v>
      </c>
      <c r="E20" s="37" t="s">
        <v>25</v>
      </c>
      <c r="F20" s="69" t="s">
        <v>26</v>
      </c>
      <c r="G20" s="37" t="s">
        <v>25</v>
      </c>
      <c r="H20" s="177" t="s">
        <v>26</v>
      </c>
      <c r="I20" s="37" t="s">
        <v>25</v>
      </c>
      <c r="J20" s="17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178" t="s">
        <v>13</v>
      </c>
      <c r="B21" s="179"/>
      <c r="C21" s="180"/>
      <c r="D21" s="74">
        <f>E21/24</f>
        <v>7</v>
      </c>
      <c r="E21" s="10">
        <v>168</v>
      </c>
      <c r="F21" s="74">
        <f>G21/24</f>
        <v>43</v>
      </c>
      <c r="G21" s="10">
        <f>'[2]October 2021'!$B$30</f>
        <v>1032</v>
      </c>
      <c r="H21" s="23">
        <f>I21/24</f>
        <v>0</v>
      </c>
      <c r="I21" s="26">
        <v>0</v>
      </c>
      <c r="J21" s="11">
        <f>K21/24</f>
        <v>0</v>
      </c>
      <c r="K21" s="10">
        <v>0</v>
      </c>
      <c r="L21" s="11">
        <f>M21/24</f>
        <v>0</v>
      </c>
      <c r="M21" s="10">
        <v>0</v>
      </c>
      <c r="N21" s="23">
        <f>O21/24</f>
        <v>50</v>
      </c>
      <c r="O21" s="36">
        <f t="shared" ref="O21:O22" si="1">E21+G21-I21-K21-M21</f>
        <v>1200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-936</v>
      </c>
      <c r="V21" s="75"/>
      <c r="W21" s="29"/>
    </row>
    <row r="22" spans="1:23" ht="15.75" thickBot="1">
      <c r="A22" s="181" t="s">
        <v>14</v>
      </c>
      <c r="B22" s="182"/>
      <c r="C22" s="183"/>
      <c r="D22" s="76">
        <f>E22/24</f>
        <v>10</v>
      </c>
      <c r="E22" s="12">
        <v>240</v>
      </c>
      <c r="F22" s="76">
        <f>G22/24</f>
        <v>114</v>
      </c>
      <c r="G22" s="12">
        <f>'[2]October 2021'!$C$30</f>
        <v>2736</v>
      </c>
      <c r="H22" s="24">
        <f>I22/24</f>
        <v>0</v>
      </c>
      <c r="I22" s="33">
        <v>0</v>
      </c>
      <c r="J22" s="13">
        <f>K22/24</f>
        <v>0</v>
      </c>
      <c r="K22" s="12">
        <v>0</v>
      </c>
      <c r="L22" s="13">
        <f>M22/24</f>
        <v>0</v>
      </c>
      <c r="M22" s="12">
        <v>0</v>
      </c>
      <c r="N22" s="24">
        <f>O22/24</f>
        <v>124</v>
      </c>
      <c r="O22" s="36">
        <f t="shared" si="1"/>
        <v>2976</v>
      </c>
      <c r="P22" s="150"/>
      <c r="Q22" s="149"/>
      <c r="R22" s="150"/>
      <c r="S22" s="6">
        <v>240</v>
      </c>
      <c r="T22" s="9">
        <f>28*24</f>
        <v>672</v>
      </c>
      <c r="U22" s="30">
        <f>S22+T22-O22</f>
        <v>-2064</v>
      </c>
      <c r="V22" s="75"/>
      <c r="W22" s="29"/>
    </row>
    <row r="23" spans="1:23" ht="15.75" thickBot="1">
      <c r="A23" s="184" t="s">
        <v>36</v>
      </c>
      <c r="B23" s="185"/>
      <c r="C23" s="186"/>
      <c r="D23" s="77">
        <f>SUM(D21:D22)</f>
        <v>17</v>
      </c>
      <c r="E23" s="78">
        <f>SUM(E21:E22)</f>
        <v>408</v>
      </c>
      <c r="F23" s="77">
        <f t="shared" ref="F23:H23" si="2">SUM(F21:F22)</f>
        <v>157</v>
      </c>
      <c r="G23" s="78">
        <f t="shared" si="2"/>
        <v>3768</v>
      </c>
      <c r="H23" s="79">
        <f t="shared" si="2"/>
        <v>0</v>
      </c>
      <c r="I23" s="80">
        <f>SUM(I21:I22)</f>
        <v>0</v>
      </c>
      <c r="J23" s="77">
        <f t="shared" ref="J23:O23" si="3">SUM(J21:J22)</f>
        <v>0</v>
      </c>
      <c r="K23" s="78">
        <f t="shared" si="3"/>
        <v>0</v>
      </c>
      <c r="L23" s="77">
        <f t="shared" si="3"/>
        <v>0</v>
      </c>
      <c r="M23" s="78">
        <f t="shared" si="3"/>
        <v>0</v>
      </c>
      <c r="N23" s="77">
        <f t="shared" si="3"/>
        <v>174</v>
      </c>
      <c r="O23" s="78">
        <f t="shared" si="3"/>
        <v>4176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178" t="s">
        <v>15</v>
      </c>
      <c r="B24" s="179"/>
      <c r="C24" s="180"/>
      <c r="D24" s="74">
        <f>E24/30</f>
        <v>43</v>
      </c>
      <c r="E24" s="10">
        <v>1290</v>
      </c>
      <c r="F24" s="74">
        <f>G24/30</f>
        <v>338</v>
      </c>
      <c r="G24" s="10">
        <f>'[2]October 2021'!$D$30</f>
        <v>10140</v>
      </c>
      <c r="H24" s="23">
        <f>I24/30</f>
        <v>0</v>
      </c>
      <c r="I24" s="166">
        <v>0</v>
      </c>
      <c r="J24" s="23">
        <f>K24/30</f>
        <v>0</v>
      </c>
      <c r="K24" s="10">
        <v>0</v>
      </c>
      <c r="L24" s="23">
        <f>M24/30</f>
        <v>0</v>
      </c>
      <c r="M24" s="10">
        <v>0</v>
      </c>
      <c r="N24" s="23">
        <f>O24/30</f>
        <v>381</v>
      </c>
      <c r="O24" s="36">
        <f t="shared" ref="O24:O36" si="4">E24+G24-I24-K24-M24</f>
        <v>11430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-10020</v>
      </c>
      <c r="V24" s="75"/>
      <c r="W24" s="29"/>
    </row>
    <row r="25" spans="1:23">
      <c r="A25" s="196" t="s">
        <v>18</v>
      </c>
      <c r="B25" s="197"/>
      <c r="C25" s="198"/>
      <c r="D25" s="81">
        <f>E25/24</f>
        <v>0</v>
      </c>
      <c r="E25" s="36">
        <v>0</v>
      </c>
      <c r="F25" s="81">
        <f>G25/24</f>
        <v>24</v>
      </c>
      <c r="G25" s="27">
        <f>'[2]October 2021'!$E$30</f>
        <v>576</v>
      </c>
      <c r="H25" s="39">
        <f>I25/24</f>
        <v>0</v>
      </c>
      <c r="I25" s="27">
        <v>0</v>
      </c>
      <c r="J25" s="40">
        <f t="shared" ref="J25" si="5">K25/24</f>
        <v>0</v>
      </c>
      <c r="K25" s="36">
        <v>0</v>
      </c>
      <c r="L25" s="40">
        <f t="shared" ref="L25" si="6">M25/24</f>
        <v>0</v>
      </c>
      <c r="M25" s="36">
        <v>0</v>
      </c>
      <c r="N25" s="39">
        <f>O25/24</f>
        <v>24</v>
      </c>
      <c r="O25" s="36">
        <f t="shared" si="4"/>
        <v>576</v>
      </c>
      <c r="P25" s="150"/>
      <c r="Q25" s="150"/>
      <c r="R25" s="150"/>
      <c r="S25" s="4">
        <v>0</v>
      </c>
      <c r="T25" s="22">
        <v>0</v>
      </c>
      <c r="U25" s="35">
        <f>S25+T25-O25</f>
        <v>-576</v>
      </c>
      <c r="V25" s="75"/>
      <c r="W25" s="29"/>
    </row>
    <row r="26" spans="1:23">
      <c r="A26" s="193" t="s">
        <v>47</v>
      </c>
      <c r="B26" s="194"/>
      <c r="C26" s="195"/>
      <c r="D26" s="82">
        <f>E26/22</f>
        <v>10</v>
      </c>
      <c r="E26" s="3">
        <v>220</v>
      </c>
      <c r="F26" s="82">
        <f>G26/22</f>
        <v>0</v>
      </c>
      <c r="G26" s="27">
        <f>'[2]October 2021'!$F$30</f>
        <v>0</v>
      </c>
      <c r="H26" s="42">
        <f>I26/22</f>
        <v>0</v>
      </c>
      <c r="I26" s="28">
        <v>0</v>
      </c>
      <c r="J26" s="1">
        <f>K26/22</f>
        <v>0</v>
      </c>
      <c r="K26" s="3">
        <v>0</v>
      </c>
      <c r="L26" s="1">
        <f>M26/22</f>
        <v>0</v>
      </c>
      <c r="M26" s="3">
        <v>0</v>
      </c>
      <c r="N26" s="25">
        <f>O26/22</f>
        <v>10</v>
      </c>
      <c r="O26" s="36">
        <f t="shared" si="4"/>
        <v>220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190" t="s">
        <v>48</v>
      </c>
      <c r="B27" s="191"/>
      <c r="C27" s="192"/>
      <c r="D27" s="83">
        <f>E27/22</f>
        <v>12</v>
      </c>
      <c r="E27" s="41">
        <v>264</v>
      </c>
      <c r="F27" s="83">
        <f>G27/22</f>
        <v>0</v>
      </c>
      <c r="G27" s="27">
        <f>'[2]October 2021'!$G$30</f>
        <v>0</v>
      </c>
      <c r="H27" s="42">
        <f>I27/22</f>
        <v>0</v>
      </c>
      <c r="I27" s="43">
        <v>0</v>
      </c>
      <c r="J27" s="44">
        <f>K27/22</f>
        <v>0</v>
      </c>
      <c r="K27" s="41">
        <v>0</v>
      </c>
      <c r="L27" s="44">
        <f>M27/22</f>
        <v>0</v>
      </c>
      <c r="M27" s="41">
        <v>0</v>
      </c>
      <c r="N27" s="42">
        <f>O27/22</f>
        <v>12</v>
      </c>
      <c r="O27" s="36">
        <f t="shared" si="4"/>
        <v>264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184" t="s">
        <v>37</v>
      </c>
      <c r="B28" s="185"/>
      <c r="C28" s="186"/>
      <c r="D28" s="79">
        <f t="shared" ref="D28:O28" si="7">SUM(D24:D27)</f>
        <v>65</v>
      </c>
      <c r="E28" s="21">
        <f t="shared" si="7"/>
        <v>1774</v>
      </c>
      <c r="F28" s="79">
        <f t="shared" si="7"/>
        <v>362</v>
      </c>
      <c r="G28" s="21">
        <f t="shared" si="7"/>
        <v>10716</v>
      </c>
      <c r="H28" s="79">
        <f t="shared" si="7"/>
        <v>0</v>
      </c>
      <c r="I28" s="21">
        <f t="shared" si="7"/>
        <v>0</v>
      </c>
      <c r="J28" s="79">
        <f t="shared" si="7"/>
        <v>0</v>
      </c>
      <c r="K28" s="21">
        <f t="shared" si="7"/>
        <v>0</v>
      </c>
      <c r="L28" s="79">
        <f t="shared" si="7"/>
        <v>0</v>
      </c>
      <c r="M28" s="21">
        <f t="shared" si="7"/>
        <v>0</v>
      </c>
      <c r="N28" s="79">
        <f t="shared" si="7"/>
        <v>427</v>
      </c>
      <c r="O28" s="21">
        <f t="shared" si="7"/>
        <v>12490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178" t="s">
        <v>16</v>
      </c>
      <c r="B29" s="179"/>
      <c r="C29" s="180"/>
      <c r="D29" s="74">
        <f>E29/24</f>
        <v>11</v>
      </c>
      <c r="E29" s="10">
        <v>264</v>
      </c>
      <c r="F29" s="74">
        <f>G29/24</f>
        <v>48</v>
      </c>
      <c r="G29" s="27">
        <f>'[2]October 2021'!$H$30</f>
        <v>1152</v>
      </c>
      <c r="H29" s="23">
        <f>I29/24</f>
        <v>0</v>
      </c>
      <c r="I29" s="26">
        <v>0</v>
      </c>
      <c r="J29" s="11">
        <f t="shared" ref="J29:J31" si="8">K29/24</f>
        <v>0</v>
      </c>
      <c r="K29" s="10">
        <v>0</v>
      </c>
      <c r="L29" s="11">
        <f t="shared" ref="L29:L31" si="9">M29/24</f>
        <v>0</v>
      </c>
      <c r="M29" s="10">
        <v>0</v>
      </c>
      <c r="N29" s="23">
        <f>O29/24</f>
        <v>59</v>
      </c>
      <c r="O29" s="36">
        <f t="shared" si="4"/>
        <v>1416</v>
      </c>
      <c r="P29" s="150"/>
      <c r="Q29" s="150"/>
      <c r="R29" s="150"/>
      <c r="S29" s="5">
        <v>264</v>
      </c>
      <c r="T29" s="16">
        <v>0</v>
      </c>
      <c r="U29" s="30">
        <f>S29+T29-O29</f>
        <v>-1152</v>
      </c>
      <c r="V29" s="75"/>
      <c r="W29" s="29"/>
    </row>
    <row r="30" spans="1:23">
      <c r="A30" s="193" t="s">
        <v>43</v>
      </c>
      <c r="B30" s="194"/>
      <c r="C30" s="195"/>
      <c r="D30" s="82">
        <f>E30/24</f>
        <v>25</v>
      </c>
      <c r="E30" s="3">
        <v>600</v>
      </c>
      <c r="F30" s="82">
        <f>G30/24</f>
        <v>31</v>
      </c>
      <c r="G30" s="27">
        <f>'[2]October 2021'!$I$30</f>
        <v>744</v>
      </c>
      <c r="H30" s="25">
        <f>I30/24</f>
        <v>0</v>
      </c>
      <c r="I30" s="28">
        <v>0</v>
      </c>
      <c r="J30" s="1">
        <f t="shared" si="8"/>
        <v>0</v>
      </c>
      <c r="K30" s="3">
        <v>0</v>
      </c>
      <c r="L30" s="1">
        <f>M30/24</f>
        <v>0</v>
      </c>
      <c r="M30" s="3">
        <v>0</v>
      </c>
      <c r="N30" s="25">
        <f>O30/24</f>
        <v>56</v>
      </c>
      <c r="O30" s="36">
        <f t="shared" si="4"/>
        <v>1344</v>
      </c>
      <c r="P30" s="150"/>
      <c r="Q30" s="150"/>
      <c r="R30" s="150"/>
      <c r="S30" s="4">
        <v>600</v>
      </c>
      <c r="T30" s="8">
        <v>0</v>
      </c>
      <c r="U30" s="35">
        <f>S30+T30-O30</f>
        <v>-744</v>
      </c>
      <c r="V30" s="75"/>
      <c r="W30" s="29"/>
    </row>
    <row r="31" spans="1:23" ht="15.75" thickBot="1">
      <c r="A31" s="193" t="s">
        <v>17</v>
      </c>
      <c r="B31" s="194"/>
      <c r="C31" s="195"/>
      <c r="D31" s="82">
        <f>E31/24</f>
        <v>49</v>
      </c>
      <c r="E31" s="3">
        <v>1176</v>
      </c>
      <c r="F31" s="82">
        <f>G31/24</f>
        <v>574</v>
      </c>
      <c r="G31" s="27">
        <f>'[2]October 2021'!$J$30</f>
        <v>13776</v>
      </c>
      <c r="H31" s="25">
        <f>I31/24</f>
        <v>0</v>
      </c>
      <c r="I31" s="28">
        <v>0</v>
      </c>
      <c r="J31" s="1">
        <f t="shared" si="8"/>
        <v>0</v>
      </c>
      <c r="K31" s="3">
        <v>0</v>
      </c>
      <c r="L31" s="1">
        <f t="shared" si="9"/>
        <v>0</v>
      </c>
      <c r="M31" s="3">
        <v>0</v>
      </c>
      <c r="N31" s="25">
        <f>O31/24</f>
        <v>623</v>
      </c>
      <c r="O31" s="36">
        <f t="shared" si="4"/>
        <v>14952</v>
      </c>
      <c r="P31" s="150"/>
      <c r="Q31" s="267"/>
      <c r="R31" s="268"/>
      <c r="S31" s="4">
        <v>1176</v>
      </c>
      <c r="T31" s="8">
        <f>0*24</f>
        <v>0</v>
      </c>
      <c r="U31" s="35">
        <f>S31+T31-O31</f>
        <v>-13776</v>
      </c>
      <c r="V31" s="75"/>
      <c r="W31" s="29"/>
    </row>
    <row r="32" spans="1:23" ht="15.75" thickBot="1">
      <c r="A32" s="184" t="s">
        <v>38</v>
      </c>
      <c r="B32" s="185"/>
      <c r="C32" s="186"/>
      <c r="D32" s="84">
        <f t="shared" ref="D32:O32" si="10">SUM(D29:D31)</f>
        <v>85</v>
      </c>
      <c r="E32" s="78">
        <f t="shared" si="10"/>
        <v>2040</v>
      </c>
      <c r="F32" s="84">
        <f t="shared" si="10"/>
        <v>653</v>
      </c>
      <c r="G32" s="78">
        <f t="shared" si="10"/>
        <v>15672</v>
      </c>
      <c r="H32" s="79">
        <f t="shared" si="10"/>
        <v>0</v>
      </c>
      <c r="I32" s="80">
        <f t="shared" si="10"/>
        <v>0</v>
      </c>
      <c r="J32" s="84">
        <f t="shared" si="10"/>
        <v>0</v>
      </c>
      <c r="K32" s="78">
        <f t="shared" si="10"/>
        <v>0</v>
      </c>
      <c r="L32" s="84">
        <f t="shared" si="10"/>
        <v>0</v>
      </c>
      <c r="M32" s="78">
        <f t="shared" si="10"/>
        <v>0</v>
      </c>
      <c r="N32" s="84">
        <f t="shared" si="10"/>
        <v>738</v>
      </c>
      <c r="O32" s="78">
        <f t="shared" si="10"/>
        <v>17712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178" t="s">
        <v>19</v>
      </c>
      <c r="B33" s="179"/>
      <c r="C33" s="180"/>
      <c r="D33" s="85">
        <f>E33/12</f>
        <v>57</v>
      </c>
      <c r="E33" s="14">
        <v>684</v>
      </c>
      <c r="F33" s="85">
        <f>G33/12</f>
        <v>238</v>
      </c>
      <c r="G33" s="27">
        <f>'[2]October 2021'!$K$30</f>
        <v>2856</v>
      </c>
      <c r="H33" s="23">
        <f>I33/12</f>
        <v>0</v>
      </c>
      <c r="I33" s="26">
        <v>0</v>
      </c>
      <c r="J33" s="15">
        <f t="shared" ref="J33:J34" si="11">K33/12</f>
        <v>0</v>
      </c>
      <c r="K33" s="10">
        <v>0</v>
      </c>
      <c r="L33" s="15">
        <f t="shared" ref="L33:L34" si="12">M33/12</f>
        <v>0</v>
      </c>
      <c r="M33" s="10">
        <v>0</v>
      </c>
      <c r="N33" s="23">
        <f>O33/12</f>
        <v>295</v>
      </c>
      <c r="O33" s="36">
        <f t="shared" si="4"/>
        <v>3540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-2856</v>
      </c>
      <c r="V33" s="86"/>
      <c r="W33" s="29"/>
    </row>
    <row r="34" spans="1:23" ht="15.75" thickBot="1">
      <c r="A34" s="181" t="s">
        <v>20</v>
      </c>
      <c r="B34" s="182"/>
      <c r="C34" s="183"/>
      <c r="D34" s="76">
        <f>E34/12</f>
        <v>0</v>
      </c>
      <c r="E34" s="12">
        <v>0</v>
      </c>
      <c r="F34" s="76">
        <f>G34/12</f>
        <v>11</v>
      </c>
      <c r="G34" s="27">
        <f>'[2]October 2021'!$L$30</f>
        <v>132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0</v>
      </c>
      <c r="M34" s="12">
        <v>0</v>
      </c>
      <c r="N34" s="24">
        <f>O34/12</f>
        <v>11</v>
      </c>
      <c r="O34" s="36">
        <f t="shared" si="4"/>
        <v>132</v>
      </c>
      <c r="P34" s="150"/>
      <c r="Q34" s="150"/>
      <c r="R34" s="150"/>
      <c r="S34" s="4">
        <v>0</v>
      </c>
      <c r="T34" s="22">
        <v>0</v>
      </c>
      <c r="U34" s="35">
        <f>S34+T34-O34</f>
        <v>-132</v>
      </c>
      <c r="V34" s="75"/>
      <c r="W34" s="29"/>
    </row>
    <row r="35" spans="1:23" ht="15.75" thickBot="1">
      <c r="A35" s="184" t="s">
        <v>39</v>
      </c>
      <c r="B35" s="185"/>
      <c r="C35" s="186"/>
      <c r="D35" s="84">
        <f>SUM(D33:D34)</f>
        <v>57</v>
      </c>
      <c r="E35" s="78">
        <f t="shared" ref="E35:H35" si="13">SUM(E33:E34)</f>
        <v>684</v>
      </c>
      <c r="F35" s="84">
        <f t="shared" si="13"/>
        <v>249</v>
      </c>
      <c r="G35" s="78">
        <f t="shared" si="13"/>
        <v>2988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0</v>
      </c>
      <c r="K35" s="78">
        <f t="shared" si="14"/>
        <v>0</v>
      </c>
      <c r="L35" s="84">
        <f t="shared" si="14"/>
        <v>0</v>
      </c>
      <c r="M35" s="78">
        <f t="shared" si="14"/>
        <v>0</v>
      </c>
      <c r="N35" s="84">
        <f t="shared" si="14"/>
        <v>306</v>
      </c>
      <c r="O35" s="78">
        <f t="shared" si="14"/>
        <v>3672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187" t="s">
        <v>21</v>
      </c>
      <c r="B36" s="188"/>
      <c r="C36" s="189"/>
      <c r="D36" s="87">
        <f t="shared" ref="D36:N36" si="15">D21+D22+D24+D25+D26+D27+D29+D30+D31+D33+D34</f>
        <v>224</v>
      </c>
      <c r="E36" s="87">
        <f t="shared" si="15"/>
        <v>4906</v>
      </c>
      <c r="F36" s="87">
        <f t="shared" si="15"/>
        <v>1421</v>
      </c>
      <c r="G36" s="87">
        <f t="shared" si="15"/>
        <v>33144</v>
      </c>
      <c r="H36" s="87">
        <f t="shared" si="15"/>
        <v>0</v>
      </c>
      <c r="I36" s="87">
        <f>I21+I22+I24+I25+I26+I27+I29+I30+I31+I33+I34</f>
        <v>0</v>
      </c>
      <c r="J36" s="87">
        <f t="shared" si="15"/>
        <v>0</v>
      </c>
      <c r="K36" s="87">
        <v>0</v>
      </c>
      <c r="L36" s="87">
        <f t="shared" si="15"/>
        <v>0</v>
      </c>
      <c r="M36" s="87">
        <f t="shared" si="15"/>
        <v>0</v>
      </c>
      <c r="N36" s="87">
        <f t="shared" si="15"/>
        <v>1645</v>
      </c>
      <c r="O36" s="36">
        <f t="shared" si="4"/>
        <v>38050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-32136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2:C32"/>
    <mergeCell ref="A33:C33"/>
    <mergeCell ref="A34:C34"/>
    <mergeCell ref="A35:C35"/>
    <mergeCell ref="A36:C36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2021-10-08T07:10:37Z</cp:lastPrinted>
  <dcterms:created xsi:type="dcterms:W3CDTF">2013-12-03T07:20:57Z</dcterms:created>
  <dcterms:modified xsi:type="dcterms:W3CDTF">2021-10-11T05:40:48Z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