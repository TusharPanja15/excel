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5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89" r:id="rId7"/>
  </sheets>
  <externalReferences>
    <externalReference r:id="rId8"/>
    <externalReference r:id="rId9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3" i="88"/>
  <c r="D13"/>
  <c r="D12"/>
  <c r="D11"/>
  <c r="D10"/>
  <c r="E6" l="1"/>
  <c r="G34" i="89"/>
  <c r="G31"/>
  <c r="G30"/>
  <c r="G29"/>
  <c r="G27"/>
  <c r="G26"/>
  <c r="G22"/>
  <c r="G21"/>
  <c r="G24" l="1"/>
  <c r="S36"/>
  <c r="M36"/>
  <c r="K36"/>
  <c r="I36"/>
  <c r="E36"/>
  <c r="M35"/>
  <c r="K35"/>
  <c r="I35"/>
  <c r="E35"/>
  <c r="O34"/>
  <c r="U34" s="1"/>
  <c r="L34"/>
  <c r="J34"/>
  <c r="H34"/>
  <c r="F34"/>
  <c r="D34"/>
  <c r="T33"/>
  <c r="L33"/>
  <c r="J33"/>
  <c r="J35" s="1"/>
  <c r="H33"/>
  <c r="H35" s="1"/>
  <c r="G35"/>
  <c r="F33"/>
  <c r="D33"/>
  <c r="D35" s="1"/>
  <c r="M32"/>
  <c r="K32"/>
  <c r="I32"/>
  <c r="E32"/>
  <c r="T31"/>
  <c r="O31"/>
  <c r="N31" s="1"/>
  <c r="L31"/>
  <c r="J31"/>
  <c r="H31"/>
  <c r="F31"/>
  <c r="D31"/>
  <c r="O30"/>
  <c r="N30" s="1"/>
  <c r="L30"/>
  <c r="J30"/>
  <c r="H30"/>
  <c r="F30"/>
  <c r="D30"/>
  <c r="L29"/>
  <c r="J29"/>
  <c r="H29"/>
  <c r="G32"/>
  <c r="F29"/>
  <c r="D29"/>
  <c r="M28"/>
  <c r="K28"/>
  <c r="I28"/>
  <c r="E28"/>
  <c r="T27"/>
  <c r="O27"/>
  <c r="N27" s="1"/>
  <c r="L27"/>
  <c r="J27"/>
  <c r="H27"/>
  <c r="F27"/>
  <c r="D27"/>
  <c r="T26"/>
  <c r="L26"/>
  <c r="J26"/>
  <c r="H26"/>
  <c r="O26"/>
  <c r="D26"/>
  <c r="L25"/>
  <c r="J25"/>
  <c r="H25"/>
  <c r="H28" s="1"/>
  <c r="G25"/>
  <c r="L13" s="1"/>
  <c r="D25"/>
  <c r="T24"/>
  <c r="L24"/>
  <c r="J24"/>
  <c r="H24"/>
  <c r="O24"/>
  <c r="D24"/>
  <c r="M23"/>
  <c r="K23"/>
  <c r="I23"/>
  <c r="E23"/>
  <c r="T22"/>
  <c r="O22"/>
  <c r="N22" s="1"/>
  <c r="L22"/>
  <c r="J22"/>
  <c r="J23" s="1"/>
  <c r="H22"/>
  <c r="F22"/>
  <c r="D22"/>
  <c r="T21"/>
  <c r="L21"/>
  <c r="J21"/>
  <c r="H21"/>
  <c r="H36" s="1"/>
  <c r="D21"/>
  <c r="I15"/>
  <c r="D15"/>
  <c r="B15"/>
  <c r="J13"/>
  <c r="E13"/>
  <c r="P12"/>
  <c r="P15" s="1"/>
  <c r="H12"/>
  <c r="J12" s="1"/>
  <c r="E12"/>
  <c r="P11"/>
  <c r="J11"/>
  <c r="E11"/>
  <c r="E15" s="1"/>
  <c r="H10"/>
  <c r="H15" s="1"/>
  <c r="G10"/>
  <c r="J10" s="1"/>
  <c r="E10"/>
  <c r="G6"/>
  <c r="E6"/>
  <c r="F25" l="1"/>
  <c r="G36"/>
  <c r="O25"/>
  <c r="U25" s="1"/>
  <c r="L28"/>
  <c r="L32"/>
  <c r="L35"/>
  <c r="L36"/>
  <c r="J32"/>
  <c r="J28"/>
  <c r="U22"/>
  <c r="H32"/>
  <c r="F35"/>
  <c r="U27"/>
  <c r="N13"/>
  <c r="Q13" s="1"/>
  <c r="D32"/>
  <c r="U31"/>
  <c r="U30"/>
  <c r="D28"/>
  <c r="D36"/>
  <c r="U24"/>
  <c r="N24"/>
  <c r="J15"/>
  <c r="N26"/>
  <c r="U26"/>
  <c r="F32"/>
  <c r="J36"/>
  <c r="F21"/>
  <c r="F24"/>
  <c r="F26"/>
  <c r="N34"/>
  <c r="T36"/>
  <c r="L10"/>
  <c r="L12"/>
  <c r="N12" s="1"/>
  <c r="Q12" s="1"/>
  <c r="G15"/>
  <c r="H6" s="1"/>
  <c r="K6" s="1"/>
  <c r="D23"/>
  <c r="H23"/>
  <c r="L23"/>
  <c r="G28"/>
  <c r="O29"/>
  <c r="O33"/>
  <c r="L11"/>
  <c r="N11" s="1"/>
  <c r="Q11" s="1"/>
  <c r="O21"/>
  <c r="U10" i="87"/>
  <c r="U9"/>
  <c r="G10" i="88"/>
  <c r="O28" i="89" l="1"/>
  <c r="N25"/>
  <c r="L15"/>
  <c r="N10"/>
  <c r="F28"/>
  <c r="O36"/>
  <c r="U36" s="1"/>
  <c r="O23"/>
  <c r="U21"/>
  <c r="N21"/>
  <c r="F36"/>
  <c r="F23"/>
  <c r="N29"/>
  <c r="N32" s="1"/>
  <c r="O32"/>
  <c r="U29"/>
  <c r="N15"/>
  <c r="Q10"/>
  <c r="Q15" s="1"/>
  <c r="O35"/>
  <c r="N33"/>
  <c r="N35" s="1"/>
  <c r="U33"/>
  <c r="N28"/>
  <c r="N36" l="1"/>
  <c r="N23"/>
  <c r="T24" i="88" l="1"/>
  <c r="L24" l="1"/>
  <c r="G34" l="1"/>
  <c r="G33"/>
  <c r="G31"/>
  <c r="G30"/>
  <c r="G29"/>
  <c r="G27"/>
  <c r="G26"/>
  <c r="G25"/>
  <c r="G24"/>
  <c r="G22"/>
  <c r="G21"/>
  <c r="G10" i="85" l="1"/>
  <c r="H12" i="88" l="1"/>
  <c r="H10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H6" s="1"/>
  <c r="D15"/>
  <c r="B15"/>
  <c r="J13"/>
  <c r="E13"/>
  <c r="J12"/>
  <c r="E12"/>
  <c r="P15"/>
  <c r="J11"/>
  <c r="E11"/>
  <c r="J10"/>
  <c r="E10"/>
  <c r="G6"/>
  <c r="M31" i="87"/>
  <c r="M33"/>
  <c r="M30"/>
  <c r="M29"/>
  <c r="M26"/>
  <c r="M24"/>
  <c r="P13"/>
  <c r="H28" i="88" l="1"/>
  <c r="E15"/>
  <c r="J15"/>
  <c r="K6"/>
  <c r="D36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O27"/>
  <c r="N27" s="1"/>
  <c r="G28"/>
  <c r="G23"/>
  <c r="N10"/>
  <c r="Q10" s="1"/>
  <c r="G36"/>
  <c r="O29"/>
  <c r="U29" s="1"/>
  <c r="H36"/>
  <c r="L28"/>
  <c r="L36"/>
  <c r="L12"/>
  <c r="N12" s="1"/>
  <c r="Q12" s="1"/>
  <c r="M28"/>
  <c r="O21"/>
  <c r="O24"/>
  <c r="N29"/>
  <c r="O30"/>
  <c r="O31"/>
  <c r="N31" s="1"/>
  <c r="L11"/>
  <c r="N11" s="1"/>
  <c r="Q11" s="1"/>
  <c r="L13"/>
  <c r="N13" s="1"/>
  <c r="Q13" s="1"/>
  <c r="F2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N22" i="88" l="1"/>
  <c r="U22"/>
  <c r="N34"/>
  <c r="N25"/>
  <c r="U26"/>
  <c r="Q15"/>
  <c r="L15"/>
  <c r="F28"/>
  <c r="U27"/>
  <c r="O35"/>
  <c r="U33"/>
  <c r="N33"/>
  <c r="F36"/>
  <c r="F23"/>
  <c r="N30"/>
  <c r="U30"/>
  <c r="J23"/>
  <c r="J36"/>
  <c r="O36"/>
  <c r="U36" s="1"/>
  <c r="O23"/>
  <c r="N21"/>
  <c r="U21"/>
  <c r="U24"/>
  <c r="O28"/>
  <c r="N24"/>
  <c r="O32"/>
  <c r="N32"/>
  <c r="U31"/>
  <c r="N15"/>
  <c r="M22" i="87"/>
  <c r="I33"/>
  <c r="I31"/>
  <c r="I30"/>
  <c r="I29"/>
  <c r="I25"/>
  <c r="I22"/>
  <c r="N28" i="88" l="1"/>
  <c r="N35"/>
  <c r="N23"/>
  <c r="N36"/>
  <c r="E6" i="87"/>
  <c r="K24"/>
  <c r="M34"/>
  <c r="M25"/>
  <c r="K33"/>
  <c r="K31"/>
  <c r="K27"/>
  <c r="K26"/>
  <c r="K22"/>
  <c r="M32" l="1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G22"/>
  <c r="G21"/>
  <c r="F21" s="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</calcChain>
</file>

<file path=xl/sharedStrings.xml><?xml version="1.0" encoding="utf-8"?>
<sst xmlns="http://schemas.openxmlformats.org/spreadsheetml/2006/main" count="526" uniqueCount="75">
  <si>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</si>
  <si>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</si>
  <si>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</si>
  <si>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</si>
  <si>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</si>
  <si>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</si>
  <si>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</si>
  <si>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</si>
  <si>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</si>
  <si>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</si>
  <si>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</si>
  <si>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</si>
  <si>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</si>
  <si>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</si>
  <si>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</si>
  <si>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</si>
  <si>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</si>
  <si>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</si>
  <si>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</si>
  <si>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</si>
  <si>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</si>
  <si>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</si>
  <si>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</si>
  <si>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</si>
  <si>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</si>
  <si>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</si>
  <si>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</si>
  <si>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</si>
  <si>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</si>
  <si>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</si>
  <si>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</si>
  <si>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</si>
  <si>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</si>
  <si>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</si>
  <si>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</si>
  <si>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</si>
  <si>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</si>
  <si>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</si>
  <si>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</si>
  <si>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</si>
  <si>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</si>
  <si>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</si>
  <si>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</si>
  <si>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</si>
  <si>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</si>
  <si>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</si>
  <si>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</si>
  <si>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</si>
  <si>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</si>
  <si>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</si>
  <si>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</si>
  <si>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</si>
  <si>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</si>
  <si>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</si>
  <si>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</si>
  <si>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</si>
  <si>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</si>
  <si>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</si>
  <si>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</si>
  <si>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</si>
  <si>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</si>
  <si>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</si>
  <si>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</si>
  <si>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</si>
  <si>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</si>
  <si>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</si>
  <si>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</si>
  <si>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</si>
  <si>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</si>
  <si>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</si>
  <si>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</si>
  <si>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Destination Wise Production , Despatch and Stock Report for the month of August 01.09.2021 to 30.09.2021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</si>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</sst>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0</v>
          </cell>
          <cell r="C30">
            <v>0</v>
          </cell>
          <cell r="D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T33" sqref="T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9" t="s">
        <v>49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</row>
    <row r="2" spans="1:23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</row>
    <row r="3" spans="1:23" ht="15.75" thickBot="1">
      <c r="A3" s="181" t="s">
        <v>50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3">
      <c r="A4" s="184"/>
      <c r="B4" s="185"/>
      <c r="C4" s="188" t="s">
        <v>46</v>
      </c>
      <c r="D4" s="189"/>
      <c r="E4" s="56" t="s">
        <v>0</v>
      </c>
      <c r="F4" s="190" t="s">
        <v>24</v>
      </c>
      <c r="G4" s="93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3" ht="15.75" thickBot="1">
      <c r="A5" s="186"/>
      <c r="B5" s="187"/>
      <c r="C5" s="193" t="s">
        <v>4</v>
      </c>
      <c r="D5" s="194"/>
      <c r="E5" s="57" t="s">
        <v>5</v>
      </c>
      <c r="F5" s="191"/>
      <c r="G5" s="95"/>
      <c r="H5" s="195" t="s">
        <v>5</v>
      </c>
      <c r="I5" s="196"/>
      <c r="J5" s="197"/>
      <c r="K5" s="193" t="s">
        <v>5</v>
      </c>
      <c r="L5" s="194"/>
      <c r="M5" s="55"/>
      <c r="T5" s="29"/>
      <c r="U5" s="29"/>
    </row>
    <row r="6" spans="1:23" ht="15.75" thickBot="1">
      <c r="A6" s="198"/>
      <c r="B6" s="199"/>
      <c r="C6" s="200">
        <v>666070.9</v>
      </c>
      <c r="D6" s="201"/>
      <c r="E6" s="54"/>
      <c r="F6" s="97"/>
      <c r="G6" s="91">
        <f>C6+E6+F6</f>
        <v>666070.9</v>
      </c>
      <c r="H6" s="200">
        <f>G15</f>
        <v>160041.90000000002</v>
      </c>
      <c r="I6" s="202"/>
      <c r="J6" s="201"/>
      <c r="K6" s="203">
        <f>G6-H6</f>
        <v>506029</v>
      </c>
      <c r="L6" s="204"/>
      <c r="M6" s="55"/>
      <c r="O6" s="29"/>
      <c r="Q6" s="29"/>
    </row>
    <row r="7" spans="1:23" ht="13.5" customHeight="1" thickBot="1">
      <c r="A7" s="178" t="s">
        <v>51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U7" s="29"/>
    </row>
    <row r="8" spans="1:23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96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</row>
    <row r="9" spans="1:23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94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</row>
    <row r="10" spans="1:23" ht="15.75" customHeight="1" thickBot="1">
      <c r="A10" s="58" t="s">
        <v>8</v>
      </c>
      <c r="B10" s="203">
        <v>2060.5</v>
      </c>
      <c r="C10" s="202"/>
      <c r="D10" s="60">
        <v>0</v>
      </c>
      <c r="E10" s="203">
        <f>B10-D10</f>
        <v>2060.5</v>
      </c>
      <c r="F10" s="204"/>
      <c r="G10" s="92">
        <f>36127.6+36854+36195.2</f>
        <v>109176.8</v>
      </c>
      <c r="H10" s="60">
        <f>145+147.41</f>
        <v>292.40999999999997</v>
      </c>
      <c r="I10" s="60"/>
      <c r="J10" s="203">
        <f>B10+G10+H10+I10</f>
        <v>111529.71</v>
      </c>
      <c r="K10" s="204"/>
      <c r="L10" s="203">
        <f>G29+G30+G31</f>
        <v>74136</v>
      </c>
      <c r="M10" s="221"/>
      <c r="N10" s="203">
        <f>J10-L10</f>
        <v>37393.710000000006</v>
      </c>
      <c r="O10" s="204"/>
      <c r="P10" s="60">
        <f>'[1]April 2021-22'!$K$41</f>
        <v>28956.159999999996</v>
      </c>
      <c r="Q10" s="203">
        <f>N10-P10</f>
        <v>8437.5500000000102</v>
      </c>
      <c r="R10" s="220"/>
      <c r="S10" s="32"/>
    </row>
    <row r="11" spans="1:23" ht="15.75" thickBot="1">
      <c r="A11" s="58" t="s">
        <v>9</v>
      </c>
      <c r="B11" s="203">
        <v>6061.85</v>
      </c>
      <c r="C11" s="202"/>
      <c r="D11" s="60">
        <v>0</v>
      </c>
      <c r="E11" s="203">
        <f t="shared" ref="E11:E13" si="0">B11-D11</f>
        <v>6061.85</v>
      </c>
      <c r="F11" s="204"/>
      <c r="G11" s="92">
        <v>15212.8</v>
      </c>
      <c r="H11" s="60"/>
      <c r="I11" s="60"/>
      <c r="J11" s="203">
        <f>B11+G11+H11+I11</f>
        <v>21274.65</v>
      </c>
      <c r="K11" s="204"/>
      <c r="L11" s="203">
        <f>SUM(G21:G22)</f>
        <v>8664</v>
      </c>
      <c r="M11" s="221"/>
      <c r="N11" s="222">
        <f>J11-L11</f>
        <v>12610.650000000001</v>
      </c>
      <c r="O11" s="223"/>
      <c r="P11" s="61">
        <f>'[1]April 2021-22'!$K$65</f>
        <v>12170.24</v>
      </c>
      <c r="Q11" s="203">
        <f t="shared" ref="Q11:Q13" si="1">N11-P11</f>
        <v>440.41000000000167</v>
      </c>
      <c r="R11" s="220"/>
      <c r="S11" s="32"/>
    </row>
    <row r="12" spans="1:23" ht="15.75" customHeight="1" thickBot="1">
      <c r="A12" s="58" t="s">
        <v>10</v>
      </c>
      <c r="B12" s="203">
        <v>11800.7</v>
      </c>
      <c r="C12" s="202"/>
      <c r="D12" s="60">
        <v>0</v>
      </c>
      <c r="E12" s="203">
        <f t="shared" si="0"/>
        <v>11800.7</v>
      </c>
      <c r="F12" s="204"/>
      <c r="G12" s="92"/>
      <c r="H12" s="60"/>
      <c r="I12" s="60"/>
      <c r="J12" s="203">
        <f>B12+G12+H12+I12</f>
        <v>11800.7</v>
      </c>
      <c r="K12" s="204"/>
      <c r="L12" s="203">
        <f>SUM(G33:G34)</f>
        <v>7560</v>
      </c>
      <c r="M12" s="220"/>
      <c r="N12" s="203">
        <f>J12-L12</f>
        <v>4240.7000000000007</v>
      </c>
      <c r="O12" s="204"/>
      <c r="P12" s="61">
        <f>'[1]April 2021-22'!$K$57</f>
        <v>0</v>
      </c>
      <c r="Q12" s="203">
        <f t="shared" si="1"/>
        <v>4240.7000000000007</v>
      </c>
      <c r="R12" s="220"/>
    </row>
    <row r="13" spans="1:23" ht="15.75" thickBot="1">
      <c r="A13" s="58" t="s">
        <v>30</v>
      </c>
      <c r="B13" s="203">
        <v>30749.88</v>
      </c>
      <c r="C13" s="202"/>
      <c r="D13" s="60">
        <v>0</v>
      </c>
      <c r="E13" s="203">
        <f t="shared" si="0"/>
        <v>30749.88</v>
      </c>
      <c r="F13" s="204"/>
      <c r="G13" s="92">
        <f>35652.3</f>
        <v>35652.300000000003</v>
      </c>
      <c r="H13" s="60"/>
      <c r="I13" s="60"/>
      <c r="J13" s="203">
        <f>B13+G13+H13+I13</f>
        <v>66402.180000000008</v>
      </c>
      <c r="K13" s="204"/>
      <c r="L13" s="203">
        <f>G24+G25+G26+G27</f>
        <v>38302</v>
      </c>
      <c r="M13" s="220"/>
      <c r="N13" s="203">
        <f>J13-L13</f>
        <v>28100.180000000008</v>
      </c>
      <c r="O13" s="204"/>
      <c r="P13" s="61">
        <f>'[1]April 2021-22'!$K$49</f>
        <v>21391.380000000005</v>
      </c>
      <c r="Q13" s="203">
        <f t="shared" si="1"/>
        <v>6708.8000000000029</v>
      </c>
      <c r="R13" s="220"/>
      <c r="U13" s="29"/>
      <c r="W13" s="29"/>
    </row>
    <row r="14" spans="1:23" ht="15.75" customHeight="1" thickBot="1">
      <c r="A14" s="58"/>
      <c r="B14" s="224"/>
      <c r="C14" s="225"/>
      <c r="D14" s="61"/>
      <c r="E14" s="224"/>
      <c r="F14" s="226"/>
      <c r="G14" s="92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T14" s="64"/>
    </row>
    <row r="15" spans="1:23" ht="15.75" thickBot="1">
      <c r="A15" s="59" t="s">
        <v>1</v>
      </c>
      <c r="B15" s="203">
        <f>SUM(B10:C14)</f>
        <v>50672.930000000008</v>
      </c>
      <c r="C15" s="204"/>
      <c r="D15" s="60">
        <f>SUM(D10:D14)</f>
        <v>0</v>
      </c>
      <c r="E15" s="203">
        <f>SUM(E10:F14)</f>
        <v>50672.930000000008</v>
      </c>
      <c r="F15" s="183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02">
        <f>SUM(J10:K14)</f>
        <v>211007.24000000005</v>
      </c>
      <c r="K15" s="204"/>
      <c r="L15" s="203">
        <f>SUM(L10:M14)</f>
        <v>128662</v>
      </c>
      <c r="M15" s="221"/>
      <c r="N15" s="203">
        <f>SUM(N10:O14)</f>
        <v>82345.24000000002</v>
      </c>
      <c r="O15" s="204"/>
      <c r="P15" s="60">
        <f>SUM(P10:P14)</f>
        <v>62517.78</v>
      </c>
      <c r="Q15" s="203">
        <f>SUM(Q10:R13)</f>
        <v>19827.460000000014</v>
      </c>
      <c r="R15" s="204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30" t="s">
        <v>11</v>
      </c>
      <c r="B17" s="231"/>
      <c r="C17" s="231"/>
      <c r="D17" s="238" t="s">
        <v>52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</row>
    <row r="18" spans="1:23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41" t="s">
        <v>12</v>
      </c>
      <c r="O18" s="242"/>
    </row>
    <row r="19" spans="1:23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</row>
    <row r="20" spans="1:23" s="71" customFormat="1" ht="15.75" thickBot="1">
      <c r="A20" s="235"/>
      <c r="B20" s="236"/>
      <c r="C20" s="237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47" t="s">
        <v>13</v>
      </c>
      <c r="B21" s="248"/>
      <c r="C21" s="249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250" t="s">
        <v>14</v>
      </c>
      <c r="B22" s="251"/>
      <c r="C22" s="252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253" t="s">
        <v>36</v>
      </c>
      <c r="B23" s="254"/>
      <c r="C23" s="255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247" t="s">
        <v>15</v>
      </c>
      <c r="B24" s="248"/>
      <c r="C24" s="249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256" t="s">
        <v>18</v>
      </c>
      <c r="B25" s="257"/>
      <c r="C25" s="258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27" t="s">
        <v>47</v>
      </c>
      <c r="B26" s="228"/>
      <c r="C26" s="229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62" t="s">
        <v>48</v>
      </c>
      <c r="B27" s="263"/>
      <c r="C27" s="264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253" t="s">
        <v>37</v>
      </c>
      <c r="B28" s="254"/>
      <c r="C28" s="255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247" t="s">
        <v>16</v>
      </c>
      <c r="B29" s="248"/>
      <c r="C29" s="249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27" t="s">
        <v>43</v>
      </c>
      <c r="B30" s="228"/>
      <c r="C30" s="229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27" t="s">
        <v>17</v>
      </c>
      <c r="B31" s="228"/>
      <c r="C31" s="229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253" t="s">
        <v>38</v>
      </c>
      <c r="B32" s="254"/>
      <c r="C32" s="255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247" t="s">
        <v>19</v>
      </c>
      <c r="B33" s="248"/>
      <c r="C33" s="249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250" t="s">
        <v>20</v>
      </c>
      <c r="B34" s="251"/>
      <c r="C34" s="252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53" t="s">
        <v>39</v>
      </c>
      <c r="B35" s="254"/>
      <c r="C35" s="255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59" t="s">
        <v>21</v>
      </c>
      <c r="B36" s="260"/>
      <c r="C36" s="261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U33" sqref="U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9" t="s">
        <v>54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</row>
    <row r="2" spans="1:23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</row>
    <row r="3" spans="1:23" ht="15.75" thickBot="1">
      <c r="A3" s="181" t="s">
        <v>55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3">
      <c r="A4" s="184"/>
      <c r="B4" s="185"/>
      <c r="C4" s="188" t="s">
        <v>46</v>
      </c>
      <c r="D4" s="189"/>
      <c r="E4" s="56" t="s">
        <v>0</v>
      </c>
      <c r="F4" s="190" t="s">
        <v>24</v>
      </c>
      <c r="G4" s="101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3" ht="15.75" thickBot="1">
      <c r="A5" s="186"/>
      <c r="B5" s="187"/>
      <c r="C5" s="193" t="s">
        <v>4</v>
      </c>
      <c r="D5" s="194"/>
      <c r="E5" s="57" t="s">
        <v>5</v>
      </c>
      <c r="F5" s="191"/>
      <c r="G5" s="103"/>
      <c r="H5" s="195" t="s">
        <v>5</v>
      </c>
      <c r="I5" s="196"/>
      <c r="J5" s="197"/>
      <c r="K5" s="193" t="s">
        <v>5</v>
      </c>
      <c r="L5" s="194"/>
      <c r="M5" s="55"/>
      <c r="T5" s="29"/>
      <c r="U5" s="29"/>
    </row>
    <row r="6" spans="1:23" ht="15.75" thickBot="1">
      <c r="A6" s="198"/>
      <c r="B6" s="199"/>
      <c r="C6" s="200">
        <v>506029</v>
      </c>
      <c r="D6" s="201"/>
      <c r="E6" s="54"/>
      <c r="F6" s="107"/>
      <c r="G6" s="104">
        <f>C6+E6+F6</f>
        <v>506029</v>
      </c>
      <c r="H6" s="200">
        <f>G15</f>
        <v>51224.7</v>
      </c>
      <c r="I6" s="202"/>
      <c r="J6" s="201"/>
      <c r="K6" s="203">
        <f>G6-H6</f>
        <v>454804.3</v>
      </c>
      <c r="L6" s="204"/>
      <c r="M6" s="55"/>
      <c r="O6" s="29"/>
      <c r="Q6" s="29"/>
    </row>
    <row r="7" spans="1:23" ht="13.5" customHeight="1" thickBot="1">
      <c r="A7" s="178" t="s">
        <v>56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U7" s="29"/>
    </row>
    <row r="8" spans="1:23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106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</row>
    <row r="9" spans="1:23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102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</row>
    <row r="10" spans="1:23" ht="15.75" customHeight="1" thickBot="1">
      <c r="A10" s="58" t="s">
        <v>8</v>
      </c>
      <c r="B10" s="203">
        <v>37393.71</v>
      </c>
      <c r="C10" s="202"/>
      <c r="D10" s="60">
        <v>28956.16</v>
      </c>
      <c r="E10" s="203">
        <f>B10-D10</f>
        <v>8437.5499999999993</v>
      </c>
      <c r="F10" s="204"/>
      <c r="G10" s="105">
        <v>35224</v>
      </c>
      <c r="H10" s="60">
        <v>144.78</v>
      </c>
      <c r="I10" s="60"/>
      <c r="J10" s="203">
        <f>B10+G10+H10+I10</f>
        <v>72762.489999999991</v>
      </c>
      <c r="K10" s="204"/>
      <c r="L10" s="203">
        <f>G29+G30+G31</f>
        <v>52536</v>
      </c>
      <c r="M10" s="221"/>
      <c r="N10" s="203">
        <f>J10-L10</f>
        <v>20226.489999999991</v>
      </c>
      <c r="O10" s="204"/>
      <c r="P10" s="60">
        <f>'[1]May 2021'!$K$15</f>
        <v>7044.7999999999993</v>
      </c>
      <c r="Q10" s="203">
        <f>N10-P10</f>
        <v>13181.689999999991</v>
      </c>
      <c r="R10" s="220"/>
      <c r="S10" s="32"/>
      <c r="U10" s="2" t="s">
        <v>53</v>
      </c>
    </row>
    <row r="11" spans="1:23" ht="15.75" thickBot="1">
      <c r="A11" s="58" t="s">
        <v>9</v>
      </c>
      <c r="B11" s="203">
        <v>12610.65</v>
      </c>
      <c r="C11" s="202"/>
      <c r="D11" s="60">
        <v>12170.24</v>
      </c>
      <c r="E11" s="203">
        <f t="shared" ref="E11:E13" si="0">B11-D11</f>
        <v>440.40999999999985</v>
      </c>
      <c r="F11" s="204"/>
      <c r="G11" s="105"/>
      <c r="H11" s="60"/>
      <c r="I11" s="60"/>
      <c r="J11" s="203">
        <f>B11+G11+H11+I11</f>
        <v>12610.65</v>
      </c>
      <c r="K11" s="204"/>
      <c r="L11" s="203">
        <f>SUM(G21:G22)</f>
        <v>4344</v>
      </c>
      <c r="M11" s="221"/>
      <c r="N11" s="222">
        <f>J11-L11</f>
        <v>8266.65</v>
      </c>
      <c r="O11" s="223"/>
      <c r="P11" s="60">
        <f>'[1]May 2021'!$K$25</f>
        <v>6085.12</v>
      </c>
      <c r="Q11" s="203">
        <f t="shared" ref="Q11:Q13" si="1">N11-P11</f>
        <v>2181.5299999999997</v>
      </c>
      <c r="R11" s="220"/>
      <c r="S11" s="32"/>
    </row>
    <row r="12" spans="1:23" ht="15.75" customHeight="1" thickBot="1">
      <c r="A12" s="58" t="s">
        <v>10</v>
      </c>
      <c r="B12" s="203">
        <v>4240.7</v>
      </c>
      <c r="C12" s="202"/>
      <c r="D12" s="60">
        <v>0</v>
      </c>
      <c r="E12" s="203">
        <f t="shared" si="0"/>
        <v>4240.7</v>
      </c>
      <c r="F12" s="204"/>
      <c r="G12" s="105">
        <v>16000.7</v>
      </c>
      <c r="H12" s="60"/>
      <c r="I12" s="60"/>
      <c r="J12" s="203">
        <f>B12+G12+H12+I12</f>
        <v>20241.400000000001</v>
      </c>
      <c r="K12" s="204"/>
      <c r="L12" s="203">
        <f>SUM(G33:G34)</f>
        <v>9492</v>
      </c>
      <c r="M12" s="220"/>
      <c r="N12" s="203">
        <f>J12-L12</f>
        <v>10749.400000000001</v>
      </c>
      <c r="O12" s="204"/>
      <c r="P12" s="60">
        <f>'[1]May 2021'!$K$35</f>
        <v>9600.42</v>
      </c>
      <c r="Q12" s="203">
        <f t="shared" si="1"/>
        <v>1148.9800000000014</v>
      </c>
      <c r="R12" s="220"/>
    </row>
    <row r="13" spans="1:23" ht="15.75" thickBot="1">
      <c r="A13" s="58" t="s">
        <v>30</v>
      </c>
      <c r="B13" s="203">
        <v>28100.18</v>
      </c>
      <c r="C13" s="202"/>
      <c r="D13" s="60">
        <v>21391.38</v>
      </c>
      <c r="E13" s="203">
        <f t="shared" si="0"/>
        <v>6708.7999999999993</v>
      </c>
      <c r="F13" s="204"/>
      <c r="G13" s="105"/>
      <c r="H13" s="60">
        <v>142.61000000000001</v>
      </c>
      <c r="I13" s="60"/>
      <c r="J13" s="203">
        <f>B13+G13+H13+I13</f>
        <v>28242.79</v>
      </c>
      <c r="K13" s="204"/>
      <c r="L13" s="203">
        <f>G24+G25+G26+G27</f>
        <v>24454</v>
      </c>
      <c r="M13" s="220"/>
      <c r="N13" s="203">
        <f>J13-L13</f>
        <v>3788.7900000000009</v>
      </c>
      <c r="O13" s="204"/>
      <c r="P13" s="60">
        <f>'[1]May 2021'!$K$45</f>
        <v>0</v>
      </c>
      <c r="Q13" s="203">
        <f t="shared" si="1"/>
        <v>3788.7900000000009</v>
      </c>
      <c r="R13" s="220"/>
      <c r="V13" s="29"/>
      <c r="W13" s="29"/>
    </row>
    <row r="14" spans="1:23" ht="15.75" customHeight="1" thickBot="1">
      <c r="A14" s="58"/>
      <c r="B14" s="224"/>
      <c r="C14" s="225"/>
      <c r="D14" s="61"/>
      <c r="E14" s="224"/>
      <c r="F14" s="226"/>
      <c r="G14" s="105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T14" s="64"/>
    </row>
    <row r="15" spans="1:23" ht="15.75" thickBot="1">
      <c r="A15" s="59" t="s">
        <v>1</v>
      </c>
      <c r="B15" s="203">
        <f>SUM(B10:C14)</f>
        <v>82345.239999999991</v>
      </c>
      <c r="C15" s="204"/>
      <c r="D15" s="60">
        <f>SUM(D10:D14)</f>
        <v>62517.78</v>
      </c>
      <c r="E15" s="203">
        <f>SUM(E10:F14)</f>
        <v>19827.46</v>
      </c>
      <c r="F15" s="183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02">
        <f>SUM(J10:K14)</f>
        <v>133857.32999999999</v>
      </c>
      <c r="K15" s="204"/>
      <c r="L15" s="203">
        <f>SUM(L10:M14)</f>
        <v>90826</v>
      </c>
      <c r="M15" s="221"/>
      <c r="N15" s="203">
        <f>SUM(N10:O14)</f>
        <v>43031.329999999994</v>
      </c>
      <c r="O15" s="204"/>
      <c r="P15" s="60">
        <f>SUM(P10:P14)</f>
        <v>22730.339999999997</v>
      </c>
      <c r="Q15" s="203">
        <f>SUM(Q10:R13)</f>
        <v>20300.989999999991</v>
      </c>
      <c r="R15" s="204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30" t="s">
        <v>11</v>
      </c>
      <c r="B17" s="231"/>
      <c r="C17" s="231"/>
      <c r="D17" s="238" t="s">
        <v>57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</row>
    <row r="18" spans="1:23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41" t="s">
        <v>12</v>
      </c>
      <c r="O18" s="242"/>
    </row>
    <row r="19" spans="1:23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</row>
    <row r="20" spans="1:23" s="71" customFormat="1" ht="15.75" thickBot="1">
      <c r="A20" s="235"/>
      <c r="B20" s="236"/>
      <c r="C20" s="237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47" t="s">
        <v>13</v>
      </c>
      <c r="B21" s="248"/>
      <c r="C21" s="249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250" t="s">
        <v>14</v>
      </c>
      <c r="B22" s="251"/>
      <c r="C22" s="252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253" t="s">
        <v>36</v>
      </c>
      <c r="B23" s="254"/>
      <c r="C23" s="255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247" t="s">
        <v>15</v>
      </c>
      <c r="B24" s="248"/>
      <c r="C24" s="249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256" t="s">
        <v>18</v>
      </c>
      <c r="B25" s="257"/>
      <c r="C25" s="258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27" t="s">
        <v>47</v>
      </c>
      <c r="B26" s="228"/>
      <c r="C26" s="229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62" t="s">
        <v>48</v>
      </c>
      <c r="B27" s="263"/>
      <c r="C27" s="264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253" t="s">
        <v>37</v>
      </c>
      <c r="B28" s="254"/>
      <c r="C28" s="255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247" t="s">
        <v>16</v>
      </c>
      <c r="B29" s="248"/>
      <c r="C29" s="249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27" t="s">
        <v>43</v>
      </c>
      <c r="B30" s="228"/>
      <c r="C30" s="229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27" t="s">
        <v>17</v>
      </c>
      <c r="B31" s="228"/>
      <c r="C31" s="229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253" t="s">
        <v>38</v>
      </c>
      <c r="B32" s="254"/>
      <c r="C32" s="255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247" t="s">
        <v>19</v>
      </c>
      <c r="B33" s="248"/>
      <c r="C33" s="249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250" t="s">
        <v>20</v>
      </c>
      <c r="B34" s="251"/>
      <c r="C34" s="252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53" t="s">
        <v>39</v>
      </c>
      <c r="B35" s="254"/>
      <c r="C35" s="255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59" t="s">
        <v>21</v>
      </c>
      <c r="B36" s="260"/>
      <c r="C36" s="261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V21" sqref="V2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79" t="s">
        <v>58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19"/>
    </row>
    <row r="2" spans="1:24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20"/>
    </row>
    <row r="3" spans="1:24" ht="15.75" thickBot="1">
      <c r="A3" s="181" t="s">
        <v>59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4">
      <c r="A4" s="184"/>
      <c r="B4" s="185"/>
      <c r="C4" s="188" t="s">
        <v>46</v>
      </c>
      <c r="D4" s="189"/>
      <c r="E4" s="56" t="s">
        <v>0</v>
      </c>
      <c r="F4" s="190" t="s">
        <v>24</v>
      </c>
      <c r="G4" s="116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4" ht="15.75" thickBot="1">
      <c r="A5" s="186"/>
      <c r="B5" s="187"/>
      <c r="C5" s="193" t="s">
        <v>4</v>
      </c>
      <c r="D5" s="194"/>
      <c r="E5" s="57" t="s">
        <v>5</v>
      </c>
      <c r="F5" s="191"/>
      <c r="G5" s="115"/>
      <c r="H5" s="195" t="s">
        <v>5</v>
      </c>
      <c r="I5" s="196"/>
      <c r="J5" s="197"/>
      <c r="K5" s="193" t="s">
        <v>5</v>
      </c>
      <c r="L5" s="194"/>
      <c r="M5" s="55"/>
      <c r="U5" s="29"/>
      <c r="V5" s="29"/>
    </row>
    <row r="6" spans="1:24" ht="15.75" thickBot="1">
      <c r="A6" s="198"/>
      <c r="B6" s="199"/>
      <c r="C6" s="200">
        <v>454804.3</v>
      </c>
      <c r="D6" s="201"/>
      <c r="E6" s="54"/>
      <c r="F6" s="114"/>
      <c r="G6" s="118">
        <f>C6+E6+F6</f>
        <v>454804.3</v>
      </c>
      <c r="H6" s="200">
        <f>G15</f>
        <v>128728.2</v>
      </c>
      <c r="I6" s="202"/>
      <c r="J6" s="201"/>
      <c r="K6" s="203">
        <f>G6-H6</f>
        <v>326076.09999999998</v>
      </c>
      <c r="L6" s="204"/>
      <c r="M6" s="55"/>
      <c r="O6" s="29"/>
      <c r="Q6" s="29"/>
    </row>
    <row r="7" spans="1:24" ht="13.5" customHeight="1" thickBot="1">
      <c r="A7" s="178" t="s">
        <v>60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21"/>
      <c r="V7" s="29"/>
    </row>
    <row r="8" spans="1:24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113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  <c r="S8" s="122"/>
    </row>
    <row r="9" spans="1:24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117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  <c r="S9" s="122"/>
    </row>
    <row r="10" spans="1:24" ht="15.75" customHeight="1" thickBot="1">
      <c r="A10" s="58" t="s">
        <v>8</v>
      </c>
      <c r="B10" s="203">
        <v>20226.490000000002</v>
      </c>
      <c r="C10" s="202"/>
      <c r="D10" s="60">
        <v>7044.8</v>
      </c>
      <c r="E10" s="203">
        <f>B10-D10</f>
        <v>13181.690000000002</v>
      </c>
      <c r="F10" s="204"/>
      <c r="G10" s="110">
        <f>37289.5+37533.7</f>
        <v>74823.199999999997</v>
      </c>
      <c r="H10" s="60">
        <f>140.9+149.16</f>
        <v>290.06</v>
      </c>
      <c r="I10" s="60"/>
      <c r="J10" s="203">
        <f>B10+G10+H10+I10</f>
        <v>95339.75</v>
      </c>
      <c r="K10" s="204"/>
      <c r="L10" s="203">
        <f>G29+G30+G31</f>
        <v>57168</v>
      </c>
      <c r="M10" s="221"/>
      <c r="N10" s="203">
        <f>J10-L10</f>
        <v>38171.75</v>
      </c>
      <c r="O10" s="204"/>
      <c r="P10" s="60">
        <f>'[1]June 2021'!$K$15</f>
        <v>30026.959999999999</v>
      </c>
      <c r="Q10" s="203">
        <f>N10-P10</f>
        <v>8144.7900000000009</v>
      </c>
      <c r="R10" s="220"/>
      <c r="S10" s="123"/>
      <c r="T10" s="32"/>
    </row>
    <row r="11" spans="1:24" ht="15.75" thickBot="1">
      <c r="A11" s="58" t="s">
        <v>9</v>
      </c>
      <c r="B11" s="203">
        <v>8266.65</v>
      </c>
      <c r="C11" s="202"/>
      <c r="D11" s="60">
        <v>6085.12</v>
      </c>
      <c r="E11" s="203">
        <f t="shared" ref="E11:E13" si="0">B11-D11</f>
        <v>2181.5299999999997</v>
      </c>
      <c r="F11" s="204"/>
      <c r="G11" s="110"/>
      <c r="H11" s="60"/>
      <c r="I11" s="60"/>
      <c r="J11" s="203">
        <f>B11+G11+H11+I11</f>
        <v>8266.65</v>
      </c>
      <c r="K11" s="204"/>
      <c r="L11" s="203">
        <f>SUM(G21:G22)</f>
        <v>5040</v>
      </c>
      <c r="M11" s="221"/>
      <c r="N11" s="222">
        <f>J11-L11</f>
        <v>3226.6499999999996</v>
      </c>
      <c r="O11" s="223"/>
      <c r="P11" s="60">
        <f>'[1]June 2021'!$K$25</f>
        <v>3042.56</v>
      </c>
      <c r="Q11" s="203">
        <f t="shared" ref="Q11:Q13" si="1">N11-P11</f>
        <v>184.08999999999969</v>
      </c>
      <c r="R11" s="220"/>
      <c r="S11" s="123"/>
      <c r="T11" s="32"/>
    </row>
    <row r="12" spans="1:24" ht="15.75" customHeight="1" thickBot="1">
      <c r="A12" s="58" t="s">
        <v>10</v>
      </c>
      <c r="B12" s="203">
        <v>10749.4</v>
      </c>
      <c r="C12" s="202"/>
      <c r="D12" s="60">
        <v>9600.42</v>
      </c>
      <c r="E12" s="203">
        <f t="shared" si="0"/>
        <v>1148.9799999999996</v>
      </c>
      <c r="F12" s="204"/>
      <c r="G12" s="110">
        <v>18585</v>
      </c>
      <c r="H12" s="60">
        <v>64</v>
      </c>
      <c r="I12" s="60"/>
      <c r="J12" s="203">
        <f>B12+G12+H12+I12</f>
        <v>29398.400000000001</v>
      </c>
      <c r="K12" s="204"/>
      <c r="L12" s="203">
        <f>SUM(G33:G34)</f>
        <v>11556</v>
      </c>
      <c r="M12" s="220"/>
      <c r="N12" s="203">
        <f>J12-L12</f>
        <v>17842.400000000001</v>
      </c>
      <c r="O12" s="204"/>
      <c r="P12" s="60">
        <f>'[1]June 2021'!$K$35</f>
        <v>14868</v>
      </c>
      <c r="Q12" s="203">
        <f t="shared" si="1"/>
        <v>2974.4000000000015</v>
      </c>
      <c r="R12" s="220"/>
      <c r="S12" s="123"/>
    </row>
    <row r="13" spans="1:24" ht="15.75" thickBot="1">
      <c r="A13" s="58" t="s">
        <v>30</v>
      </c>
      <c r="B13" s="203">
        <v>3788.79</v>
      </c>
      <c r="C13" s="202"/>
      <c r="D13" s="60">
        <v>0</v>
      </c>
      <c r="E13" s="203">
        <f t="shared" si="0"/>
        <v>3788.79</v>
      </c>
      <c r="F13" s="204"/>
      <c r="G13" s="110">
        <v>35320</v>
      </c>
      <c r="H13" s="60">
        <v>141.28</v>
      </c>
      <c r="I13" s="60"/>
      <c r="J13" s="203">
        <f>B13+G13+H13+I13</f>
        <v>39250.07</v>
      </c>
      <c r="K13" s="204"/>
      <c r="L13" s="203">
        <f>G24+G25+G26+G27</f>
        <v>33054</v>
      </c>
      <c r="M13" s="220"/>
      <c r="N13" s="203">
        <f>J13-L13</f>
        <v>6196.07</v>
      </c>
      <c r="O13" s="204"/>
      <c r="P13" s="60">
        <f>'[1]June 2021'!$K$45</f>
        <v>0</v>
      </c>
      <c r="Q13" s="203">
        <f t="shared" si="1"/>
        <v>6196.07</v>
      </c>
      <c r="R13" s="220"/>
      <c r="S13" s="123"/>
      <c r="W13" s="29"/>
      <c r="X13" s="29"/>
    </row>
    <row r="14" spans="1:24" ht="15.75" customHeight="1" thickBot="1">
      <c r="A14" s="58"/>
      <c r="B14" s="224"/>
      <c r="C14" s="225"/>
      <c r="D14" s="61"/>
      <c r="E14" s="224"/>
      <c r="F14" s="226"/>
      <c r="G14" s="110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S14" s="123"/>
      <c r="U14" s="64"/>
    </row>
    <row r="15" spans="1:24" ht="15.75" thickBot="1">
      <c r="A15" s="59" t="s">
        <v>1</v>
      </c>
      <c r="B15" s="203">
        <f>SUM(B10:C14)</f>
        <v>43031.33</v>
      </c>
      <c r="C15" s="204"/>
      <c r="D15" s="60">
        <f>SUM(D10:D14)</f>
        <v>22730.34</v>
      </c>
      <c r="E15" s="203">
        <f>SUM(E10:F14)</f>
        <v>20300.990000000002</v>
      </c>
      <c r="F15" s="183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202">
        <f>SUM(J10:K14)</f>
        <v>172254.87</v>
      </c>
      <c r="K15" s="204"/>
      <c r="L15" s="203">
        <f>SUM(L10:M14)</f>
        <v>106818</v>
      </c>
      <c r="M15" s="221"/>
      <c r="N15" s="203">
        <f>SUM(N10:O14)</f>
        <v>65436.87</v>
      </c>
      <c r="O15" s="204"/>
      <c r="P15" s="60">
        <f>SUM(P10:P14)</f>
        <v>47937.52</v>
      </c>
      <c r="Q15" s="203">
        <f>SUM(Q10:R14)</f>
        <v>17499.350000000002</v>
      </c>
      <c r="R15" s="204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30" t="s">
        <v>11</v>
      </c>
      <c r="B17" s="231"/>
      <c r="C17" s="231"/>
      <c r="D17" s="238" t="s">
        <v>61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  <c r="T17" s="68"/>
    </row>
    <row r="18" spans="1:24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41" t="s">
        <v>12</v>
      </c>
      <c r="O18" s="242"/>
    </row>
    <row r="19" spans="1:24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</row>
    <row r="20" spans="1:24" s="71" customFormat="1" ht="15.75" thickBot="1">
      <c r="A20" s="235"/>
      <c r="B20" s="236"/>
      <c r="C20" s="237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47" t="s">
        <v>13</v>
      </c>
      <c r="B21" s="248"/>
      <c r="C21" s="249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250" t="s">
        <v>14</v>
      </c>
      <c r="B22" s="251"/>
      <c r="C22" s="252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253" t="s">
        <v>36</v>
      </c>
      <c r="B23" s="254"/>
      <c r="C23" s="255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247" t="s">
        <v>15</v>
      </c>
      <c r="B24" s="248"/>
      <c r="C24" s="249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256" t="s">
        <v>18</v>
      </c>
      <c r="B25" s="257"/>
      <c r="C25" s="258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27" t="s">
        <v>47</v>
      </c>
      <c r="B26" s="228"/>
      <c r="C26" s="229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62" t="s">
        <v>48</v>
      </c>
      <c r="B27" s="263"/>
      <c r="C27" s="264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53" t="s">
        <v>37</v>
      </c>
      <c r="B28" s="254"/>
      <c r="C28" s="255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247" t="s">
        <v>16</v>
      </c>
      <c r="B29" s="248"/>
      <c r="C29" s="249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227" t="s">
        <v>43</v>
      </c>
      <c r="B30" s="228"/>
      <c r="C30" s="229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27" t="s">
        <v>17</v>
      </c>
      <c r="B31" s="228"/>
      <c r="C31" s="229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253" t="s">
        <v>38</v>
      </c>
      <c r="B32" s="254"/>
      <c r="C32" s="255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247" t="s">
        <v>19</v>
      </c>
      <c r="B33" s="248"/>
      <c r="C33" s="249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250" t="s">
        <v>20</v>
      </c>
      <c r="B34" s="251"/>
      <c r="C34" s="252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53" t="s">
        <v>39</v>
      </c>
      <c r="B35" s="254"/>
      <c r="C35" s="255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259" t="s">
        <v>21</v>
      </c>
      <c r="B36" s="260"/>
      <c r="C36" s="261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H10" sqref="H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79" t="s">
        <v>64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24"/>
    </row>
    <row r="2" spans="1:24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25"/>
    </row>
    <row r="3" spans="1:24" ht="15.75" thickBot="1">
      <c r="A3" s="181" t="s">
        <v>65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4">
      <c r="A4" s="184"/>
      <c r="B4" s="185"/>
      <c r="C4" s="188" t="s">
        <v>46</v>
      </c>
      <c r="D4" s="189"/>
      <c r="E4" s="56" t="s">
        <v>0</v>
      </c>
      <c r="F4" s="190" t="s">
        <v>24</v>
      </c>
      <c r="G4" s="126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4" ht="15.75" thickBot="1">
      <c r="A5" s="186"/>
      <c r="B5" s="187"/>
      <c r="C5" s="193" t="s">
        <v>4</v>
      </c>
      <c r="D5" s="194"/>
      <c r="E5" s="57" t="s">
        <v>5</v>
      </c>
      <c r="F5" s="191"/>
      <c r="G5" s="128"/>
      <c r="H5" s="195" t="s">
        <v>5</v>
      </c>
      <c r="I5" s="196"/>
      <c r="J5" s="197"/>
      <c r="K5" s="193" t="s">
        <v>5</v>
      </c>
      <c r="L5" s="194"/>
      <c r="M5" s="55"/>
      <c r="U5" s="29"/>
      <c r="V5" s="29"/>
    </row>
    <row r="6" spans="1:24" ht="15.75" thickBot="1">
      <c r="A6" s="198"/>
      <c r="B6" s="199"/>
      <c r="C6" s="200">
        <v>326076.09999999998</v>
      </c>
      <c r="D6" s="201"/>
      <c r="E6" s="54"/>
      <c r="F6" s="132"/>
      <c r="G6" s="129">
        <f>C6+E6+F6</f>
        <v>326076.09999999998</v>
      </c>
      <c r="H6" s="200">
        <f>G15</f>
        <v>285924.29999999993</v>
      </c>
      <c r="I6" s="202"/>
      <c r="J6" s="201"/>
      <c r="K6" s="203">
        <f>G6-H6</f>
        <v>40151.800000000047</v>
      </c>
      <c r="L6" s="204"/>
      <c r="M6" s="55"/>
      <c r="O6" s="29"/>
      <c r="Q6" s="29"/>
    </row>
    <row r="7" spans="1:24" ht="13.5" customHeight="1" thickBot="1">
      <c r="A7" s="178" t="s">
        <v>63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21"/>
      <c r="V7" s="29"/>
    </row>
    <row r="8" spans="1:24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131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  <c r="S8" s="122"/>
    </row>
    <row r="9" spans="1:24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127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  <c r="S9" s="122"/>
    </row>
    <row r="10" spans="1:24" ht="15.75" customHeight="1" thickBot="1">
      <c r="A10" s="58" t="s">
        <v>8</v>
      </c>
      <c r="B10" s="203">
        <v>38171.75</v>
      </c>
      <c r="C10" s="202"/>
      <c r="D10" s="60">
        <f>'June 2021'!P10</f>
        <v>30026.959999999999</v>
      </c>
      <c r="E10" s="203">
        <f>B10-D10</f>
        <v>8144.7900000000009</v>
      </c>
      <c r="F10" s="204"/>
      <c r="G10" s="130">
        <v>113109.9</v>
      </c>
      <c r="H10" s="60">
        <v>463.75</v>
      </c>
      <c r="I10" s="60"/>
      <c r="J10" s="203">
        <f>B10+G10+H10+I10</f>
        <v>151745.4</v>
      </c>
      <c r="K10" s="204"/>
      <c r="L10" s="203">
        <f>G29+G30+G31</f>
        <v>68352</v>
      </c>
      <c r="M10" s="221"/>
      <c r="N10" s="203">
        <f>J10-L10</f>
        <v>83393.399999999994</v>
      </c>
      <c r="O10" s="204"/>
      <c r="P10" s="60">
        <v>75587.600000000006</v>
      </c>
      <c r="Q10" s="203">
        <f>N10-P10</f>
        <v>7805.7999999999884</v>
      </c>
      <c r="R10" s="220"/>
      <c r="S10" s="123"/>
      <c r="T10" s="32"/>
    </row>
    <row r="11" spans="1:24" ht="15.75" thickBot="1">
      <c r="A11" s="58" t="s">
        <v>9</v>
      </c>
      <c r="B11" s="203">
        <v>3226.65</v>
      </c>
      <c r="C11" s="202"/>
      <c r="D11" s="60">
        <f>'June 2021'!P11</f>
        <v>3042.56</v>
      </c>
      <c r="E11" s="203">
        <f t="shared" ref="E11:E13" si="0">B11-D11</f>
        <v>184.09000000000015</v>
      </c>
      <c r="F11" s="204"/>
      <c r="G11" s="130">
        <v>18143.8</v>
      </c>
      <c r="H11" s="60">
        <v>74.39</v>
      </c>
      <c r="I11" s="60"/>
      <c r="J11" s="203">
        <f>B11+G11+H11+I11</f>
        <v>21444.84</v>
      </c>
      <c r="K11" s="204"/>
      <c r="L11" s="203">
        <f>SUM(G21:G22)</f>
        <v>4944</v>
      </c>
      <c r="M11" s="221"/>
      <c r="N11" s="222">
        <f>J11-L11</f>
        <v>16500.84</v>
      </c>
      <c r="O11" s="223"/>
      <c r="P11" s="60">
        <f>3023*5</f>
        <v>15115</v>
      </c>
      <c r="Q11" s="203">
        <f>N11-P11</f>
        <v>1385.8400000000001</v>
      </c>
      <c r="R11" s="220"/>
      <c r="S11" s="123"/>
      <c r="T11" s="32"/>
    </row>
    <row r="12" spans="1:24" ht="15.75" customHeight="1" thickBot="1">
      <c r="A12" s="58" t="s">
        <v>10</v>
      </c>
      <c r="B12" s="203">
        <v>17842.400000000001</v>
      </c>
      <c r="C12" s="202"/>
      <c r="D12" s="60">
        <f>'June 2021'!P12</f>
        <v>14868</v>
      </c>
      <c r="E12" s="203">
        <f t="shared" si="0"/>
        <v>2974.4000000000015</v>
      </c>
      <c r="F12" s="204"/>
      <c r="G12" s="130">
        <v>9214.7999999999993</v>
      </c>
      <c r="H12" s="60"/>
      <c r="I12" s="60"/>
      <c r="J12" s="203">
        <f>B12+G12+H12+I12</f>
        <v>27057.200000000001</v>
      </c>
      <c r="K12" s="204"/>
      <c r="L12" s="203">
        <f>SUM(G33:G34)</f>
        <v>10608</v>
      </c>
      <c r="M12" s="220"/>
      <c r="N12" s="203">
        <f>J12-L12</f>
        <v>16449.2</v>
      </c>
      <c r="O12" s="204"/>
      <c r="P12" s="60">
        <v>15216</v>
      </c>
      <c r="Q12" s="203">
        <f>N12-P12</f>
        <v>1233.2000000000007</v>
      </c>
      <c r="R12" s="220"/>
      <c r="S12" s="123"/>
    </row>
    <row r="13" spans="1:24" ht="15.75" thickBot="1">
      <c r="A13" s="58" t="s">
        <v>30</v>
      </c>
      <c r="B13" s="203">
        <v>6196.07</v>
      </c>
      <c r="C13" s="202"/>
      <c r="D13" s="60">
        <f>'June 2021'!P13</f>
        <v>0</v>
      </c>
      <c r="E13" s="203">
        <f t="shared" si="0"/>
        <v>6196.07</v>
      </c>
      <c r="F13" s="204"/>
      <c r="G13" s="135">
        <v>145455.79999999999</v>
      </c>
      <c r="H13" s="60">
        <v>596.37</v>
      </c>
      <c r="I13" s="60"/>
      <c r="J13" s="203">
        <f>B13+G13+H13+I13</f>
        <v>152248.24</v>
      </c>
      <c r="K13" s="204"/>
      <c r="L13" s="203">
        <f>G24+G25+G26+G27</f>
        <v>45088</v>
      </c>
      <c r="M13" s="220"/>
      <c r="N13" s="203">
        <f>J13-L13</f>
        <v>107160.23999999999</v>
      </c>
      <c r="O13" s="204"/>
      <c r="P13" s="60">
        <f>71881.3+27000</f>
        <v>98881.3</v>
      </c>
      <c r="Q13" s="203">
        <f>N13-P13</f>
        <v>8278.9399999999878</v>
      </c>
      <c r="R13" s="220"/>
      <c r="S13" s="123"/>
      <c r="W13" s="29"/>
      <c r="X13" s="29"/>
    </row>
    <row r="14" spans="1:24" ht="15.75" customHeight="1" thickBot="1">
      <c r="A14" s="58"/>
      <c r="B14" s="224"/>
      <c r="C14" s="225"/>
      <c r="D14" s="61"/>
      <c r="E14" s="224"/>
      <c r="F14" s="226"/>
      <c r="G14" s="130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S14" s="123"/>
      <c r="U14" s="64"/>
    </row>
    <row r="15" spans="1:24" ht="15.75" thickBot="1">
      <c r="A15" s="59" t="s">
        <v>1</v>
      </c>
      <c r="B15" s="203">
        <f>SUM(B10:C14)</f>
        <v>65436.87</v>
      </c>
      <c r="C15" s="204"/>
      <c r="D15" s="60">
        <f>SUM(D10:D14)</f>
        <v>47937.52</v>
      </c>
      <c r="E15" s="203">
        <f>SUM(E10:F14)</f>
        <v>17499.350000000002</v>
      </c>
      <c r="F15" s="183"/>
      <c r="G15" s="130">
        <f>SUM(G10:G14)</f>
        <v>285924.29999999993</v>
      </c>
      <c r="H15" s="60">
        <f>SUM(H10:H14)</f>
        <v>1134.51</v>
      </c>
      <c r="I15" s="60">
        <f>SUM(I10:I14)</f>
        <v>0</v>
      </c>
      <c r="J15" s="202">
        <f>SUM(J10:K14)</f>
        <v>352495.68</v>
      </c>
      <c r="K15" s="204"/>
      <c r="L15" s="203">
        <f>SUM(L10:M14)</f>
        <v>128992</v>
      </c>
      <c r="M15" s="221"/>
      <c r="N15" s="203">
        <f>SUM(N10:O14)</f>
        <v>223503.68</v>
      </c>
      <c r="O15" s="204"/>
      <c r="P15" s="60">
        <f>SUM(P10:P14)</f>
        <v>204799.90000000002</v>
      </c>
      <c r="Q15" s="203">
        <f>SUM(Q10:R13)</f>
        <v>18703.779999999977</v>
      </c>
      <c r="R15" s="204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30" t="s">
        <v>11</v>
      </c>
      <c r="B17" s="231"/>
      <c r="C17" s="231"/>
      <c r="D17" s="238" t="s">
        <v>62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  <c r="T17" s="68"/>
    </row>
    <row r="18" spans="1:24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41" t="s">
        <v>12</v>
      </c>
      <c r="O18" s="242"/>
    </row>
    <row r="19" spans="1:24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</row>
    <row r="20" spans="1:24" s="71" customFormat="1" ht="15.75" thickBot="1">
      <c r="A20" s="235"/>
      <c r="B20" s="236"/>
      <c r="C20" s="237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47" t="s">
        <v>13</v>
      </c>
      <c r="B21" s="248"/>
      <c r="C21" s="249"/>
      <c r="D21" s="74">
        <f>E21/24</f>
        <v>9</v>
      </c>
      <c r="E21" s="10">
        <v>216</v>
      </c>
      <c r="F21" s="74">
        <f>G21/24</f>
        <v>42</v>
      </c>
      <c r="G21" s="10">
        <f>'[2]July 2020'!$B$30</f>
        <v>1008</v>
      </c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6</v>
      </c>
      <c r="O21" s="36">
        <f>E21+G21-I21-K21-M21</f>
        <v>144</v>
      </c>
      <c r="T21" s="5">
        <v>168</v>
      </c>
      <c r="U21" s="7">
        <v>0</v>
      </c>
      <c r="V21" s="30">
        <f>T21+U21-O21</f>
        <v>24</v>
      </c>
      <c r="W21" s="75"/>
      <c r="X21" s="29"/>
    </row>
    <row r="22" spans="1:24" ht="15.75" thickBot="1">
      <c r="A22" s="250" t="s">
        <v>14</v>
      </c>
      <c r="B22" s="251"/>
      <c r="C22" s="252"/>
      <c r="D22" s="76">
        <f>E22/24</f>
        <v>16</v>
      </c>
      <c r="E22" s="12">
        <v>384</v>
      </c>
      <c r="F22" s="76">
        <f>G22/24</f>
        <v>164</v>
      </c>
      <c r="G22" s="12">
        <f>'[2]July 2020'!$C$30</f>
        <v>3936</v>
      </c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0</v>
      </c>
      <c r="O22" s="36">
        <f>E22+G22-I22-K22-M22</f>
        <v>0</v>
      </c>
      <c r="T22" s="6">
        <v>24</v>
      </c>
      <c r="U22" s="9">
        <v>0</v>
      </c>
      <c r="V22" s="34">
        <f>T22-O22</f>
        <v>24</v>
      </c>
      <c r="W22" s="75"/>
      <c r="X22" s="29"/>
    </row>
    <row r="23" spans="1:24" ht="15.75" thickBot="1">
      <c r="A23" s="253" t="s">
        <v>36</v>
      </c>
      <c r="B23" s="254"/>
      <c r="C23" s="255"/>
      <c r="D23" s="77">
        <f>SUM(D21:D22)</f>
        <v>25</v>
      </c>
      <c r="E23" s="78">
        <f t="shared" ref="E23:H23" si="1">SUM(E21:E22)</f>
        <v>600</v>
      </c>
      <c r="F23" s="77">
        <f t="shared" si="1"/>
        <v>206</v>
      </c>
      <c r="G23" s="78">
        <f t="shared" si="1"/>
        <v>4944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6</v>
      </c>
      <c r="O23" s="78">
        <f t="shared" si="2"/>
        <v>144</v>
      </c>
      <c r="T23" s="45"/>
      <c r="U23" s="48"/>
      <c r="V23" s="30"/>
      <c r="W23" s="75"/>
      <c r="X23" s="29"/>
    </row>
    <row r="24" spans="1:24" ht="15.75" thickBot="1">
      <c r="A24" s="247" t="s">
        <v>15</v>
      </c>
      <c r="B24" s="248"/>
      <c r="C24" s="249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256" t="s">
        <v>18</v>
      </c>
      <c r="B25" s="257"/>
      <c r="C25" s="258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27" t="s">
        <v>47</v>
      </c>
      <c r="B26" s="228"/>
      <c r="C26" s="229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62" t="s">
        <v>48</v>
      </c>
      <c r="B27" s="263"/>
      <c r="C27" s="264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53" t="s">
        <v>37</v>
      </c>
      <c r="B28" s="254"/>
      <c r="C28" s="255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247" t="s">
        <v>16</v>
      </c>
      <c r="B29" s="248"/>
      <c r="C29" s="249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227" t="s">
        <v>43</v>
      </c>
      <c r="B30" s="228"/>
      <c r="C30" s="229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27" t="s">
        <v>17</v>
      </c>
      <c r="B31" s="228"/>
      <c r="C31" s="229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253" t="s">
        <v>38</v>
      </c>
      <c r="B32" s="254"/>
      <c r="C32" s="255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247" t="s">
        <v>19</v>
      </c>
      <c r="B33" s="248"/>
      <c r="C33" s="249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250" t="s">
        <v>20</v>
      </c>
      <c r="B34" s="251"/>
      <c r="C34" s="252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53" t="s">
        <v>39</v>
      </c>
      <c r="B35" s="254"/>
      <c r="C35" s="255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259" t="s">
        <v>21</v>
      </c>
      <c r="B36" s="260"/>
      <c r="C36" s="261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5477</v>
      </c>
      <c r="G36" s="87">
        <f t="shared" si="15"/>
        <v>128992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62</v>
      </c>
      <c r="O36" s="87">
        <f t="shared" si="15"/>
        <v>1536</v>
      </c>
      <c r="T36" s="88">
        <f>SUM(T21:T34)</f>
        <v>1560</v>
      </c>
      <c r="U36" s="89">
        <f>SUM(U21:U34)</f>
        <v>0</v>
      </c>
      <c r="V36" s="31">
        <f>T36+U36-O36</f>
        <v>24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J24" sqref="J2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79" t="s">
        <v>66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42"/>
    </row>
    <row r="2" spans="1:24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43"/>
    </row>
    <row r="3" spans="1:24" ht="15.75" thickBot="1">
      <c r="A3" s="181" t="s">
        <v>67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4">
      <c r="A4" s="184"/>
      <c r="B4" s="185"/>
      <c r="C4" s="188" t="s">
        <v>46</v>
      </c>
      <c r="D4" s="189"/>
      <c r="E4" s="56" t="s">
        <v>0</v>
      </c>
      <c r="F4" s="190" t="s">
        <v>24</v>
      </c>
      <c r="G4" s="144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4" ht="15.75" thickBot="1">
      <c r="A5" s="186"/>
      <c r="B5" s="187"/>
      <c r="C5" s="193" t="s">
        <v>4</v>
      </c>
      <c r="D5" s="194"/>
      <c r="E5" s="57" t="s">
        <v>5</v>
      </c>
      <c r="F5" s="191"/>
      <c r="G5" s="141"/>
      <c r="H5" s="195" t="s">
        <v>5</v>
      </c>
      <c r="I5" s="196"/>
      <c r="J5" s="197"/>
      <c r="K5" s="193" t="s">
        <v>5</v>
      </c>
      <c r="L5" s="194"/>
      <c r="M5" s="55"/>
      <c r="U5" s="29"/>
      <c r="V5" s="29"/>
    </row>
    <row r="6" spans="1:24" ht="15.75" thickBot="1">
      <c r="A6" s="198"/>
      <c r="B6" s="199"/>
      <c r="C6" s="200">
        <v>40151.800000000003</v>
      </c>
      <c r="D6" s="201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00">
        <f>G15</f>
        <v>0</v>
      </c>
      <c r="I6" s="202"/>
      <c r="J6" s="201"/>
      <c r="K6" s="203">
        <f>G6-H6</f>
        <v>169998.09999999998</v>
      </c>
      <c r="L6" s="204"/>
      <c r="M6" s="55"/>
      <c r="O6" s="29"/>
      <c r="Q6" s="29"/>
    </row>
    <row r="7" spans="1:24" ht="13.5" customHeight="1" thickBot="1">
      <c r="A7" s="178" t="s">
        <v>68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21"/>
      <c r="V7" s="29"/>
    </row>
    <row r="8" spans="1:24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139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  <c r="S8" s="122"/>
    </row>
    <row r="9" spans="1:24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145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203">
        <v>83393.399999999994</v>
      </c>
      <c r="C10" s="202"/>
      <c r="D10" s="60">
        <v>75587.600000000006</v>
      </c>
      <c r="E10" s="203">
        <f>B10-D10</f>
        <v>7805.7999999999884</v>
      </c>
      <c r="F10" s="204"/>
      <c r="G10" s="136"/>
      <c r="H10" s="60"/>
      <c r="I10" s="60"/>
      <c r="J10" s="203">
        <f>B10+G10+H10+I10</f>
        <v>83393.399999999994</v>
      </c>
      <c r="K10" s="204"/>
      <c r="L10" s="203">
        <f>G29+G30+G31</f>
        <v>57624</v>
      </c>
      <c r="M10" s="221"/>
      <c r="N10" s="203">
        <f>J10-L10</f>
        <v>25769.399999999994</v>
      </c>
      <c r="O10" s="204"/>
      <c r="P10" s="60">
        <v>22594.98</v>
      </c>
      <c r="Q10" s="203">
        <f>N10-P10</f>
        <v>3174.4199999999946</v>
      </c>
      <c r="R10" s="220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203">
        <v>16500.84</v>
      </c>
      <c r="C11" s="202"/>
      <c r="D11" s="60">
        <v>15115</v>
      </c>
      <c r="E11" s="203">
        <f t="shared" ref="E11:E13" si="0">B11-D11</f>
        <v>1385.8400000000001</v>
      </c>
      <c r="F11" s="204"/>
      <c r="G11" s="136"/>
      <c r="H11" s="60"/>
      <c r="I11" s="60"/>
      <c r="J11" s="203">
        <f>B11+G11+H11+I11</f>
        <v>16500.84</v>
      </c>
      <c r="K11" s="204"/>
      <c r="L11" s="203">
        <f>SUM(G21:G22)</f>
        <v>8496</v>
      </c>
      <c r="M11" s="221"/>
      <c r="N11" s="222">
        <f>J11-L11</f>
        <v>8004.84</v>
      </c>
      <c r="O11" s="223"/>
      <c r="P11" s="60">
        <v>0</v>
      </c>
      <c r="Q11" s="203">
        <f>N11-P11</f>
        <v>8004.84</v>
      </c>
      <c r="R11" s="220"/>
      <c r="S11" s="123"/>
      <c r="T11" s="32"/>
    </row>
    <row r="12" spans="1:24" ht="15.75" customHeight="1" thickBot="1">
      <c r="A12" s="58" t="s">
        <v>10</v>
      </c>
      <c r="B12" s="203">
        <v>16449.2</v>
      </c>
      <c r="C12" s="202"/>
      <c r="D12" s="60">
        <v>15216</v>
      </c>
      <c r="E12" s="203">
        <f t="shared" si="0"/>
        <v>1233.2000000000007</v>
      </c>
      <c r="F12" s="204"/>
      <c r="G12" s="136"/>
      <c r="H12" s="60"/>
      <c r="I12" s="60"/>
      <c r="J12" s="203">
        <f>B12+G12+H12+I12</f>
        <v>16449.2</v>
      </c>
      <c r="K12" s="204"/>
      <c r="L12" s="203">
        <f>SUM(G33:G34)</f>
        <v>9552</v>
      </c>
      <c r="M12" s="220"/>
      <c r="N12" s="203">
        <f>J12-L12</f>
        <v>6897.2000000000007</v>
      </c>
      <c r="O12" s="204"/>
      <c r="P12" s="60">
        <f>9214.8-3684</f>
        <v>5530.7999999999993</v>
      </c>
      <c r="Q12" s="203">
        <f>N12-P12</f>
        <v>1366.4000000000015</v>
      </c>
      <c r="R12" s="220"/>
      <c r="S12" s="123"/>
    </row>
    <row r="13" spans="1:24" ht="15.75" thickBot="1">
      <c r="A13" s="58" t="s">
        <v>30</v>
      </c>
      <c r="B13" s="203">
        <v>107160.24</v>
      </c>
      <c r="C13" s="202"/>
      <c r="D13" s="60">
        <v>98881.3</v>
      </c>
      <c r="E13" s="203">
        <f t="shared" si="0"/>
        <v>8278.9400000000023</v>
      </c>
      <c r="F13" s="204"/>
      <c r="G13" s="146"/>
      <c r="H13" s="60"/>
      <c r="I13" s="60"/>
      <c r="J13" s="203">
        <f>B13+G13+H13+I13</f>
        <v>107160.24</v>
      </c>
      <c r="K13" s="204"/>
      <c r="L13" s="203">
        <f>G24+G25+G26+G27</f>
        <v>43148</v>
      </c>
      <c r="M13" s="220"/>
      <c r="N13" s="203">
        <f>J13-L13</f>
        <v>64012.240000000005</v>
      </c>
      <c r="O13" s="204"/>
      <c r="P13" s="60">
        <f>71881.3-11984</f>
        <v>59897.3</v>
      </c>
      <c r="Q13" s="203">
        <f>N13-P13</f>
        <v>4114.9400000000023</v>
      </c>
      <c r="R13" s="220"/>
      <c r="S13" s="123"/>
      <c r="W13" s="29"/>
      <c r="X13" s="29"/>
    </row>
    <row r="14" spans="1:24" ht="15.75" customHeight="1" thickBot="1">
      <c r="A14" s="58"/>
      <c r="B14" s="224"/>
      <c r="C14" s="225"/>
      <c r="D14" s="61"/>
      <c r="E14" s="224"/>
      <c r="F14" s="226"/>
      <c r="G14" s="136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S14" s="123"/>
      <c r="U14" s="64"/>
    </row>
    <row r="15" spans="1:24" ht="15.75" thickBot="1">
      <c r="A15" s="59" t="s">
        <v>1</v>
      </c>
      <c r="B15" s="203">
        <f>SUM(B10:C14)</f>
        <v>223503.68</v>
      </c>
      <c r="C15" s="204"/>
      <c r="D15" s="60">
        <f>SUM(D10:D14)</f>
        <v>204799.90000000002</v>
      </c>
      <c r="E15" s="203">
        <f>SUM(E10:F14)</f>
        <v>18703.779999999992</v>
      </c>
      <c r="F15" s="183"/>
      <c r="G15" s="136">
        <f>SUM(G10:G14)</f>
        <v>0</v>
      </c>
      <c r="H15" s="60">
        <f>SUM(H10:H14)</f>
        <v>0</v>
      </c>
      <c r="I15" s="60">
        <f>SUM(I10:I14)</f>
        <v>0</v>
      </c>
      <c r="J15" s="202">
        <f>SUM(J10:K14)</f>
        <v>223503.68</v>
      </c>
      <c r="K15" s="204"/>
      <c r="L15" s="203">
        <f>SUM(L10:M14)</f>
        <v>118820</v>
      </c>
      <c r="M15" s="221"/>
      <c r="N15" s="203">
        <f>SUM(N10:O14)</f>
        <v>104683.68</v>
      </c>
      <c r="O15" s="204"/>
      <c r="P15" s="60">
        <f>SUM(P10:P14)</f>
        <v>88023.08</v>
      </c>
      <c r="Q15" s="203">
        <f>SUM(Q10:R13)</f>
        <v>16660.599999999999</v>
      </c>
      <c r="R15" s="204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30" t="s">
        <v>11</v>
      </c>
      <c r="B17" s="231"/>
      <c r="C17" s="231"/>
      <c r="D17" s="238" t="s">
        <v>69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  <c r="T17" s="68"/>
    </row>
    <row r="18" spans="1:23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67" t="s">
        <v>12</v>
      </c>
      <c r="O18" s="268"/>
    </row>
    <row r="19" spans="1:23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  <c r="P19" s="152"/>
      <c r="Q19" s="152"/>
      <c r="R19" s="152"/>
    </row>
    <row r="20" spans="1:23" s="71" customFormat="1" ht="15.75" thickBot="1">
      <c r="A20" s="235"/>
      <c r="B20" s="236"/>
      <c r="C20" s="237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247" t="s">
        <v>13</v>
      </c>
      <c r="B21" s="248"/>
      <c r="C21" s="249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250" t="s">
        <v>14</v>
      </c>
      <c r="B22" s="251"/>
      <c r="C22" s="252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253" t="s">
        <v>36</v>
      </c>
      <c r="B23" s="254"/>
      <c r="C23" s="255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47" t="s">
        <v>15</v>
      </c>
      <c r="B24" s="248"/>
      <c r="C24" s="249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256" t="s">
        <v>18</v>
      </c>
      <c r="B25" s="257"/>
      <c r="C25" s="258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227" t="s">
        <v>47</v>
      </c>
      <c r="B26" s="228"/>
      <c r="C26" s="229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62" t="s">
        <v>48</v>
      </c>
      <c r="B27" s="263"/>
      <c r="C27" s="264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253" t="s">
        <v>37</v>
      </c>
      <c r="B28" s="254"/>
      <c r="C28" s="255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47" t="s">
        <v>16</v>
      </c>
      <c r="B29" s="248"/>
      <c r="C29" s="249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227" t="s">
        <v>43</v>
      </c>
      <c r="B30" s="228"/>
      <c r="C30" s="229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27" t="s">
        <v>17</v>
      </c>
      <c r="B31" s="228"/>
      <c r="C31" s="229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65"/>
      <c r="R31" s="266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53" t="s">
        <v>38</v>
      </c>
      <c r="B32" s="254"/>
      <c r="C32" s="255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47" t="s">
        <v>19</v>
      </c>
      <c r="B33" s="248"/>
      <c r="C33" s="249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250" t="s">
        <v>20</v>
      </c>
      <c r="B34" s="251"/>
      <c r="C34" s="252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53" t="s">
        <v>39</v>
      </c>
      <c r="B35" s="254"/>
      <c r="C35" s="255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59" t="s">
        <v>21</v>
      </c>
      <c r="B36" s="260"/>
      <c r="C36" s="261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abSelected="1" zoomScaleNormal="100" workbookViewId="0">
      <selection activeCell="H10" sqref="H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79" t="s">
        <v>74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61"/>
    </row>
    <row r="2" spans="1:24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62"/>
    </row>
    <row r="3" spans="1:24" ht="15.75" thickBot="1">
      <c r="A3" s="181" t="s">
        <v>72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4">
      <c r="A4" s="184"/>
      <c r="B4" s="185"/>
      <c r="C4" s="188" t="s">
        <v>46</v>
      </c>
      <c r="D4" s="189"/>
      <c r="E4" s="56" t="s">
        <v>0</v>
      </c>
      <c r="F4" s="190" t="s">
        <v>24</v>
      </c>
      <c r="G4" s="163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4" ht="15.75" thickBot="1">
      <c r="A5" s="186"/>
      <c r="B5" s="187"/>
      <c r="C5" s="193" t="s">
        <v>4</v>
      </c>
      <c r="D5" s="194"/>
      <c r="E5" s="57" t="s">
        <v>5</v>
      </c>
      <c r="F5" s="191"/>
      <c r="G5" s="160"/>
      <c r="H5" s="195" t="s">
        <v>5</v>
      </c>
      <c r="I5" s="196"/>
      <c r="J5" s="197"/>
      <c r="K5" s="193" t="s">
        <v>5</v>
      </c>
      <c r="L5" s="194"/>
      <c r="M5" s="55"/>
      <c r="U5" s="29"/>
      <c r="V5" s="29"/>
    </row>
    <row r="6" spans="1:24" ht="15.75" thickBot="1">
      <c r="A6" s="198"/>
      <c r="B6" s="199"/>
      <c r="C6" s="200">
        <v>169998.1</v>
      </c>
      <c r="D6" s="201"/>
      <c r="E6" s="54">
        <f>17782.4+7181.3+4896.1+6430+8671.8+19479.2+5593.4</f>
        <v>70034.2</v>
      </c>
      <c r="F6" s="159"/>
      <c r="G6" s="165">
        <f>C6+E6+F6</f>
        <v>240032.3</v>
      </c>
      <c r="H6" s="200">
        <f>G15</f>
        <v>90073.2</v>
      </c>
      <c r="I6" s="202"/>
      <c r="J6" s="201"/>
      <c r="K6" s="203">
        <f>G6-H6</f>
        <v>149959.09999999998</v>
      </c>
      <c r="L6" s="204"/>
      <c r="M6" s="55"/>
      <c r="O6" s="29"/>
      <c r="Q6" s="29"/>
    </row>
    <row r="7" spans="1:24" ht="13.5" customHeight="1" thickBot="1">
      <c r="A7" s="178" t="s">
        <v>73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21"/>
      <c r="V7" s="29"/>
    </row>
    <row r="8" spans="1:24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158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  <c r="S8" s="122"/>
    </row>
    <row r="9" spans="1:24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164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  <c r="S9" s="122"/>
    </row>
    <row r="10" spans="1:24" ht="15.75" customHeight="1" thickBot="1">
      <c r="A10" s="58" t="s">
        <v>8</v>
      </c>
      <c r="B10" s="203">
        <v>25769.4</v>
      </c>
      <c r="C10" s="202"/>
      <c r="D10" s="60">
        <f>'August 2021'!P10</f>
        <v>22594.98</v>
      </c>
      <c r="E10" s="203">
        <f>B10-D10</f>
        <v>3174.4200000000019</v>
      </c>
      <c r="F10" s="204"/>
      <c r="G10" s="155">
        <f>37635.6</f>
        <v>37635.599999999999</v>
      </c>
      <c r="H10" s="60">
        <f>G10*0.4%</f>
        <v>150.54239999999999</v>
      </c>
      <c r="I10" s="60"/>
      <c r="J10" s="203">
        <f>B10+G10+H10+I10</f>
        <v>63555.542399999998</v>
      </c>
      <c r="K10" s="204"/>
      <c r="L10" s="203">
        <f>G29+G30+G31</f>
        <v>64128</v>
      </c>
      <c r="M10" s="221"/>
      <c r="N10" s="203">
        <f>J10-L10</f>
        <v>-572.45760000000155</v>
      </c>
      <c r="O10" s="204"/>
      <c r="P10" s="60">
        <v>0</v>
      </c>
      <c r="Q10" s="203">
        <f>N10-P10</f>
        <v>-572.45760000000155</v>
      </c>
      <c r="R10" s="220"/>
      <c r="S10" s="123"/>
      <c r="T10" s="32"/>
    </row>
    <row r="11" spans="1:24" ht="15.75" thickBot="1">
      <c r="A11" s="58" t="s">
        <v>9</v>
      </c>
      <c r="B11" s="203">
        <v>8004.84</v>
      </c>
      <c r="C11" s="202"/>
      <c r="D11" s="60">
        <f>'August 2021'!P11</f>
        <v>0</v>
      </c>
      <c r="E11" s="203">
        <f t="shared" ref="E11:E13" si="0">B11-D11</f>
        <v>8004.84</v>
      </c>
      <c r="F11" s="204"/>
      <c r="G11" s="155"/>
      <c r="H11" s="60"/>
      <c r="I11" s="60"/>
      <c r="J11" s="203">
        <f>B11+G11+H11+I11</f>
        <v>8004.84</v>
      </c>
      <c r="K11" s="204"/>
      <c r="L11" s="203">
        <f>SUM(G21:G22)</f>
        <v>4320</v>
      </c>
      <c r="M11" s="221"/>
      <c r="N11" s="222">
        <f>J11-L11</f>
        <v>3684.84</v>
      </c>
      <c r="O11" s="223"/>
      <c r="P11" s="60">
        <v>0</v>
      </c>
      <c r="Q11" s="203">
        <f>N11-P11</f>
        <v>3684.84</v>
      </c>
      <c r="R11" s="220"/>
      <c r="S11" s="123"/>
      <c r="T11" s="32"/>
    </row>
    <row r="12" spans="1:24" ht="15.75" customHeight="1" thickBot="1">
      <c r="A12" s="58" t="s">
        <v>10</v>
      </c>
      <c r="B12" s="203">
        <v>6897.2</v>
      </c>
      <c r="C12" s="202"/>
      <c r="D12" s="60">
        <f>'August 2021'!P12</f>
        <v>5530.7999999999993</v>
      </c>
      <c r="E12" s="203">
        <f t="shared" si="0"/>
        <v>1366.4000000000005</v>
      </c>
      <c r="F12" s="204"/>
      <c r="G12" s="155">
        <v>16512.599999999999</v>
      </c>
      <c r="H12" s="60">
        <f>G12*0.4%</f>
        <v>66.050399999999996</v>
      </c>
      <c r="I12" s="60"/>
      <c r="J12" s="203">
        <f>B12+G12+H12+I12</f>
        <v>23475.850399999999</v>
      </c>
      <c r="K12" s="204"/>
      <c r="L12" s="203">
        <f>SUM(G33:G34)</f>
        <v>15396</v>
      </c>
      <c r="M12" s="220"/>
      <c r="N12" s="203">
        <f>J12-L12</f>
        <v>8079.8503999999994</v>
      </c>
      <c r="O12" s="204"/>
      <c r="P12" s="60">
        <v>0</v>
      </c>
      <c r="Q12" s="203">
        <f>N12-P12</f>
        <v>8079.8503999999994</v>
      </c>
      <c r="R12" s="220"/>
      <c r="S12" s="123"/>
    </row>
    <row r="13" spans="1:24" ht="15.75" thickBot="1">
      <c r="A13" s="58" t="s">
        <v>30</v>
      </c>
      <c r="B13" s="203">
        <v>64012.24</v>
      </c>
      <c r="C13" s="202"/>
      <c r="D13" s="60">
        <f>'August 2021'!P13</f>
        <v>59897.3</v>
      </c>
      <c r="E13" s="203">
        <f t="shared" si="0"/>
        <v>4114.9399999999951</v>
      </c>
      <c r="F13" s="204"/>
      <c r="G13" s="165">
        <v>35925</v>
      </c>
      <c r="H13" s="60">
        <f>G13*0.4%</f>
        <v>143.70000000000002</v>
      </c>
      <c r="I13" s="60"/>
      <c r="J13" s="203">
        <f>B13+G13+H13+I13</f>
        <v>100080.93999999999</v>
      </c>
      <c r="K13" s="204"/>
      <c r="L13" s="203">
        <f>G24+G25+G26+G27</f>
        <v>42158</v>
      </c>
      <c r="M13" s="220"/>
      <c r="N13" s="203">
        <f>J13-L13</f>
        <v>57922.939999999988</v>
      </c>
      <c r="O13" s="204"/>
      <c r="P13" s="60">
        <v>0</v>
      </c>
      <c r="Q13" s="203">
        <f>N13-P13</f>
        <v>57922.939999999988</v>
      </c>
      <c r="R13" s="220"/>
      <c r="S13" s="123"/>
      <c r="W13" s="29"/>
      <c r="X13" s="29"/>
    </row>
    <row r="14" spans="1:24" ht="15.75" customHeight="1" thickBot="1">
      <c r="A14" s="58"/>
      <c r="B14" s="224"/>
      <c r="C14" s="225"/>
      <c r="D14" s="61"/>
      <c r="E14" s="224"/>
      <c r="F14" s="226"/>
      <c r="G14" s="155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S14" s="123"/>
      <c r="U14" s="64"/>
    </row>
    <row r="15" spans="1:24" ht="15.75" thickBot="1">
      <c r="A15" s="59" t="s">
        <v>1</v>
      </c>
      <c r="B15" s="203">
        <f>SUM(B10:C14)</f>
        <v>104683.68</v>
      </c>
      <c r="C15" s="204"/>
      <c r="D15" s="60">
        <f>SUM(D10:D14)</f>
        <v>88023.08</v>
      </c>
      <c r="E15" s="203">
        <f>SUM(E10:F14)</f>
        <v>16660.599999999999</v>
      </c>
      <c r="F15" s="183"/>
      <c r="G15" s="155">
        <f>SUM(G10:G14)</f>
        <v>90073.2</v>
      </c>
      <c r="H15" s="60">
        <f>SUM(H10:H14)</f>
        <v>360.2928</v>
      </c>
      <c r="I15" s="60">
        <f>SUM(I10:I14)</f>
        <v>0</v>
      </c>
      <c r="J15" s="202">
        <f>SUM(J10:K14)</f>
        <v>195117.1728</v>
      </c>
      <c r="K15" s="204"/>
      <c r="L15" s="203">
        <f>SUM(L10:M14)</f>
        <v>126002</v>
      </c>
      <c r="M15" s="221"/>
      <c r="N15" s="203">
        <f>SUM(N10:O14)</f>
        <v>69115.172799999986</v>
      </c>
      <c r="O15" s="204"/>
      <c r="P15" s="60">
        <f>SUM(P10:P14)</f>
        <v>0</v>
      </c>
      <c r="Q15" s="203">
        <f>SUM(Q10:R13)</f>
        <v>69115.172799999986</v>
      </c>
      <c r="R15" s="204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30" t="s">
        <v>11</v>
      </c>
      <c r="B17" s="231"/>
      <c r="C17" s="231"/>
      <c r="D17" s="238" t="s">
        <v>70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  <c r="T17" s="68"/>
    </row>
    <row r="18" spans="1:23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67" t="s">
        <v>12</v>
      </c>
      <c r="O18" s="268"/>
    </row>
    <row r="19" spans="1:23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  <c r="P19" s="152"/>
      <c r="Q19" s="152"/>
      <c r="R19" s="152"/>
    </row>
    <row r="20" spans="1:23" s="71" customFormat="1" ht="15.75" thickBot="1">
      <c r="A20" s="235"/>
      <c r="B20" s="236"/>
      <c r="C20" s="237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247" t="s">
        <v>13</v>
      </c>
      <c r="B21" s="248"/>
      <c r="C21" s="249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250" t="s">
        <v>14</v>
      </c>
      <c r="B22" s="251"/>
      <c r="C22" s="252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49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253" t="s">
        <v>36</v>
      </c>
      <c r="B23" s="254"/>
      <c r="C23" s="255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47" t="s">
        <v>15</v>
      </c>
      <c r="B24" s="248"/>
      <c r="C24" s="249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6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256" t="s">
        <v>18</v>
      </c>
      <c r="B25" s="257"/>
      <c r="C25" s="258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227" t="s">
        <v>47</v>
      </c>
      <c r="B26" s="228"/>
      <c r="C26" s="229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62" t="s">
        <v>48</v>
      </c>
      <c r="B27" s="263"/>
      <c r="C27" s="264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253" t="s">
        <v>37</v>
      </c>
      <c r="B28" s="254"/>
      <c r="C28" s="255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47" t="s">
        <v>16</v>
      </c>
      <c r="B29" s="248"/>
      <c r="C29" s="249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227" t="s">
        <v>43</v>
      </c>
      <c r="B30" s="228"/>
      <c r="C30" s="229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27" t="s">
        <v>17</v>
      </c>
      <c r="B31" s="228"/>
      <c r="C31" s="229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65"/>
      <c r="R31" s="266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53" t="s">
        <v>38</v>
      </c>
      <c r="B32" s="254"/>
      <c r="C32" s="255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47" t="s">
        <v>19</v>
      </c>
      <c r="B33" s="248"/>
      <c r="C33" s="249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250" t="s">
        <v>20</v>
      </c>
      <c r="B34" s="251"/>
      <c r="C34" s="252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53" t="s">
        <v>39</v>
      </c>
      <c r="B35" s="254"/>
      <c r="C35" s="255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59" t="s">
        <v>21</v>
      </c>
      <c r="B36" s="260"/>
      <c r="C36" s="261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G35" sqref="G35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79" t="s">
        <v>71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3"/>
    </row>
    <row r="2" spans="1:24" ht="15.75" thickBo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74"/>
    </row>
    <row r="3" spans="1:24" ht="15.75" thickBot="1">
      <c r="A3" s="181" t="s">
        <v>72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55"/>
    </row>
    <row r="4" spans="1:24">
      <c r="A4" s="184"/>
      <c r="B4" s="185"/>
      <c r="C4" s="188" t="s">
        <v>46</v>
      </c>
      <c r="D4" s="189"/>
      <c r="E4" s="56" t="s">
        <v>0</v>
      </c>
      <c r="F4" s="190" t="s">
        <v>24</v>
      </c>
      <c r="G4" s="175" t="s">
        <v>1</v>
      </c>
      <c r="H4" s="184" t="s">
        <v>2</v>
      </c>
      <c r="I4" s="192"/>
      <c r="J4" s="185"/>
      <c r="K4" s="188" t="s">
        <v>3</v>
      </c>
      <c r="L4" s="189"/>
      <c r="M4" s="55"/>
    </row>
    <row r="5" spans="1:24" ht="15.75" thickBot="1">
      <c r="A5" s="186"/>
      <c r="B5" s="187"/>
      <c r="C5" s="193" t="s">
        <v>4</v>
      </c>
      <c r="D5" s="194"/>
      <c r="E5" s="57" t="s">
        <v>5</v>
      </c>
      <c r="F5" s="191"/>
      <c r="G5" s="172"/>
      <c r="H5" s="195" t="s">
        <v>5</v>
      </c>
      <c r="I5" s="196"/>
      <c r="J5" s="197"/>
      <c r="K5" s="193" t="s">
        <v>5</v>
      </c>
      <c r="L5" s="194"/>
      <c r="M5" s="55"/>
      <c r="U5" s="29"/>
      <c r="V5" s="29"/>
    </row>
    <row r="6" spans="1:24" ht="15.75" thickBot="1">
      <c r="A6" s="198"/>
      <c r="B6" s="199"/>
      <c r="C6" s="200">
        <v>169998.1</v>
      </c>
      <c r="D6" s="201"/>
      <c r="E6" s="54">
        <f>17782.4+7181.3+4896.1+6430</f>
        <v>36289.800000000003</v>
      </c>
      <c r="F6" s="171"/>
      <c r="G6" s="177">
        <f>C6+E6+F6</f>
        <v>206287.90000000002</v>
      </c>
      <c r="H6" s="200">
        <f>G15</f>
        <v>90073.2</v>
      </c>
      <c r="I6" s="202"/>
      <c r="J6" s="201"/>
      <c r="K6" s="203">
        <f>G6-H6</f>
        <v>116214.70000000003</v>
      </c>
      <c r="L6" s="204"/>
      <c r="M6" s="55"/>
      <c r="O6" s="29"/>
      <c r="Q6" s="29"/>
    </row>
    <row r="7" spans="1:24" ht="13.5" customHeight="1" thickBot="1">
      <c r="A7" s="178" t="s">
        <v>73</v>
      </c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21"/>
      <c r="V7" s="29"/>
    </row>
    <row r="8" spans="1:24" ht="22.5" customHeight="1">
      <c r="A8" s="207" t="s">
        <v>6</v>
      </c>
      <c r="B8" s="209" t="s">
        <v>46</v>
      </c>
      <c r="C8" s="210"/>
      <c r="D8" s="211" t="s">
        <v>41</v>
      </c>
      <c r="E8" s="213" t="s">
        <v>40</v>
      </c>
      <c r="F8" s="214"/>
      <c r="G8" s="211" t="s">
        <v>22</v>
      </c>
      <c r="H8" s="211" t="s">
        <v>23</v>
      </c>
      <c r="I8" s="170" t="s">
        <v>44</v>
      </c>
      <c r="J8" s="210" t="s">
        <v>1</v>
      </c>
      <c r="K8" s="217"/>
      <c r="L8" s="209" t="s">
        <v>7</v>
      </c>
      <c r="M8" s="210"/>
      <c r="N8" s="218" t="s">
        <v>3</v>
      </c>
      <c r="O8" s="219"/>
      <c r="P8" s="211" t="s">
        <v>42</v>
      </c>
      <c r="Q8" s="213" t="s">
        <v>35</v>
      </c>
      <c r="R8" s="214"/>
      <c r="S8" s="122"/>
    </row>
    <row r="9" spans="1:24" ht="19.5" customHeight="1" thickBot="1">
      <c r="A9" s="208"/>
      <c r="B9" s="195" t="s">
        <v>5</v>
      </c>
      <c r="C9" s="196"/>
      <c r="D9" s="212"/>
      <c r="E9" s="215"/>
      <c r="F9" s="216"/>
      <c r="G9" s="212"/>
      <c r="H9" s="212"/>
      <c r="I9" s="176" t="s">
        <v>45</v>
      </c>
      <c r="J9" s="196" t="s">
        <v>5</v>
      </c>
      <c r="K9" s="197"/>
      <c r="L9" s="195" t="s">
        <v>5</v>
      </c>
      <c r="M9" s="196"/>
      <c r="N9" s="205" t="s">
        <v>5</v>
      </c>
      <c r="O9" s="206"/>
      <c r="P9" s="212"/>
      <c r="Q9" s="215"/>
      <c r="R9" s="216"/>
      <c r="S9" s="122"/>
    </row>
    <row r="10" spans="1:24" ht="15.75" customHeight="1" thickBot="1">
      <c r="A10" s="58" t="s">
        <v>8</v>
      </c>
      <c r="B10" s="203">
        <v>25769.4</v>
      </c>
      <c r="C10" s="202"/>
      <c r="D10" s="60">
        <v>19382.3</v>
      </c>
      <c r="E10" s="203">
        <f>B10-D10</f>
        <v>6387.1000000000022</v>
      </c>
      <c r="F10" s="204"/>
      <c r="G10" s="167">
        <f>37635.6</f>
        <v>37635.599999999999</v>
      </c>
      <c r="H10" s="60">
        <f>G10*0.4%</f>
        <v>150.54239999999999</v>
      </c>
      <c r="I10" s="60"/>
      <c r="J10" s="203">
        <f>B10+G10+H10+I10</f>
        <v>63555.542399999998</v>
      </c>
      <c r="K10" s="204"/>
      <c r="L10" s="203">
        <f>G29+G30+G31</f>
        <v>0</v>
      </c>
      <c r="M10" s="221"/>
      <c r="N10" s="203">
        <f>J10-L10</f>
        <v>63555.542399999998</v>
      </c>
      <c r="O10" s="204"/>
      <c r="P10" s="60">
        <v>0</v>
      </c>
      <c r="Q10" s="203">
        <f>N10-P10</f>
        <v>63555.542399999998</v>
      </c>
      <c r="R10" s="220"/>
      <c r="S10" s="123"/>
      <c r="T10" s="32"/>
    </row>
    <row r="11" spans="1:24" ht="15.75" thickBot="1">
      <c r="A11" s="58" t="s">
        <v>9</v>
      </c>
      <c r="B11" s="203">
        <v>8004.84</v>
      </c>
      <c r="C11" s="202"/>
      <c r="D11" s="60">
        <v>6046</v>
      </c>
      <c r="E11" s="203">
        <f t="shared" ref="E11:E13" si="0">B11-D11</f>
        <v>1958.8400000000001</v>
      </c>
      <c r="F11" s="204"/>
      <c r="G11" s="167"/>
      <c r="H11" s="60"/>
      <c r="I11" s="60"/>
      <c r="J11" s="203">
        <f>B11+G11+H11+I11</f>
        <v>8004.84</v>
      </c>
      <c r="K11" s="204"/>
      <c r="L11" s="203">
        <f>SUM(G21:G22)</f>
        <v>0</v>
      </c>
      <c r="M11" s="221"/>
      <c r="N11" s="222">
        <f>J11-L11</f>
        <v>8004.84</v>
      </c>
      <c r="O11" s="223"/>
      <c r="P11" s="60">
        <f>18143.8-(4*3628.76)</f>
        <v>3628.7599999999984</v>
      </c>
      <c r="Q11" s="203">
        <f>N11-P11</f>
        <v>4376.0800000000017</v>
      </c>
      <c r="R11" s="220"/>
      <c r="S11" s="123"/>
      <c r="T11" s="32"/>
    </row>
    <row r="12" spans="1:24" ht="15.75" customHeight="1" thickBot="1">
      <c r="A12" s="58" t="s">
        <v>10</v>
      </c>
      <c r="B12" s="203">
        <v>6897.2</v>
      </c>
      <c r="C12" s="202"/>
      <c r="D12" s="60">
        <v>5530.8</v>
      </c>
      <c r="E12" s="203">
        <f t="shared" si="0"/>
        <v>1366.3999999999996</v>
      </c>
      <c r="F12" s="204"/>
      <c r="G12" s="167">
        <v>16512.599999999999</v>
      </c>
      <c r="H12" s="60">
        <f>G12*0.4%</f>
        <v>66.050399999999996</v>
      </c>
      <c r="I12" s="60"/>
      <c r="J12" s="203">
        <f>B12+G12+H12+I12</f>
        <v>23475.850399999999</v>
      </c>
      <c r="K12" s="204"/>
      <c r="L12" s="203">
        <f>SUM(G33:G34)</f>
        <v>0</v>
      </c>
      <c r="M12" s="220"/>
      <c r="N12" s="203">
        <f>J12-L12</f>
        <v>23475.850399999999</v>
      </c>
      <c r="O12" s="204"/>
      <c r="P12" s="60">
        <f>16512.6-3302.52</f>
        <v>13210.079999999998</v>
      </c>
      <c r="Q12" s="203">
        <f>N12-P12</f>
        <v>10265.770400000001</v>
      </c>
      <c r="R12" s="220"/>
      <c r="S12" s="123"/>
    </row>
    <row r="13" spans="1:24" ht="15.75" thickBot="1">
      <c r="A13" s="58" t="s">
        <v>30</v>
      </c>
      <c r="B13" s="203">
        <v>64012.24</v>
      </c>
      <c r="C13" s="202"/>
      <c r="D13" s="60">
        <v>59897.3</v>
      </c>
      <c r="E13" s="203">
        <f t="shared" si="0"/>
        <v>4114.9399999999951</v>
      </c>
      <c r="F13" s="204"/>
      <c r="G13" s="177">
        <v>35925</v>
      </c>
      <c r="H13" s="60"/>
      <c r="I13" s="60"/>
      <c r="J13" s="203">
        <f>B13+G13+H13+I13</f>
        <v>99937.239999999991</v>
      </c>
      <c r="K13" s="204"/>
      <c r="L13" s="203">
        <f>G24+G25+G26+G27</f>
        <v>0</v>
      </c>
      <c r="M13" s="220"/>
      <c r="N13" s="203">
        <f>J13-L13</f>
        <v>99937.239999999991</v>
      </c>
      <c r="O13" s="204"/>
      <c r="P13" s="60">
        <v>0</v>
      </c>
      <c r="Q13" s="203">
        <f>N13-P13</f>
        <v>99937.239999999991</v>
      </c>
      <c r="R13" s="220"/>
      <c r="S13" s="123"/>
      <c r="W13" s="29"/>
      <c r="X13" s="29"/>
    </row>
    <row r="14" spans="1:24" ht="15.75" customHeight="1" thickBot="1">
      <c r="A14" s="58"/>
      <c r="B14" s="224"/>
      <c r="C14" s="225"/>
      <c r="D14" s="61"/>
      <c r="E14" s="224"/>
      <c r="F14" s="226"/>
      <c r="G14" s="167"/>
      <c r="H14" s="60"/>
      <c r="I14" s="60"/>
      <c r="J14" s="202"/>
      <c r="K14" s="204"/>
      <c r="L14" s="203"/>
      <c r="M14" s="204"/>
      <c r="N14" s="62"/>
      <c r="O14" s="63"/>
      <c r="P14" s="60"/>
      <c r="Q14" s="203"/>
      <c r="R14" s="220"/>
      <c r="S14" s="123"/>
      <c r="U14" s="64"/>
    </row>
    <row r="15" spans="1:24" ht="15.75" thickBot="1">
      <c r="A15" s="59" t="s">
        <v>1</v>
      </c>
      <c r="B15" s="203">
        <f>SUM(B10:C14)</f>
        <v>104683.68</v>
      </c>
      <c r="C15" s="204"/>
      <c r="D15" s="60">
        <f>SUM(D10:D14)</f>
        <v>90856.4</v>
      </c>
      <c r="E15" s="203">
        <f>SUM(E10:F14)</f>
        <v>13827.279999999997</v>
      </c>
      <c r="F15" s="183"/>
      <c r="G15" s="167">
        <f>SUM(G10:G14)</f>
        <v>90073.2</v>
      </c>
      <c r="H15" s="60">
        <f>SUM(H10:H14)</f>
        <v>216.59279999999998</v>
      </c>
      <c r="I15" s="60">
        <f>SUM(I10:I14)</f>
        <v>0</v>
      </c>
      <c r="J15" s="202">
        <f>SUM(J10:K14)</f>
        <v>194973.47279999999</v>
      </c>
      <c r="K15" s="204"/>
      <c r="L15" s="203">
        <f>SUM(L10:M14)</f>
        <v>0</v>
      </c>
      <c r="M15" s="221"/>
      <c r="N15" s="203">
        <f>SUM(N10:O14)</f>
        <v>194973.47279999999</v>
      </c>
      <c r="O15" s="204"/>
      <c r="P15" s="60">
        <f>SUM(P10:P14)</f>
        <v>16838.839999999997</v>
      </c>
      <c r="Q15" s="203">
        <f>SUM(Q10:R13)</f>
        <v>178134.63279999999</v>
      </c>
      <c r="R15" s="204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30" t="s">
        <v>11</v>
      </c>
      <c r="B17" s="231"/>
      <c r="C17" s="231"/>
      <c r="D17" s="238" t="s">
        <v>70</v>
      </c>
      <c r="E17" s="239"/>
      <c r="F17" s="239"/>
      <c r="G17" s="239"/>
      <c r="H17" s="239"/>
      <c r="I17" s="239"/>
      <c r="J17" s="239"/>
      <c r="K17" s="239"/>
      <c r="L17" s="239"/>
      <c r="M17" s="239"/>
      <c r="N17" s="239"/>
      <c r="O17" s="240"/>
      <c r="P17" s="68"/>
      <c r="Q17" s="68"/>
      <c r="R17" s="68"/>
      <c r="S17" s="68"/>
      <c r="T17" s="68"/>
    </row>
    <row r="18" spans="1:23" ht="15.75" customHeight="1" thickBot="1">
      <c r="A18" s="232"/>
      <c r="B18" s="233"/>
      <c r="C18" s="234"/>
      <c r="D18" s="241" t="s">
        <v>46</v>
      </c>
      <c r="E18" s="242"/>
      <c r="F18" s="241" t="s">
        <v>7</v>
      </c>
      <c r="G18" s="242"/>
      <c r="H18" s="245" t="s">
        <v>32</v>
      </c>
      <c r="I18" s="246"/>
      <c r="J18" s="246"/>
      <c r="K18" s="246"/>
      <c r="L18" s="241" t="s">
        <v>31</v>
      </c>
      <c r="M18" s="242"/>
      <c r="N18" s="267" t="s">
        <v>12</v>
      </c>
      <c r="O18" s="268"/>
    </row>
    <row r="19" spans="1:23" ht="15.75" customHeight="1" thickBot="1">
      <c r="A19" s="232"/>
      <c r="B19" s="233"/>
      <c r="C19" s="234"/>
      <c r="D19" s="243"/>
      <c r="E19" s="244"/>
      <c r="F19" s="241"/>
      <c r="G19" s="242"/>
      <c r="H19" s="238" t="s">
        <v>33</v>
      </c>
      <c r="I19" s="239"/>
      <c r="J19" s="238" t="s">
        <v>34</v>
      </c>
      <c r="K19" s="239"/>
      <c r="L19" s="243"/>
      <c r="M19" s="244"/>
      <c r="N19" s="243"/>
      <c r="O19" s="244"/>
      <c r="P19" s="152"/>
      <c r="Q19" s="152"/>
      <c r="R19" s="152"/>
    </row>
    <row r="20" spans="1:23" s="71" customFormat="1" ht="15.75" thickBot="1">
      <c r="A20" s="235"/>
      <c r="B20" s="236"/>
      <c r="C20" s="237"/>
      <c r="D20" s="168" t="s">
        <v>26</v>
      </c>
      <c r="E20" s="37" t="s">
        <v>25</v>
      </c>
      <c r="F20" s="69" t="s">
        <v>26</v>
      </c>
      <c r="G20" s="37" t="s">
        <v>25</v>
      </c>
      <c r="H20" s="169" t="s">
        <v>26</v>
      </c>
      <c r="I20" s="37" t="s">
        <v>25</v>
      </c>
      <c r="J20" s="16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247" t="s">
        <v>13</v>
      </c>
      <c r="B21" s="248"/>
      <c r="C21" s="249"/>
      <c r="D21" s="74">
        <f>E21/24</f>
        <v>7</v>
      </c>
      <c r="E21" s="10">
        <v>168</v>
      </c>
      <c r="F21" s="74">
        <f>G21/24</f>
        <v>0</v>
      </c>
      <c r="G21" s="10">
        <f>'[2]October 2021'!$B$30</f>
        <v>0</v>
      </c>
      <c r="H21" s="23">
        <f>I21/24</f>
        <v>0</v>
      </c>
      <c r="I21" s="26">
        <v>0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250" t="s">
        <v>14</v>
      </c>
      <c r="B22" s="251"/>
      <c r="C22" s="252"/>
      <c r="D22" s="76">
        <f>E22/24</f>
        <v>10</v>
      </c>
      <c r="E22" s="12">
        <v>240</v>
      </c>
      <c r="F22" s="76">
        <f>G22/24</f>
        <v>0</v>
      </c>
      <c r="G22" s="12">
        <f>'[2]October 2021'!$C$30</f>
        <v>0</v>
      </c>
      <c r="H22" s="24">
        <f>I22/24</f>
        <v>0</v>
      </c>
      <c r="I22" s="33">
        <v>0</v>
      </c>
      <c r="J22" s="13">
        <f>K22/24</f>
        <v>0</v>
      </c>
      <c r="K22" s="12">
        <v>0</v>
      </c>
      <c r="L22" s="13">
        <f>M22/24</f>
        <v>0</v>
      </c>
      <c r="M22" s="12">
        <v>0</v>
      </c>
      <c r="N22" s="24">
        <f>O22/24</f>
        <v>10</v>
      </c>
      <c r="O22" s="36">
        <f>E22+G22-I22-K22-M22</f>
        <v>240</v>
      </c>
      <c r="P22" s="149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253" t="s">
        <v>36</v>
      </c>
      <c r="B23" s="254"/>
      <c r="C23" s="255"/>
      <c r="D23" s="77">
        <f>SUM(D21:D22)</f>
        <v>17</v>
      </c>
      <c r="E23" s="78">
        <f t="shared" ref="E23:H23" si="1">SUM(E21:E22)</f>
        <v>408</v>
      </c>
      <c r="F23" s="77">
        <f t="shared" si="1"/>
        <v>0</v>
      </c>
      <c r="G23" s="78">
        <v>0</v>
      </c>
      <c r="H23" s="79">
        <f t="shared" si="1"/>
        <v>0</v>
      </c>
      <c r="I23" s="80">
        <f>SUM(I21:I22)</f>
        <v>0</v>
      </c>
      <c r="J23" s="77">
        <f t="shared" ref="J23:O23" si="2">SUM(J21:J22)</f>
        <v>0</v>
      </c>
      <c r="K23" s="78">
        <f t="shared" si="2"/>
        <v>0</v>
      </c>
      <c r="L23" s="77">
        <f t="shared" si="2"/>
        <v>0</v>
      </c>
      <c r="M23" s="78">
        <f t="shared" si="2"/>
        <v>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47" t="s">
        <v>15</v>
      </c>
      <c r="B24" s="248"/>
      <c r="C24" s="249"/>
      <c r="D24" s="74">
        <f>E24/30</f>
        <v>43</v>
      </c>
      <c r="E24" s="10">
        <v>1290</v>
      </c>
      <c r="F24" s="74">
        <f>G24/30</f>
        <v>0</v>
      </c>
      <c r="G24" s="10">
        <f>'[2]October 2021'!$D$30</f>
        <v>0</v>
      </c>
      <c r="H24" s="23">
        <f>I24/30</f>
        <v>0</v>
      </c>
      <c r="I24" s="166">
        <v>0</v>
      </c>
      <c r="J24" s="23">
        <f>K24/30</f>
        <v>0</v>
      </c>
      <c r="K24" s="10">
        <v>0</v>
      </c>
      <c r="L24" s="23">
        <f>M24/30</f>
        <v>0</v>
      </c>
      <c r="M24" s="10">
        <v>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256" t="s">
        <v>18</v>
      </c>
      <c r="B25" s="257"/>
      <c r="C25" s="258"/>
      <c r="D25" s="81">
        <f>E25/24</f>
        <v>0</v>
      </c>
      <c r="E25" s="36">
        <v>0</v>
      </c>
      <c r="F25" s="81">
        <f>G25/24</f>
        <v>0</v>
      </c>
      <c r="G25" s="27">
        <f>'[2]September 2021'!$E$30</f>
        <v>0</v>
      </c>
      <c r="H25" s="39">
        <f>I25/24</f>
        <v>0</v>
      </c>
      <c r="I25" s="27">
        <v>0</v>
      </c>
      <c r="J25" s="40">
        <f t="shared" ref="J25" si="3">K25/24</f>
        <v>0</v>
      </c>
      <c r="K25" s="36">
        <v>0</v>
      </c>
      <c r="L25" s="40">
        <f t="shared" ref="L25" si="4">M25/24</f>
        <v>0</v>
      </c>
      <c r="M25" s="36">
        <v>0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227" t="s">
        <v>47</v>
      </c>
      <c r="B26" s="228"/>
      <c r="C26" s="229"/>
      <c r="D26" s="82">
        <f>E26/22</f>
        <v>10</v>
      </c>
      <c r="E26" s="3">
        <v>220</v>
      </c>
      <c r="F26" s="82">
        <f>G26/22</f>
        <v>0</v>
      </c>
      <c r="G26" s="3">
        <f>'[2]October 2021'!$F$30</f>
        <v>0</v>
      </c>
      <c r="H26" s="42">
        <f>I26/22</f>
        <v>0</v>
      </c>
      <c r="I26" s="28">
        <v>0</v>
      </c>
      <c r="J26" s="1">
        <f>K26/22</f>
        <v>0</v>
      </c>
      <c r="K26" s="3">
        <v>0</v>
      </c>
      <c r="L26" s="1">
        <f>M26/22</f>
        <v>0</v>
      </c>
      <c r="M26" s="3">
        <v>0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62" t="s">
        <v>48</v>
      </c>
      <c r="B27" s="263"/>
      <c r="C27" s="264"/>
      <c r="D27" s="83">
        <f>E27/22</f>
        <v>12</v>
      </c>
      <c r="E27" s="41">
        <v>264</v>
      </c>
      <c r="F27" s="83">
        <f>G27/22</f>
        <v>0</v>
      </c>
      <c r="G27" s="41">
        <f>'[2]October 2021'!$G$30</f>
        <v>0</v>
      </c>
      <c r="H27" s="42">
        <f>I27/22</f>
        <v>0</v>
      </c>
      <c r="I27" s="43">
        <v>0</v>
      </c>
      <c r="J27" s="44">
        <f>K27/22</f>
        <v>0</v>
      </c>
      <c r="K27" s="41">
        <v>0</v>
      </c>
      <c r="L27" s="44">
        <f>M27/22</f>
        <v>0</v>
      </c>
      <c r="M27" s="41">
        <v>0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253" t="s">
        <v>37</v>
      </c>
      <c r="B28" s="254"/>
      <c r="C28" s="255"/>
      <c r="D28" s="79">
        <f t="shared" ref="D28:O28" si="6">SUM(D24:D27)</f>
        <v>65</v>
      </c>
      <c r="E28" s="21">
        <f t="shared" si="6"/>
        <v>1774</v>
      </c>
      <c r="F28" s="79">
        <f t="shared" si="6"/>
        <v>0</v>
      </c>
      <c r="G28" s="21">
        <f t="shared" si="6"/>
        <v>0</v>
      </c>
      <c r="H28" s="79">
        <f t="shared" si="6"/>
        <v>0</v>
      </c>
      <c r="I28" s="21">
        <f t="shared" si="6"/>
        <v>0</v>
      </c>
      <c r="J28" s="79">
        <f t="shared" si="6"/>
        <v>0</v>
      </c>
      <c r="K28" s="21">
        <f t="shared" si="6"/>
        <v>0</v>
      </c>
      <c r="L28" s="79">
        <f t="shared" si="6"/>
        <v>0</v>
      </c>
      <c r="M28" s="21">
        <f t="shared" si="6"/>
        <v>0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47" t="s">
        <v>16</v>
      </c>
      <c r="B29" s="248"/>
      <c r="C29" s="249"/>
      <c r="D29" s="74">
        <f>E29/24</f>
        <v>11</v>
      </c>
      <c r="E29" s="10">
        <v>264</v>
      </c>
      <c r="F29" s="74">
        <f>G29/24</f>
        <v>0</v>
      </c>
      <c r="G29" s="10">
        <f>'[2]October 2021'!$H$30</f>
        <v>0</v>
      </c>
      <c r="H29" s="23">
        <f>I29/24</f>
        <v>0</v>
      </c>
      <c r="I29" s="26">
        <v>0</v>
      </c>
      <c r="J29" s="11">
        <f t="shared" ref="J29:J31" si="7">K29/24</f>
        <v>0</v>
      </c>
      <c r="K29" s="10">
        <v>0</v>
      </c>
      <c r="L29" s="11">
        <f t="shared" ref="L29:L31" si="8">M29/24</f>
        <v>0</v>
      </c>
      <c r="M29" s="10">
        <v>0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227" t="s">
        <v>43</v>
      </c>
      <c r="B30" s="228"/>
      <c r="C30" s="229"/>
      <c r="D30" s="82">
        <f>E30/24</f>
        <v>25</v>
      </c>
      <c r="E30" s="3">
        <v>600</v>
      </c>
      <c r="F30" s="82">
        <f>G30/24</f>
        <v>0</v>
      </c>
      <c r="G30" s="3">
        <f>'[2]October 2021'!$I$30</f>
        <v>0</v>
      </c>
      <c r="H30" s="25">
        <f>I30/24</f>
        <v>0</v>
      </c>
      <c r="I30" s="28">
        <v>0</v>
      </c>
      <c r="J30" s="1">
        <f t="shared" si="7"/>
        <v>0</v>
      </c>
      <c r="K30" s="3">
        <v>0</v>
      </c>
      <c r="L30" s="1">
        <f>M30/24</f>
        <v>0</v>
      </c>
      <c r="M30" s="3">
        <v>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27" t="s">
        <v>17</v>
      </c>
      <c r="B31" s="228"/>
      <c r="C31" s="229"/>
      <c r="D31" s="82">
        <f>E31/24</f>
        <v>49</v>
      </c>
      <c r="E31" s="3">
        <v>1176</v>
      </c>
      <c r="F31" s="82">
        <f>G31/24</f>
        <v>0</v>
      </c>
      <c r="G31" s="3">
        <f>'[2]October 2021'!$J$30</f>
        <v>0</v>
      </c>
      <c r="H31" s="25">
        <f>I31/24</f>
        <v>0</v>
      </c>
      <c r="I31" s="28">
        <v>0</v>
      </c>
      <c r="J31" s="1">
        <f t="shared" si="7"/>
        <v>0</v>
      </c>
      <c r="K31" s="3">
        <v>0</v>
      </c>
      <c r="L31" s="1">
        <f t="shared" si="8"/>
        <v>0</v>
      </c>
      <c r="M31" s="3">
        <v>0</v>
      </c>
      <c r="N31" s="25">
        <f>O31/24</f>
        <v>49</v>
      </c>
      <c r="O31" s="36">
        <f t="shared" si="9"/>
        <v>1176</v>
      </c>
      <c r="P31" s="150"/>
      <c r="Q31" s="265"/>
      <c r="R31" s="266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53" t="s">
        <v>38</v>
      </c>
      <c r="B32" s="254"/>
      <c r="C32" s="255"/>
      <c r="D32" s="84">
        <f t="shared" ref="D32:O32" si="10">SUM(D29:D31)</f>
        <v>85</v>
      </c>
      <c r="E32" s="78">
        <f t="shared" si="10"/>
        <v>2040</v>
      </c>
      <c r="F32" s="84">
        <f t="shared" si="10"/>
        <v>0</v>
      </c>
      <c r="G32" s="78">
        <f t="shared" si="10"/>
        <v>0</v>
      </c>
      <c r="H32" s="79">
        <f t="shared" si="10"/>
        <v>0</v>
      </c>
      <c r="I32" s="80">
        <f t="shared" si="10"/>
        <v>0</v>
      </c>
      <c r="J32" s="84">
        <f t="shared" si="10"/>
        <v>0</v>
      </c>
      <c r="K32" s="78">
        <f t="shared" si="10"/>
        <v>0</v>
      </c>
      <c r="L32" s="84">
        <f t="shared" si="10"/>
        <v>0</v>
      </c>
      <c r="M32" s="78">
        <f t="shared" si="10"/>
        <v>0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47" t="s">
        <v>19</v>
      </c>
      <c r="B33" s="248"/>
      <c r="C33" s="249"/>
      <c r="D33" s="85">
        <f>E33/12</f>
        <v>57</v>
      </c>
      <c r="E33" s="14">
        <v>684</v>
      </c>
      <c r="F33" s="85">
        <f>G33/12</f>
        <v>0</v>
      </c>
      <c r="G33" s="14">
        <v>0</v>
      </c>
      <c r="H33" s="23">
        <f>I33/12</f>
        <v>0</v>
      </c>
      <c r="I33" s="26">
        <v>0</v>
      </c>
      <c r="J33" s="15">
        <f t="shared" ref="J33:J34" si="11">K33/12</f>
        <v>0</v>
      </c>
      <c r="K33" s="10">
        <v>0</v>
      </c>
      <c r="L33" s="15">
        <f t="shared" ref="L33:L34" si="12">M33/12</f>
        <v>0</v>
      </c>
      <c r="M33" s="10">
        <v>0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250" t="s">
        <v>20</v>
      </c>
      <c r="B34" s="251"/>
      <c r="C34" s="252"/>
      <c r="D34" s="76">
        <f>E34/12</f>
        <v>0</v>
      </c>
      <c r="E34" s="12">
        <v>0</v>
      </c>
      <c r="F34" s="76">
        <f>G34/12</f>
        <v>0</v>
      </c>
      <c r="G34" s="12">
        <f>'[2]October 2021'!$L$30</f>
        <v>0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0</v>
      </c>
      <c r="M34" s="12">
        <v>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53" t="s">
        <v>39</v>
      </c>
      <c r="B35" s="254"/>
      <c r="C35" s="255"/>
      <c r="D35" s="84">
        <f>SUM(D33:D34)</f>
        <v>57</v>
      </c>
      <c r="E35" s="78">
        <f t="shared" ref="E35:H35" si="13">SUM(E33:E34)</f>
        <v>684</v>
      </c>
      <c r="F35" s="84">
        <f t="shared" si="13"/>
        <v>0</v>
      </c>
      <c r="G35" s="78">
        <f t="shared" si="13"/>
        <v>0</v>
      </c>
      <c r="H35" s="79">
        <f t="shared" si="13"/>
        <v>0</v>
      </c>
      <c r="I35" s="80">
        <f>SUM(I33:I34)</f>
        <v>0</v>
      </c>
      <c r="J35" s="84">
        <f t="shared" ref="J35:O35" si="14">SUM(J33:J34)</f>
        <v>0</v>
      </c>
      <c r="K35" s="78">
        <f t="shared" si="14"/>
        <v>0</v>
      </c>
      <c r="L35" s="84">
        <f t="shared" si="14"/>
        <v>0</v>
      </c>
      <c r="M35" s="78">
        <f t="shared" si="14"/>
        <v>0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59" t="s">
        <v>21</v>
      </c>
      <c r="B36" s="260"/>
      <c r="C36" s="261"/>
      <c r="D36" s="87">
        <f t="shared" ref="D36:O36" si="15">D21+D22+D24+D25+D26+D27+D29+D30+D31+D33+D34</f>
        <v>224</v>
      </c>
      <c r="E36" s="87">
        <f t="shared" si="15"/>
        <v>4906</v>
      </c>
      <c r="F36" s="87">
        <f t="shared" si="15"/>
        <v>0</v>
      </c>
      <c r="G36" s="87">
        <f t="shared" si="15"/>
        <v>0</v>
      </c>
      <c r="H36" s="87">
        <f t="shared" si="15"/>
        <v>0</v>
      </c>
      <c r="I36" s="87">
        <f>I21+I22+I24+I25+I26+I27+I29+I30+I31+I33+I34</f>
        <v>0</v>
      </c>
      <c r="J36" s="87">
        <f t="shared" si="15"/>
        <v>0</v>
      </c>
      <c r="K36" s="87">
        <f t="shared" si="15"/>
        <v>0</v>
      </c>
      <c r="L36" s="87">
        <f t="shared" si="15"/>
        <v>0</v>
      </c>
      <c r="M36" s="87">
        <f t="shared" si="15"/>
        <v>0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2021-09-18T09:24:48Z</cp:lastPrinted>
  <dcterms:created xsi:type="dcterms:W3CDTF">2013-12-03T07:20:57Z</dcterms:created>
  <dcterms:modified xsi:type="dcterms:W3CDTF">2021-10-01T07:23:39Z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