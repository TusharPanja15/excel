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1"/>
  </bookViews>
  <sheets>
    <sheet name="April 2021-22" sheetId="82" r:id="rId1"/>
    <sheet name="May 2021" sheetId="83" r:id="rId2"/>
  </sheets>
  <externalReferences>
    <externalReference r:id="rId3"/>
    <externalReference r:id="rId4"/>
  </externalReferences>
  <calcPr calcId="125725"/>
</workbook>
</file>

<file path=xl/calcChain.xml><?xml version="1.0" encoding="utf-8"?>
<calcChain xmlns="http://schemas.openxmlformats.org/spreadsheetml/2006/main">
  <c r="T24" i="83"/>
  <c r="M33"/>
  <c r="M29"/>
  <c r="M30"/>
  <c r="M24"/>
  <c r="M22"/>
  <c r="M21"/>
  <c r="I29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T33" l="1"/>
  <c r="T22"/>
  <c r="T31"/>
  <c r="P13"/>
  <c r="P12"/>
  <c r="P11"/>
  <c r="P10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D32" s="1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L35" i="83" l="1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P13" l="1"/>
  <c r="P12"/>
  <c r="P11"/>
  <c r="P10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H35" s="1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D35" l="1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G34" i="83" l="1"/>
  <c r="O34" l="1"/>
  <c r="F34"/>
  <c r="N34" l="1"/>
  <c r="U34"/>
  <c r="G33" l="1"/>
  <c r="G31"/>
  <c r="G30"/>
  <c r="G29"/>
  <c r="G27"/>
  <c r="G26"/>
  <c r="G25"/>
  <c r="G24"/>
  <c r="G22"/>
  <c r="G21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N28" s="1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32" l="1"/>
  <c r="Q11"/>
  <c r="Q15" s="1"/>
  <c r="N15"/>
  <c r="N36"/>
  <c r="N23"/>
</calcChain>
</file>

<file path=xl/sharedStrings.xml><?xml version="1.0" encoding="utf-8"?>
<sst xmlns="http://schemas.openxmlformats.org/spreadsheetml/2006/main" count="151" uniqueCount="58">
  <si>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</si>
  <si>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</si>
  <si>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</si>
  <si>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</si>
  <si>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</si>
  <si>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</si>
  <si>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</si>
  <si>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</si>
  <si>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</si>
  <si>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</si>
  <si>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</si>
  <si>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</si>
  <si>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</si>
  <si>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</si>
  <si>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</si>
  <si>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</si>
  <si>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</si>
  <si>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</si>
  <si>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</si>
  <si>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</si>
  <si>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</si>
  <si>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</si>
  <si>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</si>
  <si>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</si>
  <si>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</si>
  <si>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</si>
  <si>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</si>
  <si>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</si>
  <si>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</si>
  <si>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</si>
  <si>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</si>
  <si>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</si>
  <si>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</si>
  <si>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</si>
  <si>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</si>
  <si>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</si>
  <si>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</si>
  <si>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</si>
  <si>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</si>
  <si>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</si>
  <si>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</si>
  <si>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</si>
  <si>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</si>
  <si>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</si>
  <si>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</si>
  <si>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</si>
  <si>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</si>
  <si>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</si>
  <si>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</si>
  <si>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</si>
  <si>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</si>
  <si>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</si>
  <si>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</si>
  <si>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</si>
  <si>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18.05.2021</t>
  </si>
  <si>
    <t>ORIGINAL/BLACK TEA  STATEMENT  AS ON  (01.05.2021 to 18.05.2021)</t>
  </si>
  <si>
    <t>BLENDED TEA  STATEMENT AS ON (01.05.2021 TO 18.05.2021)</t>
  </si>
  <si>
    <t>PACKED TEA  STATEMENT AS ON (01.05.2021 TO 18.05.2021)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</si>
</sst>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26418</v>
          </cell>
        </row>
        <row r="25">
          <cell r="K25">
            <v>9127.68</v>
          </cell>
        </row>
        <row r="35">
          <cell r="K35">
            <v>9600.42</v>
          </cell>
        </row>
        <row r="45">
          <cell r="K45">
            <v>7130.4600000000009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29">
          <cell r="B29">
            <v>672</v>
          </cell>
          <cell r="C29">
            <v>2280</v>
          </cell>
          <cell r="D29">
            <v>13500</v>
          </cell>
          <cell r="E29">
            <v>0</v>
          </cell>
          <cell r="F29">
            <v>572</v>
          </cell>
          <cell r="G29">
            <v>330</v>
          </cell>
          <cell r="H29">
            <v>4560</v>
          </cell>
          <cell r="I29">
            <v>2496</v>
          </cell>
          <cell r="J29">
            <v>21936</v>
          </cell>
          <cell r="K29">
            <v>2112</v>
          </cell>
          <cell r="L29">
            <v>3132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13" zoomScaleNormal="100" workbookViewId="0">
      <selection activeCell="O27" sqref="O27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78" t="s">
        <v>49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</row>
    <row r="2" spans="1:23" ht="15.75" thickBo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</row>
    <row r="3" spans="1:23" ht="15.75" thickBot="1">
      <c r="A3" s="180" t="s">
        <v>50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50"/>
      <c r="M3" s="55"/>
    </row>
    <row r="4" spans="1:23">
      <c r="A4" s="182"/>
      <c r="B4" s="183"/>
      <c r="C4" s="186" t="s">
        <v>46</v>
      </c>
      <c r="D4" s="187"/>
      <c r="E4" s="56" t="s">
        <v>0</v>
      </c>
      <c r="F4" s="188" t="s">
        <v>24</v>
      </c>
      <c r="G4" s="93" t="s">
        <v>1</v>
      </c>
      <c r="H4" s="182" t="s">
        <v>2</v>
      </c>
      <c r="I4" s="190"/>
      <c r="J4" s="183"/>
      <c r="K4" s="186" t="s">
        <v>3</v>
      </c>
      <c r="L4" s="187"/>
      <c r="M4" s="55"/>
    </row>
    <row r="5" spans="1:23" ht="15.75" thickBot="1">
      <c r="A5" s="184"/>
      <c r="B5" s="185"/>
      <c r="C5" s="191" t="s">
        <v>4</v>
      </c>
      <c r="D5" s="192"/>
      <c r="E5" s="57" t="s">
        <v>5</v>
      </c>
      <c r="F5" s="189"/>
      <c r="G5" s="95"/>
      <c r="H5" s="165" t="s">
        <v>5</v>
      </c>
      <c r="I5" s="166"/>
      <c r="J5" s="167"/>
      <c r="K5" s="191" t="s">
        <v>5</v>
      </c>
      <c r="L5" s="192"/>
      <c r="M5" s="55"/>
      <c r="T5" s="29"/>
      <c r="U5" s="29"/>
    </row>
    <row r="6" spans="1:23" ht="15.75" thickBot="1">
      <c r="A6" s="193"/>
      <c r="B6" s="194"/>
      <c r="C6" s="195">
        <v>666070.9</v>
      </c>
      <c r="D6" s="196"/>
      <c r="E6" s="54"/>
      <c r="F6" s="97"/>
      <c r="G6" s="91">
        <f>C6+E6+F6</f>
        <v>666070.9</v>
      </c>
      <c r="H6" s="195">
        <f>G15</f>
        <v>160041.90000000002</v>
      </c>
      <c r="I6" s="151"/>
      <c r="J6" s="196"/>
      <c r="K6" s="131">
        <f>G6-H6</f>
        <v>506029</v>
      </c>
      <c r="L6" s="132"/>
      <c r="M6" s="55"/>
      <c r="O6" s="29"/>
      <c r="Q6" s="29"/>
    </row>
    <row r="7" spans="1:23" ht="13.5" customHeight="1" thickBot="1">
      <c r="A7" s="177" t="s">
        <v>51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U7" s="29"/>
    </row>
    <row r="8" spans="1:23" ht="22.5" customHeight="1">
      <c r="A8" s="170" t="s">
        <v>6</v>
      </c>
      <c r="B8" s="172" t="s">
        <v>46</v>
      </c>
      <c r="C8" s="173"/>
      <c r="D8" s="157" t="s">
        <v>41</v>
      </c>
      <c r="E8" s="159" t="s">
        <v>40</v>
      </c>
      <c r="F8" s="160"/>
      <c r="G8" s="157" t="s">
        <v>22</v>
      </c>
      <c r="H8" s="157" t="s">
        <v>23</v>
      </c>
      <c r="I8" s="96" t="s">
        <v>44</v>
      </c>
      <c r="J8" s="173" t="s">
        <v>1</v>
      </c>
      <c r="K8" s="174"/>
      <c r="L8" s="172" t="s">
        <v>7</v>
      </c>
      <c r="M8" s="173"/>
      <c r="N8" s="175" t="s">
        <v>3</v>
      </c>
      <c r="O8" s="176"/>
      <c r="P8" s="157" t="s">
        <v>42</v>
      </c>
      <c r="Q8" s="159" t="s">
        <v>35</v>
      </c>
      <c r="R8" s="160"/>
    </row>
    <row r="9" spans="1:23" ht="19.5" customHeight="1" thickBot="1">
      <c r="A9" s="171"/>
      <c r="B9" s="165" t="s">
        <v>5</v>
      </c>
      <c r="C9" s="166"/>
      <c r="D9" s="158"/>
      <c r="E9" s="161"/>
      <c r="F9" s="162"/>
      <c r="G9" s="158"/>
      <c r="H9" s="158"/>
      <c r="I9" s="94" t="s">
        <v>45</v>
      </c>
      <c r="J9" s="166" t="s">
        <v>5</v>
      </c>
      <c r="K9" s="167"/>
      <c r="L9" s="165" t="s">
        <v>5</v>
      </c>
      <c r="M9" s="166"/>
      <c r="N9" s="168" t="s">
        <v>5</v>
      </c>
      <c r="O9" s="169"/>
      <c r="P9" s="158"/>
      <c r="Q9" s="161"/>
      <c r="R9" s="162"/>
    </row>
    <row r="10" spans="1:23" ht="15.75" customHeight="1" thickBot="1">
      <c r="A10" s="58" t="s">
        <v>8</v>
      </c>
      <c r="B10" s="131">
        <v>2060.5</v>
      </c>
      <c r="C10" s="151"/>
      <c r="D10" s="60">
        <v>0</v>
      </c>
      <c r="E10" s="131">
        <f>B10-D10</f>
        <v>2060.5</v>
      </c>
      <c r="F10" s="132"/>
      <c r="G10" s="92">
        <f>36127.6+36854+36195.2</f>
        <v>109176.8</v>
      </c>
      <c r="H10" s="60">
        <f>145+147.41</f>
        <v>292.40999999999997</v>
      </c>
      <c r="I10" s="60"/>
      <c r="J10" s="131">
        <f>B10+G10+H10+I10</f>
        <v>111529.71</v>
      </c>
      <c r="K10" s="132"/>
      <c r="L10" s="131">
        <f>G29+G30+G31</f>
        <v>74136</v>
      </c>
      <c r="M10" s="152"/>
      <c r="N10" s="131">
        <f>J10-L10</f>
        <v>37393.710000000006</v>
      </c>
      <c r="O10" s="132"/>
      <c r="P10" s="60">
        <f>'[1]April 2021-22'!$K$41</f>
        <v>28956.159999999996</v>
      </c>
      <c r="Q10" s="131">
        <f>N10-P10</f>
        <v>8437.5500000000102</v>
      </c>
      <c r="R10" s="156"/>
      <c r="S10" s="32"/>
    </row>
    <row r="11" spans="1:23" ht="15.75" thickBot="1">
      <c r="A11" s="58" t="s">
        <v>9</v>
      </c>
      <c r="B11" s="131">
        <v>6061.85</v>
      </c>
      <c r="C11" s="151"/>
      <c r="D11" s="60">
        <v>0</v>
      </c>
      <c r="E11" s="131">
        <f t="shared" ref="E11:E13" si="0">B11-D11</f>
        <v>6061.85</v>
      </c>
      <c r="F11" s="132"/>
      <c r="G11" s="92">
        <v>15212.8</v>
      </c>
      <c r="H11" s="60"/>
      <c r="I11" s="60"/>
      <c r="J11" s="131">
        <f>B11+G11+H11+I11</f>
        <v>21274.65</v>
      </c>
      <c r="K11" s="132"/>
      <c r="L11" s="131">
        <f>SUM(G21:G22)</f>
        <v>8664</v>
      </c>
      <c r="M11" s="152"/>
      <c r="N11" s="163">
        <f>J11-L11</f>
        <v>12610.650000000001</v>
      </c>
      <c r="O11" s="164"/>
      <c r="P11" s="61">
        <f>'[1]April 2021-22'!$K$65</f>
        <v>12170.24</v>
      </c>
      <c r="Q11" s="131">
        <f t="shared" ref="Q11:Q13" si="1">N11-P11</f>
        <v>440.41000000000167</v>
      </c>
      <c r="R11" s="156"/>
      <c r="S11" s="32"/>
    </row>
    <row r="12" spans="1:23" ht="15.75" customHeight="1" thickBot="1">
      <c r="A12" s="58" t="s">
        <v>10</v>
      </c>
      <c r="B12" s="131">
        <v>11800.7</v>
      </c>
      <c r="C12" s="151"/>
      <c r="D12" s="60">
        <v>0</v>
      </c>
      <c r="E12" s="131">
        <f t="shared" si="0"/>
        <v>11800.7</v>
      </c>
      <c r="F12" s="132"/>
      <c r="G12" s="92"/>
      <c r="H12" s="60"/>
      <c r="I12" s="60"/>
      <c r="J12" s="131">
        <f>B12+G12+H12+I12</f>
        <v>11800.7</v>
      </c>
      <c r="K12" s="132"/>
      <c r="L12" s="131">
        <f>SUM(G33:G34)</f>
        <v>7560</v>
      </c>
      <c r="M12" s="156"/>
      <c r="N12" s="131">
        <f>J12-L12</f>
        <v>4240.7000000000007</v>
      </c>
      <c r="O12" s="132"/>
      <c r="P12" s="61">
        <f>'[1]April 2021-22'!$K$57</f>
        <v>0</v>
      </c>
      <c r="Q12" s="131">
        <f t="shared" si="1"/>
        <v>4240.7000000000007</v>
      </c>
      <c r="R12" s="156"/>
    </row>
    <row r="13" spans="1:23" ht="15.75" thickBot="1">
      <c r="A13" s="58" t="s">
        <v>30</v>
      </c>
      <c r="B13" s="131">
        <v>30749.88</v>
      </c>
      <c r="C13" s="151"/>
      <c r="D13" s="60">
        <v>0</v>
      </c>
      <c r="E13" s="131">
        <f t="shared" si="0"/>
        <v>30749.88</v>
      </c>
      <c r="F13" s="132"/>
      <c r="G13" s="92">
        <f>35652.3</f>
        <v>35652.300000000003</v>
      </c>
      <c r="H13" s="60"/>
      <c r="I13" s="60"/>
      <c r="J13" s="131">
        <f>B13+G13+H13+I13</f>
        <v>66402.180000000008</v>
      </c>
      <c r="K13" s="132"/>
      <c r="L13" s="131">
        <f>G24+G25+G26+G27</f>
        <v>38302</v>
      </c>
      <c r="M13" s="156"/>
      <c r="N13" s="131">
        <f>J13-L13</f>
        <v>28100.180000000008</v>
      </c>
      <c r="O13" s="132"/>
      <c r="P13" s="61">
        <f>'[1]April 2021-22'!$K$49</f>
        <v>21391.380000000005</v>
      </c>
      <c r="Q13" s="131">
        <f t="shared" si="1"/>
        <v>6708.8000000000029</v>
      </c>
      <c r="R13" s="156"/>
      <c r="U13" s="29"/>
      <c r="W13" s="29"/>
    </row>
    <row r="14" spans="1:23" ht="15.75" customHeight="1" thickBot="1">
      <c r="A14" s="58"/>
      <c r="B14" s="153"/>
      <c r="C14" s="154"/>
      <c r="D14" s="61"/>
      <c r="E14" s="153"/>
      <c r="F14" s="155"/>
      <c r="G14" s="92"/>
      <c r="H14" s="60"/>
      <c r="I14" s="60"/>
      <c r="J14" s="151"/>
      <c r="K14" s="132"/>
      <c r="L14" s="131"/>
      <c r="M14" s="132"/>
      <c r="N14" s="62"/>
      <c r="O14" s="63"/>
      <c r="P14" s="60"/>
      <c r="Q14" s="131"/>
      <c r="R14" s="156"/>
      <c r="T14" s="64"/>
    </row>
    <row r="15" spans="1:23" ht="15.75" thickBot="1">
      <c r="A15" s="59" t="s">
        <v>1</v>
      </c>
      <c r="B15" s="131">
        <f>SUM(B10:C14)</f>
        <v>50672.930000000008</v>
      </c>
      <c r="C15" s="132"/>
      <c r="D15" s="60">
        <f>SUM(D10:D14)</f>
        <v>0</v>
      </c>
      <c r="E15" s="131">
        <f>SUM(E10:F14)</f>
        <v>50672.930000000008</v>
      </c>
      <c r="F15" s="150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51">
        <f>SUM(J10:K14)</f>
        <v>211007.24000000005</v>
      </c>
      <c r="K15" s="132"/>
      <c r="L15" s="131">
        <f>SUM(L10:M14)</f>
        <v>128662</v>
      </c>
      <c r="M15" s="152"/>
      <c r="N15" s="131">
        <f>SUM(N10:O14)</f>
        <v>82345.24000000002</v>
      </c>
      <c r="O15" s="132"/>
      <c r="P15" s="60">
        <f>SUM(P10:P14)</f>
        <v>62517.78</v>
      </c>
      <c r="Q15" s="131">
        <f>SUM(Q10:R13)</f>
        <v>19827.460000000014</v>
      </c>
      <c r="R15" s="13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33" t="s">
        <v>11</v>
      </c>
      <c r="B17" s="134"/>
      <c r="C17" s="134"/>
      <c r="D17" s="141" t="s">
        <v>52</v>
      </c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3"/>
      <c r="P17" s="68"/>
      <c r="Q17" s="68"/>
      <c r="R17" s="68"/>
      <c r="S17" s="68"/>
    </row>
    <row r="18" spans="1:23" ht="15.75" customHeight="1" thickBot="1">
      <c r="A18" s="135"/>
      <c r="B18" s="136"/>
      <c r="C18" s="137"/>
      <c r="D18" s="144" t="s">
        <v>46</v>
      </c>
      <c r="E18" s="145"/>
      <c r="F18" s="144" t="s">
        <v>7</v>
      </c>
      <c r="G18" s="145"/>
      <c r="H18" s="148" t="s">
        <v>32</v>
      </c>
      <c r="I18" s="149"/>
      <c r="J18" s="149"/>
      <c r="K18" s="149"/>
      <c r="L18" s="144" t="s">
        <v>31</v>
      </c>
      <c r="M18" s="145"/>
      <c r="N18" s="144" t="s">
        <v>12</v>
      </c>
      <c r="O18" s="145"/>
    </row>
    <row r="19" spans="1:23" ht="15.75" customHeight="1" thickBot="1">
      <c r="A19" s="135"/>
      <c r="B19" s="136"/>
      <c r="C19" s="137"/>
      <c r="D19" s="146"/>
      <c r="E19" s="147"/>
      <c r="F19" s="144"/>
      <c r="G19" s="145"/>
      <c r="H19" s="141" t="s">
        <v>33</v>
      </c>
      <c r="I19" s="142"/>
      <c r="J19" s="141" t="s">
        <v>34</v>
      </c>
      <c r="K19" s="142"/>
      <c r="L19" s="146"/>
      <c r="M19" s="147"/>
      <c r="N19" s="146"/>
      <c r="O19" s="147"/>
    </row>
    <row r="20" spans="1:23" s="71" customFormat="1" ht="15.75" thickBot="1">
      <c r="A20" s="138"/>
      <c r="B20" s="139"/>
      <c r="C20" s="140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10" t="s">
        <v>13</v>
      </c>
      <c r="B21" s="111"/>
      <c r="C21" s="112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13" t="s">
        <v>14</v>
      </c>
      <c r="B22" s="114"/>
      <c r="C22" s="115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16" t="s">
        <v>36</v>
      </c>
      <c r="B23" s="117"/>
      <c r="C23" s="118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10" t="s">
        <v>15</v>
      </c>
      <c r="B24" s="111"/>
      <c r="C24" s="112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28" t="s">
        <v>18</v>
      </c>
      <c r="B25" s="129"/>
      <c r="C25" s="130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25" t="s">
        <v>47</v>
      </c>
      <c r="B26" s="126"/>
      <c r="C26" s="127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22" t="s">
        <v>48</v>
      </c>
      <c r="B27" s="123"/>
      <c r="C27" s="124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16" t="s">
        <v>37</v>
      </c>
      <c r="B28" s="117"/>
      <c r="C28" s="118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10" t="s">
        <v>16</v>
      </c>
      <c r="B29" s="111"/>
      <c r="C29" s="112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25" t="s">
        <v>43</v>
      </c>
      <c r="B30" s="126"/>
      <c r="C30" s="127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25" t="s">
        <v>17</v>
      </c>
      <c r="B31" s="126"/>
      <c r="C31" s="127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16" t="s">
        <v>38</v>
      </c>
      <c r="B32" s="117"/>
      <c r="C32" s="118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10" t="s">
        <v>19</v>
      </c>
      <c r="B33" s="111"/>
      <c r="C33" s="112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13" t="s">
        <v>20</v>
      </c>
      <c r="B34" s="114"/>
      <c r="C34" s="115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16" t="s">
        <v>39</v>
      </c>
      <c r="B35" s="117"/>
      <c r="C35" s="118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19" t="s">
        <v>21</v>
      </c>
      <c r="B36" s="120"/>
      <c r="C36" s="121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abSelected="1" zoomScaleNormal="100" workbookViewId="0">
      <selection sqref="A1:R3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78" t="s">
        <v>54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</row>
    <row r="2" spans="1:23" ht="15.75" thickBo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</row>
    <row r="3" spans="1:23" ht="15.75" thickBot="1">
      <c r="A3" s="180" t="s">
        <v>55</v>
      </c>
      <c r="B3" s="181"/>
      <c r="C3" s="181"/>
      <c r="D3" s="181"/>
      <c r="E3" s="181"/>
      <c r="F3" s="181"/>
      <c r="G3" s="181"/>
      <c r="H3" s="181"/>
      <c r="I3" s="181"/>
      <c r="J3" s="181"/>
      <c r="K3" s="181"/>
      <c r="L3" s="150"/>
      <c r="M3" s="55"/>
    </row>
    <row r="4" spans="1:23">
      <c r="A4" s="182"/>
      <c r="B4" s="183"/>
      <c r="C4" s="186" t="s">
        <v>46</v>
      </c>
      <c r="D4" s="187"/>
      <c r="E4" s="56" t="s">
        <v>0</v>
      </c>
      <c r="F4" s="188" t="s">
        <v>24</v>
      </c>
      <c r="G4" s="101" t="s">
        <v>1</v>
      </c>
      <c r="H4" s="182" t="s">
        <v>2</v>
      </c>
      <c r="I4" s="190"/>
      <c r="J4" s="183"/>
      <c r="K4" s="186" t="s">
        <v>3</v>
      </c>
      <c r="L4" s="187"/>
      <c r="M4" s="55"/>
    </row>
    <row r="5" spans="1:23" ht="15.75" thickBot="1">
      <c r="A5" s="184"/>
      <c r="B5" s="185"/>
      <c r="C5" s="191" t="s">
        <v>4</v>
      </c>
      <c r="D5" s="192"/>
      <c r="E5" s="57" t="s">
        <v>5</v>
      </c>
      <c r="F5" s="189"/>
      <c r="G5" s="103"/>
      <c r="H5" s="165" t="s">
        <v>5</v>
      </c>
      <c r="I5" s="166"/>
      <c r="J5" s="167"/>
      <c r="K5" s="191" t="s">
        <v>5</v>
      </c>
      <c r="L5" s="192"/>
      <c r="M5" s="55"/>
      <c r="T5" s="29"/>
      <c r="U5" s="29"/>
    </row>
    <row r="6" spans="1:23" ht="15.75" thickBot="1">
      <c r="A6" s="193"/>
      <c r="B6" s="194"/>
      <c r="C6" s="195">
        <v>506029</v>
      </c>
      <c r="D6" s="196"/>
      <c r="E6" s="54"/>
      <c r="F6" s="107"/>
      <c r="G6" s="104">
        <f>C6+E6+F6</f>
        <v>506029</v>
      </c>
      <c r="H6" s="195">
        <f>G15</f>
        <v>51224.7</v>
      </c>
      <c r="I6" s="151"/>
      <c r="J6" s="196"/>
      <c r="K6" s="131">
        <f>G6-H6</f>
        <v>454804.3</v>
      </c>
      <c r="L6" s="132"/>
      <c r="M6" s="55"/>
      <c r="O6" s="29"/>
      <c r="Q6" s="29"/>
    </row>
    <row r="7" spans="1:23" ht="13.5" customHeight="1" thickBot="1">
      <c r="A7" s="177" t="s">
        <v>56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U7" s="29"/>
    </row>
    <row r="8" spans="1:23" ht="22.5" customHeight="1">
      <c r="A8" s="170" t="s">
        <v>6</v>
      </c>
      <c r="B8" s="172" t="s">
        <v>46</v>
      </c>
      <c r="C8" s="173"/>
      <c r="D8" s="157" t="s">
        <v>41</v>
      </c>
      <c r="E8" s="159" t="s">
        <v>40</v>
      </c>
      <c r="F8" s="160"/>
      <c r="G8" s="157" t="s">
        <v>22</v>
      </c>
      <c r="H8" s="157" t="s">
        <v>23</v>
      </c>
      <c r="I8" s="106" t="s">
        <v>44</v>
      </c>
      <c r="J8" s="173" t="s">
        <v>1</v>
      </c>
      <c r="K8" s="174"/>
      <c r="L8" s="172" t="s">
        <v>7</v>
      </c>
      <c r="M8" s="173"/>
      <c r="N8" s="175" t="s">
        <v>3</v>
      </c>
      <c r="O8" s="176"/>
      <c r="P8" s="157" t="s">
        <v>42</v>
      </c>
      <c r="Q8" s="159" t="s">
        <v>35</v>
      </c>
      <c r="R8" s="160"/>
    </row>
    <row r="9" spans="1:23" ht="19.5" customHeight="1" thickBot="1">
      <c r="A9" s="171"/>
      <c r="B9" s="165" t="s">
        <v>5</v>
      </c>
      <c r="C9" s="166"/>
      <c r="D9" s="158"/>
      <c r="E9" s="161"/>
      <c r="F9" s="162"/>
      <c r="G9" s="158"/>
      <c r="H9" s="158"/>
      <c r="I9" s="102" t="s">
        <v>45</v>
      </c>
      <c r="J9" s="166" t="s">
        <v>5</v>
      </c>
      <c r="K9" s="167"/>
      <c r="L9" s="165" t="s">
        <v>5</v>
      </c>
      <c r="M9" s="166"/>
      <c r="N9" s="168" t="s">
        <v>5</v>
      </c>
      <c r="O9" s="169"/>
      <c r="P9" s="158"/>
      <c r="Q9" s="161"/>
      <c r="R9" s="162"/>
    </row>
    <row r="10" spans="1:23" ht="15.75" customHeight="1" thickBot="1">
      <c r="A10" s="58" t="s">
        <v>8</v>
      </c>
      <c r="B10" s="131">
        <v>37393.71</v>
      </c>
      <c r="C10" s="151"/>
      <c r="D10" s="60">
        <v>28956.16</v>
      </c>
      <c r="E10" s="131">
        <f>B10-D10</f>
        <v>8437.5499999999993</v>
      </c>
      <c r="F10" s="132"/>
      <c r="G10" s="105">
        <v>35224</v>
      </c>
      <c r="H10" s="60">
        <v>144.78</v>
      </c>
      <c r="I10" s="60"/>
      <c r="J10" s="131">
        <f>B10+G10+H10+I10</f>
        <v>72762.489999999991</v>
      </c>
      <c r="K10" s="132"/>
      <c r="L10" s="131">
        <f>G29+G30+G31</f>
        <v>28992</v>
      </c>
      <c r="M10" s="152"/>
      <c r="N10" s="131">
        <f>J10-L10</f>
        <v>43770.489999999991</v>
      </c>
      <c r="O10" s="132"/>
      <c r="P10" s="60">
        <f>'[1]May 2021'!$K$15</f>
        <v>26418</v>
      </c>
      <c r="Q10" s="131">
        <f>N10-P10</f>
        <v>17352.489999999991</v>
      </c>
      <c r="R10" s="156"/>
      <c r="S10" s="32"/>
      <c r="U10" s="2" t="s">
        <v>53</v>
      </c>
    </row>
    <row r="11" spans="1:23" ht="15.75" thickBot="1">
      <c r="A11" s="58" t="s">
        <v>9</v>
      </c>
      <c r="B11" s="131">
        <v>12610.65</v>
      </c>
      <c r="C11" s="151"/>
      <c r="D11" s="60">
        <v>12170.24</v>
      </c>
      <c r="E11" s="131">
        <f t="shared" ref="E11:E13" si="0">B11-D11</f>
        <v>440.40999999999985</v>
      </c>
      <c r="F11" s="132"/>
      <c r="G11" s="105"/>
      <c r="H11" s="60"/>
      <c r="I11" s="60"/>
      <c r="J11" s="131">
        <f>B11+G11+H11+I11</f>
        <v>12610.65</v>
      </c>
      <c r="K11" s="132"/>
      <c r="L11" s="131">
        <f>SUM(G21:G22)</f>
        <v>2952</v>
      </c>
      <c r="M11" s="152"/>
      <c r="N11" s="163">
        <f>J11-L11</f>
        <v>9658.65</v>
      </c>
      <c r="O11" s="164"/>
      <c r="P11" s="60">
        <f>'[1]May 2021'!$K$25</f>
        <v>9127.68</v>
      </c>
      <c r="Q11" s="131">
        <f t="shared" ref="Q11:Q13" si="1">N11-P11</f>
        <v>530.96999999999935</v>
      </c>
      <c r="R11" s="156"/>
      <c r="S11" s="32"/>
    </row>
    <row r="12" spans="1:23" ht="15.75" customHeight="1" thickBot="1">
      <c r="A12" s="58" t="s">
        <v>10</v>
      </c>
      <c r="B12" s="131">
        <v>4240.7</v>
      </c>
      <c r="C12" s="151"/>
      <c r="D12" s="60">
        <v>0</v>
      </c>
      <c r="E12" s="131">
        <f t="shared" si="0"/>
        <v>4240.7</v>
      </c>
      <c r="F12" s="132"/>
      <c r="G12" s="105">
        <v>16000.7</v>
      </c>
      <c r="H12" s="60"/>
      <c r="I12" s="60"/>
      <c r="J12" s="131">
        <f>B12+G12+H12+I12</f>
        <v>20241.400000000001</v>
      </c>
      <c r="K12" s="132"/>
      <c r="L12" s="131">
        <f>SUM(G33:G34)</f>
        <v>5244</v>
      </c>
      <c r="M12" s="156"/>
      <c r="N12" s="131">
        <f>J12-L12</f>
        <v>14997.400000000001</v>
      </c>
      <c r="O12" s="132"/>
      <c r="P12" s="60">
        <f>'[1]May 2021'!$K$35</f>
        <v>9600.42</v>
      </c>
      <c r="Q12" s="131">
        <f t="shared" si="1"/>
        <v>5396.9800000000014</v>
      </c>
      <c r="R12" s="156"/>
    </row>
    <row r="13" spans="1:23" ht="15.75" thickBot="1">
      <c r="A13" s="58" t="s">
        <v>30</v>
      </c>
      <c r="B13" s="131">
        <v>28100.18</v>
      </c>
      <c r="C13" s="151"/>
      <c r="D13" s="60">
        <v>21391.38</v>
      </c>
      <c r="E13" s="131">
        <f t="shared" si="0"/>
        <v>6708.7999999999993</v>
      </c>
      <c r="F13" s="132"/>
      <c r="G13" s="105"/>
      <c r="H13" s="60"/>
      <c r="I13" s="60"/>
      <c r="J13" s="131">
        <f>B13+G13+H13+I13</f>
        <v>28100.18</v>
      </c>
      <c r="K13" s="132"/>
      <c r="L13" s="131">
        <f>G24+G25+G26+G27</f>
        <v>14402</v>
      </c>
      <c r="M13" s="156"/>
      <c r="N13" s="131">
        <f>J13-L13</f>
        <v>13698.18</v>
      </c>
      <c r="O13" s="132"/>
      <c r="P13" s="60">
        <f>'[1]May 2021'!$K$45</f>
        <v>7130.4600000000009</v>
      </c>
      <c r="Q13" s="131">
        <f t="shared" si="1"/>
        <v>6567.7199999999993</v>
      </c>
      <c r="R13" s="156"/>
      <c r="V13" s="29"/>
      <c r="W13" s="29"/>
    </row>
    <row r="14" spans="1:23" ht="15.75" customHeight="1" thickBot="1">
      <c r="A14" s="58"/>
      <c r="B14" s="153"/>
      <c r="C14" s="154"/>
      <c r="D14" s="61"/>
      <c r="E14" s="153"/>
      <c r="F14" s="155"/>
      <c r="G14" s="105"/>
      <c r="H14" s="60"/>
      <c r="I14" s="60"/>
      <c r="J14" s="151"/>
      <c r="K14" s="132"/>
      <c r="L14" s="131"/>
      <c r="M14" s="132"/>
      <c r="N14" s="62"/>
      <c r="O14" s="63"/>
      <c r="P14" s="60"/>
      <c r="Q14" s="131"/>
      <c r="R14" s="156"/>
      <c r="T14" s="64"/>
    </row>
    <row r="15" spans="1:23" ht="15.75" thickBot="1">
      <c r="A15" s="59" t="s">
        <v>1</v>
      </c>
      <c r="B15" s="131">
        <f>SUM(B10:C14)</f>
        <v>82345.239999999991</v>
      </c>
      <c r="C15" s="132"/>
      <c r="D15" s="60">
        <f>SUM(D10:D14)</f>
        <v>62517.78</v>
      </c>
      <c r="E15" s="131">
        <f>SUM(E10:F14)</f>
        <v>19827.46</v>
      </c>
      <c r="F15" s="150"/>
      <c r="G15" s="105">
        <f>SUM(G10:G14)</f>
        <v>51224.7</v>
      </c>
      <c r="H15" s="60">
        <f>SUM(H10:H14)</f>
        <v>144.78</v>
      </c>
      <c r="I15" s="60">
        <f>SUM(I10:I14)</f>
        <v>0</v>
      </c>
      <c r="J15" s="151">
        <f>SUM(J10:K14)</f>
        <v>133714.71999999997</v>
      </c>
      <c r="K15" s="132"/>
      <c r="L15" s="131">
        <f>SUM(L10:M14)</f>
        <v>51590</v>
      </c>
      <c r="M15" s="152"/>
      <c r="N15" s="131">
        <f>SUM(N10:O14)</f>
        <v>82124.72</v>
      </c>
      <c r="O15" s="132"/>
      <c r="P15" s="60">
        <f>SUM(P10:P14)</f>
        <v>52276.56</v>
      </c>
      <c r="Q15" s="131">
        <f>SUM(Q10:R13)</f>
        <v>29848.159999999996</v>
      </c>
      <c r="R15" s="13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33" t="s">
        <v>11</v>
      </c>
      <c r="B17" s="134"/>
      <c r="C17" s="134"/>
      <c r="D17" s="141" t="s">
        <v>57</v>
      </c>
      <c r="E17" s="142"/>
      <c r="F17" s="142"/>
      <c r="G17" s="142"/>
      <c r="H17" s="142"/>
      <c r="I17" s="142"/>
      <c r="J17" s="142"/>
      <c r="K17" s="142"/>
      <c r="L17" s="142"/>
      <c r="M17" s="142"/>
      <c r="N17" s="142"/>
      <c r="O17" s="143"/>
      <c r="P17" s="68"/>
      <c r="Q17" s="68"/>
      <c r="R17" s="68"/>
      <c r="S17" s="68"/>
    </row>
    <row r="18" spans="1:23" ht="15.75" customHeight="1" thickBot="1">
      <c r="A18" s="135"/>
      <c r="B18" s="136"/>
      <c r="C18" s="137"/>
      <c r="D18" s="144" t="s">
        <v>46</v>
      </c>
      <c r="E18" s="145"/>
      <c r="F18" s="144" t="s">
        <v>7</v>
      </c>
      <c r="G18" s="145"/>
      <c r="H18" s="148" t="s">
        <v>32</v>
      </c>
      <c r="I18" s="149"/>
      <c r="J18" s="149"/>
      <c r="K18" s="149"/>
      <c r="L18" s="144" t="s">
        <v>31</v>
      </c>
      <c r="M18" s="145"/>
      <c r="N18" s="144" t="s">
        <v>12</v>
      </c>
      <c r="O18" s="145"/>
    </row>
    <row r="19" spans="1:23" ht="15.75" customHeight="1" thickBot="1">
      <c r="A19" s="135"/>
      <c r="B19" s="136"/>
      <c r="C19" s="137"/>
      <c r="D19" s="146"/>
      <c r="E19" s="147"/>
      <c r="F19" s="144"/>
      <c r="G19" s="145"/>
      <c r="H19" s="141" t="s">
        <v>33</v>
      </c>
      <c r="I19" s="142"/>
      <c r="J19" s="141" t="s">
        <v>34</v>
      </c>
      <c r="K19" s="142"/>
      <c r="L19" s="146"/>
      <c r="M19" s="147"/>
      <c r="N19" s="146"/>
      <c r="O19" s="147"/>
    </row>
    <row r="20" spans="1:23" s="71" customFormat="1" ht="15.75" thickBot="1">
      <c r="A20" s="138"/>
      <c r="B20" s="139"/>
      <c r="C20" s="140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10" t="s">
        <v>13</v>
      </c>
      <c r="B21" s="111"/>
      <c r="C21" s="112"/>
      <c r="D21" s="74">
        <f>E21/24</f>
        <v>14</v>
      </c>
      <c r="E21" s="10">
        <v>336</v>
      </c>
      <c r="F21" s="74">
        <f>G21/24</f>
        <v>28</v>
      </c>
      <c r="G21" s="10">
        <f>'[2]May 2021'!$B$29</f>
        <v>672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5</v>
      </c>
      <c r="M21" s="10">
        <f>120</f>
        <v>120</v>
      </c>
      <c r="N21" s="23">
        <f>O21/24</f>
        <v>11</v>
      </c>
      <c r="O21" s="36">
        <f>E21+G21-I21-K21-M21</f>
        <v>264</v>
      </c>
      <c r="S21" s="5">
        <v>240</v>
      </c>
      <c r="T21" s="7">
        <f>2*24</f>
        <v>48</v>
      </c>
      <c r="U21" s="30">
        <f>S21+T21-O21</f>
        <v>24</v>
      </c>
      <c r="V21" s="75"/>
      <c r="W21" s="29"/>
    </row>
    <row r="22" spans="1:23" ht="15.75" thickBot="1">
      <c r="A22" s="113" t="s">
        <v>14</v>
      </c>
      <c r="B22" s="114"/>
      <c r="C22" s="115"/>
      <c r="D22" s="76">
        <f>E22/24</f>
        <v>82</v>
      </c>
      <c r="E22" s="12">
        <v>1968</v>
      </c>
      <c r="F22" s="76">
        <f>G22/24</f>
        <v>95</v>
      </c>
      <c r="G22" s="12">
        <f>'[2]May 2021'!$C$29</f>
        <v>2280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12</v>
      </c>
      <c r="M22" s="12">
        <f>48+240</f>
        <v>288</v>
      </c>
      <c r="N22" s="24">
        <f>O22/24</f>
        <v>65</v>
      </c>
      <c r="O22" s="36">
        <f>E22+G22-I22-K22-M22</f>
        <v>1560</v>
      </c>
      <c r="S22" s="6">
        <v>1056</v>
      </c>
      <c r="T22" s="9">
        <f>20*24</f>
        <v>480</v>
      </c>
      <c r="U22" s="34">
        <f>S22+T22-O22</f>
        <v>-24</v>
      </c>
      <c r="V22" s="75"/>
      <c r="W22" s="29"/>
    </row>
    <row r="23" spans="1:23" ht="15.75" thickBot="1">
      <c r="A23" s="116" t="s">
        <v>36</v>
      </c>
      <c r="B23" s="117"/>
      <c r="C23" s="118"/>
      <c r="D23" s="77">
        <f>SUM(D21:D22)</f>
        <v>96</v>
      </c>
      <c r="E23" s="78">
        <f t="shared" ref="E23:H23" si="2">SUM(E21:E22)</f>
        <v>2304</v>
      </c>
      <c r="F23" s="77">
        <f t="shared" si="2"/>
        <v>123</v>
      </c>
      <c r="G23" s="78">
        <f t="shared" si="2"/>
        <v>2952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17</v>
      </c>
      <c r="M23" s="78">
        <f t="shared" si="3"/>
        <v>408</v>
      </c>
      <c r="N23" s="77">
        <f t="shared" si="3"/>
        <v>76</v>
      </c>
      <c r="O23" s="78">
        <f t="shared" si="3"/>
        <v>1824</v>
      </c>
      <c r="S23" s="45"/>
      <c r="T23" s="48"/>
      <c r="U23" s="30"/>
      <c r="V23" s="75"/>
      <c r="W23" s="29"/>
    </row>
    <row r="24" spans="1:23" ht="15.75" thickBot="1">
      <c r="A24" s="110" t="s">
        <v>15</v>
      </c>
      <c r="B24" s="111"/>
      <c r="C24" s="112"/>
      <c r="D24" s="74">
        <f>E24/30</f>
        <v>138</v>
      </c>
      <c r="E24" s="10">
        <v>4140</v>
      </c>
      <c r="F24" s="74">
        <f>G24/30</f>
        <v>450</v>
      </c>
      <c r="G24" s="10">
        <f>'[2]May 2021'!$D$29</f>
        <v>13500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268</v>
      </c>
      <c r="M24" s="10">
        <f>7740+300</f>
        <v>8040</v>
      </c>
      <c r="N24" s="23">
        <f>O24/30</f>
        <v>297</v>
      </c>
      <c r="O24" s="36">
        <f>E24+G24-I24-K24-M24</f>
        <v>8910</v>
      </c>
      <c r="S24" s="50">
        <v>8190</v>
      </c>
      <c r="T24" s="51">
        <f>34*30</f>
        <v>1020</v>
      </c>
      <c r="U24" s="47">
        <f>S24+T24-O24</f>
        <v>300</v>
      </c>
      <c r="V24" s="75"/>
      <c r="W24" s="29"/>
    </row>
    <row r="25" spans="1:23" ht="15.75" thickBot="1">
      <c r="A25" s="128" t="s">
        <v>18</v>
      </c>
      <c r="B25" s="129"/>
      <c r="C25" s="130"/>
      <c r="D25" s="81">
        <f>E25/24</f>
        <v>8</v>
      </c>
      <c r="E25" s="36">
        <v>192</v>
      </c>
      <c r="F25" s="81">
        <f>G25/24</f>
        <v>0</v>
      </c>
      <c r="G25" s="27">
        <f>'[2]May 2021'!$E$29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25" t="s">
        <v>47</v>
      </c>
      <c r="B26" s="126"/>
      <c r="C26" s="127"/>
      <c r="D26" s="82">
        <f>E26/22</f>
        <v>25</v>
      </c>
      <c r="E26" s="3">
        <v>550</v>
      </c>
      <c r="F26" s="82">
        <f>G26/22</f>
        <v>26</v>
      </c>
      <c r="G26" s="3">
        <f>'[2]May 2021'!$F$29</f>
        <v>572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0</v>
      </c>
      <c r="M26" s="3">
        <v>0</v>
      </c>
      <c r="N26" s="25">
        <f>O26/22</f>
        <v>31</v>
      </c>
      <c r="O26" s="36">
        <f t="shared" si="6"/>
        <v>682</v>
      </c>
      <c r="R26" s="29"/>
      <c r="S26" s="4">
        <v>572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22" t="s">
        <v>48</v>
      </c>
      <c r="B27" s="123"/>
      <c r="C27" s="124"/>
      <c r="D27" s="83">
        <f>E27/22</f>
        <v>3</v>
      </c>
      <c r="E27" s="41">
        <v>66</v>
      </c>
      <c r="F27" s="83">
        <f>G27/22</f>
        <v>15</v>
      </c>
      <c r="G27" s="41">
        <f>'[2]May 2021'!$G$29</f>
        <v>330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0</v>
      </c>
      <c r="M27" s="41">
        <v>0</v>
      </c>
      <c r="N27" s="42">
        <f>O27/22</f>
        <v>13</v>
      </c>
      <c r="O27" s="38">
        <f t="shared" si="6"/>
        <v>286</v>
      </c>
      <c r="S27" s="52">
        <v>220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16" t="s">
        <v>37</v>
      </c>
      <c r="B28" s="117"/>
      <c r="C28" s="118"/>
      <c r="D28" s="79">
        <f t="shared" ref="D28:O28" si="8">SUM(D24:D27)</f>
        <v>174</v>
      </c>
      <c r="E28" s="21">
        <f t="shared" si="8"/>
        <v>4948</v>
      </c>
      <c r="F28" s="79">
        <f t="shared" si="8"/>
        <v>491</v>
      </c>
      <c r="G28" s="21">
        <f t="shared" si="8"/>
        <v>14402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268</v>
      </c>
      <c r="M28" s="21">
        <f t="shared" si="8"/>
        <v>8040</v>
      </c>
      <c r="N28" s="79">
        <f t="shared" si="8"/>
        <v>349</v>
      </c>
      <c r="O28" s="21">
        <f t="shared" si="8"/>
        <v>10070</v>
      </c>
      <c r="S28" s="46"/>
      <c r="T28" s="49"/>
      <c r="U28" s="30"/>
      <c r="V28" s="75"/>
      <c r="W28" s="29"/>
    </row>
    <row r="29" spans="1:23">
      <c r="A29" s="110" t="s">
        <v>16</v>
      </c>
      <c r="B29" s="111"/>
      <c r="C29" s="112"/>
      <c r="D29" s="74">
        <f>E29/24</f>
        <v>0</v>
      </c>
      <c r="E29" s="10">
        <v>0</v>
      </c>
      <c r="F29" s="74">
        <f>G29/24</f>
        <v>190</v>
      </c>
      <c r="G29" s="10">
        <f>'[2]May 2021'!$H$29</f>
        <v>4560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155</v>
      </c>
      <c r="M29" s="10">
        <f>2520+1200</f>
        <v>3720</v>
      </c>
      <c r="N29" s="23">
        <f>O29/24</f>
        <v>5</v>
      </c>
      <c r="O29" s="36">
        <f>E29+G29-I29-K29-M29</f>
        <v>120</v>
      </c>
      <c r="S29" s="5">
        <v>120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25" t="s">
        <v>43</v>
      </c>
      <c r="B30" s="126"/>
      <c r="C30" s="127"/>
      <c r="D30" s="82">
        <f>E30/24</f>
        <v>0</v>
      </c>
      <c r="E30" s="3">
        <v>0</v>
      </c>
      <c r="F30" s="82">
        <f>G30/24</f>
        <v>104</v>
      </c>
      <c r="G30" s="3">
        <f>'[2]May 2021'!$I$29</f>
        <v>2496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75</v>
      </c>
      <c r="M30" s="3">
        <f>1080+720</f>
        <v>1800</v>
      </c>
      <c r="N30" s="25">
        <f>O30/24</f>
        <v>4</v>
      </c>
      <c r="O30" s="36">
        <f t="shared" ref="O30:O31" si="12">E30+G30-I30-K30-M30</f>
        <v>96</v>
      </c>
      <c r="S30" s="4">
        <v>96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25" t="s">
        <v>17</v>
      </c>
      <c r="B31" s="126"/>
      <c r="C31" s="127"/>
      <c r="D31" s="82">
        <f>E31/24</f>
        <v>123</v>
      </c>
      <c r="E31" s="3">
        <v>2952</v>
      </c>
      <c r="F31" s="82">
        <f>G31/24</f>
        <v>914</v>
      </c>
      <c r="G31" s="3">
        <f>'[2]May 2021'!$J$29</f>
        <v>21936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295</v>
      </c>
      <c r="M31" s="3">
        <v>7080</v>
      </c>
      <c r="N31" s="25">
        <f>O31/24</f>
        <v>342</v>
      </c>
      <c r="O31" s="36">
        <f t="shared" si="12"/>
        <v>8208</v>
      </c>
      <c r="S31" s="4">
        <v>6936</v>
      </c>
      <c r="T31" s="8">
        <f>53*24</f>
        <v>1272</v>
      </c>
      <c r="U31" s="35">
        <f>S31+T31-O31</f>
        <v>0</v>
      </c>
      <c r="V31" s="75"/>
      <c r="W31" s="29"/>
    </row>
    <row r="32" spans="1:23" ht="15.75" thickBot="1">
      <c r="A32" s="116" t="s">
        <v>38</v>
      </c>
      <c r="B32" s="117"/>
      <c r="C32" s="118"/>
      <c r="D32" s="84">
        <f t="shared" ref="D32:O32" si="13">SUM(D29:D31)</f>
        <v>123</v>
      </c>
      <c r="E32" s="78">
        <f t="shared" si="13"/>
        <v>2952</v>
      </c>
      <c r="F32" s="84">
        <f t="shared" si="13"/>
        <v>1208</v>
      </c>
      <c r="G32" s="78">
        <f t="shared" si="13"/>
        <v>28992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525</v>
      </c>
      <c r="M32" s="78">
        <f t="shared" si="13"/>
        <v>12600</v>
      </c>
      <c r="N32" s="84">
        <f t="shared" si="13"/>
        <v>351</v>
      </c>
      <c r="O32" s="78">
        <f t="shared" si="13"/>
        <v>8424</v>
      </c>
      <c r="S32" s="17"/>
      <c r="T32" s="18"/>
      <c r="U32" s="30"/>
      <c r="V32" s="75"/>
      <c r="W32" s="29"/>
    </row>
    <row r="33" spans="1:23">
      <c r="A33" s="110" t="s">
        <v>19</v>
      </c>
      <c r="B33" s="111"/>
      <c r="C33" s="112"/>
      <c r="D33" s="85">
        <f>E33/12</f>
        <v>34</v>
      </c>
      <c r="E33" s="14">
        <v>408</v>
      </c>
      <c r="F33" s="85">
        <f>G33/12</f>
        <v>176</v>
      </c>
      <c r="G33" s="14">
        <f>'[2]May 2021'!$K$29</f>
        <v>2112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25</v>
      </c>
      <c r="M33" s="10">
        <f>180+120</f>
        <v>300</v>
      </c>
      <c r="N33" s="23">
        <f>O33/12</f>
        <v>155</v>
      </c>
      <c r="O33" s="36">
        <f>E33+G33-I33-K33-M33</f>
        <v>1860</v>
      </c>
      <c r="S33" s="5">
        <v>1608</v>
      </c>
      <c r="T33" s="16">
        <f>17*12</f>
        <v>204</v>
      </c>
      <c r="U33" s="30">
        <f>S33+T33-O33</f>
        <v>-48</v>
      </c>
      <c r="V33" s="86"/>
      <c r="W33" s="29"/>
    </row>
    <row r="34" spans="1:23" ht="15.75" thickBot="1">
      <c r="A34" s="113" t="s">
        <v>20</v>
      </c>
      <c r="B34" s="114"/>
      <c r="C34" s="115"/>
      <c r="D34" s="76">
        <f>E34/12</f>
        <v>0</v>
      </c>
      <c r="E34" s="12">
        <v>0</v>
      </c>
      <c r="F34" s="76">
        <f>G34/12</f>
        <v>261</v>
      </c>
      <c r="G34" s="12">
        <f>'[2]May 2021'!$L$29</f>
        <v>3132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16" t="s">
        <v>39</v>
      </c>
      <c r="B35" s="117"/>
      <c r="C35" s="118"/>
      <c r="D35" s="84">
        <f>SUM(D33:D34)</f>
        <v>34</v>
      </c>
      <c r="E35" s="78">
        <f t="shared" ref="E35:H35" si="16">SUM(E33:E34)</f>
        <v>408</v>
      </c>
      <c r="F35" s="84">
        <f t="shared" si="16"/>
        <v>437</v>
      </c>
      <c r="G35" s="78">
        <f t="shared" si="16"/>
        <v>5244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286</v>
      </c>
      <c r="M35" s="78">
        <f t="shared" si="17"/>
        <v>3432</v>
      </c>
      <c r="N35" s="84">
        <f t="shared" si="17"/>
        <v>155</v>
      </c>
      <c r="O35" s="78">
        <f t="shared" si="17"/>
        <v>1860</v>
      </c>
      <c r="S35" s="19"/>
      <c r="T35" s="20"/>
      <c r="U35" s="34"/>
      <c r="W35" s="29"/>
    </row>
    <row r="36" spans="1:23" ht="15.75" thickBot="1">
      <c r="A36" s="119" t="s">
        <v>21</v>
      </c>
      <c r="B36" s="120"/>
      <c r="C36" s="121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2259</v>
      </c>
      <c r="G36" s="87">
        <f t="shared" si="18"/>
        <v>51590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1096</v>
      </c>
      <c r="M36" s="87">
        <f t="shared" si="18"/>
        <v>24480</v>
      </c>
      <c r="N36" s="87">
        <f t="shared" si="18"/>
        <v>931</v>
      </c>
      <c r="O36" s="87">
        <f t="shared" si="18"/>
        <v>22178</v>
      </c>
      <c r="S36" s="88">
        <f>SUM(S21:S34)</f>
        <v>19230</v>
      </c>
      <c r="T36" s="89">
        <f>SUM(T21:T34)</f>
        <v>3200</v>
      </c>
      <c r="U36" s="31">
        <f>S36+T36-O36</f>
        <v>252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2021-05-19T06:23:50Z</cp:lastPrinted>
  <dcterms:created xsi:type="dcterms:W3CDTF">2013-12-03T07:20:57Z</dcterms:created>
  <dcterms:modified xsi:type="dcterms:W3CDTF">2021-05-19T06:24:59Z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