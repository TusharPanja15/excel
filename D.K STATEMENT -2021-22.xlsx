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esktop\excel-main\excel-main\"/>
    </mc:Choice>
  </mc:AlternateContent>
  <xr:revisionPtr revIDLastSave="0" documentId="13_ncr:1_{0D231CCC-832C-4FC3-8599-4E4DDA2FE6E6}" xr6:coauthVersionLast="45" xr6:coauthVersionMax="45" xr10:uidLastSave="{00000000-0000-0000-0000-000000000000}"/>
  <bookViews>
    <workbookView xWindow="-120" yWindow="-120" windowWidth="20730" windowHeight="11160" tabRatio="609" activeTab="2" xr2:uid="{00000000-000D-0000-FFFF-FFFF00000000}"/>
  </bookViews>
  <sheets>
    <sheet name="April 2021-22" sheetId="82" r:id="rId1"/>
    <sheet name="May 2021" sheetId="83" r:id="rId2"/>
    <sheet name="June 2021" sheetId="85" r:id="rId3"/>
  </sheets>
  <externalReferences>
    <externalReference r:id="rId4"/>
    <externalReference r:id="rId5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21" i="85" l="1"/>
  <c r="T36" i="85" s="1"/>
  <c r="T22" i="85"/>
  <c r="T24" i="85"/>
  <c r="T26" i="85"/>
  <c r="T27" i="85"/>
  <c r="T31" i="85"/>
  <c r="T33" i="85"/>
  <c r="S36" i="85"/>
  <c r="M34" i="85" l="1"/>
  <c r="M33" i="85"/>
  <c r="M31" i="85"/>
  <c r="M30" i="85"/>
  <c r="M29" i="85"/>
  <c r="M24" i="85"/>
  <c r="M22" i="85"/>
  <c r="M21" i="85"/>
  <c r="P13" i="85" l="1"/>
  <c r="P12" i="85"/>
  <c r="P11" i="85"/>
  <c r="P10" i="85" l="1"/>
  <c r="P13" i="83" l="1"/>
  <c r="P12" i="83"/>
  <c r="P11" i="83"/>
  <c r="P10" i="83"/>
  <c r="P13" i="82"/>
  <c r="P12" i="82"/>
  <c r="P11" i="82"/>
  <c r="P10" i="82"/>
  <c r="M26" i="85" l="1"/>
  <c r="M25" i="85"/>
  <c r="K33" i="85"/>
  <c r="K31" i="85"/>
  <c r="K30" i="85"/>
  <c r="K24" i="85"/>
  <c r="K22" i="85"/>
  <c r="I33" i="85" l="1"/>
  <c r="I31" i="85"/>
  <c r="I30" i="85"/>
  <c r="I29" i="85"/>
  <c r="I26" i="85"/>
  <c r="I25" i="85"/>
  <c r="I24" i="85"/>
  <c r="I22" i="85"/>
  <c r="G24" i="85" l="1"/>
  <c r="E36" i="85" l="1"/>
  <c r="I35" i="85"/>
  <c r="E35" i="85"/>
  <c r="L34" i="85"/>
  <c r="J34" i="85"/>
  <c r="H34" i="85"/>
  <c r="D34" i="85"/>
  <c r="M35" i="85"/>
  <c r="L33" i="85"/>
  <c r="J33" i="85"/>
  <c r="J35" i="85" s="1"/>
  <c r="H33" i="85"/>
  <c r="D33" i="85"/>
  <c r="M32" i="85"/>
  <c r="I32" i="85"/>
  <c r="E32" i="85"/>
  <c r="L31" i="85"/>
  <c r="J31" i="85"/>
  <c r="H31" i="85"/>
  <c r="D31" i="85"/>
  <c r="L30" i="85"/>
  <c r="J30" i="85"/>
  <c r="H30" i="85"/>
  <c r="D30" i="85"/>
  <c r="L29" i="85"/>
  <c r="J29" i="85"/>
  <c r="H29" i="85"/>
  <c r="D29" i="85"/>
  <c r="D32" i="85" s="1"/>
  <c r="M28" i="85"/>
  <c r="I28" i="85"/>
  <c r="E28" i="85"/>
  <c r="L27" i="85"/>
  <c r="J27" i="85"/>
  <c r="H27" i="85"/>
  <c r="D27" i="85"/>
  <c r="L26" i="85"/>
  <c r="D26" i="85"/>
  <c r="L25" i="85"/>
  <c r="J25" i="85"/>
  <c r="H25" i="85"/>
  <c r="D25" i="85"/>
  <c r="L24" i="85"/>
  <c r="J24" i="85"/>
  <c r="H24" i="85"/>
  <c r="H28" i="85" s="1"/>
  <c r="D24" i="85"/>
  <c r="K23" i="85"/>
  <c r="E23" i="85"/>
  <c r="L22" i="85"/>
  <c r="J22" i="85"/>
  <c r="H22" i="85"/>
  <c r="D22" i="85"/>
  <c r="J21" i="85"/>
  <c r="D21" i="85"/>
  <c r="I15" i="85"/>
  <c r="H15" i="85"/>
  <c r="G15" i="85"/>
  <c r="H6" i="85" s="1"/>
  <c r="D15" i="85"/>
  <c r="B15" i="85"/>
  <c r="J13" i="85"/>
  <c r="E13" i="85"/>
  <c r="J12" i="85"/>
  <c r="E12" i="85"/>
  <c r="J11" i="85"/>
  <c r="E11" i="85"/>
  <c r="J10" i="85"/>
  <c r="E10" i="85"/>
  <c r="G6" i="85"/>
  <c r="J23" i="85" l="1"/>
  <c r="H35" i="85"/>
  <c r="K6" i="85"/>
  <c r="D35" i="85"/>
  <c r="D28" i="85"/>
  <c r="L28" i="85"/>
  <c r="L32" i="85"/>
  <c r="L35" i="85"/>
  <c r="H32" i="85"/>
  <c r="E15" i="85"/>
  <c r="I23" i="85"/>
  <c r="H21" i="85"/>
  <c r="I36" i="85"/>
  <c r="J26" i="85"/>
  <c r="J28" i="85" s="1"/>
  <c r="K28" i="85"/>
  <c r="D23" i="85"/>
  <c r="D36" i="85"/>
  <c r="J36" i="85"/>
  <c r="J32" i="85"/>
  <c r="K35" i="85"/>
  <c r="K36" i="85"/>
  <c r="J15" i="85"/>
  <c r="M23" i="85"/>
  <c r="L21" i="85"/>
  <c r="M36" i="85"/>
  <c r="K32" i="85"/>
  <c r="G34" i="83"/>
  <c r="G33" i="83"/>
  <c r="G31" i="83"/>
  <c r="G30" i="83"/>
  <c r="G29" i="83"/>
  <c r="G27" i="83"/>
  <c r="G26" i="83"/>
  <c r="G25" i="83"/>
  <c r="G24" i="83"/>
  <c r="G22" i="83"/>
  <c r="G21" i="83"/>
  <c r="H23" i="85" l="1"/>
  <c r="H36" i="85"/>
  <c r="L23" i="85"/>
  <c r="L36" i="85"/>
  <c r="G34" i="85" l="1"/>
  <c r="G33" i="85"/>
  <c r="G31" i="85"/>
  <c r="G30" i="85"/>
  <c r="G29" i="85"/>
  <c r="G27" i="85"/>
  <c r="G25" i="85"/>
  <c r="G26" i="85"/>
  <c r="G21" i="85"/>
  <c r="G22" i="85"/>
  <c r="L12" i="85" l="1"/>
  <c r="N12" i="85" s="1"/>
  <c r="L13" i="85"/>
  <c r="N13" i="85" s="1"/>
  <c r="Q13" i="85" s="1"/>
  <c r="F34" i="85"/>
  <c r="O34" i="85"/>
  <c r="U34" i="85" s="1"/>
  <c r="G35" i="85"/>
  <c r="F33" i="85"/>
  <c r="O33" i="85"/>
  <c r="U33" i="85" s="1"/>
  <c r="F31" i="85"/>
  <c r="O31" i="85"/>
  <c r="U31" i="85" s="1"/>
  <c r="O30" i="85"/>
  <c r="U30" i="85" s="1"/>
  <c r="F30" i="85"/>
  <c r="F29" i="85"/>
  <c r="L10" i="85"/>
  <c r="N10" i="85" s="1"/>
  <c r="O29" i="85"/>
  <c r="U29" i="85" s="1"/>
  <c r="G32" i="85"/>
  <c r="O27" i="85"/>
  <c r="U27" i="85" s="1"/>
  <c r="F27" i="85"/>
  <c r="F25" i="85"/>
  <c r="O25" i="85"/>
  <c r="U25" i="85" s="1"/>
  <c r="O24" i="85"/>
  <c r="U24" i="85" s="1"/>
  <c r="F24" i="85"/>
  <c r="F26" i="85"/>
  <c r="G28" i="85"/>
  <c r="O26" i="85"/>
  <c r="U26" i="85" s="1"/>
  <c r="F21" i="85"/>
  <c r="O21" i="85"/>
  <c r="U21" i="85" s="1"/>
  <c r="G23" i="85"/>
  <c r="F22" i="85"/>
  <c r="L11" i="85"/>
  <c r="O22" i="85"/>
  <c r="U22" i="85" s="1"/>
  <c r="G36" i="85"/>
  <c r="M31" i="83"/>
  <c r="M30" i="83"/>
  <c r="M29" i="83"/>
  <c r="M24" i="83"/>
  <c r="T24" i="83"/>
  <c r="T33" i="83"/>
  <c r="T22" i="83"/>
  <c r="T31" i="83"/>
  <c r="F35" i="85" l="1"/>
  <c r="F32" i="85"/>
  <c r="F28" i="85"/>
  <c r="N34" i="85"/>
  <c r="O35" i="85"/>
  <c r="N33" i="85"/>
  <c r="N31" i="85"/>
  <c r="N30" i="85"/>
  <c r="N29" i="85"/>
  <c r="O32" i="85"/>
  <c r="N27" i="85"/>
  <c r="N25" i="85"/>
  <c r="N24" i="85"/>
  <c r="N26" i="85"/>
  <c r="O28" i="85"/>
  <c r="N21" i="85"/>
  <c r="F36" i="85"/>
  <c r="F23" i="85"/>
  <c r="N22" i="85"/>
  <c r="O23" i="85"/>
  <c r="O36" i="85"/>
  <c r="U36" i="85" s="1"/>
  <c r="N11" i="85"/>
  <c r="L15" i="85"/>
  <c r="M33" i="83"/>
  <c r="M27" i="83"/>
  <c r="M26" i="83"/>
  <c r="M22" i="83"/>
  <c r="M21" i="83"/>
  <c r="N35" i="85" l="1"/>
  <c r="N32" i="85"/>
  <c r="N28" i="85"/>
  <c r="N36" i="85"/>
  <c r="N23" i="85"/>
  <c r="Q11" i="85"/>
  <c r="N15" i="85"/>
  <c r="I29" i="83" l="1"/>
  <c r="I30" i="83"/>
  <c r="I31" i="83"/>
  <c r="I26" i="83"/>
  <c r="I21" i="83"/>
  <c r="I22" i="83"/>
  <c r="K33" i="83" l="1"/>
  <c r="K29" i="83"/>
  <c r="K31" i="83"/>
  <c r="K27" i="83"/>
  <c r="K26" i="83"/>
  <c r="K24" i="83"/>
  <c r="K21" i="83"/>
  <c r="K22" i="83"/>
  <c r="H10" i="82" l="1"/>
  <c r="T27" i="83" l="1"/>
  <c r="M34" i="83" l="1"/>
  <c r="M32" i="83" l="1"/>
  <c r="I23" i="83"/>
  <c r="S36" i="83"/>
  <c r="E36" i="83"/>
  <c r="E35" i="83"/>
  <c r="L34" i="83"/>
  <c r="J34" i="83"/>
  <c r="H34" i="83"/>
  <c r="D34" i="83"/>
  <c r="M35" i="83"/>
  <c r="L33" i="83"/>
  <c r="J33" i="83"/>
  <c r="I35" i="83"/>
  <c r="H33" i="83"/>
  <c r="D33" i="83"/>
  <c r="D35" i="83" s="1"/>
  <c r="E32" i="83"/>
  <c r="L31" i="83"/>
  <c r="J31" i="83"/>
  <c r="H31" i="83"/>
  <c r="D31" i="83"/>
  <c r="L30" i="83"/>
  <c r="J30" i="83"/>
  <c r="H30" i="83"/>
  <c r="D30" i="83"/>
  <c r="K32" i="83"/>
  <c r="J29" i="83"/>
  <c r="I32" i="83"/>
  <c r="H29" i="83"/>
  <c r="D29" i="83"/>
  <c r="E28" i="83"/>
  <c r="L27" i="83"/>
  <c r="J27" i="83"/>
  <c r="H27" i="83"/>
  <c r="D27" i="83"/>
  <c r="T26" i="83"/>
  <c r="L26" i="83"/>
  <c r="J26" i="83"/>
  <c r="D26" i="83"/>
  <c r="L25" i="83"/>
  <c r="J25" i="83"/>
  <c r="H25" i="83"/>
  <c r="D25" i="83"/>
  <c r="M28" i="83"/>
  <c r="L24" i="83"/>
  <c r="J24" i="83"/>
  <c r="I28" i="83"/>
  <c r="H24" i="83"/>
  <c r="D24" i="83"/>
  <c r="K23" i="83"/>
  <c r="E23" i="83"/>
  <c r="L22" i="83"/>
  <c r="J22" i="83"/>
  <c r="H22" i="83"/>
  <c r="D22" i="83"/>
  <c r="T21" i="83"/>
  <c r="T36" i="83" s="1"/>
  <c r="M23" i="83"/>
  <c r="J21" i="83"/>
  <c r="H21" i="83"/>
  <c r="D21" i="83"/>
  <c r="I15" i="83"/>
  <c r="D15" i="83"/>
  <c r="B15" i="83"/>
  <c r="J13" i="83"/>
  <c r="E13" i="83"/>
  <c r="J12" i="83"/>
  <c r="E12" i="83"/>
  <c r="J11" i="83"/>
  <c r="E11" i="83"/>
  <c r="H15" i="83"/>
  <c r="G15" i="83"/>
  <c r="H6" i="83" s="1"/>
  <c r="E10" i="83"/>
  <c r="G6" i="83"/>
  <c r="G10" i="82"/>
  <c r="G13" i="82"/>
  <c r="D32" i="83" l="1"/>
  <c r="L35" i="83"/>
  <c r="P15" i="83"/>
  <c r="K6" i="83"/>
  <c r="E15" i="83"/>
  <c r="J32" i="83"/>
  <c r="H23" i="83"/>
  <c r="D23" i="83"/>
  <c r="D28" i="83"/>
  <c r="L29" i="83"/>
  <c r="L32" i="83" s="1"/>
  <c r="L28" i="83"/>
  <c r="J35" i="83"/>
  <c r="J28" i="83"/>
  <c r="J36" i="83"/>
  <c r="J23" i="83"/>
  <c r="H35" i="83"/>
  <c r="H32" i="83"/>
  <c r="H28" i="83"/>
  <c r="D36" i="83"/>
  <c r="H36" i="83"/>
  <c r="K28" i="83"/>
  <c r="K36" i="83"/>
  <c r="J10" i="83"/>
  <c r="I36" i="83"/>
  <c r="M36" i="83"/>
  <c r="K35" i="83"/>
  <c r="L21" i="83"/>
  <c r="M22" i="82"/>
  <c r="M31" i="82"/>
  <c r="T27" i="82"/>
  <c r="T24" i="82"/>
  <c r="T26" i="82"/>
  <c r="T22" i="82"/>
  <c r="T31" i="82"/>
  <c r="T33" i="82"/>
  <c r="J15" i="83" l="1"/>
  <c r="L23" i="83"/>
  <c r="L36" i="83"/>
  <c r="M33" i="82"/>
  <c r="M30" i="82"/>
  <c r="M29" i="82"/>
  <c r="M27" i="82"/>
  <c r="K33" i="82"/>
  <c r="K31" i="82"/>
  <c r="K30" i="82"/>
  <c r="K29" i="82"/>
  <c r="K27" i="82"/>
  <c r="K26" i="82"/>
  <c r="K24" i="82"/>
  <c r="K22" i="82"/>
  <c r="M24" i="82"/>
  <c r="I33" i="82"/>
  <c r="I31" i="82"/>
  <c r="I30" i="82"/>
  <c r="I29" i="82"/>
  <c r="I25" i="82"/>
  <c r="I22" i="82"/>
  <c r="M26" i="82"/>
  <c r="T21" i="82" l="1"/>
  <c r="I24" i="82" l="1"/>
  <c r="I21" i="82"/>
  <c r="M21" i="82" l="1"/>
  <c r="M34" i="82"/>
  <c r="M25" i="82"/>
  <c r="G34" i="82" l="1"/>
  <c r="G33" i="82"/>
  <c r="G31" i="82"/>
  <c r="G30" i="82"/>
  <c r="G29" i="82"/>
  <c r="G27" i="82"/>
  <c r="G26" i="82"/>
  <c r="G25" i="82"/>
  <c r="G24" i="82"/>
  <c r="G22" i="82"/>
  <c r="G21" i="82"/>
  <c r="L13" i="82" l="1"/>
  <c r="L10" i="82"/>
  <c r="L11" i="82"/>
  <c r="L12" i="82"/>
  <c r="K32" i="82"/>
  <c r="M35" i="82" l="1"/>
  <c r="L30" i="82"/>
  <c r="M23" i="82"/>
  <c r="L29" i="82"/>
  <c r="G6" i="82"/>
  <c r="F34" i="82"/>
  <c r="F31" i="82"/>
  <c r="F27" i="82"/>
  <c r="O25" i="82"/>
  <c r="U25" i="82" s="1"/>
  <c r="F22" i="82"/>
  <c r="S36" i="82"/>
  <c r="E36" i="82"/>
  <c r="K35" i="82"/>
  <c r="I35" i="82"/>
  <c r="E35" i="82"/>
  <c r="L34" i="82"/>
  <c r="J34" i="82"/>
  <c r="H34" i="82"/>
  <c r="D34" i="82"/>
  <c r="J33" i="82"/>
  <c r="H33" i="82"/>
  <c r="D33" i="82"/>
  <c r="I32" i="82"/>
  <c r="E32" i="82"/>
  <c r="J31" i="82"/>
  <c r="H31" i="82"/>
  <c r="D31" i="82"/>
  <c r="J30" i="82"/>
  <c r="H30" i="82"/>
  <c r="D30" i="82"/>
  <c r="H29" i="82"/>
  <c r="D29" i="82"/>
  <c r="E28" i="82"/>
  <c r="L27" i="82"/>
  <c r="H27" i="82"/>
  <c r="D27" i="82"/>
  <c r="L26" i="82"/>
  <c r="J26" i="82"/>
  <c r="D26" i="82"/>
  <c r="L25" i="82"/>
  <c r="J25" i="82"/>
  <c r="H25" i="82"/>
  <c r="D25" i="82"/>
  <c r="L24" i="82"/>
  <c r="K28" i="82"/>
  <c r="H24" i="82"/>
  <c r="D24" i="82"/>
  <c r="I23" i="82"/>
  <c r="E23" i="82"/>
  <c r="J22" i="82"/>
  <c r="H22" i="82"/>
  <c r="D22" i="82"/>
  <c r="L21" i="82"/>
  <c r="K36" i="82"/>
  <c r="H21" i="82"/>
  <c r="D21" i="82"/>
  <c r="I15" i="82"/>
  <c r="H15" i="82"/>
  <c r="G15" i="82"/>
  <c r="H6" i="82" s="1"/>
  <c r="D15" i="82"/>
  <c r="B15" i="82"/>
  <c r="J13" i="82"/>
  <c r="E13" i="82"/>
  <c r="J12" i="82"/>
  <c r="E12" i="82"/>
  <c r="J11" i="82"/>
  <c r="E11" i="82"/>
  <c r="J10" i="82"/>
  <c r="E10" i="82"/>
  <c r="H35" i="82" l="1"/>
  <c r="D35" i="82"/>
  <c r="J35" i="82"/>
  <c r="P15" i="82"/>
  <c r="O26" i="82"/>
  <c r="N26" i="82" s="1"/>
  <c r="L22" i="82"/>
  <c r="L23" i="82" s="1"/>
  <c r="O30" i="82"/>
  <c r="N30" i="82" s="1"/>
  <c r="M32" i="82"/>
  <c r="M28" i="82"/>
  <c r="L33" i="82"/>
  <c r="L35" i="82" s="1"/>
  <c r="L31" i="82"/>
  <c r="L32" i="82" s="1"/>
  <c r="G35" i="82"/>
  <c r="O34" i="82"/>
  <c r="G32" i="82"/>
  <c r="O27" i="82"/>
  <c r="N27" i="82" s="1"/>
  <c r="G28" i="82"/>
  <c r="F25" i="82"/>
  <c r="G36" i="82"/>
  <c r="D32" i="82"/>
  <c r="D28" i="82"/>
  <c r="D36" i="82"/>
  <c r="J15" i="82"/>
  <c r="E15" i="82"/>
  <c r="H36" i="82"/>
  <c r="H23" i="82"/>
  <c r="H28" i="82"/>
  <c r="H32" i="82"/>
  <c r="K6" i="82"/>
  <c r="L28" i="82"/>
  <c r="O21" i="82"/>
  <c r="O22" i="82"/>
  <c r="O24" i="82"/>
  <c r="O29" i="82"/>
  <c r="N11" i="82"/>
  <c r="Q11" i="82" s="1"/>
  <c r="N13" i="82"/>
  <c r="Q13" i="82" s="1"/>
  <c r="F21" i="82"/>
  <c r="J21" i="82"/>
  <c r="F24" i="82"/>
  <c r="J24" i="82"/>
  <c r="N25" i="82"/>
  <c r="F26" i="82"/>
  <c r="J27" i="82"/>
  <c r="I28" i="82"/>
  <c r="F29" i="82"/>
  <c r="J29" i="82"/>
  <c r="J32" i="82" s="1"/>
  <c r="F30" i="82"/>
  <c r="O31" i="82"/>
  <c r="N31" i="82" s="1"/>
  <c r="F33" i="82"/>
  <c r="F35" i="82" s="1"/>
  <c r="O33" i="82"/>
  <c r="D23" i="82"/>
  <c r="I36" i="82"/>
  <c r="M36" i="82"/>
  <c r="T36" i="82"/>
  <c r="N10" i="82"/>
  <c r="N12" i="82"/>
  <c r="Q12" i="82" s="1"/>
  <c r="G23" i="82"/>
  <c r="K23" i="82"/>
  <c r="U26" i="82" l="1"/>
  <c r="U30" i="82"/>
  <c r="F28" i="82"/>
  <c r="L36" i="82"/>
  <c r="U27" i="82"/>
  <c r="N34" i="82"/>
  <c r="U34" i="82"/>
  <c r="N15" i="82"/>
  <c r="Q10" i="82"/>
  <c r="Q15" i="82" s="1"/>
  <c r="F36" i="82"/>
  <c r="F23" i="82"/>
  <c r="O28" i="82"/>
  <c r="U24" i="82"/>
  <c r="N24" i="82"/>
  <c r="N28" i="82" s="1"/>
  <c r="L15" i="82"/>
  <c r="J28" i="82"/>
  <c r="F32" i="82"/>
  <c r="U31" i="82"/>
  <c r="O36" i="82"/>
  <c r="U36" i="82" s="1"/>
  <c r="O23" i="82"/>
  <c r="U21" i="82"/>
  <c r="N21" i="82"/>
  <c r="U22" i="82"/>
  <c r="N22" i="82"/>
  <c r="O35" i="82"/>
  <c r="N33" i="82"/>
  <c r="N35" i="82" s="1"/>
  <c r="J36" i="82"/>
  <c r="J23" i="82"/>
  <c r="O32" i="82"/>
  <c r="U29" i="82"/>
  <c r="N29" i="82"/>
  <c r="N32" i="82" s="1"/>
  <c r="U33" i="82"/>
  <c r="N23" i="82" l="1"/>
  <c r="N36" i="82"/>
  <c r="O34" i="83" l="1"/>
  <c r="F34" i="83"/>
  <c r="N34" i="83" l="1"/>
  <c r="U34" i="83"/>
  <c r="O33" i="83" l="1"/>
  <c r="F33" i="83"/>
  <c r="F35" i="83" s="1"/>
  <c r="L12" i="83"/>
  <c r="N12" i="83" s="1"/>
  <c r="Q12" i="83" s="1"/>
  <c r="G35" i="83"/>
  <c r="F27" i="83"/>
  <c r="O27" i="83"/>
  <c r="F26" i="83"/>
  <c r="O26" i="83"/>
  <c r="O25" i="83"/>
  <c r="F25" i="83"/>
  <c r="O30" i="83"/>
  <c r="F30" i="83"/>
  <c r="G28" i="83"/>
  <c r="F24" i="83"/>
  <c r="O24" i="83"/>
  <c r="L13" i="83"/>
  <c r="N13" i="83" s="1"/>
  <c r="Q13" i="83" s="1"/>
  <c r="O31" i="83"/>
  <c r="F31" i="83"/>
  <c r="O29" i="83"/>
  <c r="F29" i="83"/>
  <c r="L10" i="83"/>
  <c r="N10" i="83" s="1"/>
  <c r="Q10" i="83" s="1"/>
  <c r="G32" i="83"/>
  <c r="F22" i="83"/>
  <c r="O22" i="83"/>
  <c r="O21" i="83"/>
  <c r="L11" i="83"/>
  <c r="G23" i="83"/>
  <c r="F21" i="83"/>
  <c r="G36" i="83"/>
  <c r="O35" i="83" l="1"/>
  <c r="U33" i="83"/>
  <c r="N33" i="83"/>
  <c r="N35" i="83" s="1"/>
  <c r="U25" i="83"/>
  <c r="N25" i="83"/>
  <c r="U27" i="83"/>
  <c r="N27" i="83"/>
  <c r="F28" i="83"/>
  <c r="N30" i="83"/>
  <c r="U30" i="83"/>
  <c r="N26" i="83"/>
  <c r="U26" i="83"/>
  <c r="N24" i="83"/>
  <c r="U24" i="83"/>
  <c r="O28" i="83"/>
  <c r="U31" i="83"/>
  <c r="N31" i="83"/>
  <c r="F32" i="83"/>
  <c r="O32" i="83"/>
  <c r="U29" i="83"/>
  <c r="N29" i="83"/>
  <c r="U22" i="83"/>
  <c r="N22" i="83"/>
  <c r="U21" i="83"/>
  <c r="O36" i="83"/>
  <c r="U36" i="83" s="1"/>
  <c r="O23" i="83"/>
  <c r="N21" i="83"/>
  <c r="N11" i="83"/>
  <c r="L15" i="83"/>
  <c r="F36" i="83"/>
  <c r="F23" i="83"/>
  <c r="N28" i="83" l="1"/>
  <c r="N32" i="83"/>
  <c r="Q11" i="83"/>
  <c r="Q15" i="83" s="1"/>
  <c r="N15" i="83"/>
  <c r="N36" i="83"/>
  <c r="N23" i="83"/>
  <c r="Q12" i="85" l="1"/>
  <c r="P15" i="85" l="1"/>
  <c r="Q10" i="85"/>
  <c r="Q15" i="85" s="1"/>
</calcChain>
</file>

<file path=xl/sharedStrings.xml><?xml version="1.0" encoding="utf-8"?>
<sst xmlns="http://schemas.openxmlformats.org/spreadsheetml/2006/main" count="226" uniqueCount="62">
  <si>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</si>
  <si>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</si>
  <si>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</si>
  <si>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</si>
  <si>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</si>
  <si>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</si>
  <si>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</si>
  <si>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</si>
  <si>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</si>
  <si>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</si>
  <si>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</si>
  <si>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</si>
  <si>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</si>
  <si>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</si>
  <si>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</si>
  <si>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</si>
  <si>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</si>
  <si>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</si>
  <si>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</si>
  <si>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</si>
  <si>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</si>
  <si>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</si>
  <si>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</si>
  <si>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</si>
  <si>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</si>
  <si>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</si>
  <si>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</si>
  <si>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</si>
  <si>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</si>
  <si>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</si>
  <si>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</si>
  <si>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</si>
  <si>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</si>
  <si>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</si>
  <si>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</si>
  <si>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</si>
  <si>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</si>
  <si>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</si>
  <si>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</si>
  <si>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</si>
  <si>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</si>
  <si>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</si>
  <si>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</si>
  <si>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</si>
  <si>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</si>
  <si>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</si>
  <si>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</si>
  <si>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</si>
  <si>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</si>
  <si>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</si>
  <si>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</si>
  <si>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</si>
  <si>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</si>
  <si>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</si>
  <si>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</si>
  <si>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</si>
  <si>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</si>
  <si>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</si>
  <si>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15.06.2021</t>
  </si>
  <si>
    <t>BLENDED TEA  STATEMENT AS ON (01.06.2021 TO 15.06.2021)</t>
  </si>
  <si>
    <t>PACKED TEA  STATEMENT AS ON (01.06.2021 TO 15.06.2021)</t>
  </si>
  <si>
    <t>ORIGINAL/BLACK TEA  STATEMENT  AS ON  (01.06.2021 to 15.06.2021)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</si>
</sst>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22373.7</v>
          </cell>
        </row>
        <row r="25">
          <cell r="K25">
            <v>6085.12</v>
          </cell>
        </row>
        <row r="35">
          <cell r="K35">
            <v>0</v>
          </cell>
        </row>
        <row r="45">
          <cell r="K45">
            <v>21192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0</v>
          </cell>
          <cell r="C30">
            <v>1224</v>
          </cell>
          <cell r="D30">
            <v>10500</v>
          </cell>
          <cell r="E30">
            <v>552</v>
          </cell>
          <cell r="F30">
            <v>22</v>
          </cell>
          <cell r="G30">
            <v>0</v>
          </cell>
          <cell r="H30">
            <v>4296</v>
          </cell>
          <cell r="I30">
            <v>1488</v>
          </cell>
          <cell r="J30">
            <v>18480</v>
          </cell>
          <cell r="K30">
            <v>7716</v>
          </cell>
          <cell r="L30">
            <v>612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zoomScaleNormal="100" workbookViewId="0">
      <selection activeCell="G13" sqref="G13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87" t="s">
        <v>49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</row>
    <row r="2" spans="1:23" ht="15.75" thickBot="1" x14ac:dyDescent="0.3">
      <c r="A2" s="188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</row>
    <row r="3" spans="1:23" ht="15.75" thickBot="1" x14ac:dyDescent="0.3">
      <c r="A3" s="189" t="s">
        <v>50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59"/>
      <c r="M3" s="55"/>
    </row>
    <row r="4" spans="1:23" x14ac:dyDescent="0.25">
      <c r="A4" s="191"/>
      <c r="B4" s="192"/>
      <c r="C4" s="195" t="s">
        <v>46</v>
      </c>
      <c r="D4" s="196"/>
      <c r="E4" s="56" t="s">
        <v>0</v>
      </c>
      <c r="F4" s="197" t="s">
        <v>24</v>
      </c>
      <c r="G4" s="93" t="s">
        <v>1</v>
      </c>
      <c r="H4" s="191" t="s">
        <v>2</v>
      </c>
      <c r="I4" s="199"/>
      <c r="J4" s="192"/>
      <c r="K4" s="195" t="s">
        <v>3</v>
      </c>
      <c r="L4" s="196"/>
      <c r="M4" s="55"/>
    </row>
    <row r="5" spans="1:23" ht="15.75" thickBot="1" x14ac:dyDescent="0.3">
      <c r="A5" s="193"/>
      <c r="B5" s="194"/>
      <c r="C5" s="200" t="s">
        <v>4</v>
      </c>
      <c r="D5" s="201"/>
      <c r="E5" s="57" t="s">
        <v>5</v>
      </c>
      <c r="F5" s="198"/>
      <c r="G5" s="95"/>
      <c r="H5" s="174" t="s">
        <v>5</v>
      </c>
      <c r="I5" s="175"/>
      <c r="J5" s="176"/>
      <c r="K5" s="200" t="s">
        <v>5</v>
      </c>
      <c r="L5" s="201"/>
      <c r="M5" s="55"/>
      <c r="T5" s="29"/>
      <c r="U5" s="29"/>
    </row>
    <row r="6" spans="1:23" ht="15.75" thickBot="1" x14ac:dyDescent="0.3">
      <c r="A6" s="202"/>
      <c r="B6" s="203"/>
      <c r="C6" s="204">
        <v>666070.9</v>
      </c>
      <c r="D6" s="205"/>
      <c r="E6" s="54"/>
      <c r="F6" s="97"/>
      <c r="G6" s="91">
        <f>C6+E6+F6</f>
        <v>666070.9</v>
      </c>
      <c r="H6" s="204">
        <f>G15</f>
        <v>160041.90000000002</v>
      </c>
      <c r="I6" s="160"/>
      <c r="J6" s="205"/>
      <c r="K6" s="140">
        <f>G6-H6</f>
        <v>506029</v>
      </c>
      <c r="L6" s="141"/>
      <c r="M6" s="55"/>
      <c r="O6" s="29"/>
      <c r="Q6" s="29"/>
    </row>
    <row r="7" spans="1:23" ht="13.5" customHeight="1" thickBot="1" x14ac:dyDescent="0.3">
      <c r="A7" s="186" t="s">
        <v>51</v>
      </c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U7" s="29"/>
    </row>
    <row r="8" spans="1:23" ht="22.5" customHeight="1" x14ac:dyDescent="0.25">
      <c r="A8" s="179" t="s">
        <v>6</v>
      </c>
      <c r="B8" s="181" t="s">
        <v>46</v>
      </c>
      <c r="C8" s="182"/>
      <c r="D8" s="166" t="s">
        <v>41</v>
      </c>
      <c r="E8" s="168" t="s">
        <v>40</v>
      </c>
      <c r="F8" s="169"/>
      <c r="G8" s="166" t="s">
        <v>22</v>
      </c>
      <c r="H8" s="166" t="s">
        <v>23</v>
      </c>
      <c r="I8" s="96" t="s">
        <v>44</v>
      </c>
      <c r="J8" s="182" t="s">
        <v>1</v>
      </c>
      <c r="K8" s="183"/>
      <c r="L8" s="181" t="s">
        <v>7</v>
      </c>
      <c r="M8" s="182"/>
      <c r="N8" s="184" t="s">
        <v>3</v>
      </c>
      <c r="O8" s="185"/>
      <c r="P8" s="166" t="s">
        <v>42</v>
      </c>
      <c r="Q8" s="168" t="s">
        <v>35</v>
      </c>
      <c r="R8" s="169"/>
    </row>
    <row r="9" spans="1:23" ht="19.5" customHeight="1" thickBot="1" x14ac:dyDescent="0.3">
      <c r="A9" s="180"/>
      <c r="B9" s="174" t="s">
        <v>5</v>
      </c>
      <c r="C9" s="175"/>
      <c r="D9" s="167"/>
      <c r="E9" s="170"/>
      <c r="F9" s="171"/>
      <c r="G9" s="167"/>
      <c r="H9" s="167"/>
      <c r="I9" s="94" t="s">
        <v>45</v>
      </c>
      <c r="J9" s="175" t="s">
        <v>5</v>
      </c>
      <c r="K9" s="176"/>
      <c r="L9" s="174" t="s">
        <v>5</v>
      </c>
      <c r="M9" s="175"/>
      <c r="N9" s="177" t="s">
        <v>5</v>
      </c>
      <c r="O9" s="178"/>
      <c r="P9" s="167"/>
      <c r="Q9" s="170"/>
      <c r="R9" s="171"/>
    </row>
    <row r="10" spans="1:23" ht="15.75" customHeight="1" thickBot="1" x14ac:dyDescent="0.3">
      <c r="A10" s="58" t="s">
        <v>8</v>
      </c>
      <c r="B10" s="140">
        <v>2060.5</v>
      </c>
      <c r="C10" s="160"/>
      <c r="D10" s="60">
        <v>0</v>
      </c>
      <c r="E10" s="140">
        <f>B10-D10</f>
        <v>2060.5</v>
      </c>
      <c r="F10" s="141"/>
      <c r="G10" s="92">
        <f>36127.6+36854+36195.2</f>
        <v>109176.8</v>
      </c>
      <c r="H10" s="60">
        <f>145+147.41</f>
        <v>292.40999999999997</v>
      </c>
      <c r="I10" s="60"/>
      <c r="J10" s="140">
        <f>B10+G10+H10+I10</f>
        <v>111529.71</v>
      </c>
      <c r="K10" s="141"/>
      <c r="L10" s="140">
        <f>G29+G30+G31</f>
        <v>74136</v>
      </c>
      <c r="M10" s="161"/>
      <c r="N10" s="140">
        <f>J10-L10</f>
        <v>37393.710000000006</v>
      </c>
      <c r="O10" s="141"/>
      <c r="P10" s="60">
        <f>'[1]April 2021-22'!$K$41</f>
        <v>28956.159999999996</v>
      </c>
      <c r="Q10" s="140">
        <f>N10-P10</f>
        <v>8437.5500000000102</v>
      </c>
      <c r="R10" s="165"/>
      <c r="S10" s="32"/>
    </row>
    <row r="11" spans="1:23" ht="15.75" thickBot="1" x14ac:dyDescent="0.3">
      <c r="A11" s="58" t="s">
        <v>9</v>
      </c>
      <c r="B11" s="140">
        <v>6061.85</v>
      </c>
      <c r="C11" s="160"/>
      <c r="D11" s="60">
        <v>0</v>
      </c>
      <c r="E11" s="140">
        <f t="shared" ref="E11:E13" si="0">B11-D11</f>
        <v>6061.85</v>
      </c>
      <c r="F11" s="141"/>
      <c r="G11" s="92">
        <v>15212.8</v>
      </c>
      <c r="H11" s="60"/>
      <c r="I11" s="60"/>
      <c r="J11" s="140">
        <f>B11+G11+H11+I11</f>
        <v>21274.65</v>
      </c>
      <c r="K11" s="141"/>
      <c r="L11" s="140">
        <f>SUM(G21:G22)</f>
        <v>8664</v>
      </c>
      <c r="M11" s="161"/>
      <c r="N11" s="172">
        <f>J11-L11</f>
        <v>12610.650000000001</v>
      </c>
      <c r="O11" s="173"/>
      <c r="P11" s="61">
        <f>'[1]April 2021-22'!$K$65</f>
        <v>12170.24</v>
      </c>
      <c r="Q11" s="140">
        <f t="shared" ref="Q11:Q13" si="1">N11-P11</f>
        <v>440.41000000000167</v>
      </c>
      <c r="R11" s="165"/>
      <c r="S11" s="32"/>
    </row>
    <row r="12" spans="1:23" ht="15.75" customHeight="1" thickBot="1" x14ac:dyDescent="0.3">
      <c r="A12" s="58" t="s">
        <v>10</v>
      </c>
      <c r="B12" s="140">
        <v>11800.7</v>
      </c>
      <c r="C12" s="160"/>
      <c r="D12" s="60">
        <v>0</v>
      </c>
      <c r="E12" s="140">
        <f t="shared" si="0"/>
        <v>11800.7</v>
      </c>
      <c r="F12" s="141"/>
      <c r="G12" s="92"/>
      <c r="H12" s="60"/>
      <c r="I12" s="60"/>
      <c r="J12" s="140">
        <f>B12+G12+H12+I12</f>
        <v>11800.7</v>
      </c>
      <c r="K12" s="141"/>
      <c r="L12" s="140">
        <f>SUM(G33:G34)</f>
        <v>7560</v>
      </c>
      <c r="M12" s="165"/>
      <c r="N12" s="140">
        <f>J12-L12</f>
        <v>4240.7000000000007</v>
      </c>
      <c r="O12" s="141"/>
      <c r="P12" s="61">
        <f>'[1]April 2021-22'!$K$57</f>
        <v>0</v>
      </c>
      <c r="Q12" s="140">
        <f t="shared" si="1"/>
        <v>4240.7000000000007</v>
      </c>
      <c r="R12" s="165"/>
    </row>
    <row r="13" spans="1:23" ht="15.75" thickBot="1" x14ac:dyDescent="0.3">
      <c r="A13" s="58" t="s">
        <v>30</v>
      </c>
      <c r="B13" s="140">
        <v>30749.88</v>
      </c>
      <c r="C13" s="160"/>
      <c r="D13" s="60">
        <v>0</v>
      </c>
      <c r="E13" s="140">
        <f t="shared" si="0"/>
        <v>30749.88</v>
      </c>
      <c r="F13" s="141"/>
      <c r="G13" s="92">
        <f>35652.3</f>
        <v>35652.300000000003</v>
      </c>
      <c r="H13" s="60"/>
      <c r="I13" s="60"/>
      <c r="J13" s="140">
        <f>B13+G13+H13+I13</f>
        <v>66402.180000000008</v>
      </c>
      <c r="K13" s="141"/>
      <c r="L13" s="140">
        <f>G24+G25+G26+G27</f>
        <v>38302</v>
      </c>
      <c r="M13" s="165"/>
      <c r="N13" s="140">
        <f>J13-L13</f>
        <v>28100.180000000008</v>
      </c>
      <c r="O13" s="141"/>
      <c r="P13" s="61">
        <f>'[1]April 2021-22'!$K$49</f>
        <v>21391.380000000005</v>
      </c>
      <c r="Q13" s="140">
        <f t="shared" si="1"/>
        <v>6708.8000000000029</v>
      </c>
      <c r="R13" s="165"/>
      <c r="U13" s="29"/>
      <c r="W13" s="29"/>
    </row>
    <row r="14" spans="1:23" ht="15.75" customHeight="1" thickBot="1" x14ac:dyDescent="0.3">
      <c r="A14" s="58"/>
      <c r="B14" s="162"/>
      <c r="C14" s="163"/>
      <c r="D14" s="61"/>
      <c r="E14" s="162"/>
      <c r="F14" s="164"/>
      <c r="G14" s="92"/>
      <c r="H14" s="60"/>
      <c r="I14" s="60"/>
      <c r="J14" s="160"/>
      <c r="K14" s="141"/>
      <c r="L14" s="140"/>
      <c r="M14" s="141"/>
      <c r="N14" s="62"/>
      <c r="O14" s="63"/>
      <c r="P14" s="60"/>
      <c r="Q14" s="140"/>
      <c r="R14" s="165"/>
      <c r="T14" s="64"/>
    </row>
    <row r="15" spans="1:23" ht="15.75" thickBot="1" x14ac:dyDescent="0.3">
      <c r="A15" s="59" t="s">
        <v>1</v>
      </c>
      <c r="B15" s="140">
        <f>SUM(B10:C14)</f>
        <v>50672.930000000008</v>
      </c>
      <c r="C15" s="141"/>
      <c r="D15" s="60">
        <f>SUM(D10:D14)</f>
        <v>0</v>
      </c>
      <c r="E15" s="140">
        <f>SUM(E10:F14)</f>
        <v>50672.930000000008</v>
      </c>
      <c r="F15" s="159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60">
        <f>SUM(J10:K14)</f>
        <v>211007.24000000005</v>
      </c>
      <c r="K15" s="141"/>
      <c r="L15" s="140">
        <f>SUM(L10:M14)</f>
        <v>128662</v>
      </c>
      <c r="M15" s="161"/>
      <c r="N15" s="140">
        <f>SUM(N10:O14)</f>
        <v>82345.24000000002</v>
      </c>
      <c r="O15" s="141"/>
      <c r="P15" s="60">
        <f>SUM(P10:P14)</f>
        <v>62517.78</v>
      </c>
      <c r="Q15" s="140">
        <f>SUM(Q10:R13)</f>
        <v>19827.460000000014</v>
      </c>
      <c r="R15" s="141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42" t="s">
        <v>11</v>
      </c>
      <c r="B17" s="143"/>
      <c r="C17" s="143"/>
      <c r="D17" s="150" t="s">
        <v>52</v>
      </c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2"/>
      <c r="P17" s="68"/>
      <c r="Q17" s="68"/>
      <c r="R17" s="68"/>
      <c r="S17" s="68"/>
    </row>
    <row r="18" spans="1:23" ht="15.75" customHeight="1" thickBot="1" x14ac:dyDescent="0.3">
      <c r="A18" s="144"/>
      <c r="B18" s="145"/>
      <c r="C18" s="146"/>
      <c r="D18" s="153" t="s">
        <v>46</v>
      </c>
      <c r="E18" s="154"/>
      <c r="F18" s="153" t="s">
        <v>7</v>
      </c>
      <c r="G18" s="154"/>
      <c r="H18" s="157" t="s">
        <v>32</v>
      </c>
      <c r="I18" s="158"/>
      <c r="J18" s="158"/>
      <c r="K18" s="158"/>
      <c r="L18" s="153" t="s">
        <v>31</v>
      </c>
      <c r="M18" s="154"/>
      <c r="N18" s="153" t="s">
        <v>12</v>
      </c>
      <c r="O18" s="154"/>
    </row>
    <row r="19" spans="1:23" ht="15.75" customHeight="1" thickBot="1" x14ac:dyDescent="0.3">
      <c r="A19" s="144"/>
      <c r="B19" s="145"/>
      <c r="C19" s="146"/>
      <c r="D19" s="155"/>
      <c r="E19" s="156"/>
      <c r="F19" s="153"/>
      <c r="G19" s="154"/>
      <c r="H19" s="150" t="s">
        <v>33</v>
      </c>
      <c r="I19" s="151"/>
      <c r="J19" s="150" t="s">
        <v>34</v>
      </c>
      <c r="K19" s="151"/>
      <c r="L19" s="155"/>
      <c r="M19" s="156"/>
      <c r="N19" s="155"/>
      <c r="O19" s="156"/>
    </row>
    <row r="20" spans="1:23" s="71" customFormat="1" ht="15.75" thickBot="1" x14ac:dyDescent="0.3">
      <c r="A20" s="147"/>
      <c r="B20" s="148"/>
      <c r="C20" s="149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19" t="s">
        <v>13</v>
      </c>
      <c r="B21" s="120"/>
      <c r="C21" s="121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22" t="s">
        <v>14</v>
      </c>
      <c r="B22" s="123"/>
      <c r="C22" s="124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 x14ac:dyDescent="0.3">
      <c r="A23" s="125" t="s">
        <v>36</v>
      </c>
      <c r="B23" s="126"/>
      <c r="C23" s="127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 x14ac:dyDescent="0.3">
      <c r="A24" s="119" t="s">
        <v>15</v>
      </c>
      <c r="B24" s="120"/>
      <c r="C24" s="121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 x14ac:dyDescent="0.3">
      <c r="A25" s="137" t="s">
        <v>18</v>
      </c>
      <c r="B25" s="138"/>
      <c r="C25" s="139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34" t="s">
        <v>47</v>
      </c>
      <c r="B26" s="135"/>
      <c r="C26" s="136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31" t="s">
        <v>48</v>
      </c>
      <c r="B27" s="132"/>
      <c r="C27" s="133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 x14ac:dyDescent="0.3">
      <c r="A28" s="125" t="s">
        <v>37</v>
      </c>
      <c r="B28" s="126"/>
      <c r="C28" s="127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 x14ac:dyDescent="0.25">
      <c r="A29" s="119" t="s">
        <v>16</v>
      </c>
      <c r="B29" s="120"/>
      <c r="C29" s="121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34" t="s">
        <v>43</v>
      </c>
      <c r="B30" s="135"/>
      <c r="C30" s="136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34" t="s">
        <v>17</v>
      </c>
      <c r="B31" s="135"/>
      <c r="C31" s="136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 x14ac:dyDescent="0.3">
      <c r="A32" s="125" t="s">
        <v>38</v>
      </c>
      <c r="B32" s="126"/>
      <c r="C32" s="127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 x14ac:dyDescent="0.25">
      <c r="A33" s="119" t="s">
        <v>19</v>
      </c>
      <c r="B33" s="120"/>
      <c r="C33" s="121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 x14ac:dyDescent="0.3">
      <c r="A34" s="122" t="s">
        <v>20</v>
      </c>
      <c r="B34" s="123"/>
      <c r="C34" s="124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25" t="s">
        <v>39</v>
      </c>
      <c r="B35" s="126"/>
      <c r="C35" s="127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 x14ac:dyDescent="0.3">
      <c r="A36" s="128" t="s">
        <v>21</v>
      </c>
      <c r="B36" s="129"/>
      <c r="C36" s="130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2"/>
  <sheetViews>
    <sheetView zoomScaleNormal="100" workbookViewId="0">
      <selection activeCell="G12" sqref="G12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87" t="s">
        <v>54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</row>
    <row r="2" spans="1:23" ht="15.75" thickBot="1" x14ac:dyDescent="0.3">
      <c r="A2" s="188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</row>
    <row r="3" spans="1:23" ht="15.75" thickBot="1" x14ac:dyDescent="0.3">
      <c r="A3" s="189" t="s">
        <v>55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59"/>
      <c r="M3" s="55"/>
    </row>
    <row r="4" spans="1:23" x14ac:dyDescent="0.25">
      <c r="A4" s="191"/>
      <c r="B4" s="192"/>
      <c r="C4" s="195" t="s">
        <v>46</v>
      </c>
      <c r="D4" s="196"/>
      <c r="E4" s="56" t="s">
        <v>0</v>
      </c>
      <c r="F4" s="197" t="s">
        <v>24</v>
      </c>
      <c r="G4" s="101" t="s">
        <v>1</v>
      </c>
      <c r="H4" s="191" t="s">
        <v>2</v>
      </c>
      <c r="I4" s="199"/>
      <c r="J4" s="192"/>
      <c r="K4" s="195" t="s">
        <v>3</v>
      </c>
      <c r="L4" s="196"/>
      <c r="M4" s="55"/>
    </row>
    <row r="5" spans="1:23" ht="15.75" thickBot="1" x14ac:dyDescent="0.3">
      <c r="A5" s="193"/>
      <c r="B5" s="194"/>
      <c r="C5" s="200" t="s">
        <v>4</v>
      </c>
      <c r="D5" s="201"/>
      <c r="E5" s="57" t="s">
        <v>5</v>
      </c>
      <c r="F5" s="198"/>
      <c r="G5" s="103"/>
      <c r="H5" s="174" t="s">
        <v>5</v>
      </c>
      <c r="I5" s="175"/>
      <c r="J5" s="176"/>
      <c r="K5" s="200" t="s">
        <v>5</v>
      </c>
      <c r="L5" s="201"/>
      <c r="M5" s="55"/>
      <c r="T5" s="29"/>
      <c r="U5" s="29"/>
    </row>
    <row r="6" spans="1:23" ht="15.75" thickBot="1" x14ac:dyDescent="0.3">
      <c r="A6" s="202"/>
      <c r="B6" s="203"/>
      <c r="C6" s="204">
        <v>506029</v>
      </c>
      <c r="D6" s="205"/>
      <c r="E6" s="54"/>
      <c r="F6" s="107"/>
      <c r="G6" s="104">
        <f>C6+E6+F6</f>
        <v>506029</v>
      </c>
      <c r="H6" s="204">
        <f>G15</f>
        <v>51224.7</v>
      </c>
      <c r="I6" s="160"/>
      <c r="J6" s="205"/>
      <c r="K6" s="140">
        <f>G6-H6</f>
        <v>454804.3</v>
      </c>
      <c r="L6" s="141"/>
      <c r="M6" s="55"/>
      <c r="O6" s="29"/>
      <c r="Q6" s="29"/>
    </row>
    <row r="7" spans="1:23" ht="13.5" customHeight="1" thickBot="1" x14ac:dyDescent="0.3">
      <c r="A7" s="186" t="s">
        <v>56</v>
      </c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U7" s="29"/>
    </row>
    <row r="8" spans="1:23" ht="22.5" customHeight="1" x14ac:dyDescent="0.25">
      <c r="A8" s="179" t="s">
        <v>6</v>
      </c>
      <c r="B8" s="181" t="s">
        <v>46</v>
      </c>
      <c r="C8" s="182"/>
      <c r="D8" s="166" t="s">
        <v>41</v>
      </c>
      <c r="E8" s="168" t="s">
        <v>40</v>
      </c>
      <c r="F8" s="169"/>
      <c r="G8" s="166" t="s">
        <v>22</v>
      </c>
      <c r="H8" s="166" t="s">
        <v>23</v>
      </c>
      <c r="I8" s="106" t="s">
        <v>44</v>
      </c>
      <c r="J8" s="182" t="s">
        <v>1</v>
      </c>
      <c r="K8" s="183"/>
      <c r="L8" s="181" t="s">
        <v>7</v>
      </c>
      <c r="M8" s="182"/>
      <c r="N8" s="184" t="s">
        <v>3</v>
      </c>
      <c r="O8" s="185"/>
      <c r="P8" s="166" t="s">
        <v>42</v>
      </c>
      <c r="Q8" s="168" t="s">
        <v>35</v>
      </c>
      <c r="R8" s="169"/>
    </row>
    <row r="9" spans="1:23" ht="19.5" customHeight="1" thickBot="1" x14ac:dyDescent="0.3">
      <c r="A9" s="180"/>
      <c r="B9" s="174" t="s">
        <v>5</v>
      </c>
      <c r="C9" s="175"/>
      <c r="D9" s="167"/>
      <c r="E9" s="170"/>
      <c r="F9" s="171"/>
      <c r="G9" s="167"/>
      <c r="H9" s="167"/>
      <c r="I9" s="102" t="s">
        <v>45</v>
      </c>
      <c r="J9" s="175" t="s">
        <v>5</v>
      </c>
      <c r="K9" s="176"/>
      <c r="L9" s="174" t="s">
        <v>5</v>
      </c>
      <c r="M9" s="175"/>
      <c r="N9" s="177" t="s">
        <v>5</v>
      </c>
      <c r="O9" s="178"/>
      <c r="P9" s="167"/>
      <c r="Q9" s="170"/>
      <c r="R9" s="171"/>
    </row>
    <row r="10" spans="1:23" ht="15.75" customHeight="1" thickBot="1" x14ac:dyDescent="0.3">
      <c r="A10" s="58" t="s">
        <v>8</v>
      </c>
      <c r="B10" s="140">
        <v>37393.71</v>
      </c>
      <c r="C10" s="160"/>
      <c r="D10" s="60">
        <v>28956.16</v>
      </c>
      <c r="E10" s="140">
        <f>B10-D10</f>
        <v>8437.5499999999993</v>
      </c>
      <c r="F10" s="141"/>
      <c r="G10" s="105">
        <v>35224</v>
      </c>
      <c r="H10" s="60">
        <v>144.78</v>
      </c>
      <c r="I10" s="60"/>
      <c r="J10" s="140">
        <f>B10+G10+H10+I10</f>
        <v>72762.489999999991</v>
      </c>
      <c r="K10" s="141"/>
      <c r="L10" s="140">
        <f>G29+G30+G31</f>
        <v>52536</v>
      </c>
      <c r="M10" s="161"/>
      <c r="N10" s="140">
        <f>J10-L10</f>
        <v>20226.489999999991</v>
      </c>
      <c r="O10" s="141"/>
      <c r="P10" s="60">
        <f>'[1]May 2021'!$K$15</f>
        <v>7044.7999999999993</v>
      </c>
      <c r="Q10" s="140">
        <f>N10-P10</f>
        <v>13181.689999999991</v>
      </c>
      <c r="R10" s="165"/>
      <c r="S10" s="32"/>
      <c r="U10" s="2" t="s">
        <v>53</v>
      </c>
    </row>
    <row r="11" spans="1:23" ht="15.75" thickBot="1" x14ac:dyDescent="0.3">
      <c r="A11" s="58" t="s">
        <v>9</v>
      </c>
      <c r="B11" s="140">
        <v>12610.65</v>
      </c>
      <c r="C11" s="160"/>
      <c r="D11" s="60">
        <v>12170.24</v>
      </c>
      <c r="E11" s="140">
        <f t="shared" ref="E11:E13" si="0">B11-D11</f>
        <v>440.40999999999985</v>
      </c>
      <c r="F11" s="141"/>
      <c r="G11" s="105"/>
      <c r="H11" s="60"/>
      <c r="I11" s="60"/>
      <c r="J11" s="140">
        <f>B11+G11+H11+I11</f>
        <v>12610.65</v>
      </c>
      <c r="K11" s="141"/>
      <c r="L11" s="140">
        <f>SUM(G21:G22)</f>
        <v>4344</v>
      </c>
      <c r="M11" s="161"/>
      <c r="N11" s="172">
        <f>J11-L11</f>
        <v>8266.65</v>
      </c>
      <c r="O11" s="173"/>
      <c r="P11" s="60">
        <f>'[1]May 2021'!$K$25</f>
        <v>6085.12</v>
      </c>
      <c r="Q11" s="140">
        <f t="shared" ref="Q11:Q13" si="1">N11-P11</f>
        <v>2181.5299999999997</v>
      </c>
      <c r="R11" s="165"/>
      <c r="S11" s="32"/>
    </row>
    <row r="12" spans="1:23" ht="15.75" customHeight="1" thickBot="1" x14ac:dyDescent="0.3">
      <c r="A12" s="58" t="s">
        <v>10</v>
      </c>
      <c r="B12" s="140">
        <v>4240.7</v>
      </c>
      <c r="C12" s="160"/>
      <c r="D12" s="60">
        <v>0</v>
      </c>
      <c r="E12" s="140">
        <f t="shared" si="0"/>
        <v>4240.7</v>
      </c>
      <c r="F12" s="141"/>
      <c r="G12" s="105">
        <v>16000.7</v>
      </c>
      <c r="H12" s="60"/>
      <c r="I12" s="60"/>
      <c r="J12" s="140">
        <f>B12+G12+H12+I12</f>
        <v>20241.400000000001</v>
      </c>
      <c r="K12" s="141"/>
      <c r="L12" s="140">
        <f>SUM(G33:G34)</f>
        <v>9492</v>
      </c>
      <c r="M12" s="165"/>
      <c r="N12" s="140">
        <f>J12-L12</f>
        <v>10749.400000000001</v>
      </c>
      <c r="O12" s="141"/>
      <c r="P12" s="60">
        <f>'[1]May 2021'!$K$35</f>
        <v>9600.42</v>
      </c>
      <c r="Q12" s="140">
        <f t="shared" si="1"/>
        <v>1148.9800000000014</v>
      </c>
      <c r="R12" s="165"/>
    </row>
    <row r="13" spans="1:23" ht="15.75" thickBot="1" x14ac:dyDescent="0.3">
      <c r="A13" s="58" t="s">
        <v>30</v>
      </c>
      <c r="B13" s="140">
        <v>28100.18</v>
      </c>
      <c r="C13" s="160"/>
      <c r="D13" s="60">
        <v>21391.38</v>
      </c>
      <c r="E13" s="140">
        <f t="shared" si="0"/>
        <v>6708.7999999999993</v>
      </c>
      <c r="F13" s="141"/>
      <c r="G13" s="105"/>
      <c r="H13" s="60">
        <v>142.61000000000001</v>
      </c>
      <c r="I13" s="60"/>
      <c r="J13" s="140">
        <f>B13+G13+H13+I13</f>
        <v>28242.79</v>
      </c>
      <c r="K13" s="141"/>
      <c r="L13" s="140">
        <f>G24+G25+G26+G27</f>
        <v>24454</v>
      </c>
      <c r="M13" s="165"/>
      <c r="N13" s="140">
        <f>J13-L13</f>
        <v>3788.7900000000009</v>
      </c>
      <c r="O13" s="141"/>
      <c r="P13" s="60">
        <f>'[1]May 2021'!$K$45</f>
        <v>0</v>
      </c>
      <c r="Q13" s="140">
        <f t="shared" si="1"/>
        <v>3788.7900000000009</v>
      </c>
      <c r="R13" s="165"/>
      <c r="V13" s="29"/>
      <c r="W13" s="29"/>
    </row>
    <row r="14" spans="1:23" ht="15.75" customHeight="1" thickBot="1" x14ac:dyDescent="0.3">
      <c r="A14" s="58"/>
      <c r="B14" s="162"/>
      <c r="C14" s="163"/>
      <c r="D14" s="61"/>
      <c r="E14" s="162"/>
      <c r="F14" s="164"/>
      <c r="G14" s="105"/>
      <c r="H14" s="60"/>
      <c r="I14" s="60"/>
      <c r="J14" s="160"/>
      <c r="K14" s="141"/>
      <c r="L14" s="140"/>
      <c r="M14" s="141"/>
      <c r="N14" s="62"/>
      <c r="O14" s="63"/>
      <c r="P14" s="60"/>
      <c r="Q14" s="140"/>
      <c r="R14" s="165"/>
      <c r="T14" s="64"/>
    </row>
    <row r="15" spans="1:23" ht="15.75" thickBot="1" x14ac:dyDescent="0.3">
      <c r="A15" s="59" t="s">
        <v>1</v>
      </c>
      <c r="B15" s="140">
        <f>SUM(B10:C14)</f>
        <v>82345.239999999991</v>
      </c>
      <c r="C15" s="141"/>
      <c r="D15" s="60">
        <f>SUM(D10:D14)</f>
        <v>62517.78</v>
      </c>
      <c r="E15" s="140">
        <f>SUM(E10:F14)</f>
        <v>19827.46</v>
      </c>
      <c r="F15" s="159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60">
        <f>SUM(J10:K14)</f>
        <v>133857.32999999999</v>
      </c>
      <c r="K15" s="141"/>
      <c r="L15" s="140">
        <f>SUM(L10:M14)</f>
        <v>90826</v>
      </c>
      <c r="M15" s="161"/>
      <c r="N15" s="140">
        <f>SUM(N10:O14)</f>
        <v>43031.329999999994</v>
      </c>
      <c r="O15" s="141"/>
      <c r="P15" s="60">
        <f>SUM(P10:P14)</f>
        <v>22730.339999999997</v>
      </c>
      <c r="Q15" s="140">
        <f>SUM(Q10:R13)</f>
        <v>20300.989999999991</v>
      </c>
      <c r="R15" s="141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42" t="s">
        <v>11</v>
      </c>
      <c r="B17" s="143"/>
      <c r="C17" s="143"/>
      <c r="D17" s="150" t="s">
        <v>57</v>
      </c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2"/>
      <c r="P17" s="68"/>
      <c r="Q17" s="68"/>
      <c r="R17" s="68"/>
      <c r="S17" s="68"/>
    </row>
    <row r="18" spans="1:23" ht="15.75" customHeight="1" thickBot="1" x14ac:dyDescent="0.3">
      <c r="A18" s="144"/>
      <c r="B18" s="145"/>
      <c r="C18" s="146"/>
      <c r="D18" s="153" t="s">
        <v>46</v>
      </c>
      <c r="E18" s="154"/>
      <c r="F18" s="153" t="s">
        <v>7</v>
      </c>
      <c r="G18" s="154"/>
      <c r="H18" s="157" t="s">
        <v>32</v>
      </c>
      <c r="I18" s="158"/>
      <c r="J18" s="158"/>
      <c r="K18" s="158"/>
      <c r="L18" s="153" t="s">
        <v>31</v>
      </c>
      <c r="M18" s="154"/>
      <c r="N18" s="153" t="s">
        <v>12</v>
      </c>
      <c r="O18" s="154"/>
    </row>
    <row r="19" spans="1:23" ht="15.75" customHeight="1" thickBot="1" x14ac:dyDescent="0.3">
      <c r="A19" s="144"/>
      <c r="B19" s="145"/>
      <c r="C19" s="146"/>
      <c r="D19" s="155"/>
      <c r="E19" s="156"/>
      <c r="F19" s="153"/>
      <c r="G19" s="154"/>
      <c r="H19" s="150" t="s">
        <v>33</v>
      </c>
      <c r="I19" s="151"/>
      <c r="J19" s="150" t="s">
        <v>34</v>
      </c>
      <c r="K19" s="151"/>
      <c r="L19" s="155"/>
      <c r="M19" s="156"/>
      <c r="N19" s="155"/>
      <c r="O19" s="156"/>
    </row>
    <row r="20" spans="1:23" s="71" customFormat="1" ht="15.75" thickBot="1" x14ac:dyDescent="0.3">
      <c r="A20" s="147"/>
      <c r="B20" s="148"/>
      <c r="C20" s="149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19" t="s">
        <v>13</v>
      </c>
      <c r="B21" s="120"/>
      <c r="C21" s="121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 x14ac:dyDescent="0.3">
      <c r="A22" s="122" t="s">
        <v>14</v>
      </c>
      <c r="B22" s="123"/>
      <c r="C22" s="124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 x14ac:dyDescent="0.3">
      <c r="A23" s="125" t="s">
        <v>36</v>
      </c>
      <c r="B23" s="126"/>
      <c r="C23" s="127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 x14ac:dyDescent="0.3">
      <c r="A24" s="119" t="s">
        <v>15</v>
      </c>
      <c r="B24" s="120"/>
      <c r="C24" s="121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 x14ac:dyDescent="0.3">
      <c r="A25" s="137" t="s">
        <v>18</v>
      </c>
      <c r="B25" s="138"/>
      <c r="C25" s="139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34" t="s">
        <v>47</v>
      </c>
      <c r="B26" s="135"/>
      <c r="C26" s="136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31" t="s">
        <v>48</v>
      </c>
      <c r="B27" s="132"/>
      <c r="C27" s="133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 x14ac:dyDescent="0.3">
      <c r="A28" s="125" t="s">
        <v>37</v>
      </c>
      <c r="B28" s="126"/>
      <c r="C28" s="127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 x14ac:dyDescent="0.25">
      <c r="A29" s="119" t="s">
        <v>16</v>
      </c>
      <c r="B29" s="120"/>
      <c r="C29" s="121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34" t="s">
        <v>43</v>
      </c>
      <c r="B30" s="135"/>
      <c r="C30" s="136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34" t="s">
        <v>17</v>
      </c>
      <c r="B31" s="135"/>
      <c r="C31" s="136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 x14ac:dyDescent="0.3">
      <c r="A32" s="125" t="s">
        <v>38</v>
      </c>
      <c r="B32" s="126"/>
      <c r="C32" s="127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 x14ac:dyDescent="0.25">
      <c r="A33" s="119" t="s">
        <v>19</v>
      </c>
      <c r="B33" s="120"/>
      <c r="C33" s="121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 x14ac:dyDescent="0.3">
      <c r="A34" s="122" t="s">
        <v>20</v>
      </c>
      <c r="B34" s="123"/>
      <c r="C34" s="124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25" t="s">
        <v>39</v>
      </c>
      <c r="B35" s="126"/>
      <c r="C35" s="127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 x14ac:dyDescent="0.3">
      <c r="A36" s="128" t="s">
        <v>21</v>
      </c>
      <c r="B36" s="129"/>
      <c r="C36" s="130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346F3-F030-4011-A525-83F8ADE27F81}">
  <dimension ref="A1:W42"/>
  <sheetViews>
    <sheetView tabSelected="1" zoomScaleNormal="100" workbookViewId="0">
      <selection activeCell="K6" sqref="K6:L6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87" t="s">
        <v>58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</row>
    <row r="2" spans="1:23" ht="15.75" thickBot="1" x14ac:dyDescent="0.3">
      <c r="A2" s="188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</row>
    <row r="3" spans="1:23" ht="15.75" thickBot="1" x14ac:dyDescent="0.3">
      <c r="A3" s="189" t="s">
        <v>61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59"/>
      <c r="M3" s="55"/>
    </row>
    <row r="4" spans="1:23" x14ac:dyDescent="0.25">
      <c r="A4" s="191"/>
      <c r="B4" s="192"/>
      <c r="C4" s="195" t="s">
        <v>46</v>
      </c>
      <c r="D4" s="196"/>
      <c r="E4" s="56" t="s">
        <v>0</v>
      </c>
      <c r="F4" s="197" t="s">
        <v>24</v>
      </c>
      <c r="G4" s="116" t="s">
        <v>1</v>
      </c>
      <c r="H4" s="191" t="s">
        <v>2</v>
      </c>
      <c r="I4" s="199"/>
      <c r="J4" s="192"/>
      <c r="K4" s="195" t="s">
        <v>3</v>
      </c>
      <c r="L4" s="196"/>
      <c r="M4" s="55"/>
    </row>
    <row r="5" spans="1:23" ht="15.75" thickBot="1" x14ac:dyDescent="0.3">
      <c r="A5" s="193"/>
      <c r="B5" s="194"/>
      <c r="C5" s="200" t="s">
        <v>4</v>
      </c>
      <c r="D5" s="201"/>
      <c r="E5" s="57" t="s">
        <v>5</v>
      </c>
      <c r="F5" s="198"/>
      <c r="G5" s="115"/>
      <c r="H5" s="174" t="s">
        <v>5</v>
      </c>
      <c r="I5" s="175"/>
      <c r="J5" s="176"/>
      <c r="K5" s="200" t="s">
        <v>5</v>
      </c>
      <c r="L5" s="201"/>
      <c r="M5" s="55"/>
      <c r="T5" s="29"/>
      <c r="U5" s="29"/>
    </row>
    <row r="6" spans="1:23" ht="15.75" thickBot="1" x14ac:dyDescent="0.3">
      <c r="A6" s="202"/>
      <c r="B6" s="203"/>
      <c r="C6" s="204">
        <v>454804.3</v>
      </c>
      <c r="D6" s="205"/>
      <c r="E6" s="54"/>
      <c r="F6" s="114"/>
      <c r="G6" s="118">
        <f>C6+E6+F6</f>
        <v>454804.3</v>
      </c>
      <c r="H6" s="204">
        <f>G15</f>
        <v>72609.5</v>
      </c>
      <c r="I6" s="160"/>
      <c r="J6" s="205"/>
      <c r="K6" s="140">
        <f>G6-H6</f>
        <v>382194.8</v>
      </c>
      <c r="L6" s="141"/>
      <c r="M6" s="55"/>
      <c r="O6" s="29"/>
      <c r="Q6" s="29"/>
    </row>
    <row r="7" spans="1:23" ht="13.5" customHeight="1" thickBot="1" x14ac:dyDescent="0.3">
      <c r="A7" s="186" t="s">
        <v>59</v>
      </c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U7" s="29"/>
    </row>
    <row r="8" spans="1:23" ht="22.5" customHeight="1" x14ac:dyDescent="0.25">
      <c r="A8" s="179" t="s">
        <v>6</v>
      </c>
      <c r="B8" s="181" t="s">
        <v>46</v>
      </c>
      <c r="C8" s="182"/>
      <c r="D8" s="166" t="s">
        <v>41</v>
      </c>
      <c r="E8" s="168" t="s">
        <v>40</v>
      </c>
      <c r="F8" s="169"/>
      <c r="G8" s="166" t="s">
        <v>22</v>
      </c>
      <c r="H8" s="166" t="s">
        <v>23</v>
      </c>
      <c r="I8" s="113" t="s">
        <v>44</v>
      </c>
      <c r="J8" s="182" t="s">
        <v>1</v>
      </c>
      <c r="K8" s="183"/>
      <c r="L8" s="181" t="s">
        <v>7</v>
      </c>
      <c r="M8" s="182"/>
      <c r="N8" s="184" t="s">
        <v>3</v>
      </c>
      <c r="O8" s="185"/>
      <c r="P8" s="166" t="s">
        <v>42</v>
      </c>
      <c r="Q8" s="168" t="s">
        <v>35</v>
      </c>
      <c r="R8" s="169"/>
    </row>
    <row r="9" spans="1:23" ht="19.5" customHeight="1" thickBot="1" x14ac:dyDescent="0.3">
      <c r="A9" s="180"/>
      <c r="B9" s="174" t="s">
        <v>5</v>
      </c>
      <c r="C9" s="175"/>
      <c r="D9" s="167"/>
      <c r="E9" s="170"/>
      <c r="F9" s="171"/>
      <c r="G9" s="167"/>
      <c r="H9" s="167"/>
      <c r="I9" s="117" t="s">
        <v>45</v>
      </c>
      <c r="J9" s="175" t="s">
        <v>5</v>
      </c>
      <c r="K9" s="176"/>
      <c r="L9" s="174" t="s">
        <v>5</v>
      </c>
      <c r="M9" s="175"/>
      <c r="N9" s="177" t="s">
        <v>5</v>
      </c>
      <c r="O9" s="178"/>
      <c r="P9" s="167"/>
      <c r="Q9" s="170"/>
      <c r="R9" s="171"/>
    </row>
    <row r="10" spans="1:23" ht="15.75" customHeight="1" thickBot="1" x14ac:dyDescent="0.3">
      <c r="A10" s="58" t="s">
        <v>8</v>
      </c>
      <c r="B10" s="140">
        <v>20226.490000000002</v>
      </c>
      <c r="C10" s="160"/>
      <c r="D10" s="60">
        <v>7044.8</v>
      </c>
      <c r="E10" s="140">
        <f>B10-D10</f>
        <v>13181.690000000002</v>
      </c>
      <c r="F10" s="141"/>
      <c r="G10" s="110">
        <v>37289.5</v>
      </c>
      <c r="H10" s="60">
        <v>140.9</v>
      </c>
      <c r="I10" s="60"/>
      <c r="J10" s="140">
        <f>B10+G10+H10+I10</f>
        <v>57656.890000000007</v>
      </c>
      <c r="K10" s="141"/>
      <c r="L10" s="140">
        <f>G29+G30+G31</f>
        <v>24264</v>
      </c>
      <c r="M10" s="161"/>
      <c r="N10" s="140">
        <f>J10-L10</f>
        <v>33392.890000000007</v>
      </c>
      <c r="O10" s="141"/>
      <c r="P10" s="60">
        <f>'[1]June 2021'!$K$15</f>
        <v>22373.7</v>
      </c>
      <c r="Q10" s="140">
        <f>N10-P10</f>
        <v>11019.190000000006</v>
      </c>
      <c r="R10" s="165"/>
      <c r="S10" s="32"/>
    </row>
    <row r="11" spans="1:23" ht="15.75" thickBot="1" x14ac:dyDescent="0.3">
      <c r="A11" s="58" t="s">
        <v>9</v>
      </c>
      <c r="B11" s="140">
        <v>8266.65</v>
      </c>
      <c r="C11" s="160"/>
      <c r="D11" s="60">
        <v>6085.12</v>
      </c>
      <c r="E11" s="140">
        <f t="shared" ref="E11:E13" si="0">B11-D11</f>
        <v>2181.5299999999997</v>
      </c>
      <c r="F11" s="141"/>
      <c r="G11" s="110"/>
      <c r="H11" s="60"/>
      <c r="I11" s="60"/>
      <c r="J11" s="140">
        <f>B11+G11+H11+I11</f>
        <v>8266.65</v>
      </c>
      <c r="K11" s="141"/>
      <c r="L11" s="140">
        <f>SUM(G21:G22)</f>
        <v>1224</v>
      </c>
      <c r="M11" s="161"/>
      <c r="N11" s="172">
        <f>J11-L11</f>
        <v>7042.65</v>
      </c>
      <c r="O11" s="173"/>
      <c r="P11" s="60">
        <f>'[1]June 2021'!$K$25</f>
        <v>6085.12</v>
      </c>
      <c r="Q11" s="140">
        <f t="shared" ref="Q11:Q13" si="1">N11-P11</f>
        <v>957.52999999999975</v>
      </c>
      <c r="R11" s="165"/>
      <c r="S11" s="32"/>
    </row>
    <row r="12" spans="1:23" ht="15.75" customHeight="1" thickBot="1" x14ac:dyDescent="0.3">
      <c r="A12" s="58" t="s">
        <v>10</v>
      </c>
      <c r="B12" s="140">
        <v>10749.4</v>
      </c>
      <c r="C12" s="160"/>
      <c r="D12" s="60">
        <v>9600.42</v>
      </c>
      <c r="E12" s="140">
        <f t="shared" si="0"/>
        <v>1148.9799999999996</v>
      </c>
      <c r="F12" s="141"/>
      <c r="G12" s="110"/>
      <c r="H12" s="60">
        <v>64</v>
      </c>
      <c r="I12" s="60"/>
      <c r="J12" s="140">
        <f>B12+G12+H12+I12</f>
        <v>10813.4</v>
      </c>
      <c r="K12" s="141"/>
      <c r="L12" s="140">
        <f>SUM(G33:G34)</f>
        <v>8328</v>
      </c>
      <c r="M12" s="165"/>
      <c r="N12" s="140">
        <f>J12-L12</f>
        <v>2485.3999999999996</v>
      </c>
      <c r="O12" s="141"/>
      <c r="P12" s="60">
        <f>'[1]June 2021'!$K$35</f>
        <v>0</v>
      </c>
      <c r="Q12" s="140">
        <f t="shared" si="1"/>
        <v>2485.3999999999996</v>
      </c>
      <c r="R12" s="165"/>
    </row>
    <row r="13" spans="1:23" ht="15.75" thickBot="1" x14ac:dyDescent="0.3">
      <c r="A13" s="58" t="s">
        <v>30</v>
      </c>
      <c r="B13" s="140">
        <v>3788.79</v>
      </c>
      <c r="C13" s="160"/>
      <c r="D13" s="60">
        <v>0</v>
      </c>
      <c r="E13" s="140">
        <f t="shared" si="0"/>
        <v>3788.79</v>
      </c>
      <c r="F13" s="141"/>
      <c r="G13" s="110">
        <v>35320</v>
      </c>
      <c r="H13" s="60"/>
      <c r="I13" s="60"/>
      <c r="J13" s="140">
        <f>B13+G13+H13+I13</f>
        <v>39108.79</v>
      </c>
      <c r="K13" s="141"/>
      <c r="L13" s="140">
        <f>G24+G25+G26+G27</f>
        <v>11074</v>
      </c>
      <c r="M13" s="165"/>
      <c r="N13" s="140">
        <f>J13-L13</f>
        <v>28034.79</v>
      </c>
      <c r="O13" s="141"/>
      <c r="P13" s="60">
        <f>'[1]June 2021'!$K$45</f>
        <v>21192</v>
      </c>
      <c r="Q13" s="140">
        <f t="shared" si="1"/>
        <v>6842.7900000000009</v>
      </c>
      <c r="R13" s="165"/>
      <c r="V13" s="29"/>
      <c r="W13" s="29"/>
    </row>
    <row r="14" spans="1:23" ht="15.75" customHeight="1" thickBot="1" x14ac:dyDescent="0.3">
      <c r="A14" s="58"/>
      <c r="B14" s="162"/>
      <c r="C14" s="163"/>
      <c r="D14" s="61"/>
      <c r="E14" s="162"/>
      <c r="F14" s="164"/>
      <c r="G14" s="110"/>
      <c r="H14" s="60"/>
      <c r="I14" s="60"/>
      <c r="J14" s="160"/>
      <c r="K14" s="141"/>
      <c r="L14" s="140"/>
      <c r="M14" s="141"/>
      <c r="N14" s="62"/>
      <c r="O14" s="63"/>
      <c r="P14" s="60"/>
      <c r="Q14" s="140"/>
      <c r="R14" s="165"/>
      <c r="T14" s="64"/>
    </row>
    <row r="15" spans="1:23" ht="15.75" thickBot="1" x14ac:dyDescent="0.3">
      <c r="A15" s="59" t="s">
        <v>1</v>
      </c>
      <c r="B15" s="140">
        <f>SUM(B10:C14)</f>
        <v>43031.33</v>
      </c>
      <c r="C15" s="141"/>
      <c r="D15" s="60">
        <f>SUM(D10:D14)</f>
        <v>22730.34</v>
      </c>
      <c r="E15" s="140">
        <f>SUM(E10:F14)</f>
        <v>20300.990000000002</v>
      </c>
      <c r="F15" s="159"/>
      <c r="G15" s="110">
        <f>SUM(G10:G14)</f>
        <v>72609.5</v>
      </c>
      <c r="H15" s="60">
        <f>SUM(H10:H14)</f>
        <v>204.9</v>
      </c>
      <c r="I15" s="60">
        <f>SUM(I10:I14)</f>
        <v>0</v>
      </c>
      <c r="J15" s="160">
        <f>SUM(J10:K14)</f>
        <v>115845.73000000001</v>
      </c>
      <c r="K15" s="141"/>
      <c r="L15" s="140">
        <f>SUM(L10:M14)</f>
        <v>44890</v>
      </c>
      <c r="M15" s="161"/>
      <c r="N15" s="140">
        <f>SUM(N10:O14)</f>
        <v>70955.73000000001</v>
      </c>
      <c r="O15" s="141"/>
      <c r="P15" s="60">
        <f>SUM(P10:P14)</f>
        <v>49650.82</v>
      </c>
      <c r="Q15" s="140">
        <f>SUM(Q10:R13)</f>
        <v>21304.910000000003</v>
      </c>
      <c r="R15" s="141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42" t="s">
        <v>11</v>
      </c>
      <c r="B17" s="143"/>
      <c r="C17" s="143"/>
      <c r="D17" s="150" t="s">
        <v>60</v>
      </c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2"/>
      <c r="P17" s="68"/>
      <c r="Q17" s="68"/>
      <c r="R17" s="68"/>
      <c r="S17" s="68"/>
    </row>
    <row r="18" spans="1:23" ht="15.75" customHeight="1" thickBot="1" x14ac:dyDescent="0.3">
      <c r="A18" s="144"/>
      <c r="B18" s="145"/>
      <c r="C18" s="146"/>
      <c r="D18" s="153" t="s">
        <v>46</v>
      </c>
      <c r="E18" s="154"/>
      <c r="F18" s="153" t="s">
        <v>7</v>
      </c>
      <c r="G18" s="154"/>
      <c r="H18" s="157" t="s">
        <v>32</v>
      </c>
      <c r="I18" s="158"/>
      <c r="J18" s="158"/>
      <c r="K18" s="158"/>
      <c r="L18" s="153" t="s">
        <v>31</v>
      </c>
      <c r="M18" s="154"/>
      <c r="N18" s="153" t="s">
        <v>12</v>
      </c>
      <c r="O18" s="154"/>
    </row>
    <row r="19" spans="1:23" ht="15.75" customHeight="1" thickBot="1" x14ac:dyDescent="0.3">
      <c r="A19" s="144"/>
      <c r="B19" s="145"/>
      <c r="C19" s="146"/>
      <c r="D19" s="155"/>
      <c r="E19" s="156"/>
      <c r="F19" s="153"/>
      <c r="G19" s="154"/>
      <c r="H19" s="150" t="s">
        <v>33</v>
      </c>
      <c r="I19" s="151"/>
      <c r="J19" s="150" t="s">
        <v>34</v>
      </c>
      <c r="K19" s="151"/>
      <c r="L19" s="155"/>
      <c r="M19" s="156"/>
      <c r="N19" s="155"/>
      <c r="O19" s="156"/>
    </row>
    <row r="20" spans="1:23" s="71" customFormat="1" ht="15.75" thickBot="1" x14ac:dyDescent="0.3">
      <c r="A20" s="147"/>
      <c r="B20" s="148"/>
      <c r="C20" s="149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19" t="s">
        <v>13</v>
      </c>
      <c r="B21" s="120"/>
      <c r="C21" s="121"/>
      <c r="D21" s="74">
        <f>E21/24</f>
        <v>23</v>
      </c>
      <c r="E21" s="10">
        <v>552</v>
      </c>
      <c r="F21" s="74">
        <f>G21/24</f>
        <v>0</v>
      </c>
      <c r="G21" s="10">
        <f>'[2]June 2021'!$B$30</f>
        <v>0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10</v>
      </c>
      <c r="O21" s="36">
        <f>E21+G21-I21-K21-M21</f>
        <v>240</v>
      </c>
      <c r="S21" s="5">
        <v>264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 x14ac:dyDescent="0.3">
      <c r="A22" s="122" t="s">
        <v>14</v>
      </c>
      <c r="B22" s="123"/>
      <c r="C22" s="124"/>
      <c r="D22" s="76">
        <f>E22/24</f>
        <v>103</v>
      </c>
      <c r="E22" s="12">
        <v>2472</v>
      </c>
      <c r="F22" s="76">
        <f>G22/24</f>
        <v>51</v>
      </c>
      <c r="G22" s="12">
        <f>'[2]June 2021'!$C$30</f>
        <v>1224</v>
      </c>
      <c r="H22" s="24">
        <f>I22/24</f>
        <v>60</v>
      </c>
      <c r="I22" s="33">
        <f>1440</f>
        <v>1440</v>
      </c>
      <c r="J22" s="13">
        <f>K22/24</f>
        <v>75</v>
      </c>
      <c r="K22" s="12">
        <f>1800</f>
        <v>1800</v>
      </c>
      <c r="L22" s="13">
        <f>M22/24</f>
        <v>13</v>
      </c>
      <c r="M22" s="12">
        <f>120+72+120</f>
        <v>312</v>
      </c>
      <c r="N22" s="24">
        <f>O22/24</f>
        <v>6</v>
      </c>
      <c r="O22" s="36">
        <f>E22+G22-I22-K22-M22</f>
        <v>144</v>
      </c>
      <c r="S22" s="6">
        <v>72</v>
      </c>
      <c r="T22" s="9">
        <f>14*24</f>
        <v>336</v>
      </c>
      <c r="U22" s="34">
        <f>S22+T22-O22</f>
        <v>264</v>
      </c>
      <c r="V22" s="75"/>
      <c r="W22" s="29"/>
    </row>
    <row r="23" spans="1:23" ht="15.75" thickBot="1" x14ac:dyDescent="0.3">
      <c r="A23" s="125" t="s">
        <v>36</v>
      </c>
      <c r="B23" s="126"/>
      <c r="C23" s="127"/>
      <c r="D23" s="77">
        <f>SUM(D21:D22)</f>
        <v>126</v>
      </c>
      <c r="E23" s="78">
        <f t="shared" ref="E23:H23" si="2">SUM(E21:E22)</f>
        <v>3024</v>
      </c>
      <c r="F23" s="77">
        <f t="shared" si="2"/>
        <v>51</v>
      </c>
      <c r="G23" s="78">
        <f t="shared" si="2"/>
        <v>1224</v>
      </c>
      <c r="H23" s="79">
        <f t="shared" si="2"/>
        <v>60</v>
      </c>
      <c r="I23" s="80">
        <f>SUM(I21:I22)</f>
        <v>1440</v>
      </c>
      <c r="J23" s="77">
        <f t="shared" ref="J23:O23" si="3">SUM(J21:J22)</f>
        <v>75</v>
      </c>
      <c r="K23" s="78">
        <f t="shared" si="3"/>
        <v>1800</v>
      </c>
      <c r="L23" s="77">
        <f t="shared" si="3"/>
        <v>26</v>
      </c>
      <c r="M23" s="78">
        <f t="shared" si="3"/>
        <v>624</v>
      </c>
      <c r="N23" s="77">
        <f t="shared" si="3"/>
        <v>16</v>
      </c>
      <c r="O23" s="78">
        <f t="shared" si="3"/>
        <v>384</v>
      </c>
      <c r="S23" s="45"/>
      <c r="T23" s="48"/>
      <c r="U23" s="30"/>
      <c r="V23" s="75"/>
      <c r="W23" s="29"/>
    </row>
    <row r="24" spans="1:23" ht="15.75" thickBot="1" x14ac:dyDescent="0.3">
      <c r="A24" s="119" t="s">
        <v>15</v>
      </c>
      <c r="B24" s="120"/>
      <c r="C24" s="121"/>
      <c r="D24" s="74">
        <f>E24/30</f>
        <v>422</v>
      </c>
      <c r="E24" s="10">
        <v>12660</v>
      </c>
      <c r="F24" s="74">
        <f>G24/30</f>
        <v>350</v>
      </c>
      <c r="G24" s="10">
        <f>'[2]June 2021'!$D$30</f>
        <v>10500</v>
      </c>
      <c r="H24" s="23">
        <f>I24/30</f>
        <v>20</v>
      </c>
      <c r="I24" s="10">
        <f>600</f>
        <v>600</v>
      </c>
      <c r="J24" s="23">
        <f>K24/30</f>
        <v>30</v>
      </c>
      <c r="K24" s="10">
        <f>900</f>
        <v>900</v>
      </c>
      <c r="L24" s="23">
        <f>M24/30</f>
        <v>662</v>
      </c>
      <c r="M24" s="10">
        <f>8100+60+150+6000+750+4800</f>
        <v>19860</v>
      </c>
      <c r="N24" s="23">
        <f>O24/30</f>
        <v>60</v>
      </c>
      <c r="O24" s="36">
        <f>E24+G24-I24-K24-M24</f>
        <v>1800</v>
      </c>
      <c r="S24" s="50">
        <v>1770</v>
      </c>
      <c r="T24" s="51">
        <f>18*30</f>
        <v>540</v>
      </c>
      <c r="U24" s="47">
        <f>S24+T24-O24</f>
        <v>510</v>
      </c>
      <c r="V24" s="75"/>
      <c r="W24" s="29"/>
    </row>
    <row r="25" spans="1:23" ht="15.75" thickBot="1" x14ac:dyDescent="0.3">
      <c r="A25" s="137" t="s">
        <v>18</v>
      </c>
      <c r="B25" s="138"/>
      <c r="C25" s="139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6</v>
      </c>
      <c r="O25" s="36">
        <f t="shared" ref="O25:O27" si="6">E25+G25-I25-K25-M25</f>
        <v>144</v>
      </c>
      <c r="S25" s="4">
        <v>144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34" t="s">
        <v>47</v>
      </c>
      <c r="B26" s="135"/>
      <c r="C26" s="136"/>
      <c r="D26" s="82">
        <f>E26/22</f>
        <v>43</v>
      </c>
      <c r="E26" s="3">
        <v>946</v>
      </c>
      <c r="F26" s="82">
        <f>G26/22</f>
        <v>1</v>
      </c>
      <c r="G26" s="3">
        <f>'[2]June 2021'!$F$30</f>
        <v>22</v>
      </c>
      <c r="H26" s="25">
        <v>0</v>
      </c>
      <c r="I26" s="28">
        <f>220</f>
        <v>220</v>
      </c>
      <c r="J26" s="1">
        <f>K26/22</f>
        <v>0</v>
      </c>
      <c r="K26" s="3">
        <v>0</v>
      </c>
      <c r="L26" s="1">
        <f>M26/22</f>
        <v>33</v>
      </c>
      <c r="M26" s="3">
        <f>330+220+176</f>
        <v>726</v>
      </c>
      <c r="N26" s="25">
        <f>O26/22</f>
        <v>1</v>
      </c>
      <c r="O26" s="36">
        <f t="shared" si="6"/>
        <v>22</v>
      </c>
      <c r="R26" s="29"/>
      <c r="S26" s="4">
        <v>22</v>
      </c>
      <c r="T26" s="22">
        <f>5*22</f>
        <v>110</v>
      </c>
      <c r="U26" s="47">
        <f t="shared" si="7"/>
        <v>110</v>
      </c>
      <c r="V26" s="29"/>
      <c r="W26" s="29"/>
    </row>
    <row r="27" spans="1:23" ht="15.75" thickBot="1" x14ac:dyDescent="0.3">
      <c r="A27" s="131" t="s">
        <v>48</v>
      </c>
      <c r="B27" s="132"/>
      <c r="C27" s="133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 x14ac:dyDescent="0.3">
      <c r="A28" s="125" t="s">
        <v>37</v>
      </c>
      <c r="B28" s="126"/>
      <c r="C28" s="127"/>
      <c r="D28" s="79">
        <f t="shared" ref="D28:O28" si="8">SUM(D24:D27)</f>
        <v>495</v>
      </c>
      <c r="E28" s="21">
        <f t="shared" si="8"/>
        <v>14282</v>
      </c>
      <c r="F28" s="79">
        <f t="shared" si="8"/>
        <v>374</v>
      </c>
      <c r="G28" s="21">
        <f t="shared" si="8"/>
        <v>11074</v>
      </c>
      <c r="H28" s="79">
        <f t="shared" si="8"/>
        <v>40</v>
      </c>
      <c r="I28" s="21">
        <f t="shared" si="8"/>
        <v>1300</v>
      </c>
      <c r="J28" s="79">
        <f t="shared" si="8"/>
        <v>30</v>
      </c>
      <c r="K28" s="21">
        <f t="shared" si="8"/>
        <v>900</v>
      </c>
      <c r="L28" s="79">
        <f t="shared" si="8"/>
        <v>700</v>
      </c>
      <c r="M28" s="21">
        <f t="shared" si="8"/>
        <v>20706</v>
      </c>
      <c r="N28" s="79">
        <f t="shared" si="8"/>
        <v>89</v>
      </c>
      <c r="O28" s="21">
        <f t="shared" si="8"/>
        <v>2450</v>
      </c>
      <c r="S28" s="46"/>
      <c r="T28" s="49"/>
      <c r="U28" s="30"/>
      <c r="V28" s="75"/>
      <c r="W28" s="29"/>
    </row>
    <row r="29" spans="1:23" x14ac:dyDescent="0.25">
      <c r="A29" s="119" t="s">
        <v>16</v>
      </c>
      <c r="B29" s="120"/>
      <c r="C29" s="121"/>
      <c r="D29" s="74">
        <f>E29/24</f>
        <v>54</v>
      </c>
      <c r="E29" s="10">
        <v>1296</v>
      </c>
      <c r="F29" s="74">
        <f>G29/24</f>
        <v>179</v>
      </c>
      <c r="G29" s="10">
        <f>'[2]June 2021'!$H$30</f>
        <v>4296</v>
      </c>
      <c r="H29" s="23">
        <f>I29/24</f>
        <v>20</v>
      </c>
      <c r="I29" s="26">
        <f>480</f>
        <v>480</v>
      </c>
      <c r="J29" s="11">
        <f t="shared" ref="J29:J31" si="9">K29/24</f>
        <v>0</v>
      </c>
      <c r="K29" s="10">
        <v>0</v>
      </c>
      <c r="L29" s="11">
        <f t="shared" ref="L29:L31" si="10">M29/24</f>
        <v>130</v>
      </c>
      <c r="M29" s="10">
        <f>240+1200+1080+600</f>
        <v>3120</v>
      </c>
      <c r="N29" s="23">
        <f>O29/24</f>
        <v>83</v>
      </c>
      <c r="O29" s="36">
        <f>E29+G29-I29-K29-M29</f>
        <v>1992</v>
      </c>
      <c r="S29" s="5">
        <v>1992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34" t="s">
        <v>43</v>
      </c>
      <c r="B30" s="135"/>
      <c r="C30" s="136"/>
      <c r="D30" s="82">
        <f>E30/24</f>
        <v>62</v>
      </c>
      <c r="E30" s="3">
        <v>1488</v>
      </c>
      <c r="F30" s="82">
        <f>G30/24</f>
        <v>62</v>
      </c>
      <c r="G30" s="3">
        <f>'[2]June 2021'!$I$30</f>
        <v>1488</v>
      </c>
      <c r="H30" s="25">
        <f>I30/24</f>
        <v>20</v>
      </c>
      <c r="I30" s="28">
        <f>480</f>
        <v>480</v>
      </c>
      <c r="J30" s="1">
        <f t="shared" si="9"/>
        <v>5</v>
      </c>
      <c r="K30" s="3">
        <f>120</f>
        <v>120</v>
      </c>
      <c r="L30" s="1">
        <f>M30/24</f>
        <v>88</v>
      </c>
      <c r="M30" s="3">
        <f>240+240+912+120+600</f>
        <v>2112</v>
      </c>
      <c r="N30" s="25">
        <f>O30/24</f>
        <v>11</v>
      </c>
      <c r="O30" s="36">
        <f t="shared" ref="O30:O31" si="12">E30+G30-I30-K30-M30</f>
        <v>264</v>
      </c>
      <c r="S30" s="4">
        <v>264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34" t="s">
        <v>17</v>
      </c>
      <c r="B31" s="135"/>
      <c r="C31" s="136"/>
      <c r="D31" s="82">
        <f>E31/24</f>
        <v>414</v>
      </c>
      <c r="E31" s="3">
        <v>9936</v>
      </c>
      <c r="F31" s="82">
        <f>G31/24</f>
        <v>770</v>
      </c>
      <c r="G31" s="3">
        <f>'[2]June 2021'!$J$30</f>
        <v>18480</v>
      </c>
      <c r="H31" s="25">
        <f>I31/24</f>
        <v>150</v>
      </c>
      <c r="I31" s="28">
        <f>3600</f>
        <v>3600</v>
      </c>
      <c r="J31" s="1">
        <f t="shared" si="9"/>
        <v>160</v>
      </c>
      <c r="K31" s="3">
        <f>3840</f>
        <v>3840</v>
      </c>
      <c r="L31" s="1">
        <f t="shared" si="10"/>
        <v>590</v>
      </c>
      <c r="M31" s="3">
        <f>1200+120+120+360+3840+3600+120+3600+1200</f>
        <v>14160</v>
      </c>
      <c r="N31" s="25">
        <f>O31/24</f>
        <v>284</v>
      </c>
      <c r="O31" s="36">
        <f t="shared" si="12"/>
        <v>6816</v>
      </c>
      <c r="S31" s="4">
        <v>6312</v>
      </c>
      <c r="T31" s="8">
        <f>51*24</f>
        <v>1224</v>
      </c>
      <c r="U31" s="35">
        <f>S31+T31-O31</f>
        <v>720</v>
      </c>
      <c r="V31" s="75"/>
      <c r="W31" s="29"/>
    </row>
    <row r="32" spans="1:23" ht="15.75" thickBot="1" x14ac:dyDescent="0.3">
      <c r="A32" s="125" t="s">
        <v>38</v>
      </c>
      <c r="B32" s="126"/>
      <c r="C32" s="127"/>
      <c r="D32" s="84">
        <f t="shared" ref="D32:O32" si="13">SUM(D29:D31)</f>
        <v>530</v>
      </c>
      <c r="E32" s="78">
        <f t="shared" si="13"/>
        <v>12720</v>
      </c>
      <c r="F32" s="84">
        <f t="shared" si="13"/>
        <v>1011</v>
      </c>
      <c r="G32" s="78">
        <f t="shared" si="13"/>
        <v>24264</v>
      </c>
      <c r="H32" s="79">
        <f t="shared" si="13"/>
        <v>190</v>
      </c>
      <c r="I32" s="80">
        <f t="shared" si="13"/>
        <v>4560</v>
      </c>
      <c r="J32" s="84">
        <f t="shared" si="13"/>
        <v>165</v>
      </c>
      <c r="K32" s="78">
        <f t="shared" si="13"/>
        <v>3960</v>
      </c>
      <c r="L32" s="84">
        <f t="shared" si="13"/>
        <v>808</v>
      </c>
      <c r="M32" s="78">
        <f t="shared" si="13"/>
        <v>19392</v>
      </c>
      <c r="N32" s="84">
        <f t="shared" si="13"/>
        <v>378</v>
      </c>
      <c r="O32" s="78">
        <f t="shared" si="13"/>
        <v>9072</v>
      </c>
      <c r="S32" s="17"/>
      <c r="T32" s="18"/>
      <c r="U32" s="30"/>
      <c r="V32" s="75"/>
      <c r="W32" s="29"/>
    </row>
    <row r="33" spans="1:23" x14ac:dyDescent="0.25">
      <c r="A33" s="119" t="s">
        <v>19</v>
      </c>
      <c r="B33" s="120"/>
      <c r="C33" s="121"/>
      <c r="D33" s="85">
        <f>E33/12</f>
        <v>184</v>
      </c>
      <c r="E33" s="14">
        <v>2208</v>
      </c>
      <c r="F33" s="85">
        <f>G33/12</f>
        <v>643</v>
      </c>
      <c r="G33" s="14">
        <f>'[2]June 2021'!$K$30</f>
        <v>7716</v>
      </c>
      <c r="H33" s="23">
        <f>I33/12</f>
        <v>15</v>
      </c>
      <c r="I33" s="26">
        <f>180</f>
        <v>180</v>
      </c>
      <c r="J33" s="15">
        <f t="shared" ref="J33:J34" si="14">K33/12</f>
        <v>20</v>
      </c>
      <c r="K33" s="10">
        <f>240</f>
        <v>240</v>
      </c>
      <c r="L33" s="15">
        <f t="shared" ref="L33:L34" si="15">M33/12</f>
        <v>760</v>
      </c>
      <c r="M33" s="10">
        <f>2400+60+24+3000+24+12+3600</f>
        <v>9120</v>
      </c>
      <c r="N33" s="23">
        <f>O33/12</f>
        <v>32</v>
      </c>
      <c r="O33" s="36">
        <f>E33+G33-I33-K33-M33</f>
        <v>384</v>
      </c>
      <c r="S33" s="5">
        <v>252</v>
      </c>
      <c r="T33" s="16">
        <f>15*12</f>
        <v>180</v>
      </c>
      <c r="U33" s="30">
        <f>S33+T33-O33</f>
        <v>48</v>
      </c>
      <c r="V33" s="86"/>
      <c r="W33" s="29"/>
    </row>
    <row r="34" spans="1:23" ht="15.75" thickBot="1" x14ac:dyDescent="0.3">
      <c r="A34" s="122" t="s">
        <v>20</v>
      </c>
      <c r="B34" s="123"/>
      <c r="C34" s="124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25" t="s">
        <v>39</v>
      </c>
      <c r="B35" s="126"/>
      <c r="C35" s="127"/>
      <c r="D35" s="84">
        <f>SUM(D33:D34)</f>
        <v>334</v>
      </c>
      <c r="E35" s="78">
        <f t="shared" ref="E35:H35" si="16">SUM(E33:E34)</f>
        <v>4008</v>
      </c>
      <c r="F35" s="84">
        <f t="shared" si="16"/>
        <v>694</v>
      </c>
      <c r="G35" s="78">
        <f t="shared" si="16"/>
        <v>8328</v>
      </c>
      <c r="H35" s="79">
        <f t="shared" si="16"/>
        <v>15</v>
      </c>
      <c r="I35" s="80">
        <f>SUM(I33:I34)</f>
        <v>180</v>
      </c>
      <c r="J35" s="84">
        <f t="shared" ref="J35:O35" si="17">SUM(J33:J34)</f>
        <v>20</v>
      </c>
      <c r="K35" s="78">
        <f t="shared" si="17"/>
        <v>240</v>
      </c>
      <c r="L35" s="84">
        <f t="shared" si="17"/>
        <v>961</v>
      </c>
      <c r="M35" s="78">
        <f t="shared" si="17"/>
        <v>11532</v>
      </c>
      <c r="N35" s="84">
        <f t="shared" si="17"/>
        <v>32</v>
      </c>
      <c r="O35" s="78">
        <f t="shared" si="17"/>
        <v>384</v>
      </c>
      <c r="S35" s="19"/>
      <c r="T35" s="20"/>
      <c r="U35" s="34"/>
      <c r="W35" s="29"/>
    </row>
    <row r="36" spans="1:23" ht="15.75" thickBot="1" x14ac:dyDescent="0.3">
      <c r="A36" s="128" t="s">
        <v>21</v>
      </c>
      <c r="B36" s="129"/>
      <c r="C36" s="130"/>
      <c r="D36" s="87">
        <f t="shared" ref="D36:O36" si="18">D21+D22+D24+D25+D26+D27+D29+D30+D31+D33+D34</f>
        <v>1485</v>
      </c>
      <c r="E36" s="87">
        <f t="shared" si="18"/>
        <v>34034</v>
      </c>
      <c r="F36" s="87">
        <f t="shared" si="18"/>
        <v>2130</v>
      </c>
      <c r="G36" s="87">
        <f t="shared" si="18"/>
        <v>44890</v>
      </c>
      <c r="H36" s="87">
        <f t="shared" si="18"/>
        <v>305</v>
      </c>
      <c r="I36" s="87">
        <f>I21+I22+I24+I25+I26+I27+I29+I30+I31+I33+I34</f>
        <v>7480</v>
      </c>
      <c r="J36" s="87">
        <f t="shared" si="18"/>
        <v>290</v>
      </c>
      <c r="K36" s="87">
        <f t="shared" si="18"/>
        <v>6900</v>
      </c>
      <c r="L36" s="87">
        <f t="shared" si="18"/>
        <v>2495</v>
      </c>
      <c r="M36" s="87">
        <f t="shared" si="18"/>
        <v>52254</v>
      </c>
      <c r="N36" s="87">
        <f t="shared" si="18"/>
        <v>515</v>
      </c>
      <c r="O36" s="87">
        <f t="shared" si="18"/>
        <v>12290</v>
      </c>
      <c r="S36" s="88">
        <f>SUM(S21:S34)</f>
        <v>11510</v>
      </c>
      <c r="T36" s="89">
        <f>SUM(T21:T34)</f>
        <v>2504</v>
      </c>
      <c r="U36" s="31">
        <f>S36+T36-O36</f>
        <v>1724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41" right="0.25" top="0" bottom="0" header="0.23" footer="0.2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2021-06-16T02:53:38Z</cp:lastPrinted>
  <dcterms:created xsi:type="dcterms:W3CDTF">2013-12-03T07:20:57Z</dcterms:created>
  <dcterms:modified xsi:type="dcterms:W3CDTF">2021-06-16T04:51:44Z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