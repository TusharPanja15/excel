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defaultThemeVersion="124226"/>
  <bookViews>
    <workbookView xWindow="-120" yWindow="-120" windowWidth="20730" windowHeight="11160" tabRatio="609" activeTab="4"/>
  </bookViews>
  <sheets>
    <sheet name="April 2021-22" sheetId="82" r:id="rId1"/>
    <sheet name="May 2021" sheetId="83" r:id="rId2"/>
    <sheet name="June 2021" sheetId="85" r:id="rId3"/>
    <sheet name="July 2021" sheetId="86" r:id="rId4"/>
    <sheet name="AUGUST" sheetId="87" r:id="rId5"/>
  </sheets>
  <externalReferences>
    <externalReference r:id="rId6"/>
    <externalReference r:id="rId7"/>
  </externalReferenc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" i="87"/>
  <c r="P10"/>
  <c r="M31"/>
  <c r="M33"/>
  <c r="M30"/>
  <c r="M29"/>
  <c r="M26"/>
  <c r="M24"/>
  <c r="P13"/>
  <c r="P12" l="1"/>
  <c r="M22" l="1"/>
  <c r="I33"/>
  <c r="I31"/>
  <c r="I30"/>
  <c r="I29"/>
  <c r="I25"/>
  <c r="I22"/>
  <c r="E6" l="1"/>
  <c r="K24"/>
  <c r="M34"/>
  <c r="M25"/>
  <c r="K33"/>
  <c r="K31"/>
  <c r="K27"/>
  <c r="K26"/>
  <c r="K22"/>
  <c r="M32" l="1"/>
  <c r="I24"/>
  <c r="I21"/>
  <c r="K21"/>
  <c r="G6" l="1"/>
  <c r="L31"/>
  <c r="L22"/>
  <c r="M21"/>
  <c r="L21" s="1"/>
  <c r="G34"/>
  <c r="O34" s="1"/>
  <c r="U34" s="1"/>
  <c r="G30"/>
  <c r="F30" s="1"/>
  <c r="G29"/>
  <c r="G25"/>
  <c r="O25" s="1"/>
  <c r="G22"/>
  <c r="F22" s="1"/>
  <c r="G21"/>
  <c r="S36"/>
  <c r="I36"/>
  <c r="E36"/>
  <c r="I35"/>
  <c r="E35"/>
  <c r="L34"/>
  <c r="J34"/>
  <c r="H34"/>
  <c r="D34"/>
  <c r="T33"/>
  <c r="M35"/>
  <c r="K35"/>
  <c r="J33"/>
  <c r="H33"/>
  <c r="H35" s="1"/>
  <c r="D33"/>
  <c r="D35" s="1"/>
  <c r="E32"/>
  <c r="T31"/>
  <c r="J31"/>
  <c r="H31"/>
  <c r="D31"/>
  <c r="L30"/>
  <c r="J30"/>
  <c r="H30"/>
  <c r="D30"/>
  <c r="L29"/>
  <c r="J29"/>
  <c r="I32"/>
  <c r="H29"/>
  <c r="D29"/>
  <c r="M28"/>
  <c r="I28"/>
  <c r="E28"/>
  <c r="T27"/>
  <c r="L27"/>
  <c r="J27"/>
  <c r="H27"/>
  <c r="D27"/>
  <c r="T26"/>
  <c r="L26"/>
  <c r="J26"/>
  <c r="H26"/>
  <c r="D26"/>
  <c r="L25"/>
  <c r="J25"/>
  <c r="H25"/>
  <c r="D25"/>
  <c r="L24"/>
  <c r="K28"/>
  <c r="H24"/>
  <c r="D24"/>
  <c r="I23"/>
  <c r="E23"/>
  <c r="J22"/>
  <c r="H22"/>
  <c r="D22"/>
  <c r="K36"/>
  <c r="H21"/>
  <c r="D21"/>
  <c r="P15"/>
  <c r="I15"/>
  <c r="H15"/>
  <c r="G15"/>
  <c r="H6" s="1"/>
  <c r="D15"/>
  <c r="B15"/>
  <c r="J13"/>
  <c r="E13"/>
  <c r="J12"/>
  <c r="E12"/>
  <c r="J11"/>
  <c r="E11"/>
  <c r="J10"/>
  <c r="E10"/>
  <c r="H26" i="86"/>
  <c r="M33"/>
  <c r="M22"/>
  <c r="P11"/>
  <c r="P13"/>
  <c r="M31"/>
  <c r="M30"/>
  <c r="M29"/>
  <c r="M24"/>
  <c r="M26"/>
  <c r="K33"/>
  <c r="K31"/>
  <c r="K26"/>
  <c r="K22"/>
  <c r="I31"/>
  <c r="I30"/>
  <c r="I29"/>
  <c r="I22"/>
  <c r="O21" i="87" l="1"/>
  <c r="J35"/>
  <c r="F34"/>
  <c r="H32"/>
  <c r="L32"/>
  <c r="M23"/>
  <c r="K6"/>
  <c r="L11"/>
  <c r="N11" s="1"/>
  <c r="Q11" s="1"/>
  <c r="L28"/>
  <c r="J32"/>
  <c r="H28"/>
  <c r="D32"/>
  <c r="D28"/>
  <c r="D36"/>
  <c r="J15"/>
  <c r="E15"/>
  <c r="H36"/>
  <c r="H23"/>
  <c r="N25"/>
  <c r="U25"/>
  <c r="L23"/>
  <c r="O22"/>
  <c r="O29"/>
  <c r="J21"/>
  <c r="J24"/>
  <c r="J28" s="1"/>
  <c r="F25"/>
  <c r="F29"/>
  <c r="K32"/>
  <c r="N34"/>
  <c r="M36"/>
  <c r="D23"/>
  <c r="L33"/>
  <c r="L35" s="1"/>
  <c r="O30"/>
  <c r="F21"/>
  <c r="T36"/>
  <c r="G23"/>
  <c r="K23"/>
  <c r="K30" i="86"/>
  <c r="K29"/>
  <c r="K27"/>
  <c r="K24"/>
  <c r="K21"/>
  <c r="L36" i="87" l="1"/>
  <c r="F23"/>
  <c r="J36"/>
  <c r="J23"/>
  <c r="U22"/>
  <c r="N22"/>
  <c r="U30"/>
  <c r="N30"/>
  <c r="U29"/>
  <c r="N29"/>
  <c r="O23"/>
  <c r="U21"/>
  <c r="N21"/>
  <c r="I26" i="86"/>
  <c r="I24"/>
  <c r="I21"/>
  <c r="N23" i="87" l="1"/>
  <c r="P15" i="86"/>
  <c r="M35" l="1"/>
  <c r="L31"/>
  <c r="L29"/>
  <c r="L26"/>
  <c r="M27"/>
  <c r="M25"/>
  <c r="L25" s="1"/>
  <c r="M21"/>
  <c r="H31"/>
  <c r="H30"/>
  <c r="I25"/>
  <c r="H25" s="1"/>
  <c r="H24"/>
  <c r="G34"/>
  <c r="O34" s="1"/>
  <c r="V34" s="1"/>
  <c r="G26"/>
  <c r="G25"/>
  <c r="F25" s="1"/>
  <c r="G24"/>
  <c r="G22"/>
  <c r="G21"/>
  <c r="F21" s="1"/>
  <c r="E10"/>
  <c r="T36"/>
  <c r="E36"/>
  <c r="K35"/>
  <c r="I35"/>
  <c r="E35"/>
  <c r="L34"/>
  <c r="J34"/>
  <c r="H34"/>
  <c r="D34"/>
  <c r="U33"/>
  <c r="J33"/>
  <c r="H33"/>
  <c r="H35" s="1"/>
  <c r="D33"/>
  <c r="K32"/>
  <c r="E32"/>
  <c r="U31"/>
  <c r="J31"/>
  <c r="D31"/>
  <c r="J30"/>
  <c r="D30"/>
  <c r="J29"/>
  <c r="D29"/>
  <c r="E28"/>
  <c r="U27"/>
  <c r="L27"/>
  <c r="H27"/>
  <c r="D27"/>
  <c r="U26"/>
  <c r="J26"/>
  <c r="D26"/>
  <c r="J25"/>
  <c r="D25"/>
  <c r="K28"/>
  <c r="J24"/>
  <c r="D24"/>
  <c r="I23"/>
  <c r="E23"/>
  <c r="K36"/>
  <c r="J22"/>
  <c r="H22"/>
  <c r="D22"/>
  <c r="J21"/>
  <c r="H21"/>
  <c r="D21"/>
  <c r="I15"/>
  <c r="D15"/>
  <c r="B15"/>
  <c r="J13"/>
  <c r="E13"/>
  <c r="J12"/>
  <c r="E12"/>
  <c r="J11"/>
  <c r="E11"/>
  <c r="H15"/>
  <c r="J10"/>
  <c r="G6"/>
  <c r="T36" i="85"/>
  <c r="U21"/>
  <c r="U22"/>
  <c r="U36" s="1"/>
  <c r="U24"/>
  <c r="U26"/>
  <c r="U27"/>
  <c r="U31"/>
  <c r="U33"/>
  <c r="K33"/>
  <c r="K31"/>
  <c r="K26"/>
  <c r="K24"/>
  <c r="K22"/>
  <c r="L11" i="86" l="1"/>
  <c r="N11" s="1"/>
  <c r="Q11" s="1"/>
  <c r="O22"/>
  <c r="J35"/>
  <c r="J23"/>
  <c r="D32"/>
  <c r="L33"/>
  <c r="L35" s="1"/>
  <c r="L22"/>
  <c r="D35"/>
  <c r="D28"/>
  <c r="D36"/>
  <c r="M32"/>
  <c r="L30"/>
  <c r="L32" s="1"/>
  <c r="O26"/>
  <c r="N26" s="1"/>
  <c r="M28"/>
  <c r="L24"/>
  <c r="L28" s="1"/>
  <c r="M36"/>
  <c r="O21"/>
  <c r="V21" s="1"/>
  <c r="M23"/>
  <c r="L21"/>
  <c r="I32"/>
  <c r="H29"/>
  <c r="H32" s="1"/>
  <c r="F34"/>
  <c r="F26"/>
  <c r="O24"/>
  <c r="V24" s="1"/>
  <c r="F24"/>
  <c r="F22"/>
  <c r="F23" s="1"/>
  <c r="E15"/>
  <c r="J15"/>
  <c r="H23"/>
  <c r="H28"/>
  <c r="J32"/>
  <c r="G15"/>
  <c r="H6" s="1"/>
  <c r="K6" s="1"/>
  <c r="D23"/>
  <c r="O25"/>
  <c r="J27"/>
  <c r="J28" s="1"/>
  <c r="I28"/>
  <c r="N34"/>
  <c r="I36"/>
  <c r="U36"/>
  <c r="G23"/>
  <c r="K23"/>
  <c r="I24" i="85"/>
  <c r="I22"/>
  <c r="I21"/>
  <c r="V22" i="86" l="1"/>
  <c r="N22"/>
  <c r="J36"/>
  <c r="V26"/>
  <c r="L36"/>
  <c r="L23"/>
  <c r="O23"/>
  <c r="N21"/>
  <c r="N24"/>
  <c r="H36"/>
  <c r="N25"/>
  <c r="V25"/>
  <c r="H10" i="85"/>
  <c r="N23" i="86" l="1"/>
  <c r="G10" i="85"/>
  <c r="K30"/>
  <c r="K29"/>
  <c r="K27"/>
  <c r="M34" l="1"/>
  <c r="M21"/>
  <c r="P13" l="1"/>
  <c r="P12"/>
  <c r="P11"/>
  <c r="P10" l="1"/>
  <c r="P13" i="83" l="1"/>
  <c r="P12"/>
  <c r="P11"/>
  <c r="P10"/>
  <c r="P13" i="82"/>
  <c r="P12"/>
  <c r="P11"/>
  <c r="P10"/>
  <c r="I25" i="85" l="1"/>
  <c r="G24" l="1"/>
  <c r="E36" l="1"/>
  <c r="I35"/>
  <c r="E35"/>
  <c r="L34"/>
  <c r="J34"/>
  <c r="H34"/>
  <c r="D34"/>
  <c r="M35"/>
  <c r="L33"/>
  <c r="J33"/>
  <c r="H33"/>
  <c r="D33"/>
  <c r="M32"/>
  <c r="I32"/>
  <c r="E32"/>
  <c r="L31"/>
  <c r="J31"/>
  <c r="H31"/>
  <c r="D31"/>
  <c r="L30"/>
  <c r="J30"/>
  <c r="H30"/>
  <c r="D30"/>
  <c r="L29"/>
  <c r="J29"/>
  <c r="H29"/>
  <c r="D29"/>
  <c r="D32" s="1"/>
  <c r="M28"/>
  <c r="I28"/>
  <c r="E28"/>
  <c r="L27"/>
  <c r="J27"/>
  <c r="H27"/>
  <c r="D27"/>
  <c r="L26"/>
  <c r="D26"/>
  <c r="L25"/>
  <c r="J25"/>
  <c r="H25"/>
  <c r="D25"/>
  <c r="L24"/>
  <c r="J24"/>
  <c r="H24"/>
  <c r="D24"/>
  <c r="K23"/>
  <c r="E23"/>
  <c r="L22"/>
  <c r="J22"/>
  <c r="H22"/>
  <c r="D22"/>
  <c r="J21"/>
  <c r="D21"/>
  <c r="I15"/>
  <c r="H15"/>
  <c r="G15"/>
  <c r="H6" s="1"/>
  <c r="D15"/>
  <c r="B15"/>
  <c r="J13"/>
  <c r="E13"/>
  <c r="J12"/>
  <c r="E12"/>
  <c r="J11"/>
  <c r="E11"/>
  <c r="J10"/>
  <c r="E10"/>
  <c r="G6"/>
  <c r="J35" l="1"/>
  <c r="H28"/>
  <c r="J23"/>
  <c r="H35"/>
  <c r="K6"/>
  <c r="D35"/>
  <c r="D28"/>
  <c r="L28"/>
  <c r="L32"/>
  <c r="L35"/>
  <c r="H32"/>
  <c r="E15"/>
  <c r="I23"/>
  <c r="H21"/>
  <c r="I36"/>
  <c r="J26"/>
  <c r="J28" s="1"/>
  <c r="K28"/>
  <c r="D23"/>
  <c r="D36"/>
  <c r="J36"/>
  <c r="J32"/>
  <c r="K35"/>
  <c r="K36"/>
  <c r="J15"/>
  <c r="M23"/>
  <c r="L21"/>
  <c r="M36"/>
  <c r="K32"/>
  <c r="G34" i="83"/>
  <c r="G33"/>
  <c r="G31"/>
  <c r="G30"/>
  <c r="G29"/>
  <c r="G27"/>
  <c r="G26"/>
  <c r="G25"/>
  <c r="G24"/>
  <c r="G22"/>
  <c r="G21"/>
  <c r="H23" i="85" l="1"/>
  <c r="H36"/>
  <c r="L23"/>
  <c r="L36"/>
  <c r="G34" l="1"/>
  <c r="G33"/>
  <c r="G31"/>
  <c r="G30"/>
  <c r="G29"/>
  <c r="G27"/>
  <c r="G25"/>
  <c r="G26"/>
  <c r="G21"/>
  <c r="G22"/>
  <c r="L12" l="1"/>
  <c r="N12" s="1"/>
  <c r="L13"/>
  <c r="N13" s="1"/>
  <c r="Q13" s="1"/>
  <c r="F34"/>
  <c r="O34"/>
  <c r="V34" s="1"/>
  <c r="G35"/>
  <c r="F33"/>
  <c r="O33"/>
  <c r="V33" s="1"/>
  <c r="F31"/>
  <c r="O31"/>
  <c r="V31" s="1"/>
  <c r="O30"/>
  <c r="V30" s="1"/>
  <c r="F30"/>
  <c r="F29"/>
  <c r="L10"/>
  <c r="N10" s="1"/>
  <c r="O29"/>
  <c r="V29" s="1"/>
  <c r="G32"/>
  <c r="O27"/>
  <c r="V27" s="1"/>
  <c r="F27"/>
  <c r="F25"/>
  <c r="O25"/>
  <c r="V25" s="1"/>
  <c r="O24"/>
  <c r="V24" s="1"/>
  <c r="F24"/>
  <c r="F26"/>
  <c r="G28"/>
  <c r="O26"/>
  <c r="V26" s="1"/>
  <c r="F21"/>
  <c r="O21"/>
  <c r="V21" s="1"/>
  <c r="G23"/>
  <c r="F22"/>
  <c r="L11"/>
  <c r="O22"/>
  <c r="V22" s="1"/>
  <c r="G36"/>
  <c r="M31" i="83"/>
  <c r="M30"/>
  <c r="M29"/>
  <c r="M24"/>
  <c r="T24"/>
  <c r="T33"/>
  <c r="T22"/>
  <c r="T31"/>
  <c r="F35" i="85" l="1"/>
  <c r="F32"/>
  <c r="F28"/>
  <c r="N34"/>
  <c r="O35"/>
  <c r="N33"/>
  <c r="N31"/>
  <c r="N30"/>
  <c r="N29"/>
  <c r="O32"/>
  <c r="N27"/>
  <c r="N25"/>
  <c r="N24"/>
  <c r="N26"/>
  <c r="O28"/>
  <c r="N21"/>
  <c r="F36"/>
  <c r="F23"/>
  <c r="N22"/>
  <c r="O23"/>
  <c r="O36"/>
  <c r="V36" s="1"/>
  <c r="N11"/>
  <c r="L15"/>
  <c r="M33" i="83"/>
  <c r="M27"/>
  <c r="M26"/>
  <c r="M22"/>
  <c r="M21"/>
  <c r="N35" i="85" l="1"/>
  <c r="N32"/>
  <c r="N28"/>
  <c r="N36"/>
  <c r="N23"/>
  <c r="Q11"/>
  <c r="N15"/>
  <c r="I29" i="83" l="1"/>
  <c r="I30"/>
  <c r="I31"/>
  <c r="I26"/>
  <c r="I21"/>
  <c r="I22"/>
  <c r="K33" l="1"/>
  <c r="K29"/>
  <c r="K31"/>
  <c r="K27"/>
  <c r="K26"/>
  <c r="K24"/>
  <c r="K21"/>
  <c r="K22"/>
  <c r="H10" i="82" l="1"/>
  <c r="T27" i="83" l="1"/>
  <c r="M34" l="1"/>
  <c r="M32" l="1"/>
  <c r="I23"/>
  <c r="S36"/>
  <c r="E36"/>
  <c r="E35"/>
  <c r="L34"/>
  <c r="J34"/>
  <c r="H34"/>
  <c r="D34"/>
  <c r="M35"/>
  <c r="L33"/>
  <c r="J33"/>
  <c r="I35"/>
  <c r="H33"/>
  <c r="D33"/>
  <c r="D35" s="1"/>
  <c r="E32"/>
  <c r="L31"/>
  <c r="J31"/>
  <c r="H31"/>
  <c r="D31"/>
  <c r="L30"/>
  <c r="J30"/>
  <c r="H30"/>
  <c r="D30"/>
  <c r="K32"/>
  <c r="J29"/>
  <c r="I32"/>
  <c r="H29"/>
  <c r="D29"/>
  <c r="E28"/>
  <c r="L27"/>
  <c r="J27"/>
  <c r="H27"/>
  <c r="D27"/>
  <c r="T26"/>
  <c r="L26"/>
  <c r="J26"/>
  <c r="D26"/>
  <c r="L25"/>
  <c r="J25"/>
  <c r="H25"/>
  <c r="D25"/>
  <c r="M28"/>
  <c r="L24"/>
  <c r="J24"/>
  <c r="I28"/>
  <c r="H24"/>
  <c r="D24"/>
  <c r="K23"/>
  <c r="E23"/>
  <c r="L22"/>
  <c r="J22"/>
  <c r="H22"/>
  <c r="D22"/>
  <c r="T21"/>
  <c r="T36" s="1"/>
  <c r="M23"/>
  <c r="J21"/>
  <c r="H21"/>
  <c r="D21"/>
  <c r="I15"/>
  <c r="D15"/>
  <c r="B15"/>
  <c r="J13"/>
  <c r="E13"/>
  <c r="J12"/>
  <c r="E12"/>
  <c r="J11"/>
  <c r="E11"/>
  <c r="H15"/>
  <c r="G15"/>
  <c r="H6" s="1"/>
  <c r="E10"/>
  <c r="G6"/>
  <c r="G10" i="82"/>
  <c r="G13"/>
  <c r="D32" i="83" l="1"/>
  <c r="L35"/>
  <c r="P15"/>
  <c r="K6"/>
  <c r="E15"/>
  <c r="J32"/>
  <c r="H23"/>
  <c r="D23"/>
  <c r="D28"/>
  <c r="L29"/>
  <c r="L32" s="1"/>
  <c r="L28"/>
  <c r="J35"/>
  <c r="J28"/>
  <c r="J36"/>
  <c r="J23"/>
  <c r="H35"/>
  <c r="H32"/>
  <c r="H28"/>
  <c r="D36"/>
  <c r="H36"/>
  <c r="K28"/>
  <c r="K36"/>
  <c r="J10"/>
  <c r="I36"/>
  <c r="M36"/>
  <c r="K35"/>
  <c r="L21"/>
  <c r="M22" i="82"/>
  <c r="M31"/>
  <c r="T27"/>
  <c r="T24"/>
  <c r="T26"/>
  <c r="T22"/>
  <c r="T31"/>
  <c r="T33"/>
  <c r="J15" i="83" l="1"/>
  <c r="L23"/>
  <c r="L36"/>
  <c r="M33" i="82"/>
  <c r="M30"/>
  <c r="M29"/>
  <c r="M27"/>
  <c r="K33"/>
  <c r="K31"/>
  <c r="K30"/>
  <c r="K29"/>
  <c r="K27"/>
  <c r="K26"/>
  <c r="K24"/>
  <c r="K22"/>
  <c r="M24"/>
  <c r="I33"/>
  <c r="I31"/>
  <c r="I30"/>
  <c r="I29"/>
  <c r="I25"/>
  <c r="I22"/>
  <c r="M26"/>
  <c r="T21" l="1"/>
  <c r="I24" l="1"/>
  <c r="I21"/>
  <c r="M21" l="1"/>
  <c r="M34"/>
  <c r="M25"/>
  <c r="G34" l="1"/>
  <c r="G33"/>
  <c r="G31"/>
  <c r="G30"/>
  <c r="G29"/>
  <c r="G27"/>
  <c r="G26"/>
  <c r="G25"/>
  <c r="G24"/>
  <c r="G22"/>
  <c r="G21"/>
  <c r="L13" l="1"/>
  <c r="L10"/>
  <c r="L11"/>
  <c r="L12"/>
  <c r="K32"/>
  <c r="M35" l="1"/>
  <c r="L30"/>
  <c r="M23"/>
  <c r="L29"/>
  <c r="G6"/>
  <c r="F34"/>
  <c r="F31"/>
  <c r="F27"/>
  <c r="O25"/>
  <c r="U25" s="1"/>
  <c r="F22"/>
  <c r="S36"/>
  <c r="E36"/>
  <c r="K35"/>
  <c r="I35"/>
  <c r="E35"/>
  <c r="L34"/>
  <c r="J34"/>
  <c r="H34"/>
  <c r="D34"/>
  <c r="J33"/>
  <c r="H33"/>
  <c r="D33"/>
  <c r="I32"/>
  <c r="E32"/>
  <c r="J31"/>
  <c r="H31"/>
  <c r="D31"/>
  <c r="J30"/>
  <c r="H30"/>
  <c r="D30"/>
  <c r="H29"/>
  <c r="D29"/>
  <c r="E28"/>
  <c r="L27"/>
  <c r="H27"/>
  <c r="D27"/>
  <c r="L26"/>
  <c r="J26"/>
  <c r="D26"/>
  <c r="L25"/>
  <c r="J25"/>
  <c r="H25"/>
  <c r="D25"/>
  <c r="L24"/>
  <c r="K28"/>
  <c r="H24"/>
  <c r="D24"/>
  <c r="I23"/>
  <c r="E23"/>
  <c r="J22"/>
  <c r="H22"/>
  <c r="D22"/>
  <c r="L21"/>
  <c r="K36"/>
  <c r="H21"/>
  <c r="D21"/>
  <c r="I15"/>
  <c r="H15"/>
  <c r="G15"/>
  <c r="H6" s="1"/>
  <c r="D15"/>
  <c r="B15"/>
  <c r="J13"/>
  <c r="E13"/>
  <c r="J12"/>
  <c r="E12"/>
  <c r="J11"/>
  <c r="E11"/>
  <c r="J10"/>
  <c r="E10"/>
  <c r="H35" l="1"/>
  <c r="D35"/>
  <c r="J35"/>
  <c r="P15"/>
  <c r="O26"/>
  <c r="N26" s="1"/>
  <c r="L22"/>
  <c r="L23" s="1"/>
  <c r="O30"/>
  <c r="N30" s="1"/>
  <c r="M32"/>
  <c r="M28"/>
  <c r="L33"/>
  <c r="L35" s="1"/>
  <c r="L31"/>
  <c r="L32" s="1"/>
  <c r="G35"/>
  <c r="O34"/>
  <c r="G32"/>
  <c r="O27"/>
  <c r="N27" s="1"/>
  <c r="G28"/>
  <c r="F25"/>
  <c r="G36"/>
  <c r="D32"/>
  <c r="D28"/>
  <c r="D36"/>
  <c r="J15"/>
  <c r="E15"/>
  <c r="H36"/>
  <c r="H23"/>
  <c r="H28"/>
  <c r="H32"/>
  <c r="K6"/>
  <c r="L28"/>
  <c r="O21"/>
  <c r="O22"/>
  <c r="O24"/>
  <c r="O29"/>
  <c r="N11"/>
  <c r="Q11" s="1"/>
  <c r="N13"/>
  <c r="Q13" s="1"/>
  <c r="F21"/>
  <c r="J21"/>
  <c r="F24"/>
  <c r="J24"/>
  <c r="N25"/>
  <c r="F26"/>
  <c r="J27"/>
  <c r="I28"/>
  <c r="F29"/>
  <c r="J29"/>
  <c r="J32" s="1"/>
  <c r="F30"/>
  <c r="O31"/>
  <c r="N31" s="1"/>
  <c r="F33"/>
  <c r="F35" s="1"/>
  <c r="O33"/>
  <c r="D23"/>
  <c r="I36"/>
  <c r="M36"/>
  <c r="T36"/>
  <c r="N10"/>
  <c r="N12"/>
  <c r="Q12" s="1"/>
  <c r="G23"/>
  <c r="K23"/>
  <c r="U26" l="1"/>
  <c r="U30"/>
  <c r="F28"/>
  <c r="L36"/>
  <c r="U27"/>
  <c r="N34"/>
  <c r="U34"/>
  <c r="N15"/>
  <c r="Q10"/>
  <c r="Q15" s="1"/>
  <c r="F36"/>
  <c r="F23"/>
  <c r="O28"/>
  <c r="U24"/>
  <c r="N24"/>
  <c r="N28" s="1"/>
  <c r="L15"/>
  <c r="J28"/>
  <c r="F32"/>
  <c r="U31"/>
  <c r="O36"/>
  <c r="U36" s="1"/>
  <c r="O23"/>
  <c r="U21"/>
  <c r="N21"/>
  <c r="U22"/>
  <c r="N22"/>
  <c r="O35"/>
  <c r="N33"/>
  <c r="N35" s="1"/>
  <c r="J36"/>
  <c r="J23"/>
  <c r="O32"/>
  <c r="U29"/>
  <c r="N29"/>
  <c r="N32" s="1"/>
  <c r="U33"/>
  <c r="N23" l="1"/>
  <c r="N36"/>
  <c r="O34" i="83" l="1"/>
  <c r="F34"/>
  <c r="N34" l="1"/>
  <c r="U34"/>
  <c r="O33" l="1"/>
  <c r="F33"/>
  <c r="F35" s="1"/>
  <c r="L12"/>
  <c r="N12" s="1"/>
  <c r="Q12" s="1"/>
  <c r="G35"/>
  <c r="F27"/>
  <c r="O27"/>
  <c r="F26"/>
  <c r="O26"/>
  <c r="O25"/>
  <c r="F25"/>
  <c r="O30"/>
  <c r="F30"/>
  <c r="G28"/>
  <c r="F24"/>
  <c r="O24"/>
  <c r="L13"/>
  <c r="N13" s="1"/>
  <c r="Q13" s="1"/>
  <c r="O31"/>
  <c r="F31"/>
  <c r="O29"/>
  <c r="F29"/>
  <c r="L10"/>
  <c r="N10" s="1"/>
  <c r="Q10" s="1"/>
  <c r="G32"/>
  <c r="F22"/>
  <c r="O22"/>
  <c r="O21"/>
  <c r="L11"/>
  <c r="G23"/>
  <c r="F21"/>
  <c r="G36"/>
  <c r="O35" l="1"/>
  <c r="U33"/>
  <c r="N33"/>
  <c r="N35" s="1"/>
  <c r="U25"/>
  <c r="N25"/>
  <c r="U27"/>
  <c r="N27"/>
  <c r="F28"/>
  <c r="N30"/>
  <c r="U30"/>
  <c r="N26"/>
  <c r="U26"/>
  <c r="N24"/>
  <c r="U24"/>
  <c r="O28"/>
  <c r="U31"/>
  <c r="N31"/>
  <c r="F32"/>
  <c r="O32"/>
  <c r="U29"/>
  <c r="N29"/>
  <c r="U22"/>
  <c r="N22"/>
  <c r="U21"/>
  <c r="O36"/>
  <c r="U36" s="1"/>
  <c r="O23"/>
  <c r="N21"/>
  <c r="N11"/>
  <c r="L15"/>
  <c r="F36"/>
  <c r="F23"/>
  <c r="N28" l="1"/>
  <c r="N32"/>
  <c r="Q11"/>
  <c r="Q15" s="1"/>
  <c r="N15"/>
  <c r="N36"/>
  <c r="N23"/>
  <c r="Q12" i="85" l="1"/>
  <c r="P15" l="1"/>
  <c r="Q10"/>
  <c r="Q15" s="1"/>
  <c r="G33" i="86" l="1"/>
  <c r="G31"/>
  <c r="G30"/>
  <c r="G29"/>
  <c r="G27"/>
  <c r="F33" l="1"/>
  <c r="F35" s="1"/>
  <c r="O33"/>
  <c r="G35"/>
  <c r="L12"/>
  <c r="N12" s="1"/>
  <c r="Q12" s="1"/>
  <c r="O31"/>
  <c r="F31"/>
  <c r="F30"/>
  <c r="O30"/>
  <c r="L10"/>
  <c r="N10" s="1"/>
  <c r="Q10" s="1"/>
  <c r="F29"/>
  <c r="O29"/>
  <c r="G32"/>
  <c r="F27"/>
  <c r="O27"/>
  <c r="G28"/>
  <c r="L13"/>
  <c r="G36"/>
  <c r="V33" l="1"/>
  <c r="X33" s="1"/>
  <c r="O35"/>
  <c r="N33"/>
  <c r="N35" s="1"/>
  <c r="N31"/>
  <c r="V31"/>
  <c r="X31" s="1"/>
  <c r="V30"/>
  <c r="N30"/>
  <c r="F32"/>
  <c r="V29"/>
  <c r="O32"/>
  <c r="N29"/>
  <c r="N27"/>
  <c r="V27"/>
  <c r="O36"/>
  <c r="V36" s="1"/>
  <c r="O28"/>
  <c r="F36"/>
  <c r="F28"/>
  <c r="N13"/>
  <c r="L15"/>
  <c r="N32" l="1"/>
  <c r="N36"/>
  <c r="N28"/>
  <c r="Q13"/>
  <c r="Q15" s="1"/>
  <c r="N15"/>
  <c r="G33" i="87" l="1"/>
  <c r="G31"/>
  <c r="G27"/>
  <c r="G26"/>
  <c r="G24"/>
  <c r="F33" l="1"/>
  <c r="F35" s="1"/>
  <c r="G35"/>
  <c r="L12"/>
  <c r="N12" s="1"/>
  <c r="Q12" s="1"/>
  <c r="O33"/>
  <c r="F31"/>
  <c r="F32" s="1"/>
  <c r="G32"/>
  <c r="L10"/>
  <c r="N10" s="1"/>
  <c r="Q10" s="1"/>
  <c r="O31"/>
  <c r="O27"/>
  <c r="F27"/>
  <c r="F26"/>
  <c r="O26"/>
  <c r="O24"/>
  <c r="L13"/>
  <c r="G36"/>
  <c r="G28"/>
  <c r="F24"/>
  <c r="U33" l="1"/>
  <c r="N33"/>
  <c r="N35" s="1"/>
  <c r="O35"/>
  <c r="N31"/>
  <c r="N32" s="1"/>
  <c r="O32"/>
  <c r="U31"/>
  <c r="N27"/>
  <c r="U27"/>
  <c r="N26"/>
  <c r="U26"/>
  <c r="F28"/>
  <c r="F36"/>
  <c r="N24"/>
  <c r="U24"/>
  <c r="O28"/>
  <c r="O36"/>
  <c r="U36" s="1"/>
  <c r="N13"/>
  <c r="L15"/>
  <c r="Q13" l="1"/>
  <c r="Q15" s="1"/>
  <c r="N15"/>
  <c r="N28"/>
  <c r="N36"/>
</calcChain>
</file>

<file path=xl/sharedStrings.xml><?xml version="1.0" encoding="utf-8"?>
<sst xmlns="http://schemas.openxmlformats.org/spreadsheetml/2006/main" count="376" uniqueCount="70">
  <si>
    <t>Received</t>
  </si>
  <si>
    <t>Total</t>
  </si>
  <si>
    <t>Blend Issuied</t>
  </si>
  <si>
    <t>Clo.Stock</t>
  </si>
  <si>
    <t>Kgs</t>
  </si>
  <si>
    <t>Kg</t>
  </si>
  <si>
    <t>Blend Type</t>
  </si>
  <si>
    <t>Production</t>
  </si>
  <si>
    <t>Special Blended Tea</t>
  </si>
  <si>
    <t xml:space="preserve">Premium Blended Tea </t>
  </si>
  <si>
    <t>Mukta Blended Tea</t>
  </si>
  <si>
    <t>Particulars</t>
  </si>
  <si>
    <t>Closing Balance</t>
  </si>
  <si>
    <t>PATAKA PREM 1 KG</t>
  </si>
  <si>
    <t>PATAKA PREM 250 GM</t>
  </si>
  <si>
    <t xml:space="preserve">PATAKA PREM 5 KG </t>
  </si>
  <si>
    <t>PATAKA  SPSL 1 KG</t>
  </si>
  <si>
    <t>PATAKA SPSL 250 GM</t>
  </si>
  <si>
    <t>PATAKA PREM 100 GM</t>
  </si>
  <si>
    <t>MUKTA JAR 500 GM</t>
  </si>
  <si>
    <t>MUKTA CARTOON 250 GM</t>
  </si>
  <si>
    <t>Grand Total</t>
  </si>
  <si>
    <t>Blended tea Received</t>
  </si>
  <si>
    <t>Blend Gain</t>
  </si>
  <si>
    <t>Short/Exces</t>
  </si>
  <si>
    <t>Kgs.</t>
  </si>
  <si>
    <t>Bags.</t>
  </si>
  <si>
    <t>FAC</t>
  </si>
  <si>
    <t>DEPO</t>
  </si>
  <si>
    <t>DIFFERENCE</t>
  </si>
  <si>
    <t>5 Kg Pack</t>
  </si>
  <si>
    <t>Sale.</t>
  </si>
  <si>
    <t>Stock Transfer</t>
  </si>
  <si>
    <t>Jaipur</t>
  </si>
  <si>
    <t>kundli</t>
  </si>
  <si>
    <t>Actual Blended Tea Closing</t>
  </si>
  <si>
    <t>PREMIUM TOTAL</t>
  </si>
  <si>
    <t>5 KG TOTAL</t>
  </si>
  <si>
    <t>SPECIAL TOTAL</t>
  </si>
  <si>
    <t>MUKTA TOTAL</t>
  </si>
  <si>
    <t>Actual Blended Tea Opening</t>
  </si>
  <si>
    <t>Allocated Blend Tea Opp.</t>
  </si>
  <si>
    <t>Allocated Blend Tea Clo.</t>
  </si>
  <si>
    <t>PATAKA SPSL 500 GM</t>
  </si>
  <si>
    <t xml:space="preserve">Inter </t>
  </si>
  <si>
    <t>Transfer</t>
  </si>
  <si>
    <t>Opening</t>
  </si>
  <si>
    <t>PATAKA PREM RS 10/- (22KG)</t>
  </si>
  <si>
    <t>PATAKA PREM RS 5/- (22KG)</t>
  </si>
  <si>
    <t>Destination Wise Production , Despatch and Stock Report for the month of April 01.04.2021 to 30.04.2021</t>
  </si>
  <si>
    <t>ORIGINAL/BLACK TEA  STATEMENT  AS ON  (01.04.2021 to 30.04.2021)</t>
  </si>
  <si>
    <t>BLENDED TEA  STATEMENT AS ON (01.04.2021 TO 30.04.2021)</t>
  </si>
  <si>
    <t>PACKED TEA  STATEMENT AS ON (01.04.2021 TO 30.04.2021)</t>
  </si>
  <si>
    <t>`</t>
  </si>
  <si>
    <t>Destination Wise Production , Despatch and Stock Report for the month of May 01.05.2021 to 31.05.2021</t>
  </si>
  <si>
    <t>ORIGINAL/BLACK TEA  STATEMENT  AS ON  (01.05.2021 to 31.05.2021)</t>
  </si>
  <si>
    <t>BLENDED TEA  STATEMENT AS ON (01.05.2021 TO 31.05.2021)</t>
  </si>
  <si>
    <t>PACKED TEA  STATEMENT AS ON (01.05.2021 TO 31.05.2021)</t>
  </si>
  <si>
    <t>Destination Wise Production , Despatch and Stock Report for the month of June 01.06.2021 to 30.06.2021</t>
  </si>
  <si>
    <t>ORIGINAL/BLACK TEA  STATEMENT  AS ON  (01.06.2021 to 30.06.2021)</t>
  </si>
  <si>
    <t>BLENDED TEA  STATEMENT AS ON (01.06.2021 TO 30.06.2021)</t>
  </si>
  <si>
    <t>PACKED TEA  STATEMENT AS ON (01.06.2021 TO 30.06.2021)</t>
  </si>
  <si>
    <t>PACKED TEA  STATEMENT AS ON (01.07.2021 TO 31.07.2021)</t>
  </si>
  <si>
    <t>BLENDED TEA  STATEMENT AS ON (01.07.2021 TO 31.07.2021)</t>
  </si>
  <si>
    <t>Destination Wise Production , Despatch and Stock Report for the month of July 01.07.2021 to 31.07.2021</t>
  </si>
  <si>
    <t>ORIGINAL/BLACK TEA  STATEMENT  AS ON  (01.07.2021 to 31.07.2021)</t>
  </si>
  <si>
    <t>Destination Wise Production , Despatch and Stock Report for the month of August 01.08.2021 to 31.08.2021</t>
  </si>
  <si>
    <t>ORIGINAL/BLACK TEA  STATEMENT  AS ON  (01.08.2021 to 31.08.2021)</t>
  </si>
  <si>
    <t>BLENDED TEA  STATEMENT AS ON (01.08.2021 TO 31.08.2021)</t>
  </si>
  <si>
    <t>PACKED TEA  STATEMENT AS ON (01.08.2021 TO 31.08.2021)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</si>
</sst>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i/>
      <sz val="9"/>
      <name val="Arial"/>
      <family val="2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Arial"/>
      <family val="2"/>
    </font>
    <font>
      <b/>
      <sz val="9"/>
      <name val="Arial"/>
      <family val="2"/>
    </font>
    <font>
      <b/>
      <i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9"/>
      <color theme="0"/>
      <name val="Arial"/>
      <family val="2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1" fontId="1" fillId="2" borderId="23" xfId="0" applyNumberFormat="1" applyFont="1" applyFill="1" applyBorder="1" applyAlignment="1">
      <alignment horizontal="center"/>
    </xf>
    <xf numFmtId="0" fontId="2" fillId="0" borderId="0" xfId="0" applyFont="1"/>
    <xf numFmtId="1" fontId="1" fillId="2" borderId="15" xfId="0" applyNumberFormat="1" applyFont="1" applyFill="1" applyBorder="1" applyAlignment="1">
      <alignment horizontal="center"/>
    </xf>
    <xf numFmtId="0" fontId="2" fillId="0" borderId="13" xfId="0" applyFont="1" applyBorder="1"/>
    <xf numFmtId="0" fontId="2" fillId="0" borderId="19" xfId="0" applyFont="1" applyBorder="1"/>
    <xf numFmtId="0" fontId="2" fillId="0" borderId="24" xfId="0" applyFont="1" applyBorder="1"/>
    <xf numFmtId="1" fontId="2" fillId="0" borderId="20" xfId="0" applyNumberFormat="1" applyFont="1" applyBorder="1"/>
    <xf numFmtId="0" fontId="2" fillId="0" borderId="14" xfId="0" applyFont="1" applyBorder="1"/>
    <xf numFmtId="0" fontId="2" fillId="0" borderId="29" xfId="0" applyFont="1" applyBorder="1"/>
    <xf numFmtId="1" fontId="1" fillId="2" borderId="22" xfId="0" applyNumberFormat="1" applyFont="1" applyFill="1" applyBorder="1" applyAlignment="1">
      <alignment horizontal="center"/>
    </xf>
    <xf numFmtId="1" fontId="1" fillId="2" borderId="37" xfId="0" applyNumberFormat="1" applyFont="1" applyFill="1" applyBorder="1" applyAlignment="1">
      <alignment horizontal="center"/>
    </xf>
    <xf numFmtId="1" fontId="1" fillId="2" borderId="32" xfId="0" applyNumberFormat="1" applyFont="1" applyFill="1" applyBorder="1" applyAlignment="1">
      <alignment horizontal="center"/>
    </xf>
    <xf numFmtId="1" fontId="1" fillId="2" borderId="38" xfId="0" applyNumberFormat="1" applyFont="1" applyFill="1" applyBorder="1" applyAlignment="1">
      <alignment horizontal="center"/>
    </xf>
    <xf numFmtId="1" fontId="1" fillId="2" borderId="3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2" fillId="0" borderId="20" xfId="0" applyFont="1" applyBorder="1"/>
    <xf numFmtId="0" fontId="2" fillId="0" borderId="26" xfId="0" applyFont="1" applyBorder="1"/>
    <xf numFmtId="0" fontId="2" fillId="0" borderId="30" xfId="0" applyFont="1" applyBorder="1"/>
    <xf numFmtId="0" fontId="2" fillId="0" borderId="35" xfId="0" applyFont="1" applyBorder="1"/>
    <xf numFmtId="0" fontId="2" fillId="0" borderId="28" xfId="0" applyFont="1" applyBorder="1"/>
    <xf numFmtId="1" fontId="1" fillId="3" borderId="27" xfId="0" applyNumberFormat="1" applyFont="1" applyFill="1" applyBorder="1" applyAlignment="1">
      <alignment horizontal="center"/>
    </xf>
    <xf numFmtId="0" fontId="2" fillId="0" borderId="15" xfId="0" applyFont="1" applyBorder="1"/>
    <xf numFmtId="1" fontId="1" fillId="2" borderId="21" xfId="0" applyNumberFormat="1" applyFont="1" applyFill="1" applyBorder="1" applyAlignment="1">
      <alignment horizontal="center"/>
    </xf>
    <xf numFmtId="1" fontId="1" fillId="2" borderId="31" xfId="0" applyNumberFormat="1" applyFont="1" applyFill="1" applyBorder="1" applyAlignment="1">
      <alignment horizontal="center"/>
    </xf>
    <xf numFmtId="1" fontId="1" fillId="2" borderId="13" xfId="0" applyNumberFormat="1" applyFont="1" applyFill="1" applyBorder="1" applyAlignment="1">
      <alignment horizontal="center"/>
    </xf>
    <xf numFmtId="1" fontId="1" fillId="2" borderId="40" xfId="0" applyNumberFormat="1" applyFont="1" applyFill="1" applyBorder="1" applyAlignment="1">
      <alignment horizontal="center"/>
    </xf>
    <xf numFmtId="1" fontId="1" fillId="2" borderId="46" xfId="0" applyNumberFormat="1" applyFont="1" applyFill="1" applyBorder="1" applyAlignment="1">
      <alignment horizontal="center"/>
    </xf>
    <xf numFmtId="1" fontId="1" fillId="2" borderId="44" xfId="0" applyNumberFormat="1" applyFont="1" applyFill="1" applyBorder="1" applyAlignment="1">
      <alignment horizontal="center"/>
    </xf>
    <xf numFmtId="2" fontId="2" fillId="0" borderId="0" xfId="0" applyNumberFormat="1" applyFont="1"/>
    <xf numFmtId="2" fontId="2" fillId="0" borderId="25" xfId="0" applyNumberFormat="1" applyFont="1" applyBorder="1"/>
    <xf numFmtId="164" fontId="2" fillId="0" borderId="16" xfId="0" applyNumberFormat="1" applyFont="1" applyBorder="1" applyAlignment="1">
      <alignment horizontal="right"/>
    </xf>
    <xf numFmtId="164" fontId="2" fillId="0" borderId="0" xfId="0" applyNumberFormat="1" applyFont="1"/>
    <xf numFmtId="1" fontId="1" fillId="2" borderId="42" xfId="0" applyNumberFormat="1" applyFont="1" applyFill="1" applyBorder="1" applyAlignment="1">
      <alignment horizontal="center"/>
    </xf>
    <xf numFmtId="2" fontId="2" fillId="0" borderId="48" xfId="0" applyNumberFormat="1" applyFont="1" applyBorder="1"/>
    <xf numFmtId="2" fontId="2" fillId="0" borderId="49" xfId="0" applyNumberFormat="1" applyFont="1" applyBorder="1"/>
    <xf numFmtId="1" fontId="1" fillId="2" borderId="50" xfId="0" applyNumberFormat="1" applyFont="1" applyFill="1" applyBorder="1" applyAlignment="1">
      <alignment horizontal="center"/>
    </xf>
    <xf numFmtId="49" fontId="1" fillId="2" borderId="16" xfId="0" applyNumberFormat="1" applyFont="1" applyFill="1" applyBorder="1" applyAlignment="1">
      <alignment horizontal="center" vertical="center"/>
    </xf>
    <xf numFmtId="1" fontId="1" fillId="2" borderId="36" xfId="0" applyNumberFormat="1" applyFont="1" applyFill="1" applyBorder="1" applyAlignment="1">
      <alignment horizontal="center"/>
    </xf>
    <xf numFmtId="1" fontId="1" fillId="2" borderId="19" xfId="0" applyNumberFormat="1" applyFont="1" applyFill="1" applyBorder="1" applyAlignment="1">
      <alignment horizontal="center"/>
    </xf>
    <xf numFmtId="1" fontId="1" fillId="2" borderId="51" xfId="0" applyNumberFormat="1" applyFont="1" applyFill="1" applyBorder="1" applyAlignment="1">
      <alignment horizontal="center"/>
    </xf>
    <xf numFmtId="1" fontId="1" fillId="2" borderId="55" xfId="0" applyNumberFormat="1" applyFont="1" applyFill="1" applyBorder="1" applyAlignment="1">
      <alignment horizontal="center"/>
    </xf>
    <xf numFmtId="1" fontId="1" fillId="2" borderId="24" xfId="0" applyNumberFormat="1" applyFont="1" applyFill="1" applyBorder="1" applyAlignment="1">
      <alignment horizontal="center"/>
    </xf>
    <xf numFmtId="1" fontId="1" fillId="2" borderId="54" xfId="0" applyNumberFormat="1" applyFont="1" applyFill="1" applyBorder="1" applyAlignment="1">
      <alignment horizontal="center"/>
    </xf>
    <xf numFmtId="1" fontId="1" fillId="2" borderId="52" xfId="0" applyNumberFormat="1" applyFont="1" applyFill="1" applyBorder="1" applyAlignment="1">
      <alignment horizontal="center"/>
    </xf>
    <xf numFmtId="0" fontId="2" fillId="0" borderId="33" xfId="0" applyFont="1" applyBorder="1"/>
    <xf numFmtId="0" fontId="2" fillId="0" borderId="56" xfId="0" applyFont="1" applyBorder="1"/>
    <xf numFmtId="2" fontId="2" fillId="0" borderId="40" xfId="0" applyNumberFormat="1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31" xfId="0" applyFont="1" applyBorder="1"/>
    <xf numFmtId="0" fontId="2" fillId="0" borderId="32" xfId="0" applyFont="1" applyBorder="1"/>
    <xf numFmtId="2" fontId="3" fillId="2" borderId="16" xfId="0" applyNumberFormat="1" applyFont="1" applyFill="1" applyBorder="1" applyAlignment="1">
      <alignment horizontal="center"/>
    </xf>
    <xf numFmtId="0" fontId="3" fillId="0" borderId="0" xfId="0" applyFont="1" applyAlignment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6" xfId="0" applyFont="1" applyFill="1" applyBorder="1" applyAlignment="1"/>
    <xf numFmtId="2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2" fontId="3" fillId="0" borderId="1" xfId="0" applyNumberFormat="1" applyFont="1" applyBorder="1" applyAlignment="1"/>
    <xf numFmtId="2" fontId="3" fillId="0" borderId="3" xfId="0" applyNumberFormat="1" applyFont="1" applyBorder="1" applyAlignment="1"/>
    <xf numFmtId="10" fontId="2" fillId="0" borderId="0" xfId="0" applyNumberFormat="1" applyFont="1"/>
    <xf numFmtId="0" fontId="3" fillId="0" borderId="0" xfId="0" applyFont="1" applyFill="1" applyBorder="1" applyAlignment="1"/>
    <xf numFmtId="0" fontId="3" fillId="0" borderId="0" xfId="0" applyFont="1" applyBorder="1"/>
    <xf numFmtId="0" fontId="3" fillId="0" borderId="0" xfId="0" applyFont="1"/>
    <xf numFmtId="49" fontId="7" fillId="2" borderId="0" xfId="0" applyNumberFormat="1" applyFont="1" applyFill="1" applyBorder="1" applyAlignment="1">
      <alignment wrapText="1"/>
    </xf>
    <xf numFmtId="49" fontId="7" fillId="2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30" xfId="0" applyNumberFormat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/>
    </xf>
    <xf numFmtId="1" fontId="2" fillId="0" borderId="0" xfId="0" applyNumberFormat="1" applyFont="1"/>
    <xf numFmtId="1" fontId="7" fillId="2" borderId="31" xfId="0" applyNumberFormat="1" applyFont="1" applyFill="1" applyBorder="1" applyAlignment="1">
      <alignment horizontal="center"/>
    </xf>
    <xf numFmtId="1" fontId="7" fillId="3" borderId="11" xfId="0" applyNumberFormat="1" applyFont="1" applyFill="1" applyBorder="1" applyAlignment="1">
      <alignment horizontal="center"/>
    </xf>
    <xf numFmtId="1" fontId="7" fillId="3" borderId="27" xfId="0" applyNumberFormat="1" applyFont="1" applyFill="1" applyBorder="1" applyAlignment="1">
      <alignment horizontal="center"/>
    </xf>
    <xf numFmtId="1" fontId="7" fillId="3" borderId="26" xfId="0" applyNumberFormat="1" applyFont="1" applyFill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1" fontId="7" fillId="2" borderId="19" xfId="0" applyNumberFormat="1" applyFont="1" applyFill="1" applyBorder="1" applyAlignment="1">
      <alignment horizontal="center"/>
    </xf>
    <xf numFmtId="1" fontId="7" fillId="2" borderId="13" xfId="0" applyNumberFormat="1" applyFont="1" applyFill="1" applyBorder="1" applyAlignment="1">
      <alignment horizontal="center"/>
    </xf>
    <xf numFmtId="1" fontId="7" fillId="2" borderId="24" xfId="0" applyNumberFormat="1" applyFont="1" applyFill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1" fontId="7" fillId="2" borderId="33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7" fillId="2" borderId="16" xfId="0" applyNumberFormat="1" applyFont="1" applyFill="1" applyBorder="1" applyAlignment="1">
      <alignment horizontal="center"/>
    </xf>
    <xf numFmtId="164" fontId="7" fillId="2" borderId="26" xfId="0" applyNumberFormat="1" applyFont="1" applyFill="1" applyBorder="1" applyAlignment="1">
      <alignment horizontal="right"/>
    </xf>
    <xf numFmtId="164" fontId="7" fillId="2" borderId="30" xfId="0" applyNumberFormat="1" applyFont="1" applyFill="1" applyBorder="1" applyAlignment="1">
      <alignment horizontal="right"/>
    </xf>
    <xf numFmtId="2" fontId="9" fillId="0" borderId="0" xfId="0" applyNumberFormat="1" applyFont="1"/>
    <xf numFmtId="2" fontId="3" fillId="0" borderId="27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2" fontId="3" fillId="0" borderId="27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2" fontId="3" fillId="0" borderId="27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5" fillId="0" borderId="0" xfId="0" applyFont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2" fontId="3" fillId="0" borderId="27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2" fontId="3" fillId="0" borderId="27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right"/>
    </xf>
    <xf numFmtId="2" fontId="2" fillId="0" borderId="46" xfId="0" applyNumberFormat="1" applyFont="1" applyBorder="1"/>
    <xf numFmtId="1" fontId="1" fillId="2" borderId="0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1" fontId="12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49" fontId="11" fillId="2" borderId="0" xfId="0" applyNumberFormat="1" applyFont="1" applyFill="1" applyBorder="1" applyAlignment="1">
      <alignment horizontal="center" vertical="center"/>
    </xf>
    <xf numFmtId="1" fontId="7" fillId="2" borderId="0" xfId="0" applyNumberFormat="1" applyFont="1" applyFill="1" applyBorder="1" applyAlignment="1">
      <alignment horizontal="center"/>
    </xf>
    <xf numFmtId="49" fontId="7" fillId="2" borderId="37" xfId="0" applyNumberFormat="1" applyFont="1" applyFill="1" applyBorder="1" applyAlignment="1">
      <alignment horizontal="center"/>
    </xf>
    <xf numFmtId="49" fontId="7" fillId="2" borderId="39" xfId="0" applyNumberFormat="1" applyFont="1" applyFill="1" applyBorder="1" applyAlignment="1">
      <alignment horizontal="center"/>
    </xf>
    <xf numFmtId="49" fontId="7" fillId="2" borderId="40" xfId="0" applyNumberFormat="1" applyFont="1" applyFill="1" applyBorder="1" applyAlignment="1">
      <alignment horizontal="center"/>
    </xf>
    <xf numFmtId="49" fontId="7" fillId="2" borderId="38" xfId="0" applyNumberFormat="1" applyFont="1" applyFill="1" applyBorder="1" applyAlignment="1">
      <alignment horizontal="center"/>
    </xf>
    <xf numFmtId="49" fontId="7" fillId="2" borderId="41" xfId="0" applyNumberFormat="1" applyFont="1" applyFill="1" applyBorder="1" applyAlignment="1">
      <alignment horizontal="center"/>
    </xf>
    <xf numFmtId="49" fontId="7" fillId="2" borderId="42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49" fontId="7" fillId="3" borderId="2" xfId="0" applyNumberFormat="1" applyFont="1" applyFill="1" applyBorder="1" applyAlignment="1">
      <alignment horizontal="center"/>
    </xf>
    <xf numFmtId="49" fontId="7" fillId="3" borderId="3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49" fontId="7" fillId="2" borderId="3" xfId="0" applyNumberFormat="1" applyFont="1" applyFill="1" applyBorder="1" applyAlignment="1">
      <alignment horizontal="center"/>
    </xf>
    <xf numFmtId="49" fontId="7" fillId="2" borderId="52" xfId="0" applyNumberFormat="1" applyFont="1" applyFill="1" applyBorder="1" applyAlignment="1">
      <alignment horizontal="center"/>
    </xf>
    <xf numFmtId="49" fontId="7" fillId="2" borderId="53" xfId="0" applyNumberFormat="1" applyFont="1" applyFill="1" applyBorder="1" applyAlignment="1">
      <alignment horizontal="center"/>
    </xf>
    <xf numFmtId="49" fontId="7" fillId="2" borderId="54" xfId="0" applyNumberFormat="1" applyFont="1" applyFill="1" applyBorder="1" applyAlignment="1">
      <alignment horizontal="center"/>
    </xf>
    <xf numFmtId="49" fontId="7" fillId="2" borderId="23" xfId="0" applyNumberFormat="1" applyFont="1" applyFill="1" applyBorder="1" applyAlignment="1">
      <alignment horizontal="center"/>
    </xf>
    <xf numFmtId="49" fontId="7" fillId="2" borderId="43" xfId="0" applyNumberFormat="1" applyFont="1" applyFill="1" applyBorder="1" applyAlignment="1">
      <alignment horizontal="center"/>
    </xf>
    <xf numFmtId="49" fontId="7" fillId="2" borderId="44" xfId="0" applyNumberFormat="1" applyFont="1" applyFill="1" applyBorder="1" applyAlignment="1">
      <alignment horizontal="center"/>
    </xf>
    <xf numFmtId="49" fontId="7" fillId="2" borderId="51" xfId="0" applyNumberFormat="1" applyFont="1" applyFill="1" applyBorder="1" applyAlignment="1">
      <alignment horizontal="center"/>
    </xf>
    <xf numFmtId="49" fontId="7" fillId="2" borderId="47" xfId="0" applyNumberFormat="1" applyFont="1" applyFill="1" applyBorder="1" applyAlignment="1">
      <alignment horizontal="center"/>
    </xf>
    <xf numFmtId="49" fontId="7" fillId="2" borderId="46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7" xfId="0" applyNumberFormat="1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4" fillId="0" borderId="2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2" fontId="3" fillId="0" borderId="27" xfId="0" applyNumberFormat="1" applyFont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LENDED%20TEA%20STOCK%20REGISTER%202021-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PRODUCTION%20REGISTER-2021-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1-22"/>
      <sheetName val="May 2021"/>
      <sheetName val="June 2021"/>
      <sheetName val="July 2021"/>
    </sheetNames>
    <sheetDataSet>
      <sheetData sheetId="0">
        <row r="41">
          <cell r="K41">
            <v>28956.159999999996</v>
          </cell>
        </row>
        <row r="49">
          <cell r="K49">
            <v>21391.380000000005</v>
          </cell>
        </row>
        <row r="57">
          <cell r="K57">
            <v>0</v>
          </cell>
        </row>
        <row r="65">
          <cell r="K65">
            <v>12170.24</v>
          </cell>
        </row>
      </sheetData>
      <sheetData sheetId="1">
        <row r="15">
          <cell r="K15">
            <v>7044.7999999999993</v>
          </cell>
        </row>
        <row r="25">
          <cell r="K25">
            <v>6085.12</v>
          </cell>
        </row>
        <row r="35">
          <cell r="K35">
            <v>9600.42</v>
          </cell>
        </row>
        <row r="45">
          <cell r="K45">
            <v>0</v>
          </cell>
        </row>
      </sheetData>
      <sheetData sheetId="2">
        <row r="15">
          <cell r="K15">
            <v>30026.959999999999</v>
          </cell>
        </row>
        <row r="25">
          <cell r="K25">
            <v>3042.56</v>
          </cell>
        </row>
        <row r="35">
          <cell r="K35">
            <v>14868</v>
          </cell>
        </row>
        <row r="45">
          <cell r="K45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1-22"/>
      <sheetName val="May 2021"/>
      <sheetName val="June 2021"/>
      <sheetName val="July 2020"/>
      <sheetName val="AUGUST 2021 "/>
      <sheetName val="Sheet2"/>
    </sheetNames>
    <sheetDataSet>
      <sheetData sheetId="0">
        <row r="32">
          <cell r="B32">
            <v>1008</v>
          </cell>
          <cell r="C32">
            <v>7656</v>
          </cell>
          <cell r="D32">
            <v>35880</v>
          </cell>
          <cell r="E32">
            <v>552</v>
          </cell>
          <cell r="F32">
            <v>1870</v>
          </cell>
          <cell r="G32">
            <v>0</v>
          </cell>
          <cell r="H32">
            <v>10440</v>
          </cell>
          <cell r="I32">
            <v>5328</v>
          </cell>
          <cell r="J32">
            <v>58368</v>
          </cell>
          <cell r="K32">
            <v>6660</v>
          </cell>
          <cell r="L32">
            <v>900</v>
          </cell>
        </row>
      </sheetData>
      <sheetData sheetId="1">
        <row r="30">
          <cell r="B30">
            <v>1032</v>
          </cell>
          <cell r="C30">
            <v>3312</v>
          </cell>
          <cell r="D30">
            <v>22650</v>
          </cell>
          <cell r="E30">
            <v>0</v>
          </cell>
          <cell r="F30">
            <v>1166</v>
          </cell>
          <cell r="G30">
            <v>638</v>
          </cell>
          <cell r="H30">
            <v>9576</v>
          </cell>
          <cell r="I30">
            <v>4968</v>
          </cell>
          <cell r="J30">
            <v>37992</v>
          </cell>
          <cell r="K30">
            <v>4560</v>
          </cell>
          <cell r="L30">
            <v>4932</v>
          </cell>
        </row>
      </sheetData>
      <sheetData sheetId="2">
        <row r="30">
          <cell r="B30">
            <v>576</v>
          </cell>
          <cell r="C30">
            <v>4464</v>
          </cell>
          <cell r="D30">
            <v>31050</v>
          </cell>
          <cell r="E30">
            <v>552</v>
          </cell>
          <cell r="F30">
            <v>1452</v>
          </cell>
          <cell r="G30">
            <v>0</v>
          </cell>
          <cell r="H30">
            <v>10656</v>
          </cell>
          <cell r="I30">
            <v>4944</v>
          </cell>
          <cell r="J30">
            <v>41568</v>
          </cell>
          <cell r="K30">
            <v>10944</v>
          </cell>
          <cell r="L30">
            <v>612</v>
          </cell>
        </row>
      </sheetData>
      <sheetData sheetId="3">
        <row r="30">
          <cell r="B30">
            <v>1008</v>
          </cell>
          <cell r="C30">
            <v>3936</v>
          </cell>
          <cell r="D30">
            <v>41880</v>
          </cell>
          <cell r="E30">
            <v>744</v>
          </cell>
          <cell r="F30">
            <v>2156</v>
          </cell>
          <cell r="G30">
            <v>308</v>
          </cell>
          <cell r="H30">
            <v>9480</v>
          </cell>
          <cell r="I30">
            <v>6696</v>
          </cell>
          <cell r="J30">
            <v>52176</v>
          </cell>
          <cell r="K30">
            <v>10596</v>
          </cell>
          <cell r="L30">
            <v>12</v>
          </cell>
        </row>
      </sheetData>
      <sheetData sheetId="4">
        <row r="30">
          <cell r="B30">
            <v>768</v>
          </cell>
          <cell r="C30">
            <v>7728</v>
          </cell>
          <cell r="D30">
            <v>39900</v>
          </cell>
          <cell r="E30">
            <v>696</v>
          </cell>
          <cell r="F30">
            <v>2222</v>
          </cell>
          <cell r="G30">
            <v>330</v>
          </cell>
          <cell r="H30">
            <v>6960</v>
          </cell>
          <cell r="I30">
            <v>3624</v>
          </cell>
          <cell r="J30">
            <v>47040</v>
          </cell>
          <cell r="K30">
            <v>8952</v>
          </cell>
          <cell r="L30">
            <v>600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zoomScaleNormal="100" workbookViewId="0">
      <selection activeCell="G11" sqref="G11"/>
    </sheetView>
  </sheetViews>
  <sheetFormatPr defaultRowHeight="15"/>
  <cols>
    <col min="1" max="1" width="16.7109375" style="2" customWidth="1"/>
    <col min="2" max="2" width="6" style="2" customWidth="1"/>
    <col min="3" max="3" width="2.5703125" style="2" customWidth="1"/>
    <col min="4" max="4" width="8" style="2" customWidth="1"/>
    <col min="5" max="5" width="8.28515625" style="2" bestFit="1" customWidth="1"/>
    <col min="6" max="6" width="6.140625" style="2" customWidth="1"/>
    <col min="7" max="7" width="8" style="2" customWidth="1"/>
    <col min="8" max="8" width="6.7109375" style="2" customWidth="1"/>
    <col min="9" max="9" width="7.140625" style="2" bestFit="1" customWidth="1"/>
    <col min="10" max="10" width="6.7109375" style="2" customWidth="1"/>
    <col min="11" max="11" width="6" style="2" customWidth="1"/>
    <col min="12" max="12" width="5.28515625" style="2" customWidth="1"/>
    <col min="13" max="13" width="7" style="2" customWidth="1"/>
    <col min="14" max="14" width="6.42578125" style="2" customWidth="1"/>
    <col min="15" max="15" width="7.28515625" style="2" customWidth="1"/>
    <col min="16" max="17" width="7.85546875" style="2" customWidth="1"/>
    <col min="18" max="18" width="6" style="2" customWidth="1"/>
    <col min="19" max="19" width="7.42578125" style="2" bestFit="1" customWidth="1"/>
    <col min="20" max="22" width="12.5703125" style="2" bestFit="1" customWidth="1"/>
    <col min="23" max="23" width="9.140625" style="2"/>
    <col min="24" max="24" width="12.5703125" style="2" bestFit="1" customWidth="1"/>
    <col min="25" max="16384" width="9.140625" style="2"/>
  </cols>
  <sheetData>
    <row r="1" spans="1:23" ht="18.75">
      <c r="A1" s="223" t="s">
        <v>49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</row>
    <row r="2" spans="1:23" ht="15.75" thickBo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23" ht="15.75" thickBot="1">
      <c r="A3" s="225" t="s">
        <v>50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195"/>
      <c r="M3" s="55"/>
    </row>
    <row r="4" spans="1:23">
      <c r="A4" s="227"/>
      <c r="B4" s="228"/>
      <c r="C4" s="231" t="s">
        <v>46</v>
      </c>
      <c r="D4" s="232"/>
      <c r="E4" s="56" t="s">
        <v>0</v>
      </c>
      <c r="F4" s="233" t="s">
        <v>24</v>
      </c>
      <c r="G4" s="93" t="s">
        <v>1</v>
      </c>
      <c r="H4" s="227" t="s">
        <v>2</v>
      </c>
      <c r="I4" s="235"/>
      <c r="J4" s="228"/>
      <c r="K4" s="231" t="s">
        <v>3</v>
      </c>
      <c r="L4" s="232"/>
      <c r="M4" s="55"/>
    </row>
    <row r="5" spans="1:23" ht="15.75" thickBot="1">
      <c r="A5" s="229"/>
      <c r="B5" s="230"/>
      <c r="C5" s="236" t="s">
        <v>4</v>
      </c>
      <c r="D5" s="237"/>
      <c r="E5" s="57" t="s">
        <v>5</v>
      </c>
      <c r="F5" s="234"/>
      <c r="G5" s="95"/>
      <c r="H5" s="210" t="s">
        <v>5</v>
      </c>
      <c r="I5" s="211"/>
      <c r="J5" s="212"/>
      <c r="K5" s="236" t="s">
        <v>5</v>
      </c>
      <c r="L5" s="237"/>
      <c r="M5" s="55"/>
      <c r="T5" s="29"/>
      <c r="U5" s="29"/>
    </row>
    <row r="6" spans="1:23" ht="15.75" thickBot="1">
      <c r="A6" s="238"/>
      <c r="B6" s="239"/>
      <c r="C6" s="240">
        <v>666070.9</v>
      </c>
      <c r="D6" s="241"/>
      <c r="E6" s="54"/>
      <c r="F6" s="97"/>
      <c r="G6" s="91">
        <f>C6+E6+F6</f>
        <v>666070.9</v>
      </c>
      <c r="H6" s="240">
        <f>G15</f>
        <v>160041.90000000002</v>
      </c>
      <c r="I6" s="196"/>
      <c r="J6" s="241"/>
      <c r="K6" s="176">
        <f>G6-H6</f>
        <v>506029</v>
      </c>
      <c r="L6" s="177"/>
      <c r="M6" s="55"/>
      <c r="O6" s="29"/>
      <c r="Q6" s="29"/>
    </row>
    <row r="7" spans="1:23" ht="13.5" customHeight="1" thickBot="1">
      <c r="A7" s="222" t="s">
        <v>51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U7" s="29"/>
    </row>
    <row r="8" spans="1:23" ht="22.5" customHeight="1">
      <c r="A8" s="215" t="s">
        <v>6</v>
      </c>
      <c r="B8" s="217" t="s">
        <v>46</v>
      </c>
      <c r="C8" s="218"/>
      <c r="D8" s="202" t="s">
        <v>41</v>
      </c>
      <c r="E8" s="204" t="s">
        <v>40</v>
      </c>
      <c r="F8" s="205"/>
      <c r="G8" s="202" t="s">
        <v>22</v>
      </c>
      <c r="H8" s="202" t="s">
        <v>23</v>
      </c>
      <c r="I8" s="96" t="s">
        <v>44</v>
      </c>
      <c r="J8" s="218" t="s">
        <v>1</v>
      </c>
      <c r="K8" s="219"/>
      <c r="L8" s="217" t="s">
        <v>7</v>
      </c>
      <c r="M8" s="218"/>
      <c r="N8" s="220" t="s">
        <v>3</v>
      </c>
      <c r="O8" s="221"/>
      <c r="P8" s="202" t="s">
        <v>42</v>
      </c>
      <c r="Q8" s="204" t="s">
        <v>35</v>
      </c>
      <c r="R8" s="205"/>
    </row>
    <row r="9" spans="1:23" ht="19.5" customHeight="1" thickBot="1">
      <c r="A9" s="216"/>
      <c r="B9" s="210" t="s">
        <v>5</v>
      </c>
      <c r="C9" s="211"/>
      <c r="D9" s="203"/>
      <c r="E9" s="206"/>
      <c r="F9" s="207"/>
      <c r="G9" s="203"/>
      <c r="H9" s="203"/>
      <c r="I9" s="94" t="s">
        <v>45</v>
      </c>
      <c r="J9" s="211" t="s">
        <v>5</v>
      </c>
      <c r="K9" s="212"/>
      <c r="L9" s="210" t="s">
        <v>5</v>
      </c>
      <c r="M9" s="211"/>
      <c r="N9" s="213" t="s">
        <v>5</v>
      </c>
      <c r="O9" s="214"/>
      <c r="P9" s="203"/>
      <c r="Q9" s="206"/>
      <c r="R9" s="207"/>
    </row>
    <row r="10" spans="1:23" ht="15.75" customHeight="1" thickBot="1">
      <c r="A10" s="58" t="s">
        <v>8</v>
      </c>
      <c r="B10" s="176">
        <v>2060.5</v>
      </c>
      <c r="C10" s="196"/>
      <c r="D10" s="60">
        <v>0</v>
      </c>
      <c r="E10" s="176">
        <f>B10-D10</f>
        <v>2060.5</v>
      </c>
      <c r="F10" s="177"/>
      <c r="G10" s="92">
        <f>36127.6+36854+36195.2</f>
        <v>109176.8</v>
      </c>
      <c r="H10" s="60">
        <f>145+147.41</f>
        <v>292.40999999999997</v>
      </c>
      <c r="I10" s="60"/>
      <c r="J10" s="176">
        <f>B10+G10+H10+I10</f>
        <v>111529.71</v>
      </c>
      <c r="K10" s="177"/>
      <c r="L10" s="176">
        <f>G29+G30+G31</f>
        <v>74136</v>
      </c>
      <c r="M10" s="197"/>
      <c r="N10" s="176">
        <f>J10-L10</f>
        <v>37393.710000000006</v>
      </c>
      <c r="O10" s="177"/>
      <c r="P10" s="60">
        <f>'[1]April 2021-22'!$K$41</f>
        <v>28956.159999999996</v>
      </c>
      <c r="Q10" s="176">
        <f>N10-P10</f>
        <v>8437.5500000000102</v>
      </c>
      <c r="R10" s="201"/>
      <c r="S10" s="32"/>
    </row>
    <row r="11" spans="1:23" ht="15.75" thickBot="1">
      <c r="A11" s="58" t="s">
        <v>9</v>
      </c>
      <c r="B11" s="176">
        <v>6061.85</v>
      </c>
      <c r="C11" s="196"/>
      <c r="D11" s="60">
        <v>0</v>
      </c>
      <c r="E11" s="176">
        <f t="shared" ref="E11:E13" si="0">B11-D11</f>
        <v>6061.85</v>
      </c>
      <c r="F11" s="177"/>
      <c r="G11" s="92">
        <v>15212.8</v>
      </c>
      <c r="H11" s="60"/>
      <c r="I11" s="60"/>
      <c r="J11" s="176">
        <f>B11+G11+H11+I11</f>
        <v>21274.65</v>
      </c>
      <c r="K11" s="177"/>
      <c r="L11" s="176">
        <f>SUM(G21:G22)</f>
        <v>8664</v>
      </c>
      <c r="M11" s="197"/>
      <c r="N11" s="208">
        <f>J11-L11</f>
        <v>12610.650000000001</v>
      </c>
      <c r="O11" s="209"/>
      <c r="P11" s="61">
        <f>'[1]April 2021-22'!$K$65</f>
        <v>12170.24</v>
      </c>
      <c r="Q11" s="176">
        <f t="shared" ref="Q11:Q13" si="1">N11-P11</f>
        <v>440.41000000000167</v>
      </c>
      <c r="R11" s="201"/>
      <c r="S11" s="32"/>
    </row>
    <row r="12" spans="1:23" ht="15.75" customHeight="1" thickBot="1">
      <c r="A12" s="58" t="s">
        <v>10</v>
      </c>
      <c r="B12" s="176">
        <v>11800.7</v>
      </c>
      <c r="C12" s="196"/>
      <c r="D12" s="60">
        <v>0</v>
      </c>
      <c r="E12" s="176">
        <f t="shared" si="0"/>
        <v>11800.7</v>
      </c>
      <c r="F12" s="177"/>
      <c r="G12" s="92"/>
      <c r="H12" s="60"/>
      <c r="I12" s="60"/>
      <c r="J12" s="176">
        <f>B12+G12+H12+I12</f>
        <v>11800.7</v>
      </c>
      <c r="K12" s="177"/>
      <c r="L12" s="176">
        <f>SUM(G33:G34)</f>
        <v>7560</v>
      </c>
      <c r="M12" s="201"/>
      <c r="N12" s="176">
        <f>J12-L12</f>
        <v>4240.7000000000007</v>
      </c>
      <c r="O12" s="177"/>
      <c r="P12" s="61">
        <f>'[1]April 2021-22'!$K$57</f>
        <v>0</v>
      </c>
      <c r="Q12" s="176">
        <f t="shared" si="1"/>
        <v>4240.7000000000007</v>
      </c>
      <c r="R12" s="201"/>
    </row>
    <row r="13" spans="1:23" ht="15.75" thickBot="1">
      <c r="A13" s="58" t="s">
        <v>30</v>
      </c>
      <c r="B13" s="176">
        <v>30749.88</v>
      </c>
      <c r="C13" s="196"/>
      <c r="D13" s="60">
        <v>0</v>
      </c>
      <c r="E13" s="176">
        <f t="shared" si="0"/>
        <v>30749.88</v>
      </c>
      <c r="F13" s="177"/>
      <c r="G13" s="92">
        <f>35652.3</f>
        <v>35652.300000000003</v>
      </c>
      <c r="H13" s="60"/>
      <c r="I13" s="60"/>
      <c r="J13" s="176">
        <f>B13+G13+H13+I13</f>
        <v>66402.180000000008</v>
      </c>
      <c r="K13" s="177"/>
      <c r="L13" s="176">
        <f>G24+G25+G26+G27</f>
        <v>38302</v>
      </c>
      <c r="M13" s="201"/>
      <c r="N13" s="176">
        <f>J13-L13</f>
        <v>28100.180000000008</v>
      </c>
      <c r="O13" s="177"/>
      <c r="P13" s="61">
        <f>'[1]April 2021-22'!$K$49</f>
        <v>21391.380000000005</v>
      </c>
      <c r="Q13" s="176">
        <f t="shared" si="1"/>
        <v>6708.8000000000029</v>
      </c>
      <c r="R13" s="201"/>
      <c r="U13" s="29"/>
      <c r="W13" s="29"/>
    </row>
    <row r="14" spans="1:23" ht="15.75" customHeight="1" thickBot="1">
      <c r="A14" s="58"/>
      <c r="B14" s="198"/>
      <c r="C14" s="199"/>
      <c r="D14" s="61"/>
      <c r="E14" s="198"/>
      <c r="F14" s="200"/>
      <c r="G14" s="92"/>
      <c r="H14" s="60"/>
      <c r="I14" s="60"/>
      <c r="J14" s="196"/>
      <c r="K14" s="177"/>
      <c r="L14" s="176"/>
      <c r="M14" s="177"/>
      <c r="N14" s="62"/>
      <c r="O14" s="63"/>
      <c r="P14" s="60"/>
      <c r="Q14" s="176"/>
      <c r="R14" s="201"/>
      <c r="T14" s="64"/>
    </row>
    <row r="15" spans="1:23" ht="15.75" thickBot="1">
      <c r="A15" s="59" t="s">
        <v>1</v>
      </c>
      <c r="B15" s="176">
        <f>SUM(B10:C14)</f>
        <v>50672.930000000008</v>
      </c>
      <c r="C15" s="177"/>
      <c r="D15" s="60">
        <f>SUM(D10:D14)</f>
        <v>0</v>
      </c>
      <c r="E15" s="176">
        <f>SUM(E10:F14)</f>
        <v>50672.930000000008</v>
      </c>
      <c r="F15" s="195"/>
      <c r="G15" s="92">
        <f>SUM(G10:G14)</f>
        <v>160041.90000000002</v>
      </c>
      <c r="H15" s="60">
        <f>SUM(H10:H14)</f>
        <v>292.40999999999997</v>
      </c>
      <c r="I15" s="60">
        <f>SUM(I10:I14)</f>
        <v>0</v>
      </c>
      <c r="J15" s="196">
        <f>SUM(J10:K14)</f>
        <v>211007.24000000005</v>
      </c>
      <c r="K15" s="177"/>
      <c r="L15" s="176">
        <f>SUM(L10:M14)</f>
        <v>128662</v>
      </c>
      <c r="M15" s="197"/>
      <c r="N15" s="176">
        <f>SUM(N10:O14)</f>
        <v>82345.24000000002</v>
      </c>
      <c r="O15" s="177"/>
      <c r="P15" s="60">
        <f>SUM(P10:P14)</f>
        <v>62517.78</v>
      </c>
      <c r="Q15" s="176">
        <f>SUM(Q10:R13)</f>
        <v>19827.460000000014</v>
      </c>
      <c r="R15" s="177"/>
      <c r="S15" s="29"/>
    </row>
    <row r="16" spans="1:23" ht="6.75" customHeight="1" thickBot="1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23" ht="15.75" customHeight="1" thickBot="1">
      <c r="A17" s="178" t="s">
        <v>11</v>
      </c>
      <c r="B17" s="179"/>
      <c r="C17" s="179"/>
      <c r="D17" s="186" t="s">
        <v>52</v>
      </c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8"/>
      <c r="P17" s="68"/>
      <c r="Q17" s="68"/>
      <c r="R17" s="68"/>
      <c r="S17" s="68"/>
    </row>
    <row r="18" spans="1:23" ht="15.75" customHeight="1" thickBot="1">
      <c r="A18" s="180"/>
      <c r="B18" s="181"/>
      <c r="C18" s="182"/>
      <c r="D18" s="189" t="s">
        <v>46</v>
      </c>
      <c r="E18" s="190"/>
      <c r="F18" s="189" t="s">
        <v>7</v>
      </c>
      <c r="G18" s="190"/>
      <c r="H18" s="193" t="s">
        <v>32</v>
      </c>
      <c r="I18" s="194"/>
      <c r="J18" s="194"/>
      <c r="K18" s="194"/>
      <c r="L18" s="189" t="s">
        <v>31</v>
      </c>
      <c r="M18" s="190"/>
      <c r="N18" s="189" t="s">
        <v>12</v>
      </c>
      <c r="O18" s="190"/>
    </row>
    <row r="19" spans="1:23" ht="15.75" customHeight="1" thickBot="1">
      <c r="A19" s="180"/>
      <c r="B19" s="181"/>
      <c r="C19" s="182"/>
      <c r="D19" s="191"/>
      <c r="E19" s="192"/>
      <c r="F19" s="189"/>
      <c r="G19" s="190"/>
      <c r="H19" s="186" t="s">
        <v>33</v>
      </c>
      <c r="I19" s="187"/>
      <c r="J19" s="186" t="s">
        <v>34</v>
      </c>
      <c r="K19" s="187"/>
      <c r="L19" s="191"/>
      <c r="M19" s="192"/>
      <c r="N19" s="191"/>
      <c r="O19" s="192"/>
    </row>
    <row r="20" spans="1:23" s="71" customFormat="1" ht="15.75" thickBot="1">
      <c r="A20" s="183"/>
      <c r="B20" s="184"/>
      <c r="C20" s="185"/>
      <c r="D20" s="98" t="s">
        <v>26</v>
      </c>
      <c r="E20" s="37" t="s">
        <v>25</v>
      </c>
      <c r="F20" s="69" t="s">
        <v>26</v>
      </c>
      <c r="G20" s="37" t="s">
        <v>25</v>
      </c>
      <c r="H20" s="99" t="s">
        <v>26</v>
      </c>
      <c r="I20" s="37" t="s">
        <v>25</v>
      </c>
      <c r="J20" s="100" t="s">
        <v>26</v>
      </c>
      <c r="K20" s="37" t="s">
        <v>25</v>
      </c>
      <c r="L20" s="37" t="s">
        <v>26</v>
      </c>
      <c r="M20" s="70" t="s">
        <v>25</v>
      </c>
      <c r="N20" s="69" t="s">
        <v>26</v>
      </c>
      <c r="O20" s="37" t="s">
        <v>25</v>
      </c>
      <c r="S20" s="72" t="s">
        <v>27</v>
      </c>
      <c r="T20" s="73" t="s">
        <v>28</v>
      </c>
      <c r="U20" s="37" t="s">
        <v>29</v>
      </c>
    </row>
    <row r="21" spans="1:23">
      <c r="A21" s="155" t="s">
        <v>13</v>
      </c>
      <c r="B21" s="156"/>
      <c r="C21" s="157"/>
      <c r="D21" s="74">
        <f>E21/24</f>
        <v>4</v>
      </c>
      <c r="E21" s="10">
        <v>96</v>
      </c>
      <c r="F21" s="74">
        <f>G21/24</f>
        <v>42</v>
      </c>
      <c r="G21" s="10">
        <f>'[2]April 2021-22'!$B$32</f>
        <v>1008</v>
      </c>
      <c r="H21" s="23">
        <f>I21/24</f>
        <v>30</v>
      </c>
      <c r="I21" s="26">
        <f>720</f>
        <v>720</v>
      </c>
      <c r="J21" s="11">
        <f>K21/24</f>
        <v>0</v>
      </c>
      <c r="K21" s="10">
        <v>0</v>
      </c>
      <c r="L21" s="11">
        <f>M21/24</f>
        <v>2</v>
      </c>
      <c r="M21" s="10">
        <f>48</f>
        <v>48</v>
      </c>
      <c r="N21" s="23">
        <f>O21/24</f>
        <v>14</v>
      </c>
      <c r="O21" s="36">
        <f>E21+G21-I21-K21-M21</f>
        <v>336</v>
      </c>
      <c r="S21" s="5">
        <v>288</v>
      </c>
      <c r="T21" s="7">
        <f>2*24</f>
        <v>48</v>
      </c>
      <c r="U21" s="30">
        <f>S21+T21-O21</f>
        <v>0</v>
      </c>
      <c r="V21" s="75"/>
      <c r="W21" s="29"/>
    </row>
    <row r="22" spans="1:23" ht="15.75" thickBot="1">
      <c r="A22" s="158" t="s">
        <v>14</v>
      </c>
      <c r="B22" s="159"/>
      <c r="C22" s="160"/>
      <c r="D22" s="76">
        <f>E22/24</f>
        <v>1</v>
      </c>
      <c r="E22" s="12">
        <v>24</v>
      </c>
      <c r="F22" s="76">
        <f>G22/24</f>
        <v>319</v>
      </c>
      <c r="G22" s="12">
        <f>'[2]April 2021-22'!$C$32</f>
        <v>7656</v>
      </c>
      <c r="H22" s="24">
        <f>I22/24</f>
        <v>110</v>
      </c>
      <c r="I22" s="33">
        <f>1440+1200</f>
        <v>2640</v>
      </c>
      <c r="J22" s="13">
        <f>K22/24</f>
        <v>90</v>
      </c>
      <c r="K22" s="12">
        <f>1200+960</f>
        <v>2160</v>
      </c>
      <c r="L22" s="13">
        <f>M22/24</f>
        <v>38</v>
      </c>
      <c r="M22" s="12">
        <f>120+24+48+48+24+120+120+48+120+240</f>
        <v>912</v>
      </c>
      <c r="N22" s="24">
        <f>O22/24</f>
        <v>82</v>
      </c>
      <c r="O22" s="36">
        <f>E22+G22-I22-K22-M22</f>
        <v>1968</v>
      </c>
      <c r="S22" s="6">
        <v>1656</v>
      </c>
      <c r="T22" s="9">
        <f>12*24</f>
        <v>288</v>
      </c>
      <c r="U22" s="34">
        <f>S22+T22-O22</f>
        <v>-24</v>
      </c>
      <c r="V22" s="75"/>
      <c r="W22" s="29"/>
    </row>
    <row r="23" spans="1:23" ht="15.75" thickBot="1">
      <c r="A23" s="161" t="s">
        <v>36</v>
      </c>
      <c r="B23" s="162"/>
      <c r="C23" s="163"/>
      <c r="D23" s="77">
        <f>SUM(D21:D22)</f>
        <v>5</v>
      </c>
      <c r="E23" s="78">
        <f t="shared" ref="E23:H23" si="2">SUM(E21:E22)</f>
        <v>120</v>
      </c>
      <c r="F23" s="77">
        <f t="shared" si="2"/>
        <v>361</v>
      </c>
      <c r="G23" s="78">
        <f t="shared" si="2"/>
        <v>8664</v>
      </c>
      <c r="H23" s="79">
        <f t="shared" si="2"/>
        <v>140</v>
      </c>
      <c r="I23" s="80">
        <f>SUM(I21:I22)</f>
        <v>3360</v>
      </c>
      <c r="J23" s="77">
        <f t="shared" ref="J23:O23" si="3">SUM(J21:J22)</f>
        <v>90</v>
      </c>
      <c r="K23" s="78">
        <f t="shared" si="3"/>
        <v>2160</v>
      </c>
      <c r="L23" s="77">
        <f t="shared" si="3"/>
        <v>40</v>
      </c>
      <c r="M23" s="78">
        <f t="shared" si="3"/>
        <v>960</v>
      </c>
      <c r="N23" s="77">
        <f t="shared" si="3"/>
        <v>96</v>
      </c>
      <c r="O23" s="78">
        <f t="shared" si="3"/>
        <v>2304</v>
      </c>
      <c r="S23" s="45"/>
      <c r="T23" s="48"/>
      <c r="U23" s="30"/>
      <c r="V23" s="75"/>
      <c r="W23" s="29"/>
    </row>
    <row r="24" spans="1:23" ht="15.75" thickBot="1">
      <c r="A24" s="155" t="s">
        <v>15</v>
      </c>
      <c r="B24" s="156"/>
      <c r="C24" s="157"/>
      <c r="D24" s="74">
        <f>E24/30</f>
        <v>38</v>
      </c>
      <c r="E24" s="10">
        <v>1140</v>
      </c>
      <c r="F24" s="74">
        <f>G24/30</f>
        <v>1196</v>
      </c>
      <c r="G24" s="12">
        <f>'[2]April 2021-22'!$D$32</f>
        <v>35880</v>
      </c>
      <c r="H24" s="23">
        <f>I24/30</f>
        <v>20</v>
      </c>
      <c r="I24" s="10">
        <f>600</f>
        <v>600</v>
      </c>
      <c r="J24" s="23">
        <f>K24/30</f>
        <v>55</v>
      </c>
      <c r="K24" s="10">
        <f>900+750</f>
        <v>1650</v>
      </c>
      <c r="L24" s="23">
        <f>M24/30</f>
        <v>1021</v>
      </c>
      <c r="M24" s="10">
        <f>60+150+7050+600+1200+120+9750+600+6450+1800+450+1800+600</f>
        <v>30630</v>
      </c>
      <c r="N24" s="23">
        <f>O24/30</f>
        <v>138</v>
      </c>
      <c r="O24" s="36">
        <f>E24+G24-I24-K24-M24</f>
        <v>4140</v>
      </c>
      <c r="S24" s="50">
        <v>3240</v>
      </c>
      <c r="T24" s="51">
        <f>25*30</f>
        <v>750</v>
      </c>
      <c r="U24" s="47">
        <f>S24+T24-O24</f>
        <v>-150</v>
      </c>
      <c r="V24" s="75"/>
      <c r="W24" s="29"/>
    </row>
    <row r="25" spans="1:23" ht="15.75" thickBot="1">
      <c r="A25" s="173" t="s">
        <v>18</v>
      </c>
      <c r="B25" s="174"/>
      <c r="C25" s="175"/>
      <c r="D25" s="81">
        <f>E25/24</f>
        <v>0</v>
      </c>
      <c r="E25" s="36">
        <v>0</v>
      </c>
      <c r="F25" s="81">
        <f>G25/24</f>
        <v>23</v>
      </c>
      <c r="G25" s="12">
        <f>'[2]April 2021-22'!$E$32</f>
        <v>552</v>
      </c>
      <c r="H25" s="39">
        <f>I25/24</f>
        <v>10</v>
      </c>
      <c r="I25" s="27">
        <f>240</f>
        <v>240</v>
      </c>
      <c r="J25" s="40">
        <f t="shared" ref="J25" si="4">K25/24</f>
        <v>0</v>
      </c>
      <c r="K25" s="36">
        <v>0</v>
      </c>
      <c r="L25" s="40">
        <f t="shared" ref="L25" si="5">M25/24</f>
        <v>5</v>
      </c>
      <c r="M25" s="36">
        <f>120</f>
        <v>120</v>
      </c>
      <c r="N25" s="39">
        <f>O25/24</f>
        <v>8</v>
      </c>
      <c r="O25" s="36">
        <f t="shared" ref="O25:O27" si="6">E25+G25-I25-K25-M25</f>
        <v>192</v>
      </c>
      <c r="S25" s="4">
        <v>192</v>
      </c>
      <c r="T25" s="22">
        <v>0</v>
      </c>
      <c r="U25" s="47">
        <f t="shared" ref="U25:U27" si="7">S25+T25-O25</f>
        <v>0</v>
      </c>
      <c r="V25" s="75"/>
      <c r="W25" s="29"/>
    </row>
    <row r="26" spans="1:23" ht="15.75" thickBot="1">
      <c r="A26" s="170" t="s">
        <v>47</v>
      </c>
      <c r="B26" s="171"/>
      <c r="C26" s="172"/>
      <c r="D26" s="82">
        <f>E26/22</f>
        <v>51</v>
      </c>
      <c r="E26" s="3">
        <v>1122</v>
      </c>
      <c r="F26" s="82">
        <f>G26/22</f>
        <v>85</v>
      </c>
      <c r="G26" s="3">
        <f>'[2]April 2021-22'!$F$32</f>
        <v>1870</v>
      </c>
      <c r="H26" s="25">
        <v>0</v>
      </c>
      <c r="I26" s="28">
        <v>0</v>
      </c>
      <c r="J26" s="1">
        <f>K26/22</f>
        <v>60</v>
      </c>
      <c r="K26" s="3">
        <f>660+660</f>
        <v>1320</v>
      </c>
      <c r="L26" s="1">
        <f>M26/22</f>
        <v>51</v>
      </c>
      <c r="M26" s="3">
        <f>22+440+220+330+110</f>
        <v>1122</v>
      </c>
      <c r="N26" s="25">
        <f>O26/22</f>
        <v>25</v>
      </c>
      <c r="O26" s="36">
        <f t="shared" si="6"/>
        <v>550</v>
      </c>
      <c r="R26" s="29"/>
      <c r="S26" s="4">
        <v>440</v>
      </c>
      <c r="T26" s="22">
        <f>5*22</f>
        <v>110</v>
      </c>
      <c r="U26" s="47">
        <f t="shared" si="7"/>
        <v>0</v>
      </c>
      <c r="V26" s="29"/>
      <c r="W26" s="29"/>
    </row>
    <row r="27" spans="1:23" ht="15.75" thickBot="1">
      <c r="A27" s="167" t="s">
        <v>48</v>
      </c>
      <c r="B27" s="168"/>
      <c r="C27" s="169"/>
      <c r="D27" s="83">
        <f>E27/22</f>
        <v>23</v>
      </c>
      <c r="E27" s="41">
        <v>506</v>
      </c>
      <c r="F27" s="83">
        <f>G27/22</f>
        <v>0</v>
      </c>
      <c r="G27" s="41">
        <f>'[2]April 2021-22'!$G$32</f>
        <v>0</v>
      </c>
      <c r="H27" s="42">
        <f>I27/22</f>
        <v>0</v>
      </c>
      <c r="I27" s="43">
        <v>0</v>
      </c>
      <c r="J27" s="44">
        <f>K27/22</f>
        <v>15</v>
      </c>
      <c r="K27" s="41">
        <f>330</f>
        <v>330</v>
      </c>
      <c r="L27" s="44">
        <f>M27/22</f>
        <v>5</v>
      </c>
      <c r="M27" s="41">
        <f>110</f>
        <v>110</v>
      </c>
      <c r="N27" s="42">
        <f>O27/22</f>
        <v>3</v>
      </c>
      <c r="O27" s="38">
        <f t="shared" si="6"/>
        <v>66</v>
      </c>
      <c r="S27" s="52">
        <v>0</v>
      </c>
      <c r="T27" s="53">
        <f>2*22</f>
        <v>44</v>
      </c>
      <c r="U27" s="47">
        <f t="shared" si="7"/>
        <v>-22</v>
      </c>
      <c r="V27" s="75"/>
      <c r="W27" s="29"/>
    </row>
    <row r="28" spans="1:23" ht="15.75" thickBot="1">
      <c r="A28" s="161" t="s">
        <v>37</v>
      </c>
      <c r="B28" s="162"/>
      <c r="C28" s="163"/>
      <c r="D28" s="79">
        <f t="shared" ref="D28:O28" si="8">SUM(D24:D27)</f>
        <v>112</v>
      </c>
      <c r="E28" s="21">
        <f t="shared" si="8"/>
        <v>2768</v>
      </c>
      <c r="F28" s="79">
        <f t="shared" si="8"/>
        <v>1304</v>
      </c>
      <c r="G28" s="21">
        <f t="shared" si="8"/>
        <v>38302</v>
      </c>
      <c r="H28" s="79">
        <f t="shared" si="8"/>
        <v>30</v>
      </c>
      <c r="I28" s="21">
        <f t="shared" si="8"/>
        <v>840</v>
      </c>
      <c r="J28" s="79">
        <f t="shared" si="8"/>
        <v>130</v>
      </c>
      <c r="K28" s="21">
        <f t="shared" si="8"/>
        <v>3300</v>
      </c>
      <c r="L28" s="79">
        <f t="shared" si="8"/>
        <v>1082</v>
      </c>
      <c r="M28" s="21">
        <f t="shared" si="8"/>
        <v>31982</v>
      </c>
      <c r="N28" s="79">
        <f t="shared" si="8"/>
        <v>174</v>
      </c>
      <c r="O28" s="21">
        <f t="shared" si="8"/>
        <v>4948</v>
      </c>
      <c r="S28" s="46"/>
      <c r="T28" s="49"/>
      <c r="U28" s="30"/>
      <c r="V28" s="75"/>
      <c r="W28" s="29"/>
    </row>
    <row r="29" spans="1:23">
      <c r="A29" s="155" t="s">
        <v>16</v>
      </c>
      <c r="B29" s="156"/>
      <c r="C29" s="157"/>
      <c r="D29" s="74">
        <f>E29/24</f>
        <v>0</v>
      </c>
      <c r="E29" s="10">
        <v>0</v>
      </c>
      <c r="F29" s="74">
        <f>G29/24</f>
        <v>435</v>
      </c>
      <c r="G29" s="10">
        <f>'[2]April 2021-22'!$H$32</f>
        <v>10440</v>
      </c>
      <c r="H29" s="23">
        <f>I29/24</f>
        <v>70</v>
      </c>
      <c r="I29" s="26">
        <f>480+1200</f>
        <v>1680</v>
      </c>
      <c r="J29" s="11">
        <f t="shared" ref="J29:J31" si="9">K29/24</f>
        <v>15</v>
      </c>
      <c r="K29" s="10">
        <f>360</f>
        <v>360</v>
      </c>
      <c r="L29" s="11">
        <f t="shared" ref="L29:L31" si="10">M29/24</f>
        <v>350</v>
      </c>
      <c r="M29" s="10">
        <f>600+840+600+600+600+1200+480+240+240+600+1200+720+480</f>
        <v>8400</v>
      </c>
      <c r="N29" s="23">
        <f>O29/24</f>
        <v>0</v>
      </c>
      <c r="O29" s="36">
        <f>E29+G29-I29-K29-M29</f>
        <v>0</v>
      </c>
      <c r="S29" s="5">
        <v>0</v>
      </c>
      <c r="T29" s="16">
        <v>0</v>
      </c>
      <c r="U29" s="30">
        <f t="shared" ref="U29:U30" si="11">S29+T29-O29</f>
        <v>0</v>
      </c>
      <c r="V29" s="75"/>
      <c r="W29" s="29"/>
    </row>
    <row r="30" spans="1:23">
      <c r="A30" s="170" t="s">
        <v>43</v>
      </c>
      <c r="B30" s="171"/>
      <c r="C30" s="172"/>
      <c r="D30" s="82">
        <f>E30/24</f>
        <v>49</v>
      </c>
      <c r="E30" s="3">
        <v>1176</v>
      </c>
      <c r="F30" s="82">
        <f>G30/24</f>
        <v>222</v>
      </c>
      <c r="G30" s="3">
        <f>'[2]April 2021-22'!$I$32</f>
        <v>5328</v>
      </c>
      <c r="H30" s="25">
        <f>I30/24</f>
        <v>60</v>
      </c>
      <c r="I30" s="28">
        <f>720+720</f>
        <v>1440</v>
      </c>
      <c r="J30" s="1">
        <f t="shared" si="9"/>
        <v>10</v>
      </c>
      <c r="K30" s="3">
        <f>240</f>
        <v>240</v>
      </c>
      <c r="L30" s="1">
        <f>M30/24</f>
        <v>201</v>
      </c>
      <c r="M30" s="3">
        <f>480+240+480+240+600+144+120+480+120+240+1200+240+240</f>
        <v>4824</v>
      </c>
      <c r="N30" s="25">
        <f>O30/24</f>
        <v>0</v>
      </c>
      <c r="O30" s="36">
        <f t="shared" ref="O30:O31" si="12">E30+G30-I30-K30-M30</f>
        <v>0</v>
      </c>
      <c r="S30" s="4">
        <v>0</v>
      </c>
      <c r="T30" s="8">
        <v>0</v>
      </c>
      <c r="U30" s="35">
        <f t="shared" si="11"/>
        <v>0</v>
      </c>
      <c r="V30" s="75"/>
      <c r="W30" s="29"/>
    </row>
    <row r="31" spans="1:23" ht="15.75" thickBot="1">
      <c r="A31" s="170" t="s">
        <v>17</v>
      </c>
      <c r="B31" s="171"/>
      <c r="C31" s="172"/>
      <c r="D31" s="82">
        <f>E31/24</f>
        <v>18</v>
      </c>
      <c r="E31" s="3">
        <v>432</v>
      </c>
      <c r="F31" s="82">
        <f>G31/24</f>
        <v>2432</v>
      </c>
      <c r="G31" s="3">
        <f>'[2]April 2021-22'!$J$32</f>
        <v>58368</v>
      </c>
      <c r="H31" s="25">
        <f>I31/24</f>
        <v>350</v>
      </c>
      <c r="I31" s="28">
        <f>4800+3600</f>
        <v>8400</v>
      </c>
      <c r="J31" s="1">
        <f t="shared" si="9"/>
        <v>230</v>
      </c>
      <c r="K31" s="3">
        <f>4320+1200</f>
        <v>5520</v>
      </c>
      <c r="L31" s="1">
        <f t="shared" si="10"/>
        <v>1747</v>
      </c>
      <c r="M31" s="3">
        <f>1800+120+360+480+2400+264+360+3600+840+1920+1440+72+2400+120+120+72+720+480+2400+120+1200+4200+2640+1200+1800+5400+120+120+240+360+240+2640+1200+480</f>
        <v>41928</v>
      </c>
      <c r="N31" s="25">
        <f>O31/24</f>
        <v>123</v>
      </c>
      <c r="O31" s="36">
        <f t="shared" si="12"/>
        <v>2952</v>
      </c>
      <c r="S31" s="4">
        <v>2760</v>
      </c>
      <c r="T31" s="8">
        <f>8*24</f>
        <v>192</v>
      </c>
      <c r="U31" s="35">
        <f>S31+T31-O31</f>
        <v>0</v>
      </c>
      <c r="V31" s="75"/>
      <c r="W31" s="29"/>
    </row>
    <row r="32" spans="1:23" ht="15.75" thickBot="1">
      <c r="A32" s="161" t="s">
        <v>38</v>
      </c>
      <c r="B32" s="162"/>
      <c r="C32" s="163"/>
      <c r="D32" s="84">
        <f t="shared" ref="D32:O32" si="13">SUM(D29:D31)</f>
        <v>67</v>
      </c>
      <c r="E32" s="78">
        <f t="shared" si="13"/>
        <v>1608</v>
      </c>
      <c r="F32" s="84">
        <f t="shared" si="13"/>
        <v>3089</v>
      </c>
      <c r="G32" s="78">
        <f t="shared" si="13"/>
        <v>74136</v>
      </c>
      <c r="H32" s="79">
        <f t="shared" si="13"/>
        <v>480</v>
      </c>
      <c r="I32" s="80">
        <f t="shared" si="13"/>
        <v>11520</v>
      </c>
      <c r="J32" s="84">
        <f t="shared" si="13"/>
        <v>255</v>
      </c>
      <c r="K32" s="78">
        <f t="shared" si="13"/>
        <v>6120</v>
      </c>
      <c r="L32" s="84">
        <f t="shared" si="13"/>
        <v>2298</v>
      </c>
      <c r="M32" s="78">
        <f t="shared" si="13"/>
        <v>55152</v>
      </c>
      <c r="N32" s="84">
        <f t="shared" si="13"/>
        <v>123</v>
      </c>
      <c r="O32" s="78">
        <f t="shared" si="13"/>
        <v>2952</v>
      </c>
      <c r="S32" s="17"/>
      <c r="T32" s="18"/>
      <c r="U32" s="30"/>
      <c r="V32" s="75"/>
      <c r="W32" s="29"/>
    </row>
    <row r="33" spans="1:23">
      <c r="A33" s="155" t="s">
        <v>19</v>
      </c>
      <c r="B33" s="156"/>
      <c r="C33" s="157"/>
      <c r="D33" s="85">
        <f>E33/12</f>
        <v>35</v>
      </c>
      <c r="E33" s="14">
        <v>420</v>
      </c>
      <c r="F33" s="85">
        <f>G33/12</f>
        <v>555</v>
      </c>
      <c r="G33" s="14">
        <f>'[2]April 2021-22'!$K$32</f>
        <v>6660</v>
      </c>
      <c r="H33" s="23">
        <f>I33/12</f>
        <v>20</v>
      </c>
      <c r="I33" s="26">
        <f>240</f>
        <v>240</v>
      </c>
      <c r="J33" s="15">
        <f t="shared" ref="J33:J34" si="14">K33/12</f>
        <v>30</v>
      </c>
      <c r="K33" s="10">
        <f>360</f>
        <v>360</v>
      </c>
      <c r="L33" s="15">
        <f t="shared" ref="L33:L34" si="15">M33/12</f>
        <v>506</v>
      </c>
      <c r="M33" s="10">
        <f>120+48+48+1560+24+24+24+120+120+60+60+120+1500+60+24+2100+60</f>
        <v>6072</v>
      </c>
      <c r="N33" s="23">
        <f>O33/12</f>
        <v>34</v>
      </c>
      <c r="O33" s="36">
        <f>E33+G33-I33-K33-M33</f>
        <v>408</v>
      </c>
      <c r="S33" s="5">
        <v>336</v>
      </c>
      <c r="T33" s="16">
        <f>3*12</f>
        <v>36</v>
      </c>
      <c r="U33" s="30">
        <f>S33+T33-O33</f>
        <v>-36</v>
      </c>
      <c r="V33" s="86"/>
      <c r="W33" s="29"/>
    </row>
    <row r="34" spans="1:23" ht="15.75" thickBot="1">
      <c r="A34" s="158" t="s">
        <v>20</v>
      </c>
      <c r="B34" s="159"/>
      <c r="C34" s="160"/>
      <c r="D34" s="76">
        <f>E34/12</f>
        <v>0</v>
      </c>
      <c r="E34" s="12">
        <v>0</v>
      </c>
      <c r="F34" s="76">
        <f>G34/12</f>
        <v>75</v>
      </c>
      <c r="G34" s="12">
        <f>'[2]April 2021-22'!$L$32</f>
        <v>900</v>
      </c>
      <c r="H34" s="24">
        <f>I34/12</f>
        <v>0</v>
      </c>
      <c r="I34" s="33">
        <v>0</v>
      </c>
      <c r="J34" s="13">
        <f t="shared" si="14"/>
        <v>0</v>
      </c>
      <c r="K34" s="12">
        <v>0</v>
      </c>
      <c r="L34" s="13">
        <f t="shared" si="15"/>
        <v>75</v>
      </c>
      <c r="M34" s="12">
        <f>900</f>
        <v>900</v>
      </c>
      <c r="N34" s="24">
        <f>O34/12</f>
        <v>0</v>
      </c>
      <c r="O34" s="36">
        <f>E34+G34-I34-K34-M34</f>
        <v>0</v>
      </c>
      <c r="S34" s="4">
        <v>0</v>
      </c>
      <c r="T34" s="22">
        <v>0</v>
      </c>
      <c r="U34" s="35">
        <f>S34+T34-O34</f>
        <v>0</v>
      </c>
      <c r="V34" s="75"/>
      <c r="W34" s="29"/>
    </row>
    <row r="35" spans="1:23" ht="15.75" thickBot="1">
      <c r="A35" s="161" t="s">
        <v>39</v>
      </c>
      <c r="B35" s="162"/>
      <c r="C35" s="163"/>
      <c r="D35" s="84">
        <f>SUM(D33:D34)</f>
        <v>35</v>
      </c>
      <c r="E35" s="78">
        <f t="shared" ref="E35:H35" si="16">SUM(E33:E34)</f>
        <v>420</v>
      </c>
      <c r="F35" s="84">
        <f t="shared" si="16"/>
        <v>630</v>
      </c>
      <c r="G35" s="78">
        <f t="shared" si="16"/>
        <v>7560</v>
      </c>
      <c r="H35" s="79">
        <f t="shared" si="16"/>
        <v>20</v>
      </c>
      <c r="I35" s="80">
        <f>SUM(I33:I34)</f>
        <v>240</v>
      </c>
      <c r="J35" s="84">
        <f t="shared" ref="J35:O35" si="17">SUM(J33:J34)</f>
        <v>30</v>
      </c>
      <c r="K35" s="78">
        <f t="shared" si="17"/>
        <v>360</v>
      </c>
      <c r="L35" s="84">
        <f t="shared" si="17"/>
        <v>581</v>
      </c>
      <c r="M35" s="78">
        <f t="shared" si="17"/>
        <v>6972</v>
      </c>
      <c r="N35" s="84">
        <f t="shared" si="17"/>
        <v>34</v>
      </c>
      <c r="O35" s="78">
        <f t="shared" si="17"/>
        <v>408</v>
      </c>
      <c r="S35" s="19"/>
      <c r="T35" s="20"/>
      <c r="U35" s="34"/>
      <c r="W35" s="29"/>
    </row>
    <row r="36" spans="1:23" ht="15.75" thickBot="1">
      <c r="A36" s="164" t="s">
        <v>21</v>
      </c>
      <c r="B36" s="165"/>
      <c r="C36" s="166"/>
      <c r="D36" s="87">
        <f t="shared" ref="D36:O36" si="18">D21+D22+D24+D25+D26+D27+D29+D30+D31+D33+D34</f>
        <v>219</v>
      </c>
      <c r="E36" s="87">
        <f t="shared" si="18"/>
        <v>4916</v>
      </c>
      <c r="F36" s="87">
        <f t="shared" si="18"/>
        <v>5384</v>
      </c>
      <c r="G36" s="87">
        <f t="shared" si="18"/>
        <v>128662</v>
      </c>
      <c r="H36" s="87">
        <f t="shared" si="18"/>
        <v>670</v>
      </c>
      <c r="I36" s="87">
        <f>I21+I22+I24+I25+I26+I27+I29+I30+I31+I33+I34</f>
        <v>15960</v>
      </c>
      <c r="J36" s="87">
        <f t="shared" si="18"/>
        <v>505</v>
      </c>
      <c r="K36" s="87">
        <f t="shared" si="18"/>
        <v>11940</v>
      </c>
      <c r="L36" s="87">
        <f t="shared" si="18"/>
        <v>4001</v>
      </c>
      <c r="M36" s="87">
        <f t="shared" si="18"/>
        <v>95066</v>
      </c>
      <c r="N36" s="87">
        <f t="shared" si="18"/>
        <v>427</v>
      </c>
      <c r="O36" s="87">
        <f t="shared" si="18"/>
        <v>10612</v>
      </c>
      <c r="S36" s="88">
        <f>SUM(S21:S34)</f>
        <v>8912</v>
      </c>
      <c r="T36" s="89">
        <f>SUM(T21:T34)</f>
        <v>1468</v>
      </c>
      <c r="U36" s="31">
        <f>S36+T36-O36</f>
        <v>-232</v>
      </c>
      <c r="W36" s="29"/>
    </row>
    <row r="37" spans="1:23" ht="9" customHeight="1">
      <c r="U37" s="32"/>
    </row>
    <row r="38" spans="1:23">
      <c r="V38" s="29"/>
    </row>
    <row r="40" spans="1:23">
      <c r="P40" s="75"/>
    </row>
    <row r="41" spans="1:23">
      <c r="G41" s="29"/>
    </row>
    <row r="42" spans="1:23" ht="18.75">
      <c r="P42" s="90"/>
    </row>
  </sheetData>
  <mergeCells count="91">
    <mergeCell ref="A7:R7"/>
    <mergeCell ref="A1:R1"/>
    <mergeCell ref="A2:R2"/>
    <mergeCell ref="A3:L3"/>
    <mergeCell ref="A4:B5"/>
    <mergeCell ref="C4:D4"/>
    <mergeCell ref="F4:F5"/>
    <mergeCell ref="H4:J4"/>
    <mergeCell ref="K4:L4"/>
    <mergeCell ref="C5:D5"/>
    <mergeCell ref="H5:J5"/>
    <mergeCell ref="K5:L5"/>
    <mergeCell ref="A6:B6"/>
    <mergeCell ref="C6:D6"/>
    <mergeCell ref="H6:J6"/>
    <mergeCell ref="K6:L6"/>
    <mergeCell ref="L9:M9"/>
    <mergeCell ref="N9:O9"/>
    <mergeCell ref="A8:A9"/>
    <mergeCell ref="B8:C8"/>
    <mergeCell ref="D8:D9"/>
    <mergeCell ref="E8:F9"/>
    <mergeCell ref="G8:G9"/>
    <mergeCell ref="H8:H9"/>
    <mergeCell ref="J8:K8"/>
    <mergeCell ref="L8:M8"/>
    <mergeCell ref="N8:O8"/>
    <mergeCell ref="P8:P9"/>
    <mergeCell ref="Q8:R9"/>
    <mergeCell ref="Q11:R11"/>
    <mergeCell ref="B10:C10"/>
    <mergeCell ref="E10:F10"/>
    <mergeCell ref="J10:K10"/>
    <mergeCell ref="L10:M10"/>
    <mergeCell ref="N10:O10"/>
    <mergeCell ref="Q10:R10"/>
    <mergeCell ref="B11:C11"/>
    <mergeCell ref="E11:F11"/>
    <mergeCell ref="J11:K11"/>
    <mergeCell ref="L11:M11"/>
    <mergeCell ref="N11:O11"/>
    <mergeCell ref="B9:C9"/>
    <mergeCell ref="J9:K9"/>
    <mergeCell ref="Q13:R13"/>
    <mergeCell ref="B12:C12"/>
    <mergeCell ref="E12:F12"/>
    <mergeCell ref="J12:K12"/>
    <mergeCell ref="L12:M12"/>
    <mergeCell ref="N12:O12"/>
    <mergeCell ref="Q12:R12"/>
    <mergeCell ref="B13:C13"/>
    <mergeCell ref="E13:F13"/>
    <mergeCell ref="J13:K13"/>
    <mergeCell ref="L13:M13"/>
    <mergeCell ref="N13:O13"/>
    <mergeCell ref="B14:C14"/>
    <mergeCell ref="E14:F14"/>
    <mergeCell ref="J14:K14"/>
    <mergeCell ref="L14:M14"/>
    <mergeCell ref="Q14:R14"/>
    <mergeCell ref="A26:C26"/>
    <mergeCell ref="Q15:R15"/>
    <mergeCell ref="A17:C20"/>
    <mergeCell ref="D17:O17"/>
    <mergeCell ref="D18:E19"/>
    <mergeCell ref="F18:G19"/>
    <mergeCell ref="H18:K18"/>
    <mergeCell ref="L18:M19"/>
    <mergeCell ref="N18:O19"/>
    <mergeCell ref="H19:I19"/>
    <mergeCell ref="J19:K19"/>
    <mergeCell ref="B15:C15"/>
    <mergeCell ref="E15:F15"/>
    <mergeCell ref="J15:K15"/>
    <mergeCell ref="L15:M15"/>
    <mergeCell ref="N15:O15"/>
    <mergeCell ref="A21:C21"/>
    <mergeCell ref="A22:C22"/>
    <mergeCell ref="A23:C23"/>
    <mergeCell ref="A24:C24"/>
    <mergeCell ref="A25:C25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32:C32"/>
  </mergeCells>
  <pageMargins left="0.16" right="0.16" top="0.25" bottom="0.23" header="0.23" footer="0.2"/>
  <pageSetup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2"/>
  <sheetViews>
    <sheetView zoomScaleNormal="100" workbookViewId="0">
      <selection activeCell="A22" sqref="A22:C22"/>
    </sheetView>
  </sheetViews>
  <sheetFormatPr defaultRowHeight="15"/>
  <cols>
    <col min="1" max="1" width="16.7109375" style="2" customWidth="1"/>
    <col min="2" max="2" width="6" style="2" customWidth="1"/>
    <col min="3" max="3" width="2.5703125" style="2" customWidth="1"/>
    <col min="4" max="4" width="8" style="2" customWidth="1"/>
    <col min="5" max="5" width="8.28515625" style="2" bestFit="1" customWidth="1"/>
    <col min="6" max="6" width="6.140625" style="2" customWidth="1"/>
    <col min="7" max="7" width="8" style="2" customWidth="1"/>
    <col min="8" max="8" width="6.7109375" style="2" customWidth="1"/>
    <col min="9" max="9" width="7.140625" style="2" bestFit="1" customWidth="1"/>
    <col min="10" max="10" width="6.7109375" style="2" customWidth="1"/>
    <col min="11" max="11" width="6" style="2" customWidth="1"/>
    <col min="12" max="12" width="5.28515625" style="2" customWidth="1"/>
    <col min="13" max="13" width="7" style="2" customWidth="1"/>
    <col min="14" max="14" width="6.42578125" style="2" customWidth="1"/>
    <col min="15" max="15" width="7.28515625" style="2" customWidth="1"/>
    <col min="16" max="17" width="7.85546875" style="2" customWidth="1"/>
    <col min="18" max="18" width="6" style="2" customWidth="1"/>
    <col min="19" max="19" width="7.42578125" style="2" bestFit="1" customWidth="1"/>
    <col min="20" max="22" width="12.5703125" style="2" bestFit="1" customWidth="1"/>
    <col min="23" max="23" width="9.140625" style="2"/>
    <col min="24" max="24" width="12.5703125" style="2" bestFit="1" customWidth="1"/>
    <col min="25" max="16384" width="9.140625" style="2"/>
  </cols>
  <sheetData>
    <row r="1" spans="1:23" ht="18.75">
      <c r="A1" s="223" t="s">
        <v>54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</row>
    <row r="2" spans="1:23" ht="15.75" thickBo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23" ht="15.75" thickBot="1">
      <c r="A3" s="225" t="s">
        <v>55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195"/>
      <c r="M3" s="55"/>
    </row>
    <row r="4" spans="1:23">
      <c r="A4" s="227"/>
      <c r="B4" s="228"/>
      <c r="C4" s="231" t="s">
        <v>46</v>
      </c>
      <c r="D4" s="232"/>
      <c r="E4" s="56" t="s">
        <v>0</v>
      </c>
      <c r="F4" s="233" t="s">
        <v>24</v>
      </c>
      <c r="G4" s="101" t="s">
        <v>1</v>
      </c>
      <c r="H4" s="227" t="s">
        <v>2</v>
      </c>
      <c r="I4" s="235"/>
      <c r="J4" s="228"/>
      <c r="K4" s="231" t="s">
        <v>3</v>
      </c>
      <c r="L4" s="232"/>
      <c r="M4" s="55"/>
    </row>
    <row r="5" spans="1:23" ht="15.75" thickBot="1">
      <c r="A5" s="229"/>
      <c r="B5" s="230"/>
      <c r="C5" s="236" t="s">
        <v>4</v>
      </c>
      <c r="D5" s="237"/>
      <c r="E5" s="57" t="s">
        <v>5</v>
      </c>
      <c r="F5" s="234"/>
      <c r="G5" s="103"/>
      <c r="H5" s="210" t="s">
        <v>5</v>
      </c>
      <c r="I5" s="211"/>
      <c r="J5" s="212"/>
      <c r="K5" s="236" t="s">
        <v>5</v>
      </c>
      <c r="L5" s="237"/>
      <c r="M5" s="55"/>
      <c r="T5" s="29"/>
      <c r="U5" s="29"/>
    </row>
    <row r="6" spans="1:23" ht="15.75" thickBot="1">
      <c r="A6" s="238"/>
      <c r="B6" s="239"/>
      <c r="C6" s="240">
        <v>506029</v>
      </c>
      <c r="D6" s="241"/>
      <c r="E6" s="54"/>
      <c r="F6" s="107"/>
      <c r="G6" s="104">
        <f>C6+E6+F6</f>
        <v>506029</v>
      </c>
      <c r="H6" s="240">
        <f>G15</f>
        <v>51224.7</v>
      </c>
      <c r="I6" s="196"/>
      <c r="J6" s="241"/>
      <c r="K6" s="176">
        <f>G6-H6</f>
        <v>454804.3</v>
      </c>
      <c r="L6" s="177"/>
      <c r="M6" s="55"/>
      <c r="O6" s="29"/>
      <c r="Q6" s="29"/>
    </row>
    <row r="7" spans="1:23" ht="13.5" customHeight="1" thickBot="1">
      <c r="A7" s="222" t="s">
        <v>56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U7" s="29"/>
    </row>
    <row r="8" spans="1:23" ht="22.5" customHeight="1">
      <c r="A8" s="215" t="s">
        <v>6</v>
      </c>
      <c r="B8" s="217" t="s">
        <v>46</v>
      </c>
      <c r="C8" s="218"/>
      <c r="D8" s="202" t="s">
        <v>41</v>
      </c>
      <c r="E8" s="204" t="s">
        <v>40</v>
      </c>
      <c r="F8" s="205"/>
      <c r="G8" s="202" t="s">
        <v>22</v>
      </c>
      <c r="H8" s="202" t="s">
        <v>23</v>
      </c>
      <c r="I8" s="106" t="s">
        <v>44</v>
      </c>
      <c r="J8" s="218" t="s">
        <v>1</v>
      </c>
      <c r="K8" s="219"/>
      <c r="L8" s="217" t="s">
        <v>7</v>
      </c>
      <c r="M8" s="218"/>
      <c r="N8" s="220" t="s">
        <v>3</v>
      </c>
      <c r="O8" s="221"/>
      <c r="P8" s="202" t="s">
        <v>42</v>
      </c>
      <c r="Q8" s="204" t="s">
        <v>35</v>
      </c>
      <c r="R8" s="205"/>
    </row>
    <row r="9" spans="1:23" ht="19.5" customHeight="1" thickBot="1">
      <c r="A9" s="216"/>
      <c r="B9" s="210" t="s">
        <v>5</v>
      </c>
      <c r="C9" s="211"/>
      <c r="D9" s="203"/>
      <c r="E9" s="206"/>
      <c r="F9" s="207"/>
      <c r="G9" s="203"/>
      <c r="H9" s="203"/>
      <c r="I9" s="102" t="s">
        <v>45</v>
      </c>
      <c r="J9" s="211" t="s">
        <v>5</v>
      </c>
      <c r="K9" s="212"/>
      <c r="L9" s="210" t="s">
        <v>5</v>
      </c>
      <c r="M9" s="211"/>
      <c r="N9" s="213" t="s">
        <v>5</v>
      </c>
      <c r="O9" s="214"/>
      <c r="P9" s="203"/>
      <c r="Q9" s="206"/>
      <c r="R9" s="207"/>
    </row>
    <row r="10" spans="1:23" ht="15.75" customHeight="1" thickBot="1">
      <c r="A10" s="58" t="s">
        <v>8</v>
      </c>
      <c r="B10" s="176">
        <v>37393.71</v>
      </c>
      <c r="C10" s="196"/>
      <c r="D10" s="60">
        <v>28956.16</v>
      </c>
      <c r="E10" s="176">
        <f>B10-D10</f>
        <v>8437.5499999999993</v>
      </c>
      <c r="F10" s="177"/>
      <c r="G10" s="105">
        <v>35224</v>
      </c>
      <c r="H10" s="60">
        <v>144.78</v>
      </c>
      <c r="I10" s="60"/>
      <c r="J10" s="176">
        <f>B10+G10+H10+I10</f>
        <v>72762.489999999991</v>
      </c>
      <c r="K10" s="177"/>
      <c r="L10" s="176">
        <f>G29+G30+G31</f>
        <v>52536</v>
      </c>
      <c r="M10" s="197"/>
      <c r="N10" s="176">
        <f>J10-L10</f>
        <v>20226.489999999991</v>
      </c>
      <c r="O10" s="177"/>
      <c r="P10" s="60">
        <f>'[1]May 2021'!$K$15</f>
        <v>7044.7999999999993</v>
      </c>
      <c r="Q10" s="176">
        <f>N10-P10</f>
        <v>13181.689999999991</v>
      </c>
      <c r="R10" s="201"/>
      <c r="S10" s="32"/>
      <c r="U10" s="2" t="s">
        <v>53</v>
      </c>
    </row>
    <row r="11" spans="1:23" ht="15.75" thickBot="1">
      <c r="A11" s="58" t="s">
        <v>9</v>
      </c>
      <c r="B11" s="176">
        <v>12610.65</v>
      </c>
      <c r="C11" s="196"/>
      <c r="D11" s="60">
        <v>12170.24</v>
      </c>
      <c r="E11" s="176">
        <f t="shared" ref="E11:E13" si="0">B11-D11</f>
        <v>440.40999999999985</v>
      </c>
      <c r="F11" s="177"/>
      <c r="G11" s="105"/>
      <c r="H11" s="60"/>
      <c r="I11" s="60"/>
      <c r="J11" s="176">
        <f>B11+G11+H11+I11</f>
        <v>12610.65</v>
      </c>
      <c r="K11" s="177"/>
      <c r="L11" s="176">
        <f>SUM(G21:G22)</f>
        <v>4344</v>
      </c>
      <c r="M11" s="197"/>
      <c r="N11" s="208">
        <f>J11-L11</f>
        <v>8266.65</v>
      </c>
      <c r="O11" s="209"/>
      <c r="P11" s="60">
        <f>'[1]May 2021'!$K$25</f>
        <v>6085.12</v>
      </c>
      <c r="Q11" s="176">
        <f t="shared" ref="Q11:Q13" si="1">N11-P11</f>
        <v>2181.5299999999997</v>
      </c>
      <c r="R11" s="201"/>
      <c r="S11" s="32"/>
    </row>
    <row r="12" spans="1:23" ht="15.75" customHeight="1" thickBot="1">
      <c r="A12" s="58" t="s">
        <v>10</v>
      </c>
      <c r="B12" s="176">
        <v>4240.7</v>
      </c>
      <c r="C12" s="196"/>
      <c r="D12" s="60">
        <v>0</v>
      </c>
      <c r="E12" s="176">
        <f t="shared" si="0"/>
        <v>4240.7</v>
      </c>
      <c r="F12" s="177"/>
      <c r="G12" s="105">
        <v>16000.7</v>
      </c>
      <c r="H12" s="60"/>
      <c r="I12" s="60"/>
      <c r="J12" s="176">
        <f>B12+G12+H12+I12</f>
        <v>20241.400000000001</v>
      </c>
      <c r="K12" s="177"/>
      <c r="L12" s="176">
        <f>SUM(G33:G34)</f>
        <v>9492</v>
      </c>
      <c r="M12" s="201"/>
      <c r="N12" s="176">
        <f>J12-L12</f>
        <v>10749.400000000001</v>
      </c>
      <c r="O12" s="177"/>
      <c r="P12" s="60">
        <f>'[1]May 2021'!$K$35</f>
        <v>9600.42</v>
      </c>
      <c r="Q12" s="176">
        <f t="shared" si="1"/>
        <v>1148.9800000000014</v>
      </c>
      <c r="R12" s="201"/>
    </row>
    <row r="13" spans="1:23" ht="15.75" thickBot="1">
      <c r="A13" s="58" t="s">
        <v>30</v>
      </c>
      <c r="B13" s="176">
        <v>28100.18</v>
      </c>
      <c r="C13" s="196"/>
      <c r="D13" s="60">
        <v>21391.38</v>
      </c>
      <c r="E13" s="176">
        <f t="shared" si="0"/>
        <v>6708.7999999999993</v>
      </c>
      <c r="F13" s="177"/>
      <c r="G13" s="105"/>
      <c r="H13" s="60">
        <v>142.61000000000001</v>
      </c>
      <c r="I13" s="60"/>
      <c r="J13" s="176">
        <f>B13+G13+H13+I13</f>
        <v>28242.79</v>
      </c>
      <c r="K13" s="177"/>
      <c r="L13" s="176">
        <f>G24+G25+G26+G27</f>
        <v>24454</v>
      </c>
      <c r="M13" s="201"/>
      <c r="N13" s="176">
        <f>J13-L13</f>
        <v>3788.7900000000009</v>
      </c>
      <c r="O13" s="177"/>
      <c r="P13" s="60">
        <f>'[1]May 2021'!$K$45</f>
        <v>0</v>
      </c>
      <c r="Q13" s="176">
        <f t="shared" si="1"/>
        <v>3788.7900000000009</v>
      </c>
      <c r="R13" s="201"/>
      <c r="V13" s="29"/>
      <c r="W13" s="29"/>
    </row>
    <row r="14" spans="1:23" ht="15.75" customHeight="1" thickBot="1">
      <c r="A14" s="58"/>
      <c r="B14" s="198"/>
      <c r="C14" s="199"/>
      <c r="D14" s="61"/>
      <c r="E14" s="198"/>
      <c r="F14" s="200"/>
      <c r="G14" s="105"/>
      <c r="H14" s="60"/>
      <c r="I14" s="60"/>
      <c r="J14" s="196"/>
      <c r="K14" s="177"/>
      <c r="L14" s="176"/>
      <c r="M14" s="177"/>
      <c r="N14" s="62"/>
      <c r="O14" s="63"/>
      <c r="P14" s="60"/>
      <c r="Q14" s="176"/>
      <c r="R14" s="201"/>
      <c r="T14" s="64"/>
    </row>
    <row r="15" spans="1:23" ht="15.75" thickBot="1">
      <c r="A15" s="59" t="s">
        <v>1</v>
      </c>
      <c r="B15" s="176">
        <f>SUM(B10:C14)</f>
        <v>82345.239999999991</v>
      </c>
      <c r="C15" s="177"/>
      <c r="D15" s="60">
        <f>SUM(D10:D14)</f>
        <v>62517.78</v>
      </c>
      <c r="E15" s="176">
        <f>SUM(E10:F14)</f>
        <v>19827.46</v>
      </c>
      <c r="F15" s="195"/>
      <c r="G15" s="105">
        <f>SUM(G10:G14)</f>
        <v>51224.7</v>
      </c>
      <c r="H15" s="60">
        <f>SUM(H10:H14)</f>
        <v>287.39</v>
      </c>
      <c r="I15" s="60">
        <f>SUM(I10:I14)</f>
        <v>0</v>
      </c>
      <c r="J15" s="196">
        <f>SUM(J10:K14)</f>
        <v>133857.32999999999</v>
      </c>
      <c r="K15" s="177"/>
      <c r="L15" s="176">
        <f>SUM(L10:M14)</f>
        <v>90826</v>
      </c>
      <c r="M15" s="197"/>
      <c r="N15" s="176">
        <f>SUM(N10:O14)</f>
        <v>43031.329999999994</v>
      </c>
      <c r="O15" s="177"/>
      <c r="P15" s="60">
        <f>SUM(P10:P14)</f>
        <v>22730.339999999997</v>
      </c>
      <c r="Q15" s="176">
        <f>SUM(Q10:R13)</f>
        <v>20300.989999999991</v>
      </c>
      <c r="R15" s="177"/>
      <c r="S15" s="29"/>
    </row>
    <row r="16" spans="1:23" ht="6.75" customHeight="1" thickBot="1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23" ht="15.75" customHeight="1" thickBot="1">
      <c r="A17" s="178" t="s">
        <v>11</v>
      </c>
      <c r="B17" s="179"/>
      <c r="C17" s="179"/>
      <c r="D17" s="186" t="s">
        <v>57</v>
      </c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8"/>
      <c r="P17" s="68"/>
      <c r="Q17" s="68"/>
      <c r="R17" s="68"/>
      <c r="S17" s="68"/>
    </row>
    <row r="18" spans="1:23" ht="15.75" customHeight="1" thickBot="1">
      <c r="A18" s="180"/>
      <c r="B18" s="181"/>
      <c r="C18" s="182"/>
      <c r="D18" s="189" t="s">
        <v>46</v>
      </c>
      <c r="E18" s="190"/>
      <c r="F18" s="189" t="s">
        <v>7</v>
      </c>
      <c r="G18" s="190"/>
      <c r="H18" s="193" t="s">
        <v>32</v>
      </c>
      <c r="I18" s="194"/>
      <c r="J18" s="194"/>
      <c r="K18" s="194"/>
      <c r="L18" s="189" t="s">
        <v>31</v>
      </c>
      <c r="M18" s="190"/>
      <c r="N18" s="189" t="s">
        <v>12</v>
      </c>
      <c r="O18" s="190"/>
    </row>
    <row r="19" spans="1:23" ht="15.75" customHeight="1" thickBot="1">
      <c r="A19" s="180"/>
      <c r="B19" s="181"/>
      <c r="C19" s="182"/>
      <c r="D19" s="191"/>
      <c r="E19" s="192"/>
      <c r="F19" s="189"/>
      <c r="G19" s="190"/>
      <c r="H19" s="186" t="s">
        <v>33</v>
      </c>
      <c r="I19" s="187"/>
      <c r="J19" s="186" t="s">
        <v>34</v>
      </c>
      <c r="K19" s="187"/>
      <c r="L19" s="191"/>
      <c r="M19" s="192"/>
      <c r="N19" s="191"/>
      <c r="O19" s="192"/>
    </row>
    <row r="20" spans="1:23" s="71" customFormat="1" ht="15.75" thickBot="1">
      <c r="A20" s="183"/>
      <c r="B20" s="184"/>
      <c r="C20" s="185"/>
      <c r="D20" s="108" t="s">
        <v>26</v>
      </c>
      <c r="E20" s="37" t="s">
        <v>25</v>
      </c>
      <c r="F20" s="69" t="s">
        <v>26</v>
      </c>
      <c r="G20" s="37" t="s">
        <v>25</v>
      </c>
      <c r="H20" s="109" t="s">
        <v>26</v>
      </c>
      <c r="I20" s="37" t="s">
        <v>25</v>
      </c>
      <c r="J20" s="109" t="s">
        <v>26</v>
      </c>
      <c r="K20" s="37" t="s">
        <v>25</v>
      </c>
      <c r="L20" s="37" t="s">
        <v>26</v>
      </c>
      <c r="M20" s="70" t="s">
        <v>25</v>
      </c>
      <c r="N20" s="69" t="s">
        <v>26</v>
      </c>
      <c r="O20" s="37" t="s">
        <v>25</v>
      </c>
      <c r="S20" s="72" t="s">
        <v>27</v>
      </c>
      <c r="T20" s="73" t="s">
        <v>28</v>
      </c>
      <c r="U20" s="37" t="s">
        <v>29</v>
      </c>
    </row>
    <row r="21" spans="1:23">
      <c r="A21" s="155" t="s">
        <v>13</v>
      </c>
      <c r="B21" s="156"/>
      <c r="C21" s="157"/>
      <c r="D21" s="74">
        <f>E21/24</f>
        <v>14</v>
      </c>
      <c r="E21" s="10">
        <v>336</v>
      </c>
      <c r="F21" s="74">
        <f>G21/24</f>
        <v>43</v>
      </c>
      <c r="G21" s="10">
        <f>'[2]May 2021'!$B$30</f>
        <v>1032</v>
      </c>
      <c r="H21" s="23">
        <f>I21/24</f>
        <v>25</v>
      </c>
      <c r="I21" s="26">
        <f>600</f>
        <v>600</v>
      </c>
      <c r="J21" s="11">
        <f>K21/24</f>
        <v>1</v>
      </c>
      <c r="K21" s="10">
        <f>24</f>
        <v>24</v>
      </c>
      <c r="L21" s="11">
        <f>M21/24</f>
        <v>8</v>
      </c>
      <c r="M21" s="10">
        <f>120+72</f>
        <v>192</v>
      </c>
      <c r="N21" s="23">
        <f>O21/24</f>
        <v>23</v>
      </c>
      <c r="O21" s="36">
        <f>E21+G21-I21-K21-M21</f>
        <v>552</v>
      </c>
      <c r="S21" s="5">
        <v>576</v>
      </c>
      <c r="T21" s="7">
        <f>2*24</f>
        <v>48</v>
      </c>
      <c r="U21" s="30">
        <f>S21+T21-O21</f>
        <v>72</v>
      </c>
      <c r="V21" s="75"/>
      <c r="W21" s="29"/>
    </row>
    <row r="22" spans="1:23" ht="15.75" thickBot="1">
      <c r="A22" s="158" t="s">
        <v>14</v>
      </c>
      <c r="B22" s="159"/>
      <c r="C22" s="160"/>
      <c r="D22" s="76">
        <f>E22/24</f>
        <v>82</v>
      </c>
      <c r="E22" s="12">
        <v>1968</v>
      </c>
      <c r="F22" s="76">
        <f>G22/24</f>
        <v>138</v>
      </c>
      <c r="G22" s="12">
        <f>'[2]May 2021'!$C$30</f>
        <v>3312</v>
      </c>
      <c r="H22" s="24">
        <f>I22/24</f>
        <v>50</v>
      </c>
      <c r="I22" s="33">
        <f>1200</f>
        <v>1200</v>
      </c>
      <c r="J22" s="13">
        <f>K22/24</f>
        <v>50</v>
      </c>
      <c r="K22" s="12">
        <f>1200</f>
        <v>1200</v>
      </c>
      <c r="L22" s="13">
        <f>M22/24</f>
        <v>17</v>
      </c>
      <c r="M22" s="12">
        <f>48+240+72+48</f>
        <v>408</v>
      </c>
      <c r="N22" s="24">
        <f>O22/24</f>
        <v>103</v>
      </c>
      <c r="O22" s="36">
        <f>E22+G22-I22-K22-M22</f>
        <v>2472</v>
      </c>
      <c r="S22" s="6">
        <v>2088</v>
      </c>
      <c r="T22" s="9">
        <f>14*24</f>
        <v>336</v>
      </c>
      <c r="U22" s="34">
        <f>S22+T22-O22</f>
        <v>-48</v>
      </c>
      <c r="V22" s="75"/>
      <c r="W22" s="29"/>
    </row>
    <row r="23" spans="1:23" ht="15.75" thickBot="1">
      <c r="A23" s="161" t="s">
        <v>36</v>
      </c>
      <c r="B23" s="162"/>
      <c r="C23" s="163"/>
      <c r="D23" s="77">
        <f>SUM(D21:D22)</f>
        <v>96</v>
      </c>
      <c r="E23" s="78">
        <f t="shared" ref="E23:H23" si="2">SUM(E21:E22)</f>
        <v>2304</v>
      </c>
      <c r="F23" s="77">
        <f t="shared" si="2"/>
        <v>181</v>
      </c>
      <c r="G23" s="78">
        <f t="shared" si="2"/>
        <v>4344</v>
      </c>
      <c r="H23" s="79">
        <f t="shared" si="2"/>
        <v>75</v>
      </c>
      <c r="I23" s="80">
        <f>SUM(I21:I22)</f>
        <v>1800</v>
      </c>
      <c r="J23" s="77">
        <f t="shared" ref="J23:O23" si="3">SUM(J21:J22)</f>
        <v>51</v>
      </c>
      <c r="K23" s="78">
        <f t="shared" si="3"/>
        <v>1224</v>
      </c>
      <c r="L23" s="77">
        <f t="shared" si="3"/>
        <v>25</v>
      </c>
      <c r="M23" s="78">
        <f t="shared" si="3"/>
        <v>600</v>
      </c>
      <c r="N23" s="77">
        <f t="shared" si="3"/>
        <v>126</v>
      </c>
      <c r="O23" s="78">
        <f t="shared" si="3"/>
        <v>3024</v>
      </c>
      <c r="S23" s="45"/>
      <c r="T23" s="48"/>
      <c r="U23" s="30"/>
      <c r="V23" s="75"/>
      <c r="W23" s="29"/>
    </row>
    <row r="24" spans="1:23" ht="15.75" thickBot="1">
      <c r="A24" s="155" t="s">
        <v>15</v>
      </c>
      <c r="B24" s="156"/>
      <c r="C24" s="157"/>
      <c r="D24" s="74">
        <f>E24/30</f>
        <v>138</v>
      </c>
      <c r="E24" s="10">
        <v>4140</v>
      </c>
      <c r="F24" s="74">
        <f>G24/30</f>
        <v>755</v>
      </c>
      <c r="G24" s="10">
        <f>'[2]May 2021'!$D$30</f>
        <v>22650</v>
      </c>
      <c r="H24" s="23">
        <f>I24/30</f>
        <v>0</v>
      </c>
      <c r="I24" s="10">
        <v>0</v>
      </c>
      <c r="J24" s="23">
        <f>K24/30</f>
        <v>23</v>
      </c>
      <c r="K24" s="10">
        <f>690</f>
        <v>690</v>
      </c>
      <c r="L24" s="23">
        <f>M24/30</f>
        <v>448</v>
      </c>
      <c r="M24" s="10">
        <f>7740+300+900+300+3600+150+450</f>
        <v>13440</v>
      </c>
      <c r="N24" s="23">
        <f>O24/30</f>
        <v>422</v>
      </c>
      <c r="O24" s="36">
        <f>E24+G24-I24-K24-M24</f>
        <v>12660</v>
      </c>
      <c r="S24" s="50">
        <v>12090</v>
      </c>
      <c r="T24" s="51">
        <f>18*30</f>
        <v>540</v>
      </c>
      <c r="U24" s="47">
        <f>S24+T24-O24</f>
        <v>-30</v>
      </c>
      <c r="V24" s="75"/>
      <c r="W24" s="29"/>
    </row>
    <row r="25" spans="1:23" ht="15.75" thickBot="1">
      <c r="A25" s="173" t="s">
        <v>18</v>
      </c>
      <c r="B25" s="174"/>
      <c r="C25" s="175"/>
      <c r="D25" s="81">
        <f>E25/24</f>
        <v>8</v>
      </c>
      <c r="E25" s="36">
        <v>192</v>
      </c>
      <c r="F25" s="81">
        <f>G25/24</f>
        <v>0</v>
      </c>
      <c r="G25" s="27">
        <f>'[2]May 2021'!$E$30</f>
        <v>0</v>
      </c>
      <c r="H25" s="39">
        <f>I25/24</f>
        <v>0</v>
      </c>
      <c r="I25" s="27">
        <v>0</v>
      </c>
      <c r="J25" s="40">
        <f t="shared" ref="J25" si="4">K25/24</f>
        <v>0</v>
      </c>
      <c r="K25" s="36">
        <v>0</v>
      </c>
      <c r="L25" s="40">
        <f t="shared" ref="L25" si="5">M25/24</f>
        <v>0</v>
      </c>
      <c r="M25" s="36">
        <v>0</v>
      </c>
      <c r="N25" s="39">
        <f>O25/24</f>
        <v>8</v>
      </c>
      <c r="O25" s="36">
        <f t="shared" ref="O25:O27" si="6">E25+G25-I25-K25-M25</f>
        <v>192</v>
      </c>
      <c r="S25" s="4">
        <v>192</v>
      </c>
      <c r="T25" s="22">
        <v>0</v>
      </c>
      <c r="U25" s="47">
        <f t="shared" ref="U25:U27" si="7">S25+T25-O25</f>
        <v>0</v>
      </c>
      <c r="V25" s="75"/>
      <c r="W25" s="29"/>
    </row>
    <row r="26" spans="1:23" ht="15.75" thickBot="1">
      <c r="A26" s="170" t="s">
        <v>47</v>
      </c>
      <c r="B26" s="171"/>
      <c r="C26" s="172"/>
      <c r="D26" s="82">
        <f>E26/22</f>
        <v>25</v>
      </c>
      <c r="E26" s="3">
        <v>550</v>
      </c>
      <c r="F26" s="82">
        <f>G26/22</f>
        <v>53</v>
      </c>
      <c r="G26" s="3">
        <f>'[2]May 2021'!$F$30</f>
        <v>1166</v>
      </c>
      <c r="H26" s="25">
        <v>0</v>
      </c>
      <c r="I26" s="28">
        <f>220</f>
        <v>220</v>
      </c>
      <c r="J26" s="1">
        <f>K26/22</f>
        <v>10</v>
      </c>
      <c r="K26" s="3">
        <f>220</f>
        <v>220</v>
      </c>
      <c r="L26" s="1">
        <f>M26/22</f>
        <v>15</v>
      </c>
      <c r="M26" s="3">
        <f>330</f>
        <v>330</v>
      </c>
      <c r="N26" s="25">
        <f>O26/22</f>
        <v>43</v>
      </c>
      <c r="O26" s="36">
        <f t="shared" si="6"/>
        <v>946</v>
      </c>
      <c r="R26" s="29"/>
      <c r="S26" s="4">
        <v>836</v>
      </c>
      <c r="T26" s="22">
        <f>5*22</f>
        <v>110</v>
      </c>
      <c r="U26" s="47">
        <f t="shared" si="7"/>
        <v>0</v>
      </c>
      <c r="V26" s="29"/>
      <c r="W26" s="29"/>
    </row>
    <row r="27" spans="1:23" ht="15.75" thickBot="1">
      <c r="A27" s="167" t="s">
        <v>48</v>
      </c>
      <c r="B27" s="168"/>
      <c r="C27" s="169"/>
      <c r="D27" s="83">
        <f>E27/22</f>
        <v>3</v>
      </c>
      <c r="E27" s="41">
        <v>66</v>
      </c>
      <c r="F27" s="83">
        <f>G27/22</f>
        <v>29</v>
      </c>
      <c r="G27" s="41">
        <f>'[2]May 2021'!$G$30</f>
        <v>638</v>
      </c>
      <c r="H27" s="42">
        <f>I27/22</f>
        <v>0</v>
      </c>
      <c r="I27" s="43">
        <v>0</v>
      </c>
      <c r="J27" s="44">
        <f>K27/22</f>
        <v>5</v>
      </c>
      <c r="K27" s="41">
        <f>110</f>
        <v>110</v>
      </c>
      <c r="L27" s="44">
        <f>M27/22</f>
        <v>5</v>
      </c>
      <c r="M27" s="41">
        <f>110</f>
        <v>110</v>
      </c>
      <c r="N27" s="42">
        <f>O27/22</f>
        <v>22</v>
      </c>
      <c r="O27" s="38">
        <f t="shared" si="6"/>
        <v>484</v>
      </c>
      <c r="S27" s="52">
        <v>418</v>
      </c>
      <c r="T27" s="53">
        <f>3*22</f>
        <v>66</v>
      </c>
      <c r="U27" s="47">
        <f t="shared" si="7"/>
        <v>0</v>
      </c>
      <c r="V27" s="75"/>
      <c r="W27" s="29"/>
    </row>
    <row r="28" spans="1:23" ht="15.75" thickBot="1">
      <c r="A28" s="161" t="s">
        <v>37</v>
      </c>
      <c r="B28" s="162"/>
      <c r="C28" s="163"/>
      <c r="D28" s="79">
        <f t="shared" ref="D28:O28" si="8">SUM(D24:D27)</f>
        <v>174</v>
      </c>
      <c r="E28" s="21">
        <f t="shared" si="8"/>
        <v>4948</v>
      </c>
      <c r="F28" s="79">
        <f t="shared" si="8"/>
        <v>837</v>
      </c>
      <c r="G28" s="21">
        <f t="shared" si="8"/>
        <v>24454</v>
      </c>
      <c r="H28" s="79">
        <f t="shared" si="8"/>
        <v>0</v>
      </c>
      <c r="I28" s="21">
        <f t="shared" si="8"/>
        <v>220</v>
      </c>
      <c r="J28" s="79">
        <f t="shared" si="8"/>
        <v>38</v>
      </c>
      <c r="K28" s="21">
        <f t="shared" si="8"/>
        <v>1020</v>
      </c>
      <c r="L28" s="79">
        <f t="shared" si="8"/>
        <v>468</v>
      </c>
      <c r="M28" s="21">
        <f t="shared" si="8"/>
        <v>13880</v>
      </c>
      <c r="N28" s="79">
        <f t="shared" si="8"/>
        <v>495</v>
      </c>
      <c r="O28" s="21">
        <f t="shared" si="8"/>
        <v>14282</v>
      </c>
      <c r="S28" s="46"/>
      <c r="T28" s="49"/>
      <c r="U28" s="30"/>
      <c r="V28" s="75"/>
      <c r="W28" s="29"/>
    </row>
    <row r="29" spans="1:23">
      <c r="A29" s="155" t="s">
        <v>16</v>
      </c>
      <c r="B29" s="156"/>
      <c r="C29" s="157"/>
      <c r="D29" s="74">
        <f>E29/24</f>
        <v>0</v>
      </c>
      <c r="E29" s="10">
        <v>0</v>
      </c>
      <c r="F29" s="74">
        <f>G29/24</f>
        <v>399</v>
      </c>
      <c r="G29" s="10">
        <f>'[2]May 2021'!$H$30</f>
        <v>9576</v>
      </c>
      <c r="H29" s="23">
        <f>I29/24</f>
        <v>20</v>
      </c>
      <c r="I29" s="26">
        <f>480</f>
        <v>480</v>
      </c>
      <c r="J29" s="11">
        <f t="shared" ref="J29:J31" si="9">K29/24</f>
        <v>10</v>
      </c>
      <c r="K29" s="10">
        <f>240</f>
        <v>240</v>
      </c>
      <c r="L29" s="11">
        <f t="shared" ref="L29:L31" si="10">M29/24</f>
        <v>315</v>
      </c>
      <c r="M29" s="10">
        <f>2520+1200+960+720+480+480+1200</f>
        <v>7560</v>
      </c>
      <c r="N29" s="23">
        <f>O29/24</f>
        <v>54</v>
      </c>
      <c r="O29" s="36">
        <f>E29+G29-I29-K29-M29</f>
        <v>1296</v>
      </c>
      <c r="S29" s="5">
        <v>1296</v>
      </c>
      <c r="T29" s="16">
        <v>0</v>
      </c>
      <c r="U29" s="30">
        <f t="shared" ref="U29:U30" si="11">S29+T29-O29</f>
        <v>0</v>
      </c>
      <c r="V29" s="75"/>
      <c r="W29" s="29"/>
    </row>
    <row r="30" spans="1:23">
      <c r="A30" s="170" t="s">
        <v>43</v>
      </c>
      <c r="B30" s="171"/>
      <c r="C30" s="172"/>
      <c r="D30" s="82">
        <f>E30/24</f>
        <v>0</v>
      </c>
      <c r="E30" s="3">
        <v>0</v>
      </c>
      <c r="F30" s="82">
        <f>G30/24</f>
        <v>207</v>
      </c>
      <c r="G30" s="3">
        <f>'[2]May 2021'!$I$30</f>
        <v>4968</v>
      </c>
      <c r="H30" s="25">
        <f>I30/24</f>
        <v>25</v>
      </c>
      <c r="I30" s="28">
        <f>600</f>
        <v>600</v>
      </c>
      <c r="J30" s="1">
        <f t="shared" si="9"/>
        <v>0</v>
      </c>
      <c r="K30" s="3">
        <v>0</v>
      </c>
      <c r="L30" s="1">
        <f>M30/24</f>
        <v>120</v>
      </c>
      <c r="M30" s="3">
        <f>1080+720+240+360+360+120</f>
        <v>2880</v>
      </c>
      <c r="N30" s="25">
        <f>O30/24</f>
        <v>62</v>
      </c>
      <c r="O30" s="36">
        <f t="shared" ref="O30:O31" si="12">E30+G30-I30-K30-M30</f>
        <v>1488</v>
      </c>
      <c r="S30" s="4">
        <v>1488</v>
      </c>
      <c r="T30" s="8">
        <v>0</v>
      </c>
      <c r="U30" s="35">
        <f t="shared" si="11"/>
        <v>0</v>
      </c>
      <c r="V30" s="75"/>
      <c r="W30" s="29"/>
    </row>
    <row r="31" spans="1:23" ht="15.75" thickBot="1">
      <c r="A31" s="170" t="s">
        <v>17</v>
      </c>
      <c r="B31" s="171"/>
      <c r="C31" s="172"/>
      <c r="D31" s="82">
        <f>E31/24</f>
        <v>123</v>
      </c>
      <c r="E31" s="3">
        <v>2952</v>
      </c>
      <c r="F31" s="82">
        <f>G31/24</f>
        <v>1583</v>
      </c>
      <c r="G31" s="3">
        <f>'[2]May 2021'!$J$30</f>
        <v>37992</v>
      </c>
      <c r="H31" s="25">
        <f>I31/24</f>
        <v>225</v>
      </c>
      <c r="I31" s="28">
        <f>5400</f>
        <v>5400</v>
      </c>
      <c r="J31" s="1">
        <f t="shared" si="9"/>
        <v>175</v>
      </c>
      <c r="K31" s="3">
        <f>4200</f>
        <v>4200</v>
      </c>
      <c r="L31" s="1">
        <f t="shared" si="10"/>
        <v>892</v>
      </c>
      <c r="M31" s="3">
        <f>7080+3600+1440+2400+1800+48+2400+1440+1200</f>
        <v>21408</v>
      </c>
      <c r="N31" s="25">
        <f>O31/24</f>
        <v>414</v>
      </c>
      <c r="O31" s="36">
        <f t="shared" si="12"/>
        <v>9936</v>
      </c>
      <c r="S31" s="4">
        <v>8712</v>
      </c>
      <c r="T31" s="8">
        <f>51*24</f>
        <v>1224</v>
      </c>
      <c r="U31" s="35">
        <f>S31+T31-O31</f>
        <v>0</v>
      </c>
      <c r="V31" s="75"/>
      <c r="W31" s="29"/>
    </row>
    <row r="32" spans="1:23" ht="15.75" thickBot="1">
      <c r="A32" s="161" t="s">
        <v>38</v>
      </c>
      <c r="B32" s="162"/>
      <c r="C32" s="163"/>
      <c r="D32" s="84">
        <f t="shared" ref="D32:O32" si="13">SUM(D29:D31)</f>
        <v>123</v>
      </c>
      <c r="E32" s="78">
        <f t="shared" si="13"/>
        <v>2952</v>
      </c>
      <c r="F32" s="84">
        <f t="shared" si="13"/>
        <v>2189</v>
      </c>
      <c r="G32" s="78">
        <f t="shared" si="13"/>
        <v>52536</v>
      </c>
      <c r="H32" s="79">
        <f t="shared" si="13"/>
        <v>270</v>
      </c>
      <c r="I32" s="80">
        <f t="shared" si="13"/>
        <v>6480</v>
      </c>
      <c r="J32" s="84">
        <f t="shared" si="13"/>
        <v>185</v>
      </c>
      <c r="K32" s="78">
        <f t="shared" si="13"/>
        <v>4440</v>
      </c>
      <c r="L32" s="84">
        <f t="shared" si="13"/>
        <v>1327</v>
      </c>
      <c r="M32" s="78">
        <f t="shared" si="13"/>
        <v>31848</v>
      </c>
      <c r="N32" s="84">
        <f t="shared" si="13"/>
        <v>530</v>
      </c>
      <c r="O32" s="78">
        <f t="shared" si="13"/>
        <v>12720</v>
      </c>
      <c r="S32" s="17"/>
      <c r="T32" s="18"/>
      <c r="U32" s="30"/>
      <c r="V32" s="75"/>
      <c r="W32" s="29"/>
    </row>
    <row r="33" spans="1:23">
      <c r="A33" s="155" t="s">
        <v>19</v>
      </c>
      <c r="B33" s="156"/>
      <c r="C33" s="157"/>
      <c r="D33" s="85">
        <f>E33/12</f>
        <v>34</v>
      </c>
      <c r="E33" s="14">
        <v>408</v>
      </c>
      <c r="F33" s="85">
        <f>G33/12</f>
        <v>380</v>
      </c>
      <c r="G33" s="14">
        <f>'[2]May 2021'!$K$30</f>
        <v>4560</v>
      </c>
      <c r="H33" s="23">
        <f>I33/12</f>
        <v>0</v>
      </c>
      <c r="I33" s="26">
        <v>0</v>
      </c>
      <c r="J33" s="15">
        <f t="shared" ref="J33:J34" si="14">K33/12</f>
        <v>30</v>
      </c>
      <c r="K33" s="10">
        <f>360</f>
        <v>360</v>
      </c>
      <c r="L33" s="15">
        <f t="shared" ref="L33:L34" si="15">M33/12</f>
        <v>200</v>
      </c>
      <c r="M33" s="10">
        <f>180+120+2100</f>
        <v>2400</v>
      </c>
      <c r="N33" s="23">
        <f>O33/12</f>
        <v>184</v>
      </c>
      <c r="O33" s="36">
        <f>E33+G33-I33-K33-M33</f>
        <v>2208</v>
      </c>
      <c r="S33" s="5">
        <v>1956</v>
      </c>
      <c r="T33" s="16">
        <f>15*12</f>
        <v>180</v>
      </c>
      <c r="U33" s="30">
        <f>S33+T33-O33</f>
        <v>-72</v>
      </c>
      <c r="V33" s="86"/>
      <c r="W33" s="29"/>
    </row>
    <row r="34" spans="1:23" ht="15.75" thickBot="1">
      <c r="A34" s="158" t="s">
        <v>20</v>
      </c>
      <c r="B34" s="159"/>
      <c r="C34" s="160"/>
      <c r="D34" s="76">
        <f>E34/12</f>
        <v>0</v>
      </c>
      <c r="E34" s="12">
        <v>0</v>
      </c>
      <c r="F34" s="76">
        <f>G34/12</f>
        <v>411</v>
      </c>
      <c r="G34" s="12">
        <f>'[2]May 2021'!$L$30</f>
        <v>4932</v>
      </c>
      <c r="H34" s="24">
        <f>I34/12</f>
        <v>0</v>
      </c>
      <c r="I34" s="33">
        <v>0</v>
      </c>
      <c r="J34" s="13">
        <f t="shared" si="14"/>
        <v>0</v>
      </c>
      <c r="K34" s="12">
        <v>0</v>
      </c>
      <c r="L34" s="13">
        <f t="shared" si="15"/>
        <v>261</v>
      </c>
      <c r="M34" s="12">
        <f>3132</f>
        <v>3132</v>
      </c>
      <c r="N34" s="24">
        <f>O34/12</f>
        <v>150</v>
      </c>
      <c r="O34" s="36">
        <f>E34+G34-I34-K34-M34</f>
        <v>1800</v>
      </c>
      <c r="S34" s="4">
        <v>1800</v>
      </c>
      <c r="T34" s="22">
        <v>0</v>
      </c>
      <c r="U34" s="35">
        <f>S34+T34-O34</f>
        <v>0</v>
      </c>
      <c r="V34" s="75"/>
      <c r="W34" s="29"/>
    </row>
    <row r="35" spans="1:23" ht="15.75" thickBot="1">
      <c r="A35" s="161" t="s">
        <v>39</v>
      </c>
      <c r="B35" s="162"/>
      <c r="C35" s="163"/>
      <c r="D35" s="84">
        <f>SUM(D33:D34)</f>
        <v>34</v>
      </c>
      <c r="E35" s="78">
        <f t="shared" ref="E35:H35" si="16">SUM(E33:E34)</f>
        <v>408</v>
      </c>
      <c r="F35" s="84">
        <f t="shared" si="16"/>
        <v>791</v>
      </c>
      <c r="G35" s="78">
        <f t="shared" si="16"/>
        <v>9492</v>
      </c>
      <c r="H35" s="79">
        <f t="shared" si="16"/>
        <v>0</v>
      </c>
      <c r="I35" s="80">
        <f>SUM(I33:I34)</f>
        <v>0</v>
      </c>
      <c r="J35" s="84">
        <f t="shared" ref="J35:O35" si="17">SUM(J33:J34)</f>
        <v>30</v>
      </c>
      <c r="K35" s="78">
        <f t="shared" si="17"/>
        <v>360</v>
      </c>
      <c r="L35" s="84">
        <f t="shared" si="17"/>
        <v>461</v>
      </c>
      <c r="M35" s="78">
        <f t="shared" si="17"/>
        <v>5532</v>
      </c>
      <c r="N35" s="84">
        <f t="shared" si="17"/>
        <v>334</v>
      </c>
      <c r="O35" s="78">
        <f t="shared" si="17"/>
        <v>4008</v>
      </c>
      <c r="S35" s="19"/>
      <c r="T35" s="20"/>
      <c r="U35" s="34"/>
      <c r="W35" s="29"/>
    </row>
    <row r="36" spans="1:23" ht="15.75" thickBot="1">
      <c r="A36" s="164" t="s">
        <v>21</v>
      </c>
      <c r="B36" s="165"/>
      <c r="C36" s="166"/>
      <c r="D36" s="87">
        <f t="shared" ref="D36:O36" si="18">D21+D22+D24+D25+D26+D27+D29+D30+D31+D33+D34</f>
        <v>427</v>
      </c>
      <c r="E36" s="87">
        <f t="shared" si="18"/>
        <v>10612</v>
      </c>
      <c r="F36" s="87">
        <f t="shared" si="18"/>
        <v>3998</v>
      </c>
      <c r="G36" s="87">
        <f t="shared" si="18"/>
        <v>90826</v>
      </c>
      <c r="H36" s="87">
        <f t="shared" si="18"/>
        <v>345</v>
      </c>
      <c r="I36" s="87">
        <f>I21+I22+I24+I25+I26+I27+I29+I30+I31+I33+I34</f>
        <v>8500</v>
      </c>
      <c r="J36" s="87">
        <f t="shared" si="18"/>
        <v>304</v>
      </c>
      <c r="K36" s="87">
        <f t="shared" si="18"/>
        <v>7044</v>
      </c>
      <c r="L36" s="87">
        <f t="shared" si="18"/>
        <v>2281</v>
      </c>
      <c r="M36" s="87">
        <f t="shared" si="18"/>
        <v>51860</v>
      </c>
      <c r="N36" s="87">
        <f t="shared" si="18"/>
        <v>1485</v>
      </c>
      <c r="O36" s="87">
        <f t="shared" si="18"/>
        <v>34034</v>
      </c>
      <c r="S36" s="88">
        <f>SUM(S21:S34)</f>
        <v>31452</v>
      </c>
      <c r="T36" s="89">
        <f>SUM(T21:T34)</f>
        <v>2504</v>
      </c>
      <c r="U36" s="31">
        <f>S36+T36-O36</f>
        <v>-78</v>
      </c>
      <c r="W36" s="29"/>
    </row>
    <row r="37" spans="1:23" ht="9" customHeight="1">
      <c r="U37" s="32"/>
    </row>
    <row r="38" spans="1:23">
      <c r="V38" s="29"/>
    </row>
    <row r="40" spans="1:23">
      <c r="P40" s="75"/>
    </row>
    <row r="41" spans="1:23">
      <c r="G41" s="29"/>
    </row>
    <row r="42" spans="1:23" ht="18.75">
      <c r="P42" s="90"/>
    </row>
  </sheetData>
  <mergeCells count="91"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32:C32"/>
    <mergeCell ref="A21:C21"/>
    <mergeCell ref="A22:C22"/>
    <mergeCell ref="A23:C23"/>
    <mergeCell ref="A24:C24"/>
    <mergeCell ref="A25:C25"/>
    <mergeCell ref="A26:C26"/>
    <mergeCell ref="Q15:R15"/>
    <mergeCell ref="A17:C20"/>
    <mergeCell ref="D17:O17"/>
    <mergeCell ref="D18:E19"/>
    <mergeCell ref="F18:G19"/>
    <mergeCell ref="H18:K18"/>
    <mergeCell ref="L18:M19"/>
    <mergeCell ref="N18:O19"/>
    <mergeCell ref="H19:I19"/>
    <mergeCell ref="J19:K19"/>
    <mergeCell ref="B15:C15"/>
    <mergeCell ref="E15:F15"/>
    <mergeCell ref="J15:K15"/>
    <mergeCell ref="L15:M15"/>
    <mergeCell ref="N15:O15"/>
    <mergeCell ref="B14:C14"/>
    <mergeCell ref="E14:F14"/>
    <mergeCell ref="J14:K14"/>
    <mergeCell ref="L14:M14"/>
    <mergeCell ref="Q14:R14"/>
    <mergeCell ref="Q13:R13"/>
    <mergeCell ref="B12:C12"/>
    <mergeCell ref="E12:F12"/>
    <mergeCell ref="J12:K12"/>
    <mergeCell ref="L12:M12"/>
    <mergeCell ref="N12:O12"/>
    <mergeCell ref="Q12:R12"/>
    <mergeCell ref="B13:C13"/>
    <mergeCell ref="E13:F13"/>
    <mergeCell ref="J13:K13"/>
    <mergeCell ref="L13:M13"/>
    <mergeCell ref="N13:O13"/>
    <mergeCell ref="P8:P9"/>
    <mergeCell ref="Q8:R9"/>
    <mergeCell ref="Q11:R11"/>
    <mergeCell ref="B10:C10"/>
    <mergeCell ref="E10:F10"/>
    <mergeCell ref="J10:K10"/>
    <mergeCell ref="L10:M10"/>
    <mergeCell ref="N10:O10"/>
    <mergeCell ref="Q10:R10"/>
    <mergeCell ref="B11:C11"/>
    <mergeCell ref="E11:F11"/>
    <mergeCell ref="J11:K11"/>
    <mergeCell ref="L11:M11"/>
    <mergeCell ref="N11:O11"/>
    <mergeCell ref="B9:C9"/>
    <mergeCell ref="J9:K9"/>
    <mergeCell ref="L9:M9"/>
    <mergeCell ref="N9:O9"/>
    <mergeCell ref="A8:A9"/>
    <mergeCell ref="B8:C8"/>
    <mergeCell ref="D8:D9"/>
    <mergeCell ref="E8:F9"/>
    <mergeCell ref="G8:G9"/>
    <mergeCell ref="H8:H9"/>
    <mergeCell ref="J8:K8"/>
    <mergeCell ref="L8:M8"/>
    <mergeCell ref="N8:O8"/>
    <mergeCell ref="A7:R7"/>
    <mergeCell ref="A1:R1"/>
    <mergeCell ref="A2:R2"/>
    <mergeCell ref="A3:L3"/>
    <mergeCell ref="A4:B5"/>
    <mergeCell ref="C4:D4"/>
    <mergeCell ref="F4:F5"/>
    <mergeCell ref="H4:J4"/>
    <mergeCell ref="K4:L4"/>
    <mergeCell ref="C5:D5"/>
    <mergeCell ref="H5:J5"/>
    <mergeCell ref="K5:L5"/>
    <mergeCell ref="A6:B6"/>
    <mergeCell ref="C6:D6"/>
    <mergeCell ref="H6:J6"/>
    <mergeCell ref="K6:L6"/>
  </mergeCells>
  <pageMargins left="0.16" right="0.16" top="0.25" bottom="0.23" header="0.23" footer="0.2"/>
  <pageSetup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"/>
  <sheetViews>
    <sheetView topLeftCell="A16" zoomScaleNormal="100" workbookViewId="0">
      <selection activeCell="T22" sqref="T22"/>
    </sheetView>
  </sheetViews>
  <sheetFormatPr defaultRowHeight="15"/>
  <cols>
    <col min="1" max="1" width="16.7109375" style="2" customWidth="1"/>
    <col min="2" max="2" width="6" style="2" customWidth="1"/>
    <col min="3" max="3" width="2.5703125" style="2" customWidth="1"/>
    <col min="4" max="4" width="8" style="2" customWidth="1"/>
    <col min="5" max="5" width="8.28515625" style="2" bestFit="1" customWidth="1"/>
    <col min="6" max="6" width="6.140625" style="2" customWidth="1"/>
    <col min="7" max="7" width="8" style="2" customWidth="1"/>
    <col min="8" max="8" width="6.7109375" style="2" customWidth="1"/>
    <col min="9" max="9" width="7.140625" style="2" bestFit="1" customWidth="1"/>
    <col min="10" max="10" width="6.7109375" style="2" customWidth="1"/>
    <col min="11" max="11" width="6" style="2" customWidth="1"/>
    <col min="12" max="12" width="5.28515625" style="2" customWidth="1"/>
    <col min="13" max="13" width="7" style="2" customWidth="1"/>
    <col min="14" max="14" width="6.42578125" style="2" customWidth="1"/>
    <col min="15" max="15" width="7.28515625" style="2" customWidth="1"/>
    <col min="16" max="17" width="7.85546875" style="2" customWidth="1"/>
    <col min="18" max="19" width="6" style="2" customWidth="1"/>
    <col min="20" max="20" width="7.42578125" style="2" bestFit="1" customWidth="1"/>
    <col min="21" max="23" width="12.5703125" style="2" bestFit="1" customWidth="1"/>
    <col min="24" max="24" width="9.140625" style="2"/>
    <col min="25" max="25" width="12.5703125" style="2" bestFit="1" customWidth="1"/>
    <col min="26" max="16384" width="9.140625" style="2"/>
  </cols>
  <sheetData>
    <row r="1" spans="1:24" ht="18.75">
      <c r="A1" s="223" t="s">
        <v>58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19"/>
    </row>
    <row r="2" spans="1:24" ht="15.75" thickBo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20"/>
    </row>
    <row r="3" spans="1:24" ht="15.75" thickBot="1">
      <c r="A3" s="225" t="s">
        <v>59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195"/>
      <c r="M3" s="55"/>
    </row>
    <row r="4" spans="1:24">
      <c r="A4" s="227"/>
      <c r="B4" s="228"/>
      <c r="C4" s="231" t="s">
        <v>46</v>
      </c>
      <c r="D4" s="232"/>
      <c r="E4" s="56" t="s">
        <v>0</v>
      </c>
      <c r="F4" s="233" t="s">
        <v>24</v>
      </c>
      <c r="G4" s="116" t="s">
        <v>1</v>
      </c>
      <c r="H4" s="227" t="s">
        <v>2</v>
      </c>
      <c r="I4" s="235"/>
      <c r="J4" s="228"/>
      <c r="K4" s="231" t="s">
        <v>3</v>
      </c>
      <c r="L4" s="232"/>
      <c r="M4" s="55"/>
    </row>
    <row r="5" spans="1:24" ht="15.75" thickBot="1">
      <c r="A5" s="229"/>
      <c r="B5" s="230"/>
      <c r="C5" s="236" t="s">
        <v>4</v>
      </c>
      <c r="D5" s="237"/>
      <c r="E5" s="57" t="s">
        <v>5</v>
      </c>
      <c r="F5" s="234"/>
      <c r="G5" s="115"/>
      <c r="H5" s="210" t="s">
        <v>5</v>
      </c>
      <c r="I5" s="211"/>
      <c r="J5" s="212"/>
      <c r="K5" s="236" t="s">
        <v>5</v>
      </c>
      <c r="L5" s="237"/>
      <c r="M5" s="55"/>
      <c r="U5" s="29"/>
      <c r="V5" s="29"/>
    </row>
    <row r="6" spans="1:24" ht="15.75" thickBot="1">
      <c r="A6" s="238"/>
      <c r="B6" s="239"/>
      <c r="C6" s="240">
        <v>454804.3</v>
      </c>
      <c r="D6" s="241"/>
      <c r="E6" s="54"/>
      <c r="F6" s="114"/>
      <c r="G6" s="118">
        <f>C6+E6+F6</f>
        <v>454804.3</v>
      </c>
      <c r="H6" s="240">
        <f>G15</f>
        <v>128728.2</v>
      </c>
      <c r="I6" s="196"/>
      <c r="J6" s="241"/>
      <c r="K6" s="176">
        <f>G6-H6</f>
        <v>326076.09999999998</v>
      </c>
      <c r="L6" s="177"/>
      <c r="M6" s="55"/>
      <c r="O6" s="29"/>
      <c r="Q6" s="29"/>
    </row>
    <row r="7" spans="1:24" ht="13.5" customHeight="1" thickBot="1">
      <c r="A7" s="222" t="s">
        <v>60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121"/>
      <c r="V7" s="29"/>
    </row>
    <row r="8" spans="1:24" ht="22.5" customHeight="1">
      <c r="A8" s="215" t="s">
        <v>6</v>
      </c>
      <c r="B8" s="217" t="s">
        <v>46</v>
      </c>
      <c r="C8" s="218"/>
      <c r="D8" s="202" t="s">
        <v>41</v>
      </c>
      <c r="E8" s="204" t="s">
        <v>40</v>
      </c>
      <c r="F8" s="205"/>
      <c r="G8" s="202" t="s">
        <v>22</v>
      </c>
      <c r="H8" s="202" t="s">
        <v>23</v>
      </c>
      <c r="I8" s="113" t="s">
        <v>44</v>
      </c>
      <c r="J8" s="218" t="s">
        <v>1</v>
      </c>
      <c r="K8" s="219"/>
      <c r="L8" s="217" t="s">
        <v>7</v>
      </c>
      <c r="M8" s="218"/>
      <c r="N8" s="220" t="s">
        <v>3</v>
      </c>
      <c r="O8" s="221"/>
      <c r="P8" s="202" t="s">
        <v>42</v>
      </c>
      <c r="Q8" s="204" t="s">
        <v>35</v>
      </c>
      <c r="R8" s="205"/>
      <c r="S8" s="122"/>
    </row>
    <row r="9" spans="1:24" ht="19.5" customHeight="1" thickBot="1">
      <c r="A9" s="216"/>
      <c r="B9" s="210" t="s">
        <v>5</v>
      </c>
      <c r="C9" s="211"/>
      <c r="D9" s="203"/>
      <c r="E9" s="206"/>
      <c r="F9" s="207"/>
      <c r="G9" s="203"/>
      <c r="H9" s="203"/>
      <c r="I9" s="117" t="s">
        <v>45</v>
      </c>
      <c r="J9" s="211" t="s">
        <v>5</v>
      </c>
      <c r="K9" s="212"/>
      <c r="L9" s="210" t="s">
        <v>5</v>
      </c>
      <c r="M9" s="211"/>
      <c r="N9" s="213" t="s">
        <v>5</v>
      </c>
      <c r="O9" s="214"/>
      <c r="P9" s="203"/>
      <c r="Q9" s="206"/>
      <c r="R9" s="207"/>
      <c r="S9" s="122"/>
    </row>
    <row r="10" spans="1:24" ht="15.75" customHeight="1" thickBot="1">
      <c r="A10" s="58" t="s">
        <v>8</v>
      </c>
      <c r="B10" s="176">
        <v>20226.490000000002</v>
      </c>
      <c r="C10" s="196"/>
      <c r="D10" s="60">
        <v>7044.8</v>
      </c>
      <c r="E10" s="176">
        <f>B10-D10</f>
        <v>13181.690000000002</v>
      </c>
      <c r="F10" s="177"/>
      <c r="G10" s="110">
        <f>37289.5+37533.7</f>
        <v>74823.199999999997</v>
      </c>
      <c r="H10" s="60">
        <f>140.9+149.16</f>
        <v>290.06</v>
      </c>
      <c r="I10" s="60"/>
      <c r="J10" s="176">
        <f>B10+G10+H10+I10</f>
        <v>95339.75</v>
      </c>
      <c r="K10" s="177"/>
      <c r="L10" s="176">
        <f>G29+G30+G31</f>
        <v>57168</v>
      </c>
      <c r="M10" s="197"/>
      <c r="N10" s="176">
        <f>J10-L10</f>
        <v>38171.75</v>
      </c>
      <c r="O10" s="177"/>
      <c r="P10" s="60">
        <f>'[1]June 2021'!$K$15</f>
        <v>30026.959999999999</v>
      </c>
      <c r="Q10" s="176">
        <f>N10-P10</f>
        <v>8144.7900000000009</v>
      </c>
      <c r="R10" s="201"/>
      <c r="S10" s="123"/>
      <c r="T10" s="32"/>
    </row>
    <row r="11" spans="1:24" ht="15.75" thickBot="1">
      <c r="A11" s="58" t="s">
        <v>9</v>
      </c>
      <c r="B11" s="176">
        <v>8266.65</v>
      </c>
      <c r="C11" s="196"/>
      <c r="D11" s="60">
        <v>6085.12</v>
      </c>
      <c r="E11" s="176">
        <f t="shared" ref="E11:E13" si="0">B11-D11</f>
        <v>2181.5299999999997</v>
      </c>
      <c r="F11" s="177"/>
      <c r="G11" s="110"/>
      <c r="H11" s="60"/>
      <c r="I11" s="60"/>
      <c r="J11" s="176">
        <f>B11+G11+H11+I11</f>
        <v>8266.65</v>
      </c>
      <c r="K11" s="177"/>
      <c r="L11" s="176">
        <f>SUM(G21:G22)</f>
        <v>5040</v>
      </c>
      <c r="M11" s="197"/>
      <c r="N11" s="208">
        <f>J11-L11</f>
        <v>3226.6499999999996</v>
      </c>
      <c r="O11" s="209"/>
      <c r="P11" s="60">
        <f>'[1]June 2021'!$K$25</f>
        <v>3042.56</v>
      </c>
      <c r="Q11" s="176">
        <f t="shared" ref="Q11:Q13" si="1">N11-P11</f>
        <v>184.08999999999969</v>
      </c>
      <c r="R11" s="201"/>
      <c r="S11" s="123"/>
      <c r="T11" s="32"/>
    </row>
    <row r="12" spans="1:24" ht="15.75" customHeight="1" thickBot="1">
      <c r="A12" s="58" t="s">
        <v>10</v>
      </c>
      <c r="B12" s="176">
        <v>10749.4</v>
      </c>
      <c r="C12" s="196"/>
      <c r="D12" s="60">
        <v>9600.42</v>
      </c>
      <c r="E12" s="176">
        <f t="shared" si="0"/>
        <v>1148.9799999999996</v>
      </c>
      <c r="F12" s="177"/>
      <c r="G12" s="110">
        <v>18585</v>
      </c>
      <c r="H12" s="60">
        <v>64</v>
      </c>
      <c r="I12" s="60"/>
      <c r="J12" s="176">
        <f>B12+G12+H12+I12</f>
        <v>29398.400000000001</v>
      </c>
      <c r="K12" s="177"/>
      <c r="L12" s="176">
        <f>SUM(G33:G34)</f>
        <v>11556</v>
      </c>
      <c r="M12" s="201"/>
      <c r="N12" s="176">
        <f>J12-L12</f>
        <v>17842.400000000001</v>
      </c>
      <c r="O12" s="177"/>
      <c r="P12" s="60">
        <f>'[1]June 2021'!$K$35</f>
        <v>14868</v>
      </c>
      <c r="Q12" s="176">
        <f t="shared" si="1"/>
        <v>2974.4000000000015</v>
      </c>
      <c r="R12" s="201"/>
      <c r="S12" s="123"/>
    </row>
    <row r="13" spans="1:24" ht="15.75" thickBot="1">
      <c r="A13" s="58" t="s">
        <v>30</v>
      </c>
      <c r="B13" s="176">
        <v>3788.79</v>
      </c>
      <c r="C13" s="196"/>
      <c r="D13" s="60">
        <v>0</v>
      </c>
      <c r="E13" s="176">
        <f t="shared" si="0"/>
        <v>3788.79</v>
      </c>
      <c r="F13" s="177"/>
      <c r="G13" s="110">
        <v>35320</v>
      </c>
      <c r="H13" s="60">
        <v>141.28</v>
      </c>
      <c r="I13" s="60"/>
      <c r="J13" s="176">
        <f>B13+G13+H13+I13</f>
        <v>39250.07</v>
      </c>
      <c r="K13" s="177"/>
      <c r="L13" s="176">
        <f>G24+G25+G26+G27</f>
        <v>33054</v>
      </c>
      <c r="M13" s="201"/>
      <c r="N13" s="176">
        <f>J13-L13</f>
        <v>6196.07</v>
      </c>
      <c r="O13" s="177"/>
      <c r="P13" s="60">
        <f>'[1]June 2021'!$K$45</f>
        <v>0</v>
      </c>
      <c r="Q13" s="176">
        <f t="shared" si="1"/>
        <v>6196.07</v>
      </c>
      <c r="R13" s="201"/>
      <c r="S13" s="123"/>
      <c r="W13" s="29"/>
      <c r="X13" s="29"/>
    </row>
    <row r="14" spans="1:24" ht="15.75" customHeight="1" thickBot="1">
      <c r="A14" s="58"/>
      <c r="B14" s="198"/>
      <c r="C14" s="199"/>
      <c r="D14" s="61"/>
      <c r="E14" s="198"/>
      <c r="F14" s="200"/>
      <c r="G14" s="110"/>
      <c r="H14" s="60"/>
      <c r="I14" s="60"/>
      <c r="J14" s="196"/>
      <c r="K14" s="177"/>
      <c r="L14" s="176"/>
      <c r="M14" s="177"/>
      <c r="N14" s="62"/>
      <c r="O14" s="63"/>
      <c r="P14" s="60"/>
      <c r="Q14" s="176"/>
      <c r="R14" s="201"/>
      <c r="S14" s="123"/>
      <c r="U14" s="64"/>
    </row>
    <row r="15" spans="1:24" ht="15.75" thickBot="1">
      <c r="A15" s="59" t="s">
        <v>1</v>
      </c>
      <c r="B15" s="176">
        <f>SUM(B10:C14)</f>
        <v>43031.33</v>
      </c>
      <c r="C15" s="177"/>
      <c r="D15" s="60">
        <f>SUM(D10:D14)</f>
        <v>22730.34</v>
      </c>
      <c r="E15" s="176">
        <f>SUM(E10:F14)</f>
        <v>20300.990000000002</v>
      </c>
      <c r="F15" s="195"/>
      <c r="G15" s="110">
        <f>SUM(G10:G14)</f>
        <v>128728.2</v>
      </c>
      <c r="H15" s="60">
        <f>SUM(H10:H14)</f>
        <v>495.34000000000003</v>
      </c>
      <c r="I15" s="60">
        <f>SUM(I10:I14)</f>
        <v>0</v>
      </c>
      <c r="J15" s="196">
        <f>SUM(J10:K14)</f>
        <v>172254.87</v>
      </c>
      <c r="K15" s="177"/>
      <c r="L15" s="176">
        <f>SUM(L10:M14)</f>
        <v>106818</v>
      </c>
      <c r="M15" s="197"/>
      <c r="N15" s="176">
        <f>SUM(N10:O14)</f>
        <v>65436.87</v>
      </c>
      <c r="O15" s="177"/>
      <c r="P15" s="60">
        <f>SUM(P10:P14)</f>
        <v>47937.52</v>
      </c>
      <c r="Q15" s="176">
        <f>SUM(Q10:R14)</f>
        <v>17499.350000000002</v>
      </c>
      <c r="R15" s="177"/>
      <c r="S15" s="121"/>
      <c r="T15" s="29"/>
    </row>
    <row r="16" spans="1:24" ht="6.75" customHeight="1" thickBot="1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24" ht="15.75" customHeight="1" thickBot="1">
      <c r="A17" s="178" t="s">
        <v>11</v>
      </c>
      <c r="B17" s="179"/>
      <c r="C17" s="179"/>
      <c r="D17" s="186" t="s">
        <v>61</v>
      </c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8"/>
      <c r="P17" s="68"/>
      <c r="Q17" s="68"/>
      <c r="R17" s="68"/>
      <c r="S17" s="68"/>
      <c r="T17" s="68"/>
    </row>
    <row r="18" spans="1:24" ht="15.75" customHeight="1" thickBot="1">
      <c r="A18" s="180"/>
      <c r="B18" s="181"/>
      <c r="C18" s="182"/>
      <c r="D18" s="189" t="s">
        <v>46</v>
      </c>
      <c r="E18" s="190"/>
      <c r="F18" s="189" t="s">
        <v>7</v>
      </c>
      <c r="G18" s="190"/>
      <c r="H18" s="193" t="s">
        <v>32</v>
      </c>
      <c r="I18" s="194"/>
      <c r="J18" s="194"/>
      <c r="K18" s="194"/>
      <c r="L18" s="189" t="s">
        <v>31</v>
      </c>
      <c r="M18" s="190"/>
      <c r="N18" s="189" t="s">
        <v>12</v>
      </c>
      <c r="O18" s="190"/>
    </row>
    <row r="19" spans="1:24" ht="15.75" customHeight="1" thickBot="1">
      <c r="A19" s="180"/>
      <c r="B19" s="181"/>
      <c r="C19" s="182"/>
      <c r="D19" s="191"/>
      <c r="E19" s="192"/>
      <c r="F19" s="189"/>
      <c r="G19" s="190"/>
      <c r="H19" s="186" t="s">
        <v>33</v>
      </c>
      <c r="I19" s="187"/>
      <c r="J19" s="186" t="s">
        <v>34</v>
      </c>
      <c r="K19" s="187"/>
      <c r="L19" s="191"/>
      <c r="M19" s="192"/>
      <c r="N19" s="191"/>
      <c r="O19" s="192"/>
    </row>
    <row r="20" spans="1:24" s="71" customFormat="1" ht="15.75" thickBot="1">
      <c r="A20" s="183"/>
      <c r="B20" s="184"/>
      <c r="C20" s="185"/>
      <c r="D20" s="111" t="s">
        <v>26</v>
      </c>
      <c r="E20" s="37" t="s">
        <v>25</v>
      </c>
      <c r="F20" s="69" t="s">
        <v>26</v>
      </c>
      <c r="G20" s="37" t="s">
        <v>25</v>
      </c>
      <c r="H20" s="112" t="s">
        <v>26</v>
      </c>
      <c r="I20" s="37" t="s">
        <v>25</v>
      </c>
      <c r="J20" s="112" t="s">
        <v>26</v>
      </c>
      <c r="K20" s="37" t="s">
        <v>25</v>
      </c>
      <c r="L20" s="37" t="s">
        <v>26</v>
      </c>
      <c r="M20" s="70" t="s">
        <v>25</v>
      </c>
      <c r="N20" s="69" t="s">
        <v>26</v>
      </c>
      <c r="O20" s="37" t="s">
        <v>25</v>
      </c>
      <c r="T20" s="72" t="s">
        <v>27</v>
      </c>
      <c r="U20" s="73" t="s">
        <v>28</v>
      </c>
      <c r="V20" s="37" t="s">
        <v>29</v>
      </c>
    </row>
    <row r="21" spans="1:24">
      <c r="A21" s="155" t="s">
        <v>13</v>
      </c>
      <c r="B21" s="156"/>
      <c r="C21" s="157"/>
      <c r="D21" s="74">
        <f>E21/24</f>
        <v>23</v>
      </c>
      <c r="E21" s="10">
        <v>552</v>
      </c>
      <c r="F21" s="74">
        <f>G21/24</f>
        <v>24</v>
      </c>
      <c r="G21" s="10">
        <f>'[2]June 2021'!$B$30</f>
        <v>576</v>
      </c>
      <c r="H21" s="23">
        <f>I21/24</f>
        <v>25</v>
      </c>
      <c r="I21" s="26">
        <f>600</f>
        <v>600</v>
      </c>
      <c r="J21" s="11">
        <f>K21/24</f>
        <v>0</v>
      </c>
      <c r="K21" s="10">
        <v>0</v>
      </c>
      <c r="L21" s="11">
        <f>M21/24</f>
        <v>13</v>
      </c>
      <c r="M21" s="10">
        <f>240+72</f>
        <v>312</v>
      </c>
      <c r="N21" s="23">
        <f>O21/24</f>
        <v>9</v>
      </c>
      <c r="O21" s="36">
        <f>E21+G21-I21-K21-M21</f>
        <v>216</v>
      </c>
      <c r="T21" s="5">
        <v>216</v>
      </c>
      <c r="U21" s="7">
        <f>6*24</f>
        <v>144</v>
      </c>
      <c r="V21" s="30">
        <f>T21+U21-O21</f>
        <v>144</v>
      </c>
      <c r="W21" s="75"/>
      <c r="X21" s="29"/>
    </row>
    <row r="22" spans="1:24" ht="15.75" thickBot="1">
      <c r="A22" s="158" t="s">
        <v>14</v>
      </c>
      <c r="B22" s="159"/>
      <c r="C22" s="160"/>
      <c r="D22" s="76">
        <f>E22/24</f>
        <v>103</v>
      </c>
      <c r="E22" s="12">
        <v>2472</v>
      </c>
      <c r="F22" s="76">
        <f>G22/24</f>
        <v>186</v>
      </c>
      <c r="G22" s="12">
        <f>'[2]June 2021'!$C$30</f>
        <v>4464</v>
      </c>
      <c r="H22" s="24">
        <f>I22/24</f>
        <v>120</v>
      </c>
      <c r="I22" s="33">
        <f>2880</f>
        <v>2880</v>
      </c>
      <c r="J22" s="13">
        <f>K22/24</f>
        <v>130</v>
      </c>
      <c r="K22" s="12">
        <f>3120</f>
        <v>3120</v>
      </c>
      <c r="L22" s="13">
        <f>M22/24</f>
        <v>23</v>
      </c>
      <c r="M22" s="12">
        <v>552</v>
      </c>
      <c r="N22" s="24">
        <f>O22/24</f>
        <v>16</v>
      </c>
      <c r="O22" s="36">
        <f>E22+G22-I22-K22-M22</f>
        <v>384</v>
      </c>
      <c r="T22" s="6">
        <v>360</v>
      </c>
      <c r="U22" s="9">
        <f>0*24</f>
        <v>0</v>
      </c>
      <c r="V22" s="34">
        <f>T22+U22-O22</f>
        <v>-24</v>
      </c>
      <c r="W22" s="75"/>
      <c r="X22" s="29"/>
    </row>
    <row r="23" spans="1:24" ht="15.75" thickBot="1">
      <c r="A23" s="161" t="s">
        <v>36</v>
      </c>
      <c r="B23" s="162"/>
      <c r="C23" s="163"/>
      <c r="D23" s="77">
        <f>SUM(D21:D22)</f>
        <v>126</v>
      </c>
      <c r="E23" s="78">
        <f t="shared" ref="E23:H23" si="2">SUM(E21:E22)</f>
        <v>3024</v>
      </c>
      <c r="F23" s="77">
        <f t="shared" si="2"/>
        <v>210</v>
      </c>
      <c r="G23" s="78">
        <f t="shared" si="2"/>
        <v>5040</v>
      </c>
      <c r="H23" s="79">
        <f t="shared" si="2"/>
        <v>145</v>
      </c>
      <c r="I23" s="80">
        <f>SUM(I21:I22)</f>
        <v>3480</v>
      </c>
      <c r="J23" s="77">
        <f t="shared" ref="J23:O23" si="3">SUM(J21:J22)</f>
        <v>130</v>
      </c>
      <c r="K23" s="78">
        <f t="shared" si="3"/>
        <v>3120</v>
      </c>
      <c r="L23" s="77">
        <f t="shared" si="3"/>
        <v>36</v>
      </c>
      <c r="M23" s="78">
        <f t="shared" si="3"/>
        <v>864</v>
      </c>
      <c r="N23" s="77">
        <f t="shared" si="3"/>
        <v>25</v>
      </c>
      <c r="O23" s="78">
        <f t="shared" si="3"/>
        <v>600</v>
      </c>
      <c r="T23" s="45"/>
      <c r="U23" s="48"/>
      <c r="V23" s="30"/>
      <c r="W23" s="75"/>
      <c r="X23" s="29"/>
    </row>
    <row r="24" spans="1:24" ht="15.75" thickBot="1">
      <c r="A24" s="155" t="s">
        <v>15</v>
      </c>
      <c r="B24" s="156"/>
      <c r="C24" s="157"/>
      <c r="D24" s="74">
        <f>E24/30</f>
        <v>422</v>
      </c>
      <c r="E24" s="10">
        <v>12660</v>
      </c>
      <c r="F24" s="74">
        <f>G24/30</f>
        <v>1035</v>
      </c>
      <c r="G24" s="10">
        <f>'[2]June 2021'!$D$30</f>
        <v>31050</v>
      </c>
      <c r="H24" s="23">
        <f>I24/30</f>
        <v>40</v>
      </c>
      <c r="I24" s="10">
        <f>1200</f>
        <v>1200</v>
      </c>
      <c r="J24" s="23">
        <f>K24/30</f>
        <v>100</v>
      </c>
      <c r="K24" s="10">
        <f>3000</f>
        <v>3000</v>
      </c>
      <c r="L24" s="23">
        <f>M24/30</f>
        <v>1259</v>
      </c>
      <c r="M24" s="10">
        <v>37770</v>
      </c>
      <c r="N24" s="23">
        <f>O24/30</f>
        <v>58</v>
      </c>
      <c r="O24" s="36">
        <f>E24+G24-I24-K24-M24</f>
        <v>1740</v>
      </c>
      <c r="T24" s="50">
        <v>1680</v>
      </c>
      <c r="U24" s="51">
        <f>3*30</f>
        <v>90</v>
      </c>
      <c r="V24" s="47">
        <f>T24+U24-O24</f>
        <v>30</v>
      </c>
      <c r="W24" s="75"/>
      <c r="X24" s="29"/>
    </row>
    <row r="25" spans="1:24" ht="15.75" thickBot="1">
      <c r="A25" s="173" t="s">
        <v>18</v>
      </c>
      <c r="B25" s="174"/>
      <c r="C25" s="175"/>
      <c r="D25" s="81">
        <f>E25/24</f>
        <v>8</v>
      </c>
      <c r="E25" s="36">
        <v>192</v>
      </c>
      <c r="F25" s="81">
        <f>G25/24</f>
        <v>23</v>
      </c>
      <c r="G25" s="27">
        <f>'[2]June 2021'!$E$30</f>
        <v>552</v>
      </c>
      <c r="H25" s="39">
        <f>I25/24</f>
        <v>20</v>
      </c>
      <c r="I25" s="27">
        <f>480</f>
        <v>480</v>
      </c>
      <c r="J25" s="40">
        <f t="shared" ref="J25" si="4">K25/24</f>
        <v>0</v>
      </c>
      <c r="K25" s="36">
        <v>0</v>
      </c>
      <c r="L25" s="40">
        <f t="shared" ref="L25" si="5">M25/24</f>
        <v>11</v>
      </c>
      <c r="M25" s="36">
        <v>264</v>
      </c>
      <c r="N25" s="39">
        <f>O25/24</f>
        <v>0</v>
      </c>
      <c r="O25" s="36">
        <f t="shared" ref="O25:O27" si="6">E25+G25-I25-K25-M25</f>
        <v>0</v>
      </c>
      <c r="T25" s="4">
        <v>0</v>
      </c>
      <c r="U25" s="22">
        <v>0</v>
      </c>
      <c r="V25" s="47">
        <f>T25+U25-O25</f>
        <v>0</v>
      </c>
      <c r="W25" s="75"/>
      <c r="X25" s="29"/>
    </row>
    <row r="26" spans="1:24" ht="15.75" thickBot="1">
      <c r="A26" s="170" t="s">
        <v>47</v>
      </c>
      <c r="B26" s="171"/>
      <c r="C26" s="172"/>
      <c r="D26" s="82">
        <f>E26/22</f>
        <v>43</v>
      </c>
      <c r="E26" s="3">
        <v>946</v>
      </c>
      <c r="F26" s="82">
        <f>G26/22</f>
        <v>66</v>
      </c>
      <c r="G26" s="3">
        <f>'[2]June 2021'!$F$30</f>
        <v>1452</v>
      </c>
      <c r="H26" s="25">
        <v>0</v>
      </c>
      <c r="I26" s="28">
        <v>330</v>
      </c>
      <c r="J26" s="1">
        <f>K26/22</f>
        <v>30</v>
      </c>
      <c r="K26" s="3">
        <f>660</f>
        <v>660</v>
      </c>
      <c r="L26" s="1">
        <f>M26/22</f>
        <v>64</v>
      </c>
      <c r="M26" s="3">
        <v>1408</v>
      </c>
      <c r="N26" s="25">
        <f>O26/22</f>
        <v>0</v>
      </c>
      <c r="O26" s="36">
        <f t="shared" si="6"/>
        <v>0</v>
      </c>
      <c r="R26" s="29"/>
      <c r="S26" s="29"/>
      <c r="T26" s="4">
        <v>0</v>
      </c>
      <c r="U26" s="22">
        <f>0*22</f>
        <v>0</v>
      </c>
      <c r="V26" s="47">
        <f>T26+U26-O26</f>
        <v>0</v>
      </c>
      <c r="W26" s="29"/>
      <c r="X26" s="29"/>
    </row>
    <row r="27" spans="1:24" ht="15.75" thickBot="1">
      <c r="A27" s="167" t="s">
        <v>48</v>
      </c>
      <c r="B27" s="168"/>
      <c r="C27" s="169"/>
      <c r="D27" s="83">
        <f>E27/22</f>
        <v>22</v>
      </c>
      <c r="E27" s="41">
        <v>484</v>
      </c>
      <c r="F27" s="83">
        <f>G27/22</f>
        <v>0</v>
      </c>
      <c r="G27" s="41">
        <f>'[2]June 2021'!$G$30</f>
        <v>0</v>
      </c>
      <c r="H27" s="42">
        <f>I27/22</f>
        <v>0</v>
      </c>
      <c r="I27" s="43">
        <v>0</v>
      </c>
      <c r="J27" s="44">
        <f>K27/22</f>
        <v>20</v>
      </c>
      <c r="K27" s="41">
        <f>440</f>
        <v>440</v>
      </c>
      <c r="L27" s="44">
        <f>M27/22</f>
        <v>0</v>
      </c>
      <c r="M27" s="41">
        <v>0</v>
      </c>
      <c r="N27" s="42">
        <f>O27/22</f>
        <v>2</v>
      </c>
      <c r="O27" s="38">
        <f t="shared" si="6"/>
        <v>44</v>
      </c>
      <c r="T27" s="52">
        <v>44</v>
      </c>
      <c r="U27" s="53">
        <f>0*22</f>
        <v>0</v>
      </c>
      <c r="V27" s="47">
        <f>T27+U27-O27</f>
        <v>0</v>
      </c>
      <c r="W27" s="75"/>
      <c r="X27" s="29"/>
    </row>
    <row r="28" spans="1:24" ht="15.75" thickBot="1">
      <c r="A28" s="161" t="s">
        <v>37</v>
      </c>
      <c r="B28" s="162"/>
      <c r="C28" s="163"/>
      <c r="D28" s="79">
        <f t="shared" ref="D28:O28" si="7">SUM(D24:D27)</f>
        <v>495</v>
      </c>
      <c r="E28" s="21">
        <f t="shared" si="7"/>
        <v>14282</v>
      </c>
      <c r="F28" s="79">
        <f t="shared" si="7"/>
        <v>1124</v>
      </c>
      <c r="G28" s="21">
        <f t="shared" si="7"/>
        <v>33054</v>
      </c>
      <c r="H28" s="79">
        <f t="shared" si="7"/>
        <v>60</v>
      </c>
      <c r="I28" s="21">
        <f t="shared" si="7"/>
        <v>2010</v>
      </c>
      <c r="J28" s="79">
        <f t="shared" si="7"/>
        <v>150</v>
      </c>
      <c r="K28" s="21">
        <f t="shared" si="7"/>
        <v>4100</v>
      </c>
      <c r="L28" s="79">
        <f t="shared" si="7"/>
        <v>1334</v>
      </c>
      <c r="M28" s="21">
        <f t="shared" si="7"/>
        <v>39442</v>
      </c>
      <c r="N28" s="79">
        <f t="shared" si="7"/>
        <v>60</v>
      </c>
      <c r="O28" s="21">
        <f t="shared" si="7"/>
        <v>1784</v>
      </c>
      <c r="T28" s="46"/>
      <c r="U28" s="49"/>
      <c r="V28" s="30"/>
      <c r="W28" s="75"/>
      <c r="X28" s="29"/>
    </row>
    <row r="29" spans="1:24">
      <c r="A29" s="155" t="s">
        <v>16</v>
      </c>
      <c r="B29" s="156"/>
      <c r="C29" s="157"/>
      <c r="D29" s="74">
        <f>E29/24</f>
        <v>54</v>
      </c>
      <c r="E29" s="10">
        <v>1296</v>
      </c>
      <c r="F29" s="74">
        <f>G29/24</f>
        <v>444</v>
      </c>
      <c r="G29" s="10">
        <f>'[2]June 2021'!$H$30</f>
        <v>10656</v>
      </c>
      <c r="H29" s="23">
        <f>I29/24</f>
        <v>70</v>
      </c>
      <c r="I29" s="26">
        <v>1680</v>
      </c>
      <c r="J29" s="11">
        <f t="shared" ref="J29:J31" si="8">K29/24</f>
        <v>30</v>
      </c>
      <c r="K29" s="10">
        <f>720</f>
        <v>720</v>
      </c>
      <c r="L29" s="11">
        <f t="shared" ref="L29:L31" si="9">M29/24</f>
        <v>375</v>
      </c>
      <c r="M29" s="10">
        <v>9000</v>
      </c>
      <c r="N29" s="23">
        <f>O29/24</f>
        <v>23</v>
      </c>
      <c r="O29" s="36">
        <f>E29+G29-I29-K29-M29</f>
        <v>552</v>
      </c>
      <c r="T29" s="5">
        <v>552</v>
      </c>
      <c r="U29" s="16">
        <v>0</v>
      </c>
      <c r="V29" s="30">
        <f>T29+U29-O29</f>
        <v>0</v>
      </c>
      <c r="W29" s="75"/>
      <c r="X29" s="29"/>
    </row>
    <row r="30" spans="1:24">
      <c r="A30" s="170" t="s">
        <v>43</v>
      </c>
      <c r="B30" s="171"/>
      <c r="C30" s="172"/>
      <c r="D30" s="82">
        <f>E30/24</f>
        <v>62</v>
      </c>
      <c r="E30" s="3">
        <v>1488</v>
      </c>
      <c r="F30" s="82">
        <f>G30/24</f>
        <v>206</v>
      </c>
      <c r="G30" s="3">
        <f>'[2]June 2021'!$I$30</f>
        <v>4944</v>
      </c>
      <c r="H30" s="25">
        <f>I30/24</f>
        <v>45</v>
      </c>
      <c r="I30" s="28">
        <v>1080</v>
      </c>
      <c r="J30" s="1">
        <f t="shared" si="8"/>
        <v>10</v>
      </c>
      <c r="K30" s="3">
        <f>120+120</f>
        <v>240</v>
      </c>
      <c r="L30" s="1">
        <f>M30/24</f>
        <v>213</v>
      </c>
      <c r="M30" s="3">
        <v>5112</v>
      </c>
      <c r="N30" s="25">
        <f>O30/24</f>
        <v>0</v>
      </c>
      <c r="O30" s="36">
        <f t="shared" ref="O30:O31" si="10">E30+G30-I30-K30-M30</f>
        <v>0</v>
      </c>
      <c r="T30" s="4">
        <v>0</v>
      </c>
      <c r="U30" s="8">
        <v>0</v>
      </c>
      <c r="V30" s="35">
        <f>T30+U30-O30</f>
        <v>0</v>
      </c>
      <c r="W30" s="75"/>
      <c r="X30" s="29"/>
    </row>
    <row r="31" spans="1:24" ht="15.75" thickBot="1">
      <c r="A31" s="170" t="s">
        <v>17</v>
      </c>
      <c r="B31" s="171"/>
      <c r="C31" s="172"/>
      <c r="D31" s="82">
        <f>E31/24</f>
        <v>414</v>
      </c>
      <c r="E31" s="3">
        <v>9936</v>
      </c>
      <c r="F31" s="82">
        <f>G31/24</f>
        <v>1732</v>
      </c>
      <c r="G31" s="3">
        <f>'[2]June 2021'!$J$30</f>
        <v>41568</v>
      </c>
      <c r="H31" s="25">
        <f>I31/24</f>
        <v>375</v>
      </c>
      <c r="I31" s="28">
        <v>9000</v>
      </c>
      <c r="J31" s="1">
        <f t="shared" si="8"/>
        <v>330</v>
      </c>
      <c r="K31" s="3">
        <f>7920</f>
        <v>7920</v>
      </c>
      <c r="L31" s="1">
        <f t="shared" si="9"/>
        <v>1410</v>
      </c>
      <c r="M31" s="3">
        <v>33840</v>
      </c>
      <c r="N31" s="25">
        <f>O31/24</f>
        <v>31</v>
      </c>
      <c r="O31" s="36">
        <f t="shared" si="10"/>
        <v>744</v>
      </c>
      <c r="T31" s="4">
        <v>744</v>
      </c>
      <c r="U31" s="8">
        <f>0*24</f>
        <v>0</v>
      </c>
      <c r="V31" s="35">
        <f>T31+U31-O31</f>
        <v>0</v>
      </c>
      <c r="W31" s="75"/>
      <c r="X31" s="29"/>
    </row>
    <row r="32" spans="1:24" ht="15.75" thickBot="1">
      <c r="A32" s="161" t="s">
        <v>38</v>
      </c>
      <c r="B32" s="162"/>
      <c r="C32" s="163"/>
      <c r="D32" s="84">
        <f t="shared" ref="D32:O32" si="11">SUM(D29:D31)</f>
        <v>530</v>
      </c>
      <c r="E32" s="78">
        <f t="shared" si="11"/>
        <v>12720</v>
      </c>
      <c r="F32" s="84">
        <f t="shared" si="11"/>
        <v>2382</v>
      </c>
      <c r="G32" s="78">
        <f t="shared" si="11"/>
        <v>57168</v>
      </c>
      <c r="H32" s="79">
        <f t="shared" si="11"/>
        <v>490</v>
      </c>
      <c r="I32" s="80">
        <f t="shared" si="11"/>
        <v>11760</v>
      </c>
      <c r="J32" s="84">
        <f t="shared" si="11"/>
        <v>370</v>
      </c>
      <c r="K32" s="78">
        <f t="shared" si="11"/>
        <v>8880</v>
      </c>
      <c r="L32" s="84">
        <f t="shared" si="11"/>
        <v>1998</v>
      </c>
      <c r="M32" s="78">
        <f t="shared" si="11"/>
        <v>47952</v>
      </c>
      <c r="N32" s="84">
        <f t="shared" si="11"/>
        <v>54</v>
      </c>
      <c r="O32" s="78">
        <f t="shared" si="11"/>
        <v>1296</v>
      </c>
      <c r="T32" s="17"/>
      <c r="U32" s="18"/>
      <c r="V32" s="30"/>
      <c r="W32" s="75"/>
      <c r="X32" s="29"/>
    </row>
    <row r="33" spans="1:24">
      <c r="A33" s="155" t="s">
        <v>19</v>
      </c>
      <c r="B33" s="156"/>
      <c r="C33" s="157"/>
      <c r="D33" s="85">
        <f>E33/12</f>
        <v>184</v>
      </c>
      <c r="E33" s="14">
        <v>2208</v>
      </c>
      <c r="F33" s="85">
        <f>G33/12</f>
        <v>912</v>
      </c>
      <c r="G33" s="14">
        <f>'[2]June 2021'!$K$30</f>
        <v>10944</v>
      </c>
      <c r="H33" s="23">
        <f>I33/12</f>
        <v>30</v>
      </c>
      <c r="I33" s="26">
        <v>360</v>
      </c>
      <c r="J33" s="15">
        <f t="shared" ref="J33:J34" si="12">K33/12</f>
        <v>70</v>
      </c>
      <c r="K33" s="10">
        <f>840</f>
        <v>840</v>
      </c>
      <c r="L33" s="15">
        <f t="shared" ref="L33:L34" si="13">M33/12</f>
        <v>987</v>
      </c>
      <c r="M33" s="10">
        <v>11844</v>
      </c>
      <c r="N33" s="23">
        <f>O33/12</f>
        <v>9</v>
      </c>
      <c r="O33" s="36">
        <f>E33+G33-I33-K33-M33</f>
        <v>108</v>
      </c>
      <c r="T33" s="5">
        <v>12</v>
      </c>
      <c r="U33" s="16">
        <f>0*12</f>
        <v>0</v>
      </c>
      <c r="V33" s="30">
        <f>T33+U33-O33</f>
        <v>-96</v>
      </c>
      <c r="W33" s="86"/>
      <c r="X33" s="29"/>
    </row>
    <row r="34" spans="1:24" ht="15.75" thickBot="1">
      <c r="A34" s="158" t="s">
        <v>20</v>
      </c>
      <c r="B34" s="159"/>
      <c r="C34" s="160"/>
      <c r="D34" s="76">
        <f>E34/12</f>
        <v>150</v>
      </c>
      <c r="E34" s="12">
        <v>1800</v>
      </c>
      <c r="F34" s="76">
        <f>G34/12</f>
        <v>51</v>
      </c>
      <c r="G34" s="12">
        <f>'[2]June 2021'!$L$30</f>
        <v>612</v>
      </c>
      <c r="H34" s="24">
        <f>I34/12</f>
        <v>0</v>
      </c>
      <c r="I34" s="33">
        <v>0</v>
      </c>
      <c r="J34" s="13">
        <f t="shared" si="12"/>
        <v>0</v>
      </c>
      <c r="K34" s="12">
        <v>0</v>
      </c>
      <c r="L34" s="13">
        <f t="shared" si="13"/>
        <v>201</v>
      </c>
      <c r="M34" s="12">
        <f>1800+612</f>
        <v>2412</v>
      </c>
      <c r="N34" s="24">
        <f>O34/12</f>
        <v>0</v>
      </c>
      <c r="O34" s="36">
        <f>E34+G34-I34-K34-M34</f>
        <v>0</v>
      </c>
      <c r="T34" s="4">
        <v>0</v>
      </c>
      <c r="U34" s="22">
        <v>0</v>
      </c>
      <c r="V34" s="35">
        <f>T34+U34-O34</f>
        <v>0</v>
      </c>
      <c r="W34" s="75"/>
      <c r="X34" s="29"/>
    </row>
    <row r="35" spans="1:24" ht="15.75" thickBot="1">
      <c r="A35" s="161" t="s">
        <v>39</v>
      </c>
      <c r="B35" s="162"/>
      <c r="C35" s="163"/>
      <c r="D35" s="84">
        <f>SUM(D33:D34)</f>
        <v>334</v>
      </c>
      <c r="E35" s="78">
        <f t="shared" ref="E35:H35" si="14">SUM(E33:E34)</f>
        <v>4008</v>
      </c>
      <c r="F35" s="84">
        <f t="shared" si="14"/>
        <v>963</v>
      </c>
      <c r="G35" s="78">
        <f t="shared" si="14"/>
        <v>11556</v>
      </c>
      <c r="H35" s="79">
        <f t="shared" si="14"/>
        <v>30</v>
      </c>
      <c r="I35" s="80">
        <f>SUM(I33:I34)</f>
        <v>360</v>
      </c>
      <c r="J35" s="84">
        <f t="shared" ref="J35:O35" si="15">SUM(J33:J34)</f>
        <v>70</v>
      </c>
      <c r="K35" s="78">
        <f t="shared" si="15"/>
        <v>840</v>
      </c>
      <c r="L35" s="84">
        <f t="shared" si="15"/>
        <v>1188</v>
      </c>
      <c r="M35" s="78">
        <f t="shared" si="15"/>
        <v>14256</v>
      </c>
      <c r="N35" s="84">
        <f t="shared" si="15"/>
        <v>9</v>
      </c>
      <c r="O35" s="78">
        <f t="shared" si="15"/>
        <v>108</v>
      </c>
      <c r="T35" s="19"/>
      <c r="U35" s="20"/>
      <c r="V35" s="34"/>
      <c r="X35" s="29"/>
    </row>
    <row r="36" spans="1:24" ht="15.75" thickBot="1">
      <c r="A36" s="164" t="s">
        <v>21</v>
      </c>
      <c r="B36" s="165"/>
      <c r="C36" s="166"/>
      <c r="D36" s="87">
        <f t="shared" ref="D36:O36" si="16">D21+D22+D24+D25+D26+D27+D29+D30+D31+D33+D34</f>
        <v>1485</v>
      </c>
      <c r="E36" s="87">
        <f t="shared" si="16"/>
        <v>34034</v>
      </c>
      <c r="F36" s="87">
        <f t="shared" si="16"/>
        <v>4679</v>
      </c>
      <c r="G36" s="87">
        <f t="shared" si="16"/>
        <v>106818</v>
      </c>
      <c r="H36" s="87">
        <f t="shared" si="16"/>
        <v>725</v>
      </c>
      <c r="I36" s="87">
        <f>I21+I22+I24+I25+I26+I27+I29+I30+I31+I33+I34</f>
        <v>17610</v>
      </c>
      <c r="J36" s="87">
        <f t="shared" si="16"/>
        <v>720</v>
      </c>
      <c r="K36" s="87">
        <f t="shared" si="16"/>
        <v>16940</v>
      </c>
      <c r="L36" s="87">
        <f t="shared" si="16"/>
        <v>4556</v>
      </c>
      <c r="M36" s="87">
        <f t="shared" si="16"/>
        <v>102514</v>
      </c>
      <c r="N36" s="87">
        <f t="shared" si="16"/>
        <v>148</v>
      </c>
      <c r="O36" s="87">
        <f t="shared" si="16"/>
        <v>3788</v>
      </c>
      <c r="T36" s="88">
        <f>SUM(T21:T34)</f>
        <v>3608</v>
      </c>
      <c r="U36" s="89">
        <f>SUM(U21:U34)</f>
        <v>234</v>
      </c>
      <c r="V36" s="31">
        <f>T36+U36-O36</f>
        <v>54</v>
      </c>
      <c r="X36" s="29"/>
    </row>
    <row r="37" spans="1:24" ht="9" customHeight="1">
      <c r="V37" s="32"/>
    </row>
    <row r="38" spans="1:24">
      <c r="W38" s="29"/>
    </row>
    <row r="40" spans="1:24">
      <c r="P40" s="75"/>
    </row>
    <row r="41" spans="1:24">
      <c r="G41" s="29"/>
    </row>
    <row r="42" spans="1:24" ht="18.75">
      <c r="P42" s="90"/>
    </row>
  </sheetData>
  <mergeCells count="91">
    <mergeCell ref="A7:R7"/>
    <mergeCell ref="A1:R1"/>
    <mergeCell ref="A2:R2"/>
    <mergeCell ref="A3:L3"/>
    <mergeCell ref="A4:B5"/>
    <mergeCell ref="C4:D4"/>
    <mergeCell ref="F4:F5"/>
    <mergeCell ref="H4:J4"/>
    <mergeCell ref="K4:L4"/>
    <mergeCell ref="C5:D5"/>
    <mergeCell ref="H5:J5"/>
    <mergeCell ref="K5:L5"/>
    <mergeCell ref="A6:B6"/>
    <mergeCell ref="C6:D6"/>
    <mergeCell ref="H6:J6"/>
    <mergeCell ref="K6:L6"/>
    <mergeCell ref="L9:M9"/>
    <mergeCell ref="N9:O9"/>
    <mergeCell ref="A8:A9"/>
    <mergeCell ref="B8:C8"/>
    <mergeCell ref="D8:D9"/>
    <mergeCell ref="E8:F9"/>
    <mergeCell ref="G8:G9"/>
    <mergeCell ref="H8:H9"/>
    <mergeCell ref="J8:K8"/>
    <mergeCell ref="L8:M8"/>
    <mergeCell ref="N8:O8"/>
    <mergeCell ref="P8:P9"/>
    <mergeCell ref="Q8:R9"/>
    <mergeCell ref="Q11:R11"/>
    <mergeCell ref="B10:C10"/>
    <mergeCell ref="E10:F10"/>
    <mergeCell ref="J10:K10"/>
    <mergeCell ref="L10:M10"/>
    <mergeCell ref="N10:O10"/>
    <mergeCell ref="Q10:R10"/>
    <mergeCell ref="B11:C11"/>
    <mergeCell ref="E11:F11"/>
    <mergeCell ref="J11:K11"/>
    <mergeCell ref="L11:M11"/>
    <mergeCell ref="N11:O11"/>
    <mergeCell ref="B9:C9"/>
    <mergeCell ref="J9:K9"/>
    <mergeCell ref="Q13:R13"/>
    <mergeCell ref="B12:C12"/>
    <mergeCell ref="E12:F12"/>
    <mergeCell ref="J12:K12"/>
    <mergeCell ref="L12:M12"/>
    <mergeCell ref="N12:O12"/>
    <mergeCell ref="Q12:R12"/>
    <mergeCell ref="B13:C13"/>
    <mergeCell ref="E13:F13"/>
    <mergeCell ref="J13:K13"/>
    <mergeCell ref="L13:M13"/>
    <mergeCell ref="N13:O13"/>
    <mergeCell ref="B14:C14"/>
    <mergeCell ref="E14:F14"/>
    <mergeCell ref="J14:K14"/>
    <mergeCell ref="L14:M14"/>
    <mergeCell ref="Q14:R14"/>
    <mergeCell ref="A26:C26"/>
    <mergeCell ref="Q15:R15"/>
    <mergeCell ref="A17:C20"/>
    <mergeCell ref="D17:O17"/>
    <mergeCell ref="D18:E19"/>
    <mergeCell ref="F18:G19"/>
    <mergeCell ref="H18:K18"/>
    <mergeCell ref="L18:M19"/>
    <mergeCell ref="N18:O19"/>
    <mergeCell ref="H19:I19"/>
    <mergeCell ref="J19:K19"/>
    <mergeCell ref="B15:C15"/>
    <mergeCell ref="E15:F15"/>
    <mergeCell ref="J15:K15"/>
    <mergeCell ref="L15:M15"/>
    <mergeCell ref="N15:O15"/>
    <mergeCell ref="A21:C21"/>
    <mergeCell ref="A22:C22"/>
    <mergeCell ref="A23:C23"/>
    <mergeCell ref="A24:C24"/>
    <mergeCell ref="A25:C25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32:C32"/>
  </mergeCells>
  <pageMargins left="0.23" right="0.25" top="0.28000000000000003" bottom="0.22" header="0.22" footer="0.15"/>
  <pageSetup paperSize="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2"/>
  <sheetViews>
    <sheetView topLeftCell="A16" zoomScaleNormal="100" workbookViewId="0">
      <selection activeCell="A17" sqref="A17:O36"/>
    </sheetView>
  </sheetViews>
  <sheetFormatPr defaultRowHeight="15"/>
  <cols>
    <col min="1" max="1" width="16.7109375" style="2" customWidth="1"/>
    <col min="2" max="2" width="6" style="2" customWidth="1"/>
    <col min="3" max="3" width="2.5703125" style="2" customWidth="1"/>
    <col min="4" max="4" width="8" style="2" customWidth="1"/>
    <col min="5" max="5" width="8.28515625" style="2" bestFit="1" customWidth="1"/>
    <col min="6" max="6" width="6.140625" style="2" customWidth="1"/>
    <col min="7" max="7" width="8" style="2" customWidth="1"/>
    <col min="8" max="8" width="6.7109375" style="2" customWidth="1"/>
    <col min="9" max="9" width="7.140625" style="2" bestFit="1" customWidth="1"/>
    <col min="10" max="10" width="6.7109375" style="2" customWidth="1"/>
    <col min="11" max="11" width="6" style="2" customWidth="1"/>
    <col min="12" max="12" width="5.28515625" style="2" customWidth="1"/>
    <col min="13" max="13" width="7" style="2" customWidth="1"/>
    <col min="14" max="14" width="6.42578125" style="2" customWidth="1"/>
    <col min="15" max="15" width="7.28515625" style="2" customWidth="1"/>
    <col min="16" max="16" width="9.140625" style="2" customWidth="1"/>
    <col min="17" max="17" width="7.85546875" style="2" customWidth="1"/>
    <col min="18" max="19" width="6" style="2" customWidth="1"/>
    <col min="20" max="20" width="7.42578125" style="2" bestFit="1" customWidth="1"/>
    <col min="21" max="23" width="12.5703125" style="2" bestFit="1" customWidth="1"/>
    <col min="24" max="24" width="9.140625" style="2"/>
    <col min="25" max="25" width="12.5703125" style="2" bestFit="1" customWidth="1"/>
    <col min="26" max="16384" width="9.140625" style="2"/>
  </cols>
  <sheetData>
    <row r="1" spans="1:24" ht="18.75">
      <c r="A1" s="223" t="s">
        <v>64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24"/>
    </row>
    <row r="2" spans="1:24" ht="15.75" thickBo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25"/>
    </row>
    <row r="3" spans="1:24" ht="15.75" thickBot="1">
      <c r="A3" s="225" t="s">
        <v>65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195"/>
      <c r="M3" s="55"/>
    </row>
    <row r="4" spans="1:24">
      <c r="A4" s="227"/>
      <c r="B4" s="228"/>
      <c r="C4" s="231" t="s">
        <v>46</v>
      </c>
      <c r="D4" s="232"/>
      <c r="E4" s="56" t="s">
        <v>0</v>
      </c>
      <c r="F4" s="233" t="s">
        <v>24</v>
      </c>
      <c r="G4" s="126" t="s">
        <v>1</v>
      </c>
      <c r="H4" s="227" t="s">
        <v>2</v>
      </c>
      <c r="I4" s="235"/>
      <c r="J4" s="228"/>
      <c r="K4" s="231" t="s">
        <v>3</v>
      </c>
      <c r="L4" s="232"/>
      <c r="M4" s="55"/>
    </row>
    <row r="5" spans="1:24" ht="15.75" thickBot="1">
      <c r="A5" s="229"/>
      <c r="B5" s="230"/>
      <c r="C5" s="236" t="s">
        <v>4</v>
      </c>
      <c r="D5" s="237"/>
      <c r="E5" s="57" t="s">
        <v>5</v>
      </c>
      <c r="F5" s="234"/>
      <c r="G5" s="128"/>
      <c r="H5" s="210" t="s">
        <v>5</v>
      </c>
      <c r="I5" s="211"/>
      <c r="J5" s="212"/>
      <c r="K5" s="236" t="s">
        <v>5</v>
      </c>
      <c r="L5" s="237"/>
      <c r="M5" s="55"/>
      <c r="U5" s="29"/>
      <c r="V5" s="29"/>
    </row>
    <row r="6" spans="1:24" ht="15.75" thickBot="1">
      <c r="A6" s="238"/>
      <c r="B6" s="239"/>
      <c r="C6" s="240">
        <v>326076.09999999998</v>
      </c>
      <c r="D6" s="241"/>
      <c r="E6" s="54"/>
      <c r="F6" s="132"/>
      <c r="G6" s="129">
        <f>C6+E6+F6</f>
        <v>326076.09999999998</v>
      </c>
      <c r="H6" s="240">
        <f>G15</f>
        <v>285924.29999999993</v>
      </c>
      <c r="I6" s="196"/>
      <c r="J6" s="241"/>
      <c r="K6" s="176">
        <f>G6-H6</f>
        <v>40151.800000000047</v>
      </c>
      <c r="L6" s="177"/>
      <c r="M6" s="55"/>
      <c r="O6" s="29"/>
      <c r="Q6" s="29"/>
    </row>
    <row r="7" spans="1:24" ht="13.5" customHeight="1" thickBot="1">
      <c r="A7" s="222" t="s">
        <v>63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121"/>
      <c r="V7" s="29"/>
    </row>
    <row r="8" spans="1:24" ht="22.5" customHeight="1">
      <c r="A8" s="215" t="s">
        <v>6</v>
      </c>
      <c r="B8" s="217" t="s">
        <v>46</v>
      </c>
      <c r="C8" s="218"/>
      <c r="D8" s="202" t="s">
        <v>41</v>
      </c>
      <c r="E8" s="204" t="s">
        <v>40</v>
      </c>
      <c r="F8" s="205"/>
      <c r="G8" s="202" t="s">
        <v>22</v>
      </c>
      <c r="H8" s="202" t="s">
        <v>23</v>
      </c>
      <c r="I8" s="131" t="s">
        <v>44</v>
      </c>
      <c r="J8" s="218" t="s">
        <v>1</v>
      </c>
      <c r="K8" s="219"/>
      <c r="L8" s="217" t="s">
        <v>7</v>
      </c>
      <c r="M8" s="218"/>
      <c r="N8" s="220" t="s">
        <v>3</v>
      </c>
      <c r="O8" s="221"/>
      <c r="P8" s="202" t="s">
        <v>42</v>
      </c>
      <c r="Q8" s="204" t="s">
        <v>35</v>
      </c>
      <c r="R8" s="205"/>
      <c r="S8" s="122"/>
    </row>
    <row r="9" spans="1:24" ht="19.5" customHeight="1" thickBot="1">
      <c r="A9" s="216"/>
      <c r="B9" s="210" t="s">
        <v>5</v>
      </c>
      <c r="C9" s="211"/>
      <c r="D9" s="203"/>
      <c r="E9" s="206"/>
      <c r="F9" s="207"/>
      <c r="G9" s="203"/>
      <c r="H9" s="203"/>
      <c r="I9" s="127" t="s">
        <v>45</v>
      </c>
      <c r="J9" s="211" t="s">
        <v>5</v>
      </c>
      <c r="K9" s="212"/>
      <c r="L9" s="210" t="s">
        <v>5</v>
      </c>
      <c r="M9" s="211"/>
      <c r="N9" s="213" t="s">
        <v>5</v>
      </c>
      <c r="O9" s="214"/>
      <c r="P9" s="203"/>
      <c r="Q9" s="206"/>
      <c r="R9" s="207"/>
      <c r="S9" s="122"/>
    </row>
    <row r="10" spans="1:24" ht="15.75" customHeight="1" thickBot="1">
      <c r="A10" s="58" t="s">
        <v>8</v>
      </c>
      <c r="B10" s="176">
        <v>38171.75</v>
      </c>
      <c r="C10" s="196"/>
      <c r="D10" s="60">
        <v>8144.79</v>
      </c>
      <c r="E10" s="176">
        <f>B10-D10</f>
        <v>30026.959999999999</v>
      </c>
      <c r="F10" s="177"/>
      <c r="G10" s="130">
        <v>113109.9</v>
      </c>
      <c r="H10" s="60">
        <v>463.75</v>
      </c>
      <c r="I10" s="60"/>
      <c r="J10" s="176">
        <f>B10+G10+H10+I10</f>
        <v>151745.4</v>
      </c>
      <c r="K10" s="177"/>
      <c r="L10" s="176">
        <f>G29+G30+G31</f>
        <v>68352</v>
      </c>
      <c r="M10" s="197"/>
      <c r="N10" s="176">
        <f>J10-L10</f>
        <v>83393.399999999994</v>
      </c>
      <c r="O10" s="177"/>
      <c r="P10" s="60">
        <v>75587.600000000006</v>
      </c>
      <c r="Q10" s="176">
        <f>N10-P10</f>
        <v>7805.7999999999884</v>
      </c>
      <c r="R10" s="201"/>
      <c r="S10" s="123"/>
      <c r="T10" s="32"/>
    </row>
    <row r="11" spans="1:24" ht="15.75" thickBot="1">
      <c r="A11" s="58" t="s">
        <v>9</v>
      </c>
      <c r="B11" s="176">
        <v>3226.65</v>
      </c>
      <c r="C11" s="196"/>
      <c r="D11" s="60">
        <v>184.09</v>
      </c>
      <c r="E11" s="176">
        <f t="shared" ref="E11:E13" si="0">B11-D11</f>
        <v>3042.56</v>
      </c>
      <c r="F11" s="177"/>
      <c r="G11" s="130">
        <v>18143.8</v>
      </c>
      <c r="H11" s="60">
        <v>74.39</v>
      </c>
      <c r="I11" s="60"/>
      <c r="J11" s="176">
        <f>B11+G11+H11+I11</f>
        <v>21444.84</v>
      </c>
      <c r="K11" s="177"/>
      <c r="L11" s="176">
        <f>SUM(G21:G22)</f>
        <v>4944</v>
      </c>
      <c r="M11" s="197"/>
      <c r="N11" s="208">
        <f>J11-L11</f>
        <v>16500.84</v>
      </c>
      <c r="O11" s="209"/>
      <c r="P11" s="60">
        <f>3023*5</f>
        <v>15115</v>
      </c>
      <c r="Q11" s="176">
        <f>N11-P11</f>
        <v>1385.8400000000001</v>
      </c>
      <c r="R11" s="201"/>
      <c r="S11" s="123"/>
      <c r="T11" s="32"/>
    </row>
    <row r="12" spans="1:24" ht="15.75" customHeight="1" thickBot="1">
      <c r="A12" s="58" t="s">
        <v>10</v>
      </c>
      <c r="B12" s="176">
        <v>17842.400000000001</v>
      </c>
      <c r="C12" s="196"/>
      <c r="D12" s="60">
        <v>2974.4</v>
      </c>
      <c r="E12" s="176">
        <f t="shared" si="0"/>
        <v>14868.000000000002</v>
      </c>
      <c r="F12" s="177"/>
      <c r="G12" s="130">
        <v>9214.7999999999993</v>
      </c>
      <c r="H12" s="60"/>
      <c r="I12" s="60"/>
      <c r="J12" s="176">
        <f>B12+G12+H12+I12</f>
        <v>27057.200000000001</v>
      </c>
      <c r="K12" s="177"/>
      <c r="L12" s="176">
        <f>SUM(G33:G34)</f>
        <v>10608</v>
      </c>
      <c r="M12" s="201"/>
      <c r="N12" s="176">
        <f>J12-L12</f>
        <v>16449.2</v>
      </c>
      <c r="O12" s="177"/>
      <c r="P12" s="60">
        <v>15216</v>
      </c>
      <c r="Q12" s="176">
        <f>N12-P12</f>
        <v>1233.2000000000007</v>
      </c>
      <c r="R12" s="201"/>
      <c r="S12" s="123"/>
    </row>
    <row r="13" spans="1:24" ht="15.75" thickBot="1">
      <c r="A13" s="58" t="s">
        <v>30</v>
      </c>
      <c r="B13" s="176">
        <v>6196.07</v>
      </c>
      <c r="C13" s="196"/>
      <c r="D13" s="60">
        <v>6196.07</v>
      </c>
      <c r="E13" s="176">
        <f t="shared" si="0"/>
        <v>0</v>
      </c>
      <c r="F13" s="177"/>
      <c r="G13" s="135">
        <v>145455.79999999999</v>
      </c>
      <c r="H13" s="60">
        <v>596.37</v>
      </c>
      <c r="I13" s="60"/>
      <c r="J13" s="176">
        <f>B13+G13+H13+I13</f>
        <v>152248.24</v>
      </c>
      <c r="K13" s="177"/>
      <c r="L13" s="176">
        <f>G24+G25+G26+G27</f>
        <v>45088</v>
      </c>
      <c r="M13" s="201"/>
      <c r="N13" s="176">
        <f>J13-L13</f>
        <v>107160.23999999999</v>
      </c>
      <c r="O13" s="177"/>
      <c r="P13" s="60">
        <f>71881.3+27000</f>
        <v>98881.3</v>
      </c>
      <c r="Q13" s="176">
        <f>N13-P13</f>
        <v>8278.9399999999878</v>
      </c>
      <c r="R13" s="201"/>
      <c r="S13" s="123"/>
      <c r="W13" s="29"/>
      <c r="X13" s="29"/>
    </row>
    <row r="14" spans="1:24" ht="15.75" customHeight="1" thickBot="1">
      <c r="A14" s="58"/>
      <c r="B14" s="198"/>
      <c r="C14" s="199"/>
      <c r="D14" s="61"/>
      <c r="E14" s="198"/>
      <c r="F14" s="200"/>
      <c r="G14" s="130"/>
      <c r="H14" s="60"/>
      <c r="I14" s="60"/>
      <c r="J14" s="196"/>
      <c r="K14" s="177"/>
      <c r="L14" s="176"/>
      <c r="M14" s="177"/>
      <c r="N14" s="62"/>
      <c r="O14" s="63"/>
      <c r="P14" s="60"/>
      <c r="Q14" s="176"/>
      <c r="R14" s="201"/>
      <c r="S14" s="123"/>
      <c r="U14" s="64"/>
    </row>
    <row r="15" spans="1:24" ht="15.75" thickBot="1">
      <c r="A15" s="59" t="s">
        <v>1</v>
      </c>
      <c r="B15" s="176">
        <f>SUM(B10:C14)</f>
        <v>65436.87</v>
      </c>
      <c r="C15" s="177"/>
      <c r="D15" s="60">
        <f>SUM(D10:D14)</f>
        <v>17499.349999999999</v>
      </c>
      <c r="E15" s="176">
        <f>SUM(E10:F14)</f>
        <v>47937.52</v>
      </c>
      <c r="F15" s="195"/>
      <c r="G15" s="130">
        <f>SUM(G10:G14)</f>
        <v>285924.29999999993</v>
      </c>
      <c r="H15" s="60">
        <f>SUM(H10:H14)</f>
        <v>1134.51</v>
      </c>
      <c r="I15" s="60">
        <f>SUM(I10:I14)</f>
        <v>0</v>
      </c>
      <c r="J15" s="196">
        <f>SUM(J10:K14)</f>
        <v>352495.68</v>
      </c>
      <c r="K15" s="177"/>
      <c r="L15" s="176">
        <f>SUM(L10:M14)</f>
        <v>128992</v>
      </c>
      <c r="M15" s="197"/>
      <c r="N15" s="176">
        <f>SUM(N10:O14)</f>
        <v>223503.68</v>
      </c>
      <c r="O15" s="177"/>
      <c r="P15" s="60">
        <f>SUM(P10:P14)</f>
        <v>204799.90000000002</v>
      </c>
      <c r="Q15" s="176">
        <f>SUM(Q10:R13)</f>
        <v>18703.779999999977</v>
      </c>
      <c r="R15" s="177"/>
      <c r="S15" s="121"/>
      <c r="T15" s="29"/>
    </row>
    <row r="16" spans="1:24" ht="6.75" customHeight="1" thickBot="1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24" ht="15.75" customHeight="1" thickBot="1">
      <c r="A17" s="178" t="s">
        <v>11</v>
      </c>
      <c r="B17" s="179"/>
      <c r="C17" s="179"/>
      <c r="D17" s="186" t="s">
        <v>62</v>
      </c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8"/>
      <c r="P17" s="68"/>
      <c r="Q17" s="68"/>
      <c r="R17" s="68"/>
      <c r="S17" s="68"/>
      <c r="T17" s="68"/>
    </row>
    <row r="18" spans="1:24" ht="15.75" customHeight="1" thickBot="1">
      <c r="A18" s="180"/>
      <c r="B18" s="181"/>
      <c r="C18" s="182"/>
      <c r="D18" s="189" t="s">
        <v>46</v>
      </c>
      <c r="E18" s="190"/>
      <c r="F18" s="189" t="s">
        <v>7</v>
      </c>
      <c r="G18" s="190"/>
      <c r="H18" s="193" t="s">
        <v>32</v>
      </c>
      <c r="I18" s="194"/>
      <c r="J18" s="194"/>
      <c r="K18" s="194"/>
      <c r="L18" s="189" t="s">
        <v>31</v>
      </c>
      <c r="M18" s="190"/>
      <c r="N18" s="189" t="s">
        <v>12</v>
      </c>
      <c r="O18" s="190"/>
    </row>
    <row r="19" spans="1:24" ht="15.75" customHeight="1" thickBot="1">
      <c r="A19" s="180"/>
      <c r="B19" s="181"/>
      <c r="C19" s="182"/>
      <c r="D19" s="191"/>
      <c r="E19" s="192"/>
      <c r="F19" s="189"/>
      <c r="G19" s="190"/>
      <c r="H19" s="186" t="s">
        <v>33</v>
      </c>
      <c r="I19" s="187"/>
      <c r="J19" s="186" t="s">
        <v>34</v>
      </c>
      <c r="K19" s="187"/>
      <c r="L19" s="191"/>
      <c r="M19" s="192"/>
      <c r="N19" s="191"/>
      <c r="O19" s="192"/>
    </row>
    <row r="20" spans="1:24" s="71" customFormat="1" ht="15.75" thickBot="1">
      <c r="A20" s="183"/>
      <c r="B20" s="184"/>
      <c r="C20" s="185"/>
      <c r="D20" s="133" t="s">
        <v>26</v>
      </c>
      <c r="E20" s="37" t="s">
        <v>25</v>
      </c>
      <c r="F20" s="69" t="s">
        <v>26</v>
      </c>
      <c r="G20" s="37" t="s">
        <v>25</v>
      </c>
      <c r="H20" s="134" t="s">
        <v>26</v>
      </c>
      <c r="I20" s="37" t="s">
        <v>25</v>
      </c>
      <c r="J20" s="134" t="s">
        <v>26</v>
      </c>
      <c r="K20" s="37" t="s">
        <v>25</v>
      </c>
      <c r="L20" s="37" t="s">
        <v>26</v>
      </c>
      <c r="M20" s="70" t="s">
        <v>25</v>
      </c>
      <c r="N20" s="69" t="s">
        <v>26</v>
      </c>
      <c r="O20" s="37" t="s">
        <v>25</v>
      </c>
      <c r="T20" s="72" t="s">
        <v>27</v>
      </c>
      <c r="U20" s="73" t="s">
        <v>28</v>
      </c>
      <c r="V20" s="37" t="s">
        <v>29</v>
      </c>
    </row>
    <row r="21" spans="1:24">
      <c r="A21" s="155" t="s">
        <v>13</v>
      </c>
      <c r="B21" s="156"/>
      <c r="C21" s="157"/>
      <c r="D21" s="74">
        <f>E21/24</f>
        <v>9</v>
      </c>
      <c r="E21" s="10">
        <v>216</v>
      </c>
      <c r="F21" s="74">
        <f>G21/24</f>
        <v>42</v>
      </c>
      <c r="G21" s="10">
        <f>'[2]July 2020'!$B$30</f>
        <v>1008</v>
      </c>
      <c r="H21" s="23">
        <f>I21/24</f>
        <v>30</v>
      </c>
      <c r="I21" s="26">
        <f>720</f>
        <v>720</v>
      </c>
      <c r="J21" s="11">
        <f>K21/24</f>
        <v>11</v>
      </c>
      <c r="K21" s="10">
        <f>264</f>
        <v>264</v>
      </c>
      <c r="L21" s="11">
        <f>M21/24</f>
        <v>4</v>
      </c>
      <c r="M21" s="10">
        <f>48+48</f>
        <v>96</v>
      </c>
      <c r="N21" s="23">
        <f>O21/24</f>
        <v>6</v>
      </c>
      <c r="O21" s="36">
        <f>E21+G21-I21-K21-M21</f>
        <v>144</v>
      </c>
      <c r="T21" s="5">
        <v>168</v>
      </c>
      <c r="U21" s="7">
        <v>0</v>
      </c>
      <c r="V21" s="30">
        <f>T21+U21-O21</f>
        <v>24</v>
      </c>
      <c r="W21" s="75"/>
      <c r="X21" s="29"/>
    </row>
    <row r="22" spans="1:24" ht="15.75" thickBot="1">
      <c r="A22" s="158" t="s">
        <v>14</v>
      </c>
      <c r="B22" s="159"/>
      <c r="C22" s="160"/>
      <c r="D22" s="76">
        <f>E22/24</f>
        <v>16</v>
      </c>
      <c r="E22" s="12">
        <v>384</v>
      </c>
      <c r="F22" s="76">
        <f>G22/24</f>
        <v>164</v>
      </c>
      <c r="G22" s="12">
        <f>'[2]July 2020'!$C$30</f>
        <v>3936</v>
      </c>
      <c r="H22" s="24">
        <f>I22/24</f>
        <v>85</v>
      </c>
      <c r="I22" s="33">
        <f>1080+960</f>
        <v>2040</v>
      </c>
      <c r="J22" s="13">
        <f>K22/24</f>
        <v>70</v>
      </c>
      <c r="K22" s="12">
        <f>720+960</f>
        <v>1680</v>
      </c>
      <c r="L22" s="13">
        <f>M22/24</f>
        <v>25</v>
      </c>
      <c r="M22" s="12">
        <f>72+48+48+24+72+24+24+48+24+48+72+96</f>
        <v>600</v>
      </c>
      <c r="N22" s="24">
        <f>O22/24</f>
        <v>0</v>
      </c>
      <c r="O22" s="36">
        <f>E22+G22-I22-K22-M22</f>
        <v>0</v>
      </c>
      <c r="T22" s="6">
        <v>24</v>
      </c>
      <c r="U22" s="9">
        <v>0</v>
      </c>
      <c r="V22" s="34">
        <f>T22-O22</f>
        <v>24</v>
      </c>
      <c r="W22" s="75"/>
      <c r="X22" s="29"/>
    </row>
    <row r="23" spans="1:24" ht="15.75" thickBot="1">
      <c r="A23" s="161" t="s">
        <v>36</v>
      </c>
      <c r="B23" s="162"/>
      <c r="C23" s="163"/>
      <c r="D23" s="77">
        <f>SUM(D21:D22)</f>
        <v>25</v>
      </c>
      <c r="E23" s="78">
        <f t="shared" ref="E23:H23" si="1">SUM(E21:E22)</f>
        <v>600</v>
      </c>
      <c r="F23" s="77">
        <f t="shared" si="1"/>
        <v>206</v>
      </c>
      <c r="G23" s="78">
        <f t="shared" si="1"/>
        <v>4944</v>
      </c>
      <c r="H23" s="79">
        <f t="shared" si="1"/>
        <v>115</v>
      </c>
      <c r="I23" s="80">
        <f>SUM(I21:I22)</f>
        <v>2760</v>
      </c>
      <c r="J23" s="77">
        <f t="shared" ref="J23:O23" si="2">SUM(J21:J22)</f>
        <v>81</v>
      </c>
      <c r="K23" s="78">
        <f t="shared" si="2"/>
        <v>1944</v>
      </c>
      <c r="L23" s="77">
        <f t="shared" si="2"/>
        <v>29</v>
      </c>
      <c r="M23" s="78">
        <f t="shared" si="2"/>
        <v>696</v>
      </c>
      <c r="N23" s="77">
        <f t="shared" si="2"/>
        <v>6</v>
      </c>
      <c r="O23" s="78">
        <f t="shared" si="2"/>
        <v>144</v>
      </c>
      <c r="T23" s="45"/>
      <c r="U23" s="48"/>
      <c r="V23" s="30"/>
      <c r="W23" s="75"/>
      <c r="X23" s="29"/>
    </row>
    <row r="24" spans="1:24" ht="15.75" thickBot="1">
      <c r="A24" s="155" t="s">
        <v>15</v>
      </c>
      <c r="B24" s="156"/>
      <c r="C24" s="157"/>
      <c r="D24" s="74">
        <f>E24/30</f>
        <v>58</v>
      </c>
      <c r="E24" s="10">
        <v>1740</v>
      </c>
      <c r="F24" s="74">
        <f>G24/30</f>
        <v>1396</v>
      </c>
      <c r="G24" s="10">
        <f>'[2]July 2020'!$D$30</f>
        <v>41880</v>
      </c>
      <c r="H24" s="23">
        <f>I24/30</f>
        <v>30</v>
      </c>
      <c r="I24" s="10">
        <f>600+300</f>
        <v>900</v>
      </c>
      <c r="J24" s="23">
        <f>K24/30</f>
        <v>22</v>
      </c>
      <c r="K24" s="10">
        <f>660</f>
        <v>660</v>
      </c>
      <c r="L24" s="23">
        <f>M24/30</f>
        <v>1384</v>
      </c>
      <c r="M24" s="10">
        <f>30+900+450+6600+150+60+30+9150+900+750+9450+7800+90+900+450+210+2850+750</f>
        <v>41520</v>
      </c>
      <c r="N24" s="23">
        <f>O24/30</f>
        <v>18</v>
      </c>
      <c r="O24" s="36">
        <f>E24+G24-I24-K24-M24</f>
        <v>540</v>
      </c>
      <c r="T24" s="50">
        <v>540</v>
      </c>
      <c r="U24" s="51">
        <v>0</v>
      </c>
      <c r="V24" s="47">
        <f>T24+U24-O24</f>
        <v>0</v>
      </c>
      <c r="W24" s="75"/>
      <c r="X24" s="29"/>
    </row>
    <row r="25" spans="1:24" ht="15.75" thickBot="1">
      <c r="A25" s="173" t="s">
        <v>18</v>
      </c>
      <c r="B25" s="174"/>
      <c r="C25" s="175"/>
      <c r="D25" s="81">
        <f>E25/24</f>
        <v>0</v>
      </c>
      <c r="E25" s="36">
        <v>0</v>
      </c>
      <c r="F25" s="81">
        <f>G25/24</f>
        <v>31</v>
      </c>
      <c r="G25" s="27">
        <f>'[2]July 2020'!$E$30</f>
        <v>744</v>
      </c>
      <c r="H25" s="39">
        <f>I25/24</f>
        <v>10</v>
      </c>
      <c r="I25" s="27">
        <f>240</f>
        <v>240</v>
      </c>
      <c r="J25" s="40">
        <f t="shared" ref="J25" si="3">K25/24</f>
        <v>0</v>
      </c>
      <c r="K25" s="36">
        <v>0</v>
      </c>
      <c r="L25" s="40">
        <f t="shared" ref="L25" si="4">M25/24</f>
        <v>1</v>
      </c>
      <c r="M25" s="36">
        <f>24</f>
        <v>24</v>
      </c>
      <c r="N25" s="39">
        <f>O25/24</f>
        <v>20</v>
      </c>
      <c r="O25" s="36">
        <f t="shared" ref="O25:O27" si="5">E25+G25-I25-K25-M25</f>
        <v>480</v>
      </c>
      <c r="T25" s="4">
        <v>480</v>
      </c>
      <c r="U25" s="22">
        <v>0</v>
      </c>
      <c r="V25" s="47">
        <f>T25+U25-O25</f>
        <v>0</v>
      </c>
      <c r="W25" s="75"/>
      <c r="X25" s="29"/>
    </row>
    <row r="26" spans="1:24" ht="15.75" thickBot="1">
      <c r="A26" s="170" t="s">
        <v>47</v>
      </c>
      <c r="B26" s="171"/>
      <c r="C26" s="172"/>
      <c r="D26" s="82">
        <f>E26/22</f>
        <v>0</v>
      </c>
      <c r="E26" s="3">
        <v>0</v>
      </c>
      <c r="F26" s="82">
        <f>G26/22</f>
        <v>98</v>
      </c>
      <c r="G26" s="3">
        <f>'[2]July 2020'!$F$30</f>
        <v>2156</v>
      </c>
      <c r="H26" s="42">
        <f>I26/22</f>
        <v>10</v>
      </c>
      <c r="I26" s="28">
        <f>220</f>
        <v>220</v>
      </c>
      <c r="J26" s="1">
        <f>K26/22</f>
        <v>22</v>
      </c>
      <c r="K26" s="3">
        <f>330+154</f>
        <v>484</v>
      </c>
      <c r="L26" s="1">
        <f>M26/22</f>
        <v>66</v>
      </c>
      <c r="M26" s="3">
        <f>22+440+220+220+330+220</f>
        <v>1452</v>
      </c>
      <c r="N26" s="25">
        <f>O26/22</f>
        <v>0</v>
      </c>
      <c r="O26" s="36">
        <f t="shared" si="5"/>
        <v>0</v>
      </c>
      <c r="Q26" s="29"/>
      <c r="R26" s="29"/>
      <c r="S26" s="29"/>
      <c r="T26" s="4">
        <v>0</v>
      </c>
      <c r="U26" s="22">
        <f>0*22</f>
        <v>0</v>
      </c>
      <c r="V26" s="47">
        <f>T26+U26-O26</f>
        <v>0</v>
      </c>
      <c r="W26" s="29"/>
      <c r="X26" s="29"/>
    </row>
    <row r="27" spans="1:24" ht="15.75" thickBot="1">
      <c r="A27" s="167" t="s">
        <v>48</v>
      </c>
      <c r="B27" s="168"/>
      <c r="C27" s="169"/>
      <c r="D27" s="83">
        <f>E27/22</f>
        <v>2</v>
      </c>
      <c r="E27" s="41">
        <v>44</v>
      </c>
      <c r="F27" s="83">
        <f>G27/22</f>
        <v>14</v>
      </c>
      <c r="G27" s="41">
        <f>'[2]July 2020'!$G$30</f>
        <v>308</v>
      </c>
      <c r="H27" s="42">
        <f>I27/22</f>
        <v>0</v>
      </c>
      <c r="I27" s="43">
        <v>0</v>
      </c>
      <c r="J27" s="44">
        <f>K27/22</f>
        <v>8</v>
      </c>
      <c r="K27" s="41">
        <f>176</f>
        <v>176</v>
      </c>
      <c r="L27" s="44">
        <f>M27/22</f>
        <v>8</v>
      </c>
      <c r="M27" s="41">
        <f>22+154</f>
        <v>176</v>
      </c>
      <c r="N27" s="42">
        <f>O27/22</f>
        <v>0</v>
      </c>
      <c r="O27" s="38">
        <f t="shared" si="5"/>
        <v>0</v>
      </c>
      <c r="T27" s="52">
        <v>0</v>
      </c>
      <c r="U27" s="53">
        <f>0*22</f>
        <v>0</v>
      </c>
      <c r="V27" s="47">
        <f>T27+U27-O27</f>
        <v>0</v>
      </c>
      <c r="W27" s="75"/>
      <c r="X27" s="29"/>
    </row>
    <row r="28" spans="1:24" ht="15.75" thickBot="1">
      <c r="A28" s="161" t="s">
        <v>37</v>
      </c>
      <c r="B28" s="162"/>
      <c r="C28" s="163"/>
      <c r="D28" s="79">
        <f t="shared" ref="D28:O28" si="6">SUM(D24:D27)</f>
        <v>60</v>
      </c>
      <c r="E28" s="21">
        <f t="shared" si="6"/>
        <v>1784</v>
      </c>
      <c r="F28" s="79">
        <f t="shared" si="6"/>
        <v>1539</v>
      </c>
      <c r="G28" s="21">
        <f t="shared" si="6"/>
        <v>45088</v>
      </c>
      <c r="H28" s="79">
        <f t="shared" si="6"/>
        <v>50</v>
      </c>
      <c r="I28" s="21">
        <f t="shared" si="6"/>
        <v>1360</v>
      </c>
      <c r="J28" s="79">
        <f t="shared" si="6"/>
        <v>52</v>
      </c>
      <c r="K28" s="21">
        <f t="shared" si="6"/>
        <v>1320</v>
      </c>
      <c r="L28" s="79">
        <f t="shared" si="6"/>
        <v>1459</v>
      </c>
      <c r="M28" s="21">
        <f t="shared" si="6"/>
        <v>43172</v>
      </c>
      <c r="N28" s="79">
        <f t="shared" si="6"/>
        <v>38</v>
      </c>
      <c r="O28" s="21">
        <f t="shared" si="6"/>
        <v>1020</v>
      </c>
      <c r="T28" s="46"/>
      <c r="U28" s="49"/>
      <c r="V28" s="30"/>
      <c r="W28" s="75"/>
      <c r="X28" s="29"/>
    </row>
    <row r="29" spans="1:24">
      <c r="A29" s="155" t="s">
        <v>16</v>
      </c>
      <c r="B29" s="156"/>
      <c r="C29" s="157"/>
      <c r="D29" s="74">
        <f>E29/24</f>
        <v>23</v>
      </c>
      <c r="E29" s="10">
        <v>552</v>
      </c>
      <c r="F29" s="74">
        <f>G29/24</f>
        <v>395</v>
      </c>
      <c r="G29" s="10">
        <f>'[2]July 2020'!$H$30</f>
        <v>9480</v>
      </c>
      <c r="H29" s="23">
        <f>I29/24</f>
        <v>70</v>
      </c>
      <c r="I29" s="26">
        <f>480+240+960</f>
        <v>1680</v>
      </c>
      <c r="J29" s="11">
        <f t="shared" ref="J29:J31" si="7">K29/24</f>
        <v>10</v>
      </c>
      <c r="K29" s="10">
        <f>240</f>
        <v>240</v>
      </c>
      <c r="L29" s="11">
        <f t="shared" ref="L29:L31" si="8">M29/24</f>
        <v>337</v>
      </c>
      <c r="M29" s="10">
        <f>1200+240+840+360+840+1200+600+600+600+600+48+960</f>
        <v>8088</v>
      </c>
      <c r="N29" s="23">
        <f>O29/24</f>
        <v>1</v>
      </c>
      <c r="O29" s="36">
        <f>E29+G29-I29-K29-M29</f>
        <v>24</v>
      </c>
      <c r="T29" s="5">
        <v>24</v>
      </c>
      <c r="U29" s="16">
        <v>0</v>
      </c>
      <c r="V29" s="30">
        <f>T29+U29-O29</f>
        <v>0</v>
      </c>
      <c r="W29" s="75"/>
      <c r="X29" s="29"/>
    </row>
    <row r="30" spans="1:24">
      <c r="A30" s="170" t="s">
        <v>43</v>
      </c>
      <c r="B30" s="171"/>
      <c r="C30" s="172"/>
      <c r="D30" s="82">
        <f>E30/24</f>
        <v>0</v>
      </c>
      <c r="E30" s="3">
        <v>0</v>
      </c>
      <c r="F30" s="82">
        <f>G30/24</f>
        <v>279</v>
      </c>
      <c r="G30" s="3">
        <f>'[2]July 2020'!$I$30</f>
        <v>6696</v>
      </c>
      <c r="H30" s="25">
        <f>I30/24</f>
        <v>70</v>
      </c>
      <c r="I30" s="28">
        <f>480+240+960</f>
        <v>1680</v>
      </c>
      <c r="J30" s="1">
        <f t="shared" si="7"/>
        <v>5</v>
      </c>
      <c r="K30" s="3">
        <f>120</f>
        <v>120</v>
      </c>
      <c r="L30" s="1">
        <f>M30/24</f>
        <v>203</v>
      </c>
      <c r="M30" s="3">
        <f>480+360+240+1200+600+240+240+360+192+960</f>
        <v>4872</v>
      </c>
      <c r="N30" s="25">
        <f>O30/24</f>
        <v>1</v>
      </c>
      <c r="O30" s="36">
        <f t="shared" ref="O30:O31" si="9">E30+G30-I30-K30-M30</f>
        <v>24</v>
      </c>
      <c r="T30" s="4">
        <v>24</v>
      </c>
      <c r="U30" s="8">
        <v>0</v>
      </c>
      <c r="V30" s="35">
        <f>T30+U30-O30</f>
        <v>0</v>
      </c>
      <c r="W30" s="75"/>
      <c r="X30" s="29"/>
    </row>
    <row r="31" spans="1:24" ht="15.75" thickBot="1">
      <c r="A31" s="170" t="s">
        <v>17</v>
      </c>
      <c r="B31" s="171"/>
      <c r="C31" s="172"/>
      <c r="D31" s="82">
        <f>E31/24</f>
        <v>31</v>
      </c>
      <c r="E31" s="3">
        <v>744</v>
      </c>
      <c r="F31" s="82">
        <f>G31/24</f>
        <v>2174</v>
      </c>
      <c r="G31" s="3">
        <f>'[2]July 2020'!$J$30</f>
        <v>52176</v>
      </c>
      <c r="H31" s="25">
        <f>I31/24</f>
        <v>380</v>
      </c>
      <c r="I31" s="28">
        <f>2400+2400+4320</f>
        <v>9120</v>
      </c>
      <c r="J31" s="1">
        <f t="shared" si="7"/>
        <v>300</v>
      </c>
      <c r="K31" s="3">
        <f>3600+3600</f>
        <v>7200</v>
      </c>
      <c r="L31" s="1">
        <f t="shared" si="8"/>
        <v>1514</v>
      </c>
      <c r="M31" s="3">
        <f>120+120+1800+1200+168+72+3600+360+2400+120+24+1800+120+3000+1200+1200+2040+240+3120+480+48+480+2880+1800+1440+480+168+264+120+1920+48+504+3000</f>
        <v>36336</v>
      </c>
      <c r="N31" s="25">
        <f>O31/24</f>
        <v>11</v>
      </c>
      <c r="O31" s="36">
        <f t="shared" si="9"/>
        <v>264</v>
      </c>
      <c r="T31" s="4">
        <v>216</v>
      </c>
      <c r="U31" s="8">
        <f>0*24</f>
        <v>0</v>
      </c>
      <c r="V31" s="35">
        <f>T31+U31-O31</f>
        <v>-48</v>
      </c>
      <c r="W31" s="75"/>
      <c r="X31" s="29">
        <f>V31/24</f>
        <v>-2</v>
      </c>
    </row>
    <row r="32" spans="1:24" ht="15.75" thickBot="1">
      <c r="A32" s="161" t="s">
        <v>38</v>
      </c>
      <c r="B32" s="162"/>
      <c r="C32" s="163"/>
      <c r="D32" s="84">
        <f t="shared" ref="D32:O32" si="10">SUM(D29:D31)</f>
        <v>54</v>
      </c>
      <c r="E32" s="78">
        <f t="shared" si="10"/>
        <v>1296</v>
      </c>
      <c r="F32" s="84">
        <f t="shared" si="10"/>
        <v>2848</v>
      </c>
      <c r="G32" s="78">
        <f t="shared" si="10"/>
        <v>68352</v>
      </c>
      <c r="H32" s="79">
        <f t="shared" si="10"/>
        <v>520</v>
      </c>
      <c r="I32" s="80">
        <f t="shared" si="10"/>
        <v>12480</v>
      </c>
      <c r="J32" s="84">
        <f t="shared" si="10"/>
        <v>315</v>
      </c>
      <c r="K32" s="78">
        <f t="shared" si="10"/>
        <v>7560</v>
      </c>
      <c r="L32" s="84">
        <f t="shared" si="10"/>
        <v>2054</v>
      </c>
      <c r="M32" s="78">
        <f t="shared" si="10"/>
        <v>49296</v>
      </c>
      <c r="N32" s="84">
        <f t="shared" si="10"/>
        <v>13</v>
      </c>
      <c r="O32" s="78">
        <f t="shared" si="10"/>
        <v>312</v>
      </c>
      <c r="T32" s="17"/>
      <c r="U32" s="18"/>
      <c r="V32" s="30"/>
      <c r="W32" s="75"/>
      <c r="X32" s="29"/>
    </row>
    <row r="33" spans="1:24">
      <c r="A33" s="155" t="s">
        <v>19</v>
      </c>
      <c r="B33" s="156"/>
      <c r="C33" s="157"/>
      <c r="D33" s="85">
        <f>E33/12</f>
        <v>9</v>
      </c>
      <c r="E33" s="14">
        <v>108</v>
      </c>
      <c r="F33" s="85">
        <f>G33/12</f>
        <v>883</v>
      </c>
      <c r="G33" s="14">
        <f>'[2]July 2020'!$K$30</f>
        <v>10596</v>
      </c>
      <c r="H33" s="23">
        <f>I33/12</f>
        <v>0</v>
      </c>
      <c r="I33" s="26">
        <v>0</v>
      </c>
      <c r="J33" s="15">
        <f t="shared" ref="J33:J34" si="11">K33/12</f>
        <v>45</v>
      </c>
      <c r="K33" s="10">
        <f>240+300</f>
        <v>540</v>
      </c>
      <c r="L33" s="15">
        <f t="shared" ref="L33:L34" si="12">M33/12</f>
        <v>842</v>
      </c>
      <c r="M33" s="10">
        <f>120+36+36+60+1800+120+240+1800+60+840+24+2400+24+24+24+24+60+12+60+60+1980+60+180+60</f>
        <v>10104</v>
      </c>
      <c r="N33" s="23">
        <f>O33/12</f>
        <v>5</v>
      </c>
      <c r="O33" s="36">
        <f>E33+G33-I33-K33-M33</f>
        <v>60</v>
      </c>
      <c r="T33" s="5">
        <v>84</v>
      </c>
      <c r="U33" s="16">
        <f>0*12</f>
        <v>0</v>
      </c>
      <c r="V33" s="30">
        <f>T33+U33-O33</f>
        <v>24</v>
      </c>
      <c r="W33" s="86"/>
      <c r="X33" s="29">
        <f>V33/12</f>
        <v>2</v>
      </c>
    </row>
    <row r="34" spans="1:24" ht="15.75" thickBot="1">
      <c r="A34" s="158" t="s">
        <v>20</v>
      </c>
      <c r="B34" s="159"/>
      <c r="C34" s="160"/>
      <c r="D34" s="76">
        <f>E34/12</f>
        <v>0</v>
      </c>
      <c r="E34" s="12">
        <v>0</v>
      </c>
      <c r="F34" s="76">
        <f>G34/12</f>
        <v>1</v>
      </c>
      <c r="G34" s="12">
        <f>'[2]July 2020'!$L$30</f>
        <v>12</v>
      </c>
      <c r="H34" s="24">
        <f>I34/12</f>
        <v>0</v>
      </c>
      <c r="I34" s="33">
        <v>0</v>
      </c>
      <c r="J34" s="13">
        <f t="shared" si="11"/>
        <v>0</v>
      </c>
      <c r="K34" s="12">
        <v>0</v>
      </c>
      <c r="L34" s="13">
        <f t="shared" si="12"/>
        <v>1</v>
      </c>
      <c r="M34" s="12">
        <v>12</v>
      </c>
      <c r="N34" s="24">
        <f>O34/12</f>
        <v>0</v>
      </c>
      <c r="O34" s="36">
        <f>E34+G34-I34-K34-M34</f>
        <v>0</v>
      </c>
      <c r="T34" s="4">
        <v>0</v>
      </c>
      <c r="U34" s="22">
        <v>0</v>
      </c>
      <c r="V34" s="35">
        <f>T34+U34-O34</f>
        <v>0</v>
      </c>
      <c r="W34" s="75"/>
      <c r="X34" s="29"/>
    </row>
    <row r="35" spans="1:24" ht="15.75" thickBot="1">
      <c r="A35" s="161" t="s">
        <v>39</v>
      </c>
      <c r="B35" s="162"/>
      <c r="C35" s="163"/>
      <c r="D35" s="84">
        <f>SUM(D33:D34)</f>
        <v>9</v>
      </c>
      <c r="E35" s="78">
        <f t="shared" ref="E35:H35" si="13">SUM(E33:E34)</f>
        <v>108</v>
      </c>
      <c r="F35" s="84">
        <f t="shared" si="13"/>
        <v>884</v>
      </c>
      <c r="G35" s="78">
        <f t="shared" si="13"/>
        <v>10608</v>
      </c>
      <c r="H35" s="79">
        <f t="shared" si="13"/>
        <v>0</v>
      </c>
      <c r="I35" s="80">
        <f>SUM(I33:I34)</f>
        <v>0</v>
      </c>
      <c r="J35" s="84">
        <f t="shared" ref="J35:O35" si="14">SUM(J33:J34)</f>
        <v>45</v>
      </c>
      <c r="K35" s="78">
        <f t="shared" si="14"/>
        <v>540</v>
      </c>
      <c r="L35" s="84">
        <f t="shared" si="14"/>
        <v>843</v>
      </c>
      <c r="M35" s="78">
        <f t="shared" si="14"/>
        <v>10116</v>
      </c>
      <c r="N35" s="84">
        <f t="shared" si="14"/>
        <v>5</v>
      </c>
      <c r="O35" s="78">
        <f t="shared" si="14"/>
        <v>60</v>
      </c>
      <c r="T35" s="19"/>
      <c r="U35" s="20"/>
      <c r="V35" s="34"/>
      <c r="X35" s="29"/>
    </row>
    <row r="36" spans="1:24" ht="15.75" thickBot="1">
      <c r="A36" s="164" t="s">
        <v>21</v>
      </c>
      <c r="B36" s="165"/>
      <c r="C36" s="166"/>
      <c r="D36" s="87">
        <f t="shared" ref="D36:O36" si="15">D21+D22+D24+D25+D26+D27+D29+D30+D31+D33+D34</f>
        <v>148</v>
      </c>
      <c r="E36" s="87">
        <f t="shared" si="15"/>
        <v>3788</v>
      </c>
      <c r="F36" s="87">
        <f t="shared" si="15"/>
        <v>5477</v>
      </c>
      <c r="G36" s="87">
        <f t="shared" si="15"/>
        <v>128992</v>
      </c>
      <c r="H36" s="87">
        <f t="shared" si="15"/>
        <v>685</v>
      </c>
      <c r="I36" s="87">
        <f>I21+I22+I24+I25+I26+I27+I29+I30+I31+I33+I34</f>
        <v>16600</v>
      </c>
      <c r="J36" s="87">
        <f t="shared" si="15"/>
        <v>493</v>
      </c>
      <c r="K36" s="87">
        <f t="shared" si="15"/>
        <v>11364</v>
      </c>
      <c r="L36" s="87">
        <f t="shared" si="15"/>
        <v>4385</v>
      </c>
      <c r="M36" s="87">
        <f t="shared" si="15"/>
        <v>103280</v>
      </c>
      <c r="N36" s="87">
        <f t="shared" si="15"/>
        <v>62</v>
      </c>
      <c r="O36" s="87">
        <f t="shared" si="15"/>
        <v>1536</v>
      </c>
      <c r="T36" s="88">
        <f>SUM(T21:T34)</f>
        <v>1560</v>
      </c>
      <c r="U36" s="89">
        <f>SUM(U21:U34)</f>
        <v>0</v>
      </c>
      <c r="V36" s="31">
        <f>T36+U36-O36</f>
        <v>24</v>
      </c>
      <c r="X36" s="29"/>
    </row>
    <row r="37" spans="1:24" ht="9" customHeight="1">
      <c r="V37" s="32"/>
    </row>
    <row r="38" spans="1:24">
      <c r="W38" s="29"/>
    </row>
    <row r="40" spans="1:24">
      <c r="P40" s="75"/>
    </row>
    <row r="41" spans="1:24">
      <c r="G41" s="29"/>
    </row>
    <row r="42" spans="1:24" ht="18.75">
      <c r="P42" s="90"/>
    </row>
  </sheetData>
  <mergeCells count="91"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32:C32"/>
    <mergeCell ref="A21:C21"/>
    <mergeCell ref="A22:C22"/>
    <mergeCell ref="A23:C23"/>
    <mergeCell ref="A24:C24"/>
    <mergeCell ref="A25:C25"/>
    <mergeCell ref="A26:C26"/>
    <mergeCell ref="Q15:R15"/>
    <mergeCell ref="A17:C20"/>
    <mergeCell ref="D17:O17"/>
    <mergeCell ref="D18:E19"/>
    <mergeCell ref="F18:G19"/>
    <mergeCell ref="H18:K18"/>
    <mergeCell ref="L18:M19"/>
    <mergeCell ref="N18:O19"/>
    <mergeCell ref="H19:I19"/>
    <mergeCell ref="J19:K19"/>
    <mergeCell ref="B15:C15"/>
    <mergeCell ref="E15:F15"/>
    <mergeCell ref="J15:K15"/>
    <mergeCell ref="L15:M15"/>
    <mergeCell ref="N15:O15"/>
    <mergeCell ref="B14:C14"/>
    <mergeCell ref="E14:F14"/>
    <mergeCell ref="J14:K14"/>
    <mergeCell ref="L14:M14"/>
    <mergeCell ref="Q14:R14"/>
    <mergeCell ref="Q13:R13"/>
    <mergeCell ref="B12:C12"/>
    <mergeCell ref="E12:F12"/>
    <mergeCell ref="J12:K12"/>
    <mergeCell ref="L12:M12"/>
    <mergeCell ref="N12:O12"/>
    <mergeCell ref="Q12:R12"/>
    <mergeCell ref="B13:C13"/>
    <mergeCell ref="E13:F13"/>
    <mergeCell ref="J13:K13"/>
    <mergeCell ref="L13:M13"/>
    <mergeCell ref="N13:O13"/>
    <mergeCell ref="P8:P9"/>
    <mergeCell ref="Q8:R9"/>
    <mergeCell ref="Q11:R11"/>
    <mergeCell ref="B10:C10"/>
    <mergeCell ref="E10:F10"/>
    <mergeCell ref="J10:K10"/>
    <mergeCell ref="L10:M10"/>
    <mergeCell ref="N10:O10"/>
    <mergeCell ref="Q10:R10"/>
    <mergeCell ref="B11:C11"/>
    <mergeCell ref="E11:F11"/>
    <mergeCell ref="J11:K11"/>
    <mergeCell ref="L11:M11"/>
    <mergeCell ref="N11:O11"/>
    <mergeCell ref="B9:C9"/>
    <mergeCell ref="J9:K9"/>
    <mergeCell ref="L9:M9"/>
    <mergeCell ref="N9:O9"/>
    <mergeCell ref="A8:A9"/>
    <mergeCell ref="B8:C8"/>
    <mergeCell ref="D8:D9"/>
    <mergeCell ref="E8:F9"/>
    <mergeCell ref="G8:G9"/>
    <mergeCell ref="H8:H9"/>
    <mergeCell ref="J8:K8"/>
    <mergeCell ref="L8:M8"/>
    <mergeCell ref="N8:O8"/>
    <mergeCell ref="A7:R7"/>
    <mergeCell ref="A1:R1"/>
    <mergeCell ref="A2:R2"/>
    <mergeCell ref="A3:L3"/>
    <mergeCell ref="A4:B5"/>
    <mergeCell ref="C4:D4"/>
    <mergeCell ref="F4:F5"/>
    <mergeCell ref="H4:J4"/>
    <mergeCell ref="K4:L4"/>
    <mergeCell ref="C5:D5"/>
    <mergeCell ref="H5:J5"/>
    <mergeCell ref="K5:L5"/>
    <mergeCell ref="A6:B6"/>
    <mergeCell ref="C6:D6"/>
    <mergeCell ref="H6:J6"/>
    <mergeCell ref="K6:L6"/>
  </mergeCells>
  <pageMargins left="0.23" right="0.25" top="0.28000000000000003" bottom="0.22" header="0.22" footer="0.15"/>
  <pageSetup paperSize="9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2"/>
  <sheetViews>
    <sheetView tabSelected="1" topLeftCell="A21" zoomScaleNormal="100" workbookViewId="0">
      <selection sqref="A1:R36"/>
    </sheetView>
  </sheetViews>
  <sheetFormatPr defaultRowHeight="15"/>
  <cols>
    <col min="1" max="1" width="16.7109375" style="2" customWidth="1"/>
    <col min="2" max="2" width="6" style="2" customWidth="1"/>
    <col min="3" max="3" width="2.5703125" style="2" customWidth="1"/>
    <col min="4" max="4" width="8" style="2" customWidth="1"/>
    <col min="5" max="5" width="8.28515625" style="2" bestFit="1" customWidth="1"/>
    <col min="6" max="6" width="6.140625" style="2" customWidth="1"/>
    <col min="7" max="7" width="8" style="2" customWidth="1"/>
    <col min="8" max="8" width="6.7109375" style="2" customWidth="1"/>
    <col min="9" max="9" width="7.140625" style="2" bestFit="1" customWidth="1"/>
    <col min="10" max="10" width="6.7109375" style="2" customWidth="1"/>
    <col min="11" max="11" width="6" style="2" customWidth="1"/>
    <col min="12" max="12" width="5.28515625" style="2" customWidth="1"/>
    <col min="13" max="13" width="7" style="2" customWidth="1"/>
    <col min="14" max="14" width="6.42578125" style="2" customWidth="1"/>
    <col min="15" max="15" width="7.28515625" style="2" customWidth="1"/>
    <col min="16" max="16" width="9.140625" style="2" customWidth="1"/>
    <col min="17" max="17" width="7.85546875" style="2" customWidth="1"/>
    <col min="18" max="18" width="6.42578125" style="2" customWidth="1"/>
    <col min="19" max="20" width="7.42578125" style="2" bestFit="1" customWidth="1"/>
    <col min="21" max="23" width="12.5703125" style="2" bestFit="1" customWidth="1"/>
    <col min="24" max="24" width="9.140625" style="2"/>
    <col min="25" max="25" width="12.5703125" style="2" bestFit="1" customWidth="1"/>
    <col min="26" max="16384" width="9.140625" style="2"/>
  </cols>
  <sheetData>
    <row r="1" spans="1:24" ht="18.75">
      <c r="A1" s="223" t="s">
        <v>66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142"/>
    </row>
    <row r="2" spans="1:24" ht="15.75" thickBo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143"/>
    </row>
    <row r="3" spans="1:24" ht="15.75" thickBot="1">
      <c r="A3" s="225" t="s">
        <v>67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195"/>
      <c r="M3" s="55"/>
    </row>
    <row r="4" spans="1:24">
      <c r="A4" s="227"/>
      <c r="B4" s="228"/>
      <c r="C4" s="231" t="s">
        <v>46</v>
      </c>
      <c r="D4" s="232"/>
      <c r="E4" s="56" t="s">
        <v>0</v>
      </c>
      <c r="F4" s="233" t="s">
        <v>24</v>
      </c>
      <c r="G4" s="144" t="s">
        <v>1</v>
      </c>
      <c r="H4" s="227" t="s">
        <v>2</v>
      </c>
      <c r="I4" s="235"/>
      <c r="J4" s="228"/>
      <c r="K4" s="231" t="s">
        <v>3</v>
      </c>
      <c r="L4" s="232"/>
      <c r="M4" s="55"/>
    </row>
    <row r="5" spans="1:24" ht="15.75" thickBot="1">
      <c r="A5" s="229"/>
      <c r="B5" s="230"/>
      <c r="C5" s="236" t="s">
        <v>4</v>
      </c>
      <c r="D5" s="237"/>
      <c r="E5" s="57" t="s">
        <v>5</v>
      </c>
      <c r="F5" s="234"/>
      <c r="G5" s="141"/>
      <c r="H5" s="210" t="s">
        <v>5</v>
      </c>
      <c r="I5" s="211"/>
      <c r="J5" s="212"/>
      <c r="K5" s="236" t="s">
        <v>5</v>
      </c>
      <c r="L5" s="237"/>
      <c r="M5" s="55"/>
      <c r="U5" s="29"/>
      <c r="V5" s="29"/>
    </row>
    <row r="6" spans="1:24" ht="15.75" thickBot="1">
      <c r="A6" s="238"/>
      <c r="B6" s="239"/>
      <c r="C6" s="240">
        <v>40151.800000000003</v>
      </c>
      <c r="D6" s="241"/>
      <c r="E6" s="54">
        <f>3800+2280+5320+14922.8+13715+3040+1560+2135+3780+2400+1650+1456+6855+17900.6+7039+1140+6840+18313+4844.7+10855.2</f>
        <v>129846.29999999999</v>
      </c>
      <c r="F6" s="140"/>
      <c r="G6" s="146">
        <f>C6+E6+F6</f>
        <v>169998.09999999998</v>
      </c>
      <c r="H6" s="240">
        <f>G15</f>
        <v>0</v>
      </c>
      <c r="I6" s="196"/>
      <c r="J6" s="241"/>
      <c r="K6" s="176">
        <f>G6-H6</f>
        <v>169998.09999999998</v>
      </c>
      <c r="L6" s="177"/>
      <c r="M6" s="55"/>
      <c r="O6" s="29"/>
      <c r="Q6" s="29"/>
    </row>
    <row r="7" spans="1:24" ht="13.5" customHeight="1" thickBot="1">
      <c r="A7" s="222" t="s">
        <v>68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121"/>
      <c r="V7" s="29"/>
    </row>
    <row r="8" spans="1:24" ht="22.5" customHeight="1">
      <c r="A8" s="215" t="s">
        <v>6</v>
      </c>
      <c r="B8" s="217" t="s">
        <v>46</v>
      </c>
      <c r="C8" s="218"/>
      <c r="D8" s="202" t="s">
        <v>41</v>
      </c>
      <c r="E8" s="204" t="s">
        <v>40</v>
      </c>
      <c r="F8" s="205"/>
      <c r="G8" s="202" t="s">
        <v>22</v>
      </c>
      <c r="H8" s="202" t="s">
        <v>23</v>
      </c>
      <c r="I8" s="139" t="s">
        <v>44</v>
      </c>
      <c r="J8" s="218" t="s">
        <v>1</v>
      </c>
      <c r="K8" s="219"/>
      <c r="L8" s="217" t="s">
        <v>7</v>
      </c>
      <c r="M8" s="218"/>
      <c r="N8" s="220" t="s">
        <v>3</v>
      </c>
      <c r="O8" s="221"/>
      <c r="P8" s="202" t="s">
        <v>42</v>
      </c>
      <c r="Q8" s="204" t="s">
        <v>35</v>
      </c>
      <c r="R8" s="205"/>
      <c r="S8" s="122"/>
    </row>
    <row r="9" spans="1:24" ht="19.5" customHeight="1" thickBot="1">
      <c r="A9" s="216"/>
      <c r="B9" s="210" t="s">
        <v>5</v>
      </c>
      <c r="C9" s="211"/>
      <c r="D9" s="203"/>
      <c r="E9" s="206"/>
      <c r="F9" s="207"/>
      <c r="G9" s="203"/>
      <c r="H9" s="203"/>
      <c r="I9" s="145" t="s">
        <v>45</v>
      </c>
      <c r="J9" s="211" t="s">
        <v>5</v>
      </c>
      <c r="K9" s="212"/>
      <c r="L9" s="210" t="s">
        <v>5</v>
      </c>
      <c r="M9" s="211"/>
      <c r="N9" s="213" t="s">
        <v>5</v>
      </c>
      <c r="O9" s="214"/>
      <c r="P9" s="203"/>
      <c r="Q9" s="206"/>
      <c r="R9" s="207"/>
      <c r="S9" s="122"/>
    </row>
    <row r="10" spans="1:24" ht="15.75" customHeight="1" thickBot="1">
      <c r="A10" s="58" t="s">
        <v>8</v>
      </c>
      <c r="B10" s="176">
        <v>83393.399999999994</v>
      </c>
      <c r="C10" s="196"/>
      <c r="D10" s="60">
        <v>75587.600000000006</v>
      </c>
      <c r="E10" s="176">
        <f>B10-D10</f>
        <v>7805.7999999999884</v>
      </c>
      <c r="F10" s="177"/>
      <c r="G10" s="136"/>
      <c r="H10" s="60"/>
      <c r="I10" s="60"/>
      <c r="J10" s="176">
        <f>B10+G10+H10+I10</f>
        <v>83393.399999999994</v>
      </c>
      <c r="K10" s="177"/>
      <c r="L10" s="176">
        <f>G29+G30+G31</f>
        <v>57624</v>
      </c>
      <c r="M10" s="197"/>
      <c r="N10" s="176">
        <f>J10-L10</f>
        <v>25769.399999999994</v>
      </c>
      <c r="O10" s="177"/>
      <c r="P10" s="60">
        <f>37658.3-18276</f>
        <v>19382.300000000003</v>
      </c>
      <c r="Q10" s="176">
        <f>N10-P10</f>
        <v>6387.0999999999913</v>
      </c>
      <c r="R10" s="201"/>
      <c r="S10" s="123"/>
      <c r="T10" s="32"/>
    </row>
    <row r="11" spans="1:24" ht="15.75" thickBot="1">
      <c r="A11" s="58" t="s">
        <v>9</v>
      </c>
      <c r="B11" s="176">
        <v>16500.84</v>
      </c>
      <c r="C11" s="196"/>
      <c r="D11" s="60">
        <v>15115</v>
      </c>
      <c r="E11" s="176">
        <f t="shared" ref="E11:E13" si="0">B11-D11</f>
        <v>1385.8400000000001</v>
      </c>
      <c r="F11" s="177"/>
      <c r="G11" s="136"/>
      <c r="H11" s="60"/>
      <c r="I11" s="60"/>
      <c r="J11" s="176">
        <f>B11+G11+H11+I11</f>
        <v>16500.84</v>
      </c>
      <c r="K11" s="177"/>
      <c r="L11" s="176">
        <f>SUM(G21:G22)</f>
        <v>8496</v>
      </c>
      <c r="M11" s="197"/>
      <c r="N11" s="208">
        <f>J11-L11</f>
        <v>8004.84</v>
      </c>
      <c r="O11" s="209"/>
      <c r="P11" s="60">
        <f>3023*2</f>
        <v>6046</v>
      </c>
      <c r="Q11" s="176">
        <f>N11-P11</f>
        <v>1958.8400000000001</v>
      </c>
      <c r="R11" s="201"/>
      <c r="S11" s="123"/>
      <c r="T11" s="32"/>
    </row>
    <row r="12" spans="1:24" ht="15.75" customHeight="1" thickBot="1">
      <c r="A12" s="58" t="s">
        <v>10</v>
      </c>
      <c r="B12" s="176">
        <v>16449.2</v>
      </c>
      <c r="C12" s="196"/>
      <c r="D12" s="60">
        <v>15216</v>
      </c>
      <c r="E12" s="176">
        <f t="shared" si="0"/>
        <v>1233.2000000000007</v>
      </c>
      <c r="F12" s="177"/>
      <c r="G12" s="136"/>
      <c r="H12" s="60"/>
      <c r="I12" s="60"/>
      <c r="J12" s="176">
        <f>B12+G12+H12+I12</f>
        <v>16449.2</v>
      </c>
      <c r="K12" s="177"/>
      <c r="L12" s="176">
        <f>SUM(G33:G34)</f>
        <v>9552</v>
      </c>
      <c r="M12" s="201"/>
      <c r="N12" s="176">
        <f>J12-L12</f>
        <v>6897.2000000000007</v>
      </c>
      <c r="O12" s="177"/>
      <c r="P12" s="60">
        <f>9214.8-3684</f>
        <v>5530.7999999999993</v>
      </c>
      <c r="Q12" s="176">
        <f>N12-P12</f>
        <v>1366.4000000000015</v>
      </c>
      <c r="R12" s="201"/>
      <c r="S12" s="123"/>
    </row>
    <row r="13" spans="1:24" ht="15.75" thickBot="1">
      <c r="A13" s="58" t="s">
        <v>30</v>
      </c>
      <c r="B13" s="176">
        <v>107160.24</v>
      </c>
      <c r="C13" s="196"/>
      <c r="D13" s="60">
        <v>98881.3</v>
      </c>
      <c r="E13" s="176">
        <f t="shared" si="0"/>
        <v>8278.9400000000023</v>
      </c>
      <c r="F13" s="177"/>
      <c r="G13" s="146"/>
      <c r="H13" s="60"/>
      <c r="I13" s="60"/>
      <c r="J13" s="176">
        <f>B13+G13+H13+I13</f>
        <v>107160.24</v>
      </c>
      <c r="K13" s="177"/>
      <c r="L13" s="176">
        <f>G24+G25+G26+G27</f>
        <v>43148</v>
      </c>
      <c r="M13" s="201"/>
      <c r="N13" s="176">
        <f>J13-L13</f>
        <v>64012.240000000005</v>
      </c>
      <c r="O13" s="177"/>
      <c r="P13" s="60">
        <f>71881.3-11984</f>
        <v>59897.3</v>
      </c>
      <c r="Q13" s="176">
        <f>N13-P13</f>
        <v>4114.9400000000023</v>
      </c>
      <c r="R13" s="201"/>
      <c r="S13" s="123"/>
      <c r="W13" s="29"/>
      <c r="X13" s="29"/>
    </row>
    <row r="14" spans="1:24" ht="15.75" customHeight="1" thickBot="1">
      <c r="A14" s="58"/>
      <c r="B14" s="198"/>
      <c r="C14" s="199"/>
      <c r="D14" s="61"/>
      <c r="E14" s="198"/>
      <c r="F14" s="200"/>
      <c r="G14" s="136"/>
      <c r="H14" s="60"/>
      <c r="I14" s="60"/>
      <c r="J14" s="196"/>
      <c r="K14" s="177"/>
      <c r="L14" s="176"/>
      <c r="M14" s="177"/>
      <c r="N14" s="62"/>
      <c r="O14" s="63"/>
      <c r="P14" s="60"/>
      <c r="Q14" s="176"/>
      <c r="R14" s="201"/>
      <c r="S14" s="123"/>
      <c r="U14" s="64"/>
    </row>
    <row r="15" spans="1:24" ht="15.75" thickBot="1">
      <c r="A15" s="59" t="s">
        <v>1</v>
      </c>
      <c r="B15" s="176">
        <f>SUM(B10:C14)</f>
        <v>223503.68</v>
      </c>
      <c r="C15" s="177"/>
      <c r="D15" s="60">
        <f>SUM(D10:D14)</f>
        <v>204799.90000000002</v>
      </c>
      <c r="E15" s="176">
        <f>SUM(E10:F14)</f>
        <v>18703.779999999992</v>
      </c>
      <c r="F15" s="195"/>
      <c r="G15" s="136">
        <f>SUM(G10:G14)</f>
        <v>0</v>
      </c>
      <c r="H15" s="60">
        <f>SUM(H10:H14)</f>
        <v>0</v>
      </c>
      <c r="I15" s="60">
        <f>SUM(I10:I14)</f>
        <v>0</v>
      </c>
      <c r="J15" s="196">
        <f>SUM(J10:K14)</f>
        <v>223503.68</v>
      </c>
      <c r="K15" s="177"/>
      <c r="L15" s="176">
        <f>SUM(L10:M14)</f>
        <v>118820</v>
      </c>
      <c r="M15" s="197"/>
      <c r="N15" s="176">
        <f>SUM(N10:O14)</f>
        <v>104683.68</v>
      </c>
      <c r="O15" s="177"/>
      <c r="P15" s="60">
        <f>SUM(P10:P14)</f>
        <v>90856.400000000009</v>
      </c>
      <c r="Q15" s="176">
        <f>SUM(Q10:R13)</f>
        <v>13827.279999999995</v>
      </c>
      <c r="R15" s="177"/>
      <c r="S15" s="121"/>
      <c r="T15" s="29"/>
    </row>
    <row r="16" spans="1:24" ht="6.75" customHeight="1" thickBot="1">
      <c r="A16" s="65"/>
      <c r="B16" s="66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</row>
    <row r="17" spans="1:23" ht="15.75" customHeight="1" thickBot="1">
      <c r="A17" s="178" t="s">
        <v>11</v>
      </c>
      <c r="B17" s="179"/>
      <c r="C17" s="179"/>
      <c r="D17" s="186" t="s">
        <v>69</v>
      </c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8"/>
      <c r="P17" s="68"/>
      <c r="Q17" s="68"/>
      <c r="R17" s="68"/>
      <c r="S17" s="68"/>
      <c r="T17" s="68"/>
    </row>
    <row r="18" spans="1:23" ht="15.75" customHeight="1" thickBot="1">
      <c r="A18" s="180"/>
      <c r="B18" s="181"/>
      <c r="C18" s="182"/>
      <c r="D18" s="189" t="s">
        <v>46</v>
      </c>
      <c r="E18" s="190"/>
      <c r="F18" s="189" t="s">
        <v>7</v>
      </c>
      <c r="G18" s="190"/>
      <c r="H18" s="193" t="s">
        <v>32</v>
      </c>
      <c r="I18" s="194"/>
      <c r="J18" s="194"/>
      <c r="K18" s="194"/>
      <c r="L18" s="189" t="s">
        <v>31</v>
      </c>
      <c r="M18" s="190"/>
      <c r="N18" s="242" t="s">
        <v>12</v>
      </c>
      <c r="O18" s="243"/>
    </row>
    <row r="19" spans="1:23" ht="15.75" customHeight="1" thickBot="1">
      <c r="A19" s="180"/>
      <c r="B19" s="181"/>
      <c r="C19" s="182"/>
      <c r="D19" s="191"/>
      <c r="E19" s="192"/>
      <c r="F19" s="189"/>
      <c r="G19" s="190"/>
      <c r="H19" s="186" t="s">
        <v>33</v>
      </c>
      <c r="I19" s="187"/>
      <c r="J19" s="186" t="s">
        <v>34</v>
      </c>
      <c r="K19" s="187"/>
      <c r="L19" s="191"/>
      <c r="M19" s="192"/>
      <c r="N19" s="191"/>
      <c r="O19" s="192"/>
      <c r="P19" s="152"/>
      <c r="Q19" s="152"/>
      <c r="R19" s="152"/>
    </row>
    <row r="20" spans="1:23" s="71" customFormat="1" ht="15.75" thickBot="1">
      <c r="A20" s="183"/>
      <c r="B20" s="184"/>
      <c r="C20" s="185"/>
      <c r="D20" s="137" t="s">
        <v>26</v>
      </c>
      <c r="E20" s="37" t="s">
        <v>25</v>
      </c>
      <c r="F20" s="69" t="s">
        <v>26</v>
      </c>
      <c r="G20" s="37" t="s">
        <v>25</v>
      </c>
      <c r="H20" s="138" t="s">
        <v>26</v>
      </c>
      <c r="I20" s="37" t="s">
        <v>25</v>
      </c>
      <c r="J20" s="138" t="s">
        <v>26</v>
      </c>
      <c r="K20" s="37" t="s">
        <v>25</v>
      </c>
      <c r="L20" s="37" t="s">
        <v>26</v>
      </c>
      <c r="M20" s="70" t="s">
        <v>25</v>
      </c>
      <c r="N20" s="69" t="s">
        <v>26</v>
      </c>
      <c r="O20" s="37" t="s">
        <v>25</v>
      </c>
      <c r="P20" s="153"/>
      <c r="Q20" s="153"/>
      <c r="R20" s="153"/>
      <c r="S20" s="72" t="s">
        <v>27</v>
      </c>
      <c r="T20" s="73" t="s">
        <v>28</v>
      </c>
      <c r="U20" s="37" t="s">
        <v>29</v>
      </c>
    </row>
    <row r="21" spans="1:23">
      <c r="A21" s="155" t="s">
        <v>13</v>
      </c>
      <c r="B21" s="156"/>
      <c r="C21" s="157"/>
      <c r="D21" s="74">
        <f>E21/24</f>
        <v>6</v>
      </c>
      <c r="E21" s="10">
        <v>144</v>
      </c>
      <c r="F21" s="74">
        <f>G21/24</f>
        <v>32</v>
      </c>
      <c r="G21" s="10">
        <f>'[2]AUGUST 2021 '!$B$30</f>
        <v>768</v>
      </c>
      <c r="H21" s="23">
        <f>I21/24</f>
        <v>20</v>
      </c>
      <c r="I21" s="26">
        <f>480</f>
        <v>480</v>
      </c>
      <c r="J21" s="11">
        <f>K21/24</f>
        <v>1</v>
      </c>
      <c r="K21" s="10">
        <f>24</f>
        <v>24</v>
      </c>
      <c r="L21" s="11">
        <f>M21/24</f>
        <v>4</v>
      </c>
      <c r="M21" s="10">
        <f>48+48</f>
        <v>96</v>
      </c>
      <c r="N21" s="23">
        <f>O21/24</f>
        <v>13</v>
      </c>
      <c r="O21" s="36">
        <f>E21+G21-I21-K21-M21</f>
        <v>312</v>
      </c>
      <c r="P21" s="150"/>
      <c r="Q21" s="150"/>
      <c r="R21" s="150"/>
      <c r="S21" s="5">
        <v>312</v>
      </c>
      <c r="T21" s="7">
        <v>0</v>
      </c>
      <c r="U21" s="30">
        <f>S21+T21-O21</f>
        <v>0</v>
      </c>
      <c r="V21" s="75"/>
      <c r="W21" s="29"/>
    </row>
    <row r="22" spans="1:23" ht="15.75" thickBot="1">
      <c r="A22" s="158" t="s">
        <v>14</v>
      </c>
      <c r="B22" s="159"/>
      <c r="C22" s="160"/>
      <c r="D22" s="76">
        <f>E22/24</f>
        <v>0</v>
      </c>
      <c r="E22" s="12">
        <v>0</v>
      </c>
      <c r="F22" s="76">
        <f>G22/24</f>
        <v>322</v>
      </c>
      <c r="G22" s="12">
        <f>'[2]AUGUST 2021 '!$C$30</f>
        <v>7728</v>
      </c>
      <c r="H22" s="24">
        <f>I22/24</f>
        <v>50</v>
      </c>
      <c r="I22" s="33">
        <f>1200</f>
        <v>1200</v>
      </c>
      <c r="J22" s="13">
        <f>K22/24</f>
        <v>100</v>
      </c>
      <c r="K22" s="12">
        <f>720+1680</f>
        <v>2400</v>
      </c>
      <c r="L22" s="13">
        <f>M22/24</f>
        <v>42</v>
      </c>
      <c r="M22" s="12">
        <f>48+72+120+48+72+48+48+240+48+120+48+24+24+48</f>
        <v>1008</v>
      </c>
      <c r="N22" s="24">
        <f>O22/24</f>
        <v>130</v>
      </c>
      <c r="O22" s="36">
        <f>E22+G22-I22-K22-M22</f>
        <v>3120</v>
      </c>
      <c r="P22" s="149"/>
      <c r="Q22" s="149"/>
      <c r="R22" s="150"/>
      <c r="S22" s="6">
        <v>3120</v>
      </c>
      <c r="T22" s="9">
        <v>0</v>
      </c>
      <c r="U22" s="34">
        <f>S22-O22</f>
        <v>0</v>
      </c>
      <c r="V22" s="75"/>
      <c r="W22" s="29"/>
    </row>
    <row r="23" spans="1:23" ht="15.75" thickBot="1">
      <c r="A23" s="161" t="s">
        <v>36</v>
      </c>
      <c r="B23" s="162"/>
      <c r="C23" s="163"/>
      <c r="D23" s="77">
        <f>SUM(D21:D22)</f>
        <v>6</v>
      </c>
      <c r="E23" s="78">
        <f t="shared" ref="E23:H23" si="1">SUM(E21:E22)</f>
        <v>144</v>
      </c>
      <c r="F23" s="77">
        <f t="shared" si="1"/>
        <v>354</v>
      </c>
      <c r="G23" s="78">
        <f t="shared" si="1"/>
        <v>8496</v>
      </c>
      <c r="H23" s="79">
        <f t="shared" si="1"/>
        <v>70</v>
      </c>
      <c r="I23" s="80">
        <f>SUM(I21:I22)</f>
        <v>1680</v>
      </c>
      <c r="J23" s="77">
        <f t="shared" ref="J23:O23" si="2">SUM(J21:J22)</f>
        <v>101</v>
      </c>
      <c r="K23" s="78">
        <f t="shared" si="2"/>
        <v>2424</v>
      </c>
      <c r="L23" s="77">
        <f t="shared" si="2"/>
        <v>46</v>
      </c>
      <c r="M23" s="78">
        <f t="shared" si="2"/>
        <v>1104</v>
      </c>
      <c r="N23" s="77">
        <f t="shared" si="2"/>
        <v>143</v>
      </c>
      <c r="O23" s="78">
        <f t="shared" si="2"/>
        <v>3432</v>
      </c>
      <c r="P23" s="154"/>
      <c r="Q23" s="154"/>
      <c r="R23" s="151"/>
      <c r="S23" s="45"/>
      <c r="T23" s="48"/>
      <c r="U23" s="30"/>
      <c r="V23" s="75"/>
      <c r="W23" s="29"/>
    </row>
    <row r="24" spans="1:23">
      <c r="A24" s="155" t="s">
        <v>15</v>
      </c>
      <c r="B24" s="156"/>
      <c r="C24" s="157"/>
      <c r="D24" s="74">
        <f>E24/30</f>
        <v>18</v>
      </c>
      <c r="E24" s="10">
        <v>540</v>
      </c>
      <c r="F24" s="74">
        <f>G24/30</f>
        <v>1330</v>
      </c>
      <c r="G24" s="10">
        <f>'[2]AUGUST 2021 '!$D$30</f>
        <v>39900</v>
      </c>
      <c r="H24" s="23">
        <f>I24/30</f>
        <v>20</v>
      </c>
      <c r="I24" s="10">
        <f>600</f>
        <v>600</v>
      </c>
      <c r="J24" s="23">
        <f>K24/30</f>
        <v>22</v>
      </c>
      <c r="K24" s="10">
        <f>60+600</f>
        <v>660</v>
      </c>
      <c r="L24" s="23">
        <f>M24/30</f>
        <v>1159</v>
      </c>
      <c r="M24" s="10">
        <f>60+7500+150+870+9300+150+7200+7800+30+150+60+1050+300+150</f>
        <v>34770</v>
      </c>
      <c r="N24" s="23">
        <f>O24/30</f>
        <v>147</v>
      </c>
      <c r="O24" s="36">
        <f>E24+G24-I24-K24-M24</f>
        <v>4410</v>
      </c>
      <c r="P24" s="150"/>
      <c r="Q24" s="150"/>
      <c r="R24" s="150"/>
      <c r="S24" s="50">
        <v>4410</v>
      </c>
      <c r="T24" s="51">
        <v>0</v>
      </c>
      <c r="U24" s="30">
        <f>S24+T24-O24</f>
        <v>0</v>
      </c>
      <c r="V24" s="75"/>
      <c r="W24" s="29"/>
    </row>
    <row r="25" spans="1:23">
      <c r="A25" s="173" t="s">
        <v>18</v>
      </c>
      <c r="B25" s="174"/>
      <c r="C25" s="175"/>
      <c r="D25" s="81">
        <f>E25/24</f>
        <v>20</v>
      </c>
      <c r="E25" s="36">
        <v>480</v>
      </c>
      <c r="F25" s="81">
        <f>G25/24</f>
        <v>29</v>
      </c>
      <c r="G25" s="27">
        <f>'[2]AUGUST 2021 '!$E$30</f>
        <v>696</v>
      </c>
      <c r="H25" s="39">
        <f>I25/24</f>
        <v>20</v>
      </c>
      <c r="I25" s="27">
        <f>480</f>
        <v>480</v>
      </c>
      <c r="J25" s="40">
        <f t="shared" ref="J25" si="3">K25/24</f>
        <v>0</v>
      </c>
      <c r="K25" s="36">
        <v>0</v>
      </c>
      <c r="L25" s="40">
        <f t="shared" ref="L25" si="4">M25/24</f>
        <v>13</v>
      </c>
      <c r="M25" s="36">
        <f>120+72+120</f>
        <v>312</v>
      </c>
      <c r="N25" s="39">
        <f>O25/24</f>
        <v>16</v>
      </c>
      <c r="O25" s="36">
        <f t="shared" ref="O25:O27" si="5">E25+G25-I25-K25-M25</f>
        <v>384</v>
      </c>
      <c r="P25" s="150"/>
      <c r="Q25" s="150"/>
      <c r="R25" s="150"/>
      <c r="S25" s="4">
        <v>384</v>
      </c>
      <c r="T25" s="22">
        <v>0</v>
      </c>
      <c r="U25" s="35">
        <f>S25+T25-O25</f>
        <v>0</v>
      </c>
      <c r="V25" s="75"/>
      <c r="W25" s="29"/>
    </row>
    <row r="26" spans="1:23">
      <c r="A26" s="170" t="s">
        <v>47</v>
      </c>
      <c r="B26" s="171"/>
      <c r="C26" s="172"/>
      <c r="D26" s="82">
        <f>E26/22</f>
        <v>0</v>
      </c>
      <c r="E26" s="3">
        <v>0</v>
      </c>
      <c r="F26" s="82">
        <f>G26/22</f>
        <v>101</v>
      </c>
      <c r="G26" s="3">
        <f>'[2]AUGUST 2021 '!$F$30</f>
        <v>2222</v>
      </c>
      <c r="H26" s="42">
        <f>I26/22</f>
        <v>10</v>
      </c>
      <c r="I26" s="28">
        <v>220</v>
      </c>
      <c r="J26" s="1">
        <f>K26/22</f>
        <v>23</v>
      </c>
      <c r="K26" s="3">
        <f>110+396</f>
        <v>506</v>
      </c>
      <c r="L26" s="1">
        <f>M26/22</f>
        <v>47</v>
      </c>
      <c r="M26" s="3">
        <f>550+22+22+110+330</f>
        <v>1034</v>
      </c>
      <c r="N26" s="25">
        <f>O26/22</f>
        <v>21</v>
      </c>
      <c r="O26" s="36">
        <f t="shared" si="5"/>
        <v>462</v>
      </c>
      <c r="P26" s="150"/>
      <c r="Q26" s="150"/>
      <c r="R26" s="150"/>
      <c r="S26" s="4">
        <v>462</v>
      </c>
      <c r="T26" s="22">
        <f>0*22</f>
        <v>0</v>
      </c>
      <c r="U26" s="35">
        <f>S26+T26-O26</f>
        <v>0</v>
      </c>
      <c r="V26" s="29"/>
      <c r="W26" s="29"/>
    </row>
    <row r="27" spans="1:23" ht="15.75" thickBot="1">
      <c r="A27" s="167" t="s">
        <v>48</v>
      </c>
      <c r="B27" s="168"/>
      <c r="C27" s="169"/>
      <c r="D27" s="83">
        <f>E27/22</f>
        <v>0</v>
      </c>
      <c r="E27" s="41">
        <v>0</v>
      </c>
      <c r="F27" s="83">
        <f>G27/22</f>
        <v>15</v>
      </c>
      <c r="G27" s="41">
        <f>'[2]AUGUST 2021 '!$G$30</f>
        <v>330</v>
      </c>
      <c r="H27" s="42">
        <f>I27/22</f>
        <v>0</v>
      </c>
      <c r="I27" s="43">
        <v>0</v>
      </c>
      <c r="J27" s="44">
        <f>K27/22</f>
        <v>10</v>
      </c>
      <c r="K27" s="41">
        <f>220</f>
        <v>220</v>
      </c>
      <c r="L27" s="44">
        <f>M27/22</f>
        <v>5</v>
      </c>
      <c r="M27" s="41">
        <v>110</v>
      </c>
      <c r="N27" s="42">
        <f>O27/22</f>
        <v>0</v>
      </c>
      <c r="O27" s="38">
        <f t="shared" si="5"/>
        <v>0</v>
      </c>
      <c r="P27" s="150"/>
      <c r="Q27" s="150"/>
      <c r="R27" s="150"/>
      <c r="S27" s="52">
        <v>0</v>
      </c>
      <c r="T27" s="53">
        <f>0*22</f>
        <v>0</v>
      </c>
      <c r="U27" s="148">
        <f>S27+T27-O27</f>
        <v>0</v>
      </c>
      <c r="V27" s="75"/>
      <c r="W27" s="29"/>
    </row>
    <row r="28" spans="1:23" ht="15.75" thickBot="1">
      <c r="A28" s="161" t="s">
        <v>37</v>
      </c>
      <c r="B28" s="162"/>
      <c r="C28" s="163"/>
      <c r="D28" s="79">
        <f t="shared" ref="D28:O28" si="6">SUM(D24:D27)</f>
        <v>38</v>
      </c>
      <c r="E28" s="21">
        <f t="shared" si="6"/>
        <v>1020</v>
      </c>
      <c r="F28" s="79">
        <f t="shared" si="6"/>
        <v>1475</v>
      </c>
      <c r="G28" s="21">
        <f t="shared" si="6"/>
        <v>43148</v>
      </c>
      <c r="H28" s="79">
        <f t="shared" si="6"/>
        <v>50</v>
      </c>
      <c r="I28" s="21">
        <f t="shared" si="6"/>
        <v>1300</v>
      </c>
      <c r="J28" s="79">
        <f t="shared" si="6"/>
        <v>55</v>
      </c>
      <c r="K28" s="21">
        <f t="shared" si="6"/>
        <v>1386</v>
      </c>
      <c r="L28" s="79">
        <f t="shared" si="6"/>
        <v>1224</v>
      </c>
      <c r="M28" s="21">
        <f t="shared" si="6"/>
        <v>36226</v>
      </c>
      <c r="N28" s="79">
        <f t="shared" si="6"/>
        <v>184</v>
      </c>
      <c r="O28" s="21">
        <f t="shared" si="6"/>
        <v>5256</v>
      </c>
      <c r="P28" s="150"/>
      <c r="Q28" s="150"/>
      <c r="R28" s="150"/>
      <c r="S28" s="46"/>
      <c r="T28" s="49"/>
      <c r="U28" s="30"/>
      <c r="V28" s="75"/>
      <c r="W28" s="29"/>
    </row>
    <row r="29" spans="1:23">
      <c r="A29" s="155" t="s">
        <v>16</v>
      </c>
      <c r="B29" s="156"/>
      <c r="C29" s="157"/>
      <c r="D29" s="74">
        <f>E29/24</f>
        <v>1</v>
      </c>
      <c r="E29" s="10">
        <v>24</v>
      </c>
      <c r="F29" s="74">
        <f>G29/24</f>
        <v>290</v>
      </c>
      <c r="G29" s="10">
        <f>'[2]AUGUST 2021 '!$H$30</f>
        <v>6960</v>
      </c>
      <c r="H29" s="23">
        <f>I29/24</f>
        <v>35</v>
      </c>
      <c r="I29" s="26">
        <f>360+480</f>
        <v>840</v>
      </c>
      <c r="J29" s="11">
        <f t="shared" ref="J29:J31" si="7">K29/24</f>
        <v>5</v>
      </c>
      <c r="K29" s="10">
        <v>120</v>
      </c>
      <c r="L29" s="11">
        <f t="shared" ref="L29:L31" si="8">M29/24</f>
        <v>237</v>
      </c>
      <c r="M29" s="10">
        <f>360+1200+720+240+1200+600+360+48+360+600</f>
        <v>5688</v>
      </c>
      <c r="N29" s="23">
        <f>O29/24</f>
        <v>14</v>
      </c>
      <c r="O29" s="36">
        <f>E29+G29-I29-K29-M29</f>
        <v>336</v>
      </c>
      <c r="P29" s="150"/>
      <c r="Q29" s="150"/>
      <c r="R29" s="150"/>
      <c r="S29" s="5">
        <v>336</v>
      </c>
      <c r="T29" s="16">
        <v>0</v>
      </c>
      <c r="U29" s="30">
        <f>S29+T29-O29</f>
        <v>0</v>
      </c>
      <c r="V29" s="75"/>
      <c r="W29" s="29"/>
    </row>
    <row r="30" spans="1:23">
      <c r="A30" s="170" t="s">
        <v>43</v>
      </c>
      <c r="B30" s="171"/>
      <c r="C30" s="172"/>
      <c r="D30" s="82">
        <f>E30/24</f>
        <v>1</v>
      </c>
      <c r="E30" s="3">
        <v>24</v>
      </c>
      <c r="F30" s="82">
        <f>G30/24</f>
        <v>151</v>
      </c>
      <c r="G30" s="3">
        <f>'[2]AUGUST 2021 '!$I$30</f>
        <v>3624</v>
      </c>
      <c r="H30" s="25">
        <f>I30/24</f>
        <v>20</v>
      </c>
      <c r="I30" s="28">
        <f>480</f>
        <v>480</v>
      </c>
      <c r="J30" s="1">
        <f t="shared" si="7"/>
        <v>5</v>
      </c>
      <c r="K30" s="3">
        <v>120</v>
      </c>
      <c r="L30" s="1">
        <f>M30/24</f>
        <v>116</v>
      </c>
      <c r="M30" s="3">
        <f>240+240+240+1200+360+240+24+240</f>
        <v>2784</v>
      </c>
      <c r="N30" s="25">
        <f>O30/24</f>
        <v>11</v>
      </c>
      <c r="O30" s="36">
        <f t="shared" ref="O30:O31" si="9">E30+G30-I30-K30-M30</f>
        <v>264</v>
      </c>
      <c r="P30" s="150"/>
      <c r="Q30" s="150"/>
      <c r="R30" s="150"/>
      <c r="S30" s="4">
        <v>264</v>
      </c>
      <c r="T30" s="8">
        <v>0</v>
      </c>
      <c r="U30" s="35">
        <f>S30+T30-O30</f>
        <v>0</v>
      </c>
      <c r="V30" s="75"/>
      <c r="W30" s="29"/>
    </row>
    <row r="31" spans="1:23" ht="15.75" thickBot="1">
      <c r="A31" s="170" t="s">
        <v>17</v>
      </c>
      <c r="B31" s="171"/>
      <c r="C31" s="172"/>
      <c r="D31" s="82">
        <f>E31/24</f>
        <v>11</v>
      </c>
      <c r="E31" s="3">
        <v>264</v>
      </c>
      <c r="F31" s="82">
        <f>G31/24</f>
        <v>1960</v>
      </c>
      <c r="G31" s="3">
        <f>'[2]AUGUST 2021 '!$J$30</f>
        <v>47040</v>
      </c>
      <c r="H31" s="25">
        <f>I31/24</f>
        <v>250</v>
      </c>
      <c r="I31" s="28">
        <f>2400+3600</f>
        <v>6000</v>
      </c>
      <c r="J31" s="1">
        <f t="shared" si="7"/>
        <v>225</v>
      </c>
      <c r="K31" s="3">
        <f>1200+4200</f>
        <v>5400</v>
      </c>
      <c r="L31" s="1">
        <f t="shared" si="8"/>
        <v>1287</v>
      </c>
      <c r="M31" s="3">
        <f>240+120+48+3840+240+168+72+168+2640+480+1800+1800+240+3600+3600+3120+48+240+24+360+240+2400+360+3000+600+1440</f>
        <v>30888</v>
      </c>
      <c r="N31" s="25">
        <f>O31/24</f>
        <v>209</v>
      </c>
      <c r="O31" s="36">
        <f t="shared" si="9"/>
        <v>5016</v>
      </c>
      <c r="P31" s="150"/>
      <c r="Q31" s="244"/>
      <c r="R31" s="245"/>
      <c r="S31" s="4">
        <v>5016</v>
      </c>
      <c r="T31" s="8">
        <f>0*24</f>
        <v>0</v>
      </c>
      <c r="U31" s="35">
        <f>S31+T31-O31</f>
        <v>0</v>
      </c>
      <c r="V31" s="75"/>
      <c r="W31" s="29"/>
    </row>
    <row r="32" spans="1:23" ht="15.75" thickBot="1">
      <c r="A32" s="161" t="s">
        <v>38</v>
      </c>
      <c r="B32" s="162"/>
      <c r="C32" s="163"/>
      <c r="D32" s="84">
        <f t="shared" ref="D32:O32" si="10">SUM(D29:D31)</f>
        <v>13</v>
      </c>
      <c r="E32" s="78">
        <f t="shared" si="10"/>
        <v>312</v>
      </c>
      <c r="F32" s="84">
        <f t="shared" si="10"/>
        <v>2401</v>
      </c>
      <c r="G32" s="78">
        <f t="shared" si="10"/>
        <v>57624</v>
      </c>
      <c r="H32" s="79">
        <f t="shared" si="10"/>
        <v>305</v>
      </c>
      <c r="I32" s="80">
        <f t="shared" si="10"/>
        <v>7320</v>
      </c>
      <c r="J32" s="84">
        <f t="shared" si="10"/>
        <v>235</v>
      </c>
      <c r="K32" s="78">
        <f t="shared" si="10"/>
        <v>5640</v>
      </c>
      <c r="L32" s="84">
        <f t="shared" si="10"/>
        <v>1640</v>
      </c>
      <c r="M32" s="78">
        <f t="shared" si="10"/>
        <v>39360</v>
      </c>
      <c r="N32" s="84">
        <f t="shared" si="10"/>
        <v>234</v>
      </c>
      <c r="O32" s="78">
        <f t="shared" si="10"/>
        <v>5616</v>
      </c>
      <c r="P32" s="151"/>
      <c r="Q32" s="151"/>
      <c r="R32" s="151"/>
      <c r="S32" s="17"/>
      <c r="T32" s="18"/>
      <c r="U32" s="30"/>
      <c r="V32" s="75"/>
      <c r="W32" s="29"/>
    </row>
    <row r="33" spans="1:23">
      <c r="A33" s="155" t="s">
        <v>19</v>
      </c>
      <c r="B33" s="156"/>
      <c r="C33" s="157"/>
      <c r="D33" s="85">
        <f>E33/12</f>
        <v>5</v>
      </c>
      <c r="E33" s="14">
        <v>60</v>
      </c>
      <c r="F33" s="85">
        <f>G33/12</f>
        <v>746</v>
      </c>
      <c r="G33" s="14">
        <f>'[2]AUGUST 2021 '!$K$30</f>
        <v>8952</v>
      </c>
      <c r="H33" s="23">
        <f>I33/12</f>
        <v>20</v>
      </c>
      <c r="I33" s="26">
        <f>120+120</f>
        <v>240</v>
      </c>
      <c r="J33" s="15">
        <f t="shared" ref="J33:J34" si="11">K33/12</f>
        <v>25</v>
      </c>
      <c r="K33" s="10">
        <f>180+120</f>
        <v>300</v>
      </c>
      <c r="L33" s="15">
        <f t="shared" ref="L33:L34" si="12">M33/12</f>
        <v>654</v>
      </c>
      <c r="M33" s="10">
        <f>24+2520+24+120+1800+12+24+1200+24+1800+60+24+60+48+48+60</f>
        <v>7848</v>
      </c>
      <c r="N33" s="23">
        <f>O33/12</f>
        <v>52</v>
      </c>
      <c r="O33" s="36">
        <f>E33+G33-I33-K33-M33</f>
        <v>624</v>
      </c>
      <c r="P33" s="150"/>
      <c r="Q33" s="150"/>
      <c r="R33" s="150"/>
      <c r="S33" s="5">
        <v>648</v>
      </c>
      <c r="T33" s="16">
        <f>0*12</f>
        <v>0</v>
      </c>
      <c r="U33" s="30">
        <f>S33+T33-O33</f>
        <v>24</v>
      </c>
      <c r="V33" s="86"/>
      <c r="W33" s="29"/>
    </row>
    <row r="34" spans="1:23" ht="15.75" thickBot="1">
      <c r="A34" s="158" t="s">
        <v>20</v>
      </c>
      <c r="B34" s="159"/>
      <c r="C34" s="160"/>
      <c r="D34" s="76">
        <f>E34/12</f>
        <v>0</v>
      </c>
      <c r="E34" s="12">
        <v>0</v>
      </c>
      <c r="F34" s="76">
        <f>G34/12</f>
        <v>50</v>
      </c>
      <c r="G34" s="12">
        <f>'[2]AUGUST 2021 '!$L$30</f>
        <v>600</v>
      </c>
      <c r="H34" s="24">
        <f>I34/12</f>
        <v>0</v>
      </c>
      <c r="I34" s="33">
        <v>0</v>
      </c>
      <c r="J34" s="13">
        <f t="shared" si="11"/>
        <v>0</v>
      </c>
      <c r="K34" s="12"/>
      <c r="L34" s="13">
        <f t="shared" si="12"/>
        <v>50</v>
      </c>
      <c r="M34" s="12">
        <f>600</f>
        <v>600</v>
      </c>
      <c r="N34" s="24">
        <f>O34/12</f>
        <v>0</v>
      </c>
      <c r="O34" s="36">
        <f>E34+G34-I34-K34-M34</f>
        <v>0</v>
      </c>
      <c r="P34" s="150"/>
      <c r="Q34" s="150"/>
      <c r="R34" s="150"/>
      <c r="S34" s="4">
        <v>0</v>
      </c>
      <c r="T34" s="22">
        <v>0</v>
      </c>
      <c r="U34" s="35">
        <f>S34+T34-O34</f>
        <v>0</v>
      </c>
      <c r="V34" s="75"/>
      <c r="W34" s="29"/>
    </row>
    <row r="35" spans="1:23" ht="15.75" thickBot="1">
      <c r="A35" s="161" t="s">
        <v>39</v>
      </c>
      <c r="B35" s="162"/>
      <c r="C35" s="163"/>
      <c r="D35" s="84">
        <f>SUM(D33:D34)</f>
        <v>5</v>
      </c>
      <c r="E35" s="78">
        <f t="shared" ref="E35:H35" si="13">SUM(E33:E34)</f>
        <v>60</v>
      </c>
      <c r="F35" s="84">
        <f t="shared" si="13"/>
        <v>796</v>
      </c>
      <c r="G35" s="78">
        <f t="shared" si="13"/>
        <v>9552</v>
      </c>
      <c r="H35" s="79">
        <f t="shared" si="13"/>
        <v>20</v>
      </c>
      <c r="I35" s="80">
        <f>SUM(I33:I34)</f>
        <v>240</v>
      </c>
      <c r="J35" s="84">
        <f t="shared" ref="J35:O35" si="14">SUM(J33:J34)</f>
        <v>25</v>
      </c>
      <c r="K35" s="78">
        <f t="shared" si="14"/>
        <v>300</v>
      </c>
      <c r="L35" s="84">
        <f t="shared" si="14"/>
        <v>704</v>
      </c>
      <c r="M35" s="78">
        <f t="shared" si="14"/>
        <v>8448</v>
      </c>
      <c r="N35" s="84">
        <f t="shared" si="14"/>
        <v>52</v>
      </c>
      <c r="O35" s="78">
        <f t="shared" si="14"/>
        <v>624</v>
      </c>
      <c r="P35" s="151"/>
      <c r="Q35" s="151"/>
      <c r="R35" s="151"/>
      <c r="S35" s="19"/>
      <c r="T35" s="20"/>
      <c r="U35" s="34"/>
      <c r="W35" s="29"/>
    </row>
    <row r="36" spans="1:23" ht="15.75" thickBot="1">
      <c r="A36" s="164" t="s">
        <v>21</v>
      </c>
      <c r="B36" s="165"/>
      <c r="C36" s="166"/>
      <c r="D36" s="87">
        <f t="shared" ref="D36:O36" si="15">D21+D22+D24+D25+D26+D27+D29+D30+D31+D33+D34</f>
        <v>62</v>
      </c>
      <c r="E36" s="87">
        <f t="shared" si="15"/>
        <v>1536</v>
      </c>
      <c r="F36" s="87">
        <f t="shared" si="15"/>
        <v>5026</v>
      </c>
      <c r="G36" s="87">
        <f t="shared" si="15"/>
        <v>118820</v>
      </c>
      <c r="H36" s="87">
        <f t="shared" si="15"/>
        <v>445</v>
      </c>
      <c r="I36" s="87">
        <f>I21+I22+I24+I25+I26+I27+I29+I30+I31+I33+I34</f>
        <v>10540</v>
      </c>
      <c r="J36" s="87">
        <f t="shared" si="15"/>
        <v>416</v>
      </c>
      <c r="K36" s="87">
        <f t="shared" si="15"/>
        <v>9750</v>
      </c>
      <c r="L36" s="87">
        <f t="shared" si="15"/>
        <v>3614</v>
      </c>
      <c r="M36" s="87">
        <f t="shared" si="15"/>
        <v>85138</v>
      </c>
      <c r="N36" s="87">
        <f t="shared" si="15"/>
        <v>613</v>
      </c>
      <c r="O36" s="87">
        <f t="shared" si="15"/>
        <v>14928</v>
      </c>
      <c r="P36" s="151"/>
      <c r="Q36" s="151"/>
      <c r="R36" s="151"/>
      <c r="S36" s="88">
        <f>SUM(S21:S34)</f>
        <v>14952</v>
      </c>
      <c r="T36" s="89">
        <f>SUM(T21:T34)</f>
        <v>0</v>
      </c>
      <c r="U36" s="147">
        <f>S36+T36-O36</f>
        <v>24</v>
      </c>
      <c r="W36" s="29"/>
    </row>
    <row r="37" spans="1:23" ht="9" customHeight="1">
      <c r="V37" s="32"/>
    </row>
    <row r="38" spans="1:23">
      <c r="W38" s="29"/>
    </row>
    <row r="40" spans="1:23">
      <c r="P40" s="75"/>
    </row>
    <row r="41" spans="1:23">
      <c r="G41" s="29"/>
    </row>
    <row r="42" spans="1:23" ht="18.75">
      <c r="P42" s="90"/>
    </row>
  </sheetData>
  <mergeCells count="92">
    <mergeCell ref="Q31:R31"/>
    <mergeCell ref="A7:R7"/>
    <mergeCell ref="A1:R1"/>
    <mergeCell ref="A2:R2"/>
    <mergeCell ref="A3:L3"/>
    <mergeCell ref="A4:B5"/>
    <mergeCell ref="C4:D4"/>
    <mergeCell ref="F4:F5"/>
    <mergeCell ref="H4:J4"/>
    <mergeCell ref="K4:L4"/>
    <mergeCell ref="C5:D5"/>
    <mergeCell ref="H5:J5"/>
    <mergeCell ref="K5:L5"/>
    <mergeCell ref="A6:B6"/>
    <mergeCell ref="C6:D6"/>
    <mergeCell ref="H6:J6"/>
    <mergeCell ref="K6:L6"/>
    <mergeCell ref="L9:M9"/>
    <mergeCell ref="N9:O9"/>
    <mergeCell ref="A8:A9"/>
    <mergeCell ref="B8:C8"/>
    <mergeCell ref="D8:D9"/>
    <mergeCell ref="E8:F9"/>
    <mergeCell ref="G8:G9"/>
    <mergeCell ref="H8:H9"/>
    <mergeCell ref="J8:K8"/>
    <mergeCell ref="L8:M8"/>
    <mergeCell ref="N8:O8"/>
    <mergeCell ref="P8:P9"/>
    <mergeCell ref="Q8:R9"/>
    <mergeCell ref="Q11:R11"/>
    <mergeCell ref="B10:C10"/>
    <mergeCell ref="E10:F10"/>
    <mergeCell ref="J10:K10"/>
    <mergeCell ref="L10:M10"/>
    <mergeCell ref="N10:O10"/>
    <mergeCell ref="Q10:R10"/>
    <mergeCell ref="B11:C11"/>
    <mergeCell ref="E11:F11"/>
    <mergeCell ref="J11:K11"/>
    <mergeCell ref="L11:M11"/>
    <mergeCell ref="N11:O11"/>
    <mergeCell ref="B9:C9"/>
    <mergeCell ref="J9:K9"/>
    <mergeCell ref="Q13:R13"/>
    <mergeCell ref="B12:C12"/>
    <mergeCell ref="E12:F12"/>
    <mergeCell ref="J12:K12"/>
    <mergeCell ref="L12:M12"/>
    <mergeCell ref="N12:O12"/>
    <mergeCell ref="Q12:R12"/>
    <mergeCell ref="B13:C13"/>
    <mergeCell ref="E13:F13"/>
    <mergeCell ref="J13:K13"/>
    <mergeCell ref="L13:M13"/>
    <mergeCell ref="N13:O13"/>
    <mergeCell ref="B14:C14"/>
    <mergeCell ref="E14:F14"/>
    <mergeCell ref="J14:K14"/>
    <mergeCell ref="L14:M14"/>
    <mergeCell ref="Q14:R14"/>
    <mergeCell ref="A26:C26"/>
    <mergeCell ref="Q15:R15"/>
    <mergeCell ref="A17:C20"/>
    <mergeCell ref="D17:O17"/>
    <mergeCell ref="D18:E19"/>
    <mergeCell ref="F18:G19"/>
    <mergeCell ref="H18:K18"/>
    <mergeCell ref="L18:M19"/>
    <mergeCell ref="N18:O19"/>
    <mergeCell ref="H19:I19"/>
    <mergeCell ref="J19:K19"/>
    <mergeCell ref="B15:C15"/>
    <mergeCell ref="E15:F15"/>
    <mergeCell ref="J15:K15"/>
    <mergeCell ref="L15:M15"/>
    <mergeCell ref="N15:O15"/>
    <mergeCell ref="A21:C21"/>
    <mergeCell ref="A22:C22"/>
    <mergeCell ref="A23:C23"/>
    <mergeCell ref="A24:C24"/>
    <mergeCell ref="A25:C25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32:C32"/>
  </mergeCells>
  <pageMargins left="0.23" right="0.25" top="0.28000000000000003" bottom="0.22" header="0.22" footer="0.15"/>
  <pageSetup paperSize="9" orientation="landscape" verticalDpi="300" r:id="rId1"/>
  <ignoredErrors>
    <ignoredError sqref="K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 2021-22</vt:lpstr>
      <vt:lpstr>May 2021</vt:lpstr>
      <vt:lpstr>June 2021</vt:lpstr>
      <vt:lpstr>July 2021</vt:lpstr>
      <vt:lpstr>AUGUST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sarowar</dc:creator>
  <cp:lastModifiedBy>pataka</cp:lastModifiedBy>
  <cp:lastPrinted>2021-09-01T05:30:38Z</cp:lastPrinted>
  <dcterms:created xsi:type="dcterms:W3CDTF">2013-12-03T07:20:57Z</dcterms:created>
  <dcterms:modified xsi:type="dcterms:W3CDTF">2021-09-01T05:30:40Z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95524085-d755-462d-8fd6-b20d96b49f2b</vt:lpwstr>
  </property>
</Properties>
</file>