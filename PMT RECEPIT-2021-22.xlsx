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4"/>
  </bookViews>
  <sheets>
    <sheet name="April 2021" sheetId="31" r:id="rId1"/>
    <sheet name="May 2021" sheetId="32" r:id="rId2"/>
    <sheet name="June 2021" sheetId="33" r:id="rId3"/>
    <sheet name="JULY 2021" sheetId="35" r:id="rId4"/>
    <sheet name="August 2021" sheetId="36" r:id="rId5"/>
  </sheets>
  <definedNames>
    <definedName name="_xlnm._FilterDatabase" localSheetId="0" hidden="1">'April 2021'!$A$2:$K$10</definedName>
    <definedName name="_xlnm._FilterDatabase" localSheetId="4" hidden="1">'August 2021'!$A$2:$K$24</definedName>
    <definedName name="_xlnm._FilterDatabase" localSheetId="3" hidden="1">'JULY 2021'!$A$2:$K$24</definedName>
    <definedName name="_xlnm._FilterDatabase" localSheetId="2" hidden="1">'June 2021'!$A$2:$K$24</definedName>
    <definedName name="_xlnm._FilterDatabase" localSheetId="1" hidden="1">'May 2021'!$A$2:$K$6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5" i="36"/>
  <c r="G25" i="35"/>
  <c r="G25" i="33"/>
  <c r="G7" i="32"/>
  <c r="G11" i="31" l="1"/>
</calcChain>
</file>

<file path=xl/sharedStrings.xml><?xml version="1.0" encoding="utf-8"?>
<sst xmlns="http://schemas.openxmlformats.org/spreadsheetml/2006/main" count="262" uniqueCount="155">
  <si>
    <t>QUANTITY</t>
  </si>
  <si>
    <t>NAME OF THE PARTY</t>
  </si>
  <si>
    <t>PARTICULAR</t>
  </si>
  <si>
    <t>AMOUNT</t>
  </si>
  <si>
    <t>TRUCK NO.</t>
  </si>
  <si>
    <t>FORM NO. 38</t>
  </si>
  <si>
    <t>DATE OF ARRIVAL</t>
  </si>
  <si>
    <t xml:space="preserve">DATE OF INVOICE </t>
  </si>
  <si>
    <t>NO.OF INVOICE</t>
  </si>
  <si>
    <t xml:space="preserve">TOTAL FOR THE MONTH OFAPRIL 2021-22 </t>
  </si>
  <si>
    <t>21.04.2021</t>
  </si>
  <si>
    <t>Vidhya Bag house</t>
  </si>
  <si>
    <t>5 Kg Non woven Bags</t>
  </si>
  <si>
    <t>DL-01-LAD-6945</t>
  </si>
  <si>
    <t>Canvas bag Special 250g</t>
  </si>
  <si>
    <t>26.04.2021</t>
  </si>
  <si>
    <t>24.04.2021</t>
  </si>
  <si>
    <t>UMA/M/21-22/127</t>
  </si>
  <si>
    <t>UMA Polymers Limited</t>
  </si>
  <si>
    <t>Rs. 5 premiun laminate</t>
  </si>
  <si>
    <t>HR-56-A-8317</t>
  </si>
  <si>
    <t>UMA/M/21-22/123</t>
  </si>
  <si>
    <t>500g Special Laminated Pouch</t>
  </si>
  <si>
    <t>16.04.2021</t>
  </si>
  <si>
    <t>15.04.2021</t>
  </si>
  <si>
    <t>Polycon International LTD.</t>
  </si>
  <si>
    <t>Pet jar</t>
  </si>
  <si>
    <t>HR-38-Z-6429</t>
  </si>
  <si>
    <t>15.05.2021</t>
  </si>
  <si>
    <t>TOTAL FOR THE MONTH OF MAY 2021</t>
  </si>
  <si>
    <t>PACKING MATERIALS RECEIVAD FOR THE MONTH OF MAY 2021</t>
  </si>
  <si>
    <t>06.05.2021</t>
  </si>
  <si>
    <t>04.05.2021</t>
  </si>
  <si>
    <t>RJ-02-GB-3687</t>
  </si>
  <si>
    <t>Special 250g laminate</t>
  </si>
  <si>
    <t>Non Woven Bags</t>
  </si>
  <si>
    <t>UMA/M/21-22/195</t>
  </si>
  <si>
    <t>27.05.2021</t>
  </si>
  <si>
    <t>WB-23-E-4841</t>
  </si>
  <si>
    <t>250g Liner</t>
  </si>
  <si>
    <t>31.05.2021</t>
  </si>
  <si>
    <t>16.05.2021</t>
  </si>
  <si>
    <t>Royal Touch Fablion</t>
  </si>
  <si>
    <t>PACKING MATERIALS RECEIVAD FOR THE MONTH OF JUNE 2021</t>
  </si>
  <si>
    <t>PACKING MATERIALS RECEIVAD FOR THE MONTH OF APRIL 2021</t>
  </si>
  <si>
    <t>03.06.2021</t>
  </si>
  <si>
    <t>Special 500g</t>
  </si>
  <si>
    <t>Special 1Kg</t>
  </si>
  <si>
    <t>special 250g</t>
  </si>
  <si>
    <t>DL-1L-AD-6945</t>
  </si>
  <si>
    <t>07.06.2021</t>
  </si>
  <si>
    <t>04.06.2021</t>
  </si>
  <si>
    <t>16.06.2021</t>
  </si>
  <si>
    <t>10.06.2021</t>
  </si>
  <si>
    <t>UMA/M/21.22/446</t>
  </si>
  <si>
    <t>UMA/M/21.22/445</t>
  </si>
  <si>
    <t>Rs. 10 Patatka Premimu</t>
  </si>
  <si>
    <t>Premium 250g</t>
  </si>
  <si>
    <t>RJ-14-GJ-3526</t>
  </si>
  <si>
    <t>18.06.2021</t>
  </si>
  <si>
    <t>14.06.2021</t>
  </si>
  <si>
    <t>UMA/M/21.22/483</t>
  </si>
  <si>
    <t>1Kg Special Laminate</t>
  </si>
  <si>
    <t>RJ-14-GG-6053</t>
  </si>
  <si>
    <t>25.06.2021</t>
  </si>
  <si>
    <t>Non Wovwn bags</t>
  </si>
  <si>
    <t>Special 250g</t>
  </si>
  <si>
    <t>Special 1kg</t>
  </si>
  <si>
    <t>26.06.2021</t>
  </si>
  <si>
    <t>19.06.2021</t>
  </si>
  <si>
    <t>EIS/21-22/369</t>
  </si>
  <si>
    <t>Eastern Industrial Syndicate</t>
  </si>
  <si>
    <t>500 g Foil Disk</t>
  </si>
  <si>
    <t>25000 pcs</t>
  </si>
  <si>
    <t>CART/21-22/002</t>
  </si>
  <si>
    <t>Pataka industries Pvt.ltd.</t>
  </si>
  <si>
    <t>500 g cfc</t>
  </si>
  <si>
    <t>250 g cfc</t>
  </si>
  <si>
    <t>1400 pcs</t>
  </si>
  <si>
    <t>1000 pcs</t>
  </si>
  <si>
    <t>WB-25-G-0844</t>
  </si>
  <si>
    <t>28.06.2021</t>
  </si>
  <si>
    <t>Polycon international LTD.</t>
  </si>
  <si>
    <t>500 g jar</t>
  </si>
  <si>
    <t>30942 pcs</t>
  </si>
  <si>
    <t>HR-55-X-3874</t>
  </si>
  <si>
    <t>29.06.2021</t>
  </si>
  <si>
    <t>05.07.2021</t>
  </si>
  <si>
    <t>CART/21-22/003</t>
  </si>
  <si>
    <t>22.06.2021</t>
  </si>
  <si>
    <t>Pataka industries Pvt.Ltd.</t>
  </si>
  <si>
    <t>550 pcs</t>
  </si>
  <si>
    <t>07.07.2021</t>
  </si>
  <si>
    <t>Vidhya Bag House</t>
  </si>
  <si>
    <t>Special 250 g</t>
  </si>
  <si>
    <t>1500 Pcs</t>
  </si>
  <si>
    <t>Dl-01-LAD-6945</t>
  </si>
  <si>
    <t>5KG Non Woven Bags</t>
  </si>
  <si>
    <t>4200 Pcs</t>
  </si>
  <si>
    <t>15.07.2021</t>
  </si>
  <si>
    <t>2600 Pcs</t>
  </si>
  <si>
    <t>22.07.2021</t>
  </si>
  <si>
    <t>08.07.2021</t>
  </si>
  <si>
    <t>BPW/007/2021-22</t>
  </si>
  <si>
    <t>BHAGIRATHI PRINTING WORKS</t>
  </si>
  <si>
    <t>102000 Pcs</t>
  </si>
  <si>
    <t>30.06.2021</t>
  </si>
  <si>
    <t>EIS/21-22/408</t>
  </si>
  <si>
    <t>500G MUKTA STICKER</t>
  </si>
  <si>
    <t>Eastern Indrustrial Syndicate</t>
  </si>
  <si>
    <t>500foildish</t>
  </si>
  <si>
    <t xml:space="preserve">24000Pcs </t>
  </si>
  <si>
    <t>26.07.2021</t>
  </si>
  <si>
    <t>03.08.2021</t>
  </si>
  <si>
    <t>02.08.2021</t>
  </si>
  <si>
    <t>k-2344</t>
  </si>
  <si>
    <t>500 G Mukta Jar</t>
  </si>
  <si>
    <t>31104 Pcs</t>
  </si>
  <si>
    <t>RJ-14-GL-8700</t>
  </si>
  <si>
    <t>11.08.2021</t>
  </si>
  <si>
    <t>Vidhya bag house</t>
  </si>
  <si>
    <t>5Kg Non woven bag</t>
  </si>
  <si>
    <t>DL01LAD6945</t>
  </si>
  <si>
    <t>16.08.2021</t>
  </si>
  <si>
    <t>14.08.2021</t>
  </si>
  <si>
    <t>UMA/M/21-22/945</t>
  </si>
  <si>
    <t>UMA POLYMERS LTD.</t>
  </si>
  <si>
    <t>250 G SPECIAL LAMINATE</t>
  </si>
  <si>
    <t>2000 PCS</t>
  </si>
  <si>
    <t>4036.79 KGS</t>
  </si>
  <si>
    <t>HR-39-D-1356</t>
  </si>
  <si>
    <t>29.07.2021</t>
  </si>
  <si>
    <t>CART/21-22/006</t>
  </si>
  <si>
    <t>PATAKA INDUSTRIES PVT. LTD.</t>
  </si>
  <si>
    <t>500 G MUKTA JAR CFC</t>
  </si>
  <si>
    <t>700 PCS</t>
  </si>
  <si>
    <t>DL-01-M-9626</t>
  </si>
  <si>
    <t>CART/21-22/007</t>
  </si>
  <si>
    <t>1300 PCS</t>
  </si>
  <si>
    <t>EIS/21-22/619</t>
  </si>
  <si>
    <t>EASTERN INDUSTRIAL SYNDICATE</t>
  </si>
  <si>
    <t xml:space="preserve">500 G FOIL DISK </t>
  </si>
  <si>
    <t>52000 PCS.</t>
  </si>
  <si>
    <t>23.08.2021</t>
  </si>
  <si>
    <t>17.08.2021</t>
  </si>
  <si>
    <t>2300  NOS.</t>
  </si>
  <si>
    <t>CART/21-22/005</t>
  </si>
  <si>
    <t>18.08.2021</t>
  </si>
  <si>
    <t>CART/21-22/008</t>
  </si>
  <si>
    <t>664 NOS.</t>
  </si>
  <si>
    <t>RTF/K/211021-22</t>
  </si>
  <si>
    <t>ROYAL TOUCH FABLON PVT.LTD.</t>
  </si>
  <si>
    <t>2 KG LINNER</t>
  </si>
  <si>
    <t>10000 NOS.</t>
  </si>
  <si>
    <t>DL-01-GC-8258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</si>
</sst>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4" fillId="2" borderId="1" xfId="0" applyFont="1" applyFill="1" applyBorder="1" applyAlignment="1">
      <alignment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0" fontId="0" fillId="2" borderId="0" xfId="0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0" applyNumberFormat="1" applyFill="1" applyAlignment="1">
      <alignment horizontal="right"/>
    </xf>
    <xf numFmtId="0" fontId="4" fillId="2" borderId="5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2" borderId="10" xfId="0" applyFill="1" applyBorder="1" applyAlignment="1">
      <alignment horizontal="center"/>
    </xf>
    <xf numFmtId="2" fontId="1" fillId="2" borderId="3" xfId="0" applyNumberFormat="1" applyFont="1" applyFill="1" applyBorder="1" applyAlignment="1">
      <alignment horizontal="right"/>
    </xf>
    <xf numFmtId="1" fontId="0" fillId="2" borderId="1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vertical="center"/>
    </xf>
    <xf numFmtId="1" fontId="4" fillId="2" borderId="9" xfId="0" applyNumberFormat="1" applyFont="1" applyFill="1" applyBorder="1" applyAlignment="1">
      <alignment vertical="center"/>
    </xf>
    <xf numFmtId="0" fontId="3" fillId="2" borderId="19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/>
    </xf>
    <xf numFmtId="1" fontId="3" fillId="2" borderId="21" xfId="0" applyNumberFormat="1" applyFont="1" applyFill="1" applyBorder="1" applyAlignment="1">
      <alignment horizontal="center" vertical="center" wrapText="1"/>
    </xf>
    <xf numFmtId="0" fontId="4" fillId="2" borderId="9" xfId="0" applyNumberFormat="1" applyFont="1" applyFill="1" applyBorder="1" applyAlignment="1">
      <alignment horizontal="center" vertical="center"/>
    </xf>
    <xf numFmtId="1" fontId="4" fillId="2" borderId="18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17" xfId="0" applyNumberFormat="1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/>
    </xf>
    <xf numFmtId="1" fontId="3" fillId="2" borderId="24" xfId="0" applyNumberFormat="1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" fontId="4" fillId="2" borderId="26" xfId="0" applyNumberFormat="1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1" fontId="4" fillId="2" borderId="29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right" vertical="center"/>
    </xf>
    <xf numFmtId="0" fontId="4" fillId="2" borderId="25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right" vertical="center"/>
    </xf>
    <xf numFmtId="0" fontId="4" fillId="2" borderId="28" xfId="0" applyFont="1" applyFill="1" applyBorder="1" applyAlignment="1">
      <alignment horizontal="right" vertical="center"/>
    </xf>
    <xf numFmtId="0" fontId="0" fillId="2" borderId="10" xfId="0" applyFill="1" applyBorder="1" applyAlignment="1">
      <alignment horizontal="right"/>
    </xf>
    <xf numFmtId="1" fontId="4" fillId="2" borderId="29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center"/>
    </xf>
    <xf numFmtId="2" fontId="0" fillId="2" borderId="0" xfId="0" applyNumberFormat="1" applyFill="1" applyAlignment="1">
      <alignment horizontal="center"/>
    </xf>
    <xf numFmtId="0" fontId="4" fillId="2" borderId="13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1" fontId="4" fillId="2" borderId="14" xfId="0" applyNumberFormat="1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1" fontId="4" fillId="2" borderId="16" xfId="0" applyNumberFormat="1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2" fontId="4" fillId="2" borderId="2" xfId="0" applyNumberFormat="1" applyFont="1" applyFill="1" applyBorder="1" applyAlignment="1">
      <alignment horizontal="right" vertical="center"/>
    </xf>
    <xf numFmtId="2" fontId="4" fillId="2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5"/>
  <sheetViews>
    <sheetView workbookViewId="0">
      <selection activeCell="D8" sqref="D8:D9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7" t="s">
        <v>44</v>
      </c>
      <c r="B1" s="68"/>
      <c r="C1" s="68"/>
      <c r="D1" s="68"/>
      <c r="E1" s="68"/>
      <c r="F1" s="68"/>
      <c r="G1" s="68"/>
      <c r="H1" s="68"/>
      <c r="I1" s="69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22" t="s">
        <v>24</v>
      </c>
      <c r="B3" s="22" t="s">
        <v>28</v>
      </c>
      <c r="C3" s="21">
        <v>13</v>
      </c>
      <c r="D3" s="21" t="s">
        <v>11</v>
      </c>
      <c r="E3" s="21" t="s">
        <v>35</v>
      </c>
      <c r="F3" s="22">
        <v>2700</v>
      </c>
      <c r="G3" s="22">
        <v>60534</v>
      </c>
      <c r="H3" s="22" t="s">
        <v>13</v>
      </c>
      <c r="I3" s="24">
        <v>741189998356</v>
      </c>
      <c r="J3" s="6"/>
      <c r="K3" s="6"/>
    </row>
    <row r="4" spans="1:11" s="7" customFormat="1" ht="15" customHeight="1">
      <c r="A4" s="22" t="s">
        <v>23</v>
      </c>
      <c r="B4" s="22" t="s">
        <v>24</v>
      </c>
      <c r="C4" s="21">
        <v>2036</v>
      </c>
      <c r="D4" s="21" t="s">
        <v>25</v>
      </c>
      <c r="E4" s="21" t="s">
        <v>26</v>
      </c>
      <c r="F4" s="22">
        <v>32400</v>
      </c>
      <c r="G4" s="22">
        <v>389966.4</v>
      </c>
      <c r="H4" s="21" t="s">
        <v>27</v>
      </c>
      <c r="I4" s="24">
        <v>701186878145</v>
      </c>
      <c r="J4" s="6"/>
      <c r="K4" s="6"/>
    </row>
    <row r="5" spans="1:11" s="7" customFormat="1" ht="15" customHeight="1">
      <c r="A5" s="70" t="s">
        <v>10</v>
      </c>
      <c r="B5" s="71" t="s">
        <v>10</v>
      </c>
      <c r="C5" s="29">
        <v>7</v>
      </c>
      <c r="D5" s="71" t="s">
        <v>11</v>
      </c>
      <c r="E5" s="21" t="s">
        <v>12</v>
      </c>
      <c r="F5" s="22">
        <v>1800</v>
      </c>
      <c r="G5" s="22">
        <v>40356</v>
      </c>
      <c r="H5" s="71" t="s">
        <v>13</v>
      </c>
      <c r="I5" s="32">
        <v>741187707460</v>
      </c>
      <c r="J5" s="6"/>
      <c r="K5" s="6"/>
    </row>
    <row r="6" spans="1:11" s="7" customFormat="1" ht="15" customHeight="1">
      <c r="A6" s="64"/>
      <c r="B6" s="66"/>
      <c r="C6" s="20">
        <v>6</v>
      </c>
      <c r="D6" s="66"/>
      <c r="E6" s="20" t="s">
        <v>14</v>
      </c>
      <c r="F6" s="1">
        <v>2700</v>
      </c>
      <c r="G6" s="1">
        <v>184275</v>
      </c>
      <c r="H6" s="66"/>
      <c r="I6" s="31">
        <v>731187707298</v>
      </c>
      <c r="J6" s="6"/>
      <c r="K6" s="6"/>
    </row>
    <row r="7" spans="1:11" s="7" customFormat="1" ht="15" customHeight="1">
      <c r="A7" s="4"/>
      <c r="B7" s="1"/>
      <c r="C7" s="20"/>
      <c r="D7" s="20"/>
      <c r="E7" s="20"/>
      <c r="F7" s="1"/>
      <c r="G7" s="1"/>
      <c r="H7" s="1"/>
      <c r="I7" s="32"/>
      <c r="J7" s="6"/>
      <c r="K7" s="6"/>
    </row>
    <row r="8" spans="1:11" s="7" customFormat="1" ht="15" customHeight="1">
      <c r="A8" s="63" t="s">
        <v>15</v>
      </c>
      <c r="B8" s="65" t="s">
        <v>16</v>
      </c>
      <c r="C8" s="20" t="s">
        <v>17</v>
      </c>
      <c r="D8" s="65" t="s">
        <v>18</v>
      </c>
      <c r="E8" s="20" t="s">
        <v>19</v>
      </c>
      <c r="F8" s="1">
        <v>1086.95</v>
      </c>
      <c r="G8" s="1">
        <v>322255</v>
      </c>
      <c r="H8" s="65" t="s">
        <v>20</v>
      </c>
      <c r="I8" s="31">
        <v>741188142321</v>
      </c>
      <c r="J8" s="6"/>
      <c r="K8" s="6"/>
    </row>
    <row r="9" spans="1:11" s="7" customFormat="1" ht="15" customHeight="1">
      <c r="A9" s="64"/>
      <c r="B9" s="66"/>
      <c r="C9" s="20" t="s">
        <v>21</v>
      </c>
      <c r="D9" s="66"/>
      <c r="E9" s="20" t="s">
        <v>22</v>
      </c>
      <c r="F9" s="1">
        <v>65700</v>
      </c>
      <c r="G9" s="1">
        <v>267732</v>
      </c>
      <c r="H9" s="66"/>
      <c r="I9" s="30">
        <v>721188142255</v>
      </c>
      <c r="J9" s="6"/>
      <c r="K9" s="6"/>
    </row>
    <row r="10" spans="1:11" s="7" customFormat="1" ht="15" customHeight="1">
      <c r="A10" s="1"/>
      <c r="B10" s="1"/>
      <c r="C10" s="1"/>
      <c r="D10" s="1"/>
      <c r="E10" s="1"/>
      <c r="F10" s="1"/>
      <c r="G10" s="1"/>
      <c r="H10" s="1"/>
      <c r="I10" s="13"/>
      <c r="J10" s="6"/>
      <c r="K10" s="6"/>
    </row>
    <row r="11" spans="1:11" ht="15.75" thickBot="1">
      <c r="A11" s="16" t="s">
        <v>9</v>
      </c>
      <c r="B11" s="8"/>
      <c r="C11" s="14"/>
      <c r="D11" s="16"/>
      <c r="E11" s="8"/>
      <c r="F11" s="17"/>
      <c r="G11" s="18">
        <f>SUM(G3:G10)</f>
        <v>1265118.3999999999</v>
      </c>
      <c r="H11" s="17"/>
      <c r="I11" s="19"/>
      <c r="J11" s="9"/>
      <c r="K11" s="9"/>
    </row>
    <row r="12" spans="1:11">
      <c r="J12" s="9"/>
      <c r="K12" s="9"/>
    </row>
    <row r="14" spans="1:11">
      <c r="G14" s="12"/>
    </row>
    <row r="15" spans="1:11">
      <c r="G15" s="12"/>
    </row>
  </sheetData>
  <mergeCells count="9">
    <mergeCell ref="A8:A9"/>
    <mergeCell ref="B8:B9"/>
    <mergeCell ref="D8:D9"/>
    <mergeCell ref="H8:H9"/>
    <mergeCell ref="A1:I1"/>
    <mergeCell ref="A5:A6"/>
    <mergeCell ref="B5:B6"/>
    <mergeCell ref="D5:D6"/>
    <mergeCell ref="H5:H6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D5" sqref="D5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7" t="s">
        <v>30</v>
      </c>
      <c r="B1" s="68"/>
      <c r="C1" s="68"/>
      <c r="D1" s="68"/>
      <c r="E1" s="68"/>
      <c r="F1" s="68"/>
      <c r="G1" s="68"/>
      <c r="H1" s="68"/>
      <c r="I1" s="69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21" t="s">
        <v>31</v>
      </c>
      <c r="B3" s="21" t="s">
        <v>32</v>
      </c>
      <c r="C3" s="20" t="s">
        <v>36</v>
      </c>
      <c r="D3" s="21" t="s">
        <v>18</v>
      </c>
      <c r="E3" s="21" t="s">
        <v>34</v>
      </c>
      <c r="F3" s="22">
        <v>4045.27</v>
      </c>
      <c r="G3" s="22">
        <v>1227995</v>
      </c>
      <c r="H3" s="21" t="s">
        <v>33</v>
      </c>
      <c r="I3" s="33">
        <v>761189045364</v>
      </c>
      <c r="J3" s="6"/>
      <c r="K3" s="6"/>
    </row>
    <row r="4" spans="1:11" s="7" customFormat="1" ht="15" customHeight="1">
      <c r="A4" s="20" t="s">
        <v>28</v>
      </c>
      <c r="B4" s="20" t="s">
        <v>28</v>
      </c>
      <c r="C4" s="20">
        <v>13</v>
      </c>
      <c r="D4" s="20" t="s">
        <v>11</v>
      </c>
      <c r="E4" s="20" t="s">
        <v>35</v>
      </c>
      <c r="F4" s="1">
        <v>2700</v>
      </c>
      <c r="G4" s="1">
        <v>60534</v>
      </c>
      <c r="H4" s="20" t="s">
        <v>13</v>
      </c>
      <c r="I4" s="23"/>
      <c r="J4" s="6"/>
      <c r="K4" s="6"/>
    </row>
    <row r="5" spans="1:11" s="7" customFormat="1" ht="15" customHeight="1">
      <c r="A5" s="20" t="s">
        <v>37</v>
      </c>
      <c r="B5" s="20" t="s">
        <v>37</v>
      </c>
      <c r="C5" s="20">
        <v>17</v>
      </c>
      <c r="D5" s="20" t="s">
        <v>11</v>
      </c>
      <c r="E5" s="20" t="s">
        <v>35</v>
      </c>
      <c r="F5" s="1">
        <v>1250</v>
      </c>
      <c r="G5" s="1">
        <v>28025</v>
      </c>
      <c r="H5" s="20" t="s">
        <v>13</v>
      </c>
      <c r="I5" s="23"/>
      <c r="J5" s="6"/>
      <c r="K5" s="6"/>
    </row>
    <row r="6" spans="1:11" s="7" customFormat="1" ht="15" customHeight="1">
      <c r="A6" s="20" t="s">
        <v>40</v>
      </c>
      <c r="B6" s="20" t="s">
        <v>41</v>
      </c>
      <c r="C6" s="20"/>
      <c r="D6" s="20" t="s">
        <v>42</v>
      </c>
      <c r="E6" s="20" t="s">
        <v>39</v>
      </c>
      <c r="F6" s="1">
        <v>100000</v>
      </c>
      <c r="G6" s="1">
        <v>177000</v>
      </c>
      <c r="H6" s="20" t="s">
        <v>38</v>
      </c>
      <c r="I6" s="23"/>
      <c r="J6" s="6"/>
      <c r="K6" s="6"/>
    </row>
    <row r="7" spans="1:11" ht="15.75" thickBot="1">
      <c r="A7" s="16" t="s">
        <v>29</v>
      </c>
      <c r="B7" s="8"/>
      <c r="C7" s="14"/>
      <c r="D7" s="16"/>
      <c r="E7" s="8"/>
      <c r="F7" s="17"/>
      <c r="G7" s="18">
        <f>SUM(G3:G6)</f>
        <v>1493554</v>
      </c>
      <c r="H7" s="17"/>
      <c r="I7" s="19"/>
      <c r="J7" s="9"/>
      <c r="K7" s="9"/>
    </row>
    <row r="8" spans="1:11">
      <c r="J8" s="9"/>
      <c r="K8" s="9"/>
    </row>
    <row r="10" spans="1:11">
      <c r="G10" s="12"/>
    </row>
    <row r="11" spans="1:11">
      <c r="G11" s="12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9"/>
  <sheetViews>
    <sheetView topLeftCell="A5" workbookViewId="0">
      <selection activeCell="A21" sqref="A21:A24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7" t="s">
        <v>43</v>
      </c>
      <c r="B1" s="68"/>
      <c r="C1" s="68"/>
      <c r="D1" s="68"/>
      <c r="E1" s="68"/>
      <c r="F1" s="68"/>
      <c r="G1" s="68"/>
      <c r="H1" s="68"/>
      <c r="I1" s="69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75" t="s">
        <v>45</v>
      </c>
      <c r="B3" s="75" t="s">
        <v>45</v>
      </c>
      <c r="C3" s="75">
        <v>20</v>
      </c>
      <c r="D3" s="75" t="s">
        <v>11</v>
      </c>
      <c r="E3" s="34" t="s">
        <v>46</v>
      </c>
      <c r="F3" s="35">
        <v>560</v>
      </c>
      <c r="G3" s="75">
        <v>277504</v>
      </c>
      <c r="H3" s="75" t="s">
        <v>49</v>
      </c>
      <c r="I3" s="33"/>
      <c r="J3" s="6"/>
      <c r="K3" s="6"/>
    </row>
    <row r="4" spans="1:11" s="7" customFormat="1" ht="15" customHeight="1">
      <c r="A4" s="71"/>
      <c r="B4" s="71"/>
      <c r="C4" s="71"/>
      <c r="D4" s="71"/>
      <c r="E4" s="20" t="s">
        <v>47</v>
      </c>
      <c r="F4" s="20">
        <v>506</v>
      </c>
      <c r="G4" s="71"/>
      <c r="H4" s="71"/>
      <c r="I4" s="23"/>
      <c r="J4" s="6"/>
      <c r="K4" s="6"/>
    </row>
    <row r="5" spans="1:11" s="7" customFormat="1" ht="15" customHeight="1">
      <c r="A5" s="66"/>
      <c r="B5" s="66"/>
      <c r="C5" s="66"/>
      <c r="D5" s="71"/>
      <c r="E5" s="20" t="s">
        <v>48</v>
      </c>
      <c r="F5" s="20">
        <v>3000</v>
      </c>
      <c r="G5" s="66"/>
      <c r="H5" s="71"/>
      <c r="I5" s="23"/>
      <c r="J5" s="6"/>
      <c r="K5" s="6"/>
    </row>
    <row r="6" spans="1:11" s="7" customFormat="1" ht="15" customHeight="1">
      <c r="A6" s="65" t="s">
        <v>50</v>
      </c>
      <c r="B6" s="20" t="s">
        <v>51</v>
      </c>
      <c r="C6" s="20">
        <v>21</v>
      </c>
      <c r="D6" s="71"/>
      <c r="E6" s="65" t="s">
        <v>35</v>
      </c>
      <c r="F6" s="20">
        <v>2900</v>
      </c>
      <c r="G6" s="20">
        <v>75008</v>
      </c>
      <c r="H6" s="71"/>
      <c r="I6" s="23"/>
      <c r="J6" s="6"/>
      <c r="K6" s="6"/>
    </row>
    <row r="7" spans="1:11" s="7" customFormat="1" ht="15" customHeight="1">
      <c r="A7" s="66"/>
      <c r="B7" s="20" t="s">
        <v>50</v>
      </c>
      <c r="C7" s="20">
        <v>23</v>
      </c>
      <c r="D7" s="66"/>
      <c r="E7" s="66"/>
      <c r="F7" s="20">
        <v>2350</v>
      </c>
      <c r="G7" s="20">
        <v>52687</v>
      </c>
      <c r="H7" s="66"/>
      <c r="I7" s="23"/>
      <c r="J7" s="6"/>
      <c r="K7" s="6"/>
    </row>
    <row r="8" spans="1:11" s="7" customFormat="1" ht="15" customHeight="1">
      <c r="A8" s="36"/>
      <c r="B8" s="20"/>
      <c r="C8" s="20"/>
      <c r="D8" s="36"/>
      <c r="E8" s="36"/>
      <c r="F8" s="20"/>
      <c r="G8" s="20"/>
      <c r="H8" s="36"/>
      <c r="I8" s="23"/>
      <c r="J8" s="6"/>
      <c r="K8" s="6"/>
    </row>
    <row r="9" spans="1:11" s="7" customFormat="1" ht="15" customHeight="1">
      <c r="A9" s="65" t="s">
        <v>52</v>
      </c>
      <c r="B9" s="65" t="s">
        <v>53</v>
      </c>
      <c r="C9" s="20" t="s">
        <v>54</v>
      </c>
      <c r="D9" s="65" t="s">
        <v>18</v>
      </c>
      <c r="E9" s="36" t="s">
        <v>56</v>
      </c>
      <c r="F9" s="20">
        <v>1113650</v>
      </c>
      <c r="G9" s="20">
        <v>318332</v>
      </c>
      <c r="H9" s="65" t="s">
        <v>58</v>
      </c>
      <c r="I9" s="23">
        <v>711193010548</v>
      </c>
      <c r="J9" s="6"/>
      <c r="K9" s="6"/>
    </row>
    <row r="10" spans="1:11" s="7" customFormat="1" ht="15" customHeight="1">
      <c r="A10" s="66"/>
      <c r="B10" s="66"/>
      <c r="C10" s="20" t="s">
        <v>55</v>
      </c>
      <c r="D10" s="66"/>
      <c r="E10" s="37" t="s">
        <v>57</v>
      </c>
      <c r="F10" s="20">
        <v>1027710</v>
      </c>
      <c r="G10" s="20">
        <v>298622</v>
      </c>
      <c r="H10" s="66"/>
      <c r="I10" s="23">
        <v>771193010096</v>
      </c>
      <c r="J10" s="6"/>
      <c r="K10" s="6"/>
    </row>
    <row r="11" spans="1:11" s="7" customFormat="1" ht="15" customHeight="1">
      <c r="A11" s="37" t="s">
        <v>59</v>
      </c>
      <c r="B11" s="20" t="s">
        <v>60</v>
      </c>
      <c r="C11" s="20" t="s">
        <v>61</v>
      </c>
      <c r="D11" s="37" t="s">
        <v>18</v>
      </c>
      <c r="E11" s="37" t="s">
        <v>62</v>
      </c>
      <c r="F11" s="20">
        <v>64925</v>
      </c>
      <c r="G11" s="20">
        <v>310587</v>
      </c>
      <c r="H11" s="37" t="s">
        <v>63</v>
      </c>
      <c r="I11" s="23">
        <v>701193618745</v>
      </c>
      <c r="J11" s="6"/>
      <c r="K11" s="6"/>
    </row>
    <row r="12" spans="1:11" s="7" customFormat="1" ht="15" customHeight="1">
      <c r="A12" s="65" t="s">
        <v>64</v>
      </c>
      <c r="B12" s="65" t="s">
        <v>64</v>
      </c>
      <c r="C12" s="20">
        <v>31</v>
      </c>
      <c r="D12" s="65" t="s">
        <v>11</v>
      </c>
      <c r="E12" s="37" t="s">
        <v>65</v>
      </c>
      <c r="F12" s="20">
        <v>3000</v>
      </c>
      <c r="G12" s="20">
        <v>67260</v>
      </c>
      <c r="H12" s="65" t="s">
        <v>13</v>
      </c>
      <c r="I12" s="23">
        <v>701195551844</v>
      </c>
      <c r="J12" s="6"/>
      <c r="K12" s="6"/>
    </row>
    <row r="13" spans="1:11" s="7" customFormat="1" ht="15" customHeight="1">
      <c r="A13" s="71"/>
      <c r="B13" s="71"/>
      <c r="C13" s="65">
        <v>32</v>
      </c>
      <c r="D13" s="71"/>
      <c r="E13" s="37" t="s">
        <v>66</v>
      </c>
      <c r="F13" s="20">
        <v>325</v>
      </c>
      <c r="G13" s="65">
        <v>62921</v>
      </c>
      <c r="H13" s="71"/>
      <c r="I13" s="72">
        <v>751195552628</v>
      </c>
      <c r="J13" s="6"/>
      <c r="K13" s="6"/>
    </row>
    <row r="14" spans="1:11" s="7" customFormat="1" ht="15" customHeight="1">
      <c r="A14" s="71"/>
      <c r="B14" s="71"/>
      <c r="C14" s="71"/>
      <c r="D14" s="71"/>
      <c r="E14" s="37" t="s">
        <v>46</v>
      </c>
      <c r="F14" s="20">
        <v>200</v>
      </c>
      <c r="G14" s="71"/>
      <c r="H14" s="71"/>
      <c r="I14" s="74"/>
      <c r="J14" s="6"/>
      <c r="K14" s="6"/>
    </row>
    <row r="15" spans="1:11" s="7" customFormat="1" ht="15" customHeight="1">
      <c r="A15" s="71"/>
      <c r="B15" s="71"/>
      <c r="C15" s="71"/>
      <c r="D15" s="71"/>
      <c r="E15" s="37" t="s">
        <v>67</v>
      </c>
      <c r="F15" s="20">
        <v>200</v>
      </c>
      <c r="G15" s="71"/>
      <c r="H15" s="71"/>
      <c r="I15" s="74"/>
      <c r="J15" s="6"/>
      <c r="K15" s="6"/>
    </row>
    <row r="16" spans="1:11" s="7" customFormat="1" ht="15" customHeight="1">
      <c r="A16" s="66"/>
      <c r="B16" s="66"/>
      <c r="C16" s="66"/>
      <c r="D16" s="66"/>
      <c r="E16" s="20" t="s">
        <v>57</v>
      </c>
      <c r="F16" s="20">
        <v>200</v>
      </c>
      <c r="G16" s="66"/>
      <c r="H16" s="66"/>
      <c r="I16" s="73"/>
      <c r="J16" s="6"/>
      <c r="K16" s="6"/>
    </row>
    <row r="17" spans="1:11" s="7" customFormat="1" ht="15" customHeight="1">
      <c r="A17" s="38" t="s">
        <v>68</v>
      </c>
      <c r="B17" s="38" t="s">
        <v>69</v>
      </c>
      <c r="C17" s="38" t="s">
        <v>70</v>
      </c>
      <c r="D17" s="38" t="s">
        <v>71</v>
      </c>
      <c r="E17" s="20" t="s">
        <v>72</v>
      </c>
      <c r="F17" s="20" t="s">
        <v>73</v>
      </c>
      <c r="G17" s="37">
        <v>14750</v>
      </c>
      <c r="H17" s="37"/>
      <c r="I17" s="39">
        <v>701194561042</v>
      </c>
      <c r="J17" s="6"/>
      <c r="K17" s="6"/>
    </row>
    <row r="18" spans="1:11" s="7" customFormat="1" ht="15" customHeight="1">
      <c r="A18" s="65" t="s">
        <v>68</v>
      </c>
      <c r="B18" s="65" t="s">
        <v>69</v>
      </c>
      <c r="C18" s="65" t="s">
        <v>74</v>
      </c>
      <c r="D18" s="65" t="s">
        <v>75</v>
      </c>
      <c r="E18" s="20" t="s">
        <v>76</v>
      </c>
      <c r="F18" s="20" t="s">
        <v>78</v>
      </c>
      <c r="G18" s="65">
        <v>1033796</v>
      </c>
      <c r="H18" s="65" t="s">
        <v>80</v>
      </c>
      <c r="I18" s="72">
        <v>741194563040</v>
      </c>
      <c r="J18" s="6"/>
      <c r="K18" s="6"/>
    </row>
    <row r="19" spans="1:11" s="7" customFormat="1" ht="15" customHeight="1">
      <c r="A19" s="66"/>
      <c r="B19" s="66"/>
      <c r="C19" s="66"/>
      <c r="D19" s="66"/>
      <c r="E19" s="20" t="s">
        <v>77</v>
      </c>
      <c r="F19" s="20" t="s">
        <v>79</v>
      </c>
      <c r="G19" s="66"/>
      <c r="H19" s="66"/>
      <c r="I19" s="73"/>
      <c r="J19" s="6"/>
      <c r="K19" s="6"/>
    </row>
    <row r="20" spans="1:11" s="7" customFormat="1" ht="15" customHeight="1">
      <c r="A20" s="38" t="s">
        <v>81</v>
      </c>
      <c r="B20" s="38" t="s">
        <v>68</v>
      </c>
      <c r="C20" s="37">
        <v>2246</v>
      </c>
      <c r="D20" s="38" t="s">
        <v>82</v>
      </c>
      <c r="E20" s="20" t="s">
        <v>83</v>
      </c>
      <c r="F20" s="20" t="s">
        <v>84</v>
      </c>
      <c r="G20" s="37">
        <v>372417.91</v>
      </c>
      <c r="H20" s="38" t="s">
        <v>85</v>
      </c>
      <c r="I20" s="39">
        <v>771195781624</v>
      </c>
      <c r="J20" s="6"/>
      <c r="K20" s="6"/>
    </row>
    <row r="21" spans="1:11" s="7" customFormat="1" ht="15" customHeight="1">
      <c r="A21" s="65" t="s">
        <v>86</v>
      </c>
      <c r="B21" s="65" t="s">
        <v>86</v>
      </c>
      <c r="C21" s="65">
        <v>33</v>
      </c>
      <c r="D21" s="65" t="s">
        <v>11</v>
      </c>
      <c r="E21" s="38" t="s">
        <v>67</v>
      </c>
      <c r="F21" s="20">
        <v>908</v>
      </c>
      <c r="G21" s="65">
        <v>231799</v>
      </c>
      <c r="H21" s="65" t="s">
        <v>13</v>
      </c>
      <c r="I21" s="72">
        <v>751196136603</v>
      </c>
      <c r="J21" s="6"/>
      <c r="K21" s="6"/>
    </row>
    <row r="22" spans="1:11" s="7" customFormat="1" ht="15" customHeight="1">
      <c r="A22" s="71"/>
      <c r="B22" s="71"/>
      <c r="C22" s="71"/>
      <c r="D22" s="71"/>
      <c r="E22" s="38" t="s">
        <v>46</v>
      </c>
      <c r="F22" s="20">
        <v>268</v>
      </c>
      <c r="G22" s="71"/>
      <c r="H22" s="71"/>
      <c r="I22" s="74"/>
      <c r="J22" s="6"/>
      <c r="K22" s="6"/>
    </row>
    <row r="23" spans="1:11" s="7" customFormat="1" ht="15" customHeight="1">
      <c r="A23" s="71"/>
      <c r="B23" s="71"/>
      <c r="C23" s="71"/>
      <c r="D23" s="71"/>
      <c r="E23" s="38" t="s">
        <v>66</v>
      </c>
      <c r="F23" s="20">
        <v>1920</v>
      </c>
      <c r="G23" s="71"/>
      <c r="H23" s="71"/>
      <c r="I23" s="74"/>
      <c r="J23" s="6"/>
      <c r="K23" s="6"/>
    </row>
    <row r="24" spans="1:11" s="7" customFormat="1" ht="15" customHeight="1">
      <c r="A24" s="66"/>
      <c r="B24" s="66"/>
      <c r="C24" s="66"/>
      <c r="D24" s="66"/>
      <c r="E24" s="20" t="s">
        <v>57</v>
      </c>
      <c r="F24" s="20">
        <v>304</v>
      </c>
      <c r="G24" s="66"/>
      <c r="H24" s="66"/>
      <c r="I24" s="73"/>
      <c r="J24" s="6"/>
      <c r="K24" s="6"/>
    </row>
    <row r="25" spans="1:11" ht="15.75" thickBot="1">
      <c r="A25" s="16" t="s">
        <v>29</v>
      </c>
      <c r="B25" s="8"/>
      <c r="C25" s="14"/>
      <c r="D25" s="16"/>
      <c r="E25" s="8"/>
      <c r="F25" s="17"/>
      <c r="G25" s="18">
        <f>SUM(G3:G24)</f>
        <v>3115683.91</v>
      </c>
      <c r="H25" s="17"/>
      <c r="I25" s="19"/>
      <c r="J25" s="9"/>
      <c r="K25" s="9"/>
    </row>
    <row r="26" spans="1:11">
      <c r="J26" s="9"/>
      <c r="K26" s="9"/>
    </row>
    <row r="28" spans="1:11">
      <c r="G28" s="12"/>
    </row>
    <row r="29" spans="1:11">
      <c r="G29" s="12"/>
    </row>
  </sheetData>
  <mergeCells count="34">
    <mergeCell ref="I13:I16"/>
    <mergeCell ref="H12:H16"/>
    <mergeCell ref="H9:H10"/>
    <mergeCell ref="C13:C16"/>
    <mergeCell ref="A12:A16"/>
    <mergeCell ref="B12:B16"/>
    <mergeCell ref="D12:D16"/>
    <mergeCell ref="G13:G16"/>
    <mergeCell ref="A9:A10"/>
    <mergeCell ref="B9:B10"/>
    <mergeCell ref="D9:D10"/>
    <mergeCell ref="E6:E7"/>
    <mergeCell ref="H3:H7"/>
    <mergeCell ref="A1:I1"/>
    <mergeCell ref="A3:A5"/>
    <mergeCell ref="B3:B5"/>
    <mergeCell ref="C3:C5"/>
    <mergeCell ref="G3:G5"/>
    <mergeCell ref="A6:A7"/>
    <mergeCell ref="D3:D7"/>
    <mergeCell ref="H18:H19"/>
    <mergeCell ref="I18:I19"/>
    <mergeCell ref="A21:A24"/>
    <mergeCell ref="B21:B24"/>
    <mergeCell ref="C21:C24"/>
    <mergeCell ref="D21:D24"/>
    <mergeCell ref="G21:G24"/>
    <mergeCell ref="H21:H24"/>
    <mergeCell ref="I21:I24"/>
    <mergeCell ref="A18:A19"/>
    <mergeCell ref="B18:B19"/>
    <mergeCell ref="C18:C19"/>
    <mergeCell ref="D18:D19"/>
    <mergeCell ref="G18:G19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9"/>
  <sheetViews>
    <sheetView workbookViewId="0">
      <selection activeCell="H10" sqref="H10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7" t="s">
        <v>43</v>
      </c>
      <c r="B1" s="68"/>
      <c r="C1" s="68"/>
      <c r="D1" s="68"/>
      <c r="E1" s="68"/>
      <c r="F1" s="68"/>
      <c r="G1" s="68"/>
      <c r="H1" s="68"/>
      <c r="I1" s="69"/>
    </row>
    <row r="2" spans="1:11" s="3" customFormat="1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  <c r="J2" s="2"/>
      <c r="K2" s="2"/>
    </row>
    <row r="3" spans="1:11" s="7" customFormat="1" ht="15" customHeight="1">
      <c r="A3" s="44"/>
      <c r="B3" s="45"/>
      <c r="C3" s="45"/>
      <c r="D3" s="45"/>
      <c r="E3" s="46"/>
      <c r="F3" s="46"/>
      <c r="G3" s="45"/>
      <c r="H3" s="45"/>
      <c r="I3" s="47"/>
      <c r="J3" s="6"/>
      <c r="K3" s="6"/>
    </row>
    <row r="4" spans="1:11" s="7" customFormat="1" ht="15" customHeight="1">
      <c r="A4" s="4" t="s">
        <v>87</v>
      </c>
      <c r="B4" s="1" t="s">
        <v>89</v>
      </c>
      <c r="C4" s="20" t="s">
        <v>88</v>
      </c>
      <c r="D4" s="1" t="s">
        <v>90</v>
      </c>
      <c r="E4" s="20" t="s">
        <v>76</v>
      </c>
      <c r="F4" s="20" t="s">
        <v>91</v>
      </c>
      <c r="G4" s="1">
        <v>25872</v>
      </c>
      <c r="H4" s="1" t="s">
        <v>80</v>
      </c>
      <c r="I4" s="48"/>
      <c r="J4" s="6"/>
      <c r="K4" s="6"/>
    </row>
    <row r="5" spans="1:11" s="7" customFormat="1" ht="15" customHeight="1">
      <c r="A5" s="4" t="s">
        <v>92</v>
      </c>
      <c r="B5" s="1" t="s">
        <v>92</v>
      </c>
      <c r="C5" s="20">
        <v>34</v>
      </c>
      <c r="D5" s="1" t="s">
        <v>93</v>
      </c>
      <c r="E5" s="20" t="s">
        <v>94</v>
      </c>
      <c r="F5" s="20" t="s">
        <v>95</v>
      </c>
      <c r="G5" s="1">
        <v>102375</v>
      </c>
      <c r="H5" s="1" t="s">
        <v>96</v>
      </c>
      <c r="I5" s="48">
        <v>761197599189</v>
      </c>
      <c r="J5" s="6"/>
      <c r="K5" s="6"/>
    </row>
    <row r="6" spans="1:11" s="7" customFormat="1" ht="15" customHeight="1">
      <c r="A6" s="4" t="s">
        <v>92</v>
      </c>
      <c r="B6" s="20" t="s">
        <v>92</v>
      </c>
      <c r="C6" s="20">
        <v>35</v>
      </c>
      <c r="D6" s="1" t="s">
        <v>93</v>
      </c>
      <c r="E6" s="1" t="s">
        <v>97</v>
      </c>
      <c r="F6" s="20" t="s">
        <v>98</v>
      </c>
      <c r="G6" s="54">
        <v>94164</v>
      </c>
      <c r="H6" s="1" t="s">
        <v>96</v>
      </c>
      <c r="I6" s="48">
        <v>781197599958</v>
      </c>
      <c r="J6" s="6"/>
      <c r="K6" s="6"/>
    </row>
    <row r="7" spans="1:11" s="7" customFormat="1" ht="15" customHeight="1">
      <c r="A7" s="4" t="s">
        <v>99</v>
      </c>
      <c r="B7" s="20" t="s">
        <v>99</v>
      </c>
      <c r="C7" s="20">
        <v>37</v>
      </c>
      <c r="D7" s="1" t="s">
        <v>93</v>
      </c>
      <c r="E7" s="1" t="s">
        <v>97</v>
      </c>
      <c r="F7" s="20" t="s">
        <v>100</v>
      </c>
      <c r="G7" s="54">
        <v>58292</v>
      </c>
      <c r="H7" s="1" t="s">
        <v>96</v>
      </c>
      <c r="I7" s="48">
        <v>771199048088</v>
      </c>
      <c r="J7" s="6"/>
      <c r="K7" s="6"/>
    </row>
    <row r="8" spans="1:11" s="7" customFormat="1" ht="15" customHeight="1">
      <c r="A8" s="49" t="s">
        <v>101</v>
      </c>
      <c r="B8" s="20" t="s">
        <v>102</v>
      </c>
      <c r="C8" s="20" t="s">
        <v>103</v>
      </c>
      <c r="D8" s="20" t="s">
        <v>104</v>
      </c>
      <c r="E8" s="20" t="s">
        <v>108</v>
      </c>
      <c r="F8" s="20" t="s">
        <v>105</v>
      </c>
      <c r="G8" s="20">
        <v>25133</v>
      </c>
      <c r="H8" s="20"/>
      <c r="I8" s="48"/>
      <c r="J8" s="6"/>
      <c r="K8" s="6"/>
    </row>
    <row r="9" spans="1:11" s="7" customFormat="1" ht="15" customHeight="1">
      <c r="A9" s="4" t="s">
        <v>101</v>
      </c>
      <c r="B9" s="1" t="s">
        <v>106</v>
      </c>
      <c r="C9" s="20" t="s">
        <v>107</v>
      </c>
      <c r="D9" s="1" t="s">
        <v>109</v>
      </c>
      <c r="E9" s="20" t="s">
        <v>110</v>
      </c>
      <c r="F9" s="20" t="s">
        <v>111</v>
      </c>
      <c r="G9" s="20">
        <v>14160</v>
      </c>
      <c r="H9" s="1"/>
      <c r="I9" s="48"/>
      <c r="J9" s="6"/>
      <c r="K9" s="6"/>
    </row>
    <row r="10" spans="1:11" s="7" customFormat="1" ht="15" customHeight="1">
      <c r="A10" s="4" t="s">
        <v>112</v>
      </c>
      <c r="B10" s="1" t="s">
        <v>112</v>
      </c>
      <c r="C10" s="20">
        <v>38</v>
      </c>
      <c r="D10" s="1" t="s">
        <v>93</v>
      </c>
      <c r="E10" s="20" t="s">
        <v>97</v>
      </c>
      <c r="F10" s="20">
        <v>1900</v>
      </c>
      <c r="G10" s="20">
        <v>42598</v>
      </c>
      <c r="H10" s="1"/>
      <c r="I10" s="48"/>
      <c r="J10" s="6"/>
      <c r="K10" s="6"/>
    </row>
    <row r="11" spans="1:11" s="7" customFormat="1" ht="15" customHeight="1">
      <c r="A11" s="49"/>
      <c r="B11" s="20"/>
      <c r="C11" s="20"/>
      <c r="D11" s="20"/>
      <c r="E11" s="20"/>
      <c r="F11" s="20"/>
      <c r="G11" s="20"/>
      <c r="H11" s="20"/>
      <c r="I11" s="48"/>
      <c r="J11" s="6"/>
      <c r="K11" s="6"/>
    </row>
    <row r="12" spans="1:11" s="7" customFormat="1" ht="15" customHeight="1">
      <c r="A12" s="4"/>
      <c r="B12" s="1"/>
      <c r="C12" s="20"/>
      <c r="D12" s="1"/>
      <c r="E12" s="20"/>
      <c r="F12" s="20"/>
      <c r="G12" s="20"/>
      <c r="H12" s="1"/>
      <c r="I12" s="48"/>
      <c r="J12" s="6"/>
      <c r="K12" s="6"/>
    </row>
    <row r="13" spans="1:11" s="7" customFormat="1" ht="15" customHeight="1">
      <c r="A13" s="4"/>
      <c r="B13" s="1"/>
      <c r="C13" s="1"/>
      <c r="D13" s="1"/>
      <c r="E13" s="20"/>
      <c r="F13" s="20"/>
      <c r="G13" s="1"/>
      <c r="H13" s="1"/>
      <c r="I13" s="48"/>
      <c r="J13" s="6"/>
      <c r="K13" s="6"/>
    </row>
    <row r="14" spans="1:11" s="7" customFormat="1" ht="15" customHeight="1">
      <c r="A14" s="4"/>
      <c r="B14" s="1"/>
      <c r="C14" s="1"/>
      <c r="D14" s="1"/>
      <c r="E14" s="20"/>
      <c r="F14" s="20"/>
      <c r="G14" s="1"/>
      <c r="H14" s="1"/>
      <c r="I14" s="48"/>
      <c r="J14" s="6"/>
      <c r="K14" s="6"/>
    </row>
    <row r="15" spans="1:11" s="7" customFormat="1" ht="15" customHeight="1">
      <c r="A15" s="4"/>
      <c r="B15" s="1"/>
      <c r="C15" s="1"/>
      <c r="D15" s="1"/>
      <c r="E15" s="20"/>
      <c r="F15" s="20"/>
      <c r="G15" s="1"/>
      <c r="H15" s="1"/>
      <c r="I15" s="48"/>
      <c r="J15" s="6"/>
      <c r="K15" s="6"/>
    </row>
    <row r="16" spans="1:11" s="7" customFormat="1" ht="15" customHeight="1">
      <c r="A16" s="4"/>
      <c r="B16" s="1"/>
      <c r="C16" s="1"/>
      <c r="D16" s="1"/>
      <c r="E16" s="20"/>
      <c r="F16" s="20"/>
      <c r="G16" s="1"/>
      <c r="H16" s="1"/>
      <c r="I16" s="48"/>
      <c r="J16" s="6"/>
      <c r="K16" s="6"/>
    </row>
    <row r="17" spans="1:11" s="7" customFormat="1" ht="15" customHeight="1">
      <c r="A17" s="49"/>
      <c r="B17" s="20"/>
      <c r="C17" s="20"/>
      <c r="D17" s="20"/>
      <c r="E17" s="20"/>
      <c r="F17" s="20"/>
      <c r="G17" s="20"/>
      <c r="H17" s="20"/>
      <c r="I17" s="50"/>
      <c r="J17" s="6"/>
      <c r="K17" s="6"/>
    </row>
    <row r="18" spans="1:11" s="7" customFormat="1" ht="15" customHeight="1">
      <c r="A18" s="49"/>
      <c r="B18" s="20"/>
      <c r="C18" s="20"/>
      <c r="D18" s="20"/>
      <c r="E18" s="20"/>
      <c r="F18" s="20"/>
      <c r="G18" s="20"/>
      <c r="H18" s="20"/>
      <c r="I18" s="50"/>
      <c r="J18" s="6"/>
      <c r="K18" s="6"/>
    </row>
    <row r="19" spans="1:11" s="7" customFormat="1" ht="15" customHeight="1">
      <c r="A19" s="49"/>
      <c r="B19" s="20"/>
      <c r="C19" s="20"/>
      <c r="D19" s="20"/>
      <c r="E19" s="20"/>
      <c r="F19" s="20"/>
      <c r="G19" s="20"/>
      <c r="H19" s="20"/>
      <c r="I19" s="50"/>
      <c r="J19" s="6"/>
      <c r="K19" s="6"/>
    </row>
    <row r="20" spans="1:11" s="7" customFormat="1" ht="15" customHeight="1">
      <c r="A20" s="49"/>
      <c r="B20" s="20"/>
      <c r="C20" s="20"/>
      <c r="D20" s="20"/>
      <c r="E20" s="20"/>
      <c r="F20" s="20"/>
      <c r="G20" s="20"/>
      <c r="H20" s="20"/>
      <c r="I20" s="50"/>
      <c r="J20" s="6"/>
      <c r="K20" s="6"/>
    </row>
    <row r="21" spans="1:11" s="7" customFormat="1" ht="15" customHeight="1">
      <c r="A21" s="49"/>
      <c r="B21" s="20"/>
      <c r="C21" s="20"/>
      <c r="D21" s="20"/>
      <c r="E21" s="20"/>
      <c r="F21" s="20"/>
      <c r="G21" s="20"/>
      <c r="H21" s="20"/>
      <c r="I21" s="50"/>
      <c r="J21" s="6"/>
      <c r="K21" s="6"/>
    </row>
    <row r="22" spans="1:11" s="7" customFormat="1" ht="15" customHeight="1">
      <c r="A22" s="49"/>
      <c r="B22" s="20"/>
      <c r="C22" s="20"/>
      <c r="D22" s="20"/>
      <c r="E22" s="20"/>
      <c r="F22" s="20"/>
      <c r="G22" s="20"/>
      <c r="H22" s="20"/>
      <c r="I22" s="50"/>
      <c r="J22" s="6"/>
      <c r="K22" s="6"/>
    </row>
    <row r="23" spans="1:11" s="7" customFormat="1" ht="15" customHeight="1">
      <c r="A23" s="49"/>
      <c r="B23" s="20"/>
      <c r="C23" s="20"/>
      <c r="D23" s="20"/>
      <c r="E23" s="20"/>
      <c r="F23" s="20"/>
      <c r="G23" s="20"/>
      <c r="H23" s="20"/>
      <c r="I23" s="50"/>
      <c r="J23" s="6"/>
      <c r="K23" s="6"/>
    </row>
    <row r="24" spans="1:11" s="7" customFormat="1" ht="15" customHeight="1" thickBot="1">
      <c r="A24" s="51"/>
      <c r="B24" s="52"/>
      <c r="C24" s="52"/>
      <c r="D24" s="52"/>
      <c r="E24" s="52"/>
      <c r="F24" s="52"/>
      <c r="G24" s="52"/>
      <c r="H24" s="52"/>
      <c r="I24" s="53"/>
      <c r="J24" s="6"/>
      <c r="K24" s="6"/>
    </row>
    <row r="25" spans="1:11" ht="15.75" thickBot="1">
      <c r="A25" s="16" t="s">
        <v>29</v>
      </c>
      <c r="B25" s="8"/>
      <c r="C25" s="14"/>
      <c r="D25" s="16"/>
      <c r="E25" s="8"/>
      <c r="F25" s="17"/>
      <c r="G25" s="18">
        <f>SUM(G3:G24)</f>
        <v>362594</v>
      </c>
      <c r="H25" s="17"/>
      <c r="I25" s="19"/>
      <c r="J25" s="9"/>
      <c r="K25" s="9"/>
    </row>
    <row r="26" spans="1:11">
      <c r="J26" s="9"/>
      <c r="K26" s="9"/>
    </row>
    <row r="28" spans="1:11">
      <c r="G28" s="12"/>
    </row>
    <row r="29" spans="1:11">
      <c r="G29" s="12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9"/>
  <sheetViews>
    <sheetView tabSelected="1" workbookViewId="0">
      <selection activeCell="H9" sqref="H9:H11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5" bestFit="1" customWidth="1"/>
    <col min="4" max="4" width="30.85546875" style="5" bestFit="1" customWidth="1"/>
    <col min="5" max="5" width="29.28515625" style="5" bestFit="1" customWidth="1"/>
    <col min="6" max="6" width="11" style="11" bestFit="1" customWidth="1"/>
    <col min="7" max="7" width="10.7109375" style="5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7" t="s">
        <v>43</v>
      </c>
      <c r="B1" s="68"/>
      <c r="C1" s="68"/>
      <c r="D1" s="68"/>
      <c r="E1" s="68"/>
      <c r="F1" s="68"/>
      <c r="G1" s="68"/>
      <c r="H1" s="68"/>
      <c r="I1" s="69"/>
    </row>
    <row r="2" spans="1:11" s="3" customFormat="1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  <c r="J2" s="2"/>
      <c r="K2" s="2"/>
    </row>
    <row r="3" spans="1:11" s="7" customFormat="1" ht="15" customHeight="1">
      <c r="A3" s="55" t="s">
        <v>113</v>
      </c>
      <c r="B3" s="46" t="s">
        <v>114</v>
      </c>
      <c r="C3" s="46" t="s">
        <v>115</v>
      </c>
      <c r="D3" s="46" t="s">
        <v>25</v>
      </c>
      <c r="E3" s="46" t="s">
        <v>116</v>
      </c>
      <c r="F3" s="57" t="s">
        <v>117</v>
      </c>
      <c r="G3" s="76">
        <v>374367.74</v>
      </c>
      <c r="H3" s="46" t="s">
        <v>118</v>
      </c>
      <c r="I3" s="47">
        <v>721202294979</v>
      </c>
      <c r="J3" s="6"/>
      <c r="K3" s="6"/>
    </row>
    <row r="4" spans="1:11" s="7" customFormat="1" ht="15" customHeight="1">
      <c r="A4" s="49" t="s">
        <v>119</v>
      </c>
      <c r="B4" s="49" t="s">
        <v>119</v>
      </c>
      <c r="C4" s="20">
        <v>41</v>
      </c>
      <c r="D4" s="20" t="s">
        <v>120</v>
      </c>
      <c r="E4" s="20" t="s">
        <v>121</v>
      </c>
      <c r="F4" s="54" t="s">
        <v>128</v>
      </c>
      <c r="G4" s="77">
        <v>44840</v>
      </c>
      <c r="H4" s="20" t="s">
        <v>122</v>
      </c>
      <c r="I4" s="50">
        <v>751203981053</v>
      </c>
      <c r="J4" s="6"/>
      <c r="K4" s="6"/>
    </row>
    <row r="5" spans="1:11" s="7" customFormat="1" ht="15" customHeight="1">
      <c r="A5" s="49" t="s">
        <v>123</v>
      </c>
      <c r="B5" s="20" t="s">
        <v>124</v>
      </c>
      <c r="C5" s="20" t="s">
        <v>125</v>
      </c>
      <c r="D5" s="20" t="s">
        <v>126</v>
      </c>
      <c r="E5" s="20" t="s">
        <v>127</v>
      </c>
      <c r="F5" s="54" t="s">
        <v>129</v>
      </c>
      <c r="G5" s="77">
        <v>1196812</v>
      </c>
      <c r="H5" s="20" t="s">
        <v>130</v>
      </c>
      <c r="I5" s="50">
        <v>701204680563</v>
      </c>
      <c r="J5" s="6"/>
      <c r="K5" s="6"/>
    </row>
    <row r="6" spans="1:11" s="7" customFormat="1" ht="15" customHeight="1">
      <c r="A6" s="49" t="s">
        <v>123</v>
      </c>
      <c r="B6" s="20" t="s">
        <v>131</v>
      </c>
      <c r="C6" s="20" t="s">
        <v>132</v>
      </c>
      <c r="D6" s="20" t="s">
        <v>133</v>
      </c>
      <c r="E6" s="20" t="s">
        <v>134</v>
      </c>
      <c r="F6" s="54" t="s">
        <v>135</v>
      </c>
      <c r="G6" s="77">
        <v>32928</v>
      </c>
      <c r="H6" s="65" t="s">
        <v>136</v>
      </c>
      <c r="I6" s="50">
        <v>761203473777</v>
      </c>
      <c r="J6" s="6"/>
      <c r="K6" s="6"/>
    </row>
    <row r="7" spans="1:11" s="7" customFormat="1" ht="15" customHeight="1">
      <c r="A7" s="49" t="s">
        <v>123</v>
      </c>
      <c r="B7" s="20" t="s">
        <v>131</v>
      </c>
      <c r="C7" s="20" t="s">
        <v>146</v>
      </c>
      <c r="D7" s="20" t="s">
        <v>133</v>
      </c>
      <c r="E7" s="20" t="s">
        <v>134</v>
      </c>
      <c r="F7" s="54" t="s">
        <v>138</v>
      </c>
      <c r="G7" s="77">
        <v>61152</v>
      </c>
      <c r="H7" s="71"/>
      <c r="I7" s="50">
        <v>761203474460</v>
      </c>
      <c r="J7" s="6"/>
      <c r="K7" s="6"/>
    </row>
    <row r="8" spans="1:11" s="7" customFormat="1" ht="15" customHeight="1">
      <c r="A8" s="49" t="s">
        <v>123</v>
      </c>
      <c r="B8" s="49" t="s">
        <v>113</v>
      </c>
      <c r="C8" s="20" t="s">
        <v>139</v>
      </c>
      <c r="D8" s="20" t="s">
        <v>140</v>
      </c>
      <c r="E8" s="20" t="s">
        <v>141</v>
      </c>
      <c r="F8" s="54" t="s">
        <v>142</v>
      </c>
      <c r="G8" s="77">
        <v>30680</v>
      </c>
      <c r="H8" s="66"/>
      <c r="I8" s="50">
        <v>891170910842</v>
      </c>
      <c r="J8" s="6"/>
      <c r="K8" s="6"/>
    </row>
    <row r="9" spans="1:11" s="7" customFormat="1" ht="15" customHeight="1">
      <c r="A9" s="49" t="s">
        <v>143</v>
      </c>
      <c r="B9" s="20" t="s">
        <v>144</v>
      </c>
      <c r="C9" s="20" t="s">
        <v>137</v>
      </c>
      <c r="D9" s="20" t="s">
        <v>133</v>
      </c>
      <c r="E9" s="20" t="s">
        <v>134</v>
      </c>
      <c r="F9" s="54" t="s">
        <v>145</v>
      </c>
      <c r="G9" s="77">
        <v>108192</v>
      </c>
      <c r="H9" s="65" t="s">
        <v>154</v>
      </c>
      <c r="I9" s="50">
        <v>771205380634</v>
      </c>
      <c r="J9" s="6"/>
      <c r="K9" s="6"/>
    </row>
    <row r="10" spans="1:11" s="7" customFormat="1" ht="15" customHeight="1">
      <c r="A10" s="49" t="s">
        <v>143</v>
      </c>
      <c r="B10" s="20" t="s">
        <v>147</v>
      </c>
      <c r="C10" s="20" t="s">
        <v>148</v>
      </c>
      <c r="D10" s="20" t="s">
        <v>133</v>
      </c>
      <c r="E10" s="20" t="s">
        <v>134</v>
      </c>
      <c r="F10" s="54" t="s">
        <v>149</v>
      </c>
      <c r="G10" s="77">
        <v>31235</v>
      </c>
      <c r="H10" s="71"/>
      <c r="I10" s="50">
        <v>781205382422</v>
      </c>
      <c r="J10" s="6"/>
      <c r="K10" s="6"/>
    </row>
    <row r="11" spans="1:11" s="7" customFormat="1" ht="15" customHeight="1">
      <c r="A11" s="49" t="s">
        <v>143</v>
      </c>
      <c r="B11" s="20" t="s">
        <v>123</v>
      </c>
      <c r="C11" s="20" t="s">
        <v>150</v>
      </c>
      <c r="D11" s="20" t="s">
        <v>151</v>
      </c>
      <c r="E11" s="20" t="s">
        <v>152</v>
      </c>
      <c r="F11" s="54" t="s">
        <v>153</v>
      </c>
      <c r="G11" s="77">
        <v>177000</v>
      </c>
      <c r="H11" s="66"/>
      <c r="I11" s="50">
        <v>881173249315</v>
      </c>
      <c r="J11" s="6"/>
      <c r="K11" s="6"/>
    </row>
    <row r="12" spans="1:11" s="7" customFormat="1" ht="15" customHeight="1">
      <c r="A12" s="49"/>
      <c r="B12" s="20"/>
      <c r="C12" s="20"/>
      <c r="D12" s="20"/>
      <c r="E12" s="20"/>
      <c r="F12" s="54"/>
      <c r="G12" s="77"/>
      <c r="H12" s="20"/>
      <c r="I12" s="50"/>
      <c r="J12" s="6"/>
      <c r="K12" s="6"/>
    </row>
    <row r="13" spans="1:11" s="7" customFormat="1" ht="15" customHeight="1">
      <c r="A13" s="49"/>
      <c r="B13" s="20"/>
      <c r="C13" s="20"/>
      <c r="D13" s="20"/>
      <c r="E13" s="20"/>
      <c r="F13" s="54"/>
      <c r="G13" s="77"/>
      <c r="H13" s="20"/>
      <c r="I13" s="50"/>
      <c r="J13" s="6"/>
      <c r="K13" s="6"/>
    </row>
    <row r="14" spans="1:11" s="7" customFormat="1" ht="15" customHeight="1">
      <c r="A14" s="49"/>
      <c r="B14" s="20"/>
      <c r="C14" s="20"/>
      <c r="D14" s="20"/>
      <c r="E14" s="20"/>
      <c r="F14" s="54"/>
      <c r="G14" s="20"/>
      <c r="H14" s="20"/>
      <c r="I14" s="50"/>
      <c r="J14" s="6"/>
      <c r="K14" s="6"/>
    </row>
    <row r="15" spans="1:11" s="7" customFormat="1" ht="15" customHeight="1">
      <c r="A15" s="49"/>
      <c r="B15" s="20"/>
      <c r="C15" s="20"/>
      <c r="D15" s="20"/>
      <c r="E15" s="20"/>
      <c r="F15" s="54"/>
      <c r="G15" s="20"/>
      <c r="H15" s="20"/>
      <c r="I15" s="50"/>
      <c r="J15" s="6"/>
      <c r="K15" s="6"/>
    </row>
    <row r="16" spans="1:11" s="7" customFormat="1" ht="15" customHeight="1">
      <c r="A16" s="49"/>
      <c r="B16" s="20"/>
      <c r="C16" s="20"/>
      <c r="D16" s="20"/>
      <c r="E16" s="20"/>
      <c r="F16" s="54"/>
      <c r="G16" s="20"/>
      <c r="H16" s="20"/>
      <c r="I16" s="50"/>
      <c r="J16" s="6"/>
      <c r="K16" s="6"/>
    </row>
    <row r="17" spans="1:11" s="7" customFormat="1" ht="15" customHeight="1">
      <c r="A17" s="49"/>
      <c r="B17" s="20"/>
      <c r="C17" s="20"/>
      <c r="D17" s="20"/>
      <c r="E17" s="20"/>
      <c r="F17" s="54"/>
      <c r="G17" s="20"/>
      <c r="H17" s="20"/>
      <c r="I17" s="50"/>
      <c r="J17" s="6"/>
      <c r="K17" s="6"/>
    </row>
    <row r="18" spans="1:11" s="7" customFormat="1" ht="15" customHeight="1">
      <c r="A18" s="49"/>
      <c r="B18" s="20"/>
      <c r="C18" s="20"/>
      <c r="D18" s="20"/>
      <c r="E18" s="20"/>
      <c r="F18" s="54"/>
      <c r="G18" s="20"/>
      <c r="H18" s="20"/>
      <c r="I18" s="50"/>
      <c r="J18" s="6"/>
      <c r="K18" s="6"/>
    </row>
    <row r="19" spans="1:11" s="7" customFormat="1" ht="15" customHeight="1">
      <c r="A19" s="49"/>
      <c r="B19" s="20"/>
      <c r="C19" s="20"/>
      <c r="D19" s="20"/>
      <c r="E19" s="20"/>
      <c r="F19" s="54"/>
      <c r="G19" s="20"/>
      <c r="H19" s="20"/>
      <c r="I19" s="50"/>
      <c r="J19" s="6"/>
      <c r="K19" s="6"/>
    </row>
    <row r="20" spans="1:11" s="7" customFormat="1" ht="15" customHeight="1">
      <c r="A20" s="49"/>
      <c r="B20" s="20"/>
      <c r="C20" s="20"/>
      <c r="D20" s="20"/>
      <c r="E20" s="20"/>
      <c r="F20" s="54"/>
      <c r="G20" s="20"/>
      <c r="H20" s="20"/>
      <c r="I20" s="50"/>
      <c r="J20" s="6"/>
      <c r="K20" s="6"/>
    </row>
    <row r="21" spans="1:11" s="7" customFormat="1" ht="15" customHeight="1">
      <c r="A21" s="49"/>
      <c r="B21" s="20"/>
      <c r="C21" s="20"/>
      <c r="D21" s="20"/>
      <c r="E21" s="20"/>
      <c r="F21" s="54"/>
      <c r="G21" s="20"/>
      <c r="H21" s="20"/>
      <c r="I21" s="50"/>
      <c r="J21" s="6"/>
      <c r="K21" s="6"/>
    </row>
    <row r="22" spans="1:11" s="7" customFormat="1" ht="15" customHeight="1">
      <c r="A22" s="49"/>
      <c r="B22" s="20"/>
      <c r="C22" s="20"/>
      <c r="D22" s="20"/>
      <c r="E22" s="20"/>
      <c r="F22" s="54"/>
      <c r="G22" s="20"/>
      <c r="H22" s="20"/>
      <c r="I22" s="50"/>
      <c r="J22" s="6"/>
      <c r="K22" s="6"/>
    </row>
    <row r="23" spans="1:11" s="7" customFormat="1" ht="15" customHeight="1">
      <c r="A23" s="49"/>
      <c r="B23" s="20"/>
      <c r="C23" s="20"/>
      <c r="D23" s="20"/>
      <c r="E23" s="20"/>
      <c r="F23" s="54"/>
      <c r="G23" s="20"/>
      <c r="H23" s="20"/>
      <c r="I23" s="50"/>
      <c r="J23" s="6"/>
      <c r="K23" s="6"/>
    </row>
    <row r="24" spans="1:11" s="7" customFormat="1" ht="15" customHeight="1" thickBot="1">
      <c r="A24" s="51"/>
      <c r="B24" s="52"/>
      <c r="C24" s="52"/>
      <c r="D24" s="52"/>
      <c r="E24" s="52"/>
      <c r="F24" s="58"/>
      <c r="G24" s="52"/>
      <c r="H24" s="52"/>
      <c r="I24" s="60"/>
      <c r="J24" s="6"/>
      <c r="K24" s="6"/>
    </row>
    <row r="25" spans="1:11" ht="15.75" thickBot="1">
      <c r="A25" s="56" t="s">
        <v>29</v>
      </c>
      <c r="B25" s="8"/>
      <c r="C25" s="8"/>
      <c r="D25" s="56"/>
      <c r="E25" s="8"/>
      <c r="F25" s="59"/>
      <c r="G25" s="61">
        <f>SUM(G3:G24)</f>
        <v>2057206.74</v>
      </c>
      <c r="H25" s="17"/>
      <c r="I25" s="19"/>
      <c r="J25" s="9"/>
      <c r="K25" s="9"/>
    </row>
    <row r="26" spans="1:11">
      <c r="J26" s="9"/>
      <c r="K26" s="9"/>
    </row>
    <row r="28" spans="1:11">
      <c r="G28" s="62"/>
    </row>
    <row r="29" spans="1:11">
      <c r="G29" s="62"/>
    </row>
  </sheetData>
  <mergeCells count="3">
    <mergeCell ref="A1:I1"/>
    <mergeCell ref="H6:H8"/>
    <mergeCell ref="H9:H11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April 2021</vt:lpstr>
      <vt:lpstr>May 2021</vt:lpstr>
      <vt:lpstr>June 2021</vt:lpstr>
      <vt:lpstr>JULY 2021</vt:lpstr>
      <vt:lpstr>August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2019-03-30T06:55:54Z</cp:lastPrinted>
  <dcterms:created xsi:type="dcterms:W3CDTF">2017-08-10T10:30:31Z</dcterms:created>
  <dcterms:modified xsi:type="dcterms:W3CDTF">2021-08-24T05:54:45Z</dcterms:modified>
</cp:coreProperties>
</file>