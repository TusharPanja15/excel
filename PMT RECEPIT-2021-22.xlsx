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20" windowWidth="20730" windowHeight="11160" activeTab="2"/>
  </bookViews>
  <sheets>
    <sheet name="April 2021" sheetId="31" r:id="rId1"/>
    <sheet name="May 2021" sheetId="32" r:id="rId2"/>
    <sheet name="June 2021" sheetId="33" r:id="rId3"/>
  </sheets>
  <definedNames>
    <definedName name="_xlnm._FilterDatabase" localSheetId="0" hidden="1">'April 2021'!$A$2:$K$10</definedName>
    <definedName name="_xlnm._FilterDatabase" localSheetId="2" hidden="1">'June 2021'!$A$2:$K$17</definedName>
    <definedName name="_xlnm._FilterDatabase" localSheetId="1" hidden="1">'May 2021'!$A$2:$K$6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8" i="33"/>
  <c r="G7" i="32"/>
  <c r="G11" i="31" l="1"/>
</calcChain>
</file>

<file path=xl/sharedStrings.xml><?xml version="1.0" encoding="utf-8"?>
<sst xmlns="http://schemas.openxmlformats.org/spreadsheetml/2006/main" count="95" uniqueCount="57">
  <si>
    <t>QUANTITY</t>
  </si>
  <si>
    <t>NAME OF THE PARTY</t>
  </si>
  <si>
    <t>PARTICULAR</t>
  </si>
  <si>
    <t>AMOUNT</t>
  </si>
  <si>
    <t>TRUCK NO.</t>
  </si>
  <si>
    <t>FORM NO. 38</t>
  </si>
  <si>
    <t>DATE OF ARRIVAL</t>
  </si>
  <si>
    <t xml:space="preserve">DATE OF INVOICE </t>
  </si>
  <si>
    <t>NO.OF INVOICE</t>
  </si>
  <si>
    <t xml:space="preserve">TOTAL FOR THE MONTH OFAPRIL 2021-22 </t>
  </si>
  <si>
    <t>21.04.2021</t>
  </si>
  <si>
    <t>Vidhya Bag house</t>
  </si>
  <si>
    <t>5 Kg Non woven Bags</t>
  </si>
  <si>
    <t>DL-01-LAD-6945</t>
  </si>
  <si>
    <t>Canvas bag Special 250g</t>
  </si>
  <si>
    <t>26.04.2021</t>
  </si>
  <si>
    <t>24.04.2021</t>
  </si>
  <si>
    <t>UMA/M/21-22/127</t>
  </si>
  <si>
    <t>UMA Polymers Limited</t>
  </si>
  <si>
    <t>Rs. 5 premiun laminate</t>
  </si>
  <si>
    <t>HR-56-A-8317</t>
  </si>
  <si>
    <t>UMA/M/21-22/123</t>
  </si>
  <si>
    <t>500g Special Laminated Pouch</t>
  </si>
  <si>
    <t>16.04.2021</t>
  </si>
  <si>
    <t>15.04.2021</t>
  </si>
  <si>
    <t>Polycon International LTD.</t>
  </si>
  <si>
    <t>Pet jar</t>
  </si>
  <si>
    <t>HR-38-Z-6429</t>
  </si>
  <si>
    <t>15.05.2021</t>
  </si>
  <si>
    <t>TOTAL FOR THE MONTH OF MAY 2021</t>
  </si>
  <si>
    <t>PACKING MATERIALS RECEIVAD FOR THE MONTH OF MAY 2021</t>
  </si>
  <si>
    <t>06.05.2021</t>
  </si>
  <si>
    <t>04.05.2021</t>
  </si>
  <si>
    <t>RJ-02-GB-3687</t>
  </si>
  <si>
    <t>Special 250g laminate</t>
  </si>
  <si>
    <t>Non Woven Bags</t>
  </si>
  <si>
    <t>UMA/M/21-22/195</t>
  </si>
  <si>
    <t>27.05.2021</t>
  </si>
  <si>
    <t>WB-23-E-4841</t>
  </si>
  <si>
    <t>250g Liner</t>
  </si>
  <si>
    <t>31.05.2021</t>
  </si>
  <si>
    <t>16.05.2021</t>
  </si>
  <si>
    <t>Royal Touch Fablion</t>
  </si>
  <si>
    <t>PACKING MATERIALS RECEIVAD FOR THE MONTH OF JUNE 2021</t>
  </si>
  <si>
    <t>PACKING MATERIALS RECEIVAD FOR THE MONTH OF APRIL 2021</t>
  </si>
  <si>
    <t>03.06.2021</t>
  </si>
  <si>
    <t>Special 500g</t>
  </si>
  <si>
    <t>Special 1Kg</t>
  </si>
  <si>
    <t>special 250g</t>
  </si>
  <si>
    <t>DL-1L-AD-6945</t>
  </si>
  <si>
    <t>07.06.2021</t>
  </si>
  <si>
    <t>04.06.2021</t>
  </si>
  <si>
    <t>16.06.2021</t>
  </si>
  <si>
    <t>10.06.2021</t>
  </si>
  <si>
    <t>UMA/M/21.22/446</t>
  </si>
  <si>
    <t>UMA/M/21.22/445</t>
  </si>
  <si>
    <t>Rs. 10 Patatka Premimu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</si>
</sst>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2" borderId="1" xfId="0" applyFont="1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right"/>
    </xf>
    <xf numFmtId="2" fontId="0" fillId="2" borderId="0" xfId="0" applyNumberFormat="1" applyFill="1" applyAlignment="1">
      <alignment horizontal="right"/>
    </xf>
    <xf numFmtId="0" fontId="4" fillId="2" borderId="5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1" fillId="2" borderId="10" xfId="0" applyFont="1" applyFill="1" applyBorder="1" applyAlignment="1">
      <alignment horizontal="left"/>
    </xf>
    <xf numFmtId="0" fontId="0" fillId="2" borderId="10" xfId="0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right"/>
    </xf>
    <xf numFmtId="1" fontId="0" fillId="2" borderId="1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/>
    </xf>
    <xf numFmtId="1" fontId="4" fillId="2" borderId="1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/>
    </xf>
    <xf numFmtId="1" fontId="3" fillId="2" borderId="21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/>
    </xf>
    <xf numFmtId="1" fontId="4" fillId="2" borderId="18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17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>
      <selection activeCell="D8" sqref="D8:D9"/>
    </sheetView>
  </sheetViews>
  <sheetFormatPr defaultRowHeight="15"/>
  <cols>
    <col min="1" max="1" width="9.7109375" style="5" customWidth="1"/>
    <col min="2" max="2" width="9.85546875" style="5" bestFit="1" customWidth="1"/>
    <col min="3" max="3" width="21.5703125" style="15" bestFit="1" customWidth="1"/>
    <col min="4" max="4" width="30.85546875" style="15" bestFit="1" customWidth="1"/>
    <col min="5" max="5" width="29.28515625" style="5" bestFit="1" customWidth="1"/>
    <col min="6" max="6" width="11" style="5" bestFit="1" customWidth="1"/>
    <col min="7" max="7" width="10.7109375" style="11" customWidth="1"/>
    <col min="8" max="8" width="14" style="5" bestFit="1" customWidth="1"/>
    <col min="9" max="9" width="13.140625" style="10" customWidth="1"/>
    <col min="10" max="16384" width="9.140625" style="5"/>
  </cols>
  <sheetData>
    <row r="1" spans="1:11" ht="18.75" customHeight="1" thickBot="1">
      <c r="A1" s="41" t="s">
        <v>44</v>
      </c>
      <c r="B1" s="42"/>
      <c r="C1" s="42"/>
      <c r="D1" s="42"/>
      <c r="E1" s="42"/>
      <c r="F1" s="42"/>
      <c r="G1" s="42"/>
      <c r="H1" s="42"/>
      <c r="I1" s="43"/>
    </row>
    <row r="2" spans="1:11" s="3" customFormat="1" ht="32.25" thickBot="1">
      <c r="A2" s="25" t="s">
        <v>6</v>
      </c>
      <c r="B2" s="26" t="s">
        <v>7</v>
      </c>
      <c r="C2" s="26" t="s">
        <v>8</v>
      </c>
      <c r="D2" s="27" t="s">
        <v>1</v>
      </c>
      <c r="E2" s="27" t="s">
        <v>2</v>
      </c>
      <c r="F2" s="27" t="s">
        <v>0</v>
      </c>
      <c r="G2" s="27" t="s">
        <v>3</v>
      </c>
      <c r="H2" s="27" t="s">
        <v>4</v>
      </c>
      <c r="I2" s="28" t="s">
        <v>5</v>
      </c>
      <c r="J2" s="2"/>
      <c r="K2" s="2"/>
    </row>
    <row r="3" spans="1:11" s="7" customFormat="1" ht="15" customHeight="1">
      <c r="A3" s="22" t="s">
        <v>24</v>
      </c>
      <c r="B3" s="22" t="s">
        <v>28</v>
      </c>
      <c r="C3" s="21">
        <v>13</v>
      </c>
      <c r="D3" s="21" t="s">
        <v>11</v>
      </c>
      <c r="E3" s="21" t="s">
        <v>35</v>
      </c>
      <c r="F3" s="22">
        <v>2700</v>
      </c>
      <c r="G3" s="22">
        <v>60534</v>
      </c>
      <c r="H3" s="22" t="s">
        <v>13</v>
      </c>
      <c r="I3" s="24">
        <v>741189998356</v>
      </c>
      <c r="J3" s="6"/>
      <c r="K3" s="6"/>
    </row>
    <row r="4" spans="1:11" s="7" customFormat="1" ht="15" customHeight="1">
      <c r="A4" s="22" t="s">
        <v>23</v>
      </c>
      <c r="B4" s="22" t="s">
        <v>24</v>
      </c>
      <c r="C4" s="21">
        <v>2036</v>
      </c>
      <c r="D4" s="21" t="s">
        <v>25</v>
      </c>
      <c r="E4" s="21" t="s">
        <v>26</v>
      </c>
      <c r="F4" s="22">
        <v>32400</v>
      </c>
      <c r="G4" s="22">
        <v>389966.4</v>
      </c>
      <c r="H4" s="21" t="s">
        <v>27</v>
      </c>
      <c r="I4" s="24">
        <v>701186878145</v>
      </c>
      <c r="J4" s="6"/>
      <c r="K4" s="6"/>
    </row>
    <row r="5" spans="1:11" s="7" customFormat="1" ht="15" customHeight="1">
      <c r="A5" s="44" t="s">
        <v>10</v>
      </c>
      <c r="B5" s="45" t="s">
        <v>10</v>
      </c>
      <c r="C5" s="29">
        <v>7</v>
      </c>
      <c r="D5" s="45" t="s">
        <v>11</v>
      </c>
      <c r="E5" s="21" t="s">
        <v>12</v>
      </c>
      <c r="F5" s="22">
        <v>1800</v>
      </c>
      <c r="G5" s="22">
        <v>40356</v>
      </c>
      <c r="H5" s="45" t="s">
        <v>13</v>
      </c>
      <c r="I5" s="32">
        <v>741187707460</v>
      </c>
      <c r="J5" s="6"/>
      <c r="K5" s="6"/>
    </row>
    <row r="6" spans="1:11" s="7" customFormat="1" ht="15" customHeight="1">
      <c r="A6" s="38"/>
      <c r="B6" s="40"/>
      <c r="C6" s="20">
        <v>6</v>
      </c>
      <c r="D6" s="40"/>
      <c r="E6" s="20" t="s">
        <v>14</v>
      </c>
      <c r="F6" s="1">
        <v>2700</v>
      </c>
      <c r="G6" s="1">
        <v>184275</v>
      </c>
      <c r="H6" s="40"/>
      <c r="I6" s="31">
        <v>731187707298</v>
      </c>
      <c r="J6" s="6"/>
      <c r="K6" s="6"/>
    </row>
    <row r="7" spans="1:11" s="7" customFormat="1" ht="15" customHeight="1">
      <c r="A7" s="4"/>
      <c r="B7" s="1"/>
      <c r="C7" s="20"/>
      <c r="D7" s="20"/>
      <c r="E7" s="20"/>
      <c r="F7" s="1"/>
      <c r="G7" s="1"/>
      <c r="H7" s="1"/>
      <c r="I7" s="32"/>
      <c r="J7" s="6"/>
      <c r="K7" s="6"/>
    </row>
    <row r="8" spans="1:11" s="7" customFormat="1" ht="15" customHeight="1">
      <c r="A8" s="37" t="s">
        <v>15</v>
      </c>
      <c r="B8" s="39" t="s">
        <v>16</v>
      </c>
      <c r="C8" s="20" t="s">
        <v>17</v>
      </c>
      <c r="D8" s="39" t="s">
        <v>18</v>
      </c>
      <c r="E8" s="20" t="s">
        <v>19</v>
      </c>
      <c r="F8" s="1">
        <v>1086.95</v>
      </c>
      <c r="G8" s="1">
        <v>322255</v>
      </c>
      <c r="H8" s="39" t="s">
        <v>20</v>
      </c>
      <c r="I8" s="31">
        <v>741188142321</v>
      </c>
      <c r="J8" s="6"/>
      <c r="K8" s="6"/>
    </row>
    <row r="9" spans="1:11" s="7" customFormat="1" ht="15" customHeight="1">
      <c r="A9" s="38"/>
      <c r="B9" s="40"/>
      <c r="C9" s="20" t="s">
        <v>21</v>
      </c>
      <c r="D9" s="40"/>
      <c r="E9" s="20" t="s">
        <v>22</v>
      </c>
      <c r="F9" s="1">
        <v>65700</v>
      </c>
      <c r="G9" s="1">
        <v>267732</v>
      </c>
      <c r="H9" s="40"/>
      <c r="I9" s="30">
        <v>721188142255</v>
      </c>
      <c r="J9" s="6"/>
      <c r="K9" s="6"/>
    </row>
    <row r="10" spans="1:11" s="7" customFormat="1" ht="15" customHeight="1">
      <c r="A10" s="1"/>
      <c r="B10" s="1"/>
      <c r="C10" s="1"/>
      <c r="D10" s="1"/>
      <c r="E10" s="1"/>
      <c r="F10" s="1"/>
      <c r="G10" s="1"/>
      <c r="H10" s="1"/>
      <c r="I10" s="13"/>
      <c r="J10" s="6"/>
      <c r="K10" s="6"/>
    </row>
    <row r="11" spans="1:11" ht="15.75" thickBot="1">
      <c r="A11" s="16" t="s">
        <v>9</v>
      </c>
      <c r="B11" s="8"/>
      <c r="C11" s="14"/>
      <c r="D11" s="16"/>
      <c r="E11" s="8"/>
      <c r="F11" s="17"/>
      <c r="G11" s="18">
        <f>SUM(G3:G10)</f>
        <v>1265118.3999999999</v>
      </c>
      <c r="H11" s="17"/>
      <c r="I11" s="19"/>
      <c r="J11" s="9"/>
      <c r="K11" s="9"/>
    </row>
    <row r="12" spans="1:11">
      <c r="J12" s="9"/>
      <c r="K12" s="9"/>
    </row>
    <row r="14" spans="1:11">
      <c r="G14" s="12"/>
    </row>
    <row r="15" spans="1:11">
      <c r="G15" s="12"/>
    </row>
  </sheetData>
  <mergeCells count="9">
    <mergeCell ref="A8:A9"/>
    <mergeCell ref="B8:B9"/>
    <mergeCell ref="D8:D9"/>
    <mergeCell ref="H8:H9"/>
    <mergeCell ref="A1:I1"/>
    <mergeCell ref="A5:A6"/>
    <mergeCell ref="B5:B6"/>
    <mergeCell ref="D5:D6"/>
    <mergeCell ref="H5:H6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selection activeCell="D5" sqref="D5"/>
    </sheetView>
  </sheetViews>
  <sheetFormatPr defaultRowHeight="15"/>
  <cols>
    <col min="1" max="1" width="9.7109375" style="5" customWidth="1"/>
    <col min="2" max="2" width="9.85546875" style="5" bestFit="1" customWidth="1"/>
    <col min="3" max="3" width="21.5703125" style="15" bestFit="1" customWidth="1"/>
    <col min="4" max="4" width="30.85546875" style="15" bestFit="1" customWidth="1"/>
    <col min="5" max="5" width="29.28515625" style="5" bestFit="1" customWidth="1"/>
    <col min="6" max="6" width="11" style="5" bestFit="1" customWidth="1"/>
    <col min="7" max="7" width="10.7109375" style="11" customWidth="1"/>
    <col min="8" max="8" width="14" style="5" bestFit="1" customWidth="1"/>
    <col min="9" max="9" width="13.140625" style="10" customWidth="1"/>
    <col min="10" max="16384" width="9.140625" style="5"/>
  </cols>
  <sheetData>
    <row r="1" spans="1:11" ht="18.75" customHeight="1" thickBot="1">
      <c r="A1" s="41" t="s">
        <v>30</v>
      </c>
      <c r="B1" s="42"/>
      <c r="C1" s="42"/>
      <c r="D1" s="42"/>
      <c r="E1" s="42"/>
      <c r="F1" s="42"/>
      <c r="G1" s="42"/>
      <c r="H1" s="42"/>
      <c r="I1" s="43"/>
    </row>
    <row r="2" spans="1:11" s="3" customFormat="1" ht="32.25" thickBot="1">
      <c r="A2" s="25" t="s">
        <v>6</v>
      </c>
      <c r="B2" s="26" t="s">
        <v>7</v>
      </c>
      <c r="C2" s="26" t="s">
        <v>8</v>
      </c>
      <c r="D2" s="27" t="s">
        <v>1</v>
      </c>
      <c r="E2" s="27" t="s">
        <v>2</v>
      </c>
      <c r="F2" s="27" t="s">
        <v>0</v>
      </c>
      <c r="G2" s="27" t="s">
        <v>3</v>
      </c>
      <c r="H2" s="27" t="s">
        <v>4</v>
      </c>
      <c r="I2" s="28" t="s">
        <v>5</v>
      </c>
      <c r="J2" s="2"/>
      <c r="K2" s="2"/>
    </row>
    <row r="3" spans="1:11" s="7" customFormat="1" ht="15" customHeight="1">
      <c r="A3" s="21" t="s">
        <v>31</v>
      </c>
      <c r="B3" s="21" t="s">
        <v>32</v>
      </c>
      <c r="C3" s="20" t="s">
        <v>36</v>
      </c>
      <c r="D3" s="21" t="s">
        <v>18</v>
      </c>
      <c r="E3" s="21" t="s">
        <v>34</v>
      </c>
      <c r="F3" s="22">
        <v>4045.27</v>
      </c>
      <c r="G3" s="22">
        <v>1227995</v>
      </c>
      <c r="H3" s="21" t="s">
        <v>33</v>
      </c>
      <c r="I3" s="33">
        <v>761189045364</v>
      </c>
      <c r="J3" s="6"/>
      <c r="K3" s="6"/>
    </row>
    <row r="4" spans="1:11" s="7" customFormat="1" ht="15" customHeight="1">
      <c r="A4" s="20" t="s">
        <v>28</v>
      </c>
      <c r="B4" s="20" t="s">
        <v>28</v>
      </c>
      <c r="C4" s="20">
        <v>13</v>
      </c>
      <c r="D4" s="20" t="s">
        <v>11</v>
      </c>
      <c r="E4" s="20" t="s">
        <v>35</v>
      </c>
      <c r="F4" s="1">
        <v>2700</v>
      </c>
      <c r="G4" s="1">
        <v>60534</v>
      </c>
      <c r="H4" s="20" t="s">
        <v>13</v>
      </c>
      <c r="I4" s="23"/>
      <c r="J4" s="6"/>
      <c r="K4" s="6"/>
    </row>
    <row r="5" spans="1:11" s="7" customFormat="1" ht="15" customHeight="1">
      <c r="A5" s="20" t="s">
        <v>37</v>
      </c>
      <c r="B5" s="20" t="s">
        <v>37</v>
      </c>
      <c r="C5" s="20">
        <v>17</v>
      </c>
      <c r="D5" s="20" t="s">
        <v>11</v>
      </c>
      <c r="E5" s="20" t="s">
        <v>35</v>
      </c>
      <c r="F5" s="1">
        <v>1250</v>
      </c>
      <c r="G5" s="1">
        <v>28025</v>
      </c>
      <c r="H5" s="20" t="s">
        <v>13</v>
      </c>
      <c r="I5" s="23"/>
      <c r="J5" s="6"/>
      <c r="K5" s="6"/>
    </row>
    <row r="6" spans="1:11" s="7" customFormat="1" ht="15" customHeight="1">
      <c r="A6" s="20" t="s">
        <v>40</v>
      </c>
      <c r="B6" s="20" t="s">
        <v>41</v>
      </c>
      <c r="C6" s="20"/>
      <c r="D6" s="20" t="s">
        <v>42</v>
      </c>
      <c r="E6" s="20" t="s">
        <v>39</v>
      </c>
      <c r="F6" s="1">
        <v>100000</v>
      </c>
      <c r="G6" s="1">
        <v>177000</v>
      </c>
      <c r="H6" s="20" t="s">
        <v>38</v>
      </c>
      <c r="I6" s="23"/>
      <c r="J6" s="6"/>
      <c r="K6" s="6"/>
    </row>
    <row r="7" spans="1:11" ht="15.75" thickBot="1">
      <c r="A7" s="16" t="s">
        <v>29</v>
      </c>
      <c r="B7" s="8"/>
      <c r="C7" s="14"/>
      <c r="D7" s="16"/>
      <c r="E7" s="8"/>
      <c r="F7" s="17"/>
      <c r="G7" s="18">
        <f>SUM(G3:G6)</f>
        <v>1493554</v>
      </c>
      <c r="H7" s="17"/>
      <c r="I7" s="19"/>
      <c r="J7" s="9"/>
      <c r="K7" s="9"/>
    </row>
    <row r="8" spans="1:11">
      <c r="J8" s="9"/>
      <c r="K8" s="9"/>
    </row>
    <row r="10" spans="1:11">
      <c r="G10" s="12"/>
    </row>
    <row r="11" spans="1:11">
      <c r="G11" s="12"/>
    </row>
  </sheetData>
  <mergeCells count="1">
    <mergeCell ref="A1:I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selection activeCell="E10" sqref="E10"/>
    </sheetView>
  </sheetViews>
  <sheetFormatPr defaultRowHeight="15"/>
  <cols>
    <col min="1" max="1" width="9.7109375" style="5" customWidth="1"/>
    <col min="2" max="2" width="9.85546875" style="5" bestFit="1" customWidth="1"/>
    <col min="3" max="3" width="21.5703125" style="15" bestFit="1" customWidth="1"/>
    <col min="4" max="4" width="30.85546875" style="15" bestFit="1" customWidth="1"/>
    <col min="5" max="5" width="29.28515625" style="5" bestFit="1" customWidth="1"/>
    <col min="6" max="6" width="11" style="5" bestFit="1" customWidth="1"/>
    <col min="7" max="7" width="10.7109375" style="11" customWidth="1"/>
    <col min="8" max="8" width="14" style="5" bestFit="1" customWidth="1"/>
    <col min="9" max="9" width="13.140625" style="10" customWidth="1"/>
    <col min="10" max="16384" width="9.140625" style="5"/>
  </cols>
  <sheetData>
    <row r="1" spans="1:11" ht="18.75" customHeight="1" thickBot="1">
      <c r="A1" s="41" t="s">
        <v>43</v>
      </c>
      <c r="B1" s="42"/>
      <c r="C1" s="42"/>
      <c r="D1" s="42"/>
      <c r="E1" s="42"/>
      <c r="F1" s="42"/>
      <c r="G1" s="42"/>
      <c r="H1" s="42"/>
      <c r="I1" s="43"/>
    </row>
    <row r="2" spans="1:11" s="3" customFormat="1" ht="32.25" thickBot="1">
      <c r="A2" s="25" t="s">
        <v>6</v>
      </c>
      <c r="B2" s="26" t="s">
        <v>7</v>
      </c>
      <c r="C2" s="26" t="s">
        <v>8</v>
      </c>
      <c r="D2" s="27" t="s">
        <v>1</v>
      </c>
      <c r="E2" s="27" t="s">
        <v>2</v>
      </c>
      <c r="F2" s="27" t="s">
        <v>0</v>
      </c>
      <c r="G2" s="27" t="s">
        <v>3</v>
      </c>
      <c r="H2" s="27" t="s">
        <v>4</v>
      </c>
      <c r="I2" s="28" t="s">
        <v>5</v>
      </c>
      <c r="J2" s="2"/>
      <c r="K2" s="2"/>
    </row>
    <row r="3" spans="1:11" s="7" customFormat="1" ht="15" customHeight="1">
      <c r="A3" s="46" t="s">
        <v>45</v>
      </c>
      <c r="B3" s="46" t="s">
        <v>45</v>
      </c>
      <c r="C3" s="46">
        <v>20</v>
      </c>
      <c r="D3" s="46" t="s">
        <v>11</v>
      </c>
      <c r="E3" s="34" t="s">
        <v>46</v>
      </c>
      <c r="F3" s="35">
        <v>560</v>
      </c>
      <c r="G3" s="46">
        <v>277504</v>
      </c>
      <c r="H3" s="46" t="s">
        <v>49</v>
      </c>
      <c r="I3" s="33"/>
      <c r="J3" s="6"/>
      <c r="K3" s="6"/>
    </row>
    <row r="4" spans="1:11" s="7" customFormat="1" ht="15" customHeight="1">
      <c r="A4" s="45"/>
      <c r="B4" s="45"/>
      <c r="C4" s="45"/>
      <c r="D4" s="45"/>
      <c r="E4" s="20" t="s">
        <v>47</v>
      </c>
      <c r="F4" s="20">
        <v>506</v>
      </c>
      <c r="G4" s="45"/>
      <c r="H4" s="45"/>
      <c r="I4" s="23"/>
      <c r="J4" s="6"/>
      <c r="K4" s="6"/>
    </row>
    <row r="5" spans="1:11" s="7" customFormat="1" ht="15" customHeight="1">
      <c r="A5" s="40"/>
      <c r="B5" s="40"/>
      <c r="C5" s="40"/>
      <c r="D5" s="45"/>
      <c r="E5" s="20" t="s">
        <v>48</v>
      </c>
      <c r="F5" s="20">
        <v>3000</v>
      </c>
      <c r="G5" s="40"/>
      <c r="H5" s="45"/>
      <c r="I5" s="23"/>
      <c r="J5" s="6"/>
      <c r="K5" s="6"/>
    </row>
    <row r="6" spans="1:11" s="7" customFormat="1" ht="15" customHeight="1">
      <c r="A6" s="39" t="s">
        <v>50</v>
      </c>
      <c r="B6" s="20" t="s">
        <v>51</v>
      </c>
      <c r="C6" s="20">
        <v>21</v>
      </c>
      <c r="D6" s="45"/>
      <c r="E6" s="39" t="s">
        <v>35</v>
      </c>
      <c r="F6" s="20">
        <v>2900</v>
      </c>
      <c r="G6" s="20">
        <v>75008</v>
      </c>
      <c r="H6" s="45"/>
      <c r="I6" s="23"/>
      <c r="J6" s="6"/>
      <c r="K6" s="6"/>
    </row>
    <row r="7" spans="1:11" s="7" customFormat="1" ht="15" customHeight="1">
      <c r="A7" s="40"/>
      <c r="B7" s="20" t="s">
        <v>50</v>
      </c>
      <c r="C7" s="20">
        <v>23</v>
      </c>
      <c r="D7" s="40"/>
      <c r="E7" s="40"/>
      <c r="F7" s="20">
        <v>2350</v>
      </c>
      <c r="G7" s="20">
        <v>52687</v>
      </c>
      <c r="H7" s="40"/>
      <c r="I7" s="23"/>
      <c r="J7" s="6"/>
      <c r="K7" s="6"/>
    </row>
    <row r="8" spans="1:11" s="7" customFormat="1" ht="15" customHeight="1">
      <c r="A8" s="36"/>
      <c r="B8" s="20"/>
      <c r="C8" s="20"/>
      <c r="D8" s="36"/>
      <c r="E8" s="36"/>
      <c r="F8" s="20"/>
      <c r="G8" s="20"/>
      <c r="H8" s="36"/>
      <c r="I8" s="23"/>
      <c r="J8" s="6"/>
      <c r="K8" s="6"/>
    </row>
    <row r="9" spans="1:11" s="7" customFormat="1" ht="15" customHeight="1">
      <c r="A9" s="39" t="s">
        <v>52</v>
      </c>
      <c r="B9" s="39" t="s">
        <v>53</v>
      </c>
      <c r="C9" s="20" t="s">
        <v>54</v>
      </c>
      <c r="D9" s="39" t="s">
        <v>18</v>
      </c>
      <c r="E9" s="36" t="s">
        <v>56</v>
      </c>
      <c r="F9" s="20">
        <v>1113650</v>
      </c>
      <c r="G9" s="20">
        <v>318332</v>
      </c>
      <c r="H9" s="36"/>
      <c r="I9" s="23"/>
      <c r="J9" s="6"/>
      <c r="K9" s="6"/>
    </row>
    <row r="10" spans="1:11" s="7" customFormat="1" ht="15" customHeight="1">
      <c r="A10" s="40"/>
      <c r="B10" s="40"/>
      <c r="C10" s="20" t="s">
        <v>55</v>
      </c>
      <c r="D10" s="40"/>
      <c r="E10" s="36"/>
      <c r="F10" s="20"/>
      <c r="G10" s="20"/>
      <c r="H10" s="36"/>
      <c r="I10" s="23"/>
      <c r="J10" s="6"/>
      <c r="K10" s="6"/>
    </row>
    <row r="11" spans="1:11" s="7" customFormat="1" ht="15" customHeight="1">
      <c r="A11" s="36"/>
      <c r="B11" s="20"/>
      <c r="C11" s="20"/>
      <c r="D11" s="36"/>
      <c r="E11" s="36"/>
      <c r="F11" s="20"/>
      <c r="G11" s="20"/>
      <c r="H11" s="36"/>
      <c r="I11" s="23"/>
      <c r="J11" s="6"/>
      <c r="K11" s="6"/>
    </row>
    <row r="12" spans="1:11" s="7" customFormat="1" ht="15" customHeight="1">
      <c r="A12" s="36"/>
      <c r="B12" s="20"/>
      <c r="C12" s="20"/>
      <c r="D12" s="36"/>
      <c r="E12" s="36"/>
      <c r="F12" s="20"/>
      <c r="G12" s="20"/>
      <c r="H12" s="36"/>
      <c r="I12" s="23"/>
      <c r="J12" s="6"/>
      <c r="K12" s="6"/>
    </row>
    <row r="13" spans="1:11" s="7" customFormat="1" ht="15" customHeight="1">
      <c r="A13" s="36"/>
      <c r="B13" s="20"/>
      <c r="C13" s="20"/>
      <c r="D13" s="36"/>
      <c r="E13" s="36"/>
      <c r="F13" s="20"/>
      <c r="G13" s="20"/>
      <c r="H13" s="36"/>
      <c r="I13" s="23"/>
      <c r="J13" s="6"/>
      <c r="K13" s="6"/>
    </row>
    <row r="14" spans="1:11" s="7" customFormat="1" ht="15" customHeight="1">
      <c r="A14" s="36"/>
      <c r="B14" s="20"/>
      <c r="C14" s="20"/>
      <c r="D14" s="36"/>
      <c r="E14" s="36"/>
      <c r="F14" s="20"/>
      <c r="G14" s="20"/>
      <c r="H14" s="36"/>
      <c r="I14" s="23"/>
      <c r="J14" s="6"/>
      <c r="K14" s="6"/>
    </row>
    <row r="15" spans="1:11" s="7" customFormat="1" ht="15" customHeight="1">
      <c r="A15" s="36"/>
      <c r="B15" s="20"/>
      <c r="C15" s="20"/>
      <c r="D15" s="36"/>
      <c r="E15" s="36"/>
      <c r="F15" s="20"/>
      <c r="G15" s="20"/>
      <c r="H15" s="36"/>
      <c r="I15" s="23"/>
      <c r="J15" s="6"/>
      <c r="K15" s="6"/>
    </row>
    <row r="16" spans="1:11" s="7" customFormat="1" ht="15" customHeight="1">
      <c r="A16" s="20"/>
      <c r="B16" s="20"/>
      <c r="C16" s="20"/>
      <c r="D16" s="20"/>
      <c r="E16" s="20"/>
      <c r="F16" s="20"/>
      <c r="G16" s="20"/>
      <c r="H16" s="20"/>
      <c r="I16" s="23"/>
      <c r="J16" s="6"/>
      <c r="K16" s="6"/>
    </row>
    <row r="17" spans="1:11" s="7" customFormat="1" ht="15" customHeight="1">
      <c r="A17" s="20"/>
      <c r="B17" s="20"/>
      <c r="C17" s="20"/>
      <c r="D17" s="20"/>
      <c r="E17" s="20"/>
      <c r="F17" s="20"/>
      <c r="G17" s="20"/>
      <c r="H17" s="20"/>
      <c r="I17" s="23"/>
      <c r="J17" s="6"/>
      <c r="K17" s="6"/>
    </row>
    <row r="18" spans="1:11" ht="15.75" thickBot="1">
      <c r="A18" s="16" t="s">
        <v>29</v>
      </c>
      <c r="B18" s="8"/>
      <c r="C18" s="14"/>
      <c r="D18" s="16"/>
      <c r="E18" s="8"/>
      <c r="F18" s="17"/>
      <c r="G18" s="18">
        <f>SUM(G3:G17)</f>
        <v>723531</v>
      </c>
      <c r="H18" s="17"/>
      <c r="I18" s="19"/>
      <c r="J18" s="9"/>
      <c r="K18" s="9"/>
    </row>
    <row r="19" spans="1:11">
      <c r="J19" s="9"/>
      <c r="K19" s="9"/>
    </row>
    <row r="21" spans="1:11">
      <c r="G21" s="12"/>
    </row>
    <row r="22" spans="1:11">
      <c r="G22" s="12"/>
    </row>
  </sheetData>
  <mergeCells count="12">
    <mergeCell ref="A9:A10"/>
    <mergeCell ref="B9:B10"/>
    <mergeCell ref="D9:D10"/>
    <mergeCell ref="A6:A7"/>
    <mergeCell ref="D3:D7"/>
    <mergeCell ref="E6:E7"/>
    <mergeCell ref="H3:H7"/>
    <mergeCell ref="A1:I1"/>
    <mergeCell ref="A3:A5"/>
    <mergeCell ref="B3:B5"/>
    <mergeCell ref="C3:C5"/>
    <mergeCell ref="G3:G5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April 2021</vt:lpstr>
      <vt:lpstr>May 2021</vt:lpstr>
      <vt:lpstr>June 2021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pataka</dc:creator>
  <cp:lastModifiedBy>pataka</cp:lastModifiedBy>
  <cp:lastPrinted>2019-03-30T06:55:54Z</cp:lastPrinted>
  <dcterms:created xsi:type="dcterms:W3CDTF">2017-08-10T10:30:31Z</dcterms:created>
  <dcterms:modified xsi:type="dcterms:W3CDTF">2021-06-19T07:02:47Z</dcterms:modified>
</cp:coreProperties>
</file>