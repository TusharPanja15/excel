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 defaultThemeVersion="124226"/>
  <bookViews>
    <workbookView xWindow="240" yWindow="105" windowWidth="14805" windowHeight="8010" tabRatio="579" firstSheet="8" activeTab="11"/>
  </bookViews>
  <sheets>
    <sheet name="ANNEXTURE -1-OT" sheetId="2" r:id="rId1"/>
    <sheet name="Annexure - 2" sheetId="21" r:id="rId2"/>
    <sheet name="ANNEXTURE-3-PRO" sheetId="7" r:id="rId3"/>
    <sheet name="Annexure-4" sheetId="20" r:id="rId4"/>
    <sheet name="BP USE AND GAIN" sheetId="6" r:id="rId5"/>
    <sheet name="Finish good value." sheetId="22" r:id="rId6"/>
    <sheet name="PMT Value." sheetId="23" r:id="rId7"/>
    <sheet name="LOT WISE CLOSING-2020-21" sheetId="26" r:id="rId8"/>
    <sheet name="LOT WISE CLOSING-2017-18 CHECK" sheetId="12" r:id="rId9"/>
    <sheet name="blend t physical stock" sheetId="16" r:id="rId10"/>
    <sheet name="physical packed stock" sheetId="17" r:id="rId11"/>
    <sheet name="Sheet1" sheetId="25" r:id="rId12"/>
  </sheets>
  <externalReferences>
    <externalReference r:id="rId13"/>
  </externalReferences>
  <definedNames>
    <definedName name="_xlnm._FilterDatabase" localSheetId="0" hidden="1">'ANNEXTURE -1-OT'!$A$7:$K$119</definedName>
    <definedName name="_xlnm._FilterDatabase" localSheetId="3" hidden="1">'Annexure-4'!$A$4:$O$485</definedName>
    <definedName name="_xlnm._FilterDatabase" localSheetId="4" hidden="1">'BP USE AND GAIN'!$A$4:$H$48</definedName>
    <definedName name="_xlnm._FilterDatabase" localSheetId="8" hidden="1">'LOT WISE CLOSING-2017-18 CHECK'!$A$2:$O$1062</definedName>
    <definedName name="_xlnm._FilterDatabase" localSheetId="7" hidden="1">'LOT WISE CLOSING-2020-21'!$A$2:$N$1062</definedName>
  </definedNames>
  <calcPr calcId="125725"/>
</workbook>
</file>

<file path=xl/calcChain.xml><?xml version="1.0" encoding="utf-8"?>
<calcChain xmlns="http://schemas.openxmlformats.org/spreadsheetml/2006/main">
  <c r="L511" i="20"/>
  <c r="C21" i="17" l="1"/>
  <c r="C14"/>
  <c r="C13"/>
  <c r="C12"/>
  <c r="I9" i="16" l="1"/>
  <c r="I8"/>
  <c r="F9"/>
  <c r="L9"/>
  <c r="L8"/>
  <c r="F8"/>
  <c r="C9"/>
  <c r="B9"/>
  <c r="C8"/>
  <c r="N311" i="12"/>
  <c r="N385"/>
  <c r="N384"/>
  <c r="N443"/>
  <c r="N893"/>
  <c r="N450"/>
  <c r="N814"/>
  <c r="N182"/>
  <c r="N850"/>
  <c r="N348"/>
  <c r="N536"/>
  <c r="N345"/>
  <c r="N663"/>
  <c r="N204"/>
  <c r="N765"/>
  <c r="N550"/>
  <c r="N366"/>
  <c r="N911"/>
  <c r="N437"/>
  <c r="N778"/>
  <c r="N49"/>
  <c r="N603"/>
  <c r="N1042"/>
  <c r="N18"/>
  <c r="N504"/>
  <c r="N732"/>
  <c r="N678"/>
  <c r="N770"/>
  <c r="N377"/>
  <c r="N591"/>
  <c r="N369"/>
  <c r="N190"/>
  <c r="N808"/>
  <c r="N777"/>
  <c r="N629"/>
  <c r="N766"/>
  <c r="N20"/>
  <c r="N225"/>
  <c r="N864"/>
  <c r="N370"/>
  <c r="N441"/>
  <c r="N592"/>
  <c r="N838"/>
  <c r="N107"/>
  <c r="N209"/>
  <c r="N731"/>
  <c r="N129"/>
  <c r="N657"/>
  <c r="N912"/>
  <c r="N4"/>
  <c r="N208"/>
  <c r="N916"/>
  <c r="N627"/>
  <c r="N611"/>
  <c r="N837"/>
  <c r="N733"/>
  <c r="N179"/>
  <c r="N388"/>
  <c r="N727"/>
  <c r="N539"/>
  <c r="N537"/>
  <c r="N210"/>
  <c r="N22"/>
  <c r="N915"/>
  <c r="N830"/>
  <c r="N901"/>
  <c r="N852"/>
  <c r="O444"/>
  <c r="N923"/>
  <c r="N80"/>
  <c r="N1053"/>
  <c r="N1016"/>
  <c r="N832"/>
  <c r="N95"/>
  <c r="N64"/>
  <c r="N65"/>
  <c r="N66"/>
  <c r="N68"/>
  <c r="N69"/>
  <c r="N73"/>
  <c r="N74"/>
  <c r="N76"/>
  <c r="N77"/>
  <c r="N78"/>
  <c r="N79"/>
  <c r="N86"/>
  <c r="N87"/>
  <c r="N89"/>
  <c r="N658" l="1"/>
  <c r="N653"/>
  <c r="N853"/>
  <c r="N745"/>
  <c r="N680"/>
  <c r="N613"/>
  <c r="N6"/>
  <c r="N371"/>
  <c r="N364"/>
  <c r="N227"/>
  <c r="N913"/>
  <c r="N538"/>
  <c r="N593"/>
  <c r="N102"/>
  <c r="N128"/>
  <c r="N914"/>
  <c r="N980"/>
  <c r="N108"/>
  <c r="N740"/>
  <c r="N228"/>
  <c r="N451"/>
  <c r="N153"/>
  <c r="N398"/>
  <c r="N659"/>
  <c r="N873"/>
  <c r="N771"/>
  <c r="N1036"/>
  <c r="N1005"/>
  <c r="N686"/>
  <c r="N389"/>
  <c r="N612"/>
  <c r="N183"/>
  <c r="N508"/>
  <c r="N368"/>
  <c r="N346"/>
  <c r="N661" l="1"/>
  <c r="N541"/>
  <c r="N684"/>
  <c r="N117"/>
  <c r="N181"/>
  <c r="N1052"/>
  <c r="N207"/>
  <c r="N792"/>
  <c r="N623"/>
  <c r="N127"/>
  <c r="N610"/>
  <c r="N297"/>
  <c r="N552"/>
  <c r="N982"/>
  <c r="N130"/>
  <c r="N1018"/>
  <c r="N1024"/>
  <c r="N152"/>
  <c r="N620"/>
  <c r="N1049"/>
  <c r="N927"/>
  <c r="N742"/>
  <c r="N845"/>
  <c r="N822"/>
  <c r="N459"/>
  <c r="N761"/>
  <c r="N452"/>
  <c r="N817"/>
  <c r="N604"/>
  <c r="N7"/>
  <c r="N660"/>
  <c r="N58"/>
  <c r="N180"/>
  <c r="N116"/>
  <c r="N878"/>
  <c r="N926"/>
  <c r="N224"/>
  <c r="N351"/>
  <c r="N456"/>
  <c r="N436"/>
  <c r="N863"/>
  <c r="N376"/>
  <c r="N823"/>
  <c r="N465"/>
  <c r="N590"/>
  <c r="N626"/>
  <c r="N557"/>
  <c r="N920"/>
  <c r="N922"/>
  <c r="N1048"/>
  <c r="N925"/>
  <c r="N907"/>
  <c r="N679"/>
  <c r="N143"/>
  <c r="N877"/>
  <c r="N141"/>
  <c r="N435"/>
  <c r="N811"/>
  <c r="N287"/>
  <c r="N682"/>
  <c r="N747"/>
  <c r="N898"/>
  <c r="N5"/>
  <c r="N159"/>
  <c r="N378"/>
  <c r="N379"/>
  <c r="N383"/>
  <c r="N280"/>
  <c r="N279"/>
  <c r="N238"/>
  <c r="N103"/>
  <c r="N637"/>
  <c r="N524"/>
  <c r="N531"/>
  <c r="N402"/>
  <c r="N1026"/>
  <c r="N248"/>
  <c r="N641"/>
  <c r="N52"/>
  <c r="N857"/>
  <c r="N892"/>
  <c r="N910"/>
  <c r="N973"/>
  <c r="N321"/>
  <c r="N114"/>
  <c r="N574"/>
  <c r="N175"/>
  <c r="N53"/>
  <c r="N834"/>
  <c r="N512"/>
  <c r="N123"/>
  <c r="N337"/>
  <c r="N872"/>
  <c r="N319"/>
  <c r="N199"/>
  <c r="N526"/>
  <c r="N826"/>
  <c r="N1055"/>
  <c r="N986"/>
  <c r="N150"/>
  <c r="N506"/>
  <c r="N315"/>
  <c r="N359"/>
  <c r="N382"/>
  <c r="N870"/>
  <c r="N278"/>
  <c r="N174"/>
  <c r="N587"/>
  <c r="N317"/>
  <c r="N350"/>
  <c r="N251"/>
  <c r="N867"/>
  <c r="N172"/>
  <c r="N638"/>
  <c r="N381"/>
  <c r="N289"/>
  <c r="N510"/>
  <c r="N214"/>
  <c r="N1022"/>
  <c r="N1027"/>
  <c r="N138"/>
  <c r="N1015"/>
  <c r="N11"/>
  <c r="N386"/>
  <c r="N711"/>
  <c r="N888"/>
  <c r="N1039"/>
  <c r="N640"/>
  <c r="N825"/>
  <c r="N414"/>
  <c r="N151"/>
  <c r="N250"/>
  <c r="N599" l="1"/>
  <c r="N991"/>
  <c r="N215"/>
  <c r="N833"/>
  <c r="N871"/>
  <c r="N43"/>
  <c r="N1057"/>
  <c r="N824"/>
  <c r="N861"/>
  <c r="N148"/>
  <c r="N120"/>
  <c r="N862"/>
  <c r="N24"/>
  <c r="N1020"/>
  <c r="N19"/>
  <c r="N438"/>
  <c r="N695"/>
  <c r="N1010"/>
  <c r="N1008"/>
  <c r="N540"/>
  <c r="N518"/>
  <c r="N572"/>
  <c r="N848"/>
  <c r="N646"/>
  <c r="N229"/>
  <c r="N828"/>
  <c r="N355"/>
  <c r="N675"/>
  <c r="N988"/>
  <c r="N977"/>
  <c r="N621"/>
  <c r="N772"/>
  <c r="N724"/>
  <c r="N900"/>
  <c r="N578"/>
  <c r="N846"/>
  <c r="N323"/>
  <c r="N985"/>
  <c r="N933"/>
  <c r="N265"/>
  <c r="N264"/>
  <c r="N31"/>
  <c r="N32"/>
  <c r="N652"/>
  <c r="N608"/>
  <c r="N774"/>
  <c r="N136"/>
  <c r="N764"/>
  <c r="N490"/>
  <c r="N676"/>
  <c r="N259"/>
  <c r="N644"/>
  <c r="N395"/>
  <c r="N533"/>
  <c r="N135"/>
  <c r="N1031"/>
  <c r="N298"/>
  <c r="N671"/>
  <c r="N992"/>
  <c r="N186"/>
  <c r="N294"/>
  <c r="N357"/>
  <c r="N697"/>
  <c r="N904"/>
  <c r="N993" l="1"/>
  <c r="N30"/>
  <c r="N360"/>
  <c r="N433"/>
  <c r="N205"/>
  <c r="N132"/>
  <c r="N109"/>
  <c r="N290"/>
  <c r="N719"/>
  <c r="N410"/>
  <c r="N776"/>
  <c r="N33"/>
  <c r="N556"/>
  <c r="N239"/>
  <c r="N511"/>
  <c r="N978"/>
  <c r="N126"/>
  <c r="N797"/>
  <c r="N609"/>
  <c r="N133"/>
  <c r="N801"/>
  <c r="N322"/>
  <c r="N928"/>
  <c r="N517"/>
  <c r="N234"/>
  <c r="N499"/>
  <c r="N622"/>
  <c r="N97"/>
  <c r="N373"/>
  <c r="N295"/>
  <c r="N212"/>
  <c r="N651"/>
  <c r="N1034"/>
  <c r="N856"/>
  <c r="N440"/>
  <c r="N310"/>
  <c r="N111"/>
  <c r="N131"/>
  <c r="N1003"/>
  <c r="N794"/>
  <c r="N296"/>
  <c r="N374"/>
  <c r="N648"/>
  <c r="N781"/>
  <c r="N98"/>
  <c r="N782"/>
  <c r="N469"/>
  <c r="N935"/>
  <c r="N177"/>
  <c r="N260"/>
  <c r="N233"/>
  <c r="N206"/>
  <c r="N723"/>
  <c r="N849"/>
  <c r="N990"/>
  <c r="N579"/>
  <c r="N633"/>
  <c r="N571"/>
  <c r="N184"/>
  <c r="N192"/>
  <c r="N472"/>
  <c r="N404"/>
  <c r="N798"/>
  <c r="N554"/>
  <c r="N187"/>
  <c r="N1002"/>
  <c r="N1000"/>
  <c r="N520" l="1"/>
  <c r="O520" s="1"/>
  <c r="O900"/>
  <c r="N316"/>
  <c r="O1002"/>
  <c r="N999"/>
  <c r="O999" s="1"/>
  <c r="N995"/>
  <c r="O995" s="1"/>
  <c r="N516"/>
  <c r="O516" s="1"/>
  <c r="N847"/>
  <c r="O847" s="1"/>
  <c r="N773"/>
  <c r="O773" s="1"/>
  <c r="N1001"/>
  <c r="O1001" s="1"/>
  <c r="N859"/>
  <c r="O859" s="1"/>
  <c r="N720"/>
  <c r="O720" s="1"/>
  <c r="N645"/>
  <c r="O645" s="1"/>
  <c r="N810"/>
  <c r="O810" s="1"/>
  <c r="N55"/>
  <c r="O55" s="1"/>
  <c r="N521"/>
  <c r="O521" s="1"/>
  <c r="N722"/>
  <c r="O722" s="1"/>
  <c r="N614"/>
  <c r="O614" s="1"/>
  <c r="N353"/>
  <c r="O353" s="1"/>
  <c r="N555"/>
  <c r="O555" s="1"/>
  <c r="N90"/>
  <c r="O90" s="1"/>
  <c r="O79"/>
  <c r="N584"/>
  <c r="O584" s="1"/>
  <c r="N818"/>
  <c r="O818" s="1"/>
  <c r="N726"/>
  <c r="O726" s="1"/>
  <c r="N721"/>
  <c r="O721" s="1"/>
  <c r="N237"/>
  <c r="O237" s="1"/>
  <c r="O69"/>
  <c r="N304"/>
  <c r="O304" s="1"/>
  <c r="N302"/>
  <c r="O302" s="1"/>
  <c r="N352"/>
  <c r="O352" s="1"/>
  <c r="N827"/>
  <c r="O827" s="1"/>
  <c r="O78"/>
  <c r="N305"/>
  <c r="O305" s="1"/>
  <c r="N253"/>
  <c r="O253" s="1"/>
  <c r="O66"/>
  <c r="N54"/>
  <c r="O54" s="1"/>
  <c r="N185"/>
  <c r="O185" s="1"/>
  <c r="N301"/>
  <c r="O301" s="1"/>
  <c r="N596"/>
  <c r="O596" s="1"/>
  <c r="O824"/>
  <c r="O73"/>
  <c r="N13"/>
  <c r="O13" s="1"/>
  <c r="N940"/>
  <c r="O940" s="1"/>
  <c r="O378"/>
  <c r="N1009"/>
  <c r="O1009" s="1"/>
  <c r="N474"/>
  <c r="O474" s="1"/>
  <c r="N498"/>
  <c r="N56"/>
  <c r="O56" s="1"/>
  <c r="N728"/>
  <c r="O728" s="1"/>
  <c r="N139"/>
  <c r="O139" s="1"/>
  <c r="N140"/>
  <c r="N261"/>
  <c r="O261" s="1"/>
  <c r="N866"/>
  <c r="O866" s="1"/>
  <c r="N528"/>
  <c r="O528" s="1"/>
  <c r="N917"/>
  <c r="N919"/>
  <c r="O919" s="1"/>
  <c r="N949"/>
  <c r="O949" s="1"/>
  <c r="N606"/>
  <c r="O606" s="1"/>
  <c r="N445"/>
  <c r="O445" s="1"/>
  <c r="N768"/>
  <c r="O768" s="1"/>
  <c r="O379"/>
  <c r="N396"/>
  <c r="O396" s="1"/>
  <c r="N241"/>
  <c r="N805"/>
  <c r="O805" s="1"/>
  <c r="N918"/>
  <c r="O918" s="1"/>
  <c r="N195"/>
  <c r="N1028"/>
  <c r="N394"/>
  <c r="O394" s="1"/>
  <c r="N553"/>
  <c r="O553" s="1"/>
  <c r="N249"/>
  <c r="O249" s="1"/>
  <c r="N812"/>
  <c r="N948"/>
  <c r="O948" s="1"/>
  <c r="N513"/>
  <c r="O513" s="1"/>
  <c r="N616"/>
  <c r="O616" s="1"/>
  <c r="N974"/>
  <c r="O974" s="1"/>
  <c r="O257"/>
  <c r="O1061"/>
  <c r="O669"/>
  <c r="O668"/>
  <c r="O667"/>
  <c r="O563"/>
  <c r="O562"/>
  <c r="O561"/>
  <c r="O1030"/>
  <c r="O759"/>
  <c r="O462"/>
  <c r="O461"/>
  <c r="O41"/>
  <c r="O40"/>
  <c r="O439"/>
  <c r="O338"/>
  <c r="O815"/>
  <c r="O162"/>
  <c r="O937"/>
  <c r="O936"/>
  <c r="O560"/>
  <c r="O559"/>
  <c r="O1029"/>
  <c r="O1028"/>
  <c r="O666"/>
  <c r="O597"/>
  <c r="O558"/>
  <c r="O997"/>
  <c r="O665"/>
  <c r="O664"/>
  <c r="O595"/>
  <c r="O594"/>
  <c r="O758"/>
  <c r="O757"/>
  <c r="O756"/>
  <c r="O843"/>
  <c r="O842"/>
  <c r="O755"/>
  <c r="O754"/>
  <c r="O753"/>
  <c r="O752"/>
  <c r="O751"/>
  <c r="O750"/>
  <c r="O749"/>
  <c r="O748"/>
  <c r="O996"/>
  <c r="O480"/>
  <c r="O479"/>
  <c r="O478"/>
  <c r="O477"/>
  <c r="O476"/>
  <c r="O674"/>
  <c r="O673"/>
  <c r="O856"/>
  <c r="O855"/>
  <c r="O854"/>
  <c r="O1007"/>
  <c r="O935"/>
  <c r="O934"/>
  <c r="O176"/>
  <c r="O634"/>
  <c r="O633"/>
  <c r="O1027"/>
  <c r="O1026"/>
  <c r="O783"/>
  <c r="O951"/>
  <c r="O950"/>
  <c r="O230"/>
  <c r="O711"/>
  <c r="O710"/>
  <c r="O45"/>
  <c r="O44"/>
  <c r="O43"/>
  <c r="O1006"/>
  <c r="O841"/>
  <c r="O840"/>
  <c r="O656"/>
  <c r="O655"/>
  <c r="O654"/>
  <c r="O460"/>
  <c r="O39"/>
  <c r="O38"/>
  <c r="O125"/>
  <c r="O337"/>
  <c r="O336"/>
  <c r="O335"/>
  <c r="O334"/>
  <c r="O438"/>
  <c r="O437"/>
  <c r="O593"/>
  <c r="O592"/>
  <c r="O591"/>
  <c r="O960"/>
  <c r="O1060"/>
  <c r="O1059"/>
  <c r="O1058"/>
  <c r="O747"/>
  <c r="O853"/>
  <c r="O852"/>
  <c r="O851"/>
  <c r="O933"/>
  <c r="O932"/>
  <c r="O931"/>
  <c r="O930"/>
  <c r="O929"/>
  <c r="O928"/>
  <c r="O23"/>
  <c r="O632"/>
  <c r="O631"/>
  <c r="O77"/>
  <c r="O76"/>
  <c r="O333"/>
  <c r="O332"/>
  <c r="O331"/>
  <c r="O330"/>
  <c r="O329"/>
  <c r="O328"/>
  <c r="O327"/>
  <c r="O557"/>
  <c r="O1025"/>
  <c r="O1024"/>
  <c r="O1023"/>
  <c r="O124"/>
  <c r="O326"/>
  <c r="O436"/>
  <c r="O435"/>
  <c r="O37"/>
  <c r="O36"/>
  <c r="O541"/>
  <c r="O590"/>
  <c r="O927"/>
  <c r="O926"/>
  <c r="O925"/>
  <c r="O907"/>
  <c r="O906"/>
  <c r="O739"/>
  <c r="O738"/>
  <c r="O737"/>
  <c r="O736"/>
  <c r="O735"/>
  <c r="O734"/>
  <c r="O173"/>
  <c r="O403"/>
  <c r="O924"/>
  <c r="O637"/>
  <c r="O733"/>
  <c r="O732"/>
  <c r="O731"/>
  <c r="O22"/>
  <c r="O21"/>
  <c r="O20"/>
  <c r="O19"/>
  <c r="O18"/>
  <c r="O17"/>
  <c r="O891"/>
  <c r="O890"/>
  <c r="O889"/>
  <c r="O888"/>
  <c r="O887"/>
  <c r="O161"/>
  <c r="O871"/>
  <c r="O870"/>
  <c r="O869"/>
  <c r="O868"/>
  <c r="O867"/>
  <c r="O402"/>
  <c r="O746"/>
  <c r="O653"/>
  <c r="O459"/>
  <c r="O458"/>
  <c r="O457"/>
  <c r="O456"/>
  <c r="O300"/>
  <c r="O923"/>
  <c r="O922"/>
  <c r="O921"/>
  <c r="O920"/>
  <c r="O905"/>
  <c r="O904"/>
  <c r="O903"/>
  <c r="O886"/>
  <c r="O885"/>
  <c r="O884"/>
  <c r="O883"/>
  <c r="O882"/>
  <c r="O881"/>
  <c r="O880"/>
  <c r="O879"/>
  <c r="O878"/>
  <c r="O877"/>
  <c r="O876"/>
  <c r="O539"/>
  <c r="O538"/>
  <c r="O537"/>
  <c r="O536"/>
  <c r="O507"/>
  <c r="O506"/>
  <c r="O85"/>
  <c r="O377"/>
  <c r="O778"/>
  <c r="O777"/>
  <c r="O75"/>
  <c r="O636"/>
  <c r="O556"/>
  <c r="O229"/>
  <c r="O839"/>
  <c r="O838"/>
  <c r="O837"/>
  <c r="O630"/>
  <c r="O629"/>
  <c r="O628"/>
  <c r="O652"/>
  <c r="O651"/>
  <c r="O650"/>
  <c r="O649"/>
  <c r="O648"/>
  <c r="O236"/>
  <c r="O235"/>
  <c r="O234"/>
  <c r="O233"/>
  <c r="O288"/>
  <c r="O219"/>
  <c r="O218"/>
  <c r="O325"/>
  <c r="O324"/>
  <c r="O990"/>
  <c r="O989"/>
  <c r="O966"/>
  <c r="O189"/>
  <c r="O188"/>
  <c r="O959"/>
  <c r="O958"/>
  <c r="O53"/>
  <c r="O52"/>
  <c r="O576"/>
  <c r="O575"/>
  <c r="O574"/>
  <c r="O526"/>
  <c r="O525"/>
  <c r="O524"/>
  <c r="O899"/>
  <c r="O315"/>
  <c r="O286"/>
  <c r="O285"/>
  <c r="O505"/>
  <c r="O493"/>
  <c r="O947"/>
  <c r="O222"/>
  <c r="O415"/>
  <c r="O414"/>
  <c r="O408"/>
  <c r="O784"/>
  <c r="O510"/>
  <c r="O530"/>
  <c r="O544"/>
  <c r="O543"/>
  <c r="O542"/>
  <c r="O93"/>
  <c r="O796"/>
  <c r="O795"/>
  <c r="O495"/>
  <c r="O494"/>
  <c r="O203"/>
  <c r="O202"/>
  <c r="O201"/>
  <c r="O1037"/>
  <c r="O523"/>
  <c r="O59"/>
  <c r="O247"/>
  <c r="O246"/>
  <c r="O312"/>
  <c r="O105"/>
  <c r="O104"/>
  <c r="O166"/>
  <c r="O165"/>
  <c r="O492"/>
  <c r="O284"/>
  <c r="O283"/>
  <c r="O84"/>
  <c r="O83"/>
  <c r="O82"/>
  <c r="O1012"/>
  <c r="O1011"/>
  <c r="O240"/>
  <c r="O1010"/>
  <c r="O577"/>
  <c r="O1004"/>
  <c r="O397"/>
  <c r="O395"/>
  <c r="O1008"/>
  <c r="O239"/>
  <c r="O98"/>
  <c r="O97"/>
  <c r="O34"/>
  <c r="O823"/>
  <c r="O822"/>
  <c r="O143"/>
  <c r="O142"/>
  <c r="O141"/>
  <c r="O314"/>
  <c r="O103"/>
  <c r="O102"/>
  <c r="O893"/>
  <c r="O191"/>
  <c r="O190"/>
  <c r="O145"/>
  <c r="O144"/>
  <c r="O600"/>
  <c r="O599"/>
  <c r="O991"/>
  <c r="O282"/>
  <c r="O281"/>
  <c r="O81"/>
  <c r="O1036"/>
  <c r="O407"/>
  <c r="O200"/>
  <c r="O199"/>
  <c r="O898"/>
  <c r="O406"/>
  <c r="O704"/>
  <c r="O703"/>
  <c r="O147"/>
  <c r="O146"/>
  <c r="O509"/>
  <c r="O568"/>
  <c r="O770"/>
  <c r="O80"/>
  <c r="O96"/>
  <c r="O349"/>
  <c r="O348"/>
  <c r="O271"/>
  <c r="O688"/>
  <c r="O266"/>
  <c r="O769"/>
  <c r="O508"/>
  <c r="O242"/>
  <c r="O564"/>
  <c r="O567"/>
  <c r="O566"/>
  <c r="O565"/>
  <c r="O95"/>
  <c r="O94"/>
  <c r="O393"/>
  <c r="O347"/>
  <c r="O346"/>
  <c r="O345"/>
  <c r="O386"/>
  <c r="O385"/>
  <c r="O384"/>
  <c r="O251"/>
  <c r="O250"/>
  <c r="O821"/>
  <c r="O825"/>
  <c r="O573"/>
  <c r="O383"/>
  <c r="O382"/>
  <c r="O798"/>
  <c r="O797"/>
  <c r="O265"/>
  <c r="O264"/>
  <c r="O696"/>
  <c r="O529"/>
  <c r="O140"/>
  <c r="O820"/>
  <c r="O819"/>
  <c r="O390"/>
  <c r="O788"/>
  <c r="O263"/>
  <c r="O262"/>
  <c r="O276"/>
  <c r="O275"/>
  <c r="O274"/>
  <c r="O273"/>
  <c r="O272"/>
  <c r="O816"/>
  <c r="O522"/>
  <c r="O519"/>
  <c r="O518"/>
  <c r="O517"/>
  <c r="O695"/>
  <c r="O694"/>
  <c r="O897"/>
  <c r="O491"/>
  <c r="O221"/>
  <c r="O405"/>
  <c r="O814"/>
  <c r="O1057"/>
  <c r="O1056"/>
  <c r="O1055"/>
  <c r="O1054"/>
  <c r="O745"/>
  <c r="O447"/>
  <c r="O217"/>
  <c r="O216"/>
  <c r="O215"/>
  <c r="O214"/>
  <c r="O213"/>
  <c r="O744"/>
  <c r="O475"/>
  <c r="O473"/>
  <c r="O472"/>
  <c r="O401"/>
  <c r="O917"/>
  <c r="O160"/>
  <c r="O159"/>
  <c r="O175"/>
  <c r="O174"/>
  <c r="O74"/>
  <c r="O72"/>
  <c r="O71"/>
  <c r="O70"/>
  <c r="O483"/>
  <c r="O498"/>
  <c r="O730"/>
  <c r="O729"/>
  <c r="O727"/>
  <c r="O446"/>
  <c r="O1042"/>
  <c r="O16"/>
  <c r="O15"/>
  <c r="O14"/>
  <c r="O12"/>
  <c r="O535"/>
  <c r="O776"/>
  <c r="O775"/>
  <c r="O774"/>
  <c r="O772"/>
  <c r="O836"/>
  <c r="O835"/>
  <c r="O690"/>
  <c r="O689"/>
  <c r="O865"/>
  <c r="O864"/>
  <c r="O400"/>
  <c r="O399"/>
  <c r="O540"/>
  <c r="O311"/>
  <c r="O310"/>
  <c r="O585"/>
  <c r="O292"/>
  <c r="O291"/>
  <c r="O290"/>
  <c r="O289"/>
  <c r="O111"/>
  <c r="O110"/>
  <c r="O123"/>
  <c r="O122"/>
  <c r="O121"/>
  <c r="O212"/>
  <c r="O211"/>
  <c r="O323"/>
  <c r="O322"/>
  <c r="O321"/>
  <c r="O320"/>
  <c r="O194"/>
  <c r="O193"/>
  <c r="O192"/>
  <c r="O1041"/>
  <c r="O1040"/>
  <c r="O875"/>
  <c r="O874"/>
  <c r="O534"/>
  <c r="O533"/>
  <c r="O68"/>
  <c r="O67"/>
  <c r="O65"/>
  <c r="O64"/>
  <c r="O63"/>
  <c r="O62"/>
  <c r="O482"/>
  <c r="O481"/>
  <c r="O834"/>
  <c r="O833"/>
  <c r="O647"/>
  <c r="O646"/>
  <c r="O644"/>
  <c r="O643"/>
  <c r="O238"/>
  <c r="O35"/>
  <c r="O120"/>
  <c r="O119"/>
  <c r="O118"/>
  <c r="O319"/>
  <c r="O318"/>
  <c r="O317"/>
  <c r="O1039"/>
  <c r="O1038"/>
  <c r="O916"/>
  <c r="O915"/>
  <c r="O914"/>
  <c r="O117"/>
  <c r="O116"/>
  <c r="O771"/>
  <c r="O832"/>
  <c r="O831"/>
  <c r="O830"/>
  <c r="O829"/>
  <c r="O687"/>
  <c r="O686"/>
  <c r="O685"/>
  <c r="O684"/>
  <c r="O683"/>
  <c r="O158"/>
  <c r="O157"/>
  <c r="O863"/>
  <c r="O1053"/>
  <c r="O1052"/>
  <c r="O1051"/>
  <c r="O1050"/>
  <c r="O1049"/>
  <c r="O1048"/>
  <c r="O1047"/>
  <c r="O398"/>
  <c r="O913"/>
  <c r="O912"/>
  <c r="O682"/>
  <c r="O681"/>
  <c r="O680"/>
  <c r="O156"/>
  <c r="O155"/>
  <c r="O343"/>
  <c r="O342"/>
  <c r="O341"/>
  <c r="O787"/>
  <c r="O786"/>
  <c r="O545"/>
  <c r="O198"/>
  <c r="O515"/>
  <c r="O514"/>
  <c r="O693"/>
  <c r="O692"/>
  <c r="O691"/>
  <c r="O896"/>
  <c r="O895"/>
  <c r="O894"/>
  <c r="O527"/>
  <c r="O245"/>
  <c r="O244"/>
  <c r="O138"/>
  <c r="O137"/>
  <c r="O101"/>
  <c r="O220"/>
  <c r="O270"/>
  <c r="O269"/>
  <c r="O268"/>
  <c r="O267"/>
  <c r="O767"/>
  <c r="O1022"/>
  <c r="O1021"/>
  <c r="O1020"/>
  <c r="O1019"/>
  <c r="O1018"/>
  <c r="O1017"/>
  <c r="O1016"/>
  <c r="O7"/>
  <c r="O6"/>
  <c r="O5"/>
  <c r="O4"/>
  <c r="O450"/>
  <c r="O287"/>
  <c r="O762"/>
  <c r="O376"/>
  <c r="O994"/>
  <c r="O850"/>
  <c r="O443"/>
  <c r="O911"/>
  <c r="O154"/>
  <c r="O153"/>
  <c r="O627"/>
  <c r="O626"/>
  <c r="O625"/>
  <c r="O210"/>
  <c r="O209"/>
  <c r="O208"/>
  <c r="O207"/>
  <c r="O255"/>
  <c r="O988"/>
  <c r="O987"/>
  <c r="O986"/>
  <c r="O985"/>
  <c r="O1015"/>
  <c r="O299"/>
  <c r="O298"/>
  <c r="O813"/>
  <c r="O812"/>
  <c r="O642"/>
  <c r="O641"/>
  <c r="O640"/>
  <c r="O910"/>
  <c r="O909"/>
  <c r="O725"/>
  <c r="O724"/>
  <c r="O723"/>
  <c r="O719"/>
  <c r="O828"/>
  <c r="O862"/>
  <c r="O861"/>
  <c r="O860"/>
  <c r="O956"/>
  <c r="O955"/>
  <c r="O412"/>
  <c r="O1043"/>
  <c r="O785"/>
  <c r="O698"/>
  <c r="O164"/>
  <c r="O50"/>
  <c r="O954"/>
  <c r="O953"/>
  <c r="O943"/>
  <c r="O942"/>
  <c r="O793"/>
  <c r="O806"/>
  <c r="O92"/>
  <c r="O91"/>
  <c r="O503"/>
  <c r="O380"/>
  <c r="O763"/>
  <c r="O431"/>
  <c r="O430"/>
  <c r="O429"/>
  <c r="O428"/>
  <c r="O427"/>
  <c r="O426"/>
  <c r="O425"/>
  <c r="O424"/>
  <c r="O423"/>
  <c r="O422"/>
  <c r="O421"/>
  <c r="O420"/>
  <c r="O419"/>
  <c r="O418"/>
  <c r="O417"/>
  <c r="O416"/>
  <c r="O360"/>
  <c r="O359"/>
  <c r="O136"/>
  <c r="O135"/>
  <c r="O381"/>
  <c r="O973"/>
  <c r="O972"/>
  <c r="O248"/>
  <c r="O1003"/>
  <c r="O1000"/>
  <c r="O51"/>
  <c r="O794"/>
  <c r="O432"/>
  <c r="O260"/>
  <c r="O677"/>
  <c r="O676"/>
  <c r="O598"/>
  <c r="O490"/>
  <c r="O489"/>
  <c r="O278"/>
  <c r="O277"/>
  <c r="O488"/>
  <c r="O487"/>
  <c r="O497"/>
  <c r="O702"/>
  <c r="O570"/>
  <c r="O569"/>
  <c r="O3"/>
  <c r="O468"/>
  <c r="O449"/>
  <c r="O448"/>
  <c r="O602"/>
  <c r="O601"/>
  <c r="O554"/>
  <c r="O804"/>
  <c r="O803"/>
  <c r="O100"/>
  <c r="O307"/>
  <c r="O306"/>
  <c r="O303"/>
  <c r="O354"/>
  <c r="O984"/>
  <c r="O983"/>
  <c r="O1014"/>
  <c r="O1013"/>
  <c r="O941"/>
  <c r="O187"/>
  <c r="O186"/>
  <c r="O375"/>
  <c r="O811"/>
  <c r="O552"/>
  <c r="O551"/>
  <c r="O197"/>
  <c r="O42"/>
  <c r="O624"/>
  <c r="O623"/>
  <c r="O779"/>
  <c r="O254"/>
  <c r="O252"/>
  <c r="O982"/>
  <c r="O981"/>
  <c r="O980"/>
  <c r="O965"/>
  <c r="O184"/>
  <c r="O183"/>
  <c r="O182"/>
  <c r="O181"/>
  <c r="O351"/>
  <c r="O297"/>
  <c r="O241"/>
  <c r="O404"/>
  <c r="O572"/>
  <c r="O817"/>
  <c r="O979"/>
  <c r="O978"/>
  <c r="O410"/>
  <c r="O409"/>
  <c r="O309"/>
  <c r="O308"/>
  <c r="O761"/>
  <c r="O760"/>
  <c r="O99"/>
  <c r="O589"/>
  <c r="O588"/>
  <c r="O296"/>
  <c r="O295"/>
  <c r="O109"/>
  <c r="O849"/>
  <c r="O848"/>
  <c r="O709"/>
  <c r="O708"/>
  <c r="O622"/>
  <c r="O621"/>
  <c r="O620"/>
  <c r="O605"/>
  <c r="O604"/>
  <c r="O434"/>
  <c r="O433"/>
  <c r="O206"/>
  <c r="O892"/>
  <c r="O957"/>
  <c r="O243"/>
  <c r="O512"/>
  <c r="O313"/>
  <c r="O280"/>
  <c r="O279"/>
  <c r="O504"/>
  <c r="O486"/>
  <c r="O485"/>
  <c r="O411"/>
  <c r="O469"/>
  <c r="O571"/>
  <c r="O374"/>
  <c r="O373"/>
  <c r="O580"/>
  <c r="O579"/>
  <c r="O578"/>
  <c r="O89"/>
  <c r="O1046"/>
  <c r="O1045"/>
  <c r="O619"/>
  <c r="O618"/>
  <c r="O617"/>
  <c r="O846"/>
  <c r="O615"/>
  <c r="O964"/>
  <c r="O963"/>
  <c r="O962"/>
  <c r="O961"/>
  <c r="O47"/>
  <c r="O46"/>
  <c r="O115"/>
  <c r="O392"/>
  <c r="O33"/>
  <c r="O32"/>
  <c r="O31"/>
  <c r="O30"/>
  <c r="O29"/>
  <c r="O340"/>
  <c r="O339"/>
  <c r="O358"/>
  <c r="O357"/>
  <c r="O356"/>
  <c r="O355"/>
  <c r="O998"/>
  <c r="O675"/>
  <c r="O511"/>
  <c r="O699"/>
  <c r="O663"/>
  <c r="O662"/>
  <c r="O603"/>
  <c r="O108"/>
  <c r="O743"/>
  <c r="O742"/>
  <c r="O502"/>
  <c r="O792"/>
  <c r="O672"/>
  <c r="O228"/>
  <c r="O227"/>
  <c r="O226"/>
  <c r="O225"/>
  <c r="O224"/>
  <c r="O707"/>
  <c r="O706"/>
  <c r="O613"/>
  <c r="O612"/>
  <c r="O611"/>
  <c r="O610"/>
  <c r="O484"/>
  <c r="O413"/>
  <c r="O701"/>
  <c r="O700"/>
  <c r="O718"/>
  <c r="O442"/>
  <c r="O441"/>
  <c r="O172"/>
  <c r="O11"/>
  <c r="O873"/>
  <c r="O532"/>
  <c r="O114"/>
  <c r="O113"/>
  <c r="O112"/>
  <c r="O826"/>
  <c r="O152"/>
  <c r="O151"/>
  <c r="O150"/>
  <c r="O858"/>
  <c r="O857"/>
  <c r="O180"/>
  <c r="O179"/>
  <c r="O977"/>
  <c r="O976"/>
  <c r="O232"/>
  <c r="O231"/>
  <c r="O294"/>
  <c r="O293"/>
  <c r="O501"/>
  <c r="O500"/>
  <c r="O902"/>
  <c r="O901"/>
  <c r="O717"/>
  <c r="O716"/>
  <c r="O715"/>
  <c r="O714"/>
  <c r="O713"/>
  <c r="O712"/>
  <c r="O10"/>
  <c r="O583"/>
  <c r="O582"/>
  <c r="O946"/>
  <c r="O697"/>
  <c r="O28"/>
  <c r="O27"/>
  <c r="O134"/>
  <c r="O133"/>
  <c r="O132"/>
  <c r="O131"/>
  <c r="O463"/>
  <c r="O344"/>
  <c r="O26"/>
  <c r="O25"/>
  <c r="O801"/>
  <c r="O800"/>
  <c r="O799"/>
  <c r="O1035"/>
  <c r="O1034"/>
  <c r="O1033"/>
  <c r="O1032"/>
  <c r="O547"/>
  <c r="O546"/>
  <c r="O791"/>
  <c r="O809"/>
  <c r="O808"/>
  <c r="O499"/>
  <c r="O993"/>
  <c r="O992"/>
  <c r="O372"/>
  <c r="O371"/>
  <c r="O370"/>
  <c r="O369"/>
  <c r="O368"/>
  <c r="O107"/>
  <c r="O106"/>
  <c r="O802"/>
  <c r="O367"/>
  <c r="O952"/>
  <c r="O550"/>
  <c r="O549"/>
  <c r="O548"/>
  <c r="O389"/>
  <c r="O388"/>
  <c r="O471"/>
  <c r="O470"/>
  <c r="O671"/>
  <c r="O670"/>
  <c r="O454"/>
  <c r="O453"/>
  <c r="O844"/>
  <c r="O196"/>
  <c r="O149"/>
  <c r="O609"/>
  <c r="O608"/>
  <c r="O639"/>
  <c r="O638"/>
  <c r="O908"/>
  <c r="O24"/>
  <c r="O61"/>
  <c r="O60"/>
  <c r="O171"/>
  <c r="O872"/>
  <c r="O531"/>
  <c r="O148"/>
  <c r="O661"/>
  <c r="O660"/>
  <c r="O659"/>
  <c r="O658"/>
  <c r="O178"/>
  <c r="O587"/>
  <c r="O586"/>
  <c r="O130"/>
  <c r="O129"/>
  <c r="O128"/>
  <c r="O366"/>
  <c r="O365"/>
  <c r="O364"/>
  <c r="O657"/>
  <c r="O177"/>
  <c r="O363"/>
  <c r="O88"/>
  <c r="O1044"/>
  <c r="O387"/>
  <c r="O741"/>
  <c r="O452"/>
  <c r="O451"/>
  <c r="O845"/>
  <c r="O440"/>
  <c r="O1005"/>
  <c r="O679"/>
  <c r="O607"/>
  <c r="O205"/>
  <c r="O259"/>
  <c r="O127"/>
  <c r="O126"/>
  <c r="O467"/>
  <c r="O466"/>
  <c r="O350"/>
  <c r="O362"/>
  <c r="O782"/>
  <c r="O781"/>
  <c r="O1031"/>
  <c r="O764"/>
  <c r="O316"/>
  <c r="O465"/>
  <c r="O464"/>
  <c r="O975"/>
  <c r="O58"/>
  <c r="O57"/>
  <c r="O87"/>
  <c r="O86"/>
  <c r="O223"/>
  <c r="O766"/>
  <c r="O765"/>
  <c r="O807"/>
  <c r="O939"/>
  <c r="O938"/>
  <c r="O49"/>
  <c r="O48"/>
  <c r="O740"/>
  <c r="O361"/>
  <c r="O635"/>
  <c r="O455"/>
  <c r="O258"/>
  <c r="O391"/>
  <c r="O170"/>
  <c r="O169"/>
  <c r="O168"/>
  <c r="O167"/>
  <c r="O790"/>
  <c r="O789"/>
  <c r="O496"/>
  <c r="O163"/>
  <c r="O581"/>
  <c r="O9"/>
  <c r="O8"/>
  <c r="O945"/>
  <c r="O944"/>
  <c r="O971"/>
  <c r="O970"/>
  <c r="O969"/>
  <c r="O968"/>
  <c r="O967"/>
  <c r="O678"/>
  <c r="O204"/>
  <c r="O780"/>
  <c r="O705"/>
  <c r="O195"/>
  <c r="K669"/>
  <c r="K668"/>
  <c r="K667"/>
  <c r="K563"/>
  <c r="K562"/>
  <c r="K561"/>
  <c r="K1030"/>
  <c r="K759"/>
  <c r="K462"/>
  <c r="K461"/>
  <c r="K41"/>
  <c r="K40"/>
  <c r="K439"/>
  <c r="K338"/>
  <c r="K815"/>
  <c r="K162"/>
  <c r="K937"/>
  <c r="K936"/>
  <c r="K560"/>
  <c r="K559"/>
  <c r="K1029"/>
  <c r="K1028"/>
  <c r="K666"/>
  <c r="K597"/>
  <c r="K596"/>
  <c r="K56"/>
  <c r="K805"/>
  <c r="K558"/>
  <c r="K997"/>
  <c r="K665"/>
  <c r="K664"/>
  <c r="K595"/>
  <c r="K594"/>
  <c r="K758"/>
  <c r="K757"/>
  <c r="K756"/>
  <c r="K843"/>
  <c r="K842"/>
  <c r="K755"/>
  <c r="K754"/>
  <c r="K753"/>
  <c r="K752"/>
  <c r="K751"/>
  <c r="K750"/>
  <c r="K749"/>
  <c r="K748"/>
  <c r="K996"/>
  <c r="K995"/>
  <c r="K480"/>
  <c r="K479"/>
  <c r="K478"/>
  <c r="K477"/>
  <c r="K476"/>
  <c r="K674"/>
  <c r="K673"/>
  <c r="K856"/>
  <c r="K855"/>
  <c r="K854"/>
  <c r="K1007"/>
  <c r="K935"/>
  <c r="K934"/>
  <c r="K176"/>
  <c r="K634"/>
  <c r="K633"/>
  <c r="K1027"/>
  <c r="K1026"/>
  <c r="K783"/>
  <c r="K951"/>
  <c r="K950"/>
  <c r="K230"/>
  <c r="K711"/>
  <c r="K710"/>
  <c r="K45"/>
  <c r="K44"/>
  <c r="K43"/>
  <c r="K1006"/>
  <c r="K841"/>
  <c r="K840"/>
  <c r="K656"/>
  <c r="K655"/>
  <c r="K654"/>
  <c r="K460"/>
  <c r="K39"/>
  <c r="K38"/>
  <c r="K125"/>
  <c r="K337"/>
  <c r="K336"/>
  <c r="K335"/>
  <c r="K334"/>
  <c r="K438"/>
  <c r="K437"/>
  <c r="K593"/>
  <c r="K592"/>
  <c r="K591"/>
  <c r="K960"/>
  <c r="K1060"/>
  <c r="K1059"/>
  <c r="K1058"/>
  <c r="K747"/>
  <c r="K853"/>
  <c r="K852"/>
  <c r="K851"/>
  <c r="K933"/>
  <c r="K932"/>
  <c r="K931"/>
  <c r="K930"/>
  <c r="K929"/>
  <c r="K928"/>
  <c r="K23"/>
  <c r="K632"/>
  <c r="K631"/>
  <c r="K77"/>
  <c r="K76"/>
  <c r="K333"/>
  <c r="K332"/>
  <c r="K331"/>
  <c r="K330"/>
  <c r="K329"/>
  <c r="K328"/>
  <c r="K327"/>
  <c r="K557"/>
  <c r="K1025"/>
  <c r="K1024"/>
  <c r="K1023"/>
  <c r="K124"/>
  <c r="K326"/>
  <c r="K436"/>
  <c r="K435"/>
  <c r="K37"/>
  <c r="K36"/>
  <c r="K541"/>
  <c r="K590"/>
  <c r="K927"/>
  <c r="K926"/>
  <c r="K925"/>
  <c r="K907"/>
  <c r="K906"/>
  <c r="K739"/>
  <c r="K738"/>
  <c r="K737"/>
  <c r="K736"/>
  <c r="K735"/>
  <c r="K734"/>
  <c r="K173"/>
  <c r="K403"/>
  <c r="K924"/>
  <c r="K637"/>
  <c r="K733"/>
  <c r="K732"/>
  <c r="K731"/>
  <c r="K22"/>
  <c r="K21"/>
  <c r="K20"/>
  <c r="K19"/>
  <c r="K18"/>
  <c r="K17"/>
  <c r="K891"/>
  <c r="K890"/>
  <c r="K889"/>
  <c r="K888"/>
  <c r="K887"/>
  <c r="K161"/>
  <c r="K871"/>
  <c r="K870"/>
  <c r="K869"/>
  <c r="K868"/>
  <c r="K867"/>
  <c r="K402"/>
  <c r="K746"/>
  <c r="K653"/>
  <c r="K459"/>
  <c r="K458"/>
  <c r="K457"/>
  <c r="K456"/>
  <c r="K300"/>
  <c r="K923"/>
  <c r="K922"/>
  <c r="K921"/>
  <c r="K920"/>
  <c r="K905"/>
  <c r="K904"/>
  <c r="K903"/>
  <c r="K886"/>
  <c r="K885"/>
  <c r="K884"/>
  <c r="K883"/>
  <c r="K882"/>
  <c r="K881"/>
  <c r="K880"/>
  <c r="K879"/>
  <c r="K878"/>
  <c r="K877"/>
  <c r="K876"/>
  <c r="K539"/>
  <c r="K538"/>
  <c r="K537"/>
  <c r="K536"/>
  <c r="K507"/>
  <c r="K506"/>
  <c r="K85"/>
  <c r="K377"/>
  <c r="K778"/>
  <c r="K777"/>
  <c r="K75"/>
  <c r="K636"/>
  <c r="K556"/>
  <c r="K229"/>
  <c r="K839"/>
  <c r="K838"/>
  <c r="K837"/>
  <c r="K630"/>
  <c r="K629"/>
  <c r="K628"/>
  <c r="K652"/>
  <c r="K651"/>
  <c r="K650"/>
  <c r="K649"/>
  <c r="K648"/>
  <c r="K236"/>
  <c r="K235"/>
  <c r="K234"/>
  <c r="K233"/>
  <c r="K288"/>
  <c r="K219"/>
  <c r="K218"/>
  <c r="K325"/>
  <c r="K324"/>
  <c r="K990"/>
  <c r="K989"/>
  <c r="K966"/>
  <c r="K189"/>
  <c r="K188"/>
  <c r="K959"/>
  <c r="K958"/>
  <c r="K53"/>
  <c r="K52"/>
  <c r="K576"/>
  <c r="K575"/>
  <c r="K574"/>
  <c r="K526"/>
  <c r="K525"/>
  <c r="K524"/>
  <c r="K899"/>
  <c r="K315"/>
  <c r="K286"/>
  <c r="K285"/>
  <c r="K505"/>
  <c r="K493"/>
  <c r="K947"/>
  <c r="K222"/>
  <c r="K415"/>
  <c r="K414"/>
  <c r="K408"/>
  <c r="K784"/>
  <c r="K510"/>
  <c r="K530"/>
  <c r="K544"/>
  <c r="K543"/>
  <c r="K542"/>
  <c r="K93"/>
  <c r="K796"/>
  <c r="K795"/>
  <c r="K495"/>
  <c r="K494"/>
  <c r="K203"/>
  <c r="K202"/>
  <c r="K201"/>
  <c r="K1037"/>
  <c r="K523"/>
  <c r="K59"/>
  <c r="K247"/>
  <c r="K246"/>
  <c r="K312"/>
  <c r="K105"/>
  <c r="K104"/>
  <c r="K166"/>
  <c r="K165"/>
  <c r="K492"/>
  <c r="K284"/>
  <c r="K283"/>
  <c r="K84"/>
  <c r="K83"/>
  <c r="K82"/>
  <c r="K1012"/>
  <c r="K1011"/>
  <c r="K240"/>
  <c r="K1010"/>
  <c r="K1009"/>
  <c r="K577"/>
  <c r="K249"/>
  <c r="K1004"/>
  <c r="K397"/>
  <c r="K396"/>
  <c r="K395"/>
  <c r="K394"/>
  <c r="K1008"/>
  <c r="K239"/>
  <c r="K98"/>
  <c r="K97"/>
  <c r="K34"/>
  <c r="K823"/>
  <c r="K822"/>
  <c r="K143"/>
  <c r="K142"/>
  <c r="K141"/>
  <c r="K314"/>
  <c r="K103"/>
  <c r="K102"/>
  <c r="K893"/>
  <c r="K191"/>
  <c r="K190"/>
  <c r="K145"/>
  <c r="K144"/>
  <c r="K600"/>
  <c r="K599"/>
  <c r="K991"/>
  <c r="K282"/>
  <c r="K281"/>
  <c r="K81"/>
  <c r="K1036"/>
  <c r="K407"/>
  <c r="K200"/>
  <c r="K199"/>
  <c r="K898"/>
  <c r="K406"/>
  <c r="K704"/>
  <c r="K703"/>
  <c r="K147"/>
  <c r="K146"/>
  <c r="K509"/>
  <c r="K568"/>
  <c r="K770"/>
  <c r="K80"/>
  <c r="K96"/>
  <c r="K349"/>
  <c r="K348"/>
  <c r="K271"/>
  <c r="K688"/>
  <c r="K266"/>
  <c r="K769"/>
  <c r="K508"/>
  <c r="K242"/>
  <c r="K564"/>
  <c r="K567"/>
  <c r="K566"/>
  <c r="K565"/>
  <c r="K95"/>
  <c r="K94"/>
  <c r="K393"/>
  <c r="K347"/>
  <c r="K346"/>
  <c r="K345"/>
  <c r="K386"/>
  <c r="K385"/>
  <c r="K384"/>
  <c r="K251"/>
  <c r="K250"/>
  <c r="K821"/>
  <c r="K825"/>
  <c r="K824"/>
  <c r="K573"/>
  <c r="K383"/>
  <c r="K382"/>
  <c r="K949"/>
  <c r="K798"/>
  <c r="K797"/>
  <c r="K265"/>
  <c r="K264"/>
  <c r="K696"/>
  <c r="K379"/>
  <c r="K378"/>
  <c r="K529"/>
  <c r="K528"/>
  <c r="K140"/>
  <c r="K139"/>
  <c r="K820"/>
  <c r="K819"/>
  <c r="K390"/>
  <c r="K788"/>
  <c r="K263"/>
  <c r="K262"/>
  <c r="K261"/>
  <c r="K768"/>
  <c r="K276"/>
  <c r="K275"/>
  <c r="K274"/>
  <c r="K273"/>
  <c r="K272"/>
  <c r="K816"/>
  <c r="K522"/>
  <c r="K521"/>
  <c r="K520"/>
  <c r="K519"/>
  <c r="K518"/>
  <c r="K517"/>
  <c r="K516"/>
  <c r="K695"/>
  <c r="K694"/>
  <c r="K897"/>
  <c r="K491"/>
  <c r="K221"/>
  <c r="K405"/>
  <c r="K814"/>
  <c r="K1057"/>
  <c r="K1056"/>
  <c r="K1055"/>
  <c r="K1054"/>
  <c r="K745"/>
  <c r="K447"/>
  <c r="K217"/>
  <c r="K216"/>
  <c r="K215"/>
  <c r="K214"/>
  <c r="K213"/>
  <c r="K744"/>
  <c r="K475"/>
  <c r="K474"/>
  <c r="K473"/>
  <c r="K472"/>
  <c r="K401"/>
  <c r="K919"/>
  <c r="K918"/>
  <c r="K917"/>
  <c r="K160"/>
  <c r="K159"/>
  <c r="K175"/>
  <c r="K174"/>
  <c r="K74"/>
  <c r="K73"/>
  <c r="K72"/>
  <c r="K71"/>
  <c r="K70"/>
  <c r="K483"/>
  <c r="K498"/>
  <c r="K730"/>
  <c r="K729"/>
  <c r="K728"/>
  <c r="K727"/>
  <c r="K446"/>
  <c r="K445"/>
  <c r="K444"/>
  <c r="K1042"/>
  <c r="K16"/>
  <c r="K15"/>
  <c r="K14"/>
  <c r="K13"/>
  <c r="K12"/>
  <c r="K535"/>
  <c r="K776"/>
  <c r="K775"/>
  <c r="K774"/>
  <c r="K773"/>
  <c r="K772"/>
  <c r="K836"/>
  <c r="K835"/>
  <c r="K690"/>
  <c r="K689"/>
  <c r="K866"/>
  <c r="K865"/>
  <c r="K864"/>
  <c r="K400"/>
  <c r="K399"/>
  <c r="K79"/>
  <c r="K78"/>
  <c r="K540"/>
  <c r="K311"/>
  <c r="K310"/>
  <c r="K585"/>
  <c r="K584"/>
  <c r="K292"/>
  <c r="K291"/>
  <c r="K290"/>
  <c r="K289"/>
  <c r="K111"/>
  <c r="K110"/>
  <c r="K123"/>
  <c r="K122"/>
  <c r="K121"/>
  <c r="K212"/>
  <c r="K211"/>
  <c r="K323"/>
  <c r="K322"/>
  <c r="K321"/>
  <c r="K320"/>
  <c r="K194"/>
  <c r="K193"/>
  <c r="K192"/>
  <c r="K1041"/>
  <c r="K1040"/>
  <c r="K875"/>
  <c r="K874"/>
  <c r="K534"/>
  <c r="K533"/>
  <c r="K69"/>
  <c r="K68"/>
  <c r="K67"/>
  <c r="K66"/>
  <c r="K65"/>
  <c r="K64"/>
  <c r="K63"/>
  <c r="K62"/>
  <c r="K482"/>
  <c r="K481"/>
  <c r="K834"/>
  <c r="K833"/>
  <c r="K647"/>
  <c r="K646"/>
  <c r="K645"/>
  <c r="K644"/>
  <c r="K643"/>
  <c r="K238"/>
  <c r="K237"/>
  <c r="K35"/>
  <c r="K120"/>
  <c r="K119"/>
  <c r="K118"/>
  <c r="K319"/>
  <c r="K318"/>
  <c r="K317"/>
  <c r="K1039"/>
  <c r="K1038"/>
  <c r="K916"/>
  <c r="K915"/>
  <c r="K914"/>
  <c r="K117"/>
  <c r="K116"/>
  <c r="K771"/>
  <c r="K832"/>
  <c r="K831"/>
  <c r="K830"/>
  <c r="K829"/>
  <c r="K687"/>
  <c r="K686"/>
  <c r="K685"/>
  <c r="K684"/>
  <c r="K683"/>
  <c r="K158"/>
  <c r="K157"/>
  <c r="K863"/>
  <c r="K1053"/>
  <c r="K1052"/>
  <c r="K1051"/>
  <c r="K1050"/>
  <c r="K1049"/>
  <c r="K1048"/>
  <c r="K1047"/>
  <c r="K398"/>
  <c r="K913"/>
  <c r="K912"/>
  <c r="K682"/>
  <c r="K681"/>
  <c r="K680"/>
  <c r="K156"/>
  <c r="K155"/>
  <c r="K343"/>
  <c r="K342"/>
  <c r="K341"/>
  <c r="K818"/>
  <c r="K974"/>
  <c r="K948"/>
  <c r="K787"/>
  <c r="K786"/>
  <c r="K545"/>
  <c r="K198"/>
  <c r="K515"/>
  <c r="K514"/>
  <c r="K513"/>
  <c r="K693"/>
  <c r="K692"/>
  <c r="K691"/>
  <c r="K896"/>
  <c r="K895"/>
  <c r="K894"/>
  <c r="K527"/>
  <c r="K245"/>
  <c r="K244"/>
  <c r="K138"/>
  <c r="K137"/>
  <c r="K101"/>
  <c r="K220"/>
  <c r="K270"/>
  <c r="K269"/>
  <c r="K268"/>
  <c r="K267"/>
  <c r="K767"/>
  <c r="K1022"/>
  <c r="K1021"/>
  <c r="K1020"/>
  <c r="K1019"/>
  <c r="K1018"/>
  <c r="K1017"/>
  <c r="K1016"/>
  <c r="K7"/>
  <c r="K6"/>
  <c r="K5"/>
  <c r="K4"/>
  <c r="K450"/>
  <c r="K287"/>
  <c r="K762"/>
  <c r="K376"/>
  <c r="K555"/>
  <c r="K994"/>
  <c r="K850"/>
  <c r="K443"/>
  <c r="K911"/>
  <c r="K154"/>
  <c r="K153"/>
  <c r="K627"/>
  <c r="K626"/>
  <c r="K625"/>
  <c r="K210"/>
  <c r="K209"/>
  <c r="K208"/>
  <c r="K207"/>
  <c r="K255"/>
  <c r="K301"/>
  <c r="K988"/>
  <c r="K987"/>
  <c r="K986"/>
  <c r="K985"/>
  <c r="K1015"/>
  <c r="K299"/>
  <c r="K298"/>
  <c r="K813"/>
  <c r="K812"/>
  <c r="K642"/>
  <c r="K641"/>
  <c r="K640"/>
  <c r="K910"/>
  <c r="K909"/>
  <c r="K726"/>
  <c r="K725"/>
  <c r="K724"/>
  <c r="K723"/>
  <c r="K722"/>
  <c r="K721"/>
  <c r="K720"/>
  <c r="K719"/>
  <c r="K828"/>
  <c r="K827"/>
  <c r="K862"/>
  <c r="K861"/>
  <c r="K860"/>
  <c r="K956"/>
  <c r="K955"/>
  <c r="K412"/>
  <c r="K1043"/>
  <c r="K785"/>
  <c r="K698"/>
  <c r="K164"/>
  <c r="K50"/>
  <c r="K954"/>
  <c r="K953"/>
  <c r="K943"/>
  <c r="K942"/>
  <c r="K793"/>
  <c r="K806"/>
  <c r="K92"/>
  <c r="K91"/>
  <c r="K503"/>
  <c r="K380"/>
  <c r="K763"/>
  <c r="K431"/>
  <c r="K430"/>
  <c r="K429"/>
  <c r="K428"/>
  <c r="K427"/>
  <c r="K426"/>
  <c r="K425"/>
  <c r="K424"/>
  <c r="K423"/>
  <c r="K422"/>
  <c r="K421"/>
  <c r="K420"/>
  <c r="K419"/>
  <c r="K418"/>
  <c r="K417"/>
  <c r="K416"/>
  <c r="K360"/>
  <c r="K359"/>
  <c r="K136"/>
  <c r="K135"/>
  <c r="K381"/>
  <c r="K973"/>
  <c r="K972"/>
  <c r="K248"/>
  <c r="K1003"/>
  <c r="K1002"/>
  <c r="K1001"/>
  <c r="K1000"/>
  <c r="K51"/>
  <c r="K794"/>
  <c r="K432"/>
  <c r="K260"/>
  <c r="K677"/>
  <c r="K676"/>
  <c r="K598"/>
  <c r="K490"/>
  <c r="K489"/>
  <c r="K278"/>
  <c r="K277"/>
  <c r="K488"/>
  <c r="K487"/>
  <c r="K497"/>
  <c r="K702"/>
  <c r="K570"/>
  <c r="K569"/>
  <c r="K3"/>
  <c r="K468"/>
  <c r="K449"/>
  <c r="K448"/>
  <c r="K602"/>
  <c r="K601"/>
  <c r="K554"/>
  <c r="K553"/>
  <c r="K804"/>
  <c r="K803"/>
  <c r="K100"/>
  <c r="K307"/>
  <c r="K306"/>
  <c r="K305"/>
  <c r="K304"/>
  <c r="K303"/>
  <c r="K302"/>
  <c r="K354"/>
  <c r="K984"/>
  <c r="K983"/>
  <c r="K1014"/>
  <c r="K1013"/>
  <c r="K941"/>
  <c r="K940"/>
  <c r="K187"/>
  <c r="K186"/>
  <c r="K375"/>
  <c r="K811"/>
  <c r="K552"/>
  <c r="K551"/>
  <c r="K197"/>
  <c r="K42"/>
  <c r="K624"/>
  <c r="K623"/>
  <c r="K779"/>
  <c r="K254"/>
  <c r="K253"/>
  <c r="K252"/>
  <c r="K353"/>
  <c r="K982"/>
  <c r="K981"/>
  <c r="K980"/>
  <c r="K965"/>
  <c r="K185"/>
  <c r="K184"/>
  <c r="K183"/>
  <c r="K182"/>
  <c r="K181"/>
  <c r="K352"/>
  <c r="K351"/>
  <c r="K297"/>
  <c r="K241"/>
  <c r="K404"/>
  <c r="K572"/>
  <c r="K817"/>
  <c r="K979"/>
  <c r="K978"/>
  <c r="K410"/>
  <c r="K409"/>
  <c r="K309"/>
  <c r="K308"/>
  <c r="K761"/>
  <c r="K760"/>
  <c r="K99"/>
  <c r="K589"/>
  <c r="K588"/>
  <c r="K296"/>
  <c r="K295"/>
  <c r="K109"/>
  <c r="K849"/>
  <c r="K848"/>
  <c r="K55"/>
  <c r="K54"/>
  <c r="K709"/>
  <c r="K708"/>
  <c r="K622"/>
  <c r="K621"/>
  <c r="K620"/>
  <c r="K605"/>
  <c r="K604"/>
  <c r="K434"/>
  <c r="K433"/>
  <c r="K206"/>
  <c r="K892"/>
  <c r="K957"/>
  <c r="K243"/>
  <c r="K512"/>
  <c r="K313"/>
  <c r="K280"/>
  <c r="K279"/>
  <c r="K504"/>
  <c r="K486"/>
  <c r="K485"/>
  <c r="K411"/>
  <c r="K469"/>
  <c r="K571"/>
  <c r="K374"/>
  <c r="K373"/>
  <c r="K580"/>
  <c r="K579"/>
  <c r="K578"/>
  <c r="K90"/>
  <c r="K89"/>
  <c r="K1046"/>
  <c r="K1045"/>
  <c r="K619"/>
  <c r="K618"/>
  <c r="K617"/>
  <c r="K616"/>
  <c r="K847"/>
  <c r="K846"/>
  <c r="K615"/>
  <c r="K614"/>
  <c r="K964"/>
  <c r="K963"/>
  <c r="K962"/>
  <c r="K961"/>
  <c r="K810"/>
  <c r="K47"/>
  <c r="K46"/>
  <c r="K115"/>
  <c r="K859"/>
  <c r="K392"/>
  <c r="K33"/>
  <c r="K32"/>
  <c r="K31"/>
  <c r="K30"/>
  <c r="K29"/>
  <c r="K340"/>
  <c r="K339"/>
  <c r="K358"/>
  <c r="K357"/>
  <c r="K356"/>
  <c r="K355"/>
  <c r="K999"/>
  <c r="K998"/>
  <c r="K675"/>
  <c r="K511"/>
  <c r="K699"/>
  <c r="K663"/>
  <c r="K662"/>
  <c r="K603"/>
  <c r="K108"/>
  <c r="K743"/>
  <c r="K742"/>
  <c r="K502"/>
  <c r="K792"/>
  <c r="K672"/>
  <c r="K228"/>
  <c r="K227"/>
  <c r="K226"/>
  <c r="K225"/>
  <c r="K224"/>
  <c r="K707"/>
  <c r="K706"/>
  <c r="K613"/>
  <c r="K612"/>
  <c r="K611"/>
  <c r="K610"/>
  <c r="K484"/>
  <c r="K413"/>
  <c r="K701"/>
  <c r="K700"/>
  <c r="K718"/>
  <c r="K442"/>
  <c r="K441"/>
  <c r="K172"/>
  <c r="K11"/>
  <c r="K873"/>
  <c r="K532"/>
  <c r="K114"/>
  <c r="K113"/>
  <c r="K112"/>
  <c r="K826"/>
  <c r="K152"/>
  <c r="K151"/>
  <c r="K150"/>
  <c r="K858"/>
  <c r="K857"/>
  <c r="K180"/>
  <c r="K179"/>
  <c r="K977"/>
  <c r="K976"/>
  <c r="K232"/>
  <c r="K231"/>
  <c r="K294"/>
  <c r="K293"/>
  <c r="K501"/>
  <c r="K500"/>
  <c r="K902"/>
  <c r="K901"/>
  <c r="K900"/>
  <c r="K717"/>
  <c r="K716"/>
  <c r="K715"/>
  <c r="K714"/>
  <c r="K713"/>
  <c r="K712"/>
  <c r="K10"/>
  <c r="K583"/>
  <c r="K582"/>
  <c r="K946"/>
  <c r="K697"/>
  <c r="K28"/>
  <c r="K27"/>
  <c r="K134"/>
  <c r="K133"/>
  <c r="K132"/>
  <c r="K131"/>
  <c r="K463"/>
  <c r="K344"/>
  <c r="K26"/>
  <c r="K25"/>
  <c r="K801"/>
  <c r="K800"/>
  <c r="K799"/>
  <c r="K1035"/>
  <c r="K1034"/>
  <c r="K1033"/>
  <c r="K1032"/>
  <c r="K547"/>
  <c r="K546"/>
  <c r="K791"/>
  <c r="K809"/>
  <c r="K808"/>
  <c r="K499"/>
  <c r="K993"/>
  <c r="K992"/>
  <c r="K372"/>
  <c r="K371"/>
  <c r="K370"/>
  <c r="K369"/>
  <c r="K368"/>
  <c r="K107"/>
  <c r="K106"/>
  <c r="K802"/>
  <c r="K367"/>
  <c r="K952"/>
  <c r="K550"/>
  <c r="K549"/>
  <c r="K548"/>
  <c r="K389"/>
  <c r="K388"/>
  <c r="K471"/>
  <c r="K470"/>
  <c r="K671"/>
  <c r="K670"/>
  <c r="K454"/>
  <c r="K453"/>
  <c r="K844"/>
  <c r="K196"/>
  <c r="K149"/>
  <c r="K609"/>
  <c r="K608"/>
  <c r="K639"/>
  <c r="K638"/>
  <c r="K908"/>
  <c r="K24"/>
  <c r="K61"/>
  <c r="K60"/>
  <c r="K171"/>
  <c r="K872"/>
  <c r="K531"/>
  <c r="K148"/>
  <c r="K661"/>
  <c r="K660"/>
  <c r="K659"/>
  <c r="K658"/>
  <c r="K178"/>
  <c r="K587"/>
  <c r="K586"/>
  <c r="K130"/>
  <c r="K129"/>
  <c r="K128"/>
  <c r="K366"/>
  <c r="K365"/>
  <c r="K364"/>
  <c r="K657"/>
  <c r="K177"/>
  <c r="K363"/>
  <c r="K88"/>
  <c r="K1044"/>
  <c r="K387"/>
  <c r="K741"/>
  <c r="K452"/>
  <c r="K451"/>
  <c r="K845"/>
  <c r="K440"/>
  <c r="K1005"/>
  <c r="K679"/>
  <c r="K607"/>
  <c r="K205"/>
  <c r="K259"/>
  <c r="K127"/>
  <c r="K126"/>
  <c r="K467"/>
  <c r="K466"/>
  <c r="K350"/>
  <c r="K362"/>
  <c r="K782"/>
  <c r="K781"/>
  <c r="K1031"/>
  <c r="K606"/>
  <c r="K764"/>
  <c r="K316"/>
  <c r="K465"/>
  <c r="K464"/>
  <c r="K975"/>
  <c r="K58"/>
  <c r="K57"/>
  <c r="K87"/>
  <c r="K86"/>
  <c r="K223"/>
  <c r="K766"/>
  <c r="K765"/>
  <c r="K807"/>
  <c r="K939"/>
  <c r="K938"/>
  <c r="K49"/>
  <c r="K48"/>
  <c r="K740"/>
  <c r="K361"/>
  <c r="K635"/>
  <c r="K455"/>
  <c r="K258"/>
  <c r="K391"/>
  <c r="K170"/>
  <c r="K169"/>
  <c r="K168"/>
  <c r="K167"/>
  <c r="K790"/>
  <c r="K789"/>
  <c r="K496"/>
  <c r="K163"/>
  <c r="K581"/>
  <c r="K9"/>
  <c r="K8"/>
  <c r="K945"/>
  <c r="K944"/>
  <c r="K971"/>
  <c r="K969"/>
  <c r="K968"/>
  <c r="K967"/>
  <c r="K678"/>
  <c r="K204"/>
  <c r="K780"/>
  <c r="K705"/>
  <c r="K195"/>
  <c r="K256"/>
  <c r="K1060" i="26" l="1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D63" i="21"/>
  <c r="E121" i="2"/>
  <c r="D121"/>
  <c r="E117"/>
  <c r="D117"/>
  <c r="C485" i="20" l="1"/>
  <c r="J510" s="1"/>
  <c r="F493"/>
  <c r="J503"/>
  <c r="J497"/>
  <c r="J492"/>
  <c r="H497"/>
  <c r="H494"/>
  <c r="H495"/>
  <c r="G499"/>
  <c r="G497"/>
  <c r="G496"/>
  <c r="G494"/>
  <c r="G493"/>
  <c r="G492"/>
  <c r="F498"/>
  <c r="F497"/>
  <c r="F496"/>
  <c r="F495"/>
  <c r="K503"/>
  <c r="K497"/>
  <c r="K496"/>
  <c r="K495"/>
  <c r="K494"/>
  <c r="E503"/>
  <c r="E497"/>
  <c r="E496"/>
  <c r="E495"/>
  <c r="E494"/>
  <c r="K18" i="26" l="1"/>
  <c r="I1062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7"/>
  <c r="K16"/>
  <c r="K15"/>
  <c r="K14"/>
  <c r="K12"/>
  <c r="K11"/>
  <c r="K10"/>
  <c r="K9"/>
  <c r="K8"/>
  <c r="K7"/>
  <c r="K6"/>
  <c r="K5"/>
  <c r="K3"/>
  <c r="K1062" l="1"/>
  <c r="D20" i="25" l="1"/>
  <c r="C20"/>
  <c r="B18" l="1"/>
  <c r="C32" l="1"/>
  <c r="D23"/>
  <c r="D25" s="1"/>
  <c r="D28" s="1"/>
  <c r="B20"/>
  <c r="E20" s="1"/>
  <c r="C23" l="1"/>
  <c r="C25" s="1"/>
  <c r="C28" s="1"/>
  <c r="C31" s="1"/>
  <c r="B23"/>
  <c r="B25" s="1"/>
  <c r="E23" l="1"/>
  <c r="E25"/>
  <c r="B28"/>
  <c r="B30" l="1"/>
  <c r="E30" s="1"/>
  <c r="E28"/>
  <c r="D8" i="22" l="1"/>
  <c r="D9"/>
  <c r="D10"/>
  <c r="D11"/>
  <c r="D12"/>
  <c r="D13"/>
  <c r="D14"/>
  <c r="D15"/>
  <c r="D16"/>
  <c r="D17"/>
  <c r="D18"/>
  <c r="D19"/>
  <c r="D20"/>
  <c r="D21"/>
  <c r="B22"/>
  <c r="D22" l="1"/>
  <c r="M68" i="6"/>
  <c r="L68"/>
  <c r="J68"/>
  <c r="I68"/>
  <c r="G68"/>
  <c r="F68"/>
  <c r="D68"/>
  <c r="C68"/>
  <c r="M62"/>
  <c r="L62"/>
  <c r="J62"/>
  <c r="I62"/>
  <c r="G62"/>
  <c r="F62"/>
  <c r="D62"/>
  <c r="C62"/>
  <c r="M59"/>
  <c r="L59"/>
  <c r="J59"/>
  <c r="I59"/>
  <c r="G59"/>
  <c r="F59"/>
  <c r="D59"/>
  <c r="C59"/>
  <c r="M54"/>
  <c r="L54"/>
  <c r="J54"/>
  <c r="I54"/>
  <c r="G54"/>
  <c r="F54"/>
  <c r="D54"/>
  <c r="C54"/>
  <c r="M47"/>
  <c r="L47"/>
  <c r="J47"/>
  <c r="I47"/>
  <c r="G47"/>
  <c r="F47"/>
  <c r="D47"/>
  <c r="C47"/>
  <c r="M43"/>
  <c r="L43"/>
  <c r="J43"/>
  <c r="I43"/>
  <c r="G43"/>
  <c r="F43"/>
  <c r="D43"/>
  <c r="C43"/>
  <c r="M38"/>
  <c r="L38"/>
  <c r="J38"/>
  <c r="I38"/>
  <c r="G38"/>
  <c r="F38"/>
  <c r="D38"/>
  <c r="C38"/>
  <c r="M32"/>
  <c r="L32"/>
  <c r="J32"/>
  <c r="I32"/>
  <c r="G32"/>
  <c r="F32"/>
  <c r="D32"/>
  <c r="C32"/>
  <c r="M25"/>
  <c r="L25"/>
  <c r="J25"/>
  <c r="I25"/>
  <c r="G25"/>
  <c r="F25"/>
  <c r="D25"/>
  <c r="C25"/>
  <c r="M18"/>
  <c r="L18"/>
  <c r="J18"/>
  <c r="I18"/>
  <c r="G18"/>
  <c r="F18"/>
  <c r="D18"/>
  <c r="C18"/>
  <c r="M13"/>
  <c r="L13"/>
  <c r="J13"/>
  <c r="I13"/>
  <c r="G13"/>
  <c r="F13"/>
  <c r="D13"/>
  <c r="C13"/>
  <c r="L70" l="1"/>
  <c r="F70"/>
  <c r="J70"/>
  <c r="G70"/>
  <c r="I70"/>
  <c r="M70"/>
  <c r="D70"/>
  <c r="C70"/>
  <c r="J501" i="20" l="1"/>
  <c r="L501" s="1"/>
  <c r="L500"/>
  <c r="J494"/>
  <c r="J493"/>
  <c r="G503"/>
  <c r="G495"/>
  <c r="F494"/>
  <c r="F492"/>
  <c r="K498"/>
  <c r="K493"/>
  <c r="I503"/>
  <c r="I497"/>
  <c r="I496"/>
  <c r="H504"/>
  <c r="H496"/>
  <c r="E504"/>
  <c r="E498"/>
  <c r="E493"/>
  <c r="E492"/>
  <c r="C14" i="7" l="1"/>
  <c r="C13"/>
  <c r="D22"/>
  <c r="C12"/>
  <c r="C11"/>
  <c r="C10"/>
  <c r="D70" i="21"/>
  <c r="D73" s="1"/>
  <c r="D68" l="1"/>
  <c r="D62" l="1"/>
  <c r="D61"/>
  <c r="D60"/>
  <c r="D58"/>
  <c r="D57"/>
  <c r="D55"/>
  <c r="D54"/>
  <c r="D53"/>
  <c r="D52"/>
  <c r="D50"/>
  <c r="D49"/>
  <c r="D48"/>
  <c r="D47"/>
  <c r="D46"/>
  <c r="D45"/>
  <c r="D43"/>
  <c r="D42"/>
  <c r="D41"/>
  <c r="D39"/>
  <c r="D38"/>
  <c r="D37"/>
  <c r="D36"/>
  <c r="B35"/>
  <c r="C35"/>
  <c r="D34"/>
  <c r="D33"/>
  <c r="D32"/>
  <c r="D31"/>
  <c r="C29"/>
  <c r="D28"/>
  <c r="B29"/>
  <c r="D30"/>
  <c r="D27"/>
  <c r="D26"/>
  <c r="D25"/>
  <c r="D24"/>
  <c r="D12"/>
  <c r="D23"/>
  <c r="D21"/>
  <c r="D20"/>
  <c r="D19"/>
  <c r="D18"/>
  <c r="D17"/>
  <c r="D16"/>
  <c r="D14"/>
  <c r="D13"/>
  <c r="D11"/>
  <c r="D9"/>
  <c r="D8"/>
  <c r="D7"/>
  <c r="D6"/>
  <c r="D118" i="2"/>
  <c r="E118"/>
  <c r="F118"/>
  <c r="G118"/>
  <c r="G107"/>
  <c r="F107"/>
  <c r="E104"/>
  <c r="D104"/>
  <c r="E102"/>
  <c r="D102"/>
  <c r="E99"/>
  <c r="D99"/>
  <c r="G97"/>
  <c r="F97"/>
  <c r="E97"/>
  <c r="D97"/>
  <c r="G90"/>
  <c r="F90"/>
  <c r="E82"/>
  <c r="E90" s="1"/>
  <c r="D82"/>
  <c r="D90" s="1"/>
  <c r="G80"/>
  <c r="F80"/>
  <c r="E79"/>
  <c r="D79"/>
  <c r="E77"/>
  <c r="D77"/>
  <c r="E74"/>
  <c r="D74"/>
  <c r="E73"/>
  <c r="D73"/>
  <c r="E71"/>
  <c r="D71"/>
  <c r="G70"/>
  <c r="F70"/>
  <c r="E56"/>
  <c r="E70" s="1"/>
  <c r="D56"/>
  <c r="D70" s="1"/>
  <c r="G55"/>
  <c r="F55"/>
  <c r="E50"/>
  <c r="D50"/>
  <c r="E45"/>
  <c r="D45"/>
  <c r="E44"/>
  <c r="D44"/>
  <c r="E42"/>
  <c r="D42"/>
  <c r="E41"/>
  <c r="D41"/>
  <c r="E38"/>
  <c r="D38"/>
  <c r="E37"/>
  <c r="D37"/>
  <c r="E36"/>
  <c r="D36"/>
  <c r="E35"/>
  <c r="D35"/>
  <c r="G34"/>
  <c r="F34"/>
  <c r="E32"/>
  <c r="D32"/>
  <c r="E26"/>
  <c r="D26"/>
  <c r="E21"/>
  <c r="D21"/>
  <c r="G20"/>
  <c r="F20"/>
  <c r="E15"/>
  <c r="D15"/>
  <c r="E14"/>
  <c r="D14"/>
  <c r="E13"/>
  <c r="D13"/>
  <c r="E12"/>
  <c r="D12"/>
  <c r="G11"/>
  <c r="F11"/>
  <c r="E11"/>
  <c r="D11"/>
  <c r="G9"/>
  <c r="F9"/>
  <c r="E9"/>
  <c r="D9"/>
  <c r="G7"/>
  <c r="E7"/>
  <c r="D7"/>
  <c r="G119" l="1"/>
  <c r="F119"/>
  <c r="D20"/>
  <c r="D55"/>
  <c r="E80"/>
  <c r="E20"/>
  <c r="E34"/>
  <c r="D80"/>
  <c r="E107"/>
  <c r="E55"/>
  <c r="D34"/>
  <c r="D107"/>
  <c r="E119" l="1"/>
  <c r="D119"/>
  <c r="L507" i="20" l="1"/>
  <c r="K505"/>
  <c r="J505"/>
  <c r="I505"/>
  <c r="H505"/>
  <c r="G505"/>
  <c r="F505"/>
  <c r="E505"/>
  <c r="L504"/>
  <c r="L503"/>
  <c r="L502"/>
  <c r="L499"/>
  <c r="L498"/>
  <c r="L497"/>
  <c r="L496"/>
  <c r="L495"/>
  <c r="L494"/>
  <c r="L493"/>
  <c r="L492"/>
  <c r="E506" l="1"/>
  <c r="L505"/>
  <c r="H485"/>
  <c r="I510" s="1"/>
  <c r="D31" i="23" l="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32" l="1"/>
  <c r="I485" i="20" l="1"/>
  <c r="E510" s="1"/>
  <c r="G485"/>
  <c r="K510" s="1"/>
  <c r="F485"/>
  <c r="H510" s="1"/>
  <c r="E485"/>
  <c r="F510" s="1"/>
  <c r="D485"/>
  <c r="G510" s="1"/>
  <c r="D64" i="21" l="1"/>
  <c r="D65" s="1"/>
  <c r="C64"/>
  <c r="C65" s="1"/>
  <c r="B64"/>
  <c r="B65" s="1"/>
  <c r="C59"/>
  <c r="B59"/>
  <c r="C56"/>
  <c r="B56"/>
  <c r="C51"/>
  <c r="B51"/>
  <c r="C44"/>
  <c r="B44"/>
  <c r="C40"/>
  <c r="B40"/>
  <c r="C22"/>
  <c r="B22"/>
  <c r="C15"/>
  <c r="B15"/>
  <c r="D10"/>
  <c r="C10"/>
  <c r="B10"/>
  <c r="C5"/>
  <c r="B5"/>
  <c r="D40" l="1"/>
  <c r="D29"/>
  <c r="D15"/>
  <c r="D44"/>
  <c r="D51"/>
  <c r="D59"/>
  <c r="D56"/>
  <c r="D35"/>
  <c r="D22"/>
  <c r="D5"/>
  <c r="O256" i="12" l="1"/>
  <c r="C21" i="7" l="1"/>
  <c r="C20"/>
  <c r="C9"/>
  <c r="C18"/>
  <c r="C17"/>
  <c r="C16"/>
  <c r="C7"/>
  <c r="C6"/>
  <c r="L23" i="16"/>
  <c r="C22" i="7" l="1"/>
  <c r="I1062" i="12"/>
  <c r="K1062" l="1"/>
  <c r="C20" i="17"/>
  <c r="C16"/>
  <c r="C17"/>
  <c r="C11"/>
  <c r="C8"/>
  <c r="C9"/>
  <c r="C18"/>
  <c r="C22" l="1"/>
  <c r="B22"/>
  <c r="C23" i="16" l="1"/>
  <c r="I23"/>
  <c r="F23" l="1"/>
  <c r="B24" s="1"/>
  <c r="K1065" i="12" l="1"/>
  <c r="K1065" i="26"/>
  <c r="K1066" s="1"/>
</calcChain>
</file>

<file path=xl/comments1.xml><?xml version="1.0" encoding="utf-8"?>
<comments xmlns="http://schemas.openxmlformats.org/spreadsheetml/2006/main">
  <authors>
    <author>Author</author>
  </authors>
  <commentList>
    <comment ref="M4" author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M294" author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<sst xmlns="http://schemas.openxmlformats.org/spreadsheetml/2006/main" count="17310" uniqueCount="2115">
  <si>
    <t>PLACE</t>
  </si>
  <si>
    <t>BROKER</t>
  </si>
  <si>
    <t>GRADE</t>
  </si>
  <si>
    <t>BAGS</t>
  </si>
  <si>
    <t>PACKING</t>
  </si>
  <si>
    <t>BOPSM</t>
  </si>
  <si>
    <t>KOL</t>
  </si>
  <si>
    <t>JT</t>
  </si>
  <si>
    <t>TGFOP</t>
  </si>
  <si>
    <t>SLG</t>
  </si>
  <si>
    <t>PC</t>
  </si>
  <si>
    <t>(9*35)+(1*26.4)</t>
  </si>
  <si>
    <t>(29*35)+(1*26.4)</t>
  </si>
  <si>
    <t>(14*35)+(1*26.4)</t>
  </si>
  <si>
    <t>(14*38)+(1*29.4)</t>
  </si>
  <si>
    <t>BP</t>
  </si>
  <si>
    <t>CB</t>
  </si>
  <si>
    <t>(19*35)+(1*26.4)</t>
  </si>
  <si>
    <t>BAINTGOORIE</t>
  </si>
  <si>
    <t>BOP</t>
  </si>
  <si>
    <t>C/547</t>
  </si>
  <si>
    <t>GULMA</t>
  </si>
  <si>
    <t>(14*37)+(1*28.4)</t>
  </si>
  <si>
    <t>(18*35)+(2*26.4)</t>
  </si>
  <si>
    <t>WASHABARIE</t>
  </si>
  <si>
    <t>(29*38)+(1*29.4)</t>
  </si>
  <si>
    <t>CR</t>
  </si>
  <si>
    <t>(9*38)+(1*29.4)</t>
  </si>
  <si>
    <t>BINAGURI</t>
  </si>
  <si>
    <t>TC</t>
  </si>
  <si>
    <t>PANITOLA</t>
  </si>
  <si>
    <t>(19*38)+(1*29.4)</t>
  </si>
  <si>
    <t>(19*37)+(1*28.4)</t>
  </si>
  <si>
    <t>AB</t>
  </si>
  <si>
    <t>(19*26)+(1*17.4)</t>
  </si>
  <si>
    <t>(13*35)+(2*26.4)</t>
  </si>
  <si>
    <t>CHINCHULA</t>
  </si>
  <si>
    <t>(14*26)+(1*17.4)</t>
  </si>
  <si>
    <t>(13*38)+(2*29.4)</t>
  </si>
  <si>
    <t>MATIDHAR</t>
  </si>
  <si>
    <t>SATALI</t>
  </si>
  <si>
    <t>(18*38)+(2*29.4)</t>
  </si>
  <si>
    <t>DAMDIM</t>
  </si>
  <si>
    <t>C/571</t>
  </si>
  <si>
    <t>QUANTITY</t>
  </si>
  <si>
    <t>ARRIVEL DATE</t>
  </si>
  <si>
    <t>SALE NO.</t>
  </si>
  <si>
    <t>LOT NO.</t>
  </si>
  <si>
    <t>TOTAL</t>
  </si>
  <si>
    <t>MAHAK</t>
  </si>
  <si>
    <t>PTM</t>
  </si>
  <si>
    <t>PAR</t>
  </si>
  <si>
    <t>(24*37)+(1*28.4)</t>
  </si>
  <si>
    <t>TBG</t>
  </si>
  <si>
    <t>QUAINTITY</t>
  </si>
  <si>
    <t>ABL</t>
  </si>
  <si>
    <t>APRIL</t>
  </si>
  <si>
    <t>MAY</t>
  </si>
  <si>
    <t>JUN</t>
  </si>
  <si>
    <t>JULY</t>
  </si>
  <si>
    <t>SEPTEMBER</t>
  </si>
  <si>
    <t>AUGUST</t>
  </si>
  <si>
    <t>OCTOBER</t>
  </si>
  <si>
    <t>NOVEMBER</t>
  </si>
  <si>
    <t>CBL</t>
  </si>
  <si>
    <t>DECEMBER</t>
  </si>
  <si>
    <t>SONARIE</t>
  </si>
  <si>
    <t>C/992</t>
  </si>
  <si>
    <t>JANUARY</t>
  </si>
  <si>
    <t>FEBRUARY</t>
  </si>
  <si>
    <t>C/1020</t>
  </si>
  <si>
    <t>MARCH</t>
  </si>
  <si>
    <t>C/846</t>
  </si>
  <si>
    <t>C/574</t>
  </si>
  <si>
    <t>C/981</t>
  </si>
  <si>
    <t>C/732</t>
  </si>
  <si>
    <t>C/483</t>
  </si>
  <si>
    <t>C/350</t>
  </si>
  <si>
    <t>INVOICE NO.</t>
  </si>
  <si>
    <t>NAME OF THE GARDEN</t>
  </si>
  <si>
    <t>PAHARGOOMIAH</t>
  </si>
  <si>
    <t>C/699</t>
  </si>
  <si>
    <t>JTC</t>
  </si>
  <si>
    <t>SINGRIMARI</t>
  </si>
  <si>
    <t>BUDLAPARA</t>
  </si>
  <si>
    <t>(18*26)+(2*17.4)</t>
  </si>
  <si>
    <t>C/695</t>
  </si>
  <si>
    <t>MOGULKATA</t>
  </si>
  <si>
    <t>C/570</t>
  </si>
  <si>
    <t>TEZALPATTY</t>
  </si>
  <si>
    <t>C/986</t>
  </si>
  <si>
    <t>C/926</t>
  </si>
  <si>
    <t>PENGAREE</t>
  </si>
  <si>
    <t>C/951</t>
  </si>
  <si>
    <t>C/609</t>
  </si>
  <si>
    <t>C/897</t>
  </si>
  <si>
    <t>C/793</t>
  </si>
  <si>
    <t>(15*38)</t>
  </si>
  <si>
    <t>(15*30)</t>
  </si>
  <si>
    <t>LOOKSUNGOLD</t>
  </si>
  <si>
    <t>C/1234</t>
  </si>
  <si>
    <t>C/886</t>
  </si>
  <si>
    <t>C/519</t>
  </si>
  <si>
    <t>C/521</t>
  </si>
  <si>
    <t>C/828</t>
  </si>
  <si>
    <t>C/441</t>
  </si>
  <si>
    <t>RUNGAMUTTEE</t>
  </si>
  <si>
    <t>(19*18)+(1*11)</t>
  </si>
  <si>
    <t>(14*33)+(1*24.4)</t>
  </si>
  <si>
    <t>(29*26)+(1*17.4)</t>
  </si>
  <si>
    <t>(19*32)+(1*23.4)</t>
  </si>
  <si>
    <t>(14*35)+(1*29.2)</t>
  </si>
  <si>
    <t>(24*35)+(1*26.4)</t>
  </si>
  <si>
    <t>(19*28)+(1*19.4)</t>
  </si>
  <si>
    <t>TRUEVALUE</t>
  </si>
  <si>
    <t>SARASWATIPUR</t>
  </si>
  <si>
    <t>C/539</t>
  </si>
  <si>
    <t>GODUKA</t>
  </si>
  <si>
    <t>C/293</t>
  </si>
  <si>
    <t>C/638</t>
  </si>
  <si>
    <t>C/560</t>
  </si>
  <si>
    <t>C/708</t>
  </si>
  <si>
    <t>C/364</t>
  </si>
  <si>
    <t>C/664</t>
  </si>
  <si>
    <t>RHEABARI</t>
  </si>
  <si>
    <t>DHOWLAJHORA</t>
  </si>
  <si>
    <t>(9*26)+(1*17.4)</t>
  </si>
  <si>
    <t>(14*34)+(1*25.4)</t>
  </si>
  <si>
    <t>(19*17)+(1*10)</t>
  </si>
  <si>
    <t>UMATARA</t>
  </si>
  <si>
    <t>C/892</t>
  </si>
  <si>
    <t>C/491</t>
  </si>
  <si>
    <t>SUBHASINI</t>
  </si>
  <si>
    <t>C/789</t>
  </si>
  <si>
    <t>C/860</t>
  </si>
  <si>
    <t>C/667</t>
  </si>
  <si>
    <t>C/636</t>
  </si>
  <si>
    <t>C/829</t>
  </si>
  <si>
    <t>C/564</t>
  </si>
  <si>
    <t>C/641</t>
  </si>
  <si>
    <t>C/756</t>
  </si>
  <si>
    <t>C/780</t>
  </si>
  <si>
    <t>(20*35)</t>
  </si>
  <si>
    <t>BP 1</t>
  </si>
  <si>
    <t>CBPL</t>
  </si>
  <si>
    <t>TELEPARAROYAL</t>
  </si>
  <si>
    <t>C/445</t>
  </si>
  <si>
    <t>C/791</t>
  </si>
  <si>
    <t>NUXALBARIIMPERIAL</t>
  </si>
  <si>
    <t>BORDUBI</t>
  </si>
  <si>
    <t>GUW</t>
  </si>
  <si>
    <t>C/1047</t>
  </si>
  <si>
    <t>ETHELBARIGOLD</t>
  </si>
  <si>
    <t>MAJHERDABRI</t>
  </si>
  <si>
    <t>(20*34)</t>
  </si>
  <si>
    <t>(20*26)</t>
  </si>
  <si>
    <t>(15*26)</t>
  </si>
  <si>
    <t>(20*38)</t>
  </si>
  <si>
    <t>(15*33)</t>
  </si>
  <si>
    <t>(15*35)</t>
  </si>
  <si>
    <t>C/787</t>
  </si>
  <si>
    <t>NEWLANDS</t>
  </si>
  <si>
    <t>C/769</t>
  </si>
  <si>
    <t>(15*37)</t>
  </si>
  <si>
    <t>C/977</t>
  </si>
  <si>
    <t>C/982</t>
  </si>
  <si>
    <t>NAMDANG</t>
  </si>
  <si>
    <t>RAJAROYAL</t>
  </si>
  <si>
    <t>(20*37)</t>
  </si>
  <si>
    <t>(15*36)</t>
  </si>
  <si>
    <t>(25*38)</t>
  </si>
  <si>
    <t>DEBIJHORASUPREME</t>
  </si>
  <si>
    <t>C/853</t>
  </si>
  <si>
    <t>C/840</t>
  </si>
  <si>
    <t>(19*33)+(1*24.4)</t>
  </si>
  <si>
    <t>(25*26)</t>
  </si>
  <si>
    <t>(14*35)</t>
  </si>
  <si>
    <t>C/837</t>
  </si>
  <si>
    <t>GOODHOPE</t>
  </si>
  <si>
    <t>KARBALLA</t>
  </si>
  <si>
    <t>C/551</t>
  </si>
  <si>
    <t>ANGHTEA</t>
  </si>
  <si>
    <t>C/1155</t>
  </si>
  <si>
    <t>C/941</t>
  </si>
  <si>
    <t>C/851</t>
  </si>
  <si>
    <t>KRISHNASUSHAIBANI</t>
  </si>
  <si>
    <t>C/646</t>
  </si>
  <si>
    <t>MERRYVIEW</t>
  </si>
  <si>
    <t>C/834</t>
  </si>
  <si>
    <t>C/698</t>
  </si>
  <si>
    <t>NIMTIJHORAGOLD</t>
  </si>
  <si>
    <t>C/767</t>
  </si>
  <si>
    <t>C/1328</t>
  </si>
  <si>
    <t>MARIONBARIEPREMIUM</t>
  </si>
  <si>
    <t>C/997</t>
  </si>
  <si>
    <t>C/896</t>
  </si>
  <si>
    <t>MAHESHWARIGOLD</t>
  </si>
  <si>
    <t>Short/Exces</t>
  </si>
  <si>
    <t>C/758</t>
  </si>
  <si>
    <t>TAIPOO</t>
  </si>
  <si>
    <t>C/1235</t>
  </si>
  <si>
    <t>C/961</t>
  </si>
  <si>
    <t>C/807</t>
  </si>
  <si>
    <t>NEWDOOARS</t>
  </si>
  <si>
    <t>(34*26)+(1*17.4)</t>
  </si>
  <si>
    <t>(14*36)+(1*27.4)</t>
  </si>
  <si>
    <t>C/595</t>
  </si>
  <si>
    <t>MATHURA</t>
  </si>
  <si>
    <t>C/784</t>
  </si>
  <si>
    <t>C/849</t>
  </si>
  <si>
    <t>C/854</t>
  </si>
  <si>
    <t>C/1060</t>
  </si>
  <si>
    <t>MATRIGOLD</t>
  </si>
  <si>
    <t>Annexure-3</t>
  </si>
  <si>
    <t>Brand</t>
  </si>
  <si>
    <t>Pack Size</t>
  </si>
  <si>
    <t>No. of Pkg.</t>
  </si>
  <si>
    <t>Quantity</t>
  </si>
  <si>
    <t>Name</t>
  </si>
  <si>
    <t>(Kgs)</t>
  </si>
  <si>
    <t>PATAKA PREM 1 KG</t>
  </si>
  <si>
    <t>PATAKA PREM 250 GM</t>
  </si>
  <si>
    <t xml:space="preserve">PATAKA PREM 5 KG </t>
  </si>
  <si>
    <t>PATAKA  SPSL 1 KG</t>
  </si>
  <si>
    <t>PATAKA SPSL 500 GM</t>
  </si>
  <si>
    <t>PATAKA SPSL 250 GM</t>
  </si>
  <si>
    <t xml:space="preserve">PATAKA PREM 100 GM </t>
  </si>
  <si>
    <t>MUKTA JAR 500 GM</t>
  </si>
  <si>
    <t>MUKTA CARTOON 250 GM</t>
  </si>
  <si>
    <t>Grand Total</t>
  </si>
  <si>
    <t>C/1333</t>
  </si>
  <si>
    <t>Total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</si>
  <si>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</si>
  <si>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</si>
  <si>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</si>
  <si>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</si>
  <si>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</si>
  <si>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</si>
  <si>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</si>
  <si>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</si>
  <si>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</si>
  <si>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</si>
  <si>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</si>
  <si>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</si>
  <si>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</si>
  <si>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</si>
  <si>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</si>
  <si>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</si>
  <si>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</si>
  <si>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</si>
  <si>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</si>
  <si>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</si>
  <si>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</si>
  <si>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</si>
  <si>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</si>
  <si>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</si>
  <si>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</si>
  <si>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</si>
  <si>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</si>
  <si>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</si>
  <si>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</si>
  <si>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</si>
  <si>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</si>
  <si>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</si>
  <si>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</si>
  <si>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</si>
  <si>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</si>
  <si>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</si>
  <si>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</si>
  <si>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</si>
  <si>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</si>
  <si>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</si>
  <si>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</si>
  <si>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</si>
  <si>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</si>
  <si>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</si>
  <si>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</si>
  <si>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</si>
  <si>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</si>
  <si>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</si>
  <si>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</si>
  <si>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</si>
  <si>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</si>
  <si>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</si>
  <si>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</si>
  <si>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</si>
  <si>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</si>
  <si>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</si>
  <si>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</si>
  <si>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</si>
  <si>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</si>
  <si>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</si>
  <si>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</si>
  <si>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</si>
  <si>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</si>
  <si>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</si>
  <si>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</si>
  <si>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</si>
  <si>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</si>
  <si>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</si>
  <si>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</si>
  <si>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</si>
  <si>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</si>
  <si>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</si>
  <si>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</si>
  <si>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</si>
  <si>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</si>
  <si>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</si>
  <si>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</si>
  <si>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</si>
  <si>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</si>
  <si>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</si>
  <si>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</si>
  <si>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</si>
  <si>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</si>
  <si>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</si>
  <si>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</si>
  <si>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</si>
  <si>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</si>
  <si>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</si>
  <si>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</si>
  <si>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</si>
  <si>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</si>
  <si>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</si>
  <si>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</si>
  <si>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</si>
  <si>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</si>
  <si>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</si>
  <si>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</si>
  <si>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</si>
  <si>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</si>
  <si>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PATAKA PREM RS 5/- (21KG)</t>
  </si>
  <si>
    <t>PATAKA PREM  RS 10/- (21KG)</t>
  </si>
  <si>
    <t>PATAKA PREM 100 GM</t>
  </si>
  <si>
    <t>PATAKA SPSL 500GM</t>
  </si>
  <si>
    <t>Particulars</t>
  </si>
  <si>
    <t>Original/ Virgine Tea</t>
  </si>
  <si>
    <t>Blend tea</t>
  </si>
  <si>
    <t>Packed tea</t>
  </si>
  <si>
    <t xml:space="preserve">       Ex-Siliguri Auction</t>
  </si>
  <si>
    <t xml:space="preserve">       Ex-Siliguri Private</t>
  </si>
  <si>
    <t xml:space="preserve">       Ex-Kolkata Auction</t>
  </si>
  <si>
    <t>BLENDED TEA STOCK</t>
  </si>
  <si>
    <t>Pataka Special Leaf</t>
  </si>
  <si>
    <t>Pataka Mukta Leaf</t>
  </si>
  <si>
    <t>Blend. No.</t>
  </si>
  <si>
    <t>No. of Pkd.</t>
  </si>
  <si>
    <t>Qty (kgs)</t>
  </si>
  <si>
    <t>losse</t>
  </si>
  <si>
    <t>Pataka Industries Pvt. Ltd.</t>
  </si>
  <si>
    <t>CLOSSING PACKED STOCK</t>
  </si>
  <si>
    <t>TGFOP 1</t>
  </si>
  <si>
    <t>C/875</t>
  </si>
  <si>
    <t>C/902</t>
  </si>
  <si>
    <t>RYDAK</t>
  </si>
  <si>
    <t>(15*28)</t>
  </si>
  <si>
    <t>BHAWANIPUR</t>
  </si>
  <si>
    <t>C/290</t>
  </si>
  <si>
    <t>RENGMA</t>
  </si>
  <si>
    <t>HANTAPARA</t>
  </si>
  <si>
    <t>(19*19)+(1*12)</t>
  </si>
  <si>
    <t>C/522</t>
  </si>
  <si>
    <t>C/557</t>
  </si>
  <si>
    <t>KAMALA</t>
  </si>
  <si>
    <t>C/527</t>
  </si>
  <si>
    <t>C/720</t>
  </si>
  <si>
    <t>C/839</t>
  </si>
  <si>
    <t>KORANGANI</t>
  </si>
  <si>
    <t>C/763</t>
  </si>
  <si>
    <t>C/526</t>
  </si>
  <si>
    <t>No Received</t>
  </si>
  <si>
    <t>DATE OF  ARRIVEL</t>
  </si>
  <si>
    <t xml:space="preserve">ARRIVEL  NO. </t>
  </si>
  <si>
    <t>KGS</t>
  </si>
  <si>
    <t>SHORT/EXCES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</si>
  <si>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</si>
  <si>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</si>
  <si>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</si>
  <si>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</si>
  <si>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</si>
  <si>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</si>
  <si>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</si>
  <si>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</si>
  <si>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</si>
  <si>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SC</t>
  </si>
  <si>
    <t>C/880</t>
  </si>
  <si>
    <t>C/607</t>
  </si>
  <si>
    <t>C/895</t>
  </si>
  <si>
    <t>C/948</t>
  </si>
  <si>
    <t>C/346</t>
  </si>
  <si>
    <t>C/628</t>
  </si>
  <si>
    <t>C/1165</t>
  </si>
  <si>
    <t>C/264</t>
  </si>
  <si>
    <t>C/523</t>
  </si>
  <si>
    <t>C/858</t>
  </si>
  <si>
    <t>C/469</t>
  </si>
  <si>
    <t>C/510</t>
  </si>
  <si>
    <t>(12*38)+(3*29.4)</t>
  </si>
  <si>
    <t>C/1530</t>
  </si>
  <si>
    <t>C/1100</t>
  </si>
  <si>
    <t>C/363</t>
  </si>
  <si>
    <t>(10*35)</t>
  </si>
  <si>
    <t>C/454</t>
  </si>
  <si>
    <t>C/457</t>
  </si>
  <si>
    <t>C/587</t>
  </si>
  <si>
    <t>C/1314</t>
  </si>
  <si>
    <t>(39*26)+(1*17.4)</t>
  </si>
  <si>
    <t>C/359</t>
  </si>
  <si>
    <t>C/1142</t>
  </si>
  <si>
    <t>C/676</t>
  </si>
  <si>
    <t>C/509</t>
  </si>
  <si>
    <t>C/717</t>
  </si>
  <si>
    <t>C/1392</t>
  </si>
  <si>
    <t>C/326</t>
  </si>
  <si>
    <t>C/707</t>
  </si>
  <si>
    <t>C/279</t>
  </si>
  <si>
    <t>SAYEDABADGOLD</t>
  </si>
  <si>
    <t>KIRANCHANDRA</t>
  </si>
  <si>
    <t>KIRANCHANDRAGOLD</t>
  </si>
  <si>
    <t>(30*38)</t>
  </si>
  <si>
    <t>C/335</t>
  </si>
  <si>
    <t>C/675</t>
  </si>
  <si>
    <t>BAGDOGRAGOLD</t>
  </si>
  <si>
    <t>C/554</t>
  </si>
  <si>
    <t>THANJHORA</t>
  </si>
  <si>
    <t>C/494</t>
  </si>
  <si>
    <t>FAGUROYAL</t>
  </si>
  <si>
    <t>C/302</t>
  </si>
  <si>
    <t>C/338</t>
  </si>
  <si>
    <t>C/210</t>
  </si>
  <si>
    <t>C/599</t>
  </si>
  <si>
    <t>(20*30)</t>
  </si>
  <si>
    <t>MARGHERITA</t>
  </si>
  <si>
    <t>GFOP</t>
  </si>
  <si>
    <t>C/416</t>
  </si>
  <si>
    <t>C/870</t>
  </si>
  <si>
    <t>(25*35)</t>
  </si>
  <si>
    <t>C/559</t>
  </si>
  <si>
    <t>C/450</t>
  </si>
  <si>
    <t>C/585</t>
  </si>
  <si>
    <t>C/565</t>
  </si>
  <si>
    <t>GANDRAPARA</t>
  </si>
  <si>
    <t>C/438</t>
  </si>
  <si>
    <t>C/688</t>
  </si>
  <si>
    <t>C/514</t>
  </si>
  <si>
    <t>C/835</t>
  </si>
  <si>
    <t>C/712</t>
  </si>
  <si>
    <t>(8*38)+(2*29.4)</t>
  </si>
  <si>
    <t>GARGANDA</t>
  </si>
  <si>
    <t>C/692</t>
  </si>
  <si>
    <t>C/795</t>
  </si>
  <si>
    <t>DURRUNG</t>
  </si>
  <si>
    <t>C/530</t>
  </si>
  <si>
    <t>C/589</t>
  </si>
  <si>
    <t>C/679</t>
  </si>
  <si>
    <t>C/617</t>
  </si>
  <si>
    <t>C/446</t>
  </si>
  <si>
    <t>C/561</t>
  </si>
  <si>
    <t>(20*28)</t>
  </si>
  <si>
    <t>C/583</t>
  </si>
  <si>
    <t>C/644</t>
  </si>
  <si>
    <t>C/569</t>
  </si>
  <si>
    <t>SILONIJAN</t>
  </si>
  <si>
    <t>C/534</t>
  </si>
  <si>
    <t>C/773</t>
  </si>
  <si>
    <t>KARALISUPRIM</t>
  </si>
  <si>
    <t>ICHHAMOTIROYAL</t>
  </si>
  <si>
    <t>C/1408</t>
  </si>
  <si>
    <t>C/562</t>
  </si>
  <si>
    <t>C/696</t>
  </si>
  <si>
    <t>C/625</t>
  </si>
  <si>
    <t>C/928</t>
  </si>
  <si>
    <t>C/963</t>
  </si>
  <si>
    <t>C/816</t>
  </si>
  <si>
    <t>C/711</t>
  </si>
  <si>
    <t>C/911</t>
  </si>
  <si>
    <t>C/658</t>
  </si>
  <si>
    <t>C/746</t>
  </si>
  <si>
    <t>C/663</t>
  </si>
  <si>
    <t>BEHEATING</t>
  </si>
  <si>
    <t>BETJAN</t>
  </si>
  <si>
    <t>DOLAGURI</t>
  </si>
  <si>
    <t>C/470</t>
  </si>
  <si>
    <t>C/859</t>
  </si>
  <si>
    <t>NALANI</t>
  </si>
  <si>
    <t>C/1363</t>
  </si>
  <si>
    <t>SAPOI</t>
  </si>
  <si>
    <t>(17*26)</t>
  </si>
  <si>
    <t>C/719</t>
  </si>
  <si>
    <t>NAMBURNADI</t>
  </si>
  <si>
    <t>C/598</t>
  </si>
  <si>
    <t>C/842</t>
  </si>
  <si>
    <t>(20*36)</t>
  </si>
  <si>
    <t>C/1177</t>
  </si>
  <si>
    <t>(13*40)</t>
  </si>
  <si>
    <t>C/453</t>
  </si>
  <si>
    <t>ATB</t>
  </si>
  <si>
    <t>C/682</t>
  </si>
  <si>
    <t>C/913</t>
  </si>
  <si>
    <t>C/760</t>
  </si>
  <si>
    <t>C/723</t>
  </si>
  <si>
    <t>C/678</t>
  </si>
  <si>
    <t>BEESAKOPIE</t>
  </si>
  <si>
    <t>DAHINGEAHILLS</t>
  </si>
  <si>
    <t>KOLONY</t>
  </si>
  <si>
    <t>BHOOTEACHANG</t>
  </si>
  <si>
    <t>C/681</t>
  </si>
  <si>
    <t>C/684</t>
  </si>
  <si>
    <t>C/697</t>
  </si>
  <si>
    <t>C/710</t>
  </si>
  <si>
    <t>C/906</t>
  </si>
  <si>
    <t>C/1324</t>
  </si>
  <si>
    <t>(13*34)</t>
  </si>
  <si>
    <t>(18*26)</t>
  </si>
  <si>
    <t>C/653</t>
  </si>
  <si>
    <t>DILLICLONAL</t>
  </si>
  <si>
    <t>C/1491</t>
  </si>
  <si>
    <t>HALEM</t>
  </si>
  <si>
    <t>C/735</t>
  </si>
  <si>
    <t>C/528</t>
  </si>
  <si>
    <t>C/493</t>
  </si>
  <si>
    <t>C/568</t>
  </si>
  <si>
    <t>SENGAJAN</t>
  </si>
  <si>
    <t>ORANGCLONAL</t>
  </si>
  <si>
    <t>MADHUTING</t>
  </si>
  <si>
    <t>C/856</t>
  </si>
  <si>
    <t>C/857</t>
  </si>
  <si>
    <t>C/631</t>
  </si>
  <si>
    <t>C/893</t>
  </si>
  <si>
    <t>HATIJANCLONAL</t>
  </si>
  <si>
    <t>C/776</t>
  </si>
  <si>
    <t>C/783</t>
  </si>
  <si>
    <t>C/473</t>
  </si>
  <si>
    <t>C/489</t>
  </si>
  <si>
    <t>C/660</t>
  </si>
  <si>
    <t>KHANAJAN</t>
  </si>
  <si>
    <t>C/782</t>
  </si>
  <si>
    <t>C/670</t>
  </si>
  <si>
    <t>C/817</t>
  </si>
  <si>
    <t>PANEERY</t>
  </si>
  <si>
    <t>(14*20)+(1*13)</t>
  </si>
  <si>
    <t>(15*20)</t>
  </si>
  <si>
    <t>SUOLA</t>
  </si>
  <si>
    <t>C/1098</t>
  </si>
  <si>
    <t>C/864</t>
  </si>
  <si>
    <t>(24*30)+(1*21.4)</t>
  </si>
  <si>
    <t>C/841</t>
  </si>
  <si>
    <t>C/1104</t>
  </si>
  <si>
    <t>C/1161</t>
  </si>
  <si>
    <t>C/914</t>
  </si>
  <si>
    <t>KAILASHPURPREMIUM</t>
  </si>
  <si>
    <t>C/771</t>
  </si>
  <si>
    <t>C/899</t>
  </si>
  <si>
    <t>C/774</t>
  </si>
  <si>
    <t>C/967</t>
  </si>
  <si>
    <t>C/579</t>
  </si>
  <si>
    <t>C/879</t>
  </si>
  <si>
    <t>C/1247</t>
  </si>
  <si>
    <t>C/927</t>
  </si>
  <si>
    <t>C/779</t>
  </si>
  <si>
    <t>C/444</t>
  </si>
  <si>
    <t>C/543</t>
  </si>
  <si>
    <t>C/649</t>
  </si>
  <si>
    <t>C/1237</t>
  </si>
  <si>
    <t>C/1368</t>
  </si>
  <si>
    <t>C/1398</t>
  </si>
  <si>
    <t>C/1399</t>
  </si>
  <si>
    <t>ATAL</t>
  </si>
  <si>
    <t>C/1012</t>
  </si>
  <si>
    <t>C/978</t>
  </si>
  <si>
    <t>C/1019</t>
  </si>
  <si>
    <t>C/1025</t>
  </si>
  <si>
    <t>C/1486</t>
  </si>
  <si>
    <t>C/1034</t>
  </si>
  <si>
    <t>C/762</t>
  </si>
  <si>
    <t>C/1118</t>
  </si>
  <si>
    <t>C/1186</t>
  </si>
  <si>
    <t>C/541</t>
  </si>
  <si>
    <t>C/935</t>
  </si>
  <si>
    <t>C/651</t>
  </si>
  <si>
    <t>C/1021</t>
  </si>
  <si>
    <t>C/1024</t>
  </si>
  <si>
    <t>C/662</t>
  </si>
  <si>
    <t>C/811</t>
  </si>
  <si>
    <t>C/810</t>
  </si>
  <si>
    <t>Checking with physicel</t>
  </si>
  <si>
    <t>C/635</t>
  </si>
  <si>
    <t>C/1367</t>
  </si>
  <si>
    <t>C/1391</t>
  </si>
  <si>
    <t>C/1400</t>
  </si>
  <si>
    <t>C/975</t>
  </si>
  <si>
    <t>C/669</t>
  </si>
  <si>
    <t>C/1094</t>
  </si>
  <si>
    <t>C/1016</t>
  </si>
  <si>
    <t>MORAGHAT</t>
  </si>
  <si>
    <t>C/674</t>
  </si>
  <si>
    <t>C/671</t>
  </si>
  <si>
    <t>C/970</t>
  </si>
  <si>
    <t>C/1103</t>
  </si>
  <si>
    <t>Pataka Premium Leaf</t>
  </si>
  <si>
    <t>Pataka 5 Kg Leaf</t>
  </si>
  <si>
    <t>Brand/Lines</t>
  </si>
  <si>
    <t>LOC.NO.</t>
  </si>
  <si>
    <t>GOD.</t>
  </si>
  <si>
    <t>1&amp;2</t>
  </si>
  <si>
    <t>1&amp;3</t>
  </si>
  <si>
    <t>MECHPARA</t>
  </si>
  <si>
    <t>PHASKOWAGOLD</t>
  </si>
  <si>
    <t>(24*38)+(1*29.4)</t>
  </si>
  <si>
    <t>Kolkata - 700016</t>
  </si>
  <si>
    <t>Pataka Industries Private Limited</t>
  </si>
  <si>
    <t xml:space="preserve">57B, Mirza Ghalib Street Pataka House 5th Floor </t>
  </si>
  <si>
    <t xml:space="preserve">       Ex-Guwahati Auction</t>
  </si>
  <si>
    <t xml:space="preserve">       Ex-Guwahati Private</t>
  </si>
  <si>
    <t>Pataka Industries Pvt. Ltd.                                                                                                                                           Ghaziabad tea unit .</t>
  </si>
  <si>
    <t xml:space="preserve">57B,Mirza Ghalib Street Kolkata-700016                                                                                     </t>
  </si>
  <si>
    <t>Ghaziabad Tea Unit .</t>
  </si>
  <si>
    <t>STATEMENT SHOWING DETAILS OF ORIGONAL TEA RECEIVED</t>
  </si>
  <si>
    <t>PVT.</t>
  </si>
  <si>
    <t>SFTGFOP 1</t>
  </si>
  <si>
    <t>MONABARIE</t>
  </si>
  <si>
    <t>HILTTON</t>
  </si>
  <si>
    <t>(30*26)</t>
  </si>
  <si>
    <t>(29*37)+(1*29.3)</t>
  </si>
  <si>
    <t>(14*34)+(1*26.3)</t>
  </si>
  <si>
    <t>(14*37)+(1*29.3)</t>
  </si>
  <si>
    <t>(14*38)+(1*30.3)</t>
  </si>
  <si>
    <t>C/381</t>
  </si>
  <si>
    <t>(18*36)+(2*31.7)</t>
  </si>
  <si>
    <t>(28*36)+(2*28.3)</t>
  </si>
  <si>
    <t>C/611</t>
  </si>
  <si>
    <t>(19*36)+(1*31.7)</t>
  </si>
  <si>
    <t>C/503</t>
  </si>
  <si>
    <t>(19*34)+(1*29.7)</t>
  </si>
  <si>
    <t>GAUTAM</t>
  </si>
  <si>
    <t>(13*34)+(2*26.3)</t>
  </si>
  <si>
    <t>C/535</t>
  </si>
  <si>
    <t>C/537</t>
  </si>
  <si>
    <t>(13*36)+(2*28.3)</t>
  </si>
  <si>
    <t>C/361</t>
  </si>
  <si>
    <t>(14*36)+(1*28.3)</t>
  </si>
  <si>
    <t>(14*35)+(1*27.3)</t>
  </si>
  <si>
    <t>(19*35)+(1*30.7)</t>
  </si>
  <si>
    <t>(19*39)+(1*34.7)</t>
  </si>
  <si>
    <t>BATELI</t>
  </si>
  <si>
    <t>KOILAMARI</t>
  </si>
  <si>
    <t>BAGHJAN</t>
  </si>
  <si>
    <t>PHILLOBARI</t>
  </si>
  <si>
    <t>TIRRIHANNA</t>
  </si>
  <si>
    <t>C/594</t>
  </si>
  <si>
    <t>C/319</t>
  </si>
  <si>
    <t>(24*30)</t>
  </si>
  <si>
    <t>(19*30)+(1*25.7)</t>
  </si>
  <si>
    <t>C/621</t>
  </si>
  <si>
    <t>C/580</t>
  </si>
  <si>
    <t>(29*36)+(1*28.3)</t>
  </si>
  <si>
    <t>SAPORTOLI</t>
  </si>
  <si>
    <t>C/465</t>
  </si>
  <si>
    <t>KOPATI</t>
  </si>
  <si>
    <t>(13*35)+(2*27.3)</t>
  </si>
  <si>
    <t>C/694</t>
  </si>
  <si>
    <t>(29*35)+(1*27.3)</t>
  </si>
  <si>
    <t>C/722</t>
  </si>
  <si>
    <t>C/451</t>
  </si>
  <si>
    <t>PROBHAKORGOLD</t>
  </si>
  <si>
    <t>C/452</t>
  </si>
  <si>
    <t>C/296</t>
  </si>
  <si>
    <t>C/606</t>
  </si>
  <si>
    <t>C/626</t>
  </si>
  <si>
    <t>C/666</t>
  </si>
  <si>
    <t>BELGACHIGOLD</t>
  </si>
  <si>
    <t>C/672</t>
  </si>
  <si>
    <t>C/714</t>
  </si>
  <si>
    <t>C/418</t>
  </si>
  <si>
    <t>ZURRENTEE</t>
  </si>
  <si>
    <t>C/920</t>
  </si>
  <si>
    <t>INDONG</t>
  </si>
  <si>
    <t>BEJOPATHAR</t>
  </si>
  <si>
    <t>C/312</t>
  </si>
  <si>
    <t>C/713</t>
  </si>
  <si>
    <t>C/775</t>
  </si>
  <si>
    <t>C/778</t>
  </si>
  <si>
    <t>(19*38)+(1*33.7)</t>
  </si>
  <si>
    <t>C/689</t>
  </si>
  <si>
    <t>(14*33)+(1*25.3)</t>
  </si>
  <si>
    <t>(39*25)+(1*17.3)</t>
  </si>
  <si>
    <t>C/751</t>
  </si>
  <si>
    <t>C/733</t>
  </si>
  <si>
    <t>C/736</t>
  </si>
  <si>
    <t>C/740</t>
  </si>
  <si>
    <t>BAHANI</t>
  </si>
  <si>
    <t>(14*32)+(1*24.3)</t>
  </si>
  <si>
    <t>(19*37)+(1*32.7)</t>
  </si>
  <si>
    <t>ETB</t>
  </si>
  <si>
    <t>(17*36)+(3*31.7)</t>
  </si>
  <si>
    <t>C/818</t>
  </si>
  <si>
    <t>(18*35)+(2*30.7)</t>
  </si>
  <si>
    <t>C/861</t>
  </si>
  <si>
    <t>(19*32)+(1*27.7)</t>
  </si>
  <si>
    <t>C/868</t>
  </si>
  <si>
    <t>(19*40)+(1*35.7)</t>
  </si>
  <si>
    <t>MAHALUXMI</t>
  </si>
  <si>
    <t>(18*28)</t>
  </si>
  <si>
    <t>C/424</t>
  </si>
  <si>
    <t>(13*32)+(2*24.3)</t>
  </si>
  <si>
    <t>GANGAJAN</t>
  </si>
  <si>
    <t>C/647</t>
  </si>
  <si>
    <t>C/253</t>
  </si>
  <si>
    <t>(18*38)+(2*33.7)</t>
  </si>
  <si>
    <t>DALOWJAN</t>
  </si>
  <si>
    <t>(14*26)+(1*18.3)</t>
  </si>
  <si>
    <t>C/1138</t>
  </si>
  <si>
    <t>(14*30)+(1*22.3)</t>
  </si>
  <si>
    <t>C/761</t>
  </si>
  <si>
    <t>C/768</t>
  </si>
  <si>
    <t>MORGHAT</t>
  </si>
  <si>
    <t>BHATKAWA</t>
  </si>
  <si>
    <t>KUMARGRAM</t>
  </si>
  <si>
    <t>SANKOS</t>
  </si>
  <si>
    <t>C/770</t>
  </si>
  <si>
    <t>C/612</t>
  </si>
  <si>
    <t>C/754</t>
  </si>
  <si>
    <t>C/824</t>
  </si>
  <si>
    <t>C/492</t>
  </si>
  <si>
    <t>GAYAGANGA</t>
  </si>
  <si>
    <t>C/610</t>
  </si>
  <si>
    <t>C/624</t>
  </si>
  <si>
    <t>C/959</t>
  </si>
  <si>
    <t>(30*34)</t>
  </si>
  <si>
    <t>C/1350</t>
  </si>
  <si>
    <t>C/1404</t>
  </si>
  <si>
    <t>FULBARIHIGROWN</t>
  </si>
  <si>
    <t>C/809</t>
  </si>
  <si>
    <t>C/806</t>
  </si>
  <si>
    <t>(23*35)+(1*26.4)</t>
  </si>
  <si>
    <t>C/750</t>
  </si>
  <si>
    <t>C/744</t>
  </si>
  <si>
    <t>C/581</t>
  </si>
  <si>
    <t>C/582</t>
  </si>
  <si>
    <t>C/747</t>
  </si>
  <si>
    <t>C/996</t>
  </si>
  <si>
    <t>(14*28)+(1*20.3)</t>
  </si>
  <si>
    <t>C/352</t>
  </si>
  <si>
    <t>(18*28)+(2*23.7)</t>
  </si>
  <si>
    <t>(15*29)</t>
  </si>
  <si>
    <t>C/898</t>
  </si>
  <si>
    <t>C/497</t>
  </si>
  <si>
    <t>HULDIBARIROYAL</t>
  </si>
  <si>
    <t>C/1086</t>
  </si>
  <si>
    <t>C/1230</t>
  </si>
  <si>
    <t>(9*28)+(1*19.4)</t>
  </si>
  <si>
    <t>C/836</t>
  </si>
  <si>
    <t>CHULSA</t>
  </si>
  <si>
    <t>PALASHBARIROYAL</t>
  </si>
  <si>
    <t>C/584</t>
  </si>
  <si>
    <t>(9*36)+(1*27.4)</t>
  </si>
  <si>
    <t>C/1107</t>
  </si>
  <si>
    <t>AZAMABADSUPREME</t>
  </si>
  <si>
    <t>C/956</t>
  </si>
  <si>
    <t>C/1167</t>
  </si>
  <si>
    <t>C/1199</t>
  </si>
  <si>
    <t>DALGAON</t>
  </si>
  <si>
    <t>C/1056</t>
  </si>
  <si>
    <t>C/605</t>
  </si>
  <si>
    <t>HOPE</t>
  </si>
  <si>
    <t>NOWERANUDDY</t>
  </si>
  <si>
    <t>C/847</t>
  </si>
  <si>
    <t>C/734</t>
  </si>
  <si>
    <t>C/1038</t>
  </si>
  <si>
    <t>C/1046</t>
  </si>
  <si>
    <t>CHENGMARI</t>
  </si>
  <si>
    <t>C/990</t>
  </si>
  <si>
    <t>C/531</t>
  </si>
  <si>
    <t>C/1162</t>
  </si>
  <si>
    <t>INDONGGOLD</t>
  </si>
  <si>
    <t>C/1231</t>
  </si>
  <si>
    <t>C/553</t>
  </si>
  <si>
    <t>BHAGATPURGOLD</t>
  </si>
  <si>
    <t>BARADIGHI</t>
  </si>
  <si>
    <t>C/1007</t>
  </si>
  <si>
    <t>C/677</t>
  </si>
  <si>
    <t>C/680</t>
  </si>
  <si>
    <t>C/472</t>
  </si>
  <si>
    <t>C/729</t>
  </si>
  <si>
    <t>C/730</t>
  </si>
  <si>
    <t>C/597</t>
  </si>
  <si>
    <t>C/1026</t>
  </si>
  <si>
    <t>C/1946</t>
  </si>
  <si>
    <t>C/1334</t>
  </si>
  <si>
    <t>C/1276</t>
  </si>
  <si>
    <t>C/792</t>
  </si>
  <si>
    <t>C/1196</t>
  </si>
  <si>
    <t>C/1396</t>
  </si>
  <si>
    <t>C/637</t>
  </si>
  <si>
    <t>C/1393</t>
  </si>
  <si>
    <t>C/1405</t>
  </si>
  <si>
    <t>C/1488</t>
  </si>
  <si>
    <t>ARYAMANSPECIAL</t>
  </si>
  <si>
    <t>RECEIVED FROM</t>
  </si>
  <si>
    <t>REMARKS</t>
  </si>
  <si>
    <t>ACTUAL RECEIVED</t>
  </si>
  <si>
    <t xml:space="preserve">ANNEXURE -1                                                                                                             GHAZIABAD PACKEGING UNIT </t>
  </si>
  <si>
    <t>Annexure - 4</t>
  </si>
  <si>
    <t>Date of Despatch</t>
  </si>
  <si>
    <t>Invoice no.</t>
  </si>
  <si>
    <t>Jammu</t>
  </si>
  <si>
    <t>Kundli</t>
  </si>
  <si>
    <t>Amritsar</t>
  </si>
  <si>
    <t>Annexure - 2</t>
  </si>
  <si>
    <t>Blend No.</t>
  </si>
  <si>
    <t>Input</t>
  </si>
  <si>
    <t>Output</t>
  </si>
  <si>
    <t>Reconcilation of Blend</t>
  </si>
  <si>
    <t>(b).Add.Received From Blend</t>
  </si>
  <si>
    <t>(c ).Total blend available</t>
  </si>
  <si>
    <t>(d).Issued For Packing</t>
  </si>
  <si>
    <t>(e)Blend issue to other units</t>
  </si>
  <si>
    <t>Pataka Industries Pvt.ltd.</t>
  </si>
  <si>
    <t>C/1503</t>
  </si>
  <si>
    <t>C/1506</t>
  </si>
  <si>
    <t>KARTICK</t>
  </si>
  <si>
    <t>C/1478</t>
  </si>
  <si>
    <t>C/1482</t>
  </si>
  <si>
    <t>Dadri</t>
  </si>
  <si>
    <t>Special Blend</t>
  </si>
  <si>
    <t>Premium Blend</t>
  </si>
  <si>
    <t>Mukta Blend</t>
  </si>
  <si>
    <t>5 - Kg. Blend</t>
  </si>
  <si>
    <t>BL No.</t>
  </si>
  <si>
    <t>Pkg.</t>
  </si>
  <si>
    <t>Qunt.</t>
  </si>
  <si>
    <t>Blended Tea</t>
  </si>
  <si>
    <t>(b) Add received during the period</t>
  </si>
  <si>
    <t>(Annexure -1)  TOTAL</t>
  </si>
  <si>
    <t>(c) Less Short Received</t>
  </si>
  <si>
    <t>(d)  TOTAL AVAILABLE</t>
  </si>
  <si>
    <t>(e) Used as Input Blend  (as per Blend Sheet) Annexure-2</t>
  </si>
  <si>
    <t>( g) Used for packeting     (as per Annexure-3)</t>
  </si>
  <si>
    <t>(i)Despatched to sales depot as per details statement (as per annexure-4)</t>
  </si>
  <si>
    <t>Brand/ lines</t>
  </si>
  <si>
    <t>Rate</t>
  </si>
  <si>
    <t>Value</t>
  </si>
  <si>
    <t xml:space="preserve">  Ghaziabad tea - unit</t>
  </si>
  <si>
    <t>Rate including gst Per kgs./pcs</t>
  </si>
  <si>
    <t>Total Values (Rs)</t>
  </si>
  <si>
    <t>SPECIAL 250GM LAMINATES</t>
  </si>
  <si>
    <t>PREMIUM 250GM LAMINATES</t>
  </si>
  <si>
    <t>RS 5/- LAMINATES (15 gm)</t>
  </si>
  <si>
    <t>RS 10/-LAMINATES (30 gm)</t>
  </si>
  <si>
    <t>SPECIAL 1 KG POUCH</t>
  </si>
  <si>
    <t>SPECIAL 500 GM POUCH</t>
  </si>
  <si>
    <t>PREMIUM 1 KG POUCH</t>
  </si>
  <si>
    <t>5 KG PP NON WOVEN Bags</t>
  </si>
  <si>
    <t>5 KG HM POLY LINNER (5kg)</t>
  </si>
  <si>
    <t>250 GM HM LINNER (2 Kg. )</t>
  </si>
  <si>
    <t>RS 5/- HM LINNER  (375gm)</t>
  </si>
  <si>
    <t>RS 10/- HM LINNER (750gm)</t>
  </si>
  <si>
    <t>1kg SPSL CANVES BAG (24kg)</t>
  </si>
  <si>
    <t>1kg PREMIUM CANVES  BAGS (24kg)</t>
  </si>
  <si>
    <t>250 GM SPECEIAL CANVES BAGS (24kg)</t>
  </si>
  <si>
    <t>250 GM PREMIUM CANVES  BAGS (24kg)</t>
  </si>
  <si>
    <t>500 GM SPECEIAL CANVES BAGS (24kg)</t>
  </si>
  <si>
    <t>500GM MUKTA JAR</t>
  </si>
  <si>
    <t>250 gm CARTOON  MET PET LINNER</t>
  </si>
  <si>
    <t>500 gm JAR C F C</t>
  </si>
  <si>
    <t>250 gm CARTOON C F C</t>
  </si>
  <si>
    <t>250 gm CARTON</t>
  </si>
  <si>
    <t>500 gm JAR LABEL</t>
  </si>
  <si>
    <t>500 gm JAR TOP LABEL</t>
  </si>
  <si>
    <t>500 gm JAR FOIL DISK/250 gm JAR</t>
  </si>
  <si>
    <t>TOTAL STOCK VALUES</t>
  </si>
  <si>
    <t>Closing as on 31.03.2019-20</t>
  </si>
  <si>
    <t>25.04.2020</t>
  </si>
  <si>
    <t>02.05.2020</t>
  </si>
  <si>
    <t>03.05.2020</t>
  </si>
  <si>
    <t>05.05.2020</t>
  </si>
  <si>
    <t>08.05.2020</t>
  </si>
  <si>
    <t>09.05.2020</t>
  </si>
  <si>
    <t>11.05.2020</t>
  </si>
  <si>
    <t>12.05.2020</t>
  </si>
  <si>
    <t>13.05.2020</t>
  </si>
  <si>
    <t>14.05.2020</t>
  </si>
  <si>
    <t>15.05.2020</t>
  </si>
  <si>
    <t>18.05.2020</t>
  </si>
  <si>
    <t>22.05.2020</t>
  </si>
  <si>
    <t>02.06.2020</t>
  </si>
  <si>
    <t>03.06.2020</t>
  </si>
  <si>
    <t>04.06.2020</t>
  </si>
  <si>
    <t>07.06.2020</t>
  </si>
  <si>
    <t>08.06.2020</t>
  </si>
  <si>
    <t>09.06.2020</t>
  </si>
  <si>
    <t>10.06.2020</t>
  </si>
  <si>
    <t>12.06.2020</t>
  </si>
  <si>
    <t>13.06.2020</t>
  </si>
  <si>
    <t>15.06.2020</t>
  </si>
  <si>
    <t>16.06.2020</t>
  </si>
  <si>
    <t>17.06.2020</t>
  </si>
  <si>
    <t>18.06.2020</t>
  </si>
  <si>
    <t>20.06.2020</t>
  </si>
  <si>
    <t>22.06.2020</t>
  </si>
  <si>
    <t>23.06.2020</t>
  </si>
  <si>
    <t>24.06.2020</t>
  </si>
  <si>
    <t>25.06.2020</t>
  </si>
  <si>
    <t>26.06.2020</t>
  </si>
  <si>
    <t>29.06.2020</t>
  </si>
  <si>
    <t>30.06.2020</t>
  </si>
  <si>
    <t>01.07.2020</t>
  </si>
  <si>
    <t>02.07.2020</t>
  </si>
  <si>
    <t>03.07.2020</t>
  </si>
  <si>
    <t>04.07.2020</t>
  </si>
  <si>
    <t>07.07.2020</t>
  </si>
  <si>
    <t>08.07.2020</t>
  </si>
  <si>
    <t>09.07.2020</t>
  </si>
  <si>
    <t>10.07.2020</t>
  </si>
  <si>
    <t>14.07.2020</t>
  </si>
  <si>
    <t>15.07.2020</t>
  </si>
  <si>
    <t>17.07.2020</t>
  </si>
  <si>
    <t>20.07.2020</t>
  </si>
  <si>
    <t>22.07.2020</t>
  </si>
  <si>
    <t>26.07.2020</t>
  </si>
  <si>
    <t>27.07.2020</t>
  </si>
  <si>
    <t>28.07.2020</t>
  </si>
  <si>
    <t>29.07.2020</t>
  </si>
  <si>
    <t>31.07.2020</t>
  </si>
  <si>
    <t>03.08.2020</t>
  </si>
  <si>
    <t>04.08.2020</t>
  </si>
  <si>
    <t>05.08.2020</t>
  </si>
  <si>
    <t>06.08.2020</t>
  </si>
  <si>
    <t>07.08.2020</t>
  </si>
  <si>
    <t>08.08.2020</t>
  </si>
  <si>
    <t>10.08.2020</t>
  </si>
  <si>
    <t>11.08.2020</t>
  </si>
  <si>
    <t>12.08.2020</t>
  </si>
  <si>
    <t>13.08.2020</t>
  </si>
  <si>
    <t>14.08.2020</t>
  </si>
  <si>
    <t>16.08.2020</t>
  </si>
  <si>
    <t>17.08.2020</t>
  </si>
  <si>
    <t>18.08.2020</t>
  </si>
  <si>
    <t>19.08.2020</t>
  </si>
  <si>
    <t>20.08.2020</t>
  </si>
  <si>
    <t>21.08.2020</t>
  </si>
  <si>
    <t>24.08.2020</t>
  </si>
  <si>
    <t>25.08.2020</t>
  </si>
  <si>
    <t>26.08.2020</t>
  </si>
  <si>
    <t>27.08.2020</t>
  </si>
  <si>
    <t>28.08.2020</t>
  </si>
  <si>
    <t>29.08.2020</t>
  </si>
  <si>
    <t>31.08.2020</t>
  </si>
  <si>
    <t>01.09.2020</t>
  </si>
  <si>
    <t>03.09.2020</t>
  </si>
  <si>
    <t>04.09.2020</t>
  </si>
  <si>
    <t>05.09.2020</t>
  </si>
  <si>
    <t>07.09.2020</t>
  </si>
  <si>
    <t>08.09.2020</t>
  </si>
  <si>
    <t>09.09.2020</t>
  </si>
  <si>
    <t>10.09.2020</t>
  </si>
  <si>
    <t>11.09.2020</t>
  </si>
  <si>
    <t>14.09.2020</t>
  </si>
  <si>
    <t>15.09.2020</t>
  </si>
  <si>
    <t>16.09.2020</t>
  </si>
  <si>
    <t>17.09.2020</t>
  </si>
  <si>
    <t>18.09.2020</t>
  </si>
  <si>
    <t>19.09.2020</t>
  </si>
  <si>
    <t>21.09.2020</t>
  </si>
  <si>
    <t>22.09.2020</t>
  </si>
  <si>
    <t>23.09.2020</t>
  </si>
  <si>
    <t>24.09.2020</t>
  </si>
  <si>
    <t>25.09.2020</t>
  </si>
  <si>
    <t>26.09.2020</t>
  </si>
  <si>
    <t>05.10.2020</t>
  </si>
  <si>
    <t>06.10.2020</t>
  </si>
  <si>
    <t>07.10.2020</t>
  </si>
  <si>
    <t>08.10.2020</t>
  </si>
  <si>
    <t>12.10.2020</t>
  </si>
  <si>
    <t>13.10.2020</t>
  </si>
  <si>
    <t>16.10.2020</t>
  </si>
  <si>
    <t>17.10.2020</t>
  </si>
  <si>
    <t>19.10.2020</t>
  </si>
  <si>
    <t>22.10.2020</t>
  </si>
  <si>
    <t>23.10.2020</t>
  </si>
  <si>
    <t>24.10.2020</t>
  </si>
  <si>
    <t>28.10.2020</t>
  </si>
  <si>
    <t>29.10.2020</t>
  </si>
  <si>
    <t>30.10.2020</t>
  </si>
  <si>
    <t>31.10.2020</t>
  </si>
  <si>
    <t>02.11.2020</t>
  </si>
  <si>
    <t>03.11.2020</t>
  </si>
  <si>
    <t>05.11.2020</t>
  </si>
  <si>
    <t>06.11.2020</t>
  </si>
  <si>
    <t>09.11.2020</t>
  </si>
  <si>
    <t>12.11.2020</t>
  </si>
  <si>
    <t>13.11.2020</t>
  </si>
  <si>
    <t>16.11.2020</t>
  </si>
  <si>
    <t>17.11.2020</t>
  </si>
  <si>
    <t>19.11.2020</t>
  </si>
  <si>
    <t>20.11.2020</t>
  </si>
  <si>
    <t>25.11.2020</t>
  </si>
  <si>
    <t>26.11.2020</t>
  </si>
  <si>
    <t>27.11.2020</t>
  </si>
  <si>
    <t>28.11.2020</t>
  </si>
  <si>
    <t>29.11.2020</t>
  </si>
  <si>
    <t>30.11.2020</t>
  </si>
  <si>
    <t>02.12.2020</t>
  </si>
  <si>
    <t>03.12.2020</t>
  </si>
  <si>
    <t>04.12.2020</t>
  </si>
  <si>
    <t>09.12.2020</t>
  </si>
  <si>
    <t>10.12.2020</t>
  </si>
  <si>
    <t>11.12.2020</t>
  </si>
  <si>
    <t>12.12.2020</t>
  </si>
  <si>
    <t>15.12.2020</t>
  </si>
  <si>
    <t>16.12.2020</t>
  </si>
  <si>
    <t>17.12.2020</t>
  </si>
  <si>
    <t>18.12.2020</t>
  </si>
  <si>
    <t>21.12.2020</t>
  </si>
  <si>
    <t>22.12.2020</t>
  </si>
  <si>
    <t>23.12.2020</t>
  </si>
  <si>
    <t>24.12.2020</t>
  </si>
  <si>
    <t>25.12.2020</t>
  </si>
  <si>
    <t>26.12.2020</t>
  </si>
  <si>
    <t>28.12.2020</t>
  </si>
  <si>
    <t>29.12.2020</t>
  </si>
  <si>
    <t>30.12.2020</t>
  </si>
  <si>
    <t>01.01.2021</t>
  </si>
  <si>
    <t>02.01.2021</t>
  </si>
  <si>
    <t>04.01.2021</t>
  </si>
  <si>
    <t>08.01.2021</t>
  </si>
  <si>
    <t>09.01.2021</t>
  </si>
  <si>
    <t>11.01.2021</t>
  </si>
  <si>
    <t>14.01.2021</t>
  </si>
  <si>
    <t>15.01.2021</t>
  </si>
  <si>
    <t>16.01.2021</t>
  </si>
  <si>
    <t>18.01.2021</t>
  </si>
  <si>
    <t>19.01.2021</t>
  </si>
  <si>
    <t>21.01.2021</t>
  </si>
  <si>
    <t>22.01.2021</t>
  </si>
  <si>
    <t>27.01.2021</t>
  </si>
  <si>
    <t>28.01.2021</t>
  </si>
  <si>
    <t>29.01.2021</t>
  </si>
  <si>
    <t>30.01.2021</t>
  </si>
  <si>
    <t>Jaipur &amp; Bikaner</t>
  </si>
  <si>
    <t>Despatched to :-</t>
  </si>
  <si>
    <t>Bareilly</t>
  </si>
  <si>
    <t>BRAND NAME</t>
  </si>
  <si>
    <t>PACK.</t>
  </si>
  <si>
    <t>JAMMU</t>
  </si>
  <si>
    <t>KUNDLI</t>
  </si>
  <si>
    <t>AMRITSAR</t>
  </si>
  <si>
    <t>DADRI</t>
  </si>
  <si>
    <t>TOTAL   KGS.</t>
  </si>
  <si>
    <t>BAREILLY</t>
  </si>
  <si>
    <t>PATAKA PREMIUM LEAF</t>
  </si>
  <si>
    <t>1 KG.</t>
  </si>
  <si>
    <t>250 GM.</t>
  </si>
  <si>
    <t>5 KG.</t>
  </si>
  <si>
    <t xml:space="preserve">PATAKA SPACIAL </t>
  </si>
  <si>
    <t>500 GM.</t>
  </si>
  <si>
    <t xml:space="preserve">PATAKA PREMIUM </t>
  </si>
  <si>
    <t>100 GM.</t>
  </si>
  <si>
    <t>RS. 10/-</t>
  </si>
  <si>
    <t>RS. 5/-</t>
  </si>
  <si>
    <t>DESTINETTION WISE TOTAL</t>
  </si>
  <si>
    <t>TATAL DESPATCHED</t>
  </si>
  <si>
    <t>AMOUNT</t>
  </si>
  <si>
    <t>DESTINETION WISE DESPATCHED REPOTR FOR ANNUAL 2020-21</t>
  </si>
  <si>
    <t xml:space="preserve">PATAKA MUKTA </t>
  </si>
  <si>
    <t>Others.</t>
  </si>
  <si>
    <t>JAIPUR &amp; BIKANER</t>
  </si>
  <si>
    <t>Statement showing destination wise despach during the period 01.04.2020 To 31.04.2021</t>
  </si>
  <si>
    <t>Packing Material Closing Stock Values as on 31.03.2020-21</t>
  </si>
  <si>
    <t>100 gm  LDP ZIPPER BAGS</t>
  </si>
  <si>
    <t>30 KG &amp;   Rs 5/- Rs.10/-LDP ZIPPER BAG</t>
  </si>
  <si>
    <t xml:space="preserve">100  GM HM LINNER </t>
  </si>
  <si>
    <t>100 GM. LAMINATES(Rs.43/-)</t>
  </si>
  <si>
    <t>001/GZB/2020-21</t>
  </si>
  <si>
    <t>13.07.2020</t>
  </si>
  <si>
    <t>002/GZB/2020-21</t>
  </si>
  <si>
    <t>003/GZB/2020-21</t>
  </si>
  <si>
    <t>004/GZB/2020-21</t>
  </si>
  <si>
    <t>005/GZB/2020-21</t>
  </si>
  <si>
    <t>23.07.2020</t>
  </si>
  <si>
    <t>006/GZB/2020-21</t>
  </si>
  <si>
    <t>007/GZB/2020-21</t>
  </si>
  <si>
    <t>008/GZB/2020-21</t>
  </si>
  <si>
    <t>009/GZB/2020-21</t>
  </si>
  <si>
    <t>010/GZB/2020-21</t>
  </si>
  <si>
    <t>011/GZB/2020-21</t>
  </si>
  <si>
    <t>012/GZB/2020-21</t>
  </si>
  <si>
    <t>013/GZB/2020-21</t>
  </si>
  <si>
    <t>014/GZB/2020-21</t>
  </si>
  <si>
    <t>015/GZB/2020-21</t>
  </si>
  <si>
    <t>016/GZB/2020-21</t>
  </si>
  <si>
    <t>017/GZB/2020-21</t>
  </si>
  <si>
    <t>018/GZB/2020-21</t>
  </si>
  <si>
    <t>23.08.2020</t>
  </si>
  <si>
    <t>019/GZB/2020-21</t>
  </si>
  <si>
    <t>020/GZB/2020-21</t>
  </si>
  <si>
    <t>021/GZB/2020-21</t>
  </si>
  <si>
    <t>022/GZB/2020-21</t>
  </si>
  <si>
    <t>023/GZB/2020-21</t>
  </si>
  <si>
    <t>02.09.2020</t>
  </si>
  <si>
    <t>024/GZB/2020-21</t>
  </si>
  <si>
    <t>025/GZB/2020-21</t>
  </si>
  <si>
    <t>026/GZB/2020-21</t>
  </si>
  <si>
    <t>027/GZB/2020-21</t>
  </si>
  <si>
    <t>028/GZB/2020-21</t>
  </si>
  <si>
    <t>029/GZB/2020-21</t>
  </si>
  <si>
    <t>030/GZB/2020-21</t>
  </si>
  <si>
    <t>031/GZB/2020-21</t>
  </si>
  <si>
    <t>20.09.2020</t>
  </si>
  <si>
    <t>032/GZB/2020-21</t>
  </si>
  <si>
    <t>033/GZB/2020-21</t>
  </si>
  <si>
    <t>034/GZB/2020-21</t>
  </si>
  <si>
    <t>035/GZB/2020-21</t>
  </si>
  <si>
    <t>036/GZB/2020-21</t>
  </si>
  <si>
    <t>28.09.2020</t>
  </si>
  <si>
    <t>037/GZB/2020-21</t>
  </si>
  <si>
    <t>038/GZB/2020-21</t>
  </si>
  <si>
    <t>29.09.2020</t>
  </si>
  <si>
    <t>039/GZB/2020-21</t>
  </si>
  <si>
    <t>30.09.2020</t>
  </si>
  <si>
    <t>040/GZB/2020-21</t>
  </si>
  <si>
    <t>01.10.2020</t>
  </si>
  <si>
    <t>041/GZB/2020-21</t>
  </si>
  <si>
    <t>042/GZB/2020-21</t>
  </si>
  <si>
    <t>043/GZB/2020-21</t>
  </si>
  <si>
    <t>044/GZB/2020-21</t>
  </si>
  <si>
    <t>10.10.2020</t>
  </si>
  <si>
    <t>045/GZB/2020-21</t>
  </si>
  <si>
    <t>046/GZB/2020-21</t>
  </si>
  <si>
    <t>14.10.2020</t>
  </si>
  <si>
    <t>047/GZB/2020-21</t>
  </si>
  <si>
    <t>15.10.2020</t>
  </si>
  <si>
    <t>048/GZB/2020-21</t>
  </si>
  <si>
    <t>049/GZB/2020-21</t>
  </si>
  <si>
    <t>050/GZB/2020-21</t>
  </si>
  <si>
    <t>20.10.2020</t>
  </si>
  <si>
    <t>051/GZB/2020-21</t>
  </si>
  <si>
    <t>21.10.2020</t>
  </si>
  <si>
    <t>052/GZB/2020-21</t>
  </si>
  <si>
    <t>27.10.2020</t>
  </si>
  <si>
    <t>053/GZB/2020-21</t>
  </si>
  <si>
    <t>054/GZB/2020-21</t>
  </si>
  <si>
    <t>055/GZB/2020-21</t>
  </si>
  <si>
    <t>056/GZB/2020-21</t>
  </si>
  <si>
    <t>18.11.2020</t>
  </si>
  <si>
    <t>057/GZB/2020-21</t>
  </si>
  <si>
    <t>23.11.2020</t>
  </si>
  <si>
    <t>058/GZB/2020-21</t>
  </si>
  <si>
    <t>24.11.2020</t>
  </si>
  <si>
    <t>059/GZB/2020-21</t>
  </si>
  <si>
    <t>060/GZB/2020-21</t>
  </si>
  <si>
    <t>061/GZB/2020-21</t>
  </si>
  <si>
    <t>062/GZB/2020-21</t>
  </si>
  <si>
    <t>063/GZB/2020-21</t>
  </si>
  <si>
    <t>064/GZB/2020-21</t>
  </si>
  <si>
    <t>065/GZB/2020-21</t>
  </si>
  <si>
    <t>14.12.2020</t>
  </si>
  <si>
    <t>066/GZB/2020-21</t>
  </si>
  <si>
    <t>067/GZB/2020-21</t>
  </si>
  <si>
    <t>068/GZB/2020-21</t>
  </si>
  <si>
    <t>069/GZB/2020-21</t>
  </si>
  <si>
    <t>070/GZB/2020-21</t>
  </si>
  <si>
    <t>071/GZB/2020-21</t>
  </si>
  <si>
    <t>072/GZB/2020-21</t>
  </si>
  <si>
    <t>05.01.2021</t>
  </si>
  <si>
    <t>073/GZB/2020-21</t>
  </si>
  <si>
    <t>07.01.2021</t>
  </si>
  <si>
    <t>074/GZB/2020-21</t>
  </si>
  <si>
    <t>075/GZB/2020-21</t>
  </si>
  <si>
    <t>076/GZB/2020-21</t>
  </si>
  <si>
    <t>23.01.2021</t>
  </si>
  <si>
    <t>077/GZB/2020-21</t>
  </si>
  <si>
    <t>01.02.2021</t>
  </si>
  <si>
    <t>078/GZB/2020-21</t>
  </si>
  <si>
    <t>04.02.2021</t>
  </si>
  <si>
    <t>079/GZB/2020-21</t>
  </si>
  <si>
    <t>06.02.2021</t>
  </si>
  <si>
    <t>080/GZB/2020-21</t>
  </si>
  <si>
    <t>13.02.2021</t>
  </si>
  <si>
    <t>081/GZB/2020-21</t>
  </si>
  <si>
    <t>082/GZB/2020-21</t>
  </si>
  <si>
    <t>18.02.2021</t>
  </si>
  <si>
    <t>083/GZB/2020-21</t>
  </si>
  <si>
    <t>084/GZB/2020-21</t>
  </si>
  <si>
    <t>19.02.2021</t>
  </si>
  <si>
    <t>085/GZB/2020-21</t>
  </si>
  <si>
    <t>26.02.2021</t>
  </si>
  <si>
    <t>086/GZB/2020-21</t>
  </si>
  <si>
    <t>02.03.2021</t>
  </si>
  <si>
    <t>087&amp;090/GZB/2020-21</t>
  </si>
  <si>
    <t>03.03.2021</t>
  </si>
  <si>
    <t>088/GZB/2020-21</t>
  </si>
  <si>
    <t>05.03.2021</t>
  </si>
  <si>
    <t>089&amp;091/GZB/2020-21</t>
  </si>
  <si>
    <t>15.03.2021</t>
  </si>
  <si>
    <t>092/GZB/2020-21</t>
  </si>
  <si>
    <t>TOTAL FOR THE YEAR 2020-21</t>
  </si>
  <si>
    <t>DURING THE PERIOD -01.04.2020 TO 31.03.2021</t>
  </si>
  <si>
    <t>No Issued</t>
  </si>
  <si>
    <t>Gsl-01</t>
  </si>
  <si>
    <t>5 Kg-01</t>
  </si>
  <si>
    <t>Gml-01</t>
  </si>
  <si>
    <t>Gsl-02</t>
  </si>
  <si>
    <t>Gsl-03</t>
  </si>
  <si>
    <t>Gpl-01</t>
  </si>
  <si>
    <t>5 Kg-02</t>
  </si>
  <si>
    <t>Gsl-04</t>
  </si>
  <si>
    <t>Gsl-05</t>
  </si>
  <si>
    <t>5 Kg-03</t>
  </si>
  <si>
    <t>Gml-02</t>
  </si>
  <si>
    <t>Gsl-06</t>
  </si>
  <si>
    <t>Gsl-07</t>
  </si>
  <si>
    <t>Gml-03</t>
  </si>
  <si>
    <t>5 Kg-04</t>
  </si>
  <si>
    <t>Gsl-08</t>
  </si>
  <si>
    <t>5 Kg-05</t>
  </si>
  <si>
    <t>Gsl-09</t>
  </si>
  <si>
    <t>Gml-04</t>
  </si>
  <si>
    <t>Gsl-10</t>
  </si>
  <si>
    <t>Gpl-02</t>
  </si>
  <si>
    <t>5 Kg-06</t>
  </si>
  <si>
    <t>Gsl-11</t>
  </si>
  <si>
    <t>Gsl-12</t>
  </si>
  <si>
    <t>5 Kg-07</t>
  </si>
  <si>
    <t>Gsl-13</t>
  </si>
  <si>
    <t>Gml-05</t>
  </si>
  <si>
    <t>5 Kg-08</t>
  </si>
  <si>
    <t>Gsl-14</t>
  </si>
  <si>
    <t>Gsl-15</t>
  </si>
  <si>
    <t>Gml-06</t>
  </si>
  <si>
    <t>5 Kg-09</t>
  </si>
  <si>
    <t>Gsl-16</t>
  </si>
  <si>
    <t>5 Kg-10</t>
  </si>
  <si>
    <t>Gpl-03</t>
  </si>
  <si>
    <t>Gsl-17</t>
  </si>
  <si>
    <t>5 Kg-11</t>
  </si>
  <si>
    <t>Gsl-18</t>
  </si>
  <si>
    <t>Gml-07</t>
  </si>
  <si>
    <t>Gsl-19</t>
  </si>
  <si>
    <t>5 Kg-12</t>
  </si>
  <si>
    <t>Gsl-20</t>
  </si>
  <si>
    <t>5 Kg-13</t>
  </si>
  <si>
    <t>Gsl-21</t>
  </si>
  <si>
    <t>Gsl-22</t>
  </si>
  <si>
    <t>Gpl-04</t>
  </si>
  <si>
    <t>5 Kg-14</t>
  </si>
  <si>
    <t>Blending for the period 01/04/2020 to 31/03/2021</t>
  </si>
  <si>
    <t>Statement Showing detail of packing during the period 01/04/2020 TO 31/03/2021</t>
  </si>
  <si>
    <t>03.02.2021</t>
  </si>
  <si>
    <t>05.02.2021</t>
  </si>
  <si>
    <t>08.02.2021</t>
  </si>
  <si>
    <t>10.02.2021</t>
  </si>
  <si>
    <t>11.02.2021</t>
  </si>
  <si>
    <t>12.02.2021</t>
  </si>
  <si>
    <t>15.02.2021</t>
  </si>
  <si>
    <t>16.02.2021</t>
  </si>
  <si>
    <t>20.02.2021</t>
  </si>
  <si>
    <t>23.02.2021</t>
  </si>
  <si>
    <t>24.02.2021</t>
  </si>
  <si>
    <t>25.02.2021</t>
  </si>
  <si>
    <t>27.02.2021</t>
  </si>
  <si>
    <t>01.03.2021</t>
  </si>
  <si>
    <t>04.03.2021</t>
  </si>
  <si>
    <t>06.03.2021</t>
  </si>
  <si>
    <t>08.03.2021</t>
  </si>
  <si>
    <t>09.03.2021</t>
  </si>
  <si>
    <t>10.03.2021</t>
  </si>
  <si>
    <t>11.03.2021</t>
  </si>
  <si>
    <t>12.03.2021</t>
  </si>
  <si>
    <t>13.03.2021</t>
  </si>
  <si>
    <t>16.03.2021</t>
  </si>
  <si>
    <t>06.06.2020</t>
  </si>
  <si>
    <t>Date.</t>
  </si>
  <si>
    <t>April</t>
  </si>
  <si>
    <t>19.05.2020</t>
  </si>
  <si>
    <t>May</t>
  </si>
  <si>
    <t>June</t>
  </si>
  <si>
    <t>06.07.2020</t>
  </si>
  <si>
    <t>July</t>
  </si>
  <si>
    <t>22.08.2020</t>
  </si>
  <si>
    <t>Aug.</t>
  </si>
  <si>
    <t>Sep.</t>
  </si>
  <si>
    <t>09.10.2020</t>
  </si>
  <si>
    <t>Oct.</t>
  </si>
  <si>
    <t>04.11.2020</t>
  </si>
  <si>
    <t>Nov.</t>
  </si>
  <si>
    <t>Dec.</t>
  </si>
  <si>
    <t>12.01.2021</t>
  </si>
  <si>
    <t>17.01.2021</t>
  </si>
  <si>
    <t>Jan.</t>
  </si>
  <si>
    <t>Feb.</t>
  </si>
  <si>
    <t>March</t>
  </si>
  <si>
    <t>57B Mirza Ghalib , Kolkata - 700016                        Blended Tea Stock as on 01/04/2020 to 31/03/2021</t>
  </si>
  <si>
    <t>PATAKA PREM  RS 10/-  (22 KG)</t>
  </si>
  <si>
    <t>PATAKA PREM RS 5/-  (22 KG)</t>
  </si>
  <si>
    <t>Closing Stock as on 31.03.2021</t>
  </si>
  <si>
    <t>Packed Tea Stock for the year of 2020-21</t>
  </si>
  <si>
    <t>PATAKA PREM  RS 10/-  (21 Kg)</t>
  </si>
  <si>
    <t>PATAKA PREM RS 5/-  (21 Kg)</t>
  </si>
  <si>
    <t>PATAKA PREM  RS 10/-  (22 Kg)</t>
  </si>
  <si>
    <t>PATAKA PREM RS 5/-  (22 Kg)</t>
  </si>
  <si>
    <t>(a) Opening Stock as on 01.04.2020</t>
  </si>
  <si>
    <t xml:space="preserve">                Ghaziabad tea - unit</t>
  </si>
  <si>
    <t>( l ) Blend  Tea (sample) Given  to Delhi Office &amp;  Others ( govt.department)</t>
  </si>
  <si>
    <t>(n) Deficite / Exces</t>
  </si>
  <si>
    <t>Usable :-</t>
  </si>
  <si>
    <t xml:space="preserve">Blebd Gain </t>
  </si>
  <si>
    <t xml:space="preserve">       Ex-Kolkata Private</t>
  </si>
  <si>
    <t xml:space="preserve">       Ex-Packed Tea De Packated </t>
  </si>
  <si>
    <t xml:space="preserve">( f) Available Stock </t>
  </si>
  <si>
    <t xml:space="preserve">( h) Stock  Available </t>
  </si>
  <si>
    <t>(j) Packed Tea De Packated</t>
  </si>
  <si>
    <t>Tea Stock Reconciliation for the year of 2020-21</t>
  </si>
  <si>
    <t>18.03.2021</t>
  </si>
  <si>
    <t xml:space="preserve">(m ) Physical Stock  as on 31.03.2021 </t>
  </si>
  <si>
    <t>C/1321</t>
  </si>
  <si>
    <t>C/1319</t>
  </si>
  <si>
    <t>C/683</t>
  </si>
  <si>
    <t>GURJANGJHORA</t>
  </si>
  <si>
    <t>(14*38)+(1*32.2)</t>
  </si>
  <si>
    <t>C/257</t>
  </si>
  <si>
    <t>BHATPARA</t>
  </si>
  <si>
    <t>C/305</t>
  </si>
  <si>
    <t>C/310</t>
  </si>
  <si>
    <t>OF</t>
  </si>
  <si>
    <t>C/276</t>
  </si>
  <si>
    <t>C/271</t>
  </si>
  <si>
    <t>C/392</t>
  </si>
  <si>
    <t>C/426</t>
  </si>
  <si>
    <t>C/223</t>
  </si>
  <si>
    <t>C/280</t>
  </si>
  <si>
    <t>C/177</t>
  </si>
  <si>
    <t>C/277</t>
  </si>
  <si>
    <t>C/180</t>
  </si>
  <si>
    <t>C/406</t>
  </si>
  <si>
    <t>C/412</t>
  </si>
  <si>
    <t>C/221</t>
  </si>
  <si>
    <t>C/231</t>
  </si>
  <si>
    <t>BELGACHI</t>
  </si>
  <si>
    <t>GFBOP</t>
  </si>
  <si>
    <t>FBOP</t>
  </si>
  <si>
    <t>MAIJONGA</t>
  </si>
  <si>
    <t>STGFOP</t>
  </si>
  <si>
    <t>(19*20)+(1*17.5)</t>
  </si>
  <si>
    <t>C/385</t>
  </si>
  <si>
    <t>BEECH</t>
  </si>
  <si>
    <t>C/389</t>
  </si>
  <si>
    <t>SINGHANIAGOLD</t>
  </si>
  <si>
    <t>ENGO</t>
  </si>
  <si>
    <t>(14*26)+(1*20.2)</t>
  </si>
  <si>
    <t>PHASKOWA GOLD</t>
  </si>
  <si>
    <t>C/314</t>
  </si>
  <si>
    <t>C/283</t>
  </si>
  <si>
    <t>RUMGAMUTTEE</t>
  </si>
  <si>
    <t>C/282</t>
  </si>
  <si>
    <t>C/486</t>
  </si>
  <si>
    <t>C/495</t>
  </si>
  <si>
    <t>C/504</t>
  </si>
  <si>
    <t>(9*38)+(1*32.2)</t>
  </si>
  <si>
    <t>C/608</t>
  </si>
  <si>
    <t>BHAGATPUR</t>
  </si>
  <si>
    <t>C/349</t>
  </si>
  <si>
    <t>C/262</t>
  </si>
  <si>
    <t>C/267</t>
  </si>
  <si>
    <t>C/315</t>
  </si>
  <si>
    <t>C/322</t>
  </si>
  <si>
    <t>GREENASSAM</t>
  </si>
  <si>
    <t>(19*36)+(1*27.4)</t>
  </si>
  <si>
    <t>C/289</t>
  </si>
  <si>
    <t>C/391</t>
  </si>
  <si>
    <t>C/258</t>
  </si>
  <si>
    <t>C/275</t>
  </si>
  <si>
    <t>C/285</t>
  </si>
  <si>
    <t>C/358</t>
  </si>
  <si>
    <t>C/339</t>
  </si>
  <si>
    <t>C/229</t>
  </si>
  <si>
    <t>DIANARAMBARI</t>
  </si>
  <si>
    <t>CHALOUNI</t>
  </si>
  <si>
    <t>C/476</t>
  </si>
  <si>
    <t>ENGOGOLD</t>
  </si>
  <si>
    <t>NEPUCHAPUR</t>
  </si>
  <si>
    <t>C/586</t>
  </si>
  <si>
    <t>C/596</t>
  </si>
  <si>
    <t>C/307</t>
  </si>
  <si>
    <t>C/357</t>
  </si>
  <si>
    <t>C/417</t>
  </si>
  <si>
    <t>C/195</t>
  </si>
  <si>
    <t>C/496</t>
  </si>
  <si>
    <t>(25*36)</t>
  </si>
  <si>
    <t>C/239</t>
  </si>
  <si>
    <t>DAGAPUR</t>
  </si>
  <si>
    <t>C/591</t>
  </si>
  <si>
    <t>C/266</t>
  </si>
  <si>
    <t>C/721</t>
  </si>
  <si>
    <t>C/731</t>
  </si>
  <si>
    <t>BAMANDANGASILVER</t>
  </si>
  <si>
    <t>C/99</t>
  </si>
  <si>
    <t>C/709</t>
  </si>
  <si>
    <t>C/718</t>
  </si>
  <si>
    <t>C/487</t>
  </si>
  <si>
    <t>C/687</t>
  </si>
  <si>
    <t>C/704</t>
  </si>
  <si>
    <t>C/518</t>
  </si>
  <si>
    <t>(18*36)+(2*27.4)</t>
  </si>
  <si>
    <t>C/383</t>
  </si>
  <si>
    <t>C/436</t>
  </si>
  <si>
    <t>HOKONGURI</t>
  </si>
  <si>
    <t>OR/428</t>
  </si>
  <si>
    <t>C/701</t>
  </si>
  <si>
    <t>MAHARANEETA</t>
  </si>
  <si>
    <t>(12*35)+(3*30.7)</t>
  </si>
  <si>
    <t>CHOTATINGRAI</t>
  </si>
  <si>
    <t>(19*31)+(1*26.7)</t>
  </si>
  <si>
    <t>(24*37)+(1*29.3)</t>
  </si>
  <si>
    <t>(10*40)+(2*32.3)</t>
  </si>
  <si>
    <t>(19*44)+(1*39.7)</t>
  </si>
  <si>
    <t>(14*40)+(1*32.3)</t>
  </si>
  <si>
    <t>(18*40)+(2*35.7)</t>
  </si>
  <si>
    <t>(13*34)+(1*26.3)</t>
  </si>
  <si>
    <t>C/753</t>
  </si>
  <si>
    <t>C/655</t>
  </si>
  <si>
    <t>C/790</t>
  </si>
  <si>
    <t>C/801</t>
  </si>
  <si>
    <t>KHOBONG</t>
  </si>
  <si>
    <t>FAGU</t>
  </si>
  <si>
    <t>C/727</t>
  </si>
  <si>
    <t>C/737</t>
  </si>
  <si>
    <t>C/536</t>
  </si>
  <si>
    <t>C/384</t>
  </si>
  <si>
    <t>(13*26)</t>
  </si>
  <si>
    <t>AIBHEEL</t>
  </si>
  <si>
    <t>(21*38)</t>
  </si>
  <si>
    <t>(11*36)+(1*28.3)</t>
  </si>
  <si>
    <t>(18*18)+(2*15.6)</t>
  </si>
  <si>
    <t>OR/477</t>
  </si>
  <si>
    <t>DHULAPADUN</t>
  </si>
  <si>
    <t>(18*19)+(2*16.6)</t>
  </si>
  <si>
    <t>OR/523</t>
  </si>
  <si>
    <t>SUKNA</t>
  </si>
  <si>
    <t>C/969</t>
  </si>
  <si>
    <t>C/1114</t>
  </si>
  <si>
    <t>C/814</t>
  </si>
  <si>
    <t>C/1030</t>
  </si>
  <si>
    <t>C/1134</t>
  </si>
  <si>
    <t>C/743</t>
  </si>
  <si>
    <t>C/429</t>
  </si>
  <si>
    <t>C/716</t>
  </si>
  <si>
    <t>C/757</t>
  </si>
  <si>
    <t>C/725</t>
  </si>
  <si>
    <t>C/387</t>
  </si>
  <si>
    <t>C/545</t>
  </si>
  <si>
    <t>C/993</t>
  </si>
  <si>
    <t>C/1192</t>
  </si>
  <si>
    <t>C/328</t>
  </si>
  <si>
    <t>C/749</t>
  </si>
  <si>
    <t>(17*38)</t>
  </si>
  <si>
    <t>AASHVIGOLD</t>
  </si>
  <si>
    <t>C/805</t>
  </si>
  <si>
    <t>C/423</t>
  </si>
  <si>
    <t>C/691</t>
  </si>
  <si>
    <t>C/542</t>
  </si>
  <si>
    <t>C/490</t>
  </si>
  <si>
    <t>C/544</t>
  </si>
  <si>
    <t>C/968</t>
  </si>
  <si>
    <t>GANGABARI</t>
  </si>
  <si>
    <t>C/923</t>
  </si>
  <si>
    <t>C/590</t>
  </si>
  <si>
    <t>PR/298</t>
  </si>
  <si>
    <t>MARIONBARIECLONAL</t>
  </si>
  <si>
    <t>C/603</t>
  </si>
  <si>
    <t>C/738</t>
  </si>
  <si>
    <t>C/916</t>
  </si>
  <si>
    <t>O/464</t>
  </si>
  <si>
    <t>(19*23)+(1*20.5)</t>
  </si>
  <si>
    <t>O/473</t>
  </si>
  <si>
    <t>O/479</t>
  </si>
  <si>
    <t>O/471</t>
  </si>
  <si>
    <t>(19*21)+(1*18.5)</t>
  </si>
  <si>
    <t>O/490</t>
  </si>
  <si>
    <t>O/428</t>
  </si>
  <si>
    <t>SEALKOTEE</t>
  </si>
  <si>
    <t>O/397</t>
  </si>
  <si>
    <t>(14*22)+(1*17.8)</t>
  </si>
  <si>
    <t>OR/63</t>
  </si>
  <si>
    <t>AGNIGARHCLONAL</t>
  </si>
  <si>
    <t>(17*21)</t>
  </si>
  <si>
    <t>OR/61</t>
  </si>
  <si>
    <t>(9*23)+(1*18.8)</t>
  </si>
  <si>
    <t>OR/240</t>
  </si>
  <si>
    <t>(14*18)+(1*15.5)</t>
  </si>
  <si>
    <t>O/94</t>
  </si>
  <si>
    <t>BIRJHORA</t>
  </si>
  <si>
    <t>SFTGFOP</t>
  </si>
  <si>
    <t>(9*23)+(1*20.5)</t>
  </si>
  <si>
    <t>OR/950</t>
  </si>
  <si>
    <t>(12*17)+(3*14.6)</t>
  </si>
  <si>
    <t>OR/352</t>
  </si>
  <si>
    <t>(17*18)+(1*15.6)+(2*15.8)</t>
  </si>
  <si>
    <t>OR/346</t>
  </si>
  <si>
    <t>GBOP</t>
  </si>
  <si>
    <t>(7*51)+(1*48.6)+(2*48.8)</t>
  </si>
  <si>
    <t>(2*43)+(1*40.6)+(2*40.8)</t>
  </si>
  <si>
    <t>OR/441</t>
  </si>
  <si>
    <t>(7*43)+(1*40.6)+(2*40.8)</t>
  </si>
  <si>
    <t>OR/421</t>
  </si>
  <si>
    <t>(2*45)+(1*42.6)+(2*42.8)</t>
  </si>
  <si>
    <t>OR/432</t>
  </si>
  <si>
    <t>(12*46)+(1*43.6)+(2*43.8)</t>
  </si>
  <si>
    <t>GA/50</t>
  </si>
  <si>
    <t>(7*19)+(1*16.8)</t>
  </si>
  <si>
    <t>DIANAEAMBARI</t>
  </si>
  <si>
    <t>C/386</t>
  </si>
  <si>
    <t>JITI</t>
  </si>
  <si>
    <t>C/540</t>
  </si>
  <si>
    <t>(19*28)+(1*23.7)</t>
  </si>
  <si>
    <t>(29*40)+(1*32.3)</t>
  </si>
  <si>
    <t>C/284</t>
  </si>
  <si>
    <t>JOYMOTI</t>
  </si>
  <si>
    <t>BP1</t>
  </si>
  <si>
    <t>C/777</t>
  </si>
  <si>
    <t>(28*38)+(2*29.4)</t>
  </si>
  <si>
    <t>C/657</t>
  </si>
  <si>
    <t>C/427</t>
  </si>
  <si>
    <t>C/739</t>
  </si>
  <si>
    <t>C/506</t>
  </si>
  <si>
    <t>C/802</t>
  </si>
  <si>
    <t>C/942</t>
  </si>
  <si>
    <t>C/726</t>
  </si>
  <si>
    <t>C/813</t>
  </si>
  <si>
    <t>C/442</t>
  </si>
  <si>
    <t>(18*37)+(2*28.4)</t>
  </si>
  <si>
    <t>C/998</t>
  </si>
  <si>
    <t>C/458</t>
  </si>
  <si>
    <t>C/781</t>
  </si>
  <si>
    <t>HC/957</t>
  </si>
  <si>
    <t>KAILASHPURPREMIUN</t>
  </si>
  <si>
    <t>C/960</t>
  </si>
  <si>
    <t>C/512</t>
  </si>
  <si>
    <t>PR/344</t>
  </si>
  <si>
    <t>PR/339</t>
  </si>
  <si>
    <t>C/741</t>
  </si>
  <si>
    <t>C/976</t>
  </si>
  <si>
    <t>C/408</t>
  </si>
  <si>
    <t>C/855</t>
  </si>
  <si>
    <t>DURGAPUR</t>
  </si>
  <si>
    <t>C/686</t>
  </si>
  <si>
    <t>C/878</t>
  </si>
  <si>
    <t>(13*28)</t>
  </si>
  <si>
    <t>(14*38)+(29.4)</t>
  </si>
  <si>
    <t>BANARHAT</t>
  </si>
  <si>
    <t>ANANDAPURSUPREME</t>
  </si>
  <si>
    <t>S/278</t>
  </si>
  <si>
    <t>C/1074</t>
  </si>
  <si>
    <t>(29*33)+(1*25.3)</t>
  </si>
  <si>
    <t>C/563</t>
  </si>
  <si>
    <t>FRIENDSPREMIUMTEA</t>
  </si>
  <si>
    <t>DEWLEAFGOLDTEA</t>
  </si>
  <si>
    <t>C/614</t>
  </si>
  <si>
    <t>C/1366</t>
  </si>
  <si>
    <t>C/1090</t>
  </si>
  <si>
    <t>C/965</t>
  </si>
  <si>
    <t>RAHIMIAGOLD</t>
  </si>
  <si>
    <t>C/940</t>
  </si>
  <si>
    <t>LOOKSUN GOLD</t>
  </si>
  <si>
    <t>C/690</t>
  </si>
  <si>
    <t>RAHIMIA GOLD</t>
  </si>
  <si>
    <t>C/693</t>
  </si>
  <si>
    <t>C/728</t>
  </si>
  <si>
    <t>S/353</t>
  </si>
  <si>
    <t>S/345</t>
  </si>
  <si>
    <t>(28*34)+(2*26.3)</t>
  </si>
  <si>
    <t>(19*36)+(2*28.3)</t>
  </si>
  <si>
    <t>C/652</t>
  </si>
  <si>
    <t>CC/892</t>
  </si>
  <si>
    <t>NAHORKUTIA</t>
  </si>
  <si>
    <t>BIJLEEJAN</t>
  </si>
  <si>
    <t>KELLYDEN</t>
  </si>
  <si>
    <t>(17*37)+(3*29.3)</t>
  </si>
  <si>
    <t>TGFOP1</t>
  </si>
  <si>
    <t>O/569</t>
  </si>
  <si>
    <t>(9*22)+(1*18)</t>
  </si>
  <si>
    <t>OR/280</t>
  </si>
  <si>
    <t>(9*20)+(1*17.4)</t>
  </si>
  <si>
    <t>OR/270</t>
  </si>
  <si>
    <t>(19*25)+(1*22.4)</t>
  </si>
  <si>
    <t>OR/78</t>
  </si>
  <si>
    <t>(9*20)+(1*16)</t>
  </si>
  <si>
    <t>C/1320</t>
  </si>
  <si>
    <t>C/1348</t>
  </si>
  <si>
    <t>DAMDIN</t>
  </si>
  <si>
    <t>C/507</t>
  </si>
  <si>
    <t>C/4565</t>
  </si>
  <si>
    <t>C/0300</t>
  </si>
  <si>
    <t>C/0462</t>
  </si>
  <si>
    <t>C/0569</t>
  </si>
  <si>
    <t>C/0425</t>
  </si>
  <si>
    <t>C/1403</t>
  </si>
  <si>
    <t>BORNEWRIA</t>
  </si>
  <si>
    <t>EX/209</t>
  </si>
  <si>
    <t>(19*33)+(1*28.7)</t>
  </si>
  <si>
    <t>C/800942Y</t>
  </si>
  <si>
    <t>(19*25)+(1*20.7)</t>
  </si>
  <si>
    <t>C/800787Y</t>
  </si>
  <si>
    <t>HATUANCLONAL</t>
  </si>
  <si>
    <t>(28*35)+(2*27.3)</t>
  </si>
  <si>
    <t>C/556</t>
  </si>
  <si>
    <t>(14*33)+(1*27.2)</t>
  </si>
  <si>
    <t>C/1306</t>
  </si>
  <si>
    <t>MOHANBAG</t>
  </si>
  <si>
    <t>(18*43)+(2*38.7)</t>
  </si>
  <si>
    <t>EX/199</t>
  </si>
  <si>
    <t>(20*38)+(2*30.3)</t>
  </si>
  <si>
    <t>(19*42)+(1*37.7)</t>
  </si>
  <si>
    <t>(17*43)+(3*38.7)</t>
  </si>
  <si>
    <t>C/247</t>
  </si>
  <si>
    <t>(12*38)+(3*30.3)</t>
  </si>
  <si>
    <t>(28*38)+(2*30.3)</t>
  </si>
  <si>
    <t>GREENLAND</t>
  </si>
  <si>
    <t>C/126</t>
  </si>
  <si>
    <t>C/129</t>
  </si>
  <si>
    <t>(8*28)+(2*19.4)</t>
  </si>
  <si>
    <t>(8*28)+(1*19.4)</t>
  </si>
  <si>
    <t>(14*38)++(1*29.4)</t>
  </si>
  <si>
    <t>C/1112</t>
  </si>
  <si>
    <t>(18*30)+(2*21.4)</t>
  </si>
  <si>
    <t>UK/101</t>
  </si>
  <si>
    <t>(18*24)+(2*19.7)</t>
  </si>
  <si>
    <t>KOLIABUR</t>
  </si>
  <si>
    <t>DC/242</t>
  </si>
  <si>
    <t>DC/247</t>
  </si>
  <si>
    <t>(20*40)</t>
  </si>
  <si>
    <t>FREINDSPREMIUMTEA</t>
  </si>
  <si>
    <t>DEMOW</t>
  </si>
  <si>
    <t>(11*30)+(2*22.3)</t>
  </si>
  <si>
    <t>C/1083</t>
  </si>
  <si>
    <t>9*38)+(1*29.4)</t>
  </si>
  <si>
    <t>C/920645</t>
  </si>
  <si>
    <t>(19*40)+(1*31.4)</t>
  </si>
  <si>
    <t>C/920655</t>
  </si>
  <si>
    <t>C/16362</t>
  </si>
  <si>
    <t>RAMABOTTYSUPER</t>
  </si>
  <si>
    <t>(22*35)+(1*26.4)</t>
  </si>
  <si>
    <t>C/930</t>
  </si>
  <si>
    <t>C/931</t>
  </si>
  <si>
    <t>C/766</t>
  </si>
  <si>
    <t>(17*28)+(1*19.4)</t>
  </si>
  <si>
    <t>(29*33)+(1*24.4)</t>
  </si>
  <si>
    <t>PR/407</t>
  </si>
  <si>
    <t>PALASHABARIROYAL</t>
  </si>
  <si>
    <t>C/1031</t>
  </si>
  <si>
    <t>C/991</t>
  </si>
  <si>
    <t>C/979</t>
  </si>
  <si>
    <t>C/311</t>
  </si>
  <si>
    <t>UK/1759</t>
  </si>
  <si>
    <t>(19*37)+(1*29.3)</t>
  </si>
  <si>
    <t>C/800674</t>
  </si>
  <si>
    <t>(18*26)+(1*10.6)+(1*18.3)</t>
  </si>
  <si>
    <t>C/1644</t>
  </si>
  <si>
    <t>(18*33)+(1*24.4)+(1*28.7)</t>
  </si>
  <si>
    <t>C/1228</t>
  </si>
  <si>
    <t>UK/898</t>
  </si>
  <si>
    <t>UK/922</t>
  </si>
  <si>
    <t>C/770639</t>
  </si>
  <si>
    <t>(17*26)+(3*18.3)</t>
  </si>
  <si>
    <t>C/880931</t>
  </si>
  <si>
    <t>(30*40)</t>
  </si>
  <si>
    <t>C/880965</t>
  </si>
  <si>
    <t>(19*38)+(1*30.3)</t>
  </si>
  <si>
    <t>C/1304</t>
  </si>
  <si>
    <t>(19*24)+(1*19.7)</t>
  </si>
  <si>
    <t>BAGRODIA</t>
  </si>
  <si>
    <t>EX/285</t>
  </si>
  <si>
    <t>EX/224</t>
  </si>
  <si>
    <t>(10*38)+(2*30.3)</t>
  </si>
  <si>
    <t>EX/286</t>
  </si>
  <si>
    <t>EX/223</t>
  </si>
  <si>
    <t>(19*39)+(1*30.4)</t>
  </si>
  <si>
    <t>SURAJBARIGOLD</t>
  </si>
  <si>
    <t>(5*34)+(1*29.7)</t>
  </si>
  <si>
    <t>(12*34)+(1*29.7)</t>
  </si>
  <si>
    <t>(18*42)+(2*37.7)</t>
  </si>
  <si>
    <t>EX/76</t>
  </si>
  <si>
    <t>(14*24)+(1*20.4)</t>
  </si>
  <si>
    <t>EX/77</t>
  </si>
  <si>
    <t>(9*24)+(1*20.4)</t>
  </si>
  <si>
    <t>EX/78</t>
  </si>
  <si>
    <t>EX/79</t>
  </si>
  <si>
    <t>EX/80</t>
  </si>
  <si>
    <t>EX/81</t>
  </si>
  <si>
    <t>EX/82</t>
  </si>
  <si>
    <t>EX/83</t>
  </si>
  <si>
    <t>DJ/240</t>
  </si>
  <si>
    <t>(9*21)+(1*17.4)</t>
  </si>
  <si>
    <t>DJ/242</t>
  </si>
  <si>
    <t>DJ/243</t>
  </si>
  <si>
    <t>DJ/244</t>
  </si>
  <si>
    <t>DJ/245</t>
  </si>
  <si>
    <t>DJ/246</t>
  </si>
  <si>
    <t>DJ/247</t>
  </si>
  <si>
    <t>DJ/248</t>
  </si>
  <si>
    <t>OR/1383</t>
  </si>
  <si>
    <t>NONOI</t>
  </si>
  <si>
    <t>(9*47)+(1*42.9)</t>
  </si>
  <si>
    <t>OR/1342</t>
  </si>
  <si>
    <t>GINGIA</t>
  </si>
  <si>
    <t>OR/2115</t>
  </si>
  <si>
    <t>OR/1876</t>
  </si>
  <si>
    <t>OR/1890</t>
  </si>
  <si>
    <t>(9*42)+(1*37.9)</t>
  </si>
  <si>
    <t>OR/1349</t>
  </si>
  <si>
    <t>RAIDANG</t>
  </si>
  <si>
    <t>OR/1138</t>
  </si>
  <si>
    <t>(14*19)+(1*14.9)</t>
  </si>
  <si>
    <t>OR/1070</t>
  </si>
  <si>
    <t>SEAJULI</t>
  </si>
  <si>
    <t>OR/996</t>
  </si>
  <si>
    <t>OR/974</t>
  </si>
  <si>
    <t>SINGLIJAN</t>
  </si>
  <si>
    <t>OR/977</t>
  </si>
  <si>
    <t>(9*37)+(1*32.9)</t>
  </si>
  <si>
    <t>OR/1047</t>
  </si>
  <si>
    <t>(19*42)+(1*35)</t>
  </si>
  <si>
    <t>OR/1598</t>
  </si>
  <si>
    <t>(9*19)+(1*14.9)</t>
  </si>
  <si>
    <t>OR/1314</t>
  </si>
  <si>
    <t>OR/1670</t>
  </si>
  <si>
    <t>O/952</t>
  </si>
  <si>
    <t>ZALONI</t>
  </si>
  <si>
    <t>(18*21)+(2*14)</t>
  </si>
  <si>
    <t>OR/2695</t>
  </si>
  <si>
    <t>HATTIGOR</t>
  </si>
  <si>
    <t>(19*45)+(1*38)</t>
  </si>
  <si>
    <t>O/171</t>
  </si>
  <si>
    <t>(14*22)+(1*15)</t>
  </si>
  <si>
    <t>O/183</t>
  </si>
  <si>
    <t>C/618</t>
  </si>
  <si>
    <t>C/1435</t>
  </si>
  <si>
    <t>C/1450</t>
  </si>
  <si>
    <t>C/1463</t>
  </si>
  <si>
    <t>C/1489</t>
  </si>
  <si>
    <t>C/1480</t>
  </si>
  <si>
    <t>C/1481</t>
  </si>
  <si>
    <t>C/1179</t>
  </si>
  <si>
    <t>C/1200</t>
  </si>
  <si>
    <t>ETHRLBARI</t>
  </si>
  <si>
    <t>C/1088</t>
  </si>
  <si>
    <t>C/826</t>
  </si>
  <si>
    <t>UK/1790</t>
  </si>
  <si>
    <t>UK/1710</t>
  </si>
  <si>
    <t>(21*38)+(1*29.4)</t>
  </si>
  <si>
    <t>UK/1761</t>
  </si>
  <si>
    <t>UK/1510</t>
  </si>
  <si>
    <t>C/958</t>
  </si>
  <si>
    <t>C/966</t>
  </si>
  <si>
    <t>C/974</t>
  </si>
  <si>
    <t>(11*36)+(4*28.3)</t>
  </si>
  <si>
    <t>C/1944</t>
  </si>
  <si>
    <t>DIRAIHIGHGROWN</t>
  </si>
  <si>
    <t>(15*25)</t>
  </si>
  <si>
    <t>C/1948</t>
  </si>
  <si>
    <t>C/1950</t>
  </si>
  <si>
    <t>(12*25)+(3*17.3)</t>
  </si>
  <si>
    <t>(29*25)+(1*17.3)</t>
  </si>
  <si>
    <t>C/983</t>
  </si>
  <si>
    <t>(16*25)+(4*20.7)</t>
  </si>
  <si>
    <t>(18*29)+(2*24.7)</t>
  </si>
  <si>
    <t>SAPTARISHI</t>
  </si>
  <si>
    <t>(8*38)+(2*33.7)</t>
  </si>
  <si>
    <t>MUKTABARI</t>
  </si>
  <si>
    <t>(12*28)+(3*20.3)</t>
  </si>
  <si>
    <t>LEPETKATTAHIGHDROWN</t>
  </si>
  <si>
    <t>(17*26)+(3*21.7)</t>
  </si>
  <si>
    <t>PAPUMPARE</t>
  </si>
  <si>
    <t>SHRIPUR</t>
  </si>
  <si>
    <t>(23*36)+(2*28.3)</t>
  </si>
  <si>
    <t>C/270</t>
  </si>
  <si>
    <t>RANGLAL</t>
  </si>
  <si>
    <t>GANGABARIGOLD</t>
  </si>
  <si>
    <t>C/932</t>
  </si>
  <si>
    <t>(13*37)+(2*28.4)</t>
  </si>
  <si>
    <t>C/1344</t>
  </si>
  <si>
    <t>C/1223</t>
  </si>
  <si>
    <t>DANGUJHAR</t>
  </si>
  <si>
    <t>MEENGLAS</t>
  </si>
  <si>
    <t>BARADHIGHI</t>
  </si>
  <si>
    <t>(28*35)+(2*26.4)</t>
  </si>
  <si>
    <t>(23*35)+(2*26.4)</t>
  </si>
  <si>
    <t>C/1037</t>
  </si>
  <si>
    <t>C/1238</t>
  </si>
  <si>
    <t>C/1240</t>
  </si>
  <si>
    <t>C/1853</t>
  </si>
  <si>
    <t>C/1854</t>
  </si>
  <si>
    <t>ETHELBARGOLD</t>
  </si>
  <si>
    <t>MAJHERDABARI</t>
  </si>
  <si>
    <t>KURTI</t>
  </si>
  <si>
    <t>BARDIGHI</t>
  </si>
  <si>
    <t>C/1282</t>
  </si>
  <si>
    <t>C/1307</t>
  </si>
  <si>
    <t>C/825</t>
  </si>
  <si>
    <t>(23*38)</t>
  </si>
  <si>
    <t>C/745</t>
  </si>
  <si>
    <t>C/1036</t>
  </si>
  <si>
    <t>C/1747</t>
  </si>
  <si>
    <t>C/1757</t>
  </si>
  <si>
    <t>C/1771</t>
  </si>
  <si>
    <t>C/1772</t>
  </si>
  <si>
    <t>C/1291</t>
  </si>
  <si>
    <t>C/1249</t>
  </si>
  <si>
    <t>C/1290</t>
  </si>
  <si>
    <t>DS/860950</t>
  </si>
  <si>
    <t>(30*25)</t>
  </si>
  <si>
    <t>(13*26)+(2*18.3)</t>
  </si>
  <si>
    <t>L/247</t>
  </si>
  <si>
    <t>(10*34)</t>
  </si>
  <si>
    <t>C/180713</t>
  </si>
  <si>
    <t>RAJMAI</t>
  </si>
  <si>
    <t>C/231152</t>
  </si>
  <si>
    <t>DIRIAL</t>
  </si>
  <si>
    <t>(19*25)+(1*17.3)</t>
  </si>
  <si>
    <t>DS/231015</t>
  </si>
  <si>
    <t>(19*26)+(1*18.3)</t>
  </si>
  <si>
    <t>DS/231051</t>
  </si>
  <si>
    <t>DS/231069</t>
  </si>
  <si>
    <t>DS/231083</t>
  </si>
  <si>
    <t>(28*25)</t>
  </si>
  <si>
    <t>GOSHAINBGETITEA</t>
  </si>
  <si>
    <t>(5*31)+(2*26.7)</t>
  </si>
  <si>
    <t>C/852</t>
  </si>
  <si>
    <t>C/2019</t>
  </si>
  <si>
    <t>GHILLIDARYN</t>
  </si>
  <si>
    <t>C/2025</t>
  </si>
  <si>
    <t>MUTTARAPORE</t>
  </si>
  <si>
    <t>PROBHAKPRGOLD</t>
  </si>
  <si>
    <t>C/1003</t>
  </si>
  <si>
    <t>EX/1079</t>
  </si>
  <si>
    <t>EX/266</t>
  </si>
  <si>
    <t>(34*38)+(1*30.3)</t>
  </si>
  <si>
    <t>EX/267</t>
  </si>
  <si>
    <t>DEWLWAFGOLDTEA</t>
  </si>
  <si>
    <t>C/1006</t>
  </si>
  <si>
    <t>C/1023</t>
  </si>
  <si>
    <t>C/110</t>
  </si>
  <si>
    <t>UK/668</t>
  </si>
  <si>
    <t>UK/669</t>
  </si>
  <si>
    <t>C/1874</t>
  </si>
  <si>
    <t>MADHUPUR</t>
  </si>
  <si>
    <t>(29*28)+(1*20.3)</t>
  </si>
  <si>
    <t>C/1918</t>
  </si>
  <si>
    <t>C/1919</t>
  </si>
  <si>
    <t>LUKWAH</t>
  </si>
  <si>
    <t>DECKAJULI</t>
  </si>
  <si>
    <t>C/1057</t>
  </si>
  <si>
    <t>HC/2391</t>
  </si>
  <si>
    <t>MORANHIGHGROWN</t>
  </si>
  <si>
    <t>(18*25)+(2*20.7)</t>
  </si>
  <si>
    <t>HC/2533</t>
  </si>
  <si>
    <t>C/785</t>
  </si>
  <si>
    <t>UK/681</t>
  </si>
  <si>
    <t>BARGARA</t>
  </si>
  <si>
    <t>PADUMANIROYAL</t>
  </si>
  <si>
    <t>C/1740</t>
  </si>
  <si>
    <t>(13*28)+(2*20.3)</t>
  </si>
  <si>
    <t>(19*26)+(1*21.7)</t>
  </si>
  <si>
    <t>C/801284</t>
  </si>
  <si>
    <t>C/801326</t>
  </si>
  <si>
    <t>DS/860935</t>
  </si>
  <si>
    <t>L/240</t>
  </si>
  <si>
    <t>DS/860781</t>
  </si>
  <si>
    <t>(20*25)</t>
  </si>
  <si>
    <t>UK/486</t>
  </si>
  <si>
    <t>C/1975</t>
  </si>
  <si>
    <t>DS/820700</t>
  </si>
  <si>
    <t>TARAJULIE</t>
  </si>
  <si>
    <t>C/770835</t>
  </si>
  <si>
    <t>C/770844</t>
  </si>
  <si>
    <t>DS/711090</t>
  </si>
  <si>
    <t>DS/711103</t>
  </si>
  <si>
    <t>C/353</t>
  </si>
  <si>
    <t>ARCHANATEA</t>
  </si>
  <si>
    <t>(9*34)+(3*26.3)</t>
  </si>
  <si>
    <t>UK/651</t>
  </si>
  <si>
    <t>UK/571</t>
  </si>
  <si>
    <t>(18*33)+(2*28.7)</t>
  </si>
  <si>
    <t>DAYAMONICHA</t>
  </si>
  <si>
    <t>TINGALIHILLS</t>
  </si>
  <si>
    <t>(18*26)+(2*21.7)</t>
  </si>
  <si>
    <t>GREENVIEWGOLD</t>
  </si>
  <si>
    <t>EX/840993</t>
  </si>
  <si>
    <t>TEZPORE&amp;GOGRA</t>
  </si>
  <si>
    <t>C/420</t>
  </si>
  <si>
    <t>(39*34)+(1*26.3)</t>
  </si>
  <si>
    <t>(34*34)+(1*26.3)</t>
  </si>
  <si>
    <t>C/2077</t>
  </si>
  <si>
    <t>C/2078</t>
  </si>
  <si>
    <t>C/2161</t>
  </si>
  <si>
    <t>UK/143</t>
  </si>
  <si>
    <t>UK/140</t>
  </si>
  <si>
    <t>FREINDSPREMIUMETEA</t>
  </si>
  <si>
    <t>C/1356</t>
  </si>
  <si>
    <t>BAMUNBARI</t>
  </si>
  <si>
    <t>UK/510</t>
  </si>
  <si>
    <t>(9*35)+(1*30.7)</t>
  </si>
  <si>
    <t>(9*36)+(1*31.7)</t>
  </si>
  <si>
    <t>LANGARIA</t>
  </si>
  <si>
    <t>(9*37)+(1*32.7)</t>
  </si>
  <si>
    <t>(10*38)</t>
  </si>
  <si>
    <t>C/964</t>
  </si>
  <si>
    <t>C/30973</t>
  </si>
  <si>
    <t>(19*23)+(1*18.7)</t>
  </si>
  <si>
    <t>DS/860684</t>
  </si>
  <si>
    <t>(25*25)</t>
  </si>
  <si>
    <t>EXC/1092</t>
  </si>
  <si>
    <t>HEELEAKAH</t>
  </si>
  <si>
    <t>EXC/1167</t>
  </si>
  <si>
    <t>(19*35)+(1*27.3)</t>
  </si>
  <si>
    <t>(30*28)</t>
  </si>
  <si>
    <t>L/223</t>
  </si>
  <si>
    <t>EX/1112</t>
  </si>
  <si>
    <t>EX/1129</t>
  </si>
  <si>
    <t>EX/1144</t>
  </si>
  <si>
    <t>C/1181</t>
  </si>
  <si>
    <t>C/1054</t>
  </si>
  <si>
    <t>DANGUAJHAR</t>
  </si>
  <si>
    <t>C/1250</t>
  </si>
  <si>
    <t>C/1284</t>
  </si>
  <si>
    <t>C/1960</t>
  </si>
  <si>
    <t>C/415</t>
  </si>
  <si>
    <t>20*38)</t>
  </si>
  <si>
    <t>(13*36)+(2*30.2)</t>
  </si>
  <si>
    <t>C/1522</t>
  </si>
  <si>
    <t>C/1554</t>
  </si>
  <si>
    <t>C/865</t>
  </si>
  <si>
    <t>C/938</t>
  </si>
  <si>
    <t>(28*38)+(1*29.4)</t>
  </si>
  <si>
    <t>(35*38)</t>
  </si>
  <si>
    <t>C/1803</t>
  </si>
  <si>
    <t>C/1806</t>
  </si>
  <si>
    <t>C/1807</t>
  </si>
  <si>
    <t>C/1293</t>
  </si>
  <si>
    <t>C/1414</t>
  </si>
  <si>
    <t>C/1051</t>
  </si>
  <si>
    <t>C/973</t>
  </si>
  <si>
    <t>C/1093</t>
  </si>
  <si>
    <t>C/819</t>
  </si>
  <si>
    <t>C/1902</t>
  </si>
  <si>
    <t>C/1439</t>
  </si>
  <si>
    <t>C/1241</t>
  </si>
  <si>
    <t>C/1243</t>
  </si>
  <si>
    <t>C/1496</t>
  </si>
  <si>
    <t>BAMANDANGAGOLD</t>
  </si>
  <si>
    <t>(17*38)+(3*29.4)</t>
  </si>
  <si>
    <t>C/1384</t>
  </si>
  <si>
    <t>C/648</t>
  </si>
  <si>
    <t>C/881</t>
  </si>
  <si>
    <t>C/843</t>
  </si>
  <si>
    <t>C/1485</t>
  </si>
  <si>
    <t>C/1004</t>
  </si>
  <si>
    <t>(9*37)+(1*31.2)</t>
  </si>
  <si>
    <t>(34*38)+(1*29.4)</t>
  </si>
  <si>
    <t>C/622</t>
  </si>
  <si>
    <t>C/755</t>
  </si>
  <si>
    <t>C/944</t>
  </si>
  <si>
    <t>C/788</t>
  </si>
  <si>
    <t>C/1113</t>
  </si>
  <si>
    <t>SIMULBARIEGOLD</t>
  </si>
  <si>
    <t>C/848</t>
  </si>
  <si>
    <t>C/1830</t>
  </si>
  <si>
    <t>C/1042</t>
  </si>
  <si>
    <t>C/1152</t>
  </si>
  <si>
    <t>C/1174</t>
  </si>
  <si>
    <t>(a).Opening Stock as on 01/04/2020</t>
  </si>
  <si>
    <t>19.03.2021</t>
  </si>
  <si>
    <t>20.03.2021</t>
  </si>
  <si>
    <t>22.03.2021</t>
  </si>
  <si>
    <t>23.03.2021</t>
  </si>
  <si>
    <t>24.03.2021</t>
  </si>
  <si>
    <t>25.03.2021</t>
  </si>
  <si>
    <t>26.03.2021</t>
  </si>
  <si>
    <t>27.03.2021</t>
  </si>
  <si>
    <t>Transfer to :-</t>
  </si>
  <si>
    <t>093/GZB/2020-21</t>
  </si>
  <si>
    <t>094/GZB/2020-21</t>
  </si>
  <si>
    <t>095/GZB/2020-21</t>
  </si>
  <si>
    <t>096/GZB/2020-21</t>
  </si>
  <si>
    <t>097/GZB/2020-21</t>
  </si>
  <si>
    <t>098/GZB/2020-21</t>
  </si>
  <si>
    <t>Gml-08</t>
  </si>
  <si>
    <t>C/1885</t>
  </si>
  <si>
    <t>C/1886</t>
  </si>
  <si>
    <t>C/1903</t>
  </si>
  <si>
    <t>C/1497</t>
  </si>
  <si>
    <t>C/1510</t>
  </si>
  <si>
    <t>(18*38)</t>
  </si>
  <si>
    <t>C/885</t>
  </si>
  <si>
    <t>C/1308</t>
  </si>
  <si>
    <t>C/1092</t>
  </si>
  <si>
    <t>C/1232</t>
  </si>
  <si>
    <t>C/815</t>
  </si>
  <si>
    <t>R/587</t>
  </si>
  <si>
    <t>AMAMDAPURROYAL</t>
  </si>
  <si>
    <t>C/1427</t>
  </si>
  <si>
    <t>C/1474</t>
  </si>
  <si>
    <t>C/1176</t>
  </si>
  <si>
    <t>C/401</t>
  </si>
  <si>
    <t>C/1205</t>
  </si>
  <si>
    <t>C/922</t>
  </si>
  <si>
    <t>C/871</t>
  </si>
  <si>
    <t>C/909</t>
  </si>
  <si>
    <t>C/1188</t>
  </si>
  <si>
    <t>PR/490</t>
  </si>
  <si>
    <t>C/1460</t>
  </si>
  <si>
    <t>C/1078</t>
  </si>
  <si>
    <t>C/1900</t>
  </si>
  <si>
    <t>C/1901</t>
  </si>
  <si>
    <t>C/1527</t>
  </si>
  <si>
    <t>C/1562</t>
  </si>
  <si>
    <t>C/1565</t>
  </si>
  <si>
    <t>C/1566</t>
  </si>
  <si>
    <t>C/1013</t>
  </si>
  <si>
    <t>C/1035</t>
  </si>
  <si>
    <t>C/1039</t>
  </si>
  <si>
    <t>C/1052</t>
  </si>
  <si>
    <t>C/1292</t>
  </si>
  <si>
    <t>C/1416</t>
  </si>
  <si>
    <t>C/1417</t>
  </si>
  <si>
    <t>(11*38)+(3*29.4)</t>
  </si>
  <si>
    <t>C/1233</t>
  </si>
  <si>
    <t>ORIGINAL TEA CLOSING STOCK AS PER BOOK BALANCE - LOT/INVOICE/GARDEN WISE FOR THE YEAR 2020-21</t>
  </si>
  <si>
    <t xml:space="preserve"> ORIGINAL TEA STOCK DETAILS FOR THE YEARY OF 2020-2021</t>
  </si>
  <si>
    <t>D</t>
  </si>
  <si>
    <t>1&amp;2&amp;3</t>
  </si>
  <si>
    <t>2&amp;9</t>
  </si>
  <si>
    <t>3&amp;4</t>
  </si>
  <si>
    <t>C</t>
  </si>
  <si>
    <t xml:space="preserve">C </t>
  </si>
  <si>
    <t>2&amp;3</t>
  </si>
  <si>
    <t>1&amp;5</t>
  </si>
  <si>
    <t>4&amp;5</t>
  </si>
  <si>
    <t>5&amp;6</t>
  </si>
  <si>
    <t>6&amp;7</t>
  </si>
  <si>
    <t>5&amp;7</t>
  </si>
  <si>
    <t>3&amp;7</t>
  </si>
  <si>
    <t>4&amp;7</t>
  </si>
  <si>
    <t>6&amp;8</t>
  </si>
  <si>
    <t>8&amp;9</t>
  </si>
  <si>
    <t xml:space="preserve"> C</t>
  </si>
  <si>
    <t>6&amp;9</t>
  </si>
  <si>
    <t>8&amp;10</t>
  </si>
  <si>
    <t>C/1362</t>
  </si>
  <si>
    <t>10&amp;11</t>
  </si>
  <si>
    <t>11&amp;12</t>
  </si>
  <si>
    <t>9&amp;12</t>
  </si>
  <si>
    <t>11&amp;13</t>
  </si>
  <si>
    <t>12&amp;13</t>
  </si>
  <si>
    <t>13&amp;14</t>
  </si>
  <si>
    <t>B</t>
  </si>
  <si>
    <t>D&amp;B</t>
  </si>
  <si>
    <t>2&amp;4&amp;2</t>
  </si>
  <si>
    <t>2 &amp; 3</t>
  </si>
  <si>
    <t>1 &amp; 3</t>
  </si>
  <si>
    <t>D &amp; B</t>
  </si>
  <si>
    <t>2 &amp; 4</t>
  </si>
  <si>
    <t>C &amp; B</t>
  </si>
  <si>
    <t>1 &amp; 4</t>
  </si>
  <si>
    <t>4 &amp; 5</t>
  </si>
  <si>
    <t>10 &amp; 5</t>
  </si>
  <si>
    <t>4 &amp; 6</t>
  </si>
  <si>
    <t>5 &amp; 6</t>
  </si>
  <si>
    <t>3 &amp; 6</t>
  </si>
  <si>
    <t xml:space="preserve"> 5 &amp; 7</t>
  </si>
  <si>
    <t>11 &amp; 7</t>
  </si>
  <si>
    <t>6 &amp; 7</t>
  </si>
  <si>
    <t>2 &amp; 7</t>
  </si>
  <si>
    <t>7 &amp; 8</t>
  </si>
  <si>
    <t>6 &amp; 8</t>
  </si>
  <si>
    <t>3 &amp; 7 &amp; 8</t>
  </si>
  <si>
    <t>3 &amp; 8</t>
  </si>
  <si>
    <t>1 &amp; 8</t>
  </si>
  <si>
    <t xml:space="preserve"> 2 &amp; 8</t>
  </si>
  <si>
    <t>2 &amp; 8</t>
  </si>
  <si>
    <t>4 &amp; 8</t>
  </si>
  <si>
    <t>F</t>
  </si>
  <si>
    <t>A</t>
  </si>
  <si>
    <t>1 &amp; 2</t>
  </si>
  <si>
    <t xml:space="preserve">2 &amp; 3 </t>
  </si>
  <si>
    <t>3 &amp; 4</t>
  </si>
  <si>
    <t>C &amp; A</t>
  </si>
  <si>
    <t>6 &amp; 7 &amp; 9</t>
  </si>
  <si>
    <t>11 &amp; 9</t>
  </si>
  <si>
    <t>8 &amp; 9</t>
  </si>
  <si>
    <t>FD</t>
  </si>
  <si>
    <t>C&amp;A</t>
  </si>
  <si>
    <t>5&amp;7&amp;11</t>
  </si>
  <si>
    <t>11&amp;14</t>
  </si>
  <si>
    <t>B&amp;A</t>
  </si>
  <si>
    <t>1&amp;13</t>
  </si>
  <si>
    <t>10&amp;14</t>
  </si>
  <si>
    <t>4&amp;14</t>
  </si>
  <si>
    <t>14&amp;15</t>
  </si>
  <si>
    <t>C&amp;J</t>
  </si>
  <si>
    <t>J</t>
  </si>
  <si>
    <t>C&amp;j</t>
  </si>
  <si>
    <t>C/872</t>
  </si>
  <si>
    <t xml:space="preserve"> 6  &amp; 8 </t>
  </si>
  <si>
    <t>10 &amp; 11</t>
  </si>
  <si>
    <t>13 &amp; 11</t>
  </si>
  <si>
    <t>Physical Blend Tea Stock As on 31.03.2021</t>
  </si>
  <si>
    <t>losse pack</t>
  </si>
  <si>
    <t>Physical Packed  Stock as on 31.03.2021</t>
  </si>
  <si>
    <t>( k ) Balance as on 31.03.2021</t>
  </si>
  <si>
    <t>Deficiate / Damage :-</t>
  </si>
  <si>
    <t>(f).Closing Stock 31/03/2021</t>
  </si>
  <si>
    <t>(g).Physical Stock 31/03/2021</t>
  </si>
  <si>
    <t>17.03.2021</t>
  </si>
  <si>
    <t xml:space="preserve">       Ex-Recd from Gzb Unit (kundli return)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</si>
</sst>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"/>
    <numFmt numFmtId="165" formatCode="0.00000"/>
  </numFmts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i/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sz val="11"/>
      <name val="Agency FB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9"/>
      <name val="Arial"/>
      <family val="2"/>
    </font>
    <font>
      <b/>
      <sz val="10"/>
      <color rgb="FF7030A0"/>
      <name val="Calibri"/>
      <family val="2"/>
      <scheme val="minor"/>
    </font>
    <font>
      <b/>
      <i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9"/>
      <color indexed="81"/>
      <name val="Tahoma"/>
      <charset val="1"/>
    </font>
    <font>
      <b/>
      <i/>
      <sz val="8"/>
      <name val="Calibri"/>
      <family val="2"/>
      <scheme val="minor"/>
    </font>
    <font>
      <i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73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/>
    <xf numFmtId="0" fontId="1" fillId="0" borderId="0" xfId="0" applyFont="1"/>
    <xf numFmtId="0" fontId="0" fillId="0" borderId="2" xfId="0" applyBorder="1"/>
    <xf numFmtId="0" fontId="1" fillId="0" borderId="2" xfId="0" applyFont="1" applyBorder="1" applyAlignment="1">
      <alignment horizontal="center"/>
    </xf>
    <xf numFmtId="2" fontId="0" fillId="0" borderId="0" xfId="0" applyNumberFormat="1"/>
    <xf numFmtId="0" fontId="6" fillId="0" borderId="0" xfId="0" applyFont="1"/>
    <xf numFmtId="0" fontId="0" fillId="0" borderId="3" xfId="0" applyBorder="1"/>
    <xf numFmtId="2" fontId="1" fillId="0" borderId="2" xfId="0" applyNumberFormat="1" applyFont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0" fontId="7" fillId="0" borderId="0" xfId="0" applyFont="1"/>
    <xf numFmtId="1" fontId="3" fillId="2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14" xfId="0" applyBorder="1"/>
    <xf numFmtId="0" fontId="0" fillId="0" borderId="20" xfId="0" applyBorder="1"/>
    <xf numFmtId="2" fontId="5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49" fontId="9" fillId="2" borderId="6" xfId="0" applyNumberFormat="1" applyFont="1" applyFill="1" applyBorder="1" applyAlignment="1"/>
    <xf numFmtId="0" fontId="1" fillId="0" borderId="3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5" xfId="0" applyBorder="1"/>
    <xf numFmtId="0" fontId="1" fillId="0" borderId="13" xfId="0" applyFont="1" applyBorder="1"/>
    <xf numFmtId="0" fontId="4" fillId="0" borderId="0" xfId="0" applyFont="1"/>
    <xf numFmtId="0" fontId="1" fillId="0" borderId="10" xfId="0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30" xfId="0" applyNumberFormat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30" xfId="0" applyBorder="1"/>
    <xf numFmtId="2" fontId="0" fillId="0" borderId="30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33" xfId="0" applyNumberFormat="1" applyBorder="1" applyAlignment="1">
      <alignment horizontal="right"/>
    </xf>
    <xf numFmtId="0" fontId="0" fillId="0" borderId="32" xfId="0" applyBorder="1"/>
    <xf numFmtId="0" fontId="0" fillId="0" borderId="33" xfId="0" applyBorder="1"/>
    <xf numFmtId="2" fontId="1" fillId="0" borderId="14" xfId="0" applyNumberFormat="1" applyFont="1" applyBorder="1"/>
    <xf numFmtId="2" fontId="1" fillId="0" borderId="30" xfId="0" applyNumberFormat="1" applyFont="1" applyBorder="1"/>
    <xf numFmtId="2" fontId="1" fillId="0" borderId="30" xfId="0" applyNumberFormat="1" applyFont="1" applyBorder="1" applyAlignment="1">
      <alignment horizontal="right"/>
    </xf>
    <xf numFmtId="0" fontId="3" fillId="0" borderId="6" xfId="0" applyFont="1" applyBorder="1" applyAlignment="1">
      <alignment wrapText="1"/>
    </xf>
    <xf numFmtId="2" fontId="3" fillId="2" borderId="34" xfId="0" applyNumberFormat="1" applyFont="1" applyFill="1" applyBorder="1" applyAlignment="1">
      <alignment horizontal="center" vertical="center"/>
    </xf>
    <xf numFmtId="0" fontId="3" fillId="0" borderId="41" xfId="0" applyFont="1" applyBorder="1" applyAlignment="1">
      <alignment wrapText="1"/>
    </xf>
    <xf numFmtId="2" fontId="3" fillId="2" borderId="27" xfId="0" applyNumberFormat="1" applyFont="1" applyFill="1" applyBorder="1" applyAlignment="1">
      <alignment horizontal="right"/>
    </xf>
    <xf numFmtId="0" fontId="3" fillId="0" borderId="10" xfId="0" applyFont="1" applyBorder="1"/>
    <xf numFmtId="2" fontId="3" fillId="2" borderId="2" xfId="0" applyNumberFormat="1" applyFont="1" applyFill="1" applyBorder="1" applyAlignment="1">
      <alignment horizontal="center"/>
    </xf>
    <xf numFmtId="1" fontId="3" fillId="2" borderId="30" xfId="0" applyNumberFormat="1" applyFont="1" applyFill="1" applyBorder="1" applyAlignment="1">
      <alignment horizontal="center"/>
    </xf>
    <xf numFmtId="0" fontId="3" fillId="0" borderId="10" xfId="0" applyFont="1" applyBorder="1" applyAlignment="1"/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2" fontId="2" fillId="2" borderId="2" xfId="0" applyNumberFormat="1" applyFont="1" applyFill="1" applyBorder="1"/>
    <xf numFmtId="2" fontId="2" fillId="0" borderId="2" xfId="0" applyNumberFormat="1" applyFont="1" applyBorder="1"/>
    <xf numFmtId="2" fontId="10" fillId="0" borderId="2" xfId="0" applyNumberFormat="1" applyFont="1" applyBorder="1"/>
    <xf numFmtId="0" fontId="10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10" xfId="0" applyFont="1" applyBorder="1"/>
    <xf numFmtId="0" fontId="2" fillId="2" borderId="10" xfId="0" applyFont="1" applyFill="1" applyBorder="1"/>
    <xf numFmtId="0" fontId="2" fillId="0" borderId="10" xfId="0" applyFont="1" applyBorder="1"/>
    <xf numFmtId="0" fontId="3" fillId="2" borderId="38" xfId="0" applyFont="1" applyFill="1" applyBorder="1"/>
    <xf numFmtId="0" fontId="3" fillId="2" borderId="37" xfId="0" applyFont="1" applyFill="1" applyBorder="1"/>
    <xf numFmtId="2" fontId="3" fillId="0" borderId="37" xfId="0" applyNumberFormat="1" applyFont="1" applyBorder="1"/>
    <xf numFmtId="0" fontId="4" fillId="0" borderId="37" xfId="0" applyFont="1" applyBorder="1"/>
    <xf numFmtId="0" fontId="0" fillId="0" borderId="39" xfId="0" applyBorder="1"/>
    <xf numFmtId="0" fontId="0" fillId="0" borderId="0" xfId="0" applyAlignment="1">
      <alignment vertical="center"/>
    </xf>
    <xf numFmtId="0" fontId="1" fillId="0" borderId="2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2" fontId="5" fillId="2" borderId="7" xfId="0" applyNumberFormat="1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5" fillId="0" borderId="10" xfId="0" applyFont="1" applyBorder="1" applyAlignment="1"/>
    <xf numFmtId="0" fontId="5" fillId="0" borderId="32" xfId="0" applyFont="1" applyBorder="1" applyAlignment="1"/>
    <xf numFmtId="2" fontId="5" fillId="0" borderId="61" xfId="0" applyNumberFormat="1" applyFont="1" applyBorder="1" applyAlignment="1">
      <alignment horizontal="right"/>
    </xf>
    <xf numFmtId="164" fontId="0" fillId="0" borderId="0" xfId="0" applyNumberFormat="1"/>
    <xf numFmtId="0" fontId="3" fillId="2" borderId="41" xfId="0" applyFont="1" applyFill="1" applyBorder="1"/>
    <xf numFmtId="0" fontId="3" fillId="2" borderId="27" xfId="0" applyFont="1" applyFill="1" applyBorder="1"/>
    <xf numFmtId="0" fontId="4" fillId="0" borderId="27" xfId="0" applyFont="1" applyBorder="1"/>
    <xf numFmtId="2" fontId="4" fillId="0" borderId="27" xfId="0" applyNumberFormat="1" applyFont="1" applyBorder="1"/>
    <xf numFmtId="0" fontId="0" fillId="0" borderId="40" xfId="0" applyBorder="1"/>
    <xf numFmtId="0" fontId="3" fillId="2" borderId="6" xfId="0" applyFont="1" applyFill="1" applyBorder="1"/>
    <xf numFmtId="0" fontId="3" fillId="2" borderId="7" xfId="0" applyFont="1" applyFill="1" applyBorder="1"/>
    <xf numFmtId="1" fontId="3" fillId="0" borderId="7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0" xfId="0" applyFont="1" applyBorder="1" applyAlignment="1">
      <alignment vertical="center"/>
    </xf>
    <xf numFmtId="0" fontId="1" fillId="0" borderId="35" xfId="0" applyFont="1" applyBorder="1" applyAlignment="1">
      <alignment horizontal="center"/>
    </xf>
    <xf numFmtId="0" fontId="1" fillId="0" borderId="35" xfId="0" applyFont="1" applyBorder="1" applyAlignment="1">
      <alignment horizontal="right"/>
    </xf>
    <xf numFmtId="0" fontId="1" fillId="0" borderId="44" xfId="0" applyFont="1" applyBorder="1" applyAlignment="1">
      <alignment horizontal="right"/>
    </xf>
    <xf numFmtId="2" fontId="1" fillId="0" borderId="36" xfId="0" applyNumberFormat="1" applyFont="1" applyBorder="1" applyAlignment="1">
      <alignment horizontal="right"/>
    </xf>
    <xf numFmtId="0" fontId="0" fillId="0" borderId="35" xfId="0" applyBorder="1" applyAlignment="1">
      <alignment horizontal="right"/>
    </xf>
    <xf numFmtId="0" fontId="0" fillId="0" borderId="44" xfId="0" applyBorder="1" applyAlignment="1">
      <alignment horizontal="right"/>
    </xf>
    <xf numFmtId="0" fontId="0" fillId="0" borderId="0" xfId="0" applyAlignment="1">
      <alignment horizontal="right"/>
    </xf>
    <xf numFmtId="2" fontId="3" fillId="0" borderId="29" xfId="0" applyNumberFormat="1" applyFont="1" applyBorder="1"/>
    <xf numFmtId="2" fontId="3" fillId="0" borderId="53" xfId="0" applyNumberFormat="1" applyFont="1" applyBorder="1"/>
    <xf numFmtId="2" fontId="3" fillId="0" borderId="34" xfId="0" applyNumberFormat="1" applyFont="1" applyBorder="1"/>
    <xf numFmtId="2" fontId="3" fillId="0" borderId="40" xfId="0" applyNumberFormat="1" applyFont="1" applyBorder="1"/>
    <xf numFmtId="2" fontId="3" fillId="0" borderId="30" xfId="0" applyNumberFormat="1" applyFont="1" applyBorder="1"/>
    <xf numFmtId="2" fontId="1" fillId="0" borderId="29" xfId="0" applyNumberFormat="1" applyFont="1" applyBorder="1"/>
    <xf numFmtId="2" fontId="0" fillId="0" borderId="39" xfId="0" applyNumberFormat="1" applyBorder="1"/>
    <xf numFmtId="0" fontId="1" fillId="0" borderId="0" xfId="0" applyFont="1" applyBorder="1" applyAlignment="1">
      <alignment horizontal="left"/>
    </xf>
    <xf numFmtId="2" fontId="3" fillId="0" borderId="42" xfId="0" applyNumberFormat="1" applyFont="1" applyBorder="1"/>
    <xf numFmtId="2" fontId="1" fillId="0" borderId="53" xfId="0" applyNumberFormat="1" applyFont="1" applyBorder="1"/>
    <xf numFmtId="49" fontId="9" fillId="2" borderId="8" xfId="0" applyNumberFormat="1" applyFont="1" applyFill="1" applyBorder="1" applyAlignment="1"/>
    <xf numFmtId="49" fontId="9" fillId="2" borderId="38" xfId="0" applyNumberFormat="1" applyFont="1" applyFill="1" applyBorder="1" applyAlignment="1"/>
    <xf numFmtId="49" fontId="9" fillId="2" borderId="43" xfId="0" applyNumberFormat="1" applyFont="1" applyFill="1" applyBorder="1" applyAlignment="1"/>
    <xf numFmtId="49" fontId="9" fillId="2" borderId="10" xfId="0" applyNumberFormat="1" applyFont="1" applyFill="1" applyBorder="1" applyAlignment="1"/>
    <xf numFmtId="49" fontId="9" fillId="2" borderId="51" xfId="0" applyNumberFormat="1" applyFont="1" applyFill="1" applyBorder="1" applyAlignment="1">
      <alignment horizontal="left"/>
    </xf>
    <xf numFmtId="1" fontId="9" fillId="2" borderId="28" xfId="0" applyNumberFormat="1" applyFont="1" applyFill="1" applyBorder="1" applyAlignment="1">
      <alignment horizontal="center"/>
    </xf>
    <xf numFmtId="1" fontId="9" fillId="2" borderId="9" xfId="0" applyNumberFormat="1" applyFont="1" applyFill="1" applyBorder="1" applyAlignment="1">
      <alignment horizontal="center"/>
    </xf>
    <xf numFmtId="1" fontId="9" fillId="2" borderId="37" xfId="0" applyNumberFormat="1" applyFont="1" applyFill="1" applyBorder="1" applyAlignment="1">
      <alignment horizontal="center"/>
    </xf>
    <xf numFmtId="2" fontId="11" fillId="0" borderId="6" xfId="0" applyNumberFormat="1" applyFont="1" applyFill="1" applyBorder="1" applyAlignment="1">
      <alignment horizontal="center" vertical="center"/>
    </xf>
    <xf numFmtId="0" fontId="13" fillId="0" borderId="40" xfId="0" applyFont="1" applyBorder="1" applyAlignment="1">
      <alignment horizontal="center"/>
    </xf>
    <xf numFmtId="2" fontId="11" fillId="2" borderId="54" xfId="0" applyNumberFormat="1" applyFont="1" applyFill="1" applyBorder="1" applyAlignment="1">
      <alignment horizontal="center"/>
    </xf>
    <xf numFmtId="2" fontId="11" fillId="0" borderId="54" xfId="0" applyNumberFormat="1" applyFont="1" applyBorder="1" applyAlignment="1">
      <alignment horizontal="center"/>
    </xf>
    <xf numFmtId="2" fontId="11" fillId="0" borderId="6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0" borderId="35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/>
    </xf>
    <xf numFmtId="2" fontId="11" fillId="0" borderId="60" xfId="0" applyNumberFormat="1" applyFont="1" applyFill="1" applyBorder="1" applyAlignment="1">
      <alignment horizontal="right" vertical="center"/>
    </xf>
    <xf numFmtId="0" fontId="11" fillId="0" borderId="2" xfId="0" applyFont="1" applyBorder="1" applyAlignment="1">
      <alignment horizontal="center"/>
    </xf>
    <xf numFmtId="2" fontId="5" fillId="0" borderId="34" xfId="0" applyNumberFormat="1" applyFont="1" applyBorder="1" applyAlignment="1">
      <alignment horizontal="right"/>
    </xf>
    <xf numFmtId="1" fontId="11" fillId="2" borderId="54" xfId="0" applyNumberFormat="1" applyFont="1" applyFill="1" applyBorder="1" applyAlignment="1">
      <alignment horizontal="center"/>
    </xf>
    <xf numFmtId="1" fontId="11" fillId="2" borderId="2" xfId="0" applyNumberFormat="1" applyFont="1" applyFill="1" applyBorder="1" applyAlignment="1">
      <alignment horizontal="center"/>
    </xf>
    <xf numFmtId="1" fontId="11" fillId="2" borderId="64" xfId="0" applyNumberFormat="1" applyFont="1" applyFill="1" applyBorder="1" applyAlignment="1">
      <alignment horizontal="center"/>
    </xf>
    <xf numFmtId="1" fontId="11" fillId="2" borderId="27" xfId="0" applyNumberFormat="1" applyFont="1" applyFill="1" applyBorder="1" applyAlignment="1">
      <alignment horizontal="center"/>
    </xf>
    <xf numFmtId="1" fontId="16" fillId="2" borderId="54" xfId="0" applyNumberFormat="1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10" xfId="0" quotePrefix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9" xfId="0" applyBorder="1"/>
    <xf numFmtId="0" fontId="0" fillId="0" borderId="21" xfId="0" applyBorder="1"/>
    <xf numFmtId="0" fontId="3" fillId="0" borderId="0" xfId="0" applyFont="1"/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2" fontId="3" fillId="2" borderId="2" xfId="0" applyNumberFormat="1" applyFont="1" applyFill="1" applyBorder="1" applyAlignment="1">
      <alignment horizontal="right"/>
    </xf>
    <xf numFmtId="2" fontId="3" fillId="2" borderId="7" xfId="0" applyNumberFormat="1" applyFont="1" applyFill="1" applyBorder="1" applyAlignment="1">
      <alignment horizontal="right"/>
    </xf>
    <xf numFmtId="2" fontId="3" fillId="2" borderId="7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right"/>
    </xf>
    <xf numFmtId="2" fontId="3" fillId="2" borderId="3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/>
    <xf numFmtId="0" fontId="0" fillId="0" borderId="57" xfId="0" applyBorder="1"/>
    <xf numFmtId="0" fontId="1" fillId="0" borderId="10" xfId="0" applyFont="1" applyBorder="1"/>
    <xf numFmtId="0" fontId="1" fillId="0" borderId="2" xfId="0" applyFont="1" applyBorder="1"/>
    <xf numFmtId="2" fontId="1" fillId="0" borderId="30" xfId="0" applyNumberFormat="1" applyFont="1" applyBorder="1" applyAlignment="1">
      <alignment horizontal="center"/>
    </xf>
    <xf numFmtId="0" fontId="1" fillId="0" borderId="30" xfId="0" applyFont="1" applyBorder="1"/>
    <xf numFmtId="2" fontId="3" fillId="2" borderId="40" xfId="0" applyNumberFormat="1" applyFont="1" applyFill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27" xfId="0" applyFont="1" applyBorder="1"/>
    <xf numFmtId="0" fontId="2" fillId="0" borderId="27" xfId="0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right"/>
    </xf>
    <xf numFmtId="164" fontId="3" fillId="0" borderId="61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2" fontId="3" fillId="0" borderId="61" xfId="0" applyNumberFormat="1" applyFont="1" applyBorder="1" applyAlignment="1">
      <alignment horizontal="right"/>
    </xf>
    <xf numFmtId="0" fontId="0" fillId="0" borderId="65" xfId="0" applyBorder="1"/>
    <xf numFmtId="2" fontId="0" fillId="0" borderId="30" xfId="0" applyNumberFormat="1" applyBorder="1"/>
    <xf numFmtId="0" fontId="0" fillId="0" borderId="34" xfId="0" applyBorder="1"/>
    <xf numFmtId="0" fontId="2" fillId="8" borderId="6" xfId="0" applyFont="1" applyFill="1" applyBorder="1"/>
    <xf numFmtId="0" fontId="2" fillId="8" borderId="7" xfId="0" applyFont="1" applyFill="1" applyBorder="1"/>
    <xf numFmtId="0" fontId="2" fillId="8" borderId="7" xfId="0" applyFont="1" applyFill="1" applyBorder="1" applyAlignment="1">
      <alignment horizontal="center"/>
    </xf>
    <xf numFmtId="2" fontId="2" fillId="8" borderId="7" xfId="0" applyNumberFormat="1" applyFont="1" applyFill="1" applyBorder="1"/>
    <xf numFmtId="164" fontId="2" fillId="8" borderId="7" xfId="0" applyNumberFormat="1" applyFont="1" applyFill="1" applyBorder="1" applyAlignment="1">
      <alignment horizontal="center"/>
    </xf>
    <xf numFmtId="0" fontId="2" fillId="0" borderId="3" xfId="0" applyFont="1" applyBorder="1"/>
    <xf numFmtId="0" fontId="10" fillId="0" borderId="41" xfId="0" applyFont="1" applyBorder="1"/>
    <xf numFmtId="0" fontId="10" fillId="0" borderId="27" xfId="0" applyFont="1" applyBorder="1" applyAlignment="1">
      <alignment horizontal="center"/>
    </xf>
    <xf numFmtId="2" fontId="10" fillId="0" borderId="27" xfId="0" applyNumberFormat="1" applyFont="1" applyBorder="1"/>
    <xf numFmtId="2" fontId="10" fillId="0" borderId="27" xfId="0" applyNumberFormat="1" applyFont="1" applyBorder="1" applyAlignment="1">
      <alignment horizontal="center"/>
    </xf>
    <xf numFmtId="0" fontId="2" fillId="0" borderId="32" xfId="0" applyFont="1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/>
    <xf numFmtId="2" fontId="2" fillId="0" borderId="3" xfId="0" applyNumberFormat="1" applyFont="1" applyBorder="1" applyAlignment="1">
      <alignment horizontal="center"/>
    </xf>
    <xf numFmtId="2" fontId="2" fillId="8" borderId="7" xfId="0" applyNumberFormat="1" applyFont="1" applyFill="1" applyBorder="1" applyAlignment="1">
      <alignment horizontal="right"/>
    </xf>
    <xf numFmtId="2" fontId="2" fillId="8" borderId="61" xfId="0" applyNumberFormat="1" applyFont="1" applyFill="1" applyBorder="1" applyAlignment="1">
      <alignment horizontal="right"/>
    </xf>
    <xf numFmtId="0" fontId="2" fillId="0" borderId="41" xfId="0" applyFont="1" applyBorder="1"/>
    <xf numFmtId="2" fontId="2" fillId="0" borderId="27" xfId="0" applyNumberFormat="1" applyFont="1" applyBorder="1"/>
    <xf numFmtId="1" fontId="2" fillId="8" borderId="7" xfId="0" applyNumberFormat="1" applyFont="1" applyFill="1" applyBorder="1" applyAlignment="1">
      <alignment horizontal="center"/>
    </xf>
    <xf numFmtId="164" fontId="10" fillId="2" borderId="28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2" fontId="2" fillId="2" borderId="3" xfId="0" applyNumberFormat="1" applyFont="1" applyFill="1" applyBorder="1"/>
    <xf numFmtId="2" fontId="2" fillId="2" borderId="3" xfId="0" applyNumberFormat="1" applyFont="1" applyFill="1" applyBorder="1" applyAlignment="1">
      <alignment horizontal="center"/>
    </xf>
    <xf numFmtId="0" fontId="2" fillId="2" borderId="43" xfId="0" applyFont="1" applyFill="1" applyBorder="1"/>
    <xf numFmtId="0" fontId="2" fillId="0" borderId="28" xfId="0" applyFont="1" applyBorder="1"/>
    <xf numFmtId="0" fontId="2" fillId="0" borderId="28" xfId="0" applyFont="1" applyBorder="1" applyAlignment="1">
      <alignment horizontal="center"/>
    </xf>
    <xf numFmtId="2" fontId="2" fillId="0" borderId="28" xfId="0" applyNumberFormat="1" applyFont="1" applyBorder="1" applyAlignment="1">
      <alignment horizontal="right"/>
    </xf>
    <xf numFmtId="2" fontId="2" fillId="0" borderId="28" xfId="0" applyNumberFormat="1" applyFont="1" applyBorder="1" applyAlignment="1">
      <alignment horizontal="center"/>
    </xf>
    <xf numFmtId="0" fontId="0" fillId="0" borderId="42" xfId="0" applyBorder="1"/>
    <xf numFmtId="0" fontId="2" fillId="0" borderId="37" xfId="0" applyFont="1" applyFill="1" applyBorder="1" applyAlignment="1">
      <alignment horizontal="center" vertical="center"/>
    </xf>
    <xf numFmtId="0" fontId="2" fillId="0" borderId="57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8" borderId="34" xfId="0" applyFill="1" applyBorder="1"/>
    <xf numFmtId="0" fontId="2" fillId="2" borderId="59" xfId="0" applyFont="1" applyFill="1" applyBorder="1" applyAlignment="1">
      <alignment horizontal="center"/>
    </xf>
    <xf numFmtId="0" fontId="2" fillId="8" borderId="58" xfId="0" applyFont="1" applyFill="1" applyBorder="1" applyAlignment="1">
      <alignment horizontal="center"/>
    </xf>
    <xf numFmtId="0" fontId="2" fillId="2" borderId="63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/>
    </xf>
    <xf numFmtId="0" fontId="2" fillId="0" borderId="64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10" fillId="0" borderId="64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3" fillId="2" borderId="58" xfId="0" applyFont="1" applyFill="1" applyBorder="1" applyAlignment="1">
      <alignment horizontal="center"/>
    </xf>
    <xf numFmtId="0" fontId="3" fillId="2" borderId="64" xfId="0" applyFont="1" applyFill="1" applyBorder="1" applyAlignment="1">
      <alignment horizontal="center"/>
    </xf>
    <xf numFmtId="0" fontId="3" fillId="2" borderId="56" xfId="0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10" fillId="2" borderId="2" xfId="0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0" fillId="0" borderId="0" xfId="0" applyAlignment="1"/>
    <xf numFmtId="0" fontId="2" fillId="0" borderId="6" xfId="0" applyFont="1" applyBorder="1" applyAlignment="1"/>
    <xf numFmtId="2" fontId="10" fillId="0" borderId="27" xfId="0" applyNumberFormat="1" applyFont="1" applyBorder="1" applyAlignment="1"/>
    <xf numFmtId="2" fontId="2" fillId="0" borderId="27" xfId="0" applyNumberFormat="1" applyFont="1" applyBorder="1" applyAlignment="1"/>
    <xf numFmtId="0" fontId="2" fillId="0" borderId="10" xfId="0" applyFont="1" applyBorder="1" applyAlignment="1"/>
    <xf numFmtId="2" fontId="2" fillId="0" borderId="10" xfId="0" applyNumberFormat="1" applyFont="1" applyBorder="1" applyAlignment="1"/>
    <xf numFmtId="2" fontId="2" fillId="0" borderId="2" xfId="0" applyNumberFormat="1" applyFont="1" applyBorder="1" applyAlignment="1"/>
    <xf numFmtId="2" fontId="10" fillId="2" borderId="2" xfId="0" applyNumberFormat="1" applyFont="1" applyFill="1" applyBorder="1" applyAlignment="1"/>
    <xf numFmtId="2" fontId="10" fillId="0" borderId="2" xfId="0" applyNumberFormat="1" applyFont="1" applyBorder="1" applyAlignment="1"/>
    <xf numFmtId="0" fontId="2" fillId="2" borderId="10" xfId="0" applyFont="1" applyFill="1" applyBorder="1" applyAlignment="1"/>
    <xf numFmtId="2" fontId="2" fillId="2" borderId="2" xfId="0" applyNumberFormat="1" applyFont="1" applyFill="1" applyBorder="1" applyAlignment="1"/>
    <xf numFmtId="1" fontId="2" fillId="0" borderId="10" xfId="0" applyNumberFormat="1" applyFont="1" applyBorder="1" applyAlignment="1"/>
    <xf numFmtId="2" fontId="2" fillId="2" borderId="10" xfId="0" applyNumberFormat="1" applyFont="1" applyFill="1" applyBorder="1" applyAlignment="1"/>
    <xf numFmtId="2" fontId="2" fillId="0" borderId="2" xfId="1" applyNumberFormat="1" applyFont="1" applyBorder="1" applyAlignment="1">
      <alignment horizontal="right"/>
    </xf>
    <xf numFmtId="0" fontId="2" fillId="8" borderId="10" xfId="0" applyFont="1" applyFill="1" applyBorder="1" applyAlignment="1"/>
    <xf numFmtId="2" fontId="2" fillId="8" borderId="2" xfId="0" applyNumberFormat="1" applyFont="1" applyFill="1" applyBorder="1" applyAlignment="1">
      <alignment horizontal="center"/>
    </xf>
    <xf numFmtId="2" fontId="2" fillId="8" borderId="2" xfId="0" applyNumberFormat="1" applyFont="1" applyFill="1" applyBorder="1" applyAlignment="1">
      <alignment horizontal="right"/>
    </xf>
    <xf numFmtId="2" fontId="10" fillId="8" borderId="2" xfId="0" applyNumberFormat="1" applyFont="1" applyFill="1" applyBorder="1" applyAlignment="1">
      <alignment horizontal="right"/>
    </xf>
    <xf numFmtId="2" fontId="2" fillId="8" borderId="2" xfId="0" applyNumberFormat="1" applyFont="1" applyFill="1" applyBorder="1" applyAlignment="1"/>
    <xf numFmtId="2" fontId="2" fillId="8" borderId="30" xfId="0" applyNumberFormat="1" applyFont="1" applyFill="1" applyBorder="1" applyAlignment="1">
      <alignment horizontal="right"/>
    </xf>
    <xf numFmtId="2" fontId="2" fillId="0" borderId="7" xfId="0" applyNumberFormat="1" applyFont="1" applyBorder="1" applyAlignment="1">
      <alignment horizontal="center"/>
    </xf>
    <xf numFmtId="0" fontId="2" fillId="0" borderId="0" xfId="0" applyFont="1" applyAlignment="1"/>
    <xf numFmtId="2" fontId="2" fillId="0" borderId="40" xfId="0" applyNumberFormat="1" applyFont="1" applyBorder="1" applyAlignment="1">
      <alignment horizontal="right"/>
    </xf>
    <xf numFmtId="2" fontId="2" fillId="0" borderId="30" xfId="0" applyNumberFormat="1" applyFont="1" applyBorder="1" applyAlignment="1">
      <alignment horizontal="right"/>
    </xf>
    <xf numFmtId="165" fontId="0" fillId="0" borderId="0" xfId="0" applyNumberFormat="1"/>
    <xf numFmtId="2" fontId="3" fillId="3" borderId="2" xfId="0" applyNumberFormat="1" applyFont="1" applyFill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" xfId="0" quotePrefix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right"/>
    </xf>
    <xf numFmtId="2" fontId="3" fillId="0" borderId="2" xfId="0" quotePrefix="1" applyNumberFormat="1" applyFont="1" applyBorder="1" applyAlignment="1">
      <alignment horizontal="center"/>
    </xf>
    <xf numFmtId="2" fontId="3" fillId="3" borderId="30" xfId="0" applyNumberFormat="1" applyFont="1" applyFill="1" applyBorder="1" applyAlignment="1">
      <alignment horizontal="right"/>
    </xf>
    <xf numFmtId="1" fontId="3" fillId="0" borderId="2" xfId="0" applyNumberFormat="1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2" borderId="10" xfId="0" quotePrefix="1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2" fontId="3" fillId="2" borderId="2" xfId="0" quotePrefix="1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right"/>
    </xf>
    <xf numFmtId="164" fontId="3" fillId="0" borderId="30" xfId="0" applyNumberFormat="1" applyFont="1" applyBorder="1" applyAlignment="1">
      <alignment horizontal="right"/>
    </xf>
    <xf numFmtId="0" fontId="3" fillId="2" borderId="10" xfId="0" applyFont="1" applyFill="1" applyBorder="1" applyAlignment="1">
      <alignment horizontal="center"/>
    </xf>
    <xf numFmtId="0" fontId="10" fillId="0" borderId="13" xfId="0" applyFont="1" applyBorder="1"/>
    <xf numFmtId="0" fontId="4" fillId="0" borderId="16" xfId="0" applyFont="1" applyBorder="1"/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164" fontId="3" fillId="3" borderId="2" xfId="0" applyNumberFormat="1" applyFont="1" applyFill="1" applyBorder="1" applyAlignment="1">
      <alignment horizontal="center"/>
    </xf>
    <xf numFmtId="2" fontId="3" fillId="0" borderId="2" xfId="0" applyNumberFormat="1" applyFont="1" applyBorder="1" applyAlignment="1"/>
    <xf numFmtId="2" fontId="3" fillId="2" borderId="2" xfId="0" applyNumberFormat="1" applyFont="1" applyFill="1" applyBorder="1" applyAlignment="1"/>
    <xf numFmtId="2" fontId="3" fillId="3" borderId="2" xfId="0" applyNumberFormat="1" applyFont="1" applyFill="1" applyBorder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71" xfId="0" applyFont="1" applyBorder="1"/>
    <xf numFmtId="164" fontId="0" fillId="2" borderId="9" xfId="0" applyNumberFormat="1" applyFont="1" applyFill="1" applyBorder="1" applyAlignment="1">
      <alignment horizontal="right"/>
    </xf>
    <xf numFmtId="164" fontId="0" fillId="2" borderId="37" xfId="0" applyNumberFormat="1" applyFont="1" applyFill="1" applyBorder="1" applyAlignment="1">
      <alignment horizontal="right"/>
    </xf>
    <xf numFmtId="164" fontId="0" fillId="2" borderId="28" xfId="0" applyNumberFormat="1" applyFont="1" applyFill="1" applyBorder="1" applyAlignment="1">
      <alignment horizontal="right"/>
    </xf>
    <xf numFmtId="164" fontId="0" fillId="2" borderId="2" xfId="0" applyNumberFormat="1" applyFont="1" applyFill="1" applyBorder="1" applyAlignment="1">
      <alignment horizontal="right"/>
    </xf>
    <xf numFmtId="164" fontId="0" fillId="0" borderId="7" xfId="0" applyNumberFormat="1" applyFont="1" applyBorder="1" applyAlignment="1">
      <alignment horizontal="right"/>
    </xf>
    <xf numFmtId="164" fontId="4" fillId="0" borderId="29" xfId="0" applyNumberFormat="1" applyFont="1" applyBorder="1"/>
    <xf numFmtId="164" fontId="4" fillId="0" borderId="40" xfId="0" applyNumberFormat="1" applyFont="1" applyBorder="1"/>
    <xf numFmtId="164" fontId="4" fillId="0" borderId="30" xfId="0" applyNumberFormat="1" applyFont="1" applyBorder="1"/>
    <xf numFmtId="49" fontId="20" fillId="0" borderId="6" xfId="0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49" fontId="22" fillId="2" borderId="17" xfId="0" applyNumberFormat="1" applyFont="1" applyFill="1" applyBorder="1" applyAlignment="1">
      <alignment vertical="center"/>
    </xf>
    <xf numFmtId="49" fontId="23" fillId="0" borderId="18" xfId="0" applyNumberFormat="1" applyFont="1" applyBorder="1" applyAlignment="1">
      <alignment vertical="center"/>
    </xf>
    <xf numFmtId="0" fontId="7" fillId="0" borderId="45" xfId="0" applyFont="1" applyBorder="1"/>
    <xf numFmtId="164" fontId="7" fillId="0" borderId="48" xfId="0" applyNumberFormat="1" applyFont="1" applyBorder="1"/>
    <xf numFmtId="49" fontId="23" fillId="0" borderId="17" xfId="0" applyNumberFormat="1" applyFont="1" applyBorder="1" applyAlignment="1">
      <alignment vertical="center"/>
    </xf>
    <xf numFmtId="0" fontId="7" fillId="0" borderId="46" xfId="0" applyFont="1" applyBorder="1"/>
    <xf numFmtId="164" fontId="7" fillId="0" borderId="47" xfId="0" applyNumberFormat="1" applyFont="1" applyBorder="1"/>
    <xf numFmtId="49" fontId="23" fillId="0" borderId="17" xfId="0" applyNumberFormat="1" applyFont="1" applyFill="1" applyBorder="1" applyAlignment="1">
      <alignment vertical="center"/>
    </xf>
    <xf numFmtId="49" fontId="23" fillId="2" borderId="17" xfId="0" applyNumberFormat="1" applyFont="1" applyFill="1" applyBorder="1" applyAlignment="1">
      <alignment vertical="center"/>
    </xf>
    <xf numFmtId="49" fontId="24" fillId="2" borderId="17" xfId="0" applyNumberFormat="1" applyFont="1" applyFill="1" applyBorder="1" applyAlignment="1">
      <alignment vertical="center"/>
    </xf>
    <xf numFmtId="49" fontId="24" fillId="0" borderId="17" xfId="0" applyNumberFormat="1" applyFont="1" applyFill="1" applyBorder="1" applyAlignment="1">
      <alignment vertical="center"/>
    </xf>
    <xf numFmtId="1" fontId="25" fillId="0" borderId="46" xfId="0" applyNumberFormat="1" applyFont="1" applyBorder="1"/>
    <xf numFmtId="2" fontId="7" fillId="0" borderId="46" xfId="0" applyNumberFormat="1" applyFont="1" applyBorder="1"/>
    <xf numFmtId="49" fontId="23" fillId="0" borderId="49" xfId="0" applyNumberFormat="1" applyFont="1" applyFill="1" applyBorder="1" applyAlignment="1">
      <alignment vertical="center"/>
    </xf>
    <xf numFmtId="2" fontId="7" fillId="0" borderId="70" xfId="0" applyNumberFormat="1" applyFont="1" applyBorder="1"/>
    <xf numFmtId="49" fontId="23" fillId="0" borderId="6" xfId="0" applyNumberFormat="1" applyFont="1" applyFill="1" applyBorder="1" applyAlignment="1">
      <alignment vertical="center"/>
    </xf>
    <xf numFmtId="0" fontId="7" fillId="0" borderId="14" xfId="0" applyFont="1" applyBorder="1"/>
    <xf numFmtId="164" fontId="7" fillId="0" borderId="15" xfId="0" applyNumberFormat="1" applyFont="1" applyBorder="1"/>
    <xf numFmtId="0" fontId="26" fillId="0" borderId="0" xfId="0" applyFont="1"/>
    <xf numFmtId="0" fontId="3" fillId="2" borderId="10" xfId="0" applyFont="1" applyFill="1" applyBorder="1"/>
    <xf numFmtId="0" fontId="0" fillId="2" borderId="0" xfId="0" applyFill="1"/>
    <xf numFmtId="2" fontId="0" fillId="2" borderId="0" xfId="0" applyNumberFormat="1" applyFill="1"/>
    <xf numFmtId="2" fontId="3" fillId="0" borderId="27" xfId="0" applyNumberFormat="1" applyFont="1" applyBorder="1" applyAlignment="1"/>
    <xf numFmtId="0" fontId="3" fillId="0" borderId="27" xfId="0" applyFont="1" applyBorder="1" applyAlignment="1">
      <alignment horizontal="center"/>
    </xf>
    <xf numFmtId="0" fontId="3" fillId="0" borderId="27" xfId="0" applyFont="1" applyBorder="1" applyAlignment="1">
      <alignment horizontal="right"/>
    </xf>
    <xf numFmtId="1" fontId="27" fillId="2" borderId="2" xfId="0" applyNumberFormat="1" applyFont="1" applyFill="1" applyBorder="1" applyAlignment="1">
      <alignment horizontal="center"/>
    </xf>
    <xf numFmtId="1" fontId="27" fillId="2" borderId="30" xfId="0" applyNumberFormat="1" applyFont="1" applyFill="1" applyBorder="1" applyAlignment="1">
      <alignment horizontal="center"/>
    </xf>
    <xf numFmtId="0" fontId="4" fillId="2" borderId="0" xfId="0" applyFont="1" applyFill="1"/>
    <xf numFmtId="0" fontId="11" fillId="2" borderId="50" xfId="0" applyFont="1" applyFill="1" applyBorder="1" applyAlignment="1"/>
    <xf numFmtId="0" fontId="11" fillId="2" borderId="68" xfId="0" applyFont="1" applyFill="1" applyBorder="1" applyAlignment="1">
      <alignment horizontal="center"/>
    </xf>
    <xf numFmtId="164" fontId="11" fillId="2" borderId="50" xfId="0" applyNumberFormat="1" applyFont="1" applyFill="1" applyBorder="1"/>
    <xf numFmtId="0" fontId="11" fillId="2" borderId="25" xfId="0" applyFont="1" applyFill="1" applyBorder="1" applyAlignment="1"/>
    <xf numFmtId="0" fontId="11" fillId="2" borderId="17" xfId="0" applyFont="1" applyFill="1" applyBorder="1" applyAlignment="1"/>
    <xf numFmtId="0" fontId="11" fillId="2" borderId="25" xfId="0" applyFont="1" applyFill="1" applyBorder="1" applyAlignment="1">
      <alignment horizontal="center"/>
    </xf>
    <xf numFmtId="164" fontId="11" fillId="2" borderId="17" xfId="0" applyNumberFormat="1" applyFont="1" applyFill="1" applyBorder="1"/>
    <xf numFmtId="0" fontId="11" fillId="2" borderId="26" xfId="0" applyFont="1" applyFill="1" applyBorder="1" applyAlignment="1"/>
    <xf numFmtId="0" fontId="11" fillId="2" borderId="66" xfId="0" applyFont="1" applyFill="1" applyBorder="1" applyAlignment="1">
      <alignment horizontal="center"/>
    </xf>
    <xf numFmtId="164" fontId="11" fillId="2" borderId="18" xfId="0" applyNumberFormat="1" applyFont="1" applyFill="1" applyBorder="1"/>
    <xf numFmtId="0" fontId="11" fillId="2" borderId="68" xfId="0" applyFont="1" applyFill="1" applyBorder="1" applyAlignment="1"/>
    <xf numFmtId="0" fontId="11" fillId="2" borderId="19" xfId="0" applyFont="1" applyFill="1" applyBorder="1" applyAlignment="1"/>
    <xf numFmtId="0" fontId="11" fillId="2" borderId="4" xfId="0" applyFont="1" applyFill="1" applyBorder="1" applyAlignment="1"/>
    <xf numFmtId="0" fontId="11" fillId="2" borderId="1" xfId="0" applyFont="1" applyFill="1" applyBorder="1" applyAlignment="1"/>
    <xf numFmtId="0" fontId="11" fillId="2" borderId="5" xfId="0" applyFont="1" applyFill="1" applyBorder="1" applyAlignment="1">
      <alignment horizontal="center"/>
    </xf>
    <xf numFmtId="0" fontId="11" fillId="2" borderId="16" xfId="0" applyFont="1" applyFill="1" applyBorder="1" applyAlignment="1"/>
    <xf numFmtId="0" fontId="11" fillId="2" borderId="13" xfId="0" applyFont="1" applyFill="1" applyBorder="1" applyAlignment="1">
      <alignment horizontal="center"/>
    </xf>
    <xf numFmtId="0" fontId="11" fillId="2" borderId="74" xfId="0" applyFont="1" applyFill="1" applyBorder="1" applyAlignment="1">
      <alignment horizontal="center"/>
    </xf>
    <xf numFmtId="0" fontId="11" fillId="2" borderId="69" xfId="0" applyFont="1" applyFill="1" applyBorder="1" applyAlignment="1">
      <alignment horizontal="center"/>
    </xf>
    <xf numFmtId="164" fontId="11" fillId="2" borderId="16" xfId="0" applyNumberFormat="1" applyFont="1" applyFill="1" applyBorder="1" applyAlignment="1"/>
    <xf numFmtId="164" fontId="11" fillId="2" borderId="13" xfId="0" applyNumberFormat="1" applyFont="1" applyFill="1" applyBorder="1" applyAlignment="1">
      <alignment horizontal="center"/>
    </xf>
    <xf numFmtId="0" fontId="11" fillId="2" borderId="69" xfId="0" applyFont="1" applyFill="1" applyBorder="1" applyAlignment="1"/>
    <xf numFmtId="0" fontId="11" fillId="2" borderId="13" xfId="0" applyFont="1" applyFill="1" applyBorder="1" applyAlignment="1"/>
    <xf numFmtId="164" fontId="11" fillId="2" borderId="13" xfId="0" applyNumberFormat="1" applyFont="1" applyFill="1" applyBorder="1" applyAlignment="1"/>
    <xf numFmtId="1" fontId="11" fillId="2" borderId="13" xfId="0" applyNumberFormat="1" applyFont="1" applyFill="1" applyBorder="1" applyAlignment="1"/>
    <xf numFmtId="0" fontId="4" fillId="0" borderId="0" xfId="0" applyFont="1" applyAlignment="1">
      <alignment vertical="center"/>
    </xf>
    <xf numFmtId="2" fontId="30" fillId="0" borderId="17" xfId="0" applyNumberFormat="1" applyFont="1" applyBorder="1"/>
    <xf numFmtId="2" fontId="30" fillId="0" borderId="49" xfId="0" applyNumberFormat="1" applyFont="1" applyBorder="1"/>
    <xf numFmtId="2" fontId="30" fillId="0" borderId="18" xfId="0" applyNumberFormat="1" applyFont="1" applyBorder="1"/>
    <xf numFmtId="0" fontId="7" fillId="3" borderId="46" xfId="0" applyFont="1" applyFill="1" applyBorder="1"/>
    <xf numFmtId="2" fontId="7" fillId="3" borderId="17" xfId="0" applyNumberFormat="1" applyFont="1" applyFill="1" applyBorder="1"/>
    <xf numFmtId="0" fontId="2" fillId="0" borderId="31" xfId="0" applyFont="1" applyBorder="1" applyAlignment="1">
      <alignment horizontal="right"/>
    </xf>
    <xf numFmtId="0" fontId="2" fillId="2" borderId="62" xfId="0" applyFont="1" applyFill="1" applyBorder="1" applyAlignment="1">
      <alignment horizontal="right"/>
    </xf>
    <xf numFmtId="0" fontId="2" fillId="0" borderId="65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2" fontId="2" fillId="0" borderId="23" xfId="0" applyNumberFormat="1" applyFont="1" applyBorder="1" applyAlignment="1">
      <alignment horizontal="right"/>
    </xf>
    <xf numFmtId="0" fontId="2" fillId="0" borderId="62" xfId="0" applyFont="1" applyBorder="1" applyAlignment="1">
      <alignment horizontal="right"/>
    </xf>
    <xf numFmtId="2" fontId="2" fillId="0" borderId="65" xfId="0" applyNumberFormat="1" applyFont="1" applyBorder="1" applyAlignment="1">
      <alignment horizontal="right"/>
    </xf>
    <xf numFmtId="0" fontId="10" fillId="0" borderId="65" xfId="0" applyFont="1" applyBorder="1" applyAlignment="1">
      <alignment horizontal="right"/>
    </xf>
    <xf numFmtId="0" fontId="10" fillId="0" borderId="23" xfId="0" applyFont="1" applyBorder="1" applyAlignment="1">
      <alignment horizontal="right"/>
    </xf>
    <xf numFmtId="0" fontId="2" fillId="2" borderId="17" xfId="0" applyFont="1" applyFill="1" applyBorder="1"/>
    <xf numFmtId="2" fontId="2" fillId="0" borderId="34" xfId="0" applyNumberFormat="1" applyFont="1" applyBorder="1" applyAlignment="1">
      <alignment horizontal="center"/>
    </xf>
    <xf numFmtId="0" fontId="4" fillId="0" borderId="40" xfId="0" applyFont="1" applyBorder="1" applyAlignment="1">
      <alignment horizontal="right"/>
    </xf>
    <xf numFmtId="2" fontId="4" fillId="0" borderId="30" xfId="0" applyNumberFormat="1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49" fontId="9" fillId="2" borderId="51" xfId="0" applyNumberFormat="1" applyFont="1" applyFill="1" applyBorder="1" applyAlignment="1"/>
    <xf numFmtId="0" fontId="1" fillId="0" borderId="52" xfId="0" applyFont="1" applyBorder="1" applyAlignment="1">
      <alignment horizontal="center"/>
    </xf>
    <xf numFmtId="1" fontId="1" fillId="0" borderId="5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29" fillId="2" borderId="29" xfId="0" applyNumberFormat="1" applyFont="1" applyFill="1" applyBorder="1" applyAlignment="1">
      <alignment horizontal="right"/>
    </xf>
    <xf numFmtId="164" fontId="29" fillId="2" borderId="39" xfId="0" applyNumberFormat="1" applyFont="1" applyFill="1" applyBorder="1" applyAlignment="1">
      <alignment horizontal="right"/>
    </xf>
    <xf numFmtId="164" fontId="29" fillId="2" borderId="42" xfId="0" applyNumberFormat="1" applyFont="1" applyFill="1" applyBorder="1" applyAlignment="1">
      <alignment horizontal="right"/>
    </xf>
    <xf numFmtId="164" fontId="29" fillId="2" borderId="30" xfId="0" applyNumberFormat="1" applyFont="1" applyFill="1" applyBorder="1" applyAlignment="1">
      <alignment horizontal="right"/>
    </xf>
    <xf numFmtId="164" fontId="3" fillId="0" borderId="53" xfId="0" applyNumberFormat="1" applyFont="1" applyBorder="1" applyAlignment="1">
      <alignment horizontal="right"/>
    </xf>
    <xf numFmtId="164" fontId="4" fillId="0" borderId="14" xfId="0" applyNumberFormat="1" applyFont="1" applyBorder="1" applyAlignment="1">
      <alignment horizontal="right"/>
    </xf>
    <xf numFmtId="164" fontId="4" fillId="0" borderId="16" xfId="0" applyNumberFormat="1" applyFont="1" applyBorder="1" applyAlignment="1">
      <alignment horizontal="right"/>
    </xf>
    <xf numFmtId="0" fontId="28" fillId="2" borderId="18" xfId="0" applyFont="1" applyFill="1" applyBorder="1" applyAlignment="1">
      <alignment horizontal="center"/>
    </xf>
    <xf numFmtId="0" fontId="28" fillId="2" borderId="17" xfId="0" applyFont="1" applyFill="1" applyBorder="1" applyAlignment="1">
      <alignment horizontal="center"/>
    </xf>
    <xf numFmtId="0" fontId="28" fillId="2" borderId="49" xfId="0" applyFont="1" applyFill="1" applyBorder="1" applyAlignment="1">
      <alignment horizontal="center"/>
    </xf>
    <xf numFmtId="0" fontId="28" fillId="2" borderId="50" xfId="0" applyFont="1" applyFill="1" applyBorder="1" applyAlignment="1">
      <alignment horizontal="center"/>
    </xf>
    <xf numFmtId="0" fontId="28" fillId="2" borderId="26" xfId="0" applyFont="1" applyFill="1" applyBorder="1" applyAlignment="1">
      <alignment horizontal="center"/>
    </xf>
    <xf numFmtId="0" fontId="28" fillId="2" borderId="72" xfId="0" applyFont="1" applyFill="1" applyBorder="1" applyAlignment="1">
      <alignment horizontal="center"/>
    </xf>
    <xf numFmtId="0" fontId="28" fillId="0" borderId="67" xfId="0" applyFont="1" applyBorder="1" applyAlignment="1">
      <alignment horizontal="center"/>
    </xf>
    <xf numFmtId="0" fontId="28" fillId="0" borderId="50" xfId="0" applyFont="1" applyBorder="1" applyAlignment="1">
      <alignment horizontal="center"/>
    </xf>
    <xf numFmtId="2" fontId="28" fillId="0" borderId="50" xfId="0" applyNumberFormat="1" applyFont="1" applyBorder="1" applyAlignment="1">
      <alignment horizontal="center"/>
    </xf>
    <xf numFmtId="164" fontId="28" fillId="0" borderId="67" xfId="0" applyNumberFormat="1" applyFont="1" applyBorder="1" applyAlignment="1">
      <alignment horizontal="right"/>
    </xf>
    <xf numFmtId="0" fontId="28" fillId="0" borderId="18" xfId="0" applyFont="1" applyBorder="1" applyAlignment="1">
      <alignment horizontal="center"/>
    </xf>
    <xf numFmtId="0" fontId="28" fillId="0" borderId="72" xfId="0" applyFont="1" applyBorder="1" applyAlignment="1">
      <alignment horizontal="center"/>
    </xf>
    <xf numFmtId="0" fontId="28" fillId="2" borderId="47" xfId="0" quotePrefix="1" applyFont="1" applyFill="1" applyBorder="1" applyAlignment="1">
      <alignment horizontal="center"/>
    </xf>
    <xf numFmtId="164" fontId="28" fillId="0" borderId="46" xfId="0" applyNumberFormat="1" applyFont="1" applyBorder="1" applyAlignment="1">
      <alignment horizontal="right"/>
    </xf>
    <xf numFmtId="0" fontId="28" fillId="0" borderId="17" xfId="0" applyFont="1" applyBorder="1" applyAlignment="1">
      <alignment horizontal="center"/>
    </xf>
    <xf numFmtId="0" fontId="28" fillId="0" borderId="46" xfId="0" applyFont="1" applyBorder="1" applyAlignment="1">
      <alignment horizontal="center"/>
    </xf>
    <xf numFmtId="2" fontId="28" fillId="0" borderId="17" xfId="0" applyNumberFormat="1" applyFont="1" applyBorder="1" applyAlignment="1">
      <alignment horizontal="center"/>
    </xf>
    <xf numFmtId="0" fontId="28" fillId="0" borderId="47" xfId="0" applyFont="1" applyBorder="1" applyAlignment="1">
      <alignment horizontal="center"/>
    </xf>
    <xf numFmtId="0" fontId="28" fillId="2" borderId="47" xfId="0" applyFont="1" applyFill="1" applyBorder="1" applyAlignment="1">
      <alignment horizontal="center"/>
    </xf>
    <xf numFmtId="164" fontId="28" fillId="0" borderId="17" xfId="0" applyNumberFormat="1" applyFont="1" applyBorder="1" applyAlignment="1">
      <alignment horizontal="right"/>
    </xf>
    <xf numFmtId="2" fontId="28" fillId="2" borderId="47" xfId="0" applyNumberFormat="1" applyFont="1" applyFill="1" applyBorder="1" applyAlignment="1">
      <alignment horizontal="right"/>
    </xf>
    <xf numFmtId="2" fontId="28" fillId="0" borderId="46" xfId="0" applyNumberFormat="1" applyFont="1" applyBorder="1" applyAlignment="1">
      <alignment horizontal="center"/>
    </xf>
    <xf numFmtId="2" fontId="28" fillId="2" borderId="47" xfId="0" applyNumberFormat="1" applyFont="1" applyFill="1" applyBorder="1" applyAlignment="1">
      <alignment horizontal="center"/>
    </xf>
    <xf numFmtId="0" fontId="28" fillId="0" borderId="46" xfId="0" applyFont="1" applyBorder="1"/>
    <xf numFmtId="0" fontId="28" fillId="0" borderId="17" xfId="0" applyFont="1" applyBorder="1"/>
    <xf numFmtId="2" fontId="28" fillId="0" borderId="17" xfId="0" applyNumberFormat="1" applyFont="1" applyBorder="1" applyAlignment="1">
      <alignment horizontal="right"/>
    </xf>
    <xf numFmtId="0" fontId="28" fillId="2" borderId="47" xfId="0" applyFont="1" applyFill="1" applyBorder="1" applyAlignment="1">
      <alignment horizontal="left"/>
    </xf>
    <xf numFmtId="2" fontId="28" fillId="0" borderId="46" xfId="0" applyNumberFormat="1" applyFont="1" applyBorder="1" applyAlignment="1">
      <alignment horizontal="right"/>
    </xf>
    <xf numFmtId="2" fontId="28" fillId="0" borderId="17" xfId="0" applyNumberFormat="1" applyFont="1" applyBorder="1" applyAlignment="1"/>
    <xf numFmtId="2" fontId="28" fillId="0" borderId="47" xfId="0" applyNumberFormat="1" applyFont="1" applyBorder="1" applyAlignment="1">
      <alignment horizontal="right"/>
    </xf>
    <xf numFmtId="0" fontId="28" fillId="0" borderId="47" xfId="0" applyFont="1" applyBorder="1"/>
    <xf numFmtId="0" fontId="28" fillId="2" borderId="73" xfId="0" quotePrefix="1" applyFont="1" applyFill="1" applyBorder="1" applyAlignment="1">
      <alignment horizontal="center"/>
    </xf>
    <xf numFmtId="0" fontId="28" fillId="0" borderId="70" xfId="0" applyFont="1" applyBorder="1"/>
    <xf numFmtId="0" fontId="28" fillId="0" borderId="49" xfId="0" applyFont="1" applyBorder="1"/>
    <xf numFmtId="164" fontId="28" fillId="0" borderId="70" xfId="0" applyNumberFormat="1" applyFont="1" applyBorder="1" applyAlignment="1">
      <alignment horizontal="right"/>
    </xf>
    <xf numFmtId="2" fontId="28" fillId="0" borderId="73" xfId="0" applyNumberFormat="1" applyFont="1" applyBorder="1" applyAlignment="1">
      <alignment horizontal="right"/>
    </xf>
    <xf numFmtId="0" fontId="28" fillId="2" borderId="72" xfId="0" quotePrefix="1" applyFont="1" applyFill="1" applyBorder="1" applyAlignment="1">
      <alignment horizontal="center"/>
    </xf>
    <xf numFmtId="2" fontId="28" fillId="0" borderId="67" xfId="0" applyNumberFormat="1" applyFont="1" applyBorder="1" applyAlignment="1">
      <alignment horizontal="right"/>
    </xf>
    <xf numFmtId="0" fontId="28" fillId="0" borderId="50" xfId="0" applyFont="1" applyBorder="1"/>
    <xf numFmtId="0" fontId="28" fillId="0" borderId="67" xfId="0" applyFont="1" applyBorder="1"/>
    <xf numFmtId="2" fontId="28" fillId="0" borderId="72" xfId="0" applyNumberFormat="1" applyFont="1" applyBorder="1" applyAlignment="1">
      <alignment horizontal="right"/>
    </xf>
    <xf numFmtId="0" fontId="28" fillId="2" borderId="46" xfId="0" applyFont="1" applyFill="1" applyBorder="1"/>
    <xf numFmtId="0" fontId="28" fillId="2" borderId="17" xfId="0" applyFont="1" applyFill="1" applyBorder="1"/>
    <xf numFmtId="2" fontId="28" fillId="2" borderId="17" xfId="0" applyNumberFormat="1" applyFont="1" applyFill="1" applyBorder="1" applyAlignment="1"/>
    <xf numFmtId="0" fontId="28" fillId="2" borderId="21" xfId="0" quotePrefix="1" applyFont="1" applyFill="1" applyBorder="1" applyAlignment="1">
      <alignment horizontal="center"/>
    </xf>
    <xf numFmtId="0" fontId="28" fillId="0" borderId="26" xfId="0" applyFont="1" applyBorder="1"/>
    <xf numFmtId="0" fontId="28" fillId="0" borderId="20" xfId="0" applyFont="1" applyBorder="1"/>
    <xf numFmtId="2" fontId="28" fillId="0" borderId="26" xfId="0" applyNumberFormat="1" applyFont="1" applyBorder="1" applyAlignment="1"/>
    <xf numFmtId="0" fontId="28" fillId="0" borderId="21" xfId="0" applyFont="1" applyBorder="1"/>
    <xf numFmtId="164" fontId="28" fillId="0" borderId="50" xfId="0" applyNumberFormat="1" applyFont="1" applyBorder="1" applyAlignment="1">
      <alignment horizontal="right"/>
    </xf>
    <xf numFmtId="0" fontId="28" fillId="0" borderId="72" xfId="0" applyFont="1" applyBorder="1"/>
    <xf numFmtId="0" fontId="28" fillId="2" borderId="48" xfId="0" quotePrefix="1" applyFont="1" applyFill="1" applyBorder="1" applyAlignment="1">
      <alignment horizontal="center"/>
    </xf>
    <xf numFmtId="0" fontId="28" fillId="0" borderId="45" xfId="0" applyFont="1" applyBorder="1"/>
    <xf numFmtId="0" fontId="28" fillId="0" borderId="18" xfId="0" applyFont="1" applyBorder="1"/>
    <xf numFmtId="2" fontId="28" fillId="0" borderId="48" xfId="0" applyNumberFormat="1" applyFont="1" applyBorder="1" applyAlignment="1">
      <alignment horizontal="right"/>
    </xf>
    <xf numFmtId="164" fontId="28" fillId="0" borderId="45" xfId="0" applyNumberFormat="1" applyFont="1" applyBorder="1" applyAlignment="1">
      <alignment horizontal="right"/>
    </xf>
    <xf numFmtId="0" fontId="28" fillId="0" borderId="48" xfId="0" applyFont="1" applyBorder="1"/>
    <xf numFmtId="164" fontId="28" fillId="0" borderId="49" xfId="0" applyNumberFormat="1" applyFont="1" applyBorder="1" applyAlignment="1">
      <alignment horizontal="right"/>
    </xf>
    <xf numFmtId="2" fontId="28" fillId="0" borderId="18" xfId="0" applyNumberFormat="1" applyFont="1" applyBorder="1" applyAlignment="1"/>
    <xf numFmtId="164" fontId="28" fillId="0" borderId="18" xfId="0" applyNumberFormat="1" applyFont="1" applyBorder="1" applyAlignment="1">
      <alignment horizontal="right"/>
    </xf>
    <xf numFmtId="2" fontId="28" fillId="0" borderId="49" xfId="0" applyNumberFormat="1" applyFont="1" applyBorder="1" applyAlignment="1">
      <alignment horizontal="right"/>
    </xf>
    <xf numFmtId="2" fontId="28" fillId="0" borderId="50" xfId="0" applyNumberFormat="1" applyFont="1" applyBorder="1" applyAlignment="1"/>
    <xf numFmtId="0" fontId="28" fillId="0" borderId="73" xfId="0" applyFont="1" applyBorder="1"/>
    <xf numFmtId="0" fontId="28" fillId="2" borderId="18" xfId="0" quotePrefix="1" applyFont="1" applyFill="1" applyBorder="1" applyAlignment="1">
      <alignment horizontal="center"/>
    </xf>
    <xf numFmtId="0" fontId="28" fillId="2" borderId="17" xfId="0" quotePrefix="1" applyFont="1" applyFill="1" applyBorder="1" applyAlignment="1">
      <alignment horizontal="center"/>
    </xf>
    <xf numFmtId="0" fontId="28" fillId="2" borderId="76" xfId="0" applyFont="1" applyFill="1" applyBorder="1" applyAlignment="1">
      <alignment horizontal="center"/>
    </xf>
    <xf numFmtId="0" fontId="28" fillId="2" borderId="49" xfId="0" quotePrefix="1" applyFont="1" applyFill="1" applyBorder="1" applyAlignment="1">
      <alignment horizontal="center"/>
    </xf>
    <xf numFmtId="0" fontId="28" fillId="2" borderId="50" xfId="0" quotePrefix="1" applyFont="1" applyFill="1" applyBorder="1" applyAlignment="1">
      <alignment horizontal="center"/>
    </xf>
    <xf numFmtId="0" fontId="28" fillId="2" borderId="69" xfId="0" applyFont="1" applyFill="1" applyBorder="1" applyAlignment="1">
      <alignment horizontal="center"/>
    </xf>
    <xf numFmtId="0" fontId="28" fillId="2" borderId="68" xfId="0" applyFont="1" applyFill="1" applyBorder="1" applyAlignment="1">
      <alignment horizontal="center"/>
    </xf>
    <xf numFmtId="0" fontId="28" fillId="2" borderId="25" xfId="0" applyFont="1" applyFill="1" applyBorder="1" applyAlignment="1">
      <alignment horizontal="center"/>
    </xf>
    <xf numFmtId="164" fontId="28" fillId="2" borderId="47" xfId="0" applyNumberFormat="1" applyFont="1" applyFill="1" applyBorder="1" applyAlignment="1">
      <alignment horizontal="right"/>
    </xf>
    <xf numFmtId="164" fontId="28" fillId="0" borderId="47" xfId="0" applyNumberFormat="1" applyFont="1" applyBorder="1" applyAlignment="1">
      <alignment horizontal="right"/>
    </xf>
    <xf numFmtId="164" fontId="28" fillId="0" borderId="72" xfId="0" applyNumberFormat="1" applyFont="1" applyBorder="1" applyAlignment="1">
      <alignment horizontal="right"/>
    </xf>
    <xf numFmtId="164" fontId="28" fillId="0" borderId="48" xfId="0" applyNumberFormat="1" applyFont="1" applyBorder="1" applyAlignment="1">
      <alignment horizontal="right"/>
    </xf>
    <xf numFmtId="164" fontId="28" fillId="0" borderId="73" xfId="0" applyNumberFormat="1" applyFont="1" applyBorder="1" applyAlignment="1">
      <alignment horizontal="right"/>
    </xf>
    <xf numFmtId="164" fontId="4" fillId="0" borderId="15" xfId="0" applyNumberFormat="1" applyFont="1" applyBorder="1" applyAlignment="1">
      <alignment horizontal="right"/>
    </xf>
    <xf numFmtId="0" fontId="11" fillId="2" borderId="16" xfId="0" applyFont="1" applyFill="1" applyBorder="1" applyAlignment="1">
      <alignment horizontal="center"/>
    </xf>
    <xf numFmtId="2" fontId="11" fillId="2" borderId="74" xfId="0" applyNumberFormat="1" applyFont="1" applyFill="1" applyBorder="1" applyAlignment="1">
      <alignment horizontal="center"/>
    </xf>
    <xf numFmtId="2" fontId="11" fillId="2" borderId="13" xfId="0" applyNumberFormat="1" applyFont="1" applyFill="1" applyBorder="1" applyAlignment="1"/>
    <xf numFmtId="0" fontId="10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1" fillId="4" borderId="56" xfId="0" applyFont="1" applyFill="1" applyBorder="1" applyAlignment="1">
      <alignment horizontal="center" vertical="center"/>
    </xf>
    <xf numFmtId="0" fontId="31" fillId="4" borderId="37" xfId="0" applyFont="1" applyFill="1" applyBorder="1" applyAlignment="1">
      <alignment horizontal="center" vertical="center"/>
    </xf>
    <xf numFmtId="0" fontId="31" fillId="4" borderId="37" xfId="0" applyFont="1" applyFill="1" applyBorder="1" applyAlignment="1">
      <alignment horizontal="center" vertical="center" wrapText="1"/>
    </xf>
    <xf numFmtId="0" fontId="31" fillId="5" borderId="38" xfId="0" applyFont="1" applyFill="1" applyBorder="1" applyAlignment="1">
      <alignment horizontal="center" vertical="center"/>
    </xf>
    <xf numFmtId="0" fontId="31" fillId="5" borderId="37" xfId="0" applyFont="1" applyFill="1" applyBorder="1" applyAlignment="1">
      <alignment horizontal="center" vertical="center"/>
    </xf>
    <xf numFmtId="0" fontId="31" fillId="5" borderId="37" xfId="0" applyFont="1" applyFill="1" applyBorder="1" applyAlignment="1">
      <alignment horizontal="center" vertical="center" wrapText="1"/>
    </xf>
    <xf numFmtId="0" fontId="31" fillId="6" borderId="38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31" fillId="9" borderId="38" xfId="0" applyFont="1" applyFill="1" applyBorder="1" applyAlignment="1">
      <alignment horizontal="center" vertical="center"/>
    </xf>
    <xf numFmtId="0" fontId="31" fillId="9" borderId="37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/>
    </xf>
    <xf numFmtId="0" fontId="31" fillId="2" borderId="9" xfId="0" applyFont="1" applyFill="1" applyBorder="1" applyAlignment="1">
      <alignment horizontal="center" vertical="center"/>
    </xf>
    <xf numFmtId="0" fontId="31" fillId="2" borderId="9" xfId="0" applyFont="1" applyFill="1" applyBorder="1" applyAlignment="1">
      <alignment horizontal="center" vertical="center" wrapText="1"/>
    </xf>
    <xf numFmtId="0" fontId="31" fillId="2" borderId="64" xfId="0" applyFont="1" applyFill="1" applyBorder="1" applyAlignment="1">
      <alignment horizontal="center" vertical="center"/>
    </xf>
    <xf numFmtId="0" fontId="31" fillId="2" borderId="27" xfId="0" applyFont="1" applyFill="1" applyBorder="1" applyAlignment="1">
      <alignment horizontal="center" vertical="center"/>
    </xf>
    <xf numFmtId="0" fontId="31" fillId="2" borderId="27" xfId="0" applyFont="1" applyFill="1" applyBorder="1" applyAlignment="1">
      <alignment horizontal="center" vertical="center" wrapText="1"/>
    </xf>
    <xf numFmtId="0" fontId="31" fillId="2" borderId="40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 wrapText="1"/>
    </xf>
    <xf numFmtId="0" fontId="31" fillId="2" borderId="30" xfId="0" applyFont="1" applyFill="1" applyBorder="1" applyAlignment="1">
      <alignment horizontal="center" vertical="center" wrapText="1"/>
    </xf>
    <xf numFmtId="0" fontId="31" fillId="2" borderId="54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/>
    </xf>
    <xf numFmtId="0" fontId="3" fillId="3" borderId="10" xfId="0" applyFont="1" applyFill="1" applyBorder="1" applyAlignment="1"/>
    <xf numFmtId="2" fontId="3" fillId="3" borderId="23" xfId="0" applyNumberFormat="1" applyFont="1" applyFill="1" applyBorder="1" applyAlignment="1"/>
    <xf numFmtId="2" fontId="3" fillId="3" borderId="54" xfId="0" applyNumberFormat="1" applyFont="1" applyFill="1" applyBorder="1" applyAlignment="1">
      <alignment horizontal="center"/>
    </xf>
    <xf numFmtId="2" fontId="3" fillId="3" borderId="64" xfId="0" applyNumberFormat="1" applyFont="1" applyFill="1" applyBorder="1" applyAlignment="1">
      <alignment horizontal="center"/>
    </xf>
    <xf numFmtId="164" fontId="3" fillId="3" borderId="27" xfId="0" applyNumberFormat="1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3" fillId="0" borderId="64" xfId="0" quotePrefix="1" applyFont="1" applyBorder="1" applyAlignment="1">
      <alignment horizontal="center"/>
    </xf>
    <xf numFmtId="0" fontId="3" fillId="0" borderId="27" xfId="0" quotePrefix="1" applyFont="1" applyBorder="1" applyAlignment="1">
      <alignment horizontal="center"/>
    </xf>
    <xf numFmtId="1" fontId="3" fillId="0" borderId="41" xfId="0" applyNumberFormat="1" applyFont="1" applyBorder="1" applyAlignment="1">
      <alignment horizontal="center"/>
    </xf>
    <xf numFmtId="1" fontId="3" fillId="0" borderId="27" xfId="0" applyNumberFormat="1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0" xfId="0" applyFont="1" applyBorder="1" applyAlignment="1">
      <alignment horizontal="right"/>
    </xf>
    <xf numFmtId="0" fontId="1" fillId="0" borderId="17" xfId="0" applyFont="1" applyBorder="1" applyAlignment="1">
      <alignment horizontal="center"/>
    </xf>
    <xf numFmtId="0" fontId="3" fillId="0" borderId="54" xfId="0" quotePrefix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10" xfId="0" quotePrefix="1" applyNumberFormat="1" applyFont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54" xfId="0" applyFont="1" applyFill="1" applyBorder="1" applyAlignment="1"/>
    <xf numFmtId="2" fontId="3" fillId="3" borderId="10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54" xfId="0" quotePrefix="1" applyFont="1" applyFill="1" applyBorder="1" applyAlignment="1">
      <alignment horizontal="center"/>
    </xf>
    <xf numFmtId="2" fontId="3" fillId="2" borderId="10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0" fontId="3" fillId="2" borderId="54" xfId="0" applyFont="1" applyFill="1" applyBorder="1" applyAlignment="1"/>
    <xf numFmtId="2" fontId="3" fillId="2" borderId="10" xfId="0" quotePrefix="1" applyNumberFormat="1" applyFont="1" applyFill="1" applyBorder="1" applyAlignment="1">
      <alignment horizontal="center"/>
    </xf>
    <xf numFmtId="0" fontId="3" fillId="0" borderId="54" xfId="0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3" fillId="2" borderId="54" xfId="0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2" fontId="3" fillId="3" borderId="3" xfId="0" applyNumberFormat="1" applyFont="1" applyFill="1" applyBorder="1" applyAlignment="1"/>
    <xf numFmtId="2" fontId="3" fillId="0" borderId="6" xfId="0" applyNumberFormat="1" applyFont="1" applyBorder="1"/>
    <xf numFmtId="2" fontId="3" fillId="0" borderId="7" xfId="0" applyNumberFormat="1" applyFont="1" applyBorder="1" applyAlignment="1">
      <alignment horizontal="center"/>
    </xf>
    <xf numFmtId="2" fontId="3" fillId="0" borderId="34" xfId="0" applyNumberFormat="1" applyFont="1" applyBorder="1" applyAlignment="1">
      <alignment horizontal="right"/>
    </xf>
    <xf numFmtId="2" fontId="3" fillId="3" borderId="40" xfId="0" applyNumberFormat="1" applyFont="1" applyFill="1" applyBorder="1" applyAlignment="1">
      <alignment horizontal="right"/>
    </xf>
    <xf numFmtId="2" fontId="3" fillId="2" borderId="30" xfId="0" applyNumberFormat="1" applyFont="1" applyFill="1" applyBorder="1" applyAlignment="1">
      <alignment horizontal="right"/>
    </xf>
    <xf numFmtId="164" fontId="3" fillId="2" borderId="30" xfId="0" applyNumberFormat="1" applyFont="1" applyFill="1" applyBorder="1" applyAlignment="1">
      <alignment horizontal="right"/>
    </xf>
    <xf numFmtId="0" fontId="3" fillId="0" borderId="16" xfId="0" applyFont="1" applyBorder="1" applyAlignment="1"/>
    <xf numFmtId="0" fontId="3" fillId="0" borderId="58" xfId="0" applyFont="1" applyBorder="1" applyAlignment="1"/>
    <xf numFmtId="2" fontId="3" fillId="0" borderId="58" xfId="0" applyNumberFormat="1" applyFont="1" applyBorder="1"/>
    <xf numFmtId="0" fontId="3" fillId="3" borderId="76" xfId="0" applyFont="1" applyFill="1" applyBorder="1" applyAlignment="1">
      <alignment horizontal="center"/>
    </xf>
    <xf numFmtId="0" fontId="3" fillId="3" borderId="63" xfId="0" applyFont="1" applyFill="1" applyBorder="1" applyAlignment="1"/>
    <xf numFmtId="2" fontId="3" fillId="3" borderId="32" xfId="0" applyNumberFormat="1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right"/>
    </xf>
    <xf numFmtId="0" fontId="3" fillId="3" borderId="32" xfId="0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right"/>
    </xf>
    <xf numFmtId="2" fontId="3" fillId="3" borderId="33" xfId="0" applyNumberFormat="1" applyFont="1" applyFill="1" applyBorder="1" applyAlignment="1">
      <alignment horizontal="right"/>
    </xf>
    <xf numFmtId="0" fontId="3" fillId="2" borderId="16" xfId="0" applyFont="1" applyFill="1" applyBorder="1" applyAlignment="1">
      <alignment horizontal="center"/>
    </xf>
    <xf numFmtId="0" fontId="3" fillId="2" borderId="58" xfId="0" applyFont="1" applyFill="1" applyBorder="1" applyAlignment="1"/>
    <xf numFmtId="164" fontId="3" fillId="2" borderId="7" xfId="0" applyNumberFormat="1" applyFont="1" applyFill="1" applyBorder="1" applyAlignment="1">
      <alignment horizontal="center"/>
    </xf>
    <xf numFmtId="2" fontId="3" fillId="2" borderId="7" xfId="0" applyNumberFormat="1" applyFont="1" applyFill="1" applyBorder="1" applyAlignment="1"/>
    <xf numFmtId="2" fontId="3" fillId="2" borderId="6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right"/>
    </xf>
    <xf numFmtId="0" fontId="3" fillId="2" borderId="6" xfId="0" applyFont="1" applyFill="1" applyBorder="1" applyAlignment="1">
      <alignment horizontal="center"/>
    </xf>
    <xf numFmtId="2" fontId="3" fillId="2" borderId="34" xfId="0" applyNumberFormat="1" applyFont="1" applyFill="1" applyBorder="1" applyAlignment="1">
      <alignment horizontal="right"/>
    </xf>
    <xf numFmtId="0" fontId="3" fillId="0" borderId="16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17" fillId="0" borderId="55" xfId="0" applyFont="1" applyBorder="1"/>
    <xf numFmtId="0" fontId="17" fillId="0" borderId="63" xfId="0" applyFont="1" applyBorder="1"/>
    <xf numFmtId="0" fontId="17" fillId="0" borderId="58" xfId="0" applyFont="1" applyBorder="1"/>
    <xf numFmtId="0" fontId="17" fillId="0" borderId="54" xfId="0" applyFont="1" applyBorder="1"/>
    <xf numFmtId="2" fontId="17" fillId="0" borderId="54" xfId="0" applyNumberFormat="1" applyFont="1" applyBorder="1"/>
    <xf numFmtId="2" fontId="17" fillId="0" borderId="63" xfId="0" applyNumberFormat="1" applyFont="1" applyBorder="1"/>
    <xf numFmtId="0" fontId="17" fillId="0" borderId="64" xfId="0" applyFont="1" applyBorder="1"/>
    <xf numFmtId="2" fontId="17" fillId="0" borderId="56" xfId="0" applyNumberFormat="1" applyFont="1" applyBorder="1"/>
    <xf numFmtId="164" fontId="0" fillId="2" borderId="8" xfId="0" applyNumberFormat="1" applyFont="1" applyFill="1" applyBorder="1" applyAlignment="1">
      <alignment horizontal="right"/>
    </xf>
    <xf numFmtId="164" fontId="0" fillId="2" borderId="27" xfId="0" applyNumberFormat="1" applyFont="1" applyFill="1" applyBorder="1" applyAlignment="1">
      <alignment horizontal="right"/>
    </xf>
    <xf numFmtId="164" fontId="0" fillId="2" borderId="10" xfId="0" applyNumberFormat="1" applyFont="1" applyFill="1" applyBorder="1" applyAlignment="1">
      <alignment horizontal="right"/>
    </xf>
    <xf numFmtId="164" fontId="0" fillId="2" borderId="3" xfId="0" applyNumberFormat="1" applyFont="1" applyFill="1" applyBorder="1" applyAlignment="1">
      <alignment horizontal="right"/>
    </xf>
    <xf numFmtId="164" fontId="4" fillId="0" borderId="33" xfId="0" applyNumberFormat="1" applyFont="1" applyBorder="1"/>
    <xf numFmtId="164" fontId="0" fillId="2" borderId="6" xfId="0" applyNumberFormat="1" applyFont="1" applyFill="1" applyBorder="1" applyAlignment="1">
      <alignment horizontal="right"/>
    </xf>
    <xf numFmtId="2" fontId="17" fillId="0" borderId="58" xfId="0" applyNumberFormat="1" applyFont="1" applyBorder="1"/>
    <xf numFmtId="164" fontId="4" fillId="0" borderId="34" xfId="0" applyNumberFormat="1" applyFont="1" applyBorder="1"/>
    <xf numFmtId="0" fontId="3" fillId="0" borderId="10" xfId="0" applyFont="1" applyBorder="1" applyAlignment="1">
      <alignment horizontal="left" vertical="center" wrapText="1"/>
    </xf>
    <xf numFmtId="0" fontId="3" fillId="2" borderId="10" xfId="0" applyFon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3" fillId="0" borderId="43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38" xfId="0" applyFont="1" applyBorder="1" applyAlignment="1">
      <alignment wrapText="1"/>
    </xf>
    <xf numFmtId="0" fontId="3" fillId="0" borderId="10" xfId="0" applyFont="1" applyBorder="1" applyAlignment="1">
      <alignment vertical="center" wrapText="1"/>
    </xf>
    <xf numFmtId="1" fontId="3" fillId="2" borderId="2" xfId="0" applyNumberFormat="1" applyFont="1" applyFill="1" applyBorder="1" applyAlignment="1">
      <alignment horizontal="right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2" fontId="5" fillId="0" borderId="0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0" fontId="5" fillId="0" borderId="0" xfId="0" applyFont="1"/>
    <xf numFmtId="1" fontId="5" fillId="2" borderId="2" xfId="0" applyNumberFormat="1" applyFont="1" applyFill="1" applyBorder="1" applyAlignment="1">
      <alignment horizontal="center"/>
    </xf>
    <xf numFmtId="2" fontId="5" fillId="0" borderId="30" xfId="0" applyNumberFormat="1" applyFont="1" applyBorder="1" applyAlignment="1">
      <alignment horizontal="right"/>
    </xf>
    <xf numFmtId="0" fontId="5" fillId="2" borderId="10" xfId="0" applyFont="1" applyFill="1" applyBorder="1" applyAlignment="1"/>
    <xf numFmtId="2" fontId="5" fillId="2" borderId="30" xfId="0" applyNumberFormat="1" applyFont="1" applyFill="1" applyBorder="1" applyAlignment="1">
      <alignment horizontal="right"/>
    </xf>
    <xf numFmtId="0" fontId="5" fillId="2" borderId="38" xfId="0" applyFont="1" applyFill="1" applyBorder="1" applyAlignment="1"/>
    <xf numFmtId="0" fontId="5" fillId="2" borderId="37" xfId="0" applyFont="1" applyFill="1" applyBorder="1" applyAlignment="1">
      <alignment horizontal="center"/>
    </xf>
    <xf numFmtId="0" fontId="5" fillId="0" borderId="37" xfId="0" applyFont="1" applyBorder="1" applyAlignment="1">
      <alignment horizontal="center"/>
    </xf>
    <xf numFmtId="2" fontId="5" fillId="2" borderId="37" xfId="0" applyNumberFormat="1" applyFont="1" applyFill="1" applyBorder="1" applyAlignment="1">
      <alignment horizontal="center"/>
    </xf>
    <xf numFmtId="2" fontId="5" fillId="2" borderId="39" xfId="0" applyNumberFormat="1" applyFont="1" applyFill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2" fontId="5" fillId="2" borderId="34" xfId="0" applyNumberFormat="1" applyFont="1" applyFill="1" applyBorder="1" applyAlignment="1">
      <alignment horizontal="center" vertical="center"/>
    </xf>
    <xf numFmtId="2" fontId="28" fillId="0" borderId="50" xfId="0" applyNumberFormat="1" applyFont="1" applyBorder="1" applyAlignment="1">
      <alignment horizontal="right"/>
    </xf>
    <xf numFmtId="164" fontId="28" fillId="0" borderId="26" xfId="0" applyNumberFormat="1" applyFont="1" applyBorder="1" applyAlignment="1">
      <alignment horizontal="right"/>
    </xf>
    <xf numFmtId="164" fontId="28" fillId="2" borderId="17" xfId="0" applyNumberFormat="1" applyFont="1" applyFill="1" applyBorder="1" applyAlignment="1">
      <alignment horizontal="right"/>
    </xf>
    <xf numFmtId="164" fontId="28" fillId="0" borderId="17" xfId="0" applyNumberFormat="1" applyFont="1" applyBorder="1"/>
    <xf numFmtId="164" fontId="28" fillId="0" borderId="67" xfId="0" applyNumberFormat="1" applyFont="1" applyBorder="1"/>
    <xf numFmtId="164" fontId="28" fillId="0" borderId="46" xfId="0" applyNumberFormat="1" applyFont="1" applyBorder="1"/>
    <xf numFmtId="164" fontId="28" fillId="0" borderId="47" xfId="0" applyNumberFormat="1" applyFont="1" applyBorder="1"/>
    <xf numFmtId="1" fontId="5" fillId="0" borderId="0" xfId="0" applyNumberFormat="1" applyFont="1" applyBorder="1" applyAlignment="1">
      <alignment horizontal="center"/>
    </xf>
    <xf numFmtId="0" fontId="6" fillId="2" borderId="0" xfId="0" applyFont="1" applyFill="1"/>
    <xf numFmtId="0" fontId="5" fillId="2" borderId="8" xfId="0" applyFont="1" applyFill="1" applyBorder="1" applyAlignment="1"/>
    <xf numFmtId="0" fontId="5" fillId="2" borderId="9" xfId="0" applyFont="1" applyFill="1" applyBorder="1" applyAlignment="1">
      <alignment horizontal="center"/>
    </xf>
    <xf numFmtId="2" fontId="5" fillId="2" borderId="9" xfId="0" applyNumberFormat="1" applyFont="1" applyFill="1" applyBorder="1" applyAlignment="1">
      <alignment horizontal="center"/>
    </xf>
    <xf numFmtId="2" fontId="5" fillId="2" borderId="29" xfId="0" applyNumberFormat="1" applyFont="1" applyFill="1" applyBorder="1" applyAlignment="1">
      <alignment horizontal="right"/>
    </xf>
    <xf numFmtId="1" fontId="5" fillId="2" borderId="37" xfId="0" applyNumberFormat="1" applyFont="1" applyFill="1" applyBorder="1" applyAlignment="1">
      <alignment horizontal="center"/>
    </xf>
    <xf numFmtId="1" fontId="5" fillId="2" borderId="9" xfId="0" applyNumberFormat="1" applyFont="1" applyFill="1" applyBorder="1" applyAlignment="1">
      <alignment horizontal="center"/>
    </xf>
    <xf numFmtId="0" fontId="5" fillId="2" borderId="51" xfId="0" applyFont="1" applyFill="1" applyBorder="1" applyAlignment="1"/>
    <xf numFmtId="0" fontId="5" fillId="2" borderId="52" xfId="0" applyFont="1" applyFill="1" applyBorder="1" applyAlignment="1">
      <alignment horizontal="center"/>
    </xf>
    <xf numFmtId="0" fontId="5" fillId="0" borderId="52" xfId="0" applyFont="1" applyBorder="1" applyAlignment="1">
      <alignment horizontal="center"/>
    </xf>
    <xf numFmtId="2" fontId="5" fillId="2" borderId="52" xfId="0" applyNumberFormat="1" applyFont="1" applyFill="1" applyBorder="1" applyAlignment="1">
      <alignment horizontal="center"/>
    </xf>
    <xf numFmtId="2" fontId="5" fillId="2" borderId="53" xfId="0" applyNumberFormat="1" applyFont="1" applyFill="1" applyBorder="1" applyAlignment="1">
      <alignment horizontal="right"/>
    </xf>
    <xf numFmtId="2" fontId="11" fillId="0" borderId="64" xfId="0" applyNumberFormat="1" applyFont="1" applyBorder="1" applyAlignment="1">
      <alignment horizontal="center"/>
    </xf>
    <xf numFmtId="2" fontId="15" fillId="2" borderId="54" xfId="0" applyNumberFormat="1" applyFont="1" applyFill="1" applyBorder="1" applyAlignment="1">
      <alignment horizontal="center"/>
    </xf>
    <xf numFmtId="2" fontId="15" fillId="9" borderId="54" xfId="0" applyNumberFormat="1" applyFont="1" applyFill="1" applyBorder="1" applyAlignment="1">
      <alignment horizontal="center"/>
    </xf>
    <xf numFmtId="2" fontId="5" fillId="0" borderId="33" xfId="0" applyNumberFormat="1" applyFont="1" applyBorder="1" applyAlignment="1">
      <alignment horizontal="right"/>
    </xf>
    <xf numFmtId="2" fontId="11" fillId="2" borderId="58" xfId="0" applyNumberFormat="1" applyFont="1" applyFill="1" applyBorder="1" applyAlignment="1">
      <alignment horizontal="center" vertical="center"/>
    </xf>
    <xf numFmtId="0" fontId="11" fillId="2" borderId="58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34" fillId="0" borderId="34" xfId="0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/>
    </xf>
    <xf numFmtId="2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2" fontId="3" fillId="2" borderId="2" xfId="0" applyNumberFormat="1" applyFont="1" applyFill="1" applyBorder="1" applyAlignment="1">
      <alignment horizontal="right" vertical="center"/>
    </xf>
    <xf numFmtId="2" fontId="3" fillId="2" borderId="30" xfId="0" applyNumberFormat="1" applyFont="1" applyFill="1" applyBorder="1" applyAlignment="1">
      <alignment horizontal="right" vertical="center"/>
    </xf>
    <xf numFmtId="0" fontId="4" fillId="2" borderId="28" xfId="0" applyFont="1" applyFill="1" applyBorder="1"/>
    <xf numFmtId="2" fontId="3" fillId="2" borderId="3" xfId="0" applyNumberFormat="1" applyFont="1" applyFill="1" applyBorder="1" applyAlignment="1">
      <alignment horizontal="right"/>
    </xf>
    <xf numFmtId="0" fontId="4" fillId="2" borderId="42" xfId="0" applyFont="1" applyFill="1" applyBorder="1"/>
    <xf numFmtId="0" fontId="4" fillId="2" borderId="9" xfId="0" applyFont="1" applyFill="1" applyBorder="1"/>
    <xf numFmtId="2" fontId="3" fillId="2" borderId="9" xfId="0" applyNumberFormat="1" applyFont="1" applyFill="1" applyBorder="1" applyAlignment="1">
      <alignment horizontal="right"/>
    </xf>
    <xf numFmtId="0" fontId="4" fillId="2" borderId="29" xfId="0" applyFont="1" applyFill="1" applyBorder="1"/>
    <xf numFmtId="0" fontId="4" fillId="2" borderId="37" xfId="0" applyFont="1" applyFill="1" applyBorder="1"/>
    <xf numFmtId="2" fontId="3" fillId="2" borderId="37" xfId="0" applyNumberFormat="1" applyFont="1" applyFill="1" applyBorder="1" applyAlignment="1">
      <alignment horizontal="right"/>
    </xf>
    <xf numFmtId="0" fontId="4" fillId="2" borderId="39" xfId="0" applyFont="1" applyFill="1" applyBorder="1"/>
    <xf numFmtId="2" fontId="4" fillId="0" borderId="39" xfId="0" applyNumberFormat="1" applyFont="1" applyBorder="1" applyAlignment="1">
      <alignment horizontal="right"/>
    </xf>
    <xf numFmtId="0" fontId="2" fillId="0" borderId="35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38" xfId="0" applyFont="1" applyFill="1" applyBorder="1" applyAlignment="1">
      <alignment horizontal="left"/>
    </xf>
    <xf numFmtId="0" fontId="2" fillId="0" borderId="37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41" xfId="0" applyFont="1" applyFill="1" applyBorder="1" applyAlignment="1">
      <alignment horizontal="left"/>
    </xf>
    <xf numFmtId="0" fontId="2" fillId="0" borderId="27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49" fontId="29" fillId="2" borderId="13" xfId="0" applyNumberFormat="1" applyFont="1" applyFill="1" applyBorder="1" applyAlignment="1">
      <alignment horizontal="center" wrapText="1"/>
    </xf>
    <xf numFmtId="49" fontId="29" fillId="2" borderId="14" xfId="0" applyNumberFormat="1" applyFont="1" applyFill="1" applyBorder="1" applyAlignment="1">
      <alignment horizontal="center" wrapText="1"/>
    </xf>
    <xf numFmtId="49" fontId="29" fillId="2" borderId="15" xfId="0" applyNumberFormat="1" applyFont="1" applyFill="1" applyBorder="1" applyAlignment="1">
      <alignment horizontal="center" wrapText="1"/>
    </xf>
    <xf numFmtId="164" fontId="10" fillId="2" borderId="13" xfId="0" applyNumberFormat="1" applyFont="1" applyFill="1" applyBorder="1" applyAlignment="1">
      <alignment horizontal="center"/>
    </xf>
    <xf numFmtId="164" fontId="10" fillId="2" borderId="14" xfId="0" applyNumberFormat="1" applyFont="1" applyFill="1" applyBorder="1" applyAlignment="1">
      <alignment horizontal="center"/>
    </xf>
    <xf numFmtId="164" fontId="10" fillId="2" borderId="15" xfId="0" applyNumberFormat="1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74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75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74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75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0" fillId="0" borderId="26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1" fillId="2" borderId="4" xfId="0" applyFont="1" applyFill="1" applyBorder="1" applyAlignment="1">
      <alignment vertical="center"/>
    </xf>
    <xf numFmtId="0" fontId="11" fillId="2" borderId="26" xfId="0" applyFont="1" applyFill="1" applyBorder="1" applyAlignment="1">
      <alignment vertical="center"/>
    </xf>
    <xf numFmtId="0" fontId="31" fillId="7" borderId="8" xfId="0" applyFont="1" applyFill="1" applyBorder="1" applyAlignment="1">
      <alignment horizontal="center" vertical="center" wrapText="1"/>
    </xf>
    <xf numFmtId="0" fontId="31" fillId="7" borderId="9" xfId="0" applyFont="1" applyFill="1" applyBorder="1" applyAlignment="1">
      <alignment horizontal="center" vertical="center" wrapText="1"/>
    </xf>
    <xf numFmtId="0" fontId="31" fillId="7" borderId="29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31" fillId="4" borderId="67" xfId="0" applyFont="1" applyFill="1" applyBorder="1" applyAlignment="1">
      <alignment horizontal="center" vertical="center"/>
    </xf>
    <xf numFmtId="0" fontId="31" fillId="5" borderId="68" xfId="0" applyFont="1" applyFill="1" applyBorder="1" applyAlignment="1">
      <alignment horizontal="center" vertical="center"/>
    </xf>
    <xf numFmtId="0" fontId="31" fillId="5" borderId="67" xfId="0" applyFont="1" applyFill="1" applyBorder="1" applyAlignment="1">
      <alignment horizontal="center" vertical="center"/>
    </xf>
    <xf numFmtId="0" fontId="31" fillId="6" borderId="8" xfId="0" applyFont="1" applyFill="1" applyBorder="1" applyAlignment="1">
      <alignment horizontal="center" vertical="center"/>
    </xf>
    <xf numFmtId="0" fontId="31" fillId="6" borderId="9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45" xfId="0" applyFont="1" applyBorder="1" applyAlignment="1">
      <alignment horizontal="center"/>
    </xf>
    <xf numFmtId="49" fontId="20" fillId="0" borderId="20" xfId="0" applyNumberFormat="1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31" fillId="9" borderId="14" xfId="0" applyFont="1" applyFill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33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RIGENAL%20TEA%20INPUT%20&amp;%20BLEND%20OUTPUT%20SYESTEM-%202020-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ARGIN TEA AC-2020-21"/>
      <sheetName val="ARRIVEL-2020-21"/>
      <sheetName val="BLEND PAPER USED-2020-21"/>
    </sheetNames>
    <sheetDataSet>
      <sheetData sheetId="0">
        <row r="3689">
          <cell r="G3689">
            <v>666070.90000000538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K133"/>
  <sheetViews>
    <sheetView zoomScaleNormal="100" workbookViewId="0">
      <pane ySplit="5" topLeftCell="A80" activePane="bottomLeft" state="frozen"/>
      <selection pane="bottomLeft" activeCell="G121" sqref="G121"/>
    </sheetView>
  </sheetViews>
  <sheetFormatPr defaultRowHeight="15"/>
  <cols>
    <col min="1" max="1" width="11" customWidth="1"/>
    <col min="2" max="2" width="11" style="1" customWidth="1"/>
    <col min="3" max="3" width="21.85546875" bestFit="1" customWidth="1"/>
    <col min="4" max="4" width="11.5703125" customWidth="1"/>
    <col min="5" max="5" width="12.42578125" customWidth="1"/>
    <col min="6" max="6" width="6.42578125" bestFit="1" customWidth="1"/>
    <col min="7" max="7" width="8.140625" bestFit="1" customWidth="1"/>
    <col min="8" max="9" width="9.5703125" bestFit="1" customWidth="1"/>
    <col min="10" max="10" width="12.7109375" customWidth="1"/>
    <col min="11" max="11" width="13.28515625" customWidth="1"/>
  </cols>
  <sheetData>
    <row r="1" spans="1:8">
      <c r="A1" s="3" t="s">
        <v>801</v>
      </c>
      <c r="B1" s="169"/>
      <c r="C1" s="3"/>
      <c r="D1" s="3"/>
      <c r="E1" s="3"/>
      <c r="F1" s="3"/>
    </row>
    <row r="2" spans="1:8">
      <c r="A2" s="3" t="s">
        <v>617</v>
      </c>
      <c r="B2" s="169"/>
      <c r="C2" s="13"/>
      <c r="D2" s="13"/>
      <c r="E2" s="3"/>
      <c r="F2" s="3"/>
    </row>
    <row r="3" spans="1:8" ht="15.75" thickBot="1">
      <c r="A3" s="3" t="s">
        <v>1197</v>
      </c>
      <c r="B3" s="169"/>
    </row>
    <row r="4" spans="1:8" s="217" customFormat="1">
      <c r="A4" s="653" t="s">
        <v>371</v>
      </c>
      <c r="B4" s="661" t="s">
        <v>798</v>
      </c>
      <c r="C4" s="655" t="s">
        <v>372</v>
      </c>
      <c r="D4" s="657" t="s">
        <v>3</v>
      </c>
      <c r="E4" s="657" t="s">
        <v>54</v>
      </c>
      <c r="F4" s="659" t="s">
        <v>374</v>
      </c>
      <c r="G4" s="660"/>
      <c r="H4" s="651" t="s">
        <v>799</v>
      </c>
    </row>
    <row r="5" spans="1:8" s="217" customFormat="1" ht="15.75" thickBot="1">
      <c r="A5" s="654"/>
      <c r="B5" s="662"/>
      <c r="C5" s="656"/>
      <c r="D5" s="658"/>
      <c r="E5" s="658"/>
      <c r="F5" s="215" t="s">
        <v>3</v>
      </c>
      <c r="G5" s="216" t="s">
        <v>373</v>
      </c>
      <c r="H5" s="652"/>
    </row>
    <row r="6" spans="1:8" ht="15.75" thickBot="1">
      <c r="A6" s="209" t="s">
        <v>370</v>
      </c>
      <c r="B6" s="219"/>
      <c r="C6" s="210"/>
      <c r="D6" s="211"/>
      <c r="E6" s="212"/>
      <c r="F6" s="213"/>
      <c r="G6" s="363"/>
      <c r="H6" s="214"/>
    </row>
    <row r="7" spans="1:8" ht="15.75" thickBot="1">
      <c r="A7" s="186" t="s">
        <v>56</v>
      </c>
      <c r="B7" s="220"/>
      <c r="C7" s="187"/>
      <c r="D7" s="204">
        <f>SUM(D6:D6)</f>
        <v>0</v>
      </c>
      <c r="E7" s="200">
        <f>SUM(E6:E6)</f>
        <v>0</v>
      </c>
      <c r="F7" s="190">
        <v>0</v>
      </c>
      <c r="G7" s="201">
        <f>SUM(G6:G6)</f>
        <v>0</v>
      </c>
      <c r="H7" s="218"/>
    </row>
    <row r="8" spans="1:8" ht="15.75" thickBot="1">
      <c r="A8" s="209" t="s">
        <v>370</v>
      </c>
      <c r="B8" s="221"/>
      <c r="C8" s="191"/>
      <c r="D8" s="206"/>
      <c r="E8" s="207"/>
      <c r="F8" s="208"/>
      <c r="G8" s="364"/>
      <c r="H8" s="39"/>
    </row>
    <row r="9" spans="1:8" ht="15.75" thickBot="1">
      <c r="A9" s="186" t="s">
        <v>57</v>
      </c>
      <c r="B9" s="220"/>
      <c r="C9" s="187"/>
      <c r="D9" s="204">
        <f>SUM(D8:D8)</f>
        <v>0</v>
      </c>
      <c r="E9" s="200">
        <f>SUM(E8:E8)</f>
        <v>0</v>
      </c>
      <c r="F9" s="204">
        <f>SUM(F8:F8)</f>
        <v>0</v>
      </c>
      <c r="G9" s="200">
        <f>SUM(G8:G8)</f>
        <v>0</v>
      </c>
      <c r="H9" s="218"/>
    </row>
    <row r="10" spans="1:8" ht="15.75" thickBot="1">
      <c r="A10" s="209" t="s">
        <v>370</v>
      </c>
      <c r="B10" s="221"/>
      <c r="C10" s="191"/>
      <c r="D10" s="206"/>
      <c r="E10" s="207"/>
      <c r="F10" s="208"/>
      <c r="G10" s="364"/>
      <c r="H10" s="39"/>
    </row>
    <row r="11" spans="1:8" ht="15.75" thickBot="1">
      <c r="A11" s="186" t="s">
        <v>58</v>
      </c>
      <c r="B11" s="220"/>
      <c r="C11" s="187"/>
      <c r="D11" s="204">
        <f>SUM(D10:D10)</f>
        <v>0</v>
      </c>
      <c r="E11" s="200">
        <f>SUM(E10:E10)</f>
        <v>0</v>
      </c>
      <c r="F11" s="204">
        <f>SUM(F10:F10)</f>
        <v>0</v>
      </c>
      <c r="G11" s="200">
        <f>SUM(G10:G10)</f>
        <v>0</v>
      </c>
      <c r="H11" s="218"/>
    </row>
    <row r="12" spans="1:8">
      <c r="A12" s="202" t="s">
        <v>912</v>
      </c>
      <c r="B12" s="223" t="s">
        <v>9</v>
      </c>
      <c r="C12" s="55" t="s">
        <v>1073</v>
      </c>
      <c r="D12" s="171">
        <f>208+170+130</f>
        <v>508</v>
      </c>
      <c r="E12" s="203">
        <f>6313.6+2600+1820+3380</f>
        <v>14113.6</v>
      </c>
      <c r="F12" s="172"/>
      <c r="G12" s="365"/>
      <c r="H12" s="85"/>
    </row>
    <row r="13" spans="1:8">
      <c r="A13" s="64" t="s">
        <v>1074</v>
      </c>
      <c r="B13" s="224" t="s">
        <v>9</v>
      </c>
      <c r="C13" s="55" t="s">
        <v>1075</v>
      </c>
      <c r="D13" s="59">
        <f>401+135+40</f>
        <v>576</v>
      </c>
      <c r="E13" s="57">
        <f>13069.6+3510+1400</f>
        <v>17979.599999999999</v>
      </c>
      <c r="F13" s="173"/>
      <c r="G13" s="366"/>
      <c r="H13" s="32"/>
    </row>
    <row r="14" spans="1:8">
      <c r="A14" s="64" t="s">
        <v>915</v>
      </c>
      <c r="B14" s="224" t="s">
        <v>9</v>
      </c>
      <c r="C14" s="55" t="s">
        <v>1076</v>
      </c>
      <c r="D14" s="54">
        <f>80+613</f>
        <v>693</v>
      </c>
      <c r="E14" s="57">
        <f>2400+20066</f>
        <v>22466</v>
      </c>
      <c r="F14" s="173"/>
      <c r="G14" s="366"/>
      <c r="H14" s="32"/>
    </row>
    <row r="15" spans="1:8">
      <c r="A15" s="64" t="s">
        <v>917</v>
      </c>
      <c r="B15" s="224" t="s">
        <v>9</v>
      </c>
      <c r="C15" s="55" t="s">
        <v>1077</v>
      </c>
      <c r="D15" s="54">
        <f>50+20+30+22+25+20+125</f>
        <v>292</v>
      </c>
      <c r="E15" s="57">
        <f>1750+4095+3430</f>
        <v>9275</v>
      </c>
      <c r="F15" s="173"/>
      <c r="G15" s="366"/>
      <c r="H15" s="32"/>
    </row>
    <row r="16" spans="1:8">
      <c r="A16" s="64" t="s">
        <v>918</v>
      </c>
      <c r="B16" s="224" t="s">
        <v>150</v>
      </c>
      <c r="C16" s="55" t="s">
        <v>1078</v>
      </c>
      <c r="D16" s="54">
        <v>160</v>
      </c>
      <c r="E16" s="57">
        <v>4253.6000000000004</v>
      </c>
      <c r="F16" s="173"/>
      <c r="G16" s="366"/>
      <c r="H16" s="32"/>
    </row>
    <row r="17" spans="1:8">
      <c r="A17" s="64" t="s">
        <v>1079</v>
      </c>
      <c r="B17" s="224" t="s">
        <v>9</v>
      </c>
      <c r="C17" s="55" t="s">
        <v>1080</v>
      </c>
      <c r="D17" s="54">
        <v>627</v>
      </c>
      <c r="E17" s="57">
        <v>19819.8</v>
      </c>
      <c r="F17" s="173"/>
      <c r="G17" s="366"/>
      <c r="H17" s="32"/>
    </row>
    <row r="18" spans="1:8">
      <c r="A18" s="64" t="s">
        <v>921</v>
      </c>
      <c r="B18" s="224" t="s">
        <v>9</v>
      </c>
      <c r="C18" s="55" t="s">
        <v>1081</v>
      </c>
      <c r="D18" s="54">
        <v>642</v>
      </c>
      <c r="E18" s="57">
        <v>19930.8</v>
      </c>
      <c r="F18" s="173"/>
      <c r="G18" s="366"/>
      <c r="H18" s="184"/>
    </row>
    <row r="19" spans="1:8" ht="15.75" thickBot="1">
      <c r="A19" s="64" t="s">
        <v>923</v>
      </c>
      <c r="B19" s="224" t="s">
        <v>9</v>
      </c>
      <c r="C19" s="55" t="s">
        <v>1082</v>
      </c>
      <c r="D19" s="54">
        <v>592</v>
      </c>
      <c r="E19" s="57">
        <v>19494.599999999999</v>
      </c>
      <c r="F19" s="173"/>
      <c r="G19" s="366"/>
      <c r="H19" s="32"/>
    </row>
    <row r="20" spans="1:8" ht="15.75" thickBot="1">
      <c r="A20" s="186" t="s">
        <v>59</v>
      </c>
      <c r="B20" s="220"/>
      <c r="C20" s="187"/>
      <c r="D20" s="204">
        <f>SUM(D12:D19)</f>
        <v>4090</v>
      </c>
      <c r="E20" s="200">
        <f>SUM(E12:E19)</f>
        <v>127333</v>
      </c>
      <c r="F20" s="204">
        <f>SUM(F12:F19)</f>
        <v>0</v>
      </c>
      <c r="G20" s="200">
        <f>SUM(G12:G19)</f>
        <v>0</v>
      </c>
      <c r="H20" s="218"/>
    </row>
    <row r="21" spans="1:8">
      <c r="A21" s="202" t="s">
        <v>925</v>
      </c>
      <c r="B21" s="223" t="s">
        <v>9</v>
      </c>
      <c r="C21" s="55" t="s">
        <v>1083</v>
      </c>
      <c r="D21" s="171">
        <f>155+140+60+160+95</f>
        <v>610</v>
      </c>
      <c r="E21" s="203">
        <f>4495+4200+1800+5600+2470</f>
        <v>18565</v>
      </c>
      <c r="F21" s="172"/>
      <c r="G21" s="365"/>
      <c r="H21" s="85"/>
    </row>
    <row r="22" spans="1:8">
      <c r="A22" s="202" t="s">
        <v>925</v>
      </c>
      <c r="B22" s="224" t="s">
        <v>150</v>
      </c>
      <c r="C22" s="55" t="s">
        <v>1084</v>
      </c>
      <c r="D22" s="54">
        <v>207</v>
      </c>
      <c r="E22" s="58">
        <v>4560.1000000000004</v>
      </c>
      <c r="F22" s="175"/>
      <c r="G22" s="366"/>
      <c r="H22" s="32"/>
    </row>
    <row r="23" spans="1:8">
      <c r="A23" s="63" t="s">
        <v>929</v>
      </c>
      <c r="B23" s="222" t="s">
        <v>9</v>
      </c>
      <c r="C23" s="55" t="s">
        <v>1085</v>
      </c>
      <c r="D23" s="176">
        <v>624</v>
      </c>
      <c r="E23" s="56">
        <v>20483.400000000001</v>
      </c>
      <c r="F23" s="174"/>
      <c r="G23" s="366"/>
      <c r="H23" s="32"/>
    </row>
    <row r="24" spans="1:8">
      <c r="A24" s="64" t="s">
        <v>931</v>
      </c>
      <c r="B24" s="224" t="s">
        <v>9</v>
      </c>
      <c r="C24" s="55" t="s">
        <v>1086</v>
      </c>
      <c r="D24" s="54">
        <v>609</v>
      </c>
      <c r="E24" s="57">
        <v>20548.2</v>
      </c>
      <c r="F24" s="173"/>
      <c r="G24" s="366"/>
      <c r="H24" s="32"/>
    </row>
    <row r="25" spans="1:8">
      <c r="A25" s="64" t="s">
        <v>931</v>
      </c>
      <c r="B25" s="224" t="s">
        <v>150</v>
      </c>
      <c r="C25" s="55" t="s">
        <v>1087</v>
      </c>
      <c r="D25" s="54">
        <v>120</v>
      </c>
      <c r="E25" s="57">
        <v>4200</v>
      </c>
      <c r="F25" s="173"/>
      <c r="G25" s="366"/>
      <c r="H25" s="32"/>
    </row>
    <row r="26" spans="1:8">
      <c r="A26" s="64" t="s">
        <v>934</v>
      </c>
      <c r="B26" s="224" t="s">
        <v>9</v>
      </c>
      <c r="C26" s="55" t="s">
        <v>1088</v>
      </c>
      <c r="D26" s="54">
        <f>150+285+155</f>
        <v>590</v>
      </c>
      <c r="E26" s="57">
        <f>3900+9132.6+4650</f>
        <v>17682.599999999999</v>
      </c>
      <c r="F26" s="173"/>
      <c r="G26" s="366"/>
      <c r="H26" s="32"/>
    </row>
    <row r="27" spans="1:8">
      <c r="A27" s="64" t="s">
        <v>937</v>
      </c>
      <c r="B27" s="224" t="s">
        <v>9</v>
      </c>
      <c r="C27" s="55" t="s">
        <v>1089</v>
      </c>
      <c r="D27" s="54">
        <v>601</v>
      </c>
      <c r="E27" s="57">
        <v>20507</v>
      </c>
      <c r="F27" s="173"/>
      <c r="G27" s="366"/>
      <c r="H27" s="32"/>
    </row>
    <row r="28" spans="1:8">
      <c r="A28" s="64" t="s">
        <v>938</v>
      </c>
      <c r="B28" s="224" t="s">
        <v>9</v>
      </c>
      <c r="C28" s="55" t="s">
        <v>1090</v>
      </c>
      <c r="D28" s="54">
        <v>500</v>
      </c>
      <c r="E28" s="58">
        <v>16809.2</v>
      </c>
      <c r="F28" s="175"/>
      <c r="G28" s="366"/>
      <c r="H28" s="32"/>
    </row>
    <row r="29" spans="1:8">
      <c r="A29" s="64" t="s">
        <v>939</v>
      </c>
      <c r="B29" s="224" t="s">
        <v>9</v>
      </c>
      <c r="C29" s="55" t="s">
        <v>1091</v>
      </c>
      <c r="D29" s="54">
        <v>515</v>
      </c>
      <c r="E29" s="57">
        <v>18306</v>
      </c>
      <c r="F29" s="173"/>
      <c r="G29" s="366"/>
      <c r="H29" s="32"/>
    </row>
    <row r="30" spans="1:8">
      <c r="A30" s="64" t="s">
        <v>940</v>
      </c>
      <c r="B30" s="224" t="s">
        <v>9</v>
      </c>
      <c r="C30" s="55" t="s">
        <v>1092</v>
      </c>
      <c r="D30" s="54">
        <v>515</v>
      </c>
      <c r="E30" s="57">
        <v>17575.599999999999</v>
      </c>
      <c r="F30" s="173"/>
      <c r="G30" s="366"/>
      <c r="H30" s="32"/>
    </row>
    <row r="31" spans="1:8">
      <c r="A31" s="64" t="s">
        <v>1093</v>
      </c>
      <c r="B31" s="224" t="s">
        <v>9</v>
      </c>
      <c r="C31" s="55" t="s">
        <v>1094</v>
      </c>
      <c r="D31" s="54">
        <v>651</v>
      </c>
      <c r="E31" s="57">
        <v>20914.8</v>
      </c>
      <c r="F31" s="173"/>
      <c r="G31" s="366"/>
      <c r="H31" s="32"/>
    </row>
    <row r="32" spans="1:8">
      <c r="A32" s="64" t="s">
        <v>941</v>
      </c>
      <c r="B32" s="224" t="s">
        <v>9</v>
      </c>
      <c r="C32" s="55" t="s">
        <v>1095</v>
      </c>
      <c r="D32" s="54">
        <f>100+80+40+135</f>
        <v>355</v>
      </c>
      <c r="E32" s="57">
        <f>2350+2800+1520+4050</f>
        <v>10720</v>
      </c>
      <c r="F32" s="173"/>
      <c r="G32" s="366"/>
      <c r="H32" s="32"/>
    </row>
    <row r="33" spans="1:10" ht="15.75" thickBot="1">
      <c r="A33" s="64" t="s">
        <v>946</v>
      </c>
      <c r="B33" s="224" t="s">
        <v>9</v>
      </c>
      <c r="C33" s="55" t="s">
        <v>1096</v>
      </c>
      <c r="D33" s="54">
        <v>627</v>
      </c>
      <c r="E33" s="57">
        <v>21046</v>
      </c>
      <c r="F33" s="173"/>
      <c r="G33" s="366"/>
      <c r="H33" s="184"/>
    </row>
    <row r="34" spans="1:10" ht="15.75" thickBot="1">
      <c r="A34" s="186" t="s">
        <v>61</v>
      </c>
      <c r="B34" s="220"/>
      <c r="C34" s="187"/>
      <c r="D34" s="204">
        <f>SUM(D21:D33)</f>
        <v>6524</v>
      </c>
      <c r="E34" s="200">
        <f>SUM(E21:E33)</f>
        <v>211917.9</v>
      </c>
      <c r="F34" s="204">
        <f>SUM(F21:F33)</f>
        <v>0</v>
      </c>
      <c r="G34" s="200">
        <f>SUM(G21:G33)</f>
        <v>0</v>
      </c>
      <c r="H34" s="218"/>
    </row>
    <row r="35" spans="1:10">
      <c r="A35" s="645" t="s">
        <v>948</v>
      </c>
      <c r="B35" s="223" t="s">
        <v>150</v>
      </c>
      <c r="C35" s="647" t="s">
        <v>1097</v>
      </c>
      <c r="D35" s="171">
        <f>205</f>
        <v>205</v>
      </c>
      <c r="E35" s="203">
        <f>4368.8</f>
        <v>4368.8</v>
      </c>
      <c r="F35" s="172"/>
      <c r="G35" s="365"/>
      <c r="H35" s="85"/>
    </row>
    <row r="36" spans="1:10">
      <c r="A36" s="646"/>
      <c r="B36" s="223" t="s">
        <v>9</v>
      </c>
      <c r="C36" s="648"/>
      <c r="D36" s="171">
        <f>150+70</f>
        <v>220</v>
      </c>
      <c r="E36" s="203">
        <f>4500+2100</f>
        <v>6600</v>
      </c>
      <c r="F36" s="172"/>
      <c r="G36" s="365"/>
      <c r="H36" s="85"/>
    </row>
    <row r="37" spans="1:10">
      <c r="A37" s="64" t="s">
        <v>948</v>
      </c>
      <c r="B37" s="224" t="s">
        <v>150</v>
      </c>
      <c r="C37" s="55" t="s">
        <v>1098</v>
      </c>
      <c r="D37" s="54">
        <f>67+628</f>
        <v>695</v>
      </c>
      <c r="E37" s="57">
        <f>2430.8+22036.7</f>
        <v>24467.5</v>
      </c>
      <c r="F37" s="173"/>
      <c r="G37" s="366"/>
      <c r="H37" s="32"/>
    </row>
    <row r="38" spans="1:10">
      <c r="A38" s="64" t="s">
        <v>1099</v>
      </c>
      <c r="B38" s="224" t="s">
        <v>9</v>
      </c>
      <c r="C38" s="55" t="s">
        <v>1100</v>
      </c>
      <c r="D38" s="54">
        <f>305+180+165</f>
        <v>650</v>
      </c>
      <c r="E38" s="57">
        <f>10677.8+6300+4290</f>
        <v>21267.8</v>
      </c>
      <c r="F38" s="173"/>
      <c r="G38" s="366"/>
      <c r="H38" s="32"/>
    </row>
    <row r="39" spans="1:10">
      <c r="A39" s="64" t="s">
        <v>951</v>
      </c>
      <c r="B39" s="224" t="s">
        <v>150</v>
      </c>
      <c r="C39" s="55" t="s">
        <v>1101</v>
      </c>
      <c r="D39" s="54">
        <v>246</v>
      </c>
      <c r="E39" s="57">
        <v>5387</v>
      </c>
      <c r="F39" s="173"/>
      <c r="G39" s="366"/>
      <c r="H39" s="32"/>
    </row>
    <row r="40" spans="1:10">
      <c r="A40" s="64" t="s">
        <v>952</v>
      </c>
      <c r="B40" s="224" t="s">
        <v>9</v>
      </c>
      <c r="C40" s="55" t="s">
        <v>1102</v>
      </c>
      <c r="D40" s="54">
        <v>665</v>
      </c>
      <c r="E40" s="57">
        <v>20852.8</v>
      </c>
      <c r="F40" s="173"/>
      <c r="G40" s="366"/>
      <c r="H40" s="32"/>
    </row>
    <row r="41" spans="1:10">
      <c r="A41" s="64" t="s">
        <v>955</v>
      </c>
      <c r="B41" s="224" t="s">
        <v>9</v>
      </c>
      <c r="C41" s="55" t="s">
        <v>1103</v>
      </c>
      <c r="D41" s="54">
        <f>331+120+120</f>
        <v>571</v>
      </c>
      <c r="E41" s="57">
        <f>11902.6+4200+4200</f>
        <v>20302.599999999999</v>
      </c>
      <c r="F41" s="173"/>
      <c r="G41" s="366"/>
      <c r="H41" s="32"/>
    </row>
    <row r="42" spans="1:10">
      <c r="A42" s="64" t="s">
        <v>956</v>
      </c>
      <c r="B42" s="224" t="s">
        <v>150</v>
      </c>
      <c r="C42" s="55" t="s">
        <v>1104</v>
      </c>
      <c r="D42" s="54">
        <f>307+233</f>
        <v>540</v>
      </c>
      <c r="E42" s="57">
        <f>10824.2+5284</f>
        <v>16108.2</v>
      </c>
      <c r="F42" s="173"/>
      <c r="G42" s="366"/>
      <c r="H42" s="32"/>
    </row>
    <row r="43" spans="1:10">
      <c r="A43" s="64" t="s">
        <v>957</v>
      </c>
      <c r="B43" s="224" t="s">
        <v>9</v>
      </c>
      <c r="C43" s="55" t="s">
        <v>1105</v>
      </c>
      <c r="D43" s="54">
        <v>620</v>
      </c>
      <c r="E43" s="57">
        <v>20785.599999999999</v>
      </c>
      <c r="F43" s="173"/>
      <c r="G43" s="366"/>
      <c r="H43" s="32"/>
    </row>
    <row r="44" spans="1:10">
      <c r="A44" s="64" t="s">
        <v>961</v>
      </c>
      <c r="B44" s="224" t="s">
        <v>9</v>
      </c>
      <c r="C44" s="55" t="s">
        <v>1106</v>
      </c>
      <c r="D44" s="54">
        <f>130+80+120+100+60</f>
        <v>490</v>
      </c>
      <c r="E44" s="57">
        <f>3380+2800+4200+2600+2280</f>
        <v>15260</v>
      </c>
      <c r="F44" s="173"/>
      <c r="G44" s="366"/>
      <c r="H44" s="32"/>
      <c r="J44" s="6"/>
    </row>
    <row r="45" spans="1:10">
      <c r="A45" s="64" t="s">
        <v>962</v>
      </c>
      <c r="B45" s="224" t="s">
        <v>9</v>
      </c>
      <c r="C45" s="55" t="s">
        <v>1107</v>
      </c>
      <c r="D45" s="54">
        <f>60+150+80+225</f>
        <v>515</v>
      </c>
      <c r="E45" s="57">
        <f>1800+3900+2800+8301.8</f>
        <v>16801.8</v>
      </c>
      <c r="F45" s="173"/>
      <c r="G45" s="366"/>
      <c r="H45" s="32"/>
    </row>
    <row r="46" spans="1:10">
      <c r="A46" s="64" t="s">
        <v>1108</v>
      </c>
      <c r="B46" s="224" t="s">
        <v>9</v>
      </c>
      <c r="C46" s="55" t="s">
        <v>1109</v>
      </c>
      <c r="D46" s="54">
        <v>605</v>
      </c>
      <c r="E46" s="57">
        <v>20292.400000000001</v>
      </c>
      <c r="F46" s="173"/>
      <c r="G46" s="366"/>
      <c r="H46" s="32"/>
    </row>
    <row r="47" spans="1:10">
      <c r="A47" s="64" t="s">
        <v>963</v>
      </c>
      <c r="B47" s="224" t="s">
        <v>9</v>
      </c>
      <c r="C47" s="55" t="s">
        <v>1110</v>
      </c>
      <c r="D47" s="54">
        <v>500</v>
      </c>
      <c r="E47" s="57">
        <v>16634.8</v>
      </c>
      <c r="F47" s="173"/>
      <c r="G47" s="366"/>
      <c r="H47" s="32"/>
    </row>
    <row r="48" spans="1:10">
      <c r="A48" s="64" t="s">
        <v>964</v>
      </c>
      <c r="B48" s="224" t="s">
        <v>9</v>
      </c>
      <c r="C48" s="55" t="s">
        <v>1111</v>
      </c>
      <c r="D48" s="54">
        <v>626</v>
      </c>
      <c r="E48" s="57">
        <v>20672</v>
      </c>
      <c r="F48" s="173"/>
      <c r="G48" s="366"/>
      <c r="H48" s="32"/>
    </row>
    <row r="49" spans="1:8">
      <c r="A49" s="64" t="s">
        <v>965</v>
      </c>
      <c r="B49" s="224" t="s">
        <v>9</v>
      </c>
      <c r="C49" s="55" t="s">
        <v>1112</v>
      </c>
      <c r="D49" s="54">
        <v>723</v>
      </c>
      <c r="E49" s="57">
        <v>20320.2</v>
      </c>
      <c r="F49" s="173"/>
      <c r="G49" s="366"/>
      <c r="H49" s="32"/>
    </row>
    <row r="50" spans="1:8">
      <c r="A50" s="64" t="s">
        <v>967</v>
      </c>
      <c r="B50" s="224" t="s">
        <v>9</v>
      </c>
      <c r="C50" s="55" t="s">
        <v>1113</v>
      </c>
      <c r="D50" s="54">
        <f>636-9</f>
        <v>627</v>
      </c>
      <c r="E50" s="57">
        <f>20476-306.4</f>
        <v>20169.599999999999</v>
      </c>
      <c r="F50" s="173">
        <v>9</v>
      </c>
      <c r="G50" s="367">
        <v>306.39999999999998</v>
      </c>
      <c r="H50" s="32"/>
    </row>
    <row r="51" spans="1:8">
      <c r="A51" s="64" t="s">
        <v>1114</v>
      </c>
      <c r="B51" s="224" t="s">
        <v>9</v>
      </c>
      <c r="C51" s="55" t="s">
        <v>1115</v>
      </c>
      <c r="D51" s="54">
        <v>612</v>
      </c>
      <c r="E51" s="57">
        <v>20606.400000000001</v>
      </c>
      <c r="F51" s="173"/>
      <c r="G51" s="366"/>
      <c r="H51" s="32"/>
    </row>
    <row r="52" spans="1:8">
      <c r="A52" s="64" t="s">
        <v>1114</v>
      </c>
      <c r="B52" s="224" t="s">
        <v>150</v>
      </c>
      <c r="C52" s="55" t="s">
        <v>1116</v>
      </c>
      <c r="D52" s="54">
        <v>212</v>
      </c>
      <c r="E52" s="57">
        <v>6937.8</v>
      </c>
      <c r="F52" s="173"/>
      <c r="G52" s="366"/>
      <c r="H52" s="32"/>
    </row>
    <row r="53" spans="1:8">
      <c r="A53" s="64" t="s">
        <v>1117</v>
      </c>
      <c r="B53" s="224" t="s">
        <v>9</v>
      </c>
      <c r="C53" s="55" t="s">
        <v>1118</v>
      </c>
      <c r="D53" s="54">
        <v>243</v>
      </c>
      <c r="E53" s="57">
        <v>7185.4</v>
      </c>
      <c r="F53" s="173"/>
      <c r="G53" s="366"/>
      <c r="H53" s="32"/>
    </row>
    <row r="54" spans="1:8" ht="15.75" thickBot="1">
      <c r="A54" s="64" t="s">
        <v>1119</v>
      </c>
      <c r="B54" s="224" t="s">
        <v>9</v>
      </c>
      <c r="C54" s="55" t="s">
        <v>1120</v>
      </c>
      <c r="D54" s="54">
        <v>625</v>
      </c>
      <c r="E54" s="57">
        <v>20357.8</v>
      </c>
      <c r="F54" s="173"/>
      <c r="G54" s="366"/>
      <c r="H54" s="32"/>
    </row>
    <row r="55" spans="1:8" ht="15.75" thickBot="1">
      <c r="A55" s="186" t="s">
        <v>60</v>
      </c>
      <c r="B55" s="220"/>
      <c r="C55" s="187"/>
      <c r="D55" s="204">
        <f>SUM(D35:D54)</f>
        <v>10190</v>
      </c>
      <c r="E55" s="200">
        <f>SUM(E35:E54)</f>
        <v>325378.5</v>
      </c>
      <c r="F55" s="204">
        <f>SUM(F35:F54)</f>
        <v>9</v>
      </c>
      <c r="G55" s="200">
        <f>SUM(G35:G54)</f>
        <v>306.39999999999998</v>
      </c>
      <c r="H55" s="218"/>
    </row>
    <row r="56" spans="1:8">
      <c r="A56" s="202" t="s">
        <v>1121</v>
      </c>
      <c r="B56" s="223" t="s">
        <v>9</v>
      </c>
      <c r="C56" s="55" t="s">
        <v>1122</v>
      </c>
      <c r="D56" s="171">
        <f>120+60+246+80</f>
        <v>506</v>
      </c>
      <c r="E56" s="203">
        <f>4200+2100+6396+2865.6</f>
        <v>15561.6</v>
      </c>
      <c r="F56" s="172"/>
      <c r="G56" s="365"/>
      <c r="H56" s="85"/>
    </row>
    <row r="57" spans="1:8">
      <c r="A57" s="64" t="s">
        <v>969</v>
      </c>
      <c r="B57" s="224" t="s">
        <v>150</v>
      </c>
      <c r="C57" s="55" t="s">
        <v>1123</v>
      </c>
      <c r="D57" s="54">
        <v>310</v>
      </c>
      <c r="E57" s="57">
        <v>8250.7000000000007</v>
      </c>
      <c r="F57" s="173"/>
      <c r="G57" s="366"/>
      <c r="H57" s="32"/>
    </row>
    <row r="58" spans="1:8">
      <c r="A58" s="64" t="s">
        <v>970</v>
      </c>
      <c r="B58" s="224" t="s">
        <v>9</v>
      </c>
      <c r="C58" s="55" t="s">
        <v>1124</v>
      </c>
      <c r="D58" s="54">
        <v>638</v>
      </c>
      <c r="E58" s="57">
        <v>20962.8</v>
      </c>
      <c r="F58" s="177"/>
      <c r="G58" s="367"/>
      <c r="H58" s="32"/>
    </row>
    <row r="59" spans="1:8">
      <c r="A59" s="64" t="s">
        <v>972</v>
      </c>
      <c r="B59" s="224" t="s">
        <v>150</v>
      </c>
      <c r="C59" s="55" t="s">
        <v>1125</v>
      </c>
      <c r="D59" s="54">
        <v>393</v>
      </c>
      <c r="E59" s="57">
        <v>14052.9</v>
      </c>
      <c r="F59" s="173"/>
      <c r="G59" s="366"/>
      <c r="H59" s="32"/>
    </row>
    <row r="60" spans="1:8">
      <c r="A60" s="64" t="s">
        <v>1126</v>
      </c>
      <c r="B60" s="224" t="s">
        <v>9</v>
      </c>
      <c r="C60" s="55" t="s">
        <v>1127</v>
      </c>
      <c r="D60" s="54">
        <v>575</v>
      </c>
      <c r="E60" s="57">
        <v>20296.599999999999</v>
      </c>
      <c r="F60" s="173"/>
      <c r="G60" s="367">
        <v>10</v>
      </c>
      <c r="H60" s="32"/>
    </row>
    <row r="61" spans="1:8">
      <c r="A61" s="64" t="s">
        <v>973</v>
      </c>
      <c r="B61" s="224" t="s">
        <v>9</v>
      </c>
      <c r="C61" s="55" t="s">
        <v>1128</v>
      </c>
      <c r="D61" s="54">
        <v>626</v>
      </c>
      <c r="E61" s="57">
        <v>20557.2</v>
      </c>
      <c r="F61" s="173"/>
      <c r="G61" s="366"/>
      <c r="H61" s="32"/>
    </row>
    <row r="62" spans="1:8">
      <c r="A62" s="196" t="s">
        <v>1129</v>
      </c>
      <c r="B62" s="225" t="s">
        <v>9</v>
      </c>
      <c r="C62" s="55" t="s">
        <v>1130</v>
      </c>
      <c r="D62" s="197">
        <v>610</v>
      </c>
      <c r="E62" s="198">
        <v>20309.8</v>
      </c>
      <c r="F62" s="199"/>
      <c r="G62" s="368"/>
      <c r="H62" s="39"/>
    </row>
    <row r="63" spans="1:8">
      <c r="A63" s="196" t="s">
        <v>1131</v>
      </c>
      <c r="B63" s="225" t="s">
        <v>9</v>
      </c>
      <c r="C63" s="55" t="s">
        <v>1132</v>
      </c>
      <c r="D63" s="197">
        <v>574</v>
      </c>
      <c r="E63" s="198">
        <v>20022</v>
      </c>
      <c r="F63" s="199"/>
      <c r="G63" s="368"/>
      <c r="H63" s="39"/>
    </row>
    <row r="64" spans="1:8">
      <c r="A64" s="196" t="s">
        <v>975</v>
      </c>
      <c r="B64" s="225" t="s">
        <v>150</v>
      </c>
      <c r="C64" s="55" t="s">
        <v>1133</v>
      </c>
      <c r="D64" s="197">
        <v>495</v>
      </c>
      <c r="E64" s="198">
        <v>17428.400000000001</v>
      </c>
      <c r="F64" s="199"/>
      <c r="G64" s="368"/>
      <c r="H64" s="39"/>
    </row>
    <row r="65" spans="1:11">
      <c r="A65" s="196" t="s">
        <v>976</v>
      </c>
      <c r="B65" s="225" t="s">
        <v>9</v>
      </c>
      <c r="C65" s="191" t="s">
        <v>1134</v>
      </c>
      <c r="D65" s="197">
        <v>610</v>
      </c>
      <c r="E65" s="198">
        <v>20351.400000000001</v>
      </c>
      <c r="F65" s="199"/>
      <c r="G65" s="368"/>
      <c r="H65" s="39"/>
    </row>
    <row r="66" spans="1:11">
      <c r="A66" s="649" t="s">
        <v>1135</v>
      </c>
      <c r="B66" s="225" t="s">
        <v>150</v>
      </c>
      <c r="C66" s="650" t="s">
        <v>1136</v>
      </c>
      <c r="D66" s="197">
        <v>273</v>
      </c>
      <c r="E66" s="198">
        <v>9346.6</v>
      </c>
      <c r="F66" s="199"/>
      <c r="G66" s="368"/>
      <c r="H66" s="39"/>
    </row>
    <row r="67" spans="1:11">
      <c r="A67" s="646"/>
      <c r="B67" s="225" t="s">
        <v>9</v>
      </c>
      <c r="C67" s="648"/>
      <c r="D67" s="197">
        <v>275</v>
      </c>
      <c r="E67" s="198">
        <v>9192.4</v>
      </c>
      <c r="F67" s="199"/>
      <c r="G67" s="368"/>
      <c r="H67" s="39"/>
    </row>
    <row r="68" spans="1:11">
      <c r="A68" s="196" t="s">
        <v>1137</v>
      </c>
      <c r="B68" s="225" t="s">
        <v>9</v>
      </c>
      <c r="C68" s="191" t="s">
        <v>1138</v>
      </c>
      <c r="D68" s="197">
        <v>643</v>
      </c>
      <c r="E68" s="198">
        <v>20039</v>
      </c>
      <c r="F68" s="199"/>
      <c r="G68" s="368"/>
      <c r="H68" s="39"/>
    </row>
    <row r="69" spans="1:11" ht="15.75" thickBot="1">
      <c r="A69" s="196" t="s">
        <v>1139</v>
      </c>
      <c r="B69" s="225" t="s">
        <v>9</v>
      </c>
      <c r="C69" s="191" t="s">
        <v>1140</v>
      </c>
      <c r="D69" s="197">
        <v>319</v>
      </c>
      <c r="E69" s="198">
        <v>11081.4</v>
      </c>
      <c r="F69" s="199"/>
      <c r="G69" s="368"/>
      <c r="H69" s="39"/>
      <c r="K69" s="6"/>
    </row>
    <row r="70" spans="1:11" ht="15.75" thickBot="1">
      <c r="A70" s="186" t="s">
        <v>62</v>
      </c>
      <c r="B70" s="220"/>
      <c r="C70" s="187"/>
      <c r="D70" s="204">
        <f>SUM(D56:D69)</f>
        <v>6847</v>
      </c>
      <c r="E70" s="189">
        <f>SUM(E56:E69)</f>
        <v>227452.79999999999</v>
      </c>
      <c r="F70" s="204">
        <f>SUM(F56:F69)</f>
        <v>0</v>
      </c>
      <c r="G70" s="200">
        <f>SUM(G56:G69)</f>
        <v>10</v>
      </c>
      <c r="H70" s="218"/>
    </row>
    <row r="71" spans="1:11">
      <c r="A71" s="202" t="s">
        <v>985</v>
      </c>
      <c r="B71" s="223" t="s">
        <v>150</v>
      </c>
      <c r="C71" s="191" t="s">
        <v>1141</v>
      </c>
      <c r="D71" s="171">
        <f>514+118</f>
        <v>632</v>
      </c>
      <c r="E71" s="203">
        <f>17246+4106.9</f>
        <v>21352.9</v>
      </c>
      <c r="F71" s="172"/>
      <c r="G71" s="365"/>
      <c r="H71" s="85"/>
    </row>
    <row r="72" spans="1:11">
      <c r="A72" s="64" t="s">
        <v>986</v>
      </c>
      <c r="B72" s="224" t="s">
        <v>9</v>
      </c>
      <c r="C72" s="191" t="s">
        <v>1142</v>
      </c>
      <c r="D72" s="54">
        <v>529</v>
      </c>
      <c r="E72" s="57">
        <v>16164.8</v>
      </c>
      <c r="F72" s="177"/>
      <c r="G72" s="367"/>
      <c r="H72" s="32"/>
    </row>
    <row r="73" spans="1:11">
      <c r="A73" s="64" t="s">
        <v>993</v>
      </c>
      <c r="B73" s="224" t="s">
        <v>9</v>
      </c>
      <c r="C73" s="55" t="s">
        <v>1143</v>
      </c>
      <c r="D73" s="54">
        <f>689+102</f>
        <v>791</v>
      </c>
      <c r="E73" s="57">
        <f>19931.2+2652</f>
        <v>22583.200000000001</v>
      </c>
      <c r="F73" s="173"/>
      <c r="G73" s="366"/>
      <c r="H73" s="32"/>
    </row>
    <row r="74" spans="1:11">
      <c r="A74" s="64" t="s">
        <v>1144</v>
      </c>
      <c r="B74" s="224" t="s">
        <v>150</v>
      </c>
      <c r="C74" s="55" t="s">
        <v>1145</v>
      </c>
      <c r="D74" s="54">
        <f>138+304+220</f>
        <v>662</v>
      </c>
      <c r="E74" s="57">
        <f>2954.4+10712.8+7286.2</f>
        <v>20953.399999999998</v>
      </c>
      <c r="F74" s="173"/>
      <c r="G74" s="366"/>
      <c r="H74" s="32"/>
    </row>
    <row r="75" spans="1:11">
      <c r="A75" s="64" t="s">
        <v>1146</v>
      </c>
      <c r="B75" s="224" t="s">
        <v>9</v>
      </c>
      <c r="C75" s="55" t="s">
        <v>1147</v>
      </c>
      <c r="D75" s="54">
        <v>586</v>
      </c>
      <c r="E75" s="232">
        <v>20023.599999999999</v>
      </c>
      <c r="F75" s="173"/>
      <c r="G75" s="366"/>
      <c r="H75" s="32"/>
    </row>
    <row r="76" spans="1:11">
      <c r="A76" s="64" t="s">
        <v>1148</v>
      </c>
      <c r="B76" s="224" t="s">
        <v>9</v>
      </c>
      <c r="C76" s="55" t="s">
        <v>1149</v>
      </c>
      <c r="D76" s="54">
        <v>330</v>
      </c>
      <c r="E76" s="57">
        <v>12237.4</v>
      </c>
      <c r="F76" s="173"/>
      <c r="G76" s="366"/>
      <c r="H76" s="32"/>
    </row>
    <row r="77" spans="1:11">
      <c r="A77" s="64" t="s">
        <v>996</v>
      </c>
      <c r="B77" s="224" t="s">
        <v>150</v>
      </c>
      <c r="C77" s="55" t="s">
        <v>1150</v>
      </c>
      <c r="D77" s="54">
        <f>504-65</f>
        <v>439</v>
      </c>
      <c r="E77" s="57">
        <f>17461.1-2341</f>
        <v>15120.099999999999</v>
      </c>
      <c r="F77" s="173">
        <v>65</v>
      </c>
      <c r="G77" s="367">
        <v>2341</v>
      </c>
      <c r="H77" s="32"/>
    </row>
    <row r="78" spans="1:11">
      <c r="A78" s="64" t="s">
        <v>998</v>
      </c>
      <c r="B78" s="224" t="s">
        <v>150</v>
      </c>
      <c r="C78" s="55" t="s">
        <v>1151</v>
      </c>
      <c r="D78" s="54">
        <v>190</v>
      </c>
      <c r="E78" s="57">
        <v>5946.6</v>
      </c>
      <c r="F78" s="173"/>
      <c r="G78" s="366"/>
      <c r="H78" s="32"/>
    </row>
    <row r="79" spans="1:11" ht="15.75" thickBot="1">
      <c r="A79" s="64" t="s">
        <v>998</v>
      </c>
      <c r="B79" s="224" t="s">
        <v>9</v>
      </c>
      <c r="C79" s="55" t="s">
        <v>1152</v>
      </c>
      <c r="D79" s="54">
        <f>618+80</f>
        <v>698</v>
      </c>
      <c r="E79" s="57">
        <f>19995.2+2765.6</f>
        <v>22760.799999999999</v>
      </c>
      <c r="F79" s="173"/>
      <c r="G79" s="366"/>
      <c r="H79" s="32"/>
    </row>
    <row r="80" spans="1:11" ht="15.75" thickBot="1">
      <c r="A80" s="186" t="s">
        <v>63</v>
      </c>
      <c r="B80" s="220"/>
      <c r="C80" s="187"/>
      <c r="D80" s="204">
        <f>SUM(D71:D79)</f>
        <v>4857</v>
      </c>
      <c r="E80" s="189">
        <f>SUM(E71:E79)</f>
        <v>157142.79999999999</v>
      </c>
      <c r="F80" s="204">
        <f>SUM(F71:F79)</f>
        <v>65</v>
      </c>
      <c r="G80" s="200">
        <f>SUM(G71:G79)</f>
        <v>2341</v>
      </c>
      <c r="H80" s="218"/>
    </row>
    <row r="81" spans="1:8">
      <c r="A81" s="202" t="s">
        <v>1002</v>
      </c>
      <c r="B81" s="223" t="s">
        <v>150</v>
      </c>
      <c r="C81" s="170" t="s">
        <v>1153</v>
      </c>
      <c r="D81" s="171">
        <v>467</v>
      </c>
      <c r="E81" s="203">
        <v>17408.099999999999</v>
      </c>
      <c r="F81" s="205"/>
      <c r="G81" s="369"/>
      <c r="H81" s="85"/>
    </row>
    <row r="82" spans="1:8">
      <c r="A82" s="64" t="s">
        <v>1004</v>
      </c>
      <c r="B82" s="224" t="s">
        <v>9</v>
      </c>
      <c r="C82" s="170" t="s">
        <v>1154</v>
      </c>
      <c r="D82" s="54">
        <f>490-1</f>
        <v>489</v>
      </c>
      <c r="E82" s="57">
        <f>17078.4-28</f>
        <v>17050.400000000001</v>
      </c>
      <c r="F82" s="173">
        <v>1</v>
      </c>
      <c r="G82" s="367">
        <v>28</v>
      </c>
      <c r="H82" s="32"/>
    </row>
    <row r="83" spans="1:8">
      <c r="A83" s="64" t="s">
        <v>1005</v>
      </c>
      <c r="B83" s="224" t="s">
        <v>150</v>
      </c>
      <c r="C83" s="170" t="s">
        <v>1155</v>
      </c>
      <c r="D83" s="54">
        <v>541</v>
      </c>
      <c r="E83" s="57">
        <v>17365.8</v>
      </c>
      <c r="F83" s="173"/>
      <c r="G83" s="366"/>
      <c r="H83" s="32"/>
    </row>
    <row r="84" spans="1:8">
      <c r="A84" s="64" t="s">
        <v>1156</v>
      </c>
      <c r="B84" s="224" t="s">
        <v>9</v>
      </c>
      <c r="C84" s="170" t="s">
        <v>1157</v>
      </c>
      <c r="D84" s="54">
        <v>578</v>
      </c>
      <c r="E84" s="57">
        <v>20195</v>
      </c>
      <c r="F84" s="173"/>
      <c r="G84" s="366"/>
      <c r="H84" s="32"/>
    </row>
    <row r="85" spans="1:8">
      <c r="A85" s="64" t="s">
        <v>1009</v>
      </c>
      <c r="B85" s="224" t="s">
        <v>9</v>
      </c>
      <c r="C85" s="170" t="s">
        <v>1158</v>
      </c>
      <c r="D85" s="54">
        <v>523</v>
      </c>
      <c r="E85" s="57">
        <v>16543.2</v>
      </c>
      <c r="F85" s="173"/>
      <c r="G85" s="366"/>
      <c r="H85" s="32"/>
    </row>
    <row r="86" spans="1:8">
      <c r="A86" s="64" t="s">
        <v>1014</v>
      </c>
      <c r="B86" s="224" t="s">
        <v>9</v>
      </c>
      <c r="C86" s="170" t="s">
        <v>1159</v>
      </c>
      <c r="D86" s="54">
        <v>465</v>
      </c>
      <c r="E86" s="57">
        <v>14941.6</v>
      </c>
      <c r="F86" s="173"/>
      <c r="G86" s="366"/>
      <c r="H86" s="32"/>
    </row>
    <row r="87" spans="1:8" ht="13.5" customHeight="1">
      <c r="A87" s="64" t="s">
        <v>1016</v>
      </c>
      <c r="B87" s="224" t="s">
        <v>150</v>
      </c>
      <c r="C87" s="170" t="s">
        <v>1160</v>
      </c>
      <c r="D87" s="54">
        <v>541</v>
      </c>
      <c r="E87" s="57">
        <v>18569.3</v>
      </c>
      <c r="F87" s="173"/>
      <c r="G87" s="366"/>
      <c r="H87" s="32"/>
    </row>
    <row r="88" spans="1:8">
      <c r="A88" s="64" t="s">
        <v>1016</v>
      </c>
      <c r="B88" s="224" t="s">
        <v>6</v>
      </c>
      <c r="C88" s="170" t="s">
        <v>1161</v>
      </c>
      <c r="D88" s="54">
        <v>180</v>
      </c>
      <c r="E88" s="57">
        <v>4022.4</v>
      </c>
      <c r="F88" s="173"/>
      <c r="G88" s="366"/>
      <c r="H88" s="32"/>
    </row>
    <row r="89" spans="1:8" ht="15.75" thickBot="1">
      <c r="A89" s="64" t="s">
        <v>1018</v>
      </c>
      <c r="B89" s="224" t="s">
        <v>6</v>
      </c>
      <c r="C89" s="170" t="s">
        <v>1162</v>
      </c>
      <c r="D89" s="54">
        <v>325</v>
      </c>
      <c r="E89" s="57">
        <v>7759.5</v>
      </c>
      <c r="F89" s="173"/>
      <c r="G89" s="366"/>
      <c r="H89" s="32"/>
    </row>
    <row r="90" spans="1:8" ht="15.75" thickBot="1">
      <c r="A90" s="186" t="s">
        <v>65</v>
      </c>
      <c r="B90" s="220"/>
      <c r="C90" s="187"/>
      <c r="D90" s="204">
        <f>SUM(D81:D89)</f>
        <v>4109</v>
      </c>
      <c r="E90" s="189">
        <f>SUM(E81:E89)</f>
        <v>133855.29999999999</v>
      </c>
      <c r="F90" s="204">
        <f>SUM(F81:F89)</f>
        <v>1</v>
      </c>
      <c r="G90" s="200">
        <f>SUM(G81:G89)</f>
        <v>28</v>
      </c>
      <c r="H90" s="218"/>
    </row>
    <row r="91" spans="1:8">
      <c r="A91" s="202" t="s">
        <v>1023</v>
      </c>
      <c r="B91" s="223" t="s">
        <v>9</v>
      </c>
      <c r="C91" s="170" t="s">
        <v>1163</v>
      </c>
      <c r="D91" s="171">
        <v>565</v>
      </c>
      <c r="E91" s="203">
        <v>20012.8</v>
      </c>
      <c r="F91" s="172"/>
      <c r="G91" s="365"/>
      <c r="H91" s="85"/>
    </row>
    <row r="92" spans="1:8">
      <c r="A92" s="64" t="s">
        <v>1164</v>
      </c>
      <c r="B92" s="224" t="s">
        <v>9</v>
      </c>
      <c r="C92" s="170" t="s">
        <v>1165</v>
      </c>
      <c r="D92" s="54">
        <v>557</v>
      </c>
      <c r="E92" s="57">
        <v>19761.8</v>
      </c>
      <c r="F92" s="173"/>
      <c r="G92" s="366"/>
      <c r="H92" s="32"/>
    </row>
    <row r="93" spans="1:8">
      <c r="A93" s="64" t="s">
        <v>1166</v>
      </c>
      <c r="B93" s="224" t="s">
        <v>150</v>
      </c>
      <c r="C93" s="170" t="s">
        <v>1167</v>
      </c>
      <c r="D93" s="54">
        <v>570</v>
      </c>
      <c r="E93" s="57">
        <v>17479.400000000001</v>
      </c>
      <c r="F93" s="173"/>
      <c r="G93" s="366"/>
      <c r="H93" s="32"/>
    </row>
    <row r="94" spans="1:8">
      <c r="A94" s="64" t="s">
        <v>1030</v>
      </c>
      <c r="B94" s="224" t="s">
        <v>9</v>
      </c>
      <c r="C94" s="170" t="s">
        <v>1168</v>
      </c>
      <c r="D94" s="54">
        <v>540</v>
      </c>
      <c r="E94" s="57">
        <v>19974.599999999999</v>
      </c>
      <c r="F94" s="173"/>
      <c r="G94" s="366"/>
      <c r="H94" s="32"/>
    </row>
    <row r="95" spans="1:8">
      <c r="A95" s="64" t="s">
        <v>1031</v>
      </c>
      <c r="B95" s="224" t="s">
        <v>9</v>
      </c>
      <c r="C95" s="170" t="s">
        <v>1169</v>
      </c>
      <c r="D95" s="54">
        <v>545</v>
      </c>
      <c r="E95" s="57">
        <v>19721.2</v>
      </c>
      <c r="F95" s="173"/>
      <c r="G95" s="366"/>
      <c r="H95" s="32"/>
    </row>
    <row r="96" spans="1:8" ht="15.75" thickBot="1">
      <c r="A96" s="64" t="s">
        <v>1170</v>
      </c>
      <c r="B96" s="224" t="s">
        <v>9</v>
      </c>
      <c r="C96" s="170" t="s">
        <v>1171</v>
      </c>
      <c r="D96" s="54">
        <v>545</v>
      </c>
      <c r="E96" s="57">
        <v>19989.8</v>
      </c>
      <c r="F96" s="173"/>
      <c r="G96" s="366"/>
      <c r="H96" s="32"/>
    </row>
    <row r="97" spans="1:9" ht="15.75" thickBot="1">
      <c r="A97" s="186" t="s">
        <v>68</v>
      </c>
      <c r="B97" s="220"/>
      <c r="C97" s="187"/>
      <c r="D97" s="188">
        <f>SUM(D91:D96)</f>
        <v>3322</v>
      </c>
      <c r="E97" s="200">
        <f>SUM(E91:E96)</f>
        <v>116939.6</v>
      </c>
      <c r="F97" s="188">
        <f>SUM(F91:F96)</f>
        <v>0</v>
      </c>
      <c r="G97" s="200">
        <f>SUM(G91:G96)</f>
        <v>0</v>
      </c>
      <c r="H97" s="218"/>
    </row>
    <row r="98" spans="1:9">
      <c r="A98" s="192" t="s">
        <v>1172</v>
      </c>
      <c r="B98" s="226" t="s">
        <v>9</v>
      </c>
      <c r="C98" s="170" t="s">
        <v>1173</v>
      </c>
      <c r="D98" s="193">
        <v>548</v>
      </c>
      <c r="E98" s="194">
        <v>20155.400000000001</v>
      </c>
      <c r="F98" s="195"/>
      <c r="G98" s="370"/>
      <c r="H98" s="85"/>
    </row>
    <row r="99" spans="1:9">
      <c r="A99" s="62" t="s">
        <v>1174</v>
      </c>
      <c r="B99" s="227" t="s">
        <v>9</v>
      </c>
      <c r="C99" s="170" t="s">
        <v>1175</v>
      </c>
      <c r="D99" s="59">
        <f>380+203</f>
        <v>583</v>
      </c>
      <c r="E99" s="58">
        <f>13640.4+7531.6</f>
        <v>21172</v>
      </c>
      <c r="F99" s="175"/>
      <c r="G99" s="371"/>
      <c r="H99" s="32"/>
    </row>
    <row r="100" spans="1:9">
      <c r="A100" s="62" t="s">
        <v>1176</v>
      </c>
      <c r="B100" s="227" t="s">
        <v>150</v>
      </c>
      <c r="C100" s="170" t="s">
        <v>1177</v>
      </c>
      <c r="D100" s="59">
        <v>563</v>
      </c>
      <c r="E100" s="58">
        <v>17481.8</v>
      </c>
      <c r="F100" s="175"/>
      <c r="G100" s="371"/>
      <c r="H100" s="32"/>
      <c r="I100" s="6"/>
    </row>
    <row r="101" spans="1:9">
      <c r="A101" s="62" t="s">
        <v>1178</v>
      </c>
      <c r="B101" s="227" t="s">
        <v>150</v>
      </c>
      <c r="C101" s="170" t="s">
        <v>1179</v>
      </c>
      <c r="D101" s="59">
        <v>485</v>
      </c>
      <c r="E101" s="58">
        <v>17502.900000000001</v>
      </c>
      <c r="F101" s="175"/>
      <c r="G101" s="371"/>
      <c r="H101" s="32"/>
    </row>
    <row r="102" spans="1:9">
      <c r="A102" s="62" t="s">
        <v>1178</v>
      </c>
      <c r="B102" s="227" t="s">
        <v>150</v>
      </c>
      <c r="C102" s="170" t="s">
        <v>1180</v>
      </c>
      <c r="D102" s="59">
        <f>270+300</f>
        <v>570</v>
      </c>
      <c r="E102" s="58">
        <f>8840.8+9102.3</f>
        <v>17943.099999999999</v>
      </c>
      <c r="F102" s="175"/>
      <c r="G102" s="371"/>
      <c r="H102" s="32"/>
    </row>
    <row r="103" spans="1:9">
      <c r="A103" s="62" t="s">
        <v>1181</v>
      </c>
      <c r="B103" s="227" t="s">
        <v>150</v>
      </c>
      <c r="C103" s="170" t="s">
        <v>1182</v>
      </c>
      <c r="D103" s="59">
        <v>537</v>
      </c>
      <c r="E103" s="58">
        <v>17384.599999999999</v>
      </c>
      <c r="F103" s="175"/>
      <c r="G103" s="371"/>
      <c r="H103" s="32"/>
    </row>
    <row r="104" spans="1:9">
      <c r="A104" s="62" t="s">
        <v>1181</v>
      </c>
      <c r="B104" s="227" t="s">
        <v>150</v>
      </c>
      <c r="C104" s="170" t="s">
        <v>1183</v>
      </c>
      <c r="D104" s="59">
        <f>102+200</f>
        <v>302</v>
      </c>
      <c r="E104" s="58">
        <f>3370+6824.8</f>
        <v>10194.799999999999</v>
      </c>
      <c r="F104" s="175"/>
      <c r="G104" s="371"/>
      <c r="H104" s="32"/>
    </row>
    <row r="105" spans="1:9">
      <c r="A105" s="62" t="s">
        <v>1184</v>
      </c>
      <c r="B105" s="227" t="s">
        <v>150</v>
      </c>
      <c r="C105" s="170" t="s">
        <v>1185</v>
      </c>
      <c r="D105" s="59">
        <v>522</v>
      </c>
      <c r="E105" s="58">
        <v>17540.3</v>
      </c>
      <c r="F105" s="175"/>
      <c r="G105" s="371"/>
      <c r="H105" s="32"/>
    </row>
    <row r="106" spans="1:9" ht="15.75" thickBot="1">
      <c r="A106" s="62" t="s">
        <v>1186</v>
      </c>
      <c r="B106" s="227" t="s">
        <v>150</v>
      </c>
      <c r="C106" s="170" t="s">
        <v>1187</v>
      </c>
      <c r="D106" s="59">
        <v>522</v>
      </c>
      <c r="E106" s="58">
        <v>17210.8</v>
      </c>
      <c r="F106" s="175"/>
      <c r="G106" s="371"/>
      <c r="H106" s="32"/>
    </row>
    <row r="107" spans="1:9" ht="15.75" thickBot="1">
      <c r="A107" s="186" t="s">
        <v>69</v>
      </c>
      <c r="B107" s="220"/>
      <c r="C107" s="187"/>
      <c r="D107" s="188">
        <f>SUM(D98:D106)</f>
        <v>4632</v>
      </c>
      <c r="E107" s="189">
        <f>SUM(E98:E106)</f>
        <v>156585.70000000001</v>
      </c>
      <c r="F107" s="188">
        <f>SUM(F98:F106)</f>
        <v>0</v>
      </c>
      <c r="G107" s="200">
        <f>SUM(G98:G106)</f>
        <v>0</v>
      </c>
      <c r="H107" s="218"/>
    </row>
    <row r="108" spans="1:9">
      <c r="A108" s="192" t="s">
        <v>1188</v>
      </c>
      <c r="B108" s="226" t="s">
        <v>9</v>
      </c>
      <c r="C108" s="170" t="s">
        <v>1189</v>
      </c>
      <c r="D108" s="193">
        <v>574</v>
      </c>
      <c r="E108" s="194">
        <v>20051</v>
      </c>
      <c r="F108" s="195"/>
      <c r="G108" s="370"/>
      <c r="H108" s="85"/>
    </row>
    <row r="109" spans="1:9">
      <c r="A109" s="192" t="s">
        <v>1190</v>
      </c>
      <c r="B109" s="226" t="s">
        <v>150</v>
      </c>
      <c r="C109" s="170" t="s">
        <v>1191</v>
      </c>
      <c r="D109" s="193">
        <v>70</v>
      </c>
      <c r="E109" s="194">
        <v>2233.6999999999998</v>
      </c>
      <c r="F109" s="195"/>
      <c r="G109" s="370"/>
      <c r="H109" s="85"/>
    </row>
    <row r="110" spans="1:9">
      <c r="A110" s="192" t="s">
        <v>1192</v>
      </c>
      <c r="B110" s="226" t="s">
        <v>9</v>
      </c>
      <c r="C110" s="170" t="s">
        <v>1193</v>
      </c>
      <c r="D110" s="193">
        <v>535</v>
      </c>
      <c r="E110" s="194">
        <v>20056.400000000001</v>
      </c>
      <c r="F110" s="195"/>
      <c r="G110" s="370"/>
      <c r="H110" s="85"/>
    </row>
    <row r="111" spans="1:9">
      <c r="A111" s="192" t="s">
        <v>1194</v>
      </c>
      <c r="B111" s="226" t="s">
        <v>9</v>
      </c>
      <c r="C111" s="170" t="s">
        <v>1195</v>
      </c>
      <c r="D111" s="193">
        <v>486</v>
      </c>
      <c r="E111" s="194">
        <v>18031</v>
      </c>
      <c r="F111" s="195"/>
      <c r="G111" s="370"/>
      <c r="H111" s="85"/>
    </row>
    <row r="112" spans="1:9">
      <c r="A112" s="192" t="s">
        <v>1973</v>
      </c>
      <c r="B112" s="226" t="s">
        <v>9</v>
      </c>
      <c r="C112" s="170" t="s">
        <v>1980</v>
      </c>
      <c r="D112" s="193">
        <v>503</v>
      </c>
      <c r="E112" s="194">
        <v>17994</v>
      </c>
      <c r="F112" s="195"/>
      <c r="G112" s="370"/>
      <c r="H112" s="85"/>
    </row>
    <row r="113" spans="1:9">
      <c r="A113" s="192" t="s">
        <v>1973</v>
      </c>
      <c r="B113" s="226" t="s">
        <v>9</v>
      </c>
      <c r="C113" s="170" t="s">
        <v>1981</v>
      </c>
      <c r="D113" s="193">
        <v>505</v>
      </c>
      <c r="E113" s="194">
        <v>18197.2</v>
      </c>
      <c r="F113" s="195"/>
      <c r="G113" s="370"/>
      <c r="H113" s="85"/>
    </row>
    <row r="114" spans="1:9">
      <c r="A114" s="192" t="s">
        <v>1975</v>
      </c>
      <c r="B114" s="226" t="s">
        <v>9</v>
      </c>
      <c r="C114" s="170" t="s">
        <v>1982</v>
      </c>
      <c r="D114" s="193">
        <v>485</v>
      </c>
      <c r="E114" s="194">
        <v>17272.2</v>
      </c>
      <c r="F114" s="195"/>
      <c r="G114" s="370"/>
      <c r="H114" s="85"/>
    </row>
    <row r="115" spans="1:9">
      <c r="A115" s="192" t="s">
        <v>1975</v>
      </c>
      <c r="B115" s="226" t="s">
        <v>9</v>
      </c>
      <c r="C115" s="170" t="s">
        <v>1983</v>
      </c>
      <c r="D115" s="193">
        <v>504</v>
      </c>
      <c r="E115" s="194">
        <v>17225.8</v>
      </c>
      <c r="F115" s="195"/>
      <c r="G115" s="370"/>
      <c r="H115" s="85"/>
    </row>
    <row r="116" spans="1:9">
      <c r="A116" s="192" t="s">
        <v>1976</v>
      </c>
      <c r="B116" s="226" t="s">
        <v>9</v>
      </c>
      <c r="C116" s="170" t="s">
        <v>1984</v>
      </c>
      <c r="D116" s="193">
        <v>365</v>
      </c>
      <c r="E116" s="194">
        <v>12099.6</v>
      </c>
      <c r="F116" s="195"/>
      <c r="G116" s="370"/>
      <c r="H116" s="85"/>
    </row>
    <row r="117" spans="1:9" ht="15.75" thickBot="1">
      <c r="A117" s="62" t="s">
        <v>1977</v>
      </c>
      <c r="B117" s="227" t="s">
        <v>9</v>
      </c>
      <c r="C117" s="170" t="s">
        <v>1985</v>
      </c>
      <c r="D117" s="59">
        <f>55+256</f>
        <v>311</v>
      </c>
      <c r="E117" s="58">
        <f>2034.2+8527.2</f>
        <v>10561.400000000001</v>
      </c>
      <c r="F117" s="195"/>
      <c r="G117" s="370"/>
      <c r="H117" s="85"/>
    </row>
    <row r="118" spans="1:9" ht="15.75" thickBot="1">
      <c r="A118" s="186" t="s">
        <v>71</v>
      </c>
      <c r="B118" s="220"/>
      <c r="C118" s="187"/>
      <c r="D118" s="188">
        <f>SUM(D108:D117)</f>
        <v>4338</v>
      </c>
      <c r="E118" s="189">
        <f>SUM(E108:E117)</f>
        <v>153722.29999999999</v>
      </c>
      <c r="F118" s="188">
        <f>SUM(F108:F117)</f>
        <v>0</v>
      </c>
      <c r="G118" s="200">
        <f>SUM(G108:G117)</f>
        <v>0</v>
      </c>
      <c r="H118" s="218"/>
    </row>
    <row r="119" spans="1:9" ht="15.75" thickBot="1">
      <c r="A119" s="86" t="s">
        <v>1196</v>
      </c>
      <c r="B119" s="228"/>
      <c r="C119" s="87"/>
      <c r="D119" s="88">
        <f>D7+D9+D11+D20+D34+D55+D70+D80+D90+D97+D107+D118</f>
        <v>48909</v>
      </c>
      <c r="E119" s="178">
        <f>E7+E9+E11+E20+E34+E55+E70+E80+E90+E97+E107+E118</f>
        <v>1610327.9000000001</v>
      </c>
      <c r="F119" s="179">
        <f>F7+F9+F11+F20+F34+F55+F70+F80+F90+F97+F107+F118</f>
        <v>75</v>
      </c>
      <c r="G119" s="182">
        <f>G7+G9+G11+G20+G34+G55+G70+G80+G90+G97+G107+G118</f>
        <v>2685.4</v>
      </c>
      <c r="H119" s="185"/>
    </row>
    <row r="120" spans="1:9">
      <c r="A120" s="81"/>
      <c r="B120" s="229"/>
      <c r="C120" s="82"/>
      <c r="D120" s="83"/>
      <c r="E120" s="84"/>
      <c r="F120" s="83"/>
      <c r="G120" s="183"/>
      <c r="H120" s="85"/>
      <c r="I120" s="3"/>
    </row>
    <row r="121" spans="1:9" ht="15.75" thickBot="1">
      <c r="A121" s="65" t="s">
        <v>800</v>
      </c>
      <c r="B121" s="230"/>
      <c r="C121" s="66"/>
      <c r="D121" s="67">
        <f>D119</f>
        <v>48909</v>
      </c>
      <c r="E121" s="67">
        <f>E119</f>
        <v>1610327.9000000001</v>
      </c>
      <c r="F121" s="68"/>
      <c r="G121" s="160"/>
      <c r="H121" s="69"/>
      <c r="I121" s="3"/>
    </row>
    <row r="122" spans="1:9">
      <c r="E122" s="6"/>
      <c r="I122" s="3"/>
    </row>
    <row r="123" spans="1:9">
      <c r="E123" s="6"/>
      <c r="I123" s="3"/>
    </row>
    <row r="124" spans="1:9">
      <c r="D124" s="6"/>
      <c r="E124" s="6"/>
      <c r="I124" s="3"/>
    </row>
    <row r="125" spans="1:9">
      <c r="D125" s="80"/>
      <c r="E125" s="6"/>
      <c r="I125" s="3"/>
    </row>
    <row r="126" spans="1:9">
      <c r="D126" s="6"/>
      <c r="E126" s="6"/>
      <c r="I126" s="3"/>
    </row>
    <row r="127" spans="1:9">
      <c r="I127" s="3"/>
    </row>
    <row r="128" spans="1:9">
      <c r="I128" s="3"/>
    </row>
    <row r="129" spans="9:10">
      <c r="I129" s="3"/>
    </row>
    <row r="130" spans="9:10">
      <c r="I130" s="3"/>
    </row>
    <row r="131" spans="9:10">
      <c r="I131" s="3"/>
    </row>
    <row r="133" spans="9:10">
      <c r="J133" s="3"/>
    </row>
  </sheetData>
  <mergeCells count="11">
    <mergeCell ref="A35:A36"/>
    <mergeCell ref="C35:C36"/>
    <mergeCell ref="A66:A67"/>
    <mergeCell ref="C66:C67"/>
    <mergeCell ref="H4:H5"/>
    <mergeCell ref="A4:A5"/>
    <mergeCell ref="C4:C5"/>
    <mergeCell ref="D4:D5"/>
    <mergeCell ref="E4:E5"/>
    <mergeCell ref="F4:G4"/>
    <mergeCell ref="B4:B5"/>
  </mergeCells>
  <pageMargins left="0.48" right="0.24" top="0.75" bottom="0.46" header="0.3" footer="0.3"/>
  <pageSetup orientation="portrait" r:id="rId1"/>
  <headerFooter>
    <oddHeader>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H74"/>
  <sheetViews>
    <sheetView workbookViewId="0">
      <selection activeCell="E73" sqref="E73"/>
    </sheetView>
  </sheetViews>
  <sheetFormatPr defaultRowHeight="15"/>
  <cols>
    <col min="1" max="1" width="11" style="236" customWidth="1"/>
    <col min="2" max="2" width="11.5703125" style="1" customWidth="1"/>
    <col min="3" max="3" width="9.85546875" style="1" customWidth="1"/>
    <col min="4" max="4" width="11.140625" style="1" customWidth="1"/>
    <col min="6" max="6" width="10.5703125" bestFit="1" customWidth="1"/>
    <col min="7" max="7" width="10.28515625" bestFit="1" customWidth="1"/>
  </cols>
  <sheetData>
    <row r="1" spans="1:4">
      <c r="A1" s="257" t="s">
        <v>808</v>
      </c>
    </row>
    <row r="2" spans="1:4" ht="15.75" thickBot="1">
      <c r="A2" s="257" t="s">
        <v>1246</v>
      </c>
    </row>
    <row r="3" spans="1:4" ht="15.75" thickBot="1">
      <c r="A3" s="237" t="s">
        <v>809</v>
      </c>
      <c r="B3" s="234" t="s">
        <v>810</v>
      </c>
      <c r="C3" s="234" t="s">
        <v>811</v>
      </c>
      <c r="D3" s="235" t="s">
        <v>231</v>
      </c>
    </row>
    <row r="4" spans="1:4">
      <c r="A4" s="372" t="s">
        <v>1198</v>
      </c>
      <c r="B4" s="238"/>
      <c r="C4" s="239"/>
      <c r="D4" s="258"/>
    </row>
    <row r="5" spans="1:4">
      <c r="A5" s="250" t="s">
        <v>231</v>
      </c>
      <c r="B5" s="252">
        <f>SUM(B4:B4)</f>
        <v>0</v>
      </c>
      <c r="C5" s="252">
        <f>SUM(C4:C4)</f>
        <v>0</v>
      </c>
      <c r="D5" s="255">
        <f>SUM(D4:D4)</f>
        <v>0</v>
      </c>
    </row>
    <row r="6" spans="1:4">
      <c r="A6" s="240" t="s">
        <v>1199</v>
      </c>
      <c r="B6" s="231">
        <v>35242.699999999997</v>
      </c>
      <c r="C6" s="232">
        <v>140.97</v>
      </c>
      <c r="D6" s="259">
        <f>SUM(B6:C6)</f>
        <v>35383.67</v>
      </c>
    </row>
    <row r="7" spans="1:4">
      <c r="A7" s="240" t="s">
        <v>1200</v>
      </c>
      <c r="B7" s="232">
        <v>32425.599999999999</v>
      </c>
      <c r="C7" s="232">
        <v>132.94999999999999</v>
      </c>
      <c r="D7" s="259">
        <f t="shared" ref="D7:D9" si="0">SUM(B7:C7)</f>
        <v>32558.55</v>
      </c>
    </row>
    <row r="8" spans="1:4">
      <c r="A8" s="240" t="s">
        <v>1201</v>
      </c>
      <c r="B8" s="231">
        <v>16471.8</v>
      </c>
      <c r="C8" s="249">
        <v>69.180000000000007</v>
      </c>
      <c r="D8" s="259">
        <f t="shared" si="0"/>
        <v>16540.98</v>
      </c>
    </row>
    <row r="9" spans="1:4">
      <c r="A9" s="240" t="s">
        <v>1202</v>
      </c>
      <c r="B9" s="231">
        <v>34751.4</v>
      </c>
      <c r="C9" s="232">
        <v>139.01</v>
      </c>
      <c r="D9" s="259">
        <f t="shared" si="0"/>
        <v>34890.410000000003</v>
      </c>
    </row>
    <row r="10" spans="1:4">
      <c r="A10" s="250" t="s">
        <v>231</v>
      </c>
      <c r="B10" s="252">
        <f>SUM(B6:B9)</f>
        <v>118891.5</v>
      </c>
      <c r="C10" s="252">
        <f t="shared" ref="C10:D10" si="1">SUM(C6:C9)</f>
        <v>482.10999999999996</v>
      </c>
      <c r="D10" s="255">
        <f t="shared" si="1"/>
        <v>119373.61</v>
      </c>
    </row>
    <row r="11" spans="1:4">
      <c r="A11" s="240" t="s">
        <v>1203</v>
      </c>
      <c r="B11" s="231">
        <v>34753.699999999997</v>
      </c>
      <c r="C11" s="232">
        <v>142.29</v>
      </c>
      <c r="D11" s="259">
        <f t="shared" ref="D11:D14" si="2">SUM(B11:C11)</f>
        <v>34895.99</v>
      </c>
    </row>
    <row r="12" spans="1:4">
      <c r="A12" s="240" t="s">
        <v>1204</v>
      </c>
      <c r="B12" s="231">
        <v>20397.5</v>
      </c>
      <c r="C12" s="232">
        <v>81.59</v>
      </c>
      <c r="D12" s="259">
        <f t="shared" si="2"/>
        <v>20479.09</v>
      </c>
    </row>
    <row r="13" spans="1:4">
      <c r="A13" s="240" t="s">
        <v>1205</v>
      </c>
      <c r="B13" s="232">
        <v>32016.1</v>
      </c>
      <c r="C13" s="232">
        <v>128.06</v>
      </c>
      <c r="D13" s="259">
        <f t="shared" si="2"/>
        <v>32144.16</v>
      </c>
    </row>
    <row r="14" spans="1:4">
      <c r="A14" s="240" t="s">
        <v>1206</v>
      </c>
      <c r="B14" s="232">
        <v>36288.400000000001</v>
      </c>
      <c r="C14" s="232">
        <v>148.78</v>
      </c>
      <c r="D14" s="259">
        <f t="shared" si="2"/>
        <v>36437.18</v>
      </c>
    </row>
    <row r="15" spans="1:4">
      <c r="A15" s="250" t="s">
        <v>231</v>
      </c>
      <c r="B15" s="252">
        <f>SUM(B11:B14)</f>
        <v>123455.69999999998</v>
      </c>
      <c r="C15" s="252">
        <f>SUM(C11:C14)</f>
        <v>500.72</v>
      </c>
      <c r="D15" s="255">
        <f t="shared" ref="D15:D59" si="3">SUM(B15:C15)</f>
        <v>123956.41999999998</v>
      </c>
    </row>
    <row r="16" spans="1:4">
      <c r="A16" s="245" t="s">
        <v>1207</v>
      </c>
      <c r="B16" s="243">
        <v>34690.699999999997</v>
      </c>
      <c r="C16" s="246">
        <v>145.69999999999999</v>
      </c>
      <c r="D16" s="259">
        <f t="shared" si="3"/>
        <v>34836.399999999994</v>
      </c>
    </row>
    <row r="17" spans="1:4">
      <c r="A17" s="240" t="s">
        <v>1208</v>
      </c>
      <c r="B17" s="242">
        <v>33296.9</v>
      </c>
      <c r="C17" s="242">
        <v>133.19</v>
      </c>
      <c r="D17" s="259">
        <f t="shared" si="3"/>
        <v>33430.090000000004</v>
      </c>
    </row>
    <row r="18" spans="1:4">
      <c r="A18" s="240" t="s">
        <v>1209</v>
      </c>
      <c r="B18" s="244">
        <v>6523</v>
      </c>
      <c r="C18" s="242">
        <v>26.09</v>
      </c>
      <c r="D18" s="259">
        <f t="shared" si="3"/>
        <v>6549.09</v>
      </c>
    </row>
    <row r="19" spans="1:4">
      <c r="A19" s="240" t="s">
        <v>1210</v>
      </c>
      <c r="B19" s="242">
        <v>34596.800000000003</v>
      </c>
      <c r="C19" s="242">
        <v>141.85</v>
      </c>
      <c r="D19" s="259">
        <f t="shared" si="3"/>
        <v>34738.65</v>
      </c>
    </row>
    <row r="20" spans="1:4">
      <c r="A20" s="247" t="s">
        <v>1211</v>
      </c>
      <c r="B20" s="242">
        <v>36726.6</v>
      </c>
      <c r="C20" s="242">
        <v>150.58000000000001</v>
      </c>
      <c r="D20" s="259">
        <f t="shared" si="3"/>
        <v>36877.18</v>
      </c>
    </row>
    <row r="21" spans="1:4">
      <c r="A21" s="240" t="s">
        <v>1212</v>
      </c>
      <c r="B21" s="242">
        <v>14353.3</v>
      </c>
      <c r="C21" s="242">
        <v>57.41</v>
      </c>
      <c r="D21" s="259">
        <f t="shared" si="3"/>
        <v>14410.71</v>
      </c>
    </row>
    <row r="22" spans="1:4">
      <c r="A22" s="250" t="s">
        <v>231</v>
      </c>
      <c r="B22" s="252">
        <f>SUM(B16:B21)</f>
        <v>160187.29999999999</v>
      </c>
      <c r="C22" s="252">
        <f>SUM(C16:C21)</f>
        <v>654.81999999999994</v>
      </c>
      <c r="D22" s="255">
        <f t="shared" si="3"/>
        <v>160842.12</v>
      </c>
    </row>
    <row r="23" spans="1:4">
      <c r="A23" s="240" t="s">
        <v>1213</v>
      </c>
      <c r="B23" s="231">
        <v>34033.9</v>
      </c>
      <c r="C23" s="232">
        <v>139.54</v>
      </c>
      <c r="D23" s="259">
        <f>SUM(B23:C23)</f>
        <v>34173.440000000002</v>
      </c>
    </row>
    <row r="24" spans="1:4">
      <c r="A24" s="240" t="s">
        <v>1214</v>
      </c>
      <c r="B24" s="231">
        <v>34193.699999999997</v>
      </c>
      <c r="C24" s="232">
        <v>140.19</v>
      </c>
      <c r="D24" s="259">
        <f>SUM(B24:C24)</f>
        <v>34333.89</v>
      </c>
    </row>
    <row r="25" spans="1:4">
      <c r="A25" s="240" t="s">
        <v>1215</v>
      </c>
      <c r="B25" s="231">
        <v>34324.199999999997</v>
      </c>
      <c r="C25" s="232">
        <v>144.16</v>
      </c>
      <c r="D25" s="259">
        <f t="shared" ref="D25:D63" si="4">SUM(B25:C25)</f>
        <v>34468.36</v>
      </c>
    </row>
    <row r="26" spans="1:4">
      <c r="A26" s="240" t="s">
        <v>1216</v>
      </c>
      <c r="B26" s="231">
        <v>35133.9</v>
      </c>
      <c r="C26" s="232">
        <v>144.1</v>
      </c>
      <c r="D26" s="259">
        <f t="shared" si="4"/>
        <v>35278</v>
      </c>
    </row>
    <row r="27" spans="1:4">
      <c r="A27" s="240" t="s">
        <v>1217</v>
      </c>
      <c r="B27" s="231">
        <v>19084.2</v>
      </c>
      <c r="C27" s="232">
        <v>78.25</v>
      </c>
      <c r="D27" s="259">
        <f t="shared" si="4"/>
        <v>19162.45</v>
      </c>
    </row>
    <row r="28" spans="1:4">
      <c r="A28" s="240" t="s">
        <v>1218</v>
      </c>
      <c r="B28" s="231">
        <v>36010.1</v>
      </c>
      <c r="C28" s="232">
        <v>147.63999999999999</v>
      </c>
      <c r="D28" s="259">
        <f t="shared" si="4"/>
        <v>36157.74</v>
      </c>
    </row>
    <row r="29" spans="1:4">
      <c r="A29" s="250" t="s">
        <v>231</v>
      </c>
      <c r="B29" s="252">
        <f>SUM(B23:B28)</f>
        <v>192780.00000000003</v>
      </c>
      <c r="C29" s="252">
        <f>SUM(C23:C28)</f>
        <v>793.88</v>
      </c>
      <c r="D29" s="255">
        <f t="shared" si="3"/>
        <v>193573.88000000003</v>
      </c>
    </row>
    <row r="30" spans="1:4">
      <c r="A30" s="240" t="s">
        <v>1219</v>
      </c>
      <c r="B30" s="232">
        <v>21074.2</v>
      </c>
      <c r="C30" s="232">
        <v>84.3</v>
      </c>
      <c r="D30" s="259">
        <f t="shared" si="4"/>
        <v>21158.5</v>
      </c>
    </row>
    <row r="31" spans="1:4">
      <c r="A31" s="240" t="s">
        <v>1220</v>
      </c>
      <c r="B31" s="231">
        <v>34019.4</v>
      </c>
      <c r="C31" s="232">
        <v>142.88</v>
      </c>
      <c r="D31" s="259">
        <f t="shared" si="4"/>
        <v>34162.28</v>
      </c>
    </row>
    <row r="32" spans="1:4">
      <c r="A32" s="240" t="s">
        <v>1221</v>
      </c>
      <c r="B32" s="232">
        <v>36115.599999999999</v>
      </c>
      <c r="C32" s="232">
        <v>148.07</v>
      </c>
      <c r="D32" s="259">
        <f t="shared" si="4"/>
        <v>36263.67</v>
      </c>
    </row>
    <row r="33" spans="1:4">
      <c r="A33" s="240" t="s">
        <v>1222</v>
      </c>
      <c r="B33" s="231">
        <v>37697.4</v>
      </c>
      <c r="C33" s="232">
        <v>154.56</v>
      </c>
      <c r="D33" s="259">
        <f t="shared" si="4"/>
        <v>37851.96</v>
      </c>
    </row>
    <row r="34" spans="1:4">
      <c r="A34" s="240" t="s">
        <v>1223</v>
      </c>
      <c r="B34" s="231">
        <v>35737.1</v>
      </c>
      <c r="C34" s="232">
        <v>150.1</v>
      </c>
      <c r="D34" s="259">
        <f t="shared" si="4"/>
        <v>35887.199999999997</v>
      </c>
    </row>
    <row r="35" spans="1:4">
      <c r="A35" s="250" t="s">
        <v>231</v>
      </c>
      <c r="B35" s="252">
        <f>SUM(B30:B34)</f>
        <v>164643.70000000001</v>
      </c>
      <c r="C35" s="252">
        <f>SUM(C30:C34)</f>
        <v>679.91</v>
      </c>
      <c r="D35" s="255">
        <f t="shared" si="3"/>
        <v>165323.61000000002</v>
      </c>
    </row>
    <row r="36" spans="1:4">
      <c r="A36" s="240" t="s">
        <v>1224</v>
      </c>
      <c r="B36" s="231">
        <v>35516.5</v>
      </c>
      <c r="C36" s="232">
        <v>145.62</v>
      </c>
      <c r="D36" s="259">
        <f t="shared" si="4"/>
        <v>35662.120000000003</v>
      </c>
    </row>
    <row r="37" spans="1:4">
      <c r="A37" s="240" t="s">
        <v>1225</v>
      </c>
      <c r="B37" s="232">
        <v>11230.1</v>
      </c>
      <c r="C37" s="232">
        <v>46.04</v>
      </c>
      <c r="D37" s="259">
        <f t="shared" si="4"/>
        <v>11276.140000000001</v>
      </c>
    </row>
    <row r="38" spans="1:4">
      <c r="A38" s="240" t="s">
        <v>1226</v>
      </c>
      <c r="B38" s="231">
        <v>31089.8</v>
      </c>
      <c r="C38" s="232">
        <v>130.58000000000001</v>
      </c>
      <c r="D38" s="259">
        <f t="shared" si="4"/>
        <v>31220.38</v>
      </c>
    </row>
    <row r="39" spans="1:4">
      <c r="A39" s="240" t="s">
        <v>1227</v>
      </c>
      <c r="B39" s="232">
        <v>35742.1</v>
      </c>
      <c r="C39" s="232">
        <v>150.12</v>
      </c>
      <c r="D39" s="259">
        <f t="shared" si="4"/>
        <v>35892.22</v>
      </c>
    </row>
    <row r="40" spans="1:4">
      <c r="A40" s="250" t="s">
        <v>231</v>
      </c>
      <c r="B40" s="252">
        <f>SUM(B36:B39)</f>
        <v>113578.5</v>
      </c>
      <c r="C40" s="252">
        <f>SUM(C36:C39)</f>
        <v>472.36</v>
      </c>
      <c r="D40" s="255">
        <f t="shared" si="3"/>
        <v>114050.86</v>
      </c>
    </row>
    <row r="41" spans="1:4">
      <c r="A41" s="240" t="s">
        <v>1228</v>
      </c>
      <c r="B41" s="232">
        <v>35634.699999999997</v>
      </c>
      <c r="C41" s="232">
        <v>146.1</v>
      </c>
      <c r="D41" s="259">
        <f t="shared" si="4"/>
        <v>35780.799999999996</v>
      </c>
    </row>
    <row r="42" spans="1:4">
      <c r="A42" s="240" t="s">
        <v>1229</v>
      </c>
      <c r="B42" s="231">
        <v>19069.400000000001</v>
      </c>
      <c r="C42" s="232">
        <v>80</v>
      </c>
      <c r="D42" s="259">
        <f t="shared" si="4"/>
        <v>19149.400000000001</v>
      </c>
    </row>
    <row r="43" spans="1:4">
      <c r="A43" s="240" t="s">
        <v>1230</v>
      </c>
      <c r="B43" s="231">
        <v>32448.400000000001</v>
      </c>
      <c r="C43" s="232">
        <v>133.04</v>
      </c>
      <c r="D43" s="259">
        <f t="shared" si="4"/>
        <v>32581.440000000002</v>
      </c>
    </row>
    <row r="44" spans="1:4">
      <c r="A44" s="250" t="s">
        <v>231</v>
      </c>
      <c r="B44" s="252">
        <f>SUM(B41:B43)</f>
        <v>87152.5</v>
      </c>
      <c r="C44" s="252">
        <f>SUM(C41:C43)</f>
        <v>359.14</v>
      </c>
      <c r="D44" s="255">
        <f t="shared" si="3"/>
        <v>87511.64</v>
      </c>
    </row>
    <row r="45" spans="1:4">
      <c r="A45" s="240" t="s">
        <v>1231</v>
      </c>
      <c r="B45" s="231">
        <v>35267.4</v>
      </c>
      <c r="C45" s="232">
        <v>148.12</v>
      </c>
      <c r="D45" s="259">
        <f t="shared" si="4"/>
        <v>35415.520000000004</v>
      </c>
    </row>
    <row r="46" spans="1:4">
      <c r="A46" s="240" t="s">
        <v>1232</v>
      </c>
      <c r="B46" s="231">
        <v>31719.8</v>
      </c>
      <c r="C46" s="232">
        <v>136.4</v>
      </c>
      <c r="D46" s="259">
        <f t="shared" si="4"/>
        <v>31856.2</v>
      </c>
    </row>
    <row r="47" spans="1:4">
      <c r="A47" s="241" t="s">
        <v>1233</v>
      </c>
      <c r="B47" s="232">
        <v>19093.599999999999</v>
      </c>
      <c r="C47" s="232">
        <v>76.400000000000006</v>
      </c>
      <c r="D47" s="259">
        <f t="shared" si="4"/>
        <v>19170</v>
      </c>
    </row>
    <row r="48" spans="1:4">
      <c r="A48" s="240" t="s">
        <v>1234</v>
      </c>
      <c r="B48" s="231">
        <v>35372.1</v>
      </c>
      <c r="C48" s="232">
        <v>145</v>
      </c>
      <c r="D48" s="259">
        <f t="shared" si="4"/>
        <v>35517.1</v>
      </c>
    </row>
    <row r="49" spans="1:4">
      <c r="A49" s="240" t="s">
        <v>1235</v>
      </c>
      <c r="B49" s="231">
        <v>34247.300000000003</v>
      </c>
      <c r="C49" s="232">
        <v>140.41</v>
      </c>
      <c r="D49" s="259">
        <f t="shared" si="4"/>
        <v>34387.710000000006</v>
      </c>
    </row>
    <row r="50" spans="1:4">
      <c r="A50" s="240" t="s">
        <v>1236</v>
      </c>
      <c r="B50" s="231">
        <v>35580.1</v>
      </c>
      <c r="C50" s="232">
        <v>142.32</v>
      </c>
      <c r="D50" s="259">
        <f t="shared" si="4"/>
        <v>35722.42</v>
      </c>
    </row>
    <row r="51" spans="1:4">
      <c r="A51" s="250" t="s">
        <v>231</v>
      </c>
      <c r="B51" s="251">
        <f>SUM(B45:B50)</f>
        <v>191280.30000000002</v>
      </c>
      <c r="C51" s="252">
        <f>SUM(C45:C50)</f>
        <v>788.64999999999986</v>
      </c>
      <c r="D51" s="255">
        <f t="shared" si="3"/>
        <v>192068.95</v>
      </c>
    </row>
    <row r="52" spans="1:4">
      <c r="A52" s="240" t="s">
        <v>1237</v>
      </c>
      <c r="B52" s="231">
        <v>17047.099999999999</v>
      </c>
      <c r="C52" s="231">
        <v>69.89</v>
      </c>
      <c r="D52" s="259">
        <f t="shared" si="4"/>
        <v>17116.989999999998</v>
      </c>
    </row>
    <row r="53" spans="1:4">
      <c r="A53" s="240" t="s">
        <v>1238</v>
      </c>
      <c r="B53" s="233">
        <v>33664.800000000003</v>
      </c>
      <c r="C53" s="231">
        <v>134.66</v>
      </c>
      <c r="D53" s="259">
        <f t="shared" si="4"/>
        <v>33799.460000000006</v>
      </c>
    </row>
    <row r="54" spans="1:4">
      <c r="A54" s="240" t="s">
        <v>1239</v>
      </c>
      <c r="B54" s="231">
        <v>34626.6</v>
      </c>
      <c r="C54" s="231">
        <v>138.51</v>
      </c>
      <c r="D54" s="259">
        <f t="shared" si="4"/>
        <v>34765.11</v>
      </c>
    </row>
    <row r="55" spans="1:4">
      <c r="A55" s="240" t="s">
        <v>1240</v>
      </c>
      <c r="B55" s="231">
        <v>34912.800000000003</v>
      </c>
      <c r="C55" s="231">
        <v>139.65</v>
      </c>
      <c r="D55" s="259">
        <f t="shared" si="4"/>
        <v>35052.450000000004</v>
      </c>
    </row>
    <row r="56" spans="1:4">
      <c r="A56" s="250" t="s">
        <v>231</v>
      </c>
      <c r="B56" s="252">
        <f>SUM(B52:B55)</f>
        <v>120251.3</v>
      </c>
      <c r="C56" s="254">
        <f>SUM(C52:C55)</f>
        <v>482.71000000000004</v>
      </c>
      <c r="D56" s="255">
        <f>SUM(B56:C56)</f>
        <v>120734.01000000001</v>
      </c>
    </row>
    <row r="57" spans="1:4">
      <c r="A57" s="248" t="s">
        <v>1241</v>
      </c>
      <c r="B57" s="233">
        <v>32520.6</v>
      </c>
      <c r="C57" s="233">
        <v>130.08000000000001</v>
      </c>
      <c r="D57" s="259">
        <f t="shared" si="4"/>
        <v>32650.68</v>
      </c>
    </row>
    <row r="58" spans="1:4">
      <c r="A58" s="245" t="s">
        <v>1242</v>
      </c>
      <c r="B58" s="233">
        <v>35452</v>
      </c>
      <c r="C58" s="233">
        <v>145.35</v>
      </c>
      <c r="D58" s="259">
        <f t="shared" si="4"/>
        <v>35597.35</v>
      </c>
    </row>
    <row r="59" spans="1:4">
      <c r="A59" s="250" t="s">
        <v>231</v>
      </c>
      <c r="B59" s="253">
        <f>SUM(B57:B58)</f>
        <v>67972.600000000006</v>
      </c>
      <c r="C59" s="253">
        <f>SUM(C57:C58)</f>
        <v>275.43</v>
      </c>
      <c r="D59" s="255">
        <f t="shared" si="3"/>
        <v>68248.03</v>
      </c>
    </row>
    <row r="60" spans="1:4">
      <c r="A60" s="240" t="s">
        <v>1243</v>
      </c>
      <c r="B60" s="231">
        <v>36274.699999999997</v>
      </c>
      <c r="C60" s="231">
        <v>152.35</v>
      </c>
      <c r="D60" s="259">
        <f t="shared" si="4"/>
        <v>36427.049999999996</v>
      </c>
    </row>
    <row r="61" spans="1:4">
      <c r="A61" s="240" t="s">
        <v>1244</v>
      </c>
      <c r="B61" s="231">
        <v>9990</v>
      </c>
      <c r="C61" s="231">
        <v>40.96</v>
      </c>
      <c r="D61" s="259">
        <f t="shared" si="4"/>
        <v>10030.959999999999</v>
      </c>
    </row>
    <row r="62" spans="1:4">
      <c r="A62" s="240" t="s">
        <v>1245</v>
      </c>
      <c r="B62" s="231">
        <v>32972.300000000003</v>
      </c>
      <c r="C62" s="231">
        <v>138.47999999999999</v>
      </c>
      <c r="D62" s="259">
        <f t="shared" si="4"/>
        <v>33110.780000000006</v>
      </c>
    </row>
    <row r="63" spans="1:4">
      <c r="A63" s="240" t="s">
        <v>1986</v>
      </c>
      <c r="B63" s="231">
        <v>15538.5</v>
      </c>
      <c r="C63" s="231">
        <v>65.260000000000005</v>
      </c>
      <c r="D63" s="259">
        <f t="shared" si="4"/>
        <v>15603.76</v>
      </c>
    </row>
    <row r="64" spans="1:4" ht="15.75" thickBot="1">
      <c r="A64" s="250" t="s">
        <v>231</v>
      </c>
      <c r="B64" s="252">
        <f>SUM(B60:B63)</f>
        <v>94775.5</v>
      </c>
      <c r="C64" s="252">
        <f t="shared" ref="C64:D64" si="5">SUM(C60:C63)</f>
        <v>397.04999999999995</v>
      </c>
      <c r="D64" s="255">
        <f t="shared" si="5"/>
        <v>95172.55</v>
      </c>
    </row>
    <row r="65" spans="1:8" ht="15.75" thickBot="1">
      <c r="A65" s="237" t="s">
        <v>231</v>
      </c>
      <c r="B65" s="256">
        <f>SUM(B5+B10+B15+B22+B29+B35+B40+B44+B51+B56+B59+B64)</f>
        <v>1434968.9000000001</v>
      </c>
      <c r="C65" s="256">
        <f t="shared" ref="C65:D65" si="6">SUM(C5+C10+C15+C22+C29+C35+C40+C44+C51+C56+C59+C64)</f>
        <v>5886.78</v>
      </c>
      <c r="D65" s="373">
        <f t="shared" si="6"/>
        <v>1440855.6800000002</v>
      </c>
    </row>
    <row r="66" spans="1:8" ht="15.75" thickBot="1"/>
    <row r="67" spans="1:8" ht="15.75" thickBot="1">
      <c r="A67" s="667" t="s">
        <v>812</v>
      </c>
      <c r="B67" s="668"/>
      <c r="C67" s="668"/>
      <c r="D67" s="235" t="s">
        <v>217</v>
      </c>
    </row>
    <row r="68" spans="1:8">
      <c r="A68" s="669" t="s">
        <v>1970</v>
      </c>
      <c r="B68" s="670"/>
      <c r="C68" s="670"/>
      <c r="D68" s="374">
        <f>71087.95</f>
        <v>71087.95</v>
      </c>
      <c r="G68" s="6"/>
    </row>
    <row r="69" spans="1:8">
      <c r="A69" s="663" t="s">
        <v>813</v>
      </c>
      <c r="B69" s="664"/>
      <c r="C69" s="664"/>
      <c r="D69" s="375">
        <v>1434968.9</v>
      </c>
      <c r="F69" s="6"/>
      <c r="G69" s="6"/>
      <c r="H69" s="260"/>
    </row>
    <row r="70" spans="1:8">
      <c r="A70" s="663" t="s">
        <v>814</v>
      </c>
      <c r="B70" s="664"/>
      <c r="C70" s="664"/>
      <c r="D70" s="376">
        <f>SUM(D68:D69)</f>
        <v>1506056.8499999999</v>
      </c>
    </row>
    <row r="71" spans="1:8">
      <c r="A71" s="663" t="s">
        <v>815</v>
      </c>
      <c r="B71" s="664"/>
      <c r="C71" s="664"/>
      <c r="D71" s="375">
        <v>1487112</v>
      </c>
    </row>
    <row r="72" spans="1:8">
      <c r="A72" s="663" t="s">
        <v>816</v>
      </c>
      <c r="B72" s="664"/>
      <c r="C72" s="664"/>
      <c r="D72" s="375">
        <v>235</v>
      </c>
    </row>
    <row r="73" spans="1:8">
      <c r="A73" s="663" t="s">
        <v>2111</v>
      </c>
      <c r="B73" s="664"/>
      <c r="C73" s="664"/>
      <c r="D73" s="375">
        <f>D70-D71+D72</f>
        <v>19179.84999999986</v>
      </c>
    </row>
    <row r="74" spans="1:8" ht="15.75" thickBot="1">
      <c r="A74" s="665" t="s">
        <v>2112</v>
      </c>
      <c r="B74" s="666"/>
      <c r="C74" s="666"/>
      <c r="D74" s="644">
        <v>50672.93</v>
      </c>
    </row>
  </sheetData>
  <mergeCells count="8">
    <mergeCell ref="A73:C73"/>
    <mergeCell ref="A74:C74"/>
    <mergeCell ref="A67:C67"/>
    <mergeCell ref="A68:C68"/>
    <mergeCell ref="A69:C69"/>
    <mergeCell ref="A70:C70"/>
    <mergeCell ref="A71:C71"/>
    <mergeCell ref="A72:C72"/>
  </mergeCells>
  <pageMargins left="0.7" right="0.7" top="0.75" bottom="0.75" header="0.3" footer="0.3"/>
  <pageSetup orientation="portrait" verticalDpi="0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E24"/>
  <sheetViews>
    <sheetView workbookViewId="0">
      <selection activeCell="F21" sqref="F21"/>
    </sheetView>
  </sheetViews>
  <sheetFormatPr defaultRowHeight="15"/>
  <cols>
    <col min="1" max="1" width="26.28515625" customWidth="1"/>
    <col min="2" max="2" width="11.140625" customWidth="1"/>
    <col min="3" max="3" width="11.28515625" customWidth="1"/>
    <col min="4" max="4" width="10.140625" customWidth="1"/>
  </cols>
  <sheetData>
    <row r="1" spans="1:4">
      <c r="A1" s="3" t="s">
        <v>213</v>
      </c>
      <c r="B1" s="3"/>
      <c r="C1" s="3"/>
      <c r="D1" s="3"/>
    </row>
    <row r="2" spans="1:4">
      <c r="A2" s="3" t="s">
        <v>1247</v>
      </c>
      <c r="B2" s="3"/>
      <c r="C2" s="3"/>
      <c r="D2" s="3"/>
    </row>
    <row r="3" spans="1:4" ht="15.75" thickBot="1">
      <c r="A3" s="3"/>
      <c r="B3" s="3"/>
      <c r="C3" s="3"/>
      <c r="D3" s="3"/>
    </row>
    <row r="4" spans="1:4">
      <c r="A4" s="19" t="s">
        <v>214</v>
      </c>
      <c r="B4" s="19" t="s">
        <v>215</v>
      </c>
      <c r="C4" s="19" t="s">
        <v>216</v>
      </c>
      <c r="D4" s="19" t="s">
        <v>217</v>
      </c>
    </row>
    <row r="5" spans="1:4" ht="15.75" thickBot="1">
      <c r="A5" s="377" t="s">
        <v>218</v>
      </c>
      <c r="B5" s="377" t="s">
        <v>219</v>
      </c>
      <c r="C5" s="377" t="s">
        <v>219</v>
      </c>
      <c r="D5" s="377" t="s">
        <v>219</v>
      </c>
    </row>
    <row r="6" spans="1:4">
      <c r="A6" s="110" t="s">
        <v>220</v>
      </c>
      <c r="B6" s="89">
        <v>24</v>
      </c>
      <c r="C6" s="116">
        <f>D6/24</f>
        <v>616</v>
      </c>
      <c r="D6" s="382">
        <v>14784</v>
      </c>
    </row>
    <row r="7" spans="1:4" ht="15.75" thickBot="1">
      <c r="A7" s="111" t="s">
        <v>221</v>
      </c>
      <c r="B7" s="22">
        <v>24</v>
      </c>
      <c r="C7" s="117">
        <f>D7/24</f>
        <v>2556</v>
      </c>
      <c r="D7" s="383">
        <v>61344</v>
      </c>
    </row>
    <row r="8" spans="1:4" ht="15.75" thickBot="1">
      <c r="A8" s="112"/>
      <c r="B8" s="71"/>
      <c r="C8" s="115"/>
      <c r="D8" s="384"/>
    </row>
    <row r="9" spans="1:4">
      <c r="A9" s="110" t="s">
        <v>222</v>
      </c>
      <c r="B9" s="89">
        <v>30</v>
      </c>
      <c r="C9" s="116">
        <f>D9/30</f>
        <v>14359</v>
      </c>
      <c r="D9" s="382">
        <v>430770</v>
      </c>
    </row>
    <row r="10" spans="1:4">
      <c r="A10" s="113" t="s">
        <v>226</v>
      </c>
      <c r="B10" s="5">
        <v>24</v>
      </c>
      <c r="C10" s="20">
        <f t="shared" ref="C10" si="0">D10/24</f>
        <v>249</v>
      </c>
      <c r="D10" s="385">
        <v>5976</v>
      </c>
    </row>
    <row r="11" spans="1:4">
      <c r="A11" s="113" t="s">
        <v>1297</v>
      </c>
      <c r="B11" s="10">
        <v>21</v>
      </c>
      <c r="C11" s="20">
        <f>D11/21</f>
        <v>581</v>
      </c>
      <c r="D11" s="385">
        <v>12201</v>
      </c>
    </row>
    <row r="12" spans="1:4">
      <c r="A12" s="113" t="s">
        <v>1298</v>
      </c>
      <c r="B12" s="10">
        <v>21</v>
      </c>
      <c r="C12" s="20">
        <f>D12/21</f>
        <v>97</v>
      </c>
      <c r="D12" s="385">
        <v>2037</v>
      </c>
    </row>
    <row r="13" spans="1:4">
      <c r="A13" s="113" t="s">
        <v>1299</v>
      </c>
      <c r="B13" s="5">
        <v>22</v>
      </c>
      <c r="C13" s="20">
        <f>D13/22</f>
        <v>651</v>
      </c>
      <c r="D13" s="385">
        <v>14322</v>
      </c>
    </row>
    <row r="14" spans="1:4" ht="15.75" thickBot="1">
      <c r="A14" s="111" t="s">
        <v>1300</v>
      </c>
      <c r="B14" s="22">
        <v>22</v>
      </c>
      <c r="C14" s="117">
        <f>D14/22</f>
        <v>177</v>
      </c>
      <c r="D14" s="383">
        <v>3894</v>
      </c>
    </row>
    <row r="15" spans="1:4" ht="15.75" thickBot="1">
      <c r="A15" s="112"/>
      <c r="B15" s="71"/>
      <c r="C15" s="115"/>
      <c r="D15" s="384"/>
    </row>
    <row r="16" spans="1:4">
      <c r="A16" s="110" t="s">
        <v>223</v>
      </c>
      <c r="B16" s="89">
        <v>24</v>
      </c>
      <c r="C16" s="116">
        <f t="shared" ref="C16:C18" si="1">D16/24</f>
        <v>5263</v>
      </c>
      <c r="D16" s="382">
        <v>126312</v>
      </c>
    </row>
    <row r="17" spans="1:5">
      <c r="A17" s="113" t="s">
        <v>224</v>
      </c>
      <c r="B17" s="5">
        <v>24</v>
      </c>
      <c r="C17" s="20">
        <f t="shared" si="1"/>
        <v>2852</v>
      </c>
      <c r="D17" s="385">
        <v>68448</v>
      </c>
    </row>
    <row r="18" spans="1:5" ht="15.75" thickBot="1">
      <c r="A18" s="111" t="s">
        <v>225</v>
      </c>
      <c r="B18" s="22">
        <v>24</v>
      </c>
      <c r="C18" s="117">
        <f t="shared" si="1"/>
        <v>26222</v>
      </c>
      <c r="D18" s="383">
        <v>629328</v>
      </c>
      <c r="E18" s="80"/>
    </row>
    <row r="19" spans="1:5" ht="15.75" thickBot="1">
      <c r="A19" s="112"/>
      <c r="B19" s="71"/>
      <c r="C19" s="115"/>
      <c r="D19" s="384"/>
    </row>
    <row r="20" spans="1:5">
      <c r="A20" s="110" t="s">
        <v>227</v>
      </c>
      <c r="B20" s="89">
        <v>12</v>
      </c>
      <c r="C20" s="116">
        <f t="shared" ref="C20:C21" si="2">D20/12</f>
        <v>8277</v>
      </c>
      <c r="D20" s="382">
        <v>99324</v>
      </c>
    </row>
    <row r="21" spans="1:5" ht="15.75" thickBot="1">
      <c r="A21" s="111" t="s">
        <v>228</v>
      </c>
      <c r="B21" s="22">
        <v>12</v>
      </c>
      <c r="C21" s="117">
        <f t="shared" si="2"/>
        <v>1531</v>
      </c>
      <c r="D21" s="383">
        <v>18372</v>
      </c>
    </row>
    <row r="22" spans="1:5" ht="15.75" thickBot="1">
      <c r="A22" s="378" t="s">
        <v>229</v>
      </c>
      <c r="B22" s="379"/>
      <c r="C22" s="380">
        <f>SUM(C6:C21)</f>
        <v>63431</v>
      </c>
      <c r="D22" s="386">
        <f>SUM(D6:D21)</f>
        <v>1487112</v>
      </c>
    </row>
    <row r="24" spans="1:5">
      <c r="D24" s="80"/>
    </row>
  </sheetData>
  <pageMargins left="1.39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11"/>
  <sheetViews>
    <sheetView workbookViewId="0">
      <pane ySplit="4" topLeftCell="A486" activePane="bottomLeft" state="frozen"/>
      <selection pane="bottomLeft" activeCell="E506" sqref="E506:L506"/>
    </sheetView>
  </sheetViews>
  <sheetFormatPr defaultRowHeight="15"/>
  <cols>
    <col min="1" max="1" width="10" style="26" customWidth="1"/>
    <col min="2" max="2" width="9.140625" style="26"/>
    <col min="3" max="6" width="9.5703125" style="26" bestFit="1" customWidth="1"/>
    <col min="7" max="7" width="11.5703125" style="26" bestFit="1" customWidth="1"/>
    <col min="8" max="8" width="9.5703125" style="26" customWidth="1"/>
    <col min="9" max="9" width="9.5703125" style="26" bestFit="1" customWidth="1"/>
    <col min="10" max="10" width="9.140625" style="26"/>
    <col min="11" max="11" width="9.7109375" style="26" bestFit="1" customWidth="1"/>
    <col min="12" max="12" width="11.5703125" style="26" customWidth="1"/>
    <col min="13" max="16384" width="9.140625" style="26"/>
  </cols>
  <sheetData>
    <row r="1" spans="1:9">
      <c r="A1" s="26" t="s">
        <v>802</v>
      </c>
    </row>
    <row r="2" spans="1:9" ht="15.75" thickBot="1">
      <c r="A2" s="26" t="s">
        <v>1067</v>
      </c>
    </row>
    <row r="3" spans="1:9" s="279" customFormat="1" ht="15.75" thickBot="1">
      <c r="A3" s="708" t="s">
        <v>803</v>
      </c>
      <c r="B3" s="708" t="s">
        <v>804</v>
      </c>
      <c r="C3" s="688" t="s">
        <v>1979</v>
      </c>
      <c r="D3" s="689"/>
      <c r="E3" s="690"/>
      <c r="F3" s="688" t="s">
        <v>1040</v>
      </c>
      <c r="G3" s="689"/>
      <c r="H3" s="689"/>
      <c r="I3" s="690"/>
    </row>
    <row r="4" spans="1:9" s="474" customFormat="1" ht="30.75" thickBot="1">
      <c r="A4" s="709"/>
      <c r="B4" s="710"/>
      <c r="C4" s="473" t="s">
        <v>1065</v>
      </c>
      <c r="D4" s="470" t="s">
        <v>806</v>
      </c>
      <c r="E4" s="471" t="s">
        <v>1039</v>
      </c>
      <c r="F4" s="470" t="s">
        <v>807</v>
      </c>
      <c r="G4" s="469" t="s">
        <v>823</v>
      </c>
      <c r="H4" s="472" t="s">
        <v>1041</v>
      </c>
      <c r="I4" s="470" t="s">
        <v>805</v>
      </c>
    </row>
    <row r="5" spans="1:9">
      <c r="A5" s="389" t="s">
        <v>872</v>
      </c>
      <c r="B5" s="394" t="s">
        <v>232</v>
      </c>
      <c r="C5" s="400"/>
      <c r="D5" s="396"/>
      <c r="E5" s="395"/>
      <c r="F5" s="397"/>
      <c r="G5" s="398">
        <v>5013</v>
      </c>
      <c r="H5" s="399"/>
      <c r="I5" s="396"/>
    </row>
    <row r="6" spans="1:9">
      <c r="A6" s="390" t="s">
        <v>873</v>
      </c>
      <c r="B6" s="401" t="s">
        <v>233</v>
      </c>
      <c r="C6" s="406"/>
      <c r="D6" s="403"/>
      <c r="E6" s="404"/>
      <c r="F6" s="405"/>
      <c r="G6" s="404"/>
      <c r="H6" s="403"/>
      <c r="I6" s="408">
        <v>13755</v>
      </c>
    </row>
    <row r="7" spans="1:9">
      <c r="A7" s="390" t="s">
        <v>874</v>
      </c>
      <c r="B7" s="407" t="s">
        <v>234</v>
      </c>
      <c r="C7" s="406"/>
      <c r="D7" s="408">
        <v>7056</v>
      </c>
      <c r="E7" s="404"/>
      <c r="F7" s="405"/>
      <c r="G7" s="404"/>
      <c r="H7" s="403"/>
      <c r="I7" s="403"/>
    </row>
    <row r="8" spans="1:9">
      <c r="A8" s="390" t="s">
        <v>875</v>
      </c>
      <c r="B8" s="401" t="s">
        <v>235</v>
      </c>
      <c r="C8" s="460">
        <v>4095</v>
      </c>
      <c r="D8" s="403"/>
      <c r="E8" s="404"/>
      <c r="F8" s="403"/>
      <c r="G8" s="404"/>
      <c r="H8" s="403"/>
      <c r="I8" s="403"/>
    </row>
    <row r="9" spans="1:9">
      <c r="A9" s="390" t="s">
        <v>876</v>
      </c>
      <c r="B9" s="407" t="s">
        <v>236</v>
      </c>
      <c r="C9" s="407"/>
      <c r="D9" s="403"/>
      <c r="E9" s="410"/>
      <c r="F9" s="403"/>
      <c r="G9" s="404"/>
      <c r="H9" s="403"/>
      <c r="I9" s="408">
        <v>14010</v>
      </c>
    </row>
    <row r="10" spans="1:9">
      <c r="A10" s="390" t="s">
        <v>877</v>
      </c>
      <c r="B10" s="401" t="s">
        <v>237</v>
      </c>
      <c r="C10" s="407"/>
      <c r="D10" s="408">
        <v>7434</v>
      </c>
      <c r="E10" s="410"/>
      <c r="F10" s="403"/>
      <c r="G10" s="404"/>
      <c r="H10" s="403"/>
      <c r="I10" s="403"/>
    </row>
    <row r="11" spans="1:9">
      <c r="A11" s="390" t="s">
        <v>878</v>
      </c>
      <c r="B11" s="407" t="s">
        <v>238</v>
      </c>
      <c r="C11" s="460">
        <v>264</v>
      </c>
      <c r="D11" s="403"/>
      <c r="E11" s="404"/>
      <c r="F11" s="403"/>
      <c r="G11" s="404"/>
      <c r="H11" s="403"/>
      <c r="I11" s="403"/>
    </row>
    <row r="12" spans="1:9">
      <c r="A12" s="390" t="s">
        <v>879</v>
      </c>
      <c r="B12" s="401" t="s">
        <v>239</v>
      </c>
      <c r="C12" s="407"/>
      <c r="D12" s="403"/>
      <c r="E12" s="402">
        <v>7941</v>
      </c>
      <c r="F12" s="403"/>
      <c r="G12" s="410"/>
      <c r="H12" s="405"/>
      <c r="I12" s="403"/>
    </row>
    <row r="13" spans="1:9">
      <c r="A13" s="390" t="s">
        <v>880</v>
      </c>
      <c r="B13" s="407" t="s">
        <v>240</v>
      </c>
      <c r="C13" s="411"/>
      <c r="D13" s="403"/>
      <c r="E13" s="404"/>
      <c r="F13" s="408">
        <v>4620</v>
      </c>
      <c r="G13" s="404"/>
      <c r="H13" s="403"/>
      <c r="I13" s="403"/>
    </row>
    <row r="14" spans="1:9">
      <c r="A14" s="390" t="s">
        <v>880</v>
      </c>
      <c r="B14" s="401" t="s">
        <v>241</v>
      </c>
      <c r="C14" s="411"/>
      <c r="D14" s="403"/>
      <c r="E14" s="404"/>
      <c r="F14" s="408">
        <v>2700</v>
      </c>
      <c r="G14" s="404"/>
      <c r="H14" s="403"/>
      <c r="I14" s="403"/>
    </row>
    <row r="15" spans="1:9">
      <c r="A15" s="390" t="s">
        <v>880</v>
      </c>
      <c r="B15" s="407" t="s">
        <v>242</v>
      </c>
      <c r="C15" s="411"/>
      <c r="D15" s="403"/>
      <c r="E15" s="404"/>
      <c r="F15" s="408">
        <v>2760</v>
      </c>
      <c r="G15" s="404"/>
      <c r="H15" s="403"/>
      <c r="I15" s="403"/>
    </row>
    <row r="16" spans="1:9">
      <c r="A16" s="390" t="s">
        <v>881</v>
      </c>
      <c r="B16" s="401" t="s">
        <v>243</v>
      </c>
      <c r="C16" s="411"/>
      <c r="D16" s="403"/>
      <c r="E16" s="404"/>
      <c r="F16" s="403"/>
      <c r="G16" s="404"/>
      <c r="H16" s="408">
        <v>2292</v>
      </c>
      <c r="I16" s="403"/>
    </row>
    <row r="17" spans="1:9">
      <c r="A17" s="390" t="s">
        <v>882</v>
      </c>
      <c r="B17" s="407" t="s">
        <v>244</v>
      </c>
      <c r="C17" s="411"/>
      <c r="D17" s="403"/>
      <c r="E17" s="404"/>
      <c r="F17" s="403"/>
      <c r="G17" s="404"/>
      <c r="H17" s="403"/>
      <c r="I17" s="408">
        <v>14160</v>
      </c>
    </row>
    <row r="18" spans="1:9">
      <c r="A18" s="390" t="s">
        <v>883</v>
      </c>
      <c r="B18" s="401" t="s">
        <v>245</v>
      </c>
      <c r="C18" s="411"/>
      <c r="D18" s="403"/>
      <c r="E18" s="404"/>
      <c r="F18" s="403"/>
      <c r="G18" s="402">
        <v>7947</v>
      </c>
      <c r="H18" s="403"/>
      <c r="I18" s="403"/>
    </row>
    <row r="19" spans="1:9">
      <c r="A19" s="390" t="s">
        <v>884</v>
      </c>
      <c r="B19" s="407" t="s">
        <v>246</v>
      </c>
      <c r="C19" s="460">
        <v>96</v>
      </c>
      <c r="D19" s="403"/>
      <c r="E19" s="404"/>
      <c r="F19" s="403"/>
      <c r="G19" s="410"/>
      <c r="H19" s="405"/>
      <c r="I19" s="403"/>
    </row>
    <row r="20" spans="1:9">
      <c r="A20" s="390" t="s">
        <v>885</v>
      </c>
      <c r="B20" s="401" t="s">
        <v>247</v>
      </c>
      <c r="C20" s="407"/>
      <c r="D20" s="408">
        <v>7602</v>
      </c>
      <c r="E20" s="404"/>
      <c r="F20" s="405"/>
      <c r="G20" s="404"/>
      <c r="H20" s="403"/>
      <c r="I20" s="403"/>
    </row>
    <row r="21" spans="1:9">
      <c r="A21" s="390" t="s">
        <v>886</v>
      </c>
      <c r="B21" s="407" t="s">
        <v>248</v>
      </c>
      <c r="C21" s="407"/>
      <c r="D21" s="403"/>
      <c r="E21" s="404"/>
      <c r="F21" s="408">
        <v>6060</v>
      </c>
      <c r="G21" s="404"/>
      <c r="H21" s="403"/>
      <c r="I21" s="403"/>
    </row>
    <row r="22" spans="1:9">
      <c r="A22" s="390" t="s">
        <v>886</v>
      </c>
      <c r="B22" s="401" t="s">
        <v>249</v>
      </c>
      <c r="C22" s="407"/>
      <c r="D22" s="403"/>
      <c r="E22" s="404"/>
      <c r="F22" s="408">
        <v>2820</v>
      </c>
      <c r="G22" s="404"/>
      <c r="H22" s="403"/>
      <c r="I22" s="403"/>
    </row>
    <row r="23" spans="1:9">
      <c r="A23" s="390" t="s">
        <v>886</v>
      </c>
      <c r="B23" s="407" t="s">
        <v>250</v>
      </c>
      <c r="C23" s="409"/>
      <c r="D23" s="413"/>
      <c r="E23" s="412"/>
      <c r="F23" s="408">
        <v>2760</v>
      </c>
      <c r="G23" s="412"/>
      <c r="H23" s="413"/>
      <c r="I23" s="413"/>
    </row>
    <row r="24" spans="1:9">
      <c r="A24" s="390" t="s">
        <v>887</v>
      </c>
      <c r="B24" s="401" t="s">
        <v>251</v>
      </c>
      <c r="C24" s="409"/>
      <c r="D24" s="413"/>
      <c r="E24" s="402">
        <v>8748</v>
      </c>
      <c r="F24" s="413"/>
      <c r="G24" s="412"/>
      <c r="H24" s="413"/>
      <c r="I24" s="413"/>
    </row>
    <row r="25" spans="1:9">
      <c r="A25" s="390" t="s">
        <v>1271</v>
      </c>
      <c r="B25" s="407" t="s">
        <v>252</v>
      </c>
      <c r="C25" s="415"/>
      <c r="D25" s="414"/>
      <c r="E25" s="412"/>
      <c r="F25" s="413"/>
      <c r="G25" s="412"/>
      <c r="H25" s="413"/>
      <c r="I25" s="408">
        <v>9420</v>
      </c>
    </row>
    <row r="26" spans="1:9">
      <c r="A26" s="390" t="s">
        <v>888</v>
      </c>
      <c r="B26" s="401" t="s">
        <v>253</v>
      </c>
      <c r="C26" s="415"/>
      <c r="D26" s="413"/>
      <c r="E26" s="402">
        <v>8970</v>
      </c>
      <c r="F26" s="413"/>
      <c r="G26" s="412"/>
      <c r="H26" s="413"/>
      <c r="I26" s="414"/>
    </row>
    <row r="27" spans="1:9">
      <c r="A27" s="390" t="s">
        <v>889</v>
      </c>
      <c r="B27" s="407" t="s">
        <v>254</v>
      </c>
      <c r="C27" s="460">
        <v>288</v>
      </c>
      <c r="D27" s="413"/>
      <c r="E27" s="412"/>
      <c r="F27" s="413"/>
      <c r="G27" s="412"/>
      <c r="H27" s="413"/>
      <c r="I27" s="413"/>
    </row>
    <row r="28" spans="1:9">
      <c r="A28" s="390" t="s">
        <v>889</v>
      </c>
      <c r="B28" s="407" t="s">
        <v>255</v>
      </c>
      <c r="C28" s="460">
        <v>480</v>
      </c>
      <c r="D28" s="413"/>
      <c r="E28" s="412"/>
      <c r="F28" s="413"/>
      <c r="G28" s="412"/>
      <c r="H28" s="413"/>
      <c r="I28" s="413"/>
    </row>
    <row r="29" spans="1:9">
      <c r="A29" s="390" t="s">
        <v>889</v>
      </c>
      <c r="B29" s="401" t="s">
        <v>256</v>
      </c>
      <c r="C29" s="461">
        <v>120</v>
      </c>
      <c r="D29" s="413"/>
      <c r="E29" s="412"/>
      <c r="F29" s="417"/>
      <c r="G29" s="412"/>
      <c r="H29" s="413"/>
      <c r="I29" s="413"/>
    </row>
    <row r="30" spans="1:9">
      <c r="A30" s="390" t="s">
        <v>889</v>
      </c>
      <c r="B30" s="407" t="s">
        <v>257</v>
      </c>
      <c r="C30" s="461">
        <v>120</v>
      </c>
      <c r="D30" s="413"/>
      <c r="E30" s="412"/>
      <c r="F30" s="417"/>
      <c r="G30" s="412"/>
      <c r="H30" s="413"/>
      <c r="I30" s="413"/>
    </row>
    <row r="31" spans="1:9">
      <c r="A31" s="390" t="s">
        <v>890</v>
      </c>
      <c r="B31" s="407" t="s">
        <v>258</v>
      </c>
      <c r="C31" s="461">
        <v>180</v>
      </c>
      <c r="D31" s="413"/>
      <c r="E31" s="412"/>
      <c r="F31" s="417"/>
      <c r="G31" s="412"/>
      <c r="H31" s="413"/>
      <c r="I31" s="413"/>
    </row>
    <row r="32" spans="1:9">
      <c r="A32" s="390" t="s">
        <v>890</v>
      </c>
      <c r="B32" s="401" t="s">
        <v>259</v>
      </c>
      <c r="C32" s="419"/>
      <c r="D32" s="413"/>
      <c r="E32" s="416"/>
      <c r="F32" s="413"/>
      <c r="G32" s="402">
        <v>7170</v>
      </c>
      <c r="H32" s="413"/>
      <c r="I32" s="413"/>
    </row>
    <row r="33" spans="1:9">
      <c r="A33" s="390" t="s">
        <v>891</v>
      </c>
      <c r="B33" s="407" t="s">
        <v>260</v>
      </c>
      <c r="C33" s="419"/>
      <c r="D33" s="413"/>
      <c r="E33" s="416"/>
      <c r="F33" s="413"/>
      <c r="G33" s="412"/>
      <c r="H33" s="413"/>
      <c r="I33" s="408">
        <v>13146</v>
      </c>
    </row>
    <row r="34" spans="1:9">
      <c r="A34" s="390" t="s">
        <v>892</v>
      </c>
      <c r="B34" s="407" t="s">
        <v>261</v>
      </c>
      <c r="C34" s="461">
        <v>168</v>
      </c>
      <c r="D34" s="413"/>
      <c r="E34" s="412"/>
      <c r="F34" s="413"/>
      <c r="G34" s="416"/>
      <c r="H34" s="414"/>
      <c r="I34" s="413"/>
    </row>
    <row r="35" spans="1:9">
      <c r="A35" s="390" t="s">
        <v>892</v>
      </c>
      <c r="B35" s="401" t="s">
        <v>262</v>
      </c>
      <c r="C35" s="418"/>
      <c r="D35" s="408">
        <v>7980</v>
      </c>
      <c r="E35" s="412"/>
      <c r="F35" s="413"/>
      <c r="G35" s="412"/>
      <c r="H35" s="413"/>
      <c r="I35" s="413"/>
    </row>
    <row r="36" spans="1:9">
      <c r="A36" s="390" t="s">
        <v>893</v>
      </c>
      <c r="B36" s="407" t="s">
        <v>263</v>
      </c>
      <c r="C36" s="461">
        <v>240</v>
      </c>
      <c r="D36" s="413"/>
      <c r="E36" s="412"/>
      <c r="F36" s="413"/>
      <c r="G36" s="412"/>
      <c r="H36" s="413"/>
      <c r="I36" s="413"/>
    </row>
    <row r="37" spans="1:9">
      <c r="A37" s="390" t="s">
        <v>893</v>
      </c>
      <c r="B37" s="407" t="s">
        <v>264</v>
      </c>
      <c r="C37" s="418"/>
      <c r="D37" s="413"/>
      <c r="E37" s="412"/>
      <c r="F37" s="408">
        <v>4980</v>
      </c>
      <c r="G37" s="412"/>
      <c r="H37" s="413"/>
      <c r="I37" s="413"/>
    </row>
    <row r="38" spans="1:9">
      <c r="A38" s="390" t="s">
        <v>893</v>
      </c>
      <c r="B38" s="401" t="s">
        <v>265</v>
      </c>
      <c r="C38" s="418"/>
      <c r="D38" s="413"/>
      <c r="E38" s="412"/>
      <c r="F38" s="408">
        <v>3330</v>
      </c>
      <c r="G38" s="412"/>
      <c r="H38" s="413"/>
      <c r="I38" s="413"/>
    </row>
    <row r="39" spans="1:9">
      <c r="A39" s="390" t="s">
        <v>893</v>
      </c>
      <c r="B39" s="407" t="s">
        <v>266</v>
      </c>
      <c r="C39" s="419"/>
      <c r="D39" s="414"/>
      <c r="E39" s="412"/>
      <c r="F39" s="408">
        <v>2580</v>
      </c>
      <c r="G39" s="412"/>
      <c r="H39" s="413"/>
      <c r="I39" s="413"/>
    </row>
    <row r="40" spans="1:9">
      <c r="A40" s="390" t="s">
        <v>894</v>
      </c>
      <c r="B40" s="407" t="s">
        <v>267</v>
      </c>
      <c r="C40" s="461">
        <v>42</v>
      </c>
      <c r="D40" s="414"/>
      <c r="E40" s="412"/>
      <c r="F40" s="413"/>
      <c r="G40" s="412"/>
      <c r="H40" s="413"/>
      <c r="I40" s="413"/>
    </row>
    <row r="41" spans="1:9">
      <c r="A41" s="390" t="s">
        <v>894</v>
      </c>
      <c r="B41" s="401" t="s">
        <v>268</v>
      </c>
      <c r="C41" s="461">
        <v>480</v>
      </c>
      <c r="D41" s="413"/>
      <c r="E41" s="412"/>
      <c r="F41" s="413"/>
      <c r="G41" s="412"/>
      <c r="H41" s="413"/>
      <c r="I41" s="413"/>
    </row>
    <row r="42" spans="1:9">
      <c r="A42" s="390" t="s">
        <v>895</v>
      </c>
      <c r="B42" s="407" t="s">
        <v>269</v>
      </c>
      <c r="C42" s="461">
        <v>72</v>
      </c>
      <c r="D42" s="413"/>
      <c r="E42" s="412"/>
      <c r="F42" s="417"/>
      <c r="G42" s="412"/>
      <c r="H42" s="413"/>
      <c r="I42" s="413"/>
    </row>
    <row r="43" spans="1:9">
      <c r="A43" s="390" t="s">
        <v>895</v>
      </c>
      <c r="B43" s="407" t="s">
        <v>270</v>
      </c>
      <c r="C43" s="418"/>
      <c r="D43" s="413"/>
      <c r="E43" s="412"/>
      <c r="F43" s="413"/>
      <c r="G43" s="402">
        <v>7110</v>
      </c>
      <c r="H43" s="413"/>
      <c r="I43" s="413"/>
    </row>
    <row r="44" spans="1:9">
      <c r="A44" s="390" t="s">
        <v>896</v>
      </c>
      <c r="B44" s="401" t="s">
        <v>271</v>
      </c>
      <c r="C44" s="418"/>
      <c r="D44" s="413"/>
      <c r="E44" s="412"/>
      <c r="F44" s="413"/>
      <c r="G44" s="412"/>
      <c r="H44" s="413"/>
      <c r="I44" s="408">
        <v>13440</v>
      </c>
    </row>
    <row r="45" spans="1:9">
      <c r="A45" s="390" t="s">
        <v>897</v>
      </c>
      <c r="B45" s="401" t="s">
        <v>272</v>
      </c>
      <c r="C45" s="461">
        <v>240</v>
      </c>
      <c r="D45" s="413"/>
      <c r="E45" s="412"/>
      <c r="F45" s="413"/>
      <c r="G45" s="412"/>
      <c r="H45" s="413"/>
      <c r="I45" s="413"/>
    </row>
    <row r="46" spans="1:9" ht="15.75" thickBot="1">
      <c r="A46" s="391" t="s">
        <v>897</v>
      </c>
      <c r="B46" s="420" t="s">
        <v>273</v>
      </c>
      <c r="C46" s="424"/>
      <c r="D46" s="422"/>
      <c r="E46" s="423">
        <v>7995</v>
      </c>
      <c r="F46" s="422"/>
      <c r="G46" s="421"/>
      <c r="H46" s="422"/>
      <c r="I46" s="422"/>
    </row>
    <row r="47" spans="1:9">
      <c r="A47" s="392" t="s">
        <v>898</v>
      </c>
      <c r="B47" s="425" t="s">
        <v>274</v>
      </c>
      <c r="C47" s="462">
        <v>660</v>
      </c>
      <c r="D47" s="427"/>
      <c r="E47" s="428"/>
      <c r="F47" s="427"/>
      <c r="G47" s="428"/>
      <c r="H47" s="427"/>
      <c r="I47" s="602"/>
    </row>
    <row r="48" spans="1:9">
      <c r="A48" s="390" t="s">
        <v>898</v>
      </c>
      <c r="B48" s="401" t="s">
        <v>275</v>
      </c>
      <c r="C48" s="418"/>
      <c r="D48" s="413"/>
      <c r="E48" s="412"/>
      <c r="F48" s="408">
        <v>5070</v>
      </c>
      <c r="G48" s="412"/>
      <c r="H48" s="413"/>
      <c r="I48" s="413"/>
    </row>
    <row r="49" spans="1:9">
      <c r="A49" s="390" t="s">
        <v>898</v>
      </c>
      <c r="B49" s="401" t="s">
        <v>276</v>
      </c>
      <c r="C49" s="418"/>
      <c r="D49" s="413"/>
      <c r="E49" s="412"/>
      <c r="F49" s="408">
        <v>2400</v>
      </c>
      <c r="G49" s="412"/>
      <c r="H49" s="413"/>
      <c r="I49" s="413"/>
    </row>
    <row r="50" spans="1:9">
      <c r="A50" s="390" t="s">
        <v>898</v>
      </c>
      <c r="B50" s="401" t="s">
        <v>277</v>
      </c>
      <c r="C50" s="419"/>
      <c r="D50" s="413"/>
      <c r="E50" s="412"/>
      <c r="F50" s="408">
        <v>2400</v>
      </c>
      <c r="G50" s="412"/>
      <c r="H50" s="413"/>
      <c r="I50" s="413"/>
    </row>
    <row r="51" spans="1:9">
      <c r="A51" s="390" t="s">
        <v>899</v>
      </c>
      <c r="B51" s="401" t="s">
        <v>278</v>
      </c>
      <c r="C51" s="461">
        <v>240</v>
      </c>
      <c r="D51" s="413"/>
      <c r="E51" s="412"/>
      <c r="F51" s="417"/>
      <c r="G51" s="412"/>
      <c r="H51" s="413"/>
      <c r="I51" s="413"/>
    </row>
    <row r="52" spans="1:9">
      <c r="A52" s="390" t="s">
        <v>899</v>
      </c>
      <c r="B52" s="401" t="s">
        <v>279</v>
      </c>
      <c r="C52" s="461">
        <v>240</v>
      </c>
      <c r="D52" s="413"/>
      <c r="E52" s="412"/>
      <c r="F52" s="413"/>
      <c r="G52" s="412"/>
      <c r="H52" s="413"/>
      <c r="I52" s="413"/>
    </row>
    <row r="53" spans="1:9">
      <c r="A53" s="390" t="s">
        <v>899</v>
      </c>
      <c r="B53" s="401" t="s">
        <v>280</v>
      </c>
      <c r="C53" s="461">
        <v>240</v>
      </c>
      <c r="D53" s="413"/>
      <c r="E53" s="412"/>
      <c r="F53" s="413"/>
      <c r="G53" s="412"/>
      <c r="H53" s="413"/>
      <c r="I53" s="413"/>
    </row>
    <row r="54" spans="1:9">
      <c r="A54" s="390" t="s">
        <v>899</v>
      </c>
      <c r="B54" s="401" t="s">
        <v>281</v>
      </c>
      <c r="C54" s="418"/>
      <c r="D54" s="413"/>
      <c r="E54" s="412"/>
      <c r="F54" s="413"/>
      <c r="G54" s="412"/>
      <c r="H54" s="413"/>
      <c r="I54" s="408">
        <v>13602</v>
      </c>
    </row>
    <row r="55" spans="1:9">
      <c r="A55" s="390" t="s">
        <v>900</v>
      </c>
      <c r="B55" s="401" t="s">
        <v>282</v>
      </c>
      <c r="C55" s="419"/>
      <c r="D55" s="408">
        <v>3210</v>
      </c>
      <c r="E55" s="412"/>
      <c r="F55" s="417"/>
      <c r="G55" s="412"/>
      <c r="H55" s="413"/>
      <c r="I55" s="413"/>
    </row>
    <row r="56" spans="1:9">
      <c r="A56" s="390" t="s">
        <v>901</v>
      </c>
      <c r="B56" s="401" t="s">
        <v>283</v>
      </c>
      <c r="C56" s="461">
        <v>570</v>
      </c>
      <c r="D56" s="413"/>
      <c r="E56" s="412"/>
      <c r="F56" s="413"/>
      <c r="G56" s="416"/>
      <c r="H56" s="414"/>
      <c r="I56" s="413"/>
    </row>
    <row r="57" spans="1:9">
      <c r="A57" s="390" t="s">
        <v>902</v>
      </c>
      <c r="B57" s="401" t="s">
        <v>284</v>
      </c>
      <c r="C57" s="418"/>
      <c r="D57" s="413"/>
      <c r="E57" s="402">
        <v>8610</v>
      </c>
      <c r="F57" s="413"/>
      <c r="G57" s="412"/>
      <c r="H57" s="413"/>
      <c r="I57" s="413"/>
    </row>
    <row r="58" spans="1:9">
      <c r="A58" s="390" t="s">
        <v>903</v>
      </c>
      <c r="B58" s="401" t="s">
        <v>285</v>
      </c>
      <c r="C58" s="461">
        <v>960</v>
      </c>
      <c r="D58" s="413"/>
      <c r="E58" s="412"/>
      <c r="F58" s="413"/>
      <c r="G58" s="412"/>
      <c r="H58" s="413"/>
      <c r="I58" s="413"/>
    </row>
    <row r="59" spans="1:9">
      <c r="A59" s="390" t="s">
        <v>903</v>
      </c>
      <c r="B59" s="401" t="s">
        <v>286</v>
      </c>
      <c r="C59" s="419"/>
      <c r="D59" s="414"/>
      <c r="E59" s="412"/>
      <c r="F59" s="413"/>
      <c r="G59" s="402">
        <v>7560</v>
      </c>
      <c r="H59" s="413"/>
      <c r="I59" s="413"/>
    </row>
    <row r="60" spans="1:9">
      <c r="A60" s="390" t="s">
        <v>903</v>
      </c>
      <c r="B60" s="401" t="s">
        <v>287</v>
      </c>
      <c r="C60" s="418"/>
      <c r="D60" s="408">
        <v>3180</v>
      </c>
      <c r="E60" s="412"/>
      <c r="F60" s="413"/>
      <c r="G60" s="412"/>
      <c r="H60" s="413"/>
      <c r="I60" s="413"/>
    </row>
    <row r="61" spans="1:9">
      <c r="A61" s="390" t="s">
        <v>904</v>
      </c>
      <c r="B61" s="401" t="s">
        <v>288</v>
      </c>
      <c r="C61" s="461">
        <v>120</v>
      </c>
      <c r="D61" s="413"/>
      <c r="E61" s="412"/>
      <c r="F61" s="413"/>
      <c r="G61" s="412"/>
      <c r="H61" s="413"/>
      <c r="I61" s="413"/>
    </row>
    <row r="62" spans="1:9">
      <c r="A62" s="390" t="s">
        <v>904</v>
      </c>
      <c r="B62" s="401" t="s">
        <v>289</v>
      </c>
      <c r="C62" s="461">
        <v>480</v>
      </c>
      <c r="D62" s="413"/>
      <c r="E62" s="412"/>
      <c r="F62" s="413"/>
      <c r="G62" s="412"/>
      <c r="H62" s="413"/>
      <c r="I62" s="413"/>
    </row>
    <row r="63" spans="1:9">
      <c r="A63" s="390" t="s">
        <v>904</v>
      </c>
      <c r="B63" s="401" t="s">
        <v>290</v>
      </c>
      <c r="C63" s="461">
        <v>120</v>
      </c>
      <c r="D63" s="413"/>
      <c r="E63" s="412"/>
      <c r="F63" s="417"/>
      <c r="G63" s="412"/>
      <c r="H63" s="413"/>
      <c r="I63" s="413"/>
    </row>
    <row r="64" spans="1:9">
      <c r="A64" s="390" t="s">
        <v>904</v>
      </c>
      <c r="B64" s="401" t="s">
        <v>291</v>
      </c>
      <c r="C64" s="419"/>
      <c r="D64" s="413"/>
      <c r="E64" s="412"/>
      <c r="F64" s="413"/>
      <c r="G64" s="412"/>
      <c r="H64" s="413"/>
      <c r="I64" s="408">
        <v>8670</v>
      </c>
    </row>
    <row r="65" spans="1:9">
      <c r="A65" s="390" t="s">
        <v>905</v>
      </c>
      <c r="B65" s="401" t="s">
        <v>292</v>
      </c>
      <c r="C65" s="461">
        <v>120</v>
      </c>
      <c r="D65" s="413"/>
      <c r="E65" s="412"/>
      <c r="F65" s="413"/>
      <c r="G65" s="412"/>
      <c r="H65" s="413"/>
      <c r="I65" s="414"/>
    </row>
    <row r="66" spans="1:9">
      <c r="A66" s="390" t="s">
        <v>905</v>
      </c>
      <c r="B66" s="401" t="s">
        <v>293</v>
      </c>
      <c r="C66" s="461">
        <v>129</v>
      </c>
      <c r="D66" s="413"/>
      <c r="E66" s="412"/>
      <c r="F66" s="413"/>
      <c r="G66" s="412"/>
      <c r="H66" s="413"/>
      <c r="I66" s="413"/>
    </row>
    <row r="67" spans="1:9">
      <c r="A67" s="390" t="s">
        <v>905</v>
      </c>
      <c r="B67" s="401" t="s">
        <v>294</v>
      </c>
      <c r="C67" s="419"/>
      <c r="D67" s="413"/>
      <c r="E67" s="416"/>
      <c r="F67" s="408">
        <v>5160</v>
      </c>
      <c r="G67" s="412"/>
      <c r="H67" s="413"/>
      <c r="I67" s="413"/>
    </row>
    <row r="68" spans="1:9">
      <c r="A68" s="390" t="s">
        <v>905</v>
      </c>
      <c r="B68" s="401" t="s">
        <v>295</v>
      </c>
      <c r="C68" s="418"/>
      <c r="D68" s="413"/>
      <c r="E68" s="412"/>
      <c r="F68" s="408">
        <v>1800</v>
      </c>
      <c r="G68" s="412"/>
      <c r="H68" s="413"/>
      <c r="I68" s="413"/>
    </row>
    <row r="69" spans="1:9" s="331" customFormat="1">
      <c r="A69" s="390" t="s">
        <v>906</v>
      </c>
      <c r="B69" s="401" t="s">
        <v>296</v>
      </c>
      <c r="C69" s="460">
        <v>120</v>
      </c>
      <c r="D69" s="431"/>
      <c r="E69" s="430"/>
      <c r="F69" s="432"/>
      <c r="G69" s="430"/>
      <c r="H69" s="431"/>
      <c r="I69" s="431"/>
    </row>
    <row r="70" spans="1:9">
      <c r="A70" s="390" t="s">
        <v>907</v>
      </c>
      <c r="B70" s="401" t="s">
        <v>297</v>
      </c>
      <c r="C70" s="419"/>
      <c r="D70" s="413"/>
      <c r="E70" s="402">
        <v>7920</v>
      </c>
      <c r="F70" s="417"/>
      <c r="G70" s="412"/>
      <c r="H70" s="413"/>
      <c r="I70" s="413"/>
    </row>
    <row r="71" spans="1:9">
      <c r="A71" s="390" t="s">
        <v>908</v>
      </c>
      <c r="B71" s="401" t="s">
        <v>298</v>
      </c>
      <c r="C71" s="461">
        <v>120</v>
      </c>
      <c r="D71" s="413"/>
      <c r="E71" s="412"/>
      <c r="F71" s="413"/>
      <c r="G71" s="412"/>
      <c r="H71" s="413"/>
      <c r="I71" s="413"/>
    </row>
    <row r="72" spans="1:9">
      <c r="A72" s="390" t="s">
        <v>908</v>
      </c>
      <c r="B72" s="401" t="s">
        <v>299</v>
      </c>
      <c r="C72" s="461">
        <v>336</v>
      </c>
      <c r="D72" s="413"/>
      <c r="E72" s="412"/>
      <c r="F72" s="413"/>
      <c r="G72" s="412"/>
      <c r="H72" s="413"/>
      <c r="I72" s="413"/>
    </row>
    <row r="73" spans="1:9">
      <c r="A73" s="390" t="s">
        <v>908</v>
      </c>
      <c r="B73" s="401" t="s">
        <v>300</v>
      </c>
      <c r="C73" s="419"/>
      <c r="D73" s="414"/>
      <c r="E73" s="412"/>
      <c r="F73" s="413"/>
      <c r="G73" s="412"/>
      <c r="H73" s="413"/>
      <c r="I73" s="408">
        <v>13377</v>
      </c>
    </row>
    <row r="74" spans="1:9">
      <c r="A74" s="390" t="s">
        <v>909</v>
      </c>
      <c r="B74" s="401" t="s">
        <v>301</v>
      </c>
      <c r="C74" s="419"/>
      <c r="D74" s="408">
        <v>3093</v>
      </c>
      <c r="E74" s="412"/>
      <c r="F74" s="413"/>
      <c r="G74" s="412"/>
      <c r="H74" s="413"/>
      <c r="I74" s="413"/>
    </row>
    <row r="75" spans="1:9">
      <c r="A75" s="390" t="s">
        <v>909</v>
      </c>
      <c r="B75" s="401" t="s">
        <v>302</v>
      </c>
      <c r="C75" s="418"/>
      <c r="D75" s="413"/>
      <c r="E75" s="412"/>
      <c r="F75" s="413"/>
      <c r="G75" s="402">
        <v>6045</v>
      </c>
      <c r="H75" s="413"/>
      <c r="I75" s="413"/>
    </row>
    <row r="76" spans="1:9">
      <c r="A76" s="390" t="s">
        <v>910</v>
      </c>
      <c r="B76" s="401" t="s">
        <v>303</v>
      </c>
      <c r="C76" s="461">
        <v>240</v>
      </c>
      <c r="D76" s="413"/>
      <c r="E76" s="412"/>
      <c r="F76" s="413"/>
      <c r="G76" s="412"/>
      <c r="H76" s="413"/>
      <c r="I76" s="413"/>
    </row>
    <row r="77" spans="1:9">
      <c r="A77" s="390" t="s">
        <v>910</v>
      </c>
      <c r="B77" s="401" t="s">
        <v>304</v>
      </c>
      <c r="C77" s="418"/>
      <c r="D77" s="413"/>
      <c r="E77" s="402">
        <v>8655</v>
      </c>
      <c r="F77" s="413"/>
      <c r="G77" s="412"/>
      <c r="H77" s="413"/>
      <c r="I77" s="413"/>
    </row>
    <row r="78" spans="1:9">
      <c r="A78" s="390" t="s">
        <v>911</v>
      </c>
      <c r="B78" s="401" t="s">
        <v>305</v>
      </c>
      <c r="C78" s="461">
        <v>48</v>
      </c>
      <c r="D78" s="413"/>
      <c r="E78" s="412"/>
      <c r="F78" s="413"/>
      <c r="G78" s="412"/>
      <c r="H78" s="413"/>
      <c r="I78" s="413"/>
    </row>
    <row r="79" spans="1:9">
      <c r="A79" s="390" t="s">
        <v>911</v>
      </c>
      <c r="B79" s="401" t="s">
        <v>306</v>
      </c>
      <c r="C79" s="418"/>
      <c r="D79" s="413"/>
      <c r="E79" s="412"/>
      <c r="F79" s="413"/>
      <c r="G79" s="412"/>
      <c r="H79" s="413"/>
      <c r="I79" s="408">
        <v>13335</v>
      </c>
    </row>
    <row r="80" spans="1:9">
      <c r="A80" s="390" t="s">
        <v>912</v>
      </c>
      <c r="B80" s="401" t="s">
        <v>307</v>
      </c>
      <c r="C80" s="418"/>
      <c r="D80" s="413"/>
      <c r="E80" s="412"/>
      <c r="F80" s="408">
        <v>6450</v>
      </c>
      <c r="G80" s="412"/>
      <c r="H80" s="413"/>
      <c r="I80" s="413"/>
    </row>
    <row r="81" spans="1:9">
      <c r="A81" s="390" t="s">
        <v>912</v>
      </c>
      <c r="B81" s="401" t="s">
        <v>308</v>
      </c>
      <c r="C81" s="419"/>
      <c r="D81" s="413"/>
      <c r="E81" s="412"/>
      <c r="F81" s="408">
        <v>2640</v>
      </c>
      <c r="G81" s="416"/>
      <c r="H81" s="414"/>
      <c r="I81" s="413"/>
    </row>
    <row r="82" spans="1:9">
      <c r="A82" s="390" t="s">
        <v>912</v>
      </c>
      <c r="B82" s="401" t="s">
        <v>309</v>
      </c>
      <c r="C82" s="419"/>
      <c r="D82" s="413"/>
      <c r="E82" s="412"/>
      <c r="F82" s="408">
        <v>2580</v>
      </c>
      <c r="G82" s="412"/>
      <c r="H82" s="413"/>
      <c r="I82" s="413"/>
    </row>
    <row r="83" spans="1:9">
      <c r="A83" s="390" t="s">
        <v>913</v>
      </c>
      <c r="B83" s="401" t="s">
        <v>310</v>
      </c>
      <c r="C83" s="461">
        <v>60</v>
      </c>
      <c r="D83" s="413"/>
      <c r="E83" s="412"/>
      <c r="F83" s="417"/>
      <c r="G83" s="412"/>
      <c r="H83" s="413"/>
      <c r="I83" s="413"/>
    </row>
    <row r="84" spans="1:9">
      <c r="A84" s="390" t="s">
        <v>913</v>
      </c>
      <c r="B84" s="401" t="s">
        <v>311</v>
      </c>
      <c r="C84" s="419"/>
      <c r="D84" s="408">
        <v>3213</v>
      </c>
      <c r="E84" s="412"/>
      <c r="F84" s="417"/>
      <c r="G84" s="412"/>
      <c r="H84" s="413"/>
      <c r="I84" s="413"/>
    </row>
    <row r="85" spans="1:9">
      <c r="A85" s="390" t="s">
        <v>913</v>
      </c>
      <c r="B85" s="401" t="s">
        <v>312</v>
      </c>
      <c r="C85" s="461">
        <v>24</v>
      </c>
      <c r="D85" s="413"/>
      <c r="E85" s="416"/>
      <c r="F85" s="413"/>
      <c r="G85" s="412"/>
      <c r="H85" s="413"/>
      <c r="I85" s="413"/>
    </row>
    <row r="86" spans="1:9">
      <c r="A86" s="390" t="s">
        <v>914</v>
      </c>
      <c r="B86" s="401" t="s">
        <v>313</v>
      </c>
      <c r="C86" s="461">
        <v>60</v>
      </c>
      <c r="D86" s="413"/>
      <c r="E86" s="412"/>
      <c r="F86" s="413"/>
      <c r="G86" s="412"/>
      <c r="H86" s="413"/>
      <c r="I86" s="413"/>
    </row>
    <row r="87" spans="1:9">
      <c r="A87" s="390" t="s">
        <v>915</v>
      </c>
      <c r="B87" s="401" t="s">
        <v>314</v>
      </c>
      <c r="C87" s="461">
        <v>48</v>
      </c>
      <c r="D87" s="413"/>
      <c r="E87" s="412"/>
      <c r="F87" s="413"/>
      <c r="G87" s="412"/>
      <c r="H87" s="413"/>
      <c r="I87" s="413"/>
    </row>
    <row r="88" spans="1:9">
      <c r="A88" s="390" t="s">
        <v>915</v>
      </c>
      <c r="B88" s="401" t="s">
        <v>315</v>
      </c>
      <c r="C88" s="418"/>
      <c r="D88" s="413"/>
      <c r="E88" s="412"/>
      <c r="F88" s="413"/>
      <c r="G88" s="402">
        <v>78</v>
      </c>
      <c r="H88" s="413"/>
      <c r="I88" s="413"/>
    </row>
    <row r="89" spans="1:9">
      <c r="A89" s="390" t="s">
        <v>915</v>
      </c>
      <c r="B89" s="401" t="s">
        <v>316</v>
      </c>
      <c r="C89" s="461">
        <v>48</v>
      </c>
      <c r="D89" s="413"/>
      <c r="E89" s="412"/>
      <c r="F89" s="413"/>
      <c r="G89" s="412"/>
      <c r="H89" s="413"/>
      <c r="I89" s="413"/>
    </row>
    <row r="90" spans="1:9">
      <c r="A90" s="390" t="s">
        <v>916</v>
      </c>
      <c r="B90" s="401" t="s">
        <v>317</v>
      </c>
      <c r="C90" s="461">
        <v>276</v>
      </c>
      <c r="D90" s="413"/>
      <c r="E90" s="412"/>
      <c r="F90" s="413"/>
      <c r="G90" s="412"/>
      <c r="H90" s="413"/>
      <c r="I90" s="413"/>
    </row>
    <row r="91" spans="1:9">
      <c r="A91" s="390" t="s">
        <v>917</v>
      </c>
      <c r="B91" s="401" t="s">
        <v>318</v>
      </c>
      <c r="C91" s="419"/>
      <c r="D91" s="413"/>
      <c r="E91" s="412"/>
      <c r="F91" s="417"/>
      <c r="G91" s="402">
        <v>2115</v>
      </c>
      <c r="H91" s="413"/>
      <c r="I91" s="413"/>
    </row>
    <row r="92" spans="1:9">
      <c r="A92" s="390" t="s">
        <v>917</v>
      </c>
      <c r="B92" s="401" t="s">
        <v>319</v>
      </c>
      <c r="C92" s="419"/>
      <c r="D92" s="408">
        <v>3135</v>
      </c>
      <c r="E92" s="412"/>
      <c r="F92" s="417"/>
      <c r="G92" s="412"/>
      <c r="H92" s="413"/>
      <c r="I92" s="413"/>
    </row>
    <row r="93" spans="1:9" ht="15.75" thickBot="1">
      <c r="A93" s="393" t="s">
        <v>918</v>
      </c>
      <c r="B93" s="433" t="s">
        <v>320</v>
      </c>
      <c r="C93" s="437"/>
      <c r="D93" s="434"/>
      <c r="E93" s="435"/>
      <c r="F93" s="436"/>
      <c r="G93" s="435"/>
      <c r="H93" s="434"/>
      <c r="I93" s="603">
        <v>6381</v>
      </c>
    </row>
    <row r="94" spans="1:9">
      <c r="A94" s="392" t="s">
        <v>919</v>
      </c>
      <c r="B94" s="425" t="s">
        <v>321</v>
      </c>
      <c r="C94" s="439"/>
      <c r="D94" s="427"/>
      <c r="E94" s="428"/>
      <c r="F94" s="438">
        <v>1440</v>
      </c>
      <c r="G94" s="428"/>
      <c r="H94" s="427"/>
      <c r="I94" s="602"/>
    </row>
    <row r="95" spans="1:9">
      <c r="A95" s="390" t="s">
        <v>919</v>
      </c>
      <c r="B95" s="401" t="s">
        <v>322</v>
      </c>
      <c r="C95" s="418"/>
      <c r="D95" s="413"/>
      <c r="E95" s="412"/>
      <c r="F95" s="408">
        <v>600</v>
      </c>
      <c r="G95" s="412"/>
      <c r="H95" s="413"/>
      <c r="I95" s="413"/>
    </row>
    <row r="96" spans="1:9">
      <c r="A96" s="390" t="s">
        <v>919</v>
      </c>
      <c r="B96" s="401" t="s">
        <v>323</v>
      </c>
      <c r="C96" s="418"/>
      <c r="D96" s="413"/>
      <c r="E96" s="412"/>
      <c r="F96" s="408">
        <v>168</v>
      </c>
      <c r="G96" s="412"/>
      <c r="H96" s="413"/>
      <c r="I96" s="413"/>
    </row>
    <row r="97" spans="1:9">
      <c r="A97" s="390" t="s">
        <v>920</v>
      </c>
      <c r="B97" s="401" t="s">
        <v>324</v>
      </c>
      <c r="C97" s="418"/>
      <c r="D97" s="413"/>
      <c r="E97" s="412"/>
      <c r="F97" s="413"/>
      <c r="G97" s="402">
        <v>6840</v>
      </c>
      <c r="H97" s="413"/>
      <c r="I97" s="413"/>
    </row>
    <row r="98" spans="1:9">
      <c r="A98" s="390" t="s">
        <v>920</v>
      </c>
      <c r="B98" s="401" t="s">
        <v>325</v>
      </c>
      <c r="C98" s="418"/>
      <c r="D98" s="413"/>
      <c r="E98" s="402">
        <v>8040</v>
      </c>
      <c r="F98" s="413"/>
      <c r="G98" s="412"/>
      <c r="H98" s="413"/>
      <c r="I98" s="413"/>
    </row>
    <row r="99" spans="1:9">
      <c r="A99" s="390" t="s">
        <v>920</v>
      </c>
      <c r="B99" s="401" t="s">
        <v>326</v>
      </c>
      <c r="C99" s="418"/>
      <c r="D99" s="408">
        <v>3300</v>
      </c>
      <c r="E99" s="412"/>
      <c r="F99" s="413"/>
      <c r="G99" s="412"/>
      <c r="H99" s="413"/>
      <c r="I99" s="413"/>
    </row>
    <row r="100" spans="1:9">
      <c r="A100" s="390" t="s">
        <v>920</v>
      </c>
      <c r="B100" s="401" t="s">
        <v>327</v>
      </c>
      <c r="C100" s="461">
        <v>237</v>
      </c>
      <c r="D100" s="413"/>
      <c r="E100" s="412"/>
      <c r="F100" s="413"/>
      <c r="G100" s="412"/>
      <c r="H100" s="413"/>
      <c r="I100" s="413"/>
    </row>
    <row r="101" spans="1:9">
      <c r="A101" s="390" t="s">
        <v>921</v>
      </c>
      <c r="B101" s="401" t="s">
        <v>328</v>
      </c>
      <c r="C101" s="461">
        <v>240</v>
      </c>
      <c r="D101" s="413"/>
      <c r="E101" s="412"/>
      <c r="F101" s="413"/>
      <c r="G101" s="412"/>
      <c r="H101" s="413"/>
      <c r="I101" s="413"/>
    </row>
    <row r="102" spans="1:9">
      <c r="A102" s="390" t="s">
        <v>921</v>
      </c>
      <c r="B102" s="401" t="s">
        <v>329</v>
      </c>
      <c r="C102" s="419"/>
      <c r="D102" s="413"/>
      <c r="E102" s="412"/>
      <c r="F102" s="408">
        <v>4140</v>
      </c>
      <c r="G102" s="416"/>
      <c r="H102" s="414"/>
      <c r="I102" s="413"/>
    </row>
    <row r="103" spans="1:9">
      <c r="A103" s="390" t="s">
        <v>921</v>
      </c>
      <c r="B103" s="401" t="s">
        <v>330</v>
      </c>
      <c r="C103" s="418"/>
      <c r="D103" s="413"/>
      <c r="E103" s="412"/>
      <c r="F103" s="408">
        <v>5280</v>
      </c>
      <c r="G103" s="412"/>
      <c r="H103" s="413"/>
      <c r="I103" s="413"/>
    </row>
    <row r="104" spans="1:9">
      <c r="A104" s="390" t="s">
        <v>921</v>
      </c>
      <c r="B104" s="401">
        <v>100</v>
      </c>
      <c r="C104" s="418"/>
      <c r="D104" s="413"/>
      <c r="E104" s="412"/>
      <c r="F104" s="408">
        <v>3060</v>
      </c>
      <c r="G104" s="412"/>
      <c r="H104" s="413"/>
      <c r="I104" s="413"/>
    </row>
    <row r="105" spans="1:9">
      <c r="A105" s="390" t="s">
        <v>922</v>
      </c>
      <c r="B105" s="401">
        <v>101</v>
      </c>
      <c r="C105" s="418"/>
      <c r="D105" s="413"/>
      <c r="E105" s="412"/>
      <c r="F105" s="408">
        <v>120</v>
      </c>
      <c r="G105" s="412"/>
      <c r="H105" s="413"/>
      <c r="I105" s="413"/>
    </row>
    <row r="106" spans="1:9">
      <c r="A106" s="390" t="s">
        <v>922</v>
      </c>
      <c r="B106" s="401">
        <v>102</v>
      </c>
      <c r="C106" s="419"/>
      <c r="D106" s="414"/>
      <c r="E106" s="412"/>
      <c r="F106" s="413"/>
      <c r="G106" s="412"/>
      <c r="H106" s="413"/>
      <c r="I106" s="408">
        <v>13098</v>
      </c>
    </row>
    <row r="107" spans="1:9">
      <c r="A107" s="390" t="s">
        <v>923</v>
      </c>
      <c r="B107" s="401">
        <v>103</v>
      </c>
      <c r="C107" s="461">
        <v>60</v>
      </c>
      <c r="D107" s="413"/>
      <c r="E107" s="412"/>
      <c r="F107" s="413"/>
      <c r="G107" s="412"/>
      <c r="H107" s="413"/>
      <c r="I107" s="413"/>
    </row>
    <row r="108" spans="1:9" s="331" customFormat="1">
      <c r="A108" s="390" t="s">
        <v>923</v>
      </c>
      <c r="B108" s="401">
        <v>104</v>
      </c>
      <c r="C108" s="409"/>
      <c r="D108" s="431"/>
      <c r="E108" s="430"/>
      <c r="F108" s="431"/>
      <c r="G108" s="430"/>
      <c r="H108" s="431"/>
      <c r="I108" s="604">
        <v>13485</v>
      </c>
    </row>
    <row r="109" spans="1:9">
      <c r="A109" s="390" t="s">
        <v>924</v>
      </c>
      <c r="B109" s="401">
        <v>105</v>
      </c>
      <c r="C109" s="418"/>
      <c r="D109" s="408">
        <v>2865</v>
      </c>
      <c r="E109" s="412"/>
      <c r="F109" s="413"/>
      <c r="G109" s="412"/>
      <c r="H109" s="413"/>
      <c r="I109" s="413"/>
    </row>
    <row r="110" spans="1:9">
      <c r="A110" s="390" t="s">
        <v>925</v>
      </c>
      <c r="B110" s="401">
        <v>106</v>
      </c>
      <c r="C110" s="418"/>
      <c r="D110" s="413"/>
      <c r="E110" s="412"/>
      <c r="F110" s="408">
        <v>5040</v>
      </c>
      <c r="G110" s="412"/>
      <c r="H110" s="413"/>
      <c r="I110" s="413"/>
    </row>
    <row r="111" spans="1:9">
      <c r="A111" s="390" t="s">
        <v>925</v>
      </c>
      <c r="B111" s="401">
        <v>107</v>
      </c>
      <c r="C111" s="419"/>
      <c r="D111" s="413"/>
      <c r="E111" s="416"/>
      <c r="F111" s="408">
        <v>1800</v>
      </c>
      <c r="G111" s="412"/>
      <c r="H111" s="413"/>
      <c r="I111" s="413"/>
    </row>
    <row r="112" spans="1:9">
      <c r="A112" s="390" t="s">
        <v>925</v>
      </c>
      <c r="B112" s="401">
        <v>108</v>
      </c>
      <c r="C112" s="419"/>
      <c r="D112" s="413"/>
      <c r="E112" s="412"/>
      <c r="F112" s="408">
        <v>2520</v>
      </c>
      <c r="G112" s="412"/>
      <c r="H112" s="413"/>
      <c r="I112" s="413"/>
    </row>
    <row r="113" spans="1:9">
      <c r="A113" s="390" t="s">
        <v>926</v>
      </c>
      <c r="B113" s="401">
        <v>109</v>
      </c>
      <c r="C113" s="461">
        <v>60</v>
      </c>
      <c r="D113" s="413"/>
      <c r="E113" s="412"/>
      <c r="F113" s="417"/>
      <c r="G113" s="412"/>
      <c r="H113" s="413"/>
      <c r="I113" s="413"/>
    </row>
    <row r="114" spans="1:9">
      <c r="A114" s="390" t="s">
        <v>926</v>
      </c>
      <c r="B114" s="401">
        <v>110</v>
      </c>
      <c r="C114" s="461">
        <v>108</v>
      </c>
      <c r="D114" s="413"/>
      <c r="E114" s="412"/>
      <c r="F114" s="413"/>
      <c r="G114" s="412"/>
      <c r="H114" s="413"/>
      <c r="I114" s="413"/>
    </row>
    <row r="115" spans="1:9">
      <c r="A115" s="390" t="s">
        <v>927</v>
      </c>
      <c r="B115" s="401">
        <v>111</v>
      </c>
      <c r="C115" s="461">
        <v>120</v>
      </c>
      <c r="D115" s="413"/>
      <c r="E115" s="412"/>
      <c r="F115" s="413"/>
      <c r="G115" s="412"/>
      <c r="H115" s="413"/>
      <c r="I115" s="413"/>
    </row>
    <row r="116" spans="1:9">
      <c r="A116" s="390" t="s">
        <v>927</v>
      </c>
      <c r="B116" s="401">
        <v>112</v>
      </c>
      <c r="C116" s="461">
        <v>90</v>
      </c>
      <c r="D116" s="413"/>
      <c r="E116" s="412"/>
      <c r="F116" s="413"/>
      <c r="G116" s="412"/>
      <c r="H116" s="413"/>
      <c r="I116" s="413"/>
    </row>
    <row r="117" spans="1:9">
      <c r="A117" s="390" t="s">
        <v>927</v>
      </c>
      <c r="B117" s="401">
        <v>113</v>
      </c>
      <c r="C117" s="419"/>
      <c r="D117" s="408">
        <v>3330</v>
      </c>
      <c r="E117" s="412"/>
      <c r="F117" s="413"/>
      <c r="G117" s="412"/>
      <c r="H117" s="413"/>
      <c r="I117" s="414"/>
    </row>
    <row r="118" spans="1:9">
      <c r="A118" s="390" t="s">
        <v>928</v>
      </c>
      <c r="B118" s="401">
        <v>114</v>
      </c>
      <c r="C118" s="419"/>
      <c r="D118" s="413"/>
      <c r="E118" s="412"/>
      <c r="F118" s="413"/>
      <c r="G118" s="412"/>
      <c r="H118" s="413"/>
      <c r="I118" s="408">
        <v>13134</v>
      </c>
    </row>
    <row r="119" spans="1:9">
      <c r="A119" s="390" t="s">
        <v>929</v>
      </c>
      <c r="B119" s="401">
        <v>115</v>
      </c>
      <c r="C119" s="418"/>
      <c r="D119" s="413"/>
      <c r="E119" s="412"/>
      <c r="F119" s="413"/>
      <c r="G119" s="402">
        <v>6960</v>
      </c>
      <c r="H119" s="413"/>
      <c r="I119" s="413"/>
    </row>
    <row r="120" spans="1:9">
      <c r="A120" s="390" t="s">
        <v>930</v>
      </c>
      <c r="B120" s="401">
        <v>116</v>
      </c>
      <c r="C120" s="461">
        <v>72</v>
      </c>
      <c r="D120" s="413"/>
      <c r="E120" s="412"/>
      <c r="F120" s="413"/>
      <c r="G120" s="412"/>
      <c r="H120" s="413"/>
      <c r="I120" s="413"/>
    </row>
    <row r="121" spans="1:9">
      <c r="A121" s="390" t="s">
        <v>930</v>
      </c>
      <c r="B121" s="401">
        <v>117</v>
      </c>
      <c r="C121" s="461">
        <v>300</v>
      </c>
      <c r="D121" s="413"/>
      <c r="E121" s="412"/>
      <c r="F121" s="413"/>
      <c r="G121" s="412"/>
      <c r="H121" s="413"/>
      <c r="I121" s="413"/>
    </row>
    <row r="122" spans="1:9">
      <c r="A122" s="390" t="s">
        <v>930</v>
      </c>
      <c r="B122" s="401">
        <v>118</v>
      </c>
      <c r="C122" s="419"/>
      <c r="D122" s="413"/>
      <c r="E122" s="402">
        <v>8490</v>
      </c>
      <c r="F122" s="413"/>
      <c r="G122" s="412"/>
      <c r="H122" s="413"/>
      <c r="I122" s="414"/>
    </row>
    <row r="123" spans="1:9">
      <c r="A123" s="390" t="s">
        <v>931</v>
      </c>
      <c r="B123" s="401">
        <v>119</v>
      </c>
      <c r="C123" s="419"/>
      <c r="D123" s="413"/>
      <c r="E123" s="412"/>
      <c r="F123" s="417"/>
      <c r="G123" s="412"/>
      <c r="H123" s="413"/>
      <c r="I123" s="408">
        <v>13368</v>
      </c>
    </row>
    <row r="124" spans="1:9">
      <c r="A124" s="390" t="s">
        <v>932</v>
      </c>
      <c r="B124" s="401">
        <v>120</v>
      </c>
      <c r="C124" s="461">
        <v>192</v>
      </c>
      <c r="D124" s="413"/>
      <c r="E124" s="412"/>
      <c r="F124" s="413"/>
      <c r="G124" s="416"/>
      <c r="H124" s="414"/>
      <c r="I124" s="413"/>
    </row>
    <row r="125" spans="1:9">
      <c r="A125" s="390" t="s">
        <v>932</v>
      </c>
      <c r="B125" s="401">
        <v>121</v>
      </c>
      <c r="C125" s="461">
        <v>60</v>
      </c>
      <c r="D125" s="413"/>
      <c r="E125" s="412"/>
      <c r="F125" s="413"/>
      <c r="G125" s="412"/>
      <c r="H125" s="413"/>
      <c r="I125" s="413"/>
    </row>
    <row r="126" spans="1:9">
      <c r="A126" s="390" t="s">
        <v>933</v>
      </c>
      <c r="B126" s="401">
        <v>122</v>
      </c>
      <c r="C126" s="461">
        <v>90</v>
      </c>
      <c r="D126" s="413"/>
      <c r="E126" s="412"/>
      <c r="F126" s="413"/>
      <c r="G126" s="412"/>
      <c r="H126" s="413"/>
      <c r="I126" s="413"/>
    </row>
    <row r="127" spans="1:9">
      <c r="A127" s="390" t="s">
        <v>933</v>
      </c>
      <c r="B127" s="401">
        <v>123</v>
      </c>
      <c r="C127" s="461">
        <v>24</v>
      </c>
      <c r="D127" s="413"/>
      <c r="E127" s="412"/>
      <c r="F127" s="413"/>
      <c r="G127" s="412"/>
      <c r="H127" s="413"/>
      <c r="I127" s="413"/>
    </row>
    <row r="128" spans="1:9">
      <c r="A128" s="390" t="s">
        <v>933</v>
      </c>
      <c r="B128" s="401">
        <v>124</v>
      </c>
      <c r="C128" s="419"/>
      <c r="D128" s="408">
        <v>6840</v>
      </c>
      <c r="E128" s="412"/>
      <c r="F128" s="413"/>
      <c r="G128" s="412"/>
      <c r="H128" s="413"/>
      <c r="I128" s="413"/>
    </row>
    <row r="129" spans="1:9">
      <c r="A129" s="390" t="s">
        <v>933</v>
      </c>
      <c r="B129" s="401">
        <v>125</v>
      </c>
      <c r="C129" s="419"/>
      <c r="D129" s="413"/>
      <c r="E129" s="412"/>
      <c r="F129" s="417"/>
      <c r="G129" s="402">
        <v>6720</v>
      </c>
      <c r="H129" s="413"/>
      <c r="I129" s="413"/>
    </row>
    <row r="130" spans="1:9">
      <c r="A130" s="390" t="s">
        <v>934</v>
      </c>
      <c r="B130" s="401">
        <v>126</v>
      </c>
      <c r="C130" s="419"/>
      <c r="D130" s="413"/>
      <c r="E130" s="412"/>
      <c r="F130" s="408">
        <v>6000</v>
      </c>
      <c r="G130" s="412"/>
      <c r="H130" s="413"/>
      <c r="I130" s="413"/>
    </row>
    <row r="131" spans="1:9">
      <c r="A131" s="390" t="s">
        <v>935</v>
      </c>
      <c r="B131" s="401">
        <v>127</v>
      </c>
      <c r="C131" s="419"/>
      <c r="D131" s="413"/>
      <c r="E131" s="412"/>
      <c r="F131" s="417"/>
      <c r="G131" s="412"/>
      <c r="H131" s="413"/>
      <c r="I131" s="408">
        <v>9840</v>
      </c>
    </row>
    <row r="132" spans="1:9">
      <c r="A132" s="390" t="s">
        <v>936</v>
      </c>
      <c r="B132" s="401">
        <v>128</v>
      </c>
      <c r="C132" s="461">
        <v>72</v>
      </c>
      <c r="D132" s="413"/>
      <c r="E132" s="412"/>
      <c r="F132" s="413"/>
      <c r="G132" s="412"/>
      <c r="H132" s="413"/>
      <c r="I132" s="413"/>
    </row>
    <row r="133" spans="1:9">
      <c r="A133" s="390" t="s">
        <v>937</v>
      </c>
      <c r="B133" s="401">
        <v>129</v>
      </c>
      <c r="C133" s="419"/>
      <c r="D133" s="408">
        <v>3360</v>
      </c>
      <c r="E133" s="412"/>
      <c r="F133" s="413"/>
      <c r="G133" s="412"/>
      <c r="H133" s="413"/>
      <c r="I133" s="414"/>
    </row>
    <row r="134" spans="1:9">
      <c r="A134" s="390" t="s">
        <v>937</v>
      </c>
      <c r="B134" s="401">
        <v>130</v>
      </c>
      <c r="C134" s="419"/>
      <c r="D134" s="413"/>
      <c r="E134" s="412"/>
      <c r="F134" s="408">
        <v>2520</v>
      </c>
      <c r="G134" s="412"/>
      <c r="H134" s="413"/>
      <c r="I134" s="414"/>
    </row>
    <row r="135" spans="1:9">
      <c r="A135" s="390" t="s">
        <v>937</v>
      </c>
      <c r="B135" s="401">
        <v>131</v>
      </c>
      <c r="C135" s="419"/>
      <c r="D135" s="413"/>
      <c r="E135" s="416"/>
      <c r="F135" s="408">
        <v>3090</v>
      </c>
      <c r="G135" s="412"/>
      <c r="H135" s="413"/>
      <c r="I135" s="413"/>
    </row>
    <row r="136" spans="1:9">
      <c r="A136" s="390" t="s">
        <v>938</v>
      </c>
      <c r="B136" s="401">
        <v>132</v>
      </c>
      <c r="C136" s="461">
        <v>120</v>
      </c>
      <c r="D136" s="413"/>
      <c r="E136" s="412"/>
      <c r="F136" s="413"/>
      <c r="G136" s="412"/>
      <c r="H136" s="413"/>
      <c r="I136" s="413"/>
    </row>
    <row r="137" spans="1:9">
      <c r="A137" s="390" t="s">
        <v>938</v>
      </c>
      <c r="B137" s="401">
        <v>133</v>
      </c>
      <c r="C137" s="461">
        <v>48</v>
      </c>
      <c r="D137" s="413"/>
      <c r="E137" s="412"/>
      <c r="F137" s="413"/>
      <c r="G137" s="412"/>
      <c r="H137" s="413"/>
      <c r="I137" s="413"/>
    </row>
    <row r="138" spans="1:9">
      <c r="A138" s="390" t="s">
        <v>938</v>
      </c>
      <c r="B138" s="401">
        <v>134</v>
      </c>
      <c r="C138" s="418"/>
      <c r="D138" s="413"/>
      <c r="E138" s="412"/>
      <c r="F138" s="413"/>
      <c r="G138" s="412"/>
      <c r="H138" s="413"/>
      <c r="I138" s="408">
        <v>13470</v>
      </c>
    </row>
    <row r="139" spans="1:9">
      <c r="A139" s="389" t="s">
        <v>939</v>
      </c>
      <c r="B139" s="440">
        <v>135</v>
      </c>
      <c r="C139" s="463">
        <v>360</v>
      </c>
      <c r="D139" s="442"/>
      <c r="E139" s="441"/>
      <c r="F139" s="442"/>
      <c r="G139" s="441"/>
      <c r="H139" s="442"/>
      <c r="I139" s="442"/>
    </row>
    <row r="140" spans="1:9" ht="15.75" thickBot="1">
      <c r="A140" s="391" t="s">
        <v>939</v>
      </c>
      <c r="B140" s="420">
        <v>136</v>
      </c>
      <c r="C140" s="464">
        <v>120</v>
      </c>
      <c r="D140" s="422"/>
      <c r="E140" s="421"/>
      <c r="F140" s="422"/>
      <c r="G140" s="421"/>
      <c r="H140" s="422"/>
      <c r="I140" s="422"/>
    </row>
    <row r="141" spans="1:9">
      <c r="A141" s="392" t="s">
        <v>940</v>
      </c>
      <c r="B141" s="425">
        <v>137</v>
      </c>
      <c r="C141" s="429"/>
      <c r="D141" s="427"/>
      <c r="E141" s="398">
        <v>8040</v>
      </c>
      <c r="F141" s="427"/>
      <c r="G141" s="428"/>
      <c r="H141" s="427"/>
      <c r="I141" s="427"/>
    </row>
    <row r="142" spans="1:9">
      <c r="A142" s="390" t="s">
        <v>941</v>
      </c>
      <c r="B142" s="401">
        <v>138</v>
      </c>
      <c r="C142" s="461">
        <v>84</v>
      </c>
      <c r="D142" s="413"/>
      <c r="E142" s="412"/>
      <c r="F142" s="413"/>
      <c r="G142" s="412"/>
      <c r="H142" s="413"/>
      <c r="I142" s="413"/>
    </row>
    <row r="143" spans="1:9">
      <c r="A143" s="390" t="s">
        <v>941</v>
      </c>
      <c r="B143" s="401">
        <v>139</v>
      </c>
      <c r="C143" s="461">
        <v>126</v>
      </c>
      <c r="D143" s="413"/>
      <c r="E143" s="412"/>
      <c r="F143" s="413"/>
      <c r="G143" s="412"/>
      <c r="H143" s="413"/>
      <c r="I143" s="413"/>
    </row>
    <row r="144" spans="1:9">
      <c r="A144" s="390" t="s">
        <v>941</v>
      </c>
      <c r="B144" s="401">
        <v>140</v>
      </c>
      <c r="C144" s="419"/>
      <c r="D144" s="413"/>
      <c r="E144" s="412"/>
      <c r="F144" s="413"/>
      <c r="G144" s="402">
        <v>6840</v>
      </c>
      <c r="H144" s="413"/>
      <c r="I144" s="414"/>
    </row>
    <row r="145" spans="1:9">
      <c r="A145" s="390" t="s">
        <v>941</v>
      </c>
      <c r="B145" s="401">
        <v>141</v>
      </c>
      <c r="C145" s="418"/>
      <c r="D145" s="408">
        <v>3201</v>
      </c>
      <c r="E145" s="412"/>
      <c r="F145" s="413"/>
      <c r="G145" s="412"/>
      <c r="H145" s="413"/>
      <c r="I145" s="413"/>
    </row>
    <row r="146" spans="1:9">
      <c r="A146" s="390" t="s">
        <v>942</v>
      </c>
      <c r="B146" s="401">
        <v>142</v>
      </c>
      <c r="C146" s="461">
        <v>48</v>
      </c>
      <c r="D146" s="414"/>
      <c r="E146" s="412"/>
      <c r="F146" s="413"/>
      <c r="G146" s="412"/>
      <c r="H146" s="413"/>
      <c r="I146" s="413"/>
    </row>
    <row r="147" spans="1:9">
      <c r="A147" s="390" t="s">
        <v>942</v>
      </c>
      <c r="B147" s="401">
        <v>143</v>
      </c>
      <c r="C147" s="419"/>
      <c r="D147" s="414"/>
      <c r="E147" s="412"/>
      <c r="F147" s="413"/>
      <c r="G147" s="412"/>
      <c r="H147" s="413"/>
      <c r="I147" s="408">
        <v>13155</v>
      </c>
    </row>
    <row r="148" spans="1:9">
      <c r="A148" s="390" t="s">
        <v>943</v>
      </c>
      <c r="B148" s="401">
        <v>144</v>
      </c>
      <c r="C148" s="461">
        <v>24</v>
      </c>
      <c r="D148" s="413"/>
      <c r="E148" s="412"/>
      <c r="F148" s="417"/>
      <c r="G148" s="412"/>
      <c r="H148" s="413"/>
      <c r="I148" s="413"/>
    </row>
    <row r="149" spans="1:9">
      <c r="A149" s="390" t="s">
        <v>943</v>
      </c>
      <c r="B149" s="401">
        <v>145</v>
      </c>
      <c r="C149" s="419"/>
      <c r="D149" s="413"/>
      <c r="E149" s="412"/>
      <c r="F149" s="408">
        <v>5880</v>
      </c>
      <c r="G149" s="412"/>
      <c r="H149" s="413"/>
      <c r="I149" s="413"/>
    </row>
    <row r="150" spans="1:9">
      <c r="A150" s="390" t="s">
        <v>943</v>
      </c>
      <c r="B150" s="401">
        <v>146</v>
      </c>
      <c r="C150" s="418"/>
      <c r="D150" s="413"/>
      <c r="E150" s="412"/>
      <c r="F150" s="408">
        <v>2400</v>
      </c>
      <c r="G150" s="412"/>
      <c r="H150" s="413"/>
      <c r="I150" s="413"/>
    </row>
    <row r="151" spans="1:9">
      <c r="A151" s="390" t="s">
        <v>943</v>
      </c>
      <c r="B151" s="401">
        <v>147</v>
      </c>
      <c r="C151" s="419"/>
      <c r="D151" s="413"/>
      <c r="E151" s="412"/>
      <c r="F151" s="408">
        <v>3000</v>
      </c>
      <c r="G151" s="412"/>
      <c r="H151" s="413"/>
      <c r="I151" s="414"/>
    </row>
    <row r="152" spans="1:9">
      <c r="A152" s="390" t="s">
        <v>944</v>
      </c>
      <c r="B152" s="401">
        <v>148</v>
      </c>
      <c r="C152" s="461">
        <v>66</v>
      </c>
      <c r="D152" s="413"/>
      <c r="E152" s="412"/>
      <c r="F152" s="413"/>
      <c r="G152" s="416"/>
      <c r="H152" s="414"/>
      <c r="I152" s="413"/>
    </row>
    <row r="153" spans="1:9">
      <c r="A153" s="390" t="s">
        <v>944</v>
      </c>
      <c r="B153" s="401">
        <v>149</v>
      </c>
      <c r="C153" s="418"/>
      <c r="D153" s="413"/>
      <c r="E153" s="412"/>
      <c r="F153" s="413"/>
      <c r="G153" s="412"/>
      <c r="H153" s="408">
        <v>960</v>
      </c>
      <c r="I153" s="413"/>
    </row>
    <row r="154" spans="1:9">
      <c r="A154" s="390" t="s">
        <v>944</v>
      </c>
      <c r="B154" s="401">
        <v>150</v>
      </c>
      <c r="C154" s="418"/>
      <c r="D154" s="413"/>
      <c r="E154" s="402">
        <v>8055</v>
      </c>
      <c r="F154" s="413"/>
      <c r="G154" s="412"/>
      <c r="H154" s="413"/>
      <c r="I154" s="413"/>
    </row>
    <row r="155" spans="1:9">
      <c r="A155" s="390" t="s">
        <v>945</v>
      </c>
      <c r="B155" s="401">
        <v>151</v>
      </c>
      <c r="C155" s="418"/>
      <c r="D155" s="408">
        <v>3330</v>
      </c>
      <c r="E155" s="412"/>
      <c r="F155" s="413"/>
      <c r="G155" s="412"/>
      <c r="H155" s="413"/>
      <c r="I155" s="413"/>
    </row>
    <row r="156" spans="1:9">
      <c r="A156" s="390" t="s">
        <v>946</v>
      </c>
      <c r="B156" s="401">
        <v>152</v>
      </c>
      <c r="C156" s="418"/>
      <c r="D156" s="413"/>
      <c r="E156" s="412"/>
      <c r="F156" s="413"/>
      <c r="G156" s="402">
        <v>6960</v>
      </c>
      <c r="H156" s="413"/>
      <c r="I156" s="413"/>
    </row>
    <row r="157" spans="1:9">
      <c r="A157" s="390" t="s">
        <v>947</v>
      </c>
      <c r="B157" s="401">
        <v>153</v>
      </c>
      <c r="C157" s="461">
        <v>240</v>
      </c>
      <c r="D157" s="413"/>
      <c r="E157" s="412"/>
      <c r="F157" s="413"/>
      <c r="G157" s="416"/>
      <c r="H157" s="414"/>
      <c r="I157" s="413"/>
    </row>
    <row r="158" spans="1:9">
      <c r="A158" s="390" t="s">
        <v>947</v>
      </c>
      <c r="B158" s="401">
        <v>154</v>
      </c>
      <c r="C158" s="461">
        <v>24</v>
      </c>
      <c r="D158" s="413"/>
      <c r="E158" s="412"/>
      <c r="F158" s="413"/>
      <c r="G158" s="412"/>
      <c r="H158" s="413"/>
      <c r="I158" s="413"/>
    </row>
    <row r="159" spans="1:9">
      <c r="A159" s="390" t="s">
        <v>947</v>
      </c>
      <c r="B159" s="401">
        <v>155</v>
      </c>
      <c r="C159" s="461">
        <v>72</v>
      </c>
      <c r="D159" s="413"/>
      <c r="E159" s="412"/>
      <c r="F159" s="413"/>
      <c r="G159" s="412"/>
      <c r="H159" s="413"/>
      <c r="I159" s="413"/>
    </row>
    <row r="160" spans="1:9">
      <c r="A160" s="390" t="s">
        <v>947</v>
      </c>
      <c r="B160" s="401">
        <v>156</v>
      </c>
      <c r="C160" s="418"/>
      <c r="D160" s="408">
        <v>3228</v>
      </c>
      <c r="E160" s="412"/>
      <c r="F160" s="413"/>
      <c r="G160" s="412"/>
      <c r="H160" s="413"/>
      <c r="I160" s="413"/>
    </row>
    <row r="161" spans="1:9">
      <c r="A161" s="390" t="s">
        <v>948</v>
      </c>
      <c r="B161" s="401">
        <v>157</v>
      </c>
      <c r="C161" s="461">
        <v>60</v>
      </c>
      <c r="D161" s="413"/>
      <c r="E161" s="412"/>
      <c r="F161" s="413"/>
      <c r="G161" s="412"/>
      <c r="H161" s="413"/>
      <c r="I161" s="413"/>
    </row>
    <row r="162" spans="1:9">
      <c r="A162" s="390" t="s">
        <v>948</v>
      </c>
      <c r="B162" s="401">
        <v>158</v>
      </c>
      <c r="C162" s="419"/>
      <c r="D162" s="413"/>
      <c r="E162" s="412"/>
      <c r="F162" s="413"/>
      <c r="G162" s="412"/>
      <c r="H162" s="413"/>
      <c r="I162" s="408">
        <v>13485</v>
      </c>
    </row>
    <row r="163" spans="1:9">
      <c r="A163" s="390" t="s">
        <v>948</v>
      </c>
      <c r="B163" s="401">
        <v>159</v>
      </c>
      <c r="C163" s="461">
        <v>48</v>
      </c>
      <c r="D163" s="413"/>
      <c r="E163" s="412"/>
      <c r="F163" s="417"/>
      <c r="G163" s="412"/>
      <c r="H163" s="413"/>
      <c r="I163" s="413"/>
    </row>
    <row r="164" spans="1:9">
      <c r="A164" s="390" t="s">
        <v>949</v>
      </c>
      <c r="B164" s="401">
        <v>160</v>
      </c>
      <c r="C164" s="461">
        <v>120</v>
      </c>
      <c r="D164" s="413"/>
      <c r="E164" s="412"/>
      <c r="F164" s="417"/>
      <c r="G164" s="412"/>
      <c r="H164" s="413"/>
      <c r="I164" s="413"/>
    </row>
    <row r="165" spans="1:9">
      <c r="A165" s="390" t="s">
        <v>949</v>
      </c>
      <c r="B165" s="401">
        <v>161</v>
      </c>
      <c r="C165" s="461">
        <v>168</v>
      </c>
      <c r="D165" s="413"/>
      <c r="E165" s="412"/>
      <c r="F165" s="413"/>
      <c r="G165" s="412"/>
      <c r="H165" s="413"/>
      <c r="I165" s="413"/>
    </row>
    <row r="166" spans="1:9">
      <c r="A166" s="390" t="s">
        <v>949</v>
      </c>
      <c r="B166" s="401">
        <v>162</v>
      </c>
      <c r="C166" s="461">
        <v>72</v>
      </c>
      <c r="D166" s="413"/>
      <c r="E166" s="416"/>
      <c r="F166" s="413"/>
      <c r="G166" s="412"/>
      <c r="H166" s="413"/>
      <c r="I166" s="413"/>
    </row>
    <row r="167" spans="1:9">
      <c r="A167" s="390" t="s">
        <v>949</v>
      </c>
      <c r="B167" s="401">
        <v>163</v>
      </c>
      <c r="C167" s="418"/>
      <c r="D167" s="413"/>
      <c r="E167" s="402">
        <v>8160</v>
      </c>
      <c r="F167" s="413"/>
      <c r="G167" s="412"/>
      <c r="H167" s="413"/>
      <c r="I167" s="413"/>
    </row>
    <row r="168" spans="1:9">
      <c r="A168" s="390" t="s">
        <v>949</v>
      </c>
      <c r="B168" s="401">
        <v>164</v>
      </c>
      <c r="C168" s="461">
        <v>48</v>
      </c>
      <c r="D168" s="413"/>
      <c r="E168" s="412"/>
      <c r="F168" s="413"/>
      <c r="G168" s="412"/>
      <c r="H168" s="413"/>
      <c r="I168" s="413"/>
    </row>
    <row r="169" spans="1:9">
      <c r="A169" s="390" t="s">
        <v>950</v>
      </c>
      <c r="B169" s="401">
        <v>165</v>
      </c>
      <c r="C169" s="461">
        <v>72</v>
      </c>
      <c r="D169" s="413"/>
      <c r="E169" s="412"/>
      <c r="F169" s="413"/>
      <c r="G169" s="412"/>
      <c r="H169" s="413"/>
      <c r="I169" s="413"/>
    </row>
    <row r="170" spans="1:9">
      <c r="A170" s="390" t="s">
        <v>950</v>
      </c>
      <c r="B170" s="401">
        <v>166</v>
      </c>
      <c r="C170" s="419"/>
      <c r="D170" s="413"/>
      <c r="E170" s="412"/>
      <c r="F170" s="408">
        <v>6000</v>
      </c>
      <c r="G170" s="416"/>
      <c r="H170" s="414"/>
      <c r="I170" s="413"/>
    </row>
    <row r="171" spans="1:9">
      <c r="A171" s="390" t="s">
        <v>950</v>
      </c>
      <c r="B171" s="401">
        <v>167</v>
      </c>
      <c r="C171" s="418"/>
      <c r="D171" s="413"/>
      <c r="E171" s="412"/>
      <c r="F171" s="408">
        <v>1920</v>
      </c>
      <c r="G171" s="412"/>
      <c r="H171" s="413"/>
      <c r="I171" s="413"/>
    </row>
    <row r="172" spans="1:9">
      <c r="A172" s="390" t="s">
        <v>950</v>
      </c>
      <c r="B172" s="401">
        <v>168</v>
      </c>
      <c r="C172" s="418"/>
      <c r="D172" s="413"/>
      <c r="E172" s="412"/>
      <c r="F172" s="408">
        <v>2490</v>
      </c>
      <c r="G172" s="412"/>
      <c r="H172" s="413"/>
      <c r="I172" s="413"/>
    </row>
    <row r="173" spans="1:9">
      <c r="A173" s="390" t="s">
        <v>951</v>
      </c>
      <c r="B173" s="401">
        <v>169</v>
      </c>
      <c r="C173" s="461">
        <v>96</v>
      </c>
      <c r="D173" s="413"/>
      <c r="E173" s="412"/>
      <c r="F173" s="413"/>
      <c r="G173" s="412"/>
      <c r="H173" s="413"/>
      <c r="I173" s="413"/>
    </row>
    <row r="174" spans="1:9">
      <c r="A174" s="390" t="s">
        <v>952</v>
      </c>
      <c r="B174" s="401">
        <v>170</v>
      </c>
      <c r="C174" s="461">
        <v>72</v>
      </c>
      <c r="D174" s="413"/>
      <c r="E174" s="412"/>
      <c r="F174" s="413"/>
      <c r="G174" s="412"/>
      <c r="H174" s="413"/>
      <c r="I174" s="414"/>
    </row>
    <row r="175" spans="1:9">
      <c r="A175" s="390" t="s">
        <v>952</v>
      </c>
      <c r="B175" s="401">
        <v>171</v>
      </c>
      <c r="C175" s="461">
        <v>360</v>
      </c>
      <c r="D175" s="413"/>
      <c r="E175" s="412"/>
      <c r="F175" s="413"/>
      <c r="G175" s="412"/>
      <c r="H175" s="413"/>
      <c r="I175" s="413"/>
    </row>
    <row r="176" spans="1:9">
      <c r="A176" s="390" t="s">
        <v>953</v>
      </c>
      <c r="B176" s="401">
        <v>172</v>
      </c>
      <c r="C176" s="418"/>
      <c r="D176" s="413"/>
      <c r="E176" s="412"/>
      <c r="F176" s="413"/>
      <c r="G176" s="412"/>
      <c r="H176" s="413"/>
      <c r="I176" s="408">
        <v>13560</v>
      </c>
    </row>
    <row r="177" spans="1:9">
      <c r="A177" s="390" t="s">
        <v>953</v>
      </c>
      <c r="B177" s="401">
        <v>173</v>
      </c>
      <c r="C177" s="418"/>
      <c r="D177" s="408">
        <v>3330</v>
      </c>
      <c r="E177" s="412"/>
      <c r="F177" s="413"/>
      <c r="G177" s="412"/>
      <c r="H177" s="413"/>
      <c r="I177" s="413"/>
    </row>
    <row r="178" spans="1:9">
      <c r="A178" s="390" t="s">
        <v>954</v>
      </c>
      <c r="B178" s="401">
        <v>174</v>
      </c>
      <c r="C178" s="461">
        <v>288</v>
      </c>
      <c r="D178" s="413"/>
      <c r="E178" s="412"/>
      <c r="F178" s="417"/>
      <c r="G178" s="412"/>
      <c r="H178" s="413"/>
      <c r="I178" s="413"/>
    </row>
    <row r="179" spans="1:9">
      <c r="A179" s="390" t="s">
        <v>954</v>
      </c>
      <c r="B179" s="401">
        <v>175</v>
      </c>
      <c r="C179" s="419"/>
      <c r="D179" s="413"/>
      <c r="E179" s="412"/>
      <c r="F179" s="417"/>
      <c r="G179" s="402">
        <v>8040</v>
      </c>
      <c r="H179" s="413"/>
      <c r="I179" s="413"/>
    </row>
    <row r="180" spans="1:9">
      <c r="A180" s="390" t="s">
        <v>955</v>
      </c>
      <c r="B180" s="401">
        <v>176</v>
      </c>
      <c r="C180" s="419"/>
      <c r="D180" s="413"/>
      <c r="E180" s="402">
        <v>8136</v>
      </c>
      <c r="F180" s="417"/>
      <c r="G180" s="412"/>
      <c r="H180" s="413"/>
      <c r="I180" s="413"/>
    </row>
    <row r="181" spans="1:9">
      <c r="A181" s="390" t="s">
        <v>956</v>
      </c>
      <c r="B181" s="401">
        <v>177</v>
      </c>
      <c r="C181" s="461">
        <v>48</v>
      </c>
      <c r="D181" s="413"/>
      <c r="E181" s="412"/>
      <c r="F181" s="413"/>
      <c r="G181" s="412"/>
      <c r="H181" s="413"/>
      <c r="I181" s="413"/>
    </row>
    <row r="182" spans="1:9">
      <c r="A182" s="390" t="s">
        <v>956</v>
      </c>
      <c r="B182" s="401">
        <v>178</v>
      </c>
      <c r="C182" s="461">
        <v>156</v>
      </c>
      <c r="D182" s="413"/>
      <c r="E182" s="412"/>
      <c r="F182" s="413"/>
      <c r="G182" s="412"/>
      <c r="H182" s="413"/>
      <c r="I182" s="413"/>
    </row>
    <row r="183" spans="1:9">
      <c r="A183" s="390" t="s">
        <v>957</v>
      </c>
      <c r="B183" s="401">
        <v>179</v>
      </c>
      <c r="C183" s="461">
        <v>60</v>
      </c>
      <c r="D183" s="413"/>
      <c r="E183" s="412"/>
      <c r="F183" s="413"/>
      <c r="G183" s="412"/>
      <c r="H183" s="413"/>
      <c r="I183" s="413"/>
    </row>
    <row r="184" spans="1:9">
      <c r="A184" s="390" t="s">
        <v>957</v>
      </c>
      <c r="B184" s="401">
        <v>180</v>
      </c>
      <c r="C184" s="461">
        <v>120</v>
      </c>
      <c r="D184" s="413"/>
      <c r="E184" s="412"/>
      <c r="F184" s="413"/>
      <c r="G184" s="412"/>
      <c r="H184" s="413"/>
      <c r="I184" s="414"/>
    </row>
    <row r="185" spans="1:9">
      <c r="A185" s="389" t="s">
        <v>957</v>
      </c>
      <c r="B185" s="440">
        <v>181</v>
      </c>
      <c r="C185" s="445"/>
      <c r="D185" s="442"/>
      <c r="E185" s="441"/>
      <c r="F185" s="442"/>
      <c r="G185" s="441"/>
      <c r="H185" s="442"/>
      <c r="I185" s="448">
        <v>13455</v>
      </c>
    </row>
    <row r="186" spans="1:9">
      <c r="A186" s="390" t="s">
        <v>957</v>
      </c>
      <c r="B186" s="401">
        <v>182</v>
      </c>
      <c r="C186" s="418"/>
      <c r="D186" s="413"/>
      <c r="E186" s="412"/>
      <c r="F186" s="408">
        <v>5760</v>
      </c>
      <c r="G186" s="412"/>
      <c r="H186" s="413"/>
      <c r="I186" s="413"/>
    </row>
    <row r="187" spans="1:9" ht="15.75" thickBot="1">
      <c r="A187" s="391" t="s">
        <v>957</v>
      </c>
      <c r="B187" s="420">
        <v>183</v>
      </c>
      <c r="C187" s="424"/>
      <c r="D187" s="422"/>
      <c r="E187" s="421"/>
      <c r="F187" s="446">
        <v>2340</v>
      </c>
      <c r="G187" s="421"/>
      <c r="H187" s="422"/>
      <c r="I187" s="422"/>
    </row>
    <row r="188" spans="1:9">
      <c r="A188" s="392" t="s">
        <v>958</v>
      </c>
      <c r="B188" s="425">
        <v>184</v>
      </c>
      <c r="C188" s="439"/>
      <c r="D188" s="438">
        <v>3360</v>
      </c>
      <c r="E188" s="428"/>
      <c r="F188" s="427"/>
      <c r="G188" s="428"/>
      <c r="H188" s="427"/>
      <c r="I188" s="602"/>
    </row>
    <row r="189" spans="1:9">
      <c r="A189" s="390" t="s">
        <v>959</v>
      </c>
      <c r="B189" s="401">
        <v>185</v>
      </c>
      <c r="C189" s="461">
        <v>360</v>
      </c>
      <c r="D189" s="413"/>
      <c r="E189" s="412"/>
      <c r="F189" s="413"/>
      <c r="G189" s="412"/>
      <c r="H189" s="413"/>
      <c r="I189" s="413"/>
    </row>
    <row r="190" spans="1:9">
      <c r="A190" s="390" t="s">
        <v>959</v>
      </c>
      <c r="B190" s="401">
        <v>186</v>
      </c>
      <c r="C190" s="461">
        <v>372</v>
      </c>
      <c r="D190" s="413"/>
      <c r="E190" s="412"/>
      <c r="F190" s="417"/>
      <c r="G190" s="412"/>
      <c r="H190" s="413"/>
      <c r="I190" s="413"/>
    </row>
    <row r="191" spans="1:9">
      <c r="A191" s="390" t="s">
        <v>959</v>
      </c>
      <c r="B191" s="401">
        <v>187</v>
      </c>
      <c r="C191" s="419"/>
      <c r="D191" s="413"/>
      <c r="E191" s="412"/>
      <c r="F191" s="417"/>
      <c r="G191" s="402">
        <v>4920</v>
      </c>
      <c r="H191" s="413"/>
      <c r="I191" s="413"/>
    </row>
    <row r="192" spans="1:9">
      <c r="A192" s="390" t="s">
        <v>960</v>
      </c>
      <c r="B192" s="401">
        <v>188</v>
      </c>
      <c r="C192" s="461">
        <v>240</v>
      </c>
      <c r="D192" s="414"/>
      <c r="E192" s="412"/>
      <c r="F192" s="413"/>
      <c r="G192" s="412"/>
      <c r="H192" s="413"/>
      <c r="I192" s="413"/>
    </row>
    <row r="193" spans="1:9">
      <c r="A193" s="390" t="s">
        <v>961</v>
      </c>
      <c r="B193" s="401">
        <v>189</v>
      </c>
      <c r="C193" s="418"/>
      <c r="D193" s="413"/>
      <c r="E193" s="402">
        <v>9606</v>
      </c>
      <c r="F193" s="413"/>
      <c r="G193" s="412"/>
      <c r="H193" s="413"/>
      <c r="I193" s="413"/>
    </row>
    <row r="194" spans="1:9">
      <c r="A194" s="390" t="s">
        <v>962</v>
      </c>
      <c r="B194" s="401">
        <v>190</v>
      </c>
      <c r="C194" s="461">
        <v>120</v>
      </c>
      <c r="D194" s="414"/>
      <c r="E194" s="412"/>
      <c r="F194" s="413"/>
      <c r="G194" s="412"/>
      <c r="H194" s="413"/>
      <c r="I194" s="413"/>
    </row>
    <row r="195" spans="1:9">
      <c r="A195" s="390" t="s">
        <v>963</v>
      </c>
      <c r="B195" s="401">
        <v>191</v>
      </c>
      <c r="C195" s="418"/>
      <c r="D195" s="408">
        <v>3291</v>
      </c>
      <c r="E195" s="412"/>
      <c r="F195" s="413"/>
      <c r="G195" s="412"/>
      <c r="H195" s="413"/>
      <c r="I195" s="413"/>
    </row>
    <row r="196" spans="1:9">
      <c r="A196" s="390" t="s">
        <v>963</v>
      </c>
      <c r="B196" s="401">
        <v>192</v>
      </c>
      <c r="C196" s="461">
        <v>240</v>
      </c>
      <c r="D196" s="413"/>
      <c r="E196" s="412"/>
      <c r="F196" s="413"/>
      <c r="G196" s="412"/>
      <c r="H196" s="413"/>
      <c r="I196" s="413"/>
    </row>
    <row r="197" spans="1:9">
      <c r="A197" s="390" t="s">
        <v>963</v>
      </c>
      <c r="B197" s="401">
        <v>193</v>
      </c>
      <c r="C197" s="419"/>
      <c r="D197" s="413"/>
      <c r="E197" s="416"/>
      <c r="F197" s="413"/>
      <c r="G197" s="412"/>
      <c r="H197" s="413"/>
      <c r="I197" s="408">
        <v>13827</v>
      </c>
    </row>
    <row r="198" spans="1:9">
      <c r="A198" s="390" t="s">
        <v>964</v>
      </c>
      <c r="B198" s="401">
        <v>194</v>
      </c>
      <c r="C198" s="461">
        <v>84</v>
      </c>
      <c r="D198" s="413"/>
      <c r="E198" s="416"/>
      <c r="F198" s="413"/>
      <c r="G198" s="412"/>
      <c r="H198" s="413"/>
      <c r="I198" s="413"/>
    </row>
    <row r="199" spans="1:9">
      <c r="A199" s="390" t="s">
        <v>964</v>
      </c>
      <c r="B199" s="401">
        <v>195</v>
      </c>
      <c r="C199" s="418"/>
      <c r="D199" s="413"/>
      <c r="E199" s="412"/>
      <c r="F199" s="413"/>
      <c r="G199" s="412"/>
      <c r="H199" s="408">
        <v>1350</v>
      </c>
      <c r="I199" s="413"/>
    </row>
    <row r="200" spans="1:9">
      <c r="A200" s="390" t="s">
        <v>965</v>
      </c>
      <c r="B200" s="401">
        <v>196</v>
      </c>
      <c r="C200" s="418"/>
      <c r="D200" s="413"/>
      <c r="E200" s="412"/>
      <c r="F200" s="408">
        <v>3930</v>
      </c>
      <c r="G200" s="412"/>
      <c r="H200" s="413"/>
      <c r="I200" s="413"/>
    </row>
    <row r="201" spans="1:9">
      <c r="A201" s="390" t="s">
        <v>965</v>
      </c>
      <c r="B201" s="401">
        <v>197</v>
      </c>
      <c r="C201" s="418"/>
      <c r="D201" s="413"/>
      <c r="E201" s="412"/>
      <c r="F201" s="408">
        <v>2850</v>
      </c>
      <c r="G201" s="412"/>
      <c r="H201" s="413"/>
      <c r="I201" s="413"/>
    </row>
    <row r="202" spans="1:9">
      <c r="A202" s="390" t="s">
        <v>966</v>
      </c>
      <c r="B202" s="401">
        <v>198</v>
      </c>
      <c r="C202" s="461">
        <v>60</v>
      </c>
      <c r="D202" s="413"/>
      <c r="E202" s="412"/>
      <c r="F202" s="413"/>
      <c r="G202" s="412"/>
      <c r="H202" s="413"/>
      <c r="I202" s="413"/>
    </row>
    <row r="203" spans="1:9">
      <c r="A203" s="390" t="s">
        <v>966</v>
      </c>
      <c r="B203" s="401">
        <v>199</v>
      </c>
      <c r="C203" s="461">
        <v>348</v>
      </c>
      <c r="D203" s="413"/>
      <c r="E203" s="412"/>
      <c r="F203" s="413"/>
      <c r="G203" s="416"/>
      <c r="H203" s="414"/>
      <c r="I203" s="413"/>
    </row>
    <row r="204" spans="1:9">
      <c r="A204" s="390" t="s">
        <v>966</v>
      </c>
      <c r="B204" s="401">
        <v>200</v>
      </c>
      <c r="C204" s="418"/>
      <c r="D204" s="413"/>
      <c r="E204" s="412"/>
      <c r="F204" s="413"/>
      <c r="G204" s="412"/>
      <c r="H204" s="413"/>
      <c r="I204" s="408">
        <v>6963</v>
      </c>
    </row>
    <row r="205" spans="1:9">
      <c r="A205" s="390" t="s">
        <v>967</v>
      </c>
      <c r="B205" s="401">
        <v>201</v>
      </c>
      <c r="C205" s="461">
        <v>120</v>
      </c>
      <c r="D205" s="414"/>
      <c r="E205" s="412"/>
      <c r="F205" s="413"/>
      <c r="G205" s="412"/>
      <c r="H205" s="413"/>
      <c r="I205" s="413"/>
    </row>
    <row r="206" spans="1:9">
      <c r="A206" s="390" t="s">
        <v>967</v>
      </c>
      <c r="B206" s="401">
        <v>202</v>
      </c>
      <c r="C206" s="461">
        <v>144</v>
      </c>
      <c r="D206" s="413"/>
      <c r="E206" s="412"/>
      <c r="F206" s="413"/>
      <c r="G206" s="412"/>
      <c r="H206" s="413"/>
      <c r="I206" s="413"/>
    </row>
    <row r="207" spans="1:9">
      <c r="A207" s="390" t="s">
        <v>967</v>
      </c>
      <c r="B207" s="401">
        <v>203</v>
      </c>
      <c r="C207" s="419"/>
      <c r="D207" s="413"/>
      <c r="E207" s="412"/>
      <c r="F207" s="413"/>
      <c r="G207" s="402">
        <v>4440</v>
      </c>
      <c r="H207" s="413"/>
      <c r="I207" s="414"/>
    </row>
    <row r="208" spans="1:9">
      <c r="A208" s="390" t="s">
        <v>968</v>
      </c>
      <c r="B208" s="401">
        <v>204</v>
      </c>
      <c r="C208" s="461">
        <v>60</v>
      </c>
      <c r="D208" s="413"/>
      <c r="E208" s="412"/>
      <c r="F208" s="413"/>
      <c r="G208" s="412"/>
      <c r="H208" s="413"/>
      <c r="I208" s="414"/>
    </row>
    <row r="209" spans="1:9">
      <c r="A209" s="390" t="s">
        <v>969</v>
      </c>
      <c r="B209" s="401">
        <v>205</v>
      </c>
      <c r="C209" s="419"/>
      <c r="D209" s="408">
        <v>7820</v>
      </c>
      <c r="E209" s="412"/>
      <c r="F209" s="417"/>
      <c r="G209" s="412"/>
      <c r="H209" s="413"/>
      <c r="I209" s="413"/>
    </row>
    <row r="210" spans="1:9">
      <c r="A210" s="390" t="s">
        <v>969</v>
      </c>
      <c r="B210" s="401">
        <v>206</v>
      </c>
      <c r="C210" s="419"/>
      <c r="D210" s="413"/>
      <c r="E210" s="412"/>
      <c r="F210" s="417"/>
      <c r="G210" s="412"/>
      <c r="H210" s="413"/>
      <c r="I210" s="408">
        <v>8580</v>
      </c>
    </row>
    <row r="211" spans="1:9">
      <c r="A211" s="390" t="s">
        <v>969</v>
      </c>
      <c r="B211" s="401">
        <v>207</v>
      </c>
      <c r="C211" s="418"/>
      <c r="D211" s="413"/>
      <c r="E211" s="412"/>
      <c r="F211" s="413"/>
      <c r="G211" s="402">
        <v>8400</v>
      </c>
      <c r="H211" s="413"/>
      <c r="I211" s="413"/>
    </row>
    <row r="212" spans="1:9">
      <c r="A212" s="390" t="s">
        <v>970</v>
      </c>
      <c r="B212" s="401">
        <v>208</v>
      </c>
      <c r="C212" s="461">
        <v>60</v>
      </c>
      <c r="D212" s="413"/>
      <c r="E212" s="412"/>
      <c r="F212" s="413"/>
      <c r="G212" s="412"/>
      <c r="H212" s="413"/>
      <c r="I212" s="414"/>
    </row>
    <row r="213" spans="1:9">
      <c r="A213" s="390" t="s">
        <v>970</v>
      </c>
      <c r="B213" s="401">
        <v>209</v>
      </c>
      <c r="C213" s="418"/>
      <c r="D213" s="413"/>
      <c r="E213" s="412"/>
      <c r="F213" s="408">
        <v>6300</v>
      </c>
      <c r="G213" s="412"/>
      <c r="H213" s="413"/>
      <c r="I213" s="413"/>
    </row>
    <row r="214" spans="1:9">
      <c r="A214" s="390" t="s">
        <v>970</v>
      </c>
      <c r="B214" s="401">
        <v>210</v>
      </c>
      <c r="C214" s="418"/>
      <c r="D214" s="413"/>
      <c r="E214" s="412"/>
      <c r="F214" s="408">
        <v>2040</v>
      </c>
      <c r="G214" s="412"/>
      <c r="H214" s="413"/>
      <c r="I214" s="413"/>
    </row>
    <row r="215" spans="1:9">
      <c r="A215" s="390" t="s">
        <v>971</v>
      </c>
      <c r="B215" s="401">
        <v>211</v>
      </c>
      <c r="C215" s="461">
        <v>48</v>
      </c>
      <c r="D215" s="413"/>
      <c r="E215" s="412"/>
      <c r="F215" s="413"/>
      <c r="G215" s="412"/>
      <c r="H215" s="413"/>
      <c r="I215" s="413"/>
    </row>
    <row r="216" spans="1:9">
      <c r="A216" s="390" t="s">
        <v>971</v>
      </c>
      <c r="B216" s="401">
        <v>212</v>
      </c>
      <c r="C216" s="461">
        <v>120</v>
      </c>
      <c r="D216" s="413"/>
      <c r="E216" s="412"/>
      <c r="F216" s="413"/>
      <c r="G216" s="412"/>
      <c r="H216" s="413"/>
      <c r="I216" s="413"/>
    </row>
    <row r="217" spans="1:9">
      <c r="A217" s="390" t="s">
        <v>971</v>
      </c>
      <c r="B217" s="401">
        <v>213</v>
      </c>
      <c r="C217" s="461">
        <v>48</v>
      </c>
      <c r="D217" s="413"/>
      <c r="E217" s="416"/>
      <c r="F217" s="413"/>
      <c r="G217" s="412"/>
      <c r="H217" s="413"/>
      <c r="I217" s="413"/>
    </row>
    <row r="218" spans="1:9">
      <c r="A218" s="390" t="s">
        <v>971</v>
      </c>
      <c r="B218" s="401">
        <v>214</v>
      </c>
      <c r="C218" s="461">
        <v>240</v>
      </c>
      <c r="D218" s="413"/>
      <c r="E218" s="416"/>
      <c r="F218" s="413"/>
      <c r="G218" s="412"/>
      <c r="H218" s="413"/>
      <c r="I218" s="413"/>
    </row>
    <row r="219" spans="1:9">
      <c r="A219" s="390" t="s">
        <v>972</v>
      </c>
      <c r="B219" s="401">
        <v>215</v>
      </c>
      <c r="C219" s="418"/>
      <c r="D219" s="408">
        <v>7630</v>
      </c>
      <c r="E219" s="412"/>
      <c r="F219" s="413"/>
      <c r="G219" s="412"/>
      <c r="H219" s="413"/>
      <c r="I219" s="413"/>
    </row>
    <row r="220" spans="1:9">
      <c r="A220" s="390" t="s">
        <v>972</v>
      </c>
      <c r="B220" s="401">
        <v>216</v>
      </c>
      <c r="C220" s="461">
        <v>144</v>
      </c>
      <c r="D220" s="413"/>
      <c r="E220" s="412"/>
      <c r="F220" s="413"/>
      <c r="G220" s="412"/>
      <c r="H220" s="413"/>
      <c r="I220" s="413"/>
    </row>
    <row r="221" spans="1:9">
      <c r="A221" s="390" t="s">
        <v>973</v>
      </c>
      <c r="B221" s="401">
        <v>217</v>
      </c>
      <c r="C221" s="461">
        <v>132</v>
      </c>
      <c r="D221" s="413"/>
      <c r="E221" s="412"/>
      <c r="F221" s="413"/>
      <c r="G221" s="412"/>
      <c r="H221" s="413"/>
      <c r="I221" s="413"/>
    </row>
    <row r="222" spans="1:9">
      <c r="A222" s="390" t="s">
        <v>973</v>
      </c>
      <c r="B222" s="401">
        <v>218</v>
      </c>
      <c r="C222" s="461">
        <v>60</v>
      </c>
      <c r="D222" s="413"/>
      <c r="E222" s="412"/>
      <c r="F222" s="413"/>
      <c r="G222" s="412"/>
      <c r="H222" s="413"/>
      <c r="I222" s="413"/>
    </row>
    <row r="223" spans="1:9">
      <c r="A223" s="390" t="s">
        <v>973</v>
      </c>
      <c r="B223" s="401">
        <v>219</v>
      </c>
      <c r="C223" s="418"/>
      <c r="D223" s="413"/>
      <c r="E223" s="402">
        <v>8400</v>
      </c>
      <c r="F223" s="413"/>
      <c r="G223" s="412"/>
      <c r="H223" s="413"/>
      <c r="I223" s="413"/>
    </row>
    <row r="224" spans="1:9">
      <c r="A224" s="390" t="s">
        <v>973</v>
      </c>
      <c r="B224" s="401">
        <v>220</v>
      </c>
      <c r="C224" s="418"/>
      <c r="D224" s="413"/>
      <c r="E224" s="412"/>
      <c r="F224" s="413"/>
      <c r="G224" s="412"/>
      <c r="H224" s="413"/>
      <c r="I224" s="408">
        <v>13542</v>
      </c>
    </row>
    <row r="225" spans="1:9">
      <c r="A225" s="390" t="s">
        <v>974</v>
      </c>
      <c r="B225" s="401">
        <v>221</v>
      </c>
      <c r="C225" s="461">
        <v>120</v>
      </c>
      <c r="D225" s="413"/>
      <c r="E225" s="412"/>
      <c r="F225" s="413"/>
      <c r="G225" s="412"/>
      <c r="H225" s="413"/>
      <c r="I225" s="413"/>
    </row>
    <row r="226" spans="1:9">
      <c r="A226" s="390" t="s">
        <v>974</v>
      </c>
      <c r="B226" s="401">
        <v>222</v>
      </c>
      <c r="C226" s="419"/>
      <c r="D226" s="413"/>
      <c r="E226" s="412"/>
      <c r="F226" s="408">
        <v>3420</v>
      </c>
      <c r="G226" s="416"/>
      <c r="H226" s="414"/>
      <c r="I226" s="413"/>
    </row>
    <row r="227" spans="1:9">
      <c r="A227" s="390" t="s">
        <v>974</v>
      </c>
      <c r="B227" s="401">
        <v>223</v>
      </c>
      <c r="C227" s="418"/>
      <c r="D227" s="413"/>
      <c r="E227" s="412"/>
      <c r="F227" s="408">
        <v>2550</v>
      </c>
      <c r="G227" s="412"/>
      <c r="H227" s="413"/>
      <c r="I227" s="413"/>
    </row>
    <row r="228" spans="1:9">
      <c r="A228" s="390" t="s">
        <v>974</v>
      </c>
      <c r="B228" s="401">
        <v>224</v>
      </c>
      <c r="C228" s="418"/>
      <c r="D228" s="413"/>
      <c r="E228" s="412"/>
      <c r="F228" s="408">
        <v>1980</v>
      </c>
      <c r="G228" s="412"/>
      <c r="H228" s="413"/>
      <c r="I228" s="413"/>
    </row>
    <row r="229" spans="1:9">
      <c r="A229" s="390" t="s">
        <v>975</v>
      </c>
      <c r="B229" s="401">
        <v>225</v>
      </c>
      <c r="C229" s="461">
        <v>240</v>
      </c>
      <c r="D229" s="413"/>
      <c r="E229" s="412"/>
      <c r="F229" s="417"/>
      <c r="G229" s="412"/>
      <c r="H229" s="413"/>
      <c r="I229" s="413"/>
    </row>
    <row r="230" spans="1:9">
      <c r="A230" s="390" t="s">
        <v>975</v>
      </c>
      <c r="B230" s="401">
        <v>226</v>
      </c>
      <c r="C230" s="461">
        <v>60</v>
      </c>
      <c r="D230" s="413"/>
      <c r="E230" s="412"/>
      <c r="F230" s="417"/>
      <c r="G230" s="412"/>
      <c r="H230" s="413"/>
      <c r="I230" s="413"/>
    </row>
    <row r="231" spans="1:9">
      <c r="A231" s="389" t="s">
        <v>975</v>
      </c>
      <c r="B231" s="440">
        <v>227</v>
      </c>
      <c r="C231" s="445"/>
      <c r="D231" s="442"/>
      <c r="E231" s="441"/>
      <c r="F231" s="447"/>
      <c r="G231" s="441"/>
      <c r="H231" s="448">
        <v>1338</v>
      </c>
      <c r="I231" s="442"/>
    </row>
    <row r="232" spans="1:9">
      <c r="A232" s="390" t="s">
        <v>976</v>
      </c>
      <c r="B232" s="401">
        <v>228</v>
      </c>
      <c r="C232" s="461">
        <v>144</v>
      </c>
      <c r="D232" s="413"/>
      <c r="E232" s="412"/>
      <c r="F232" s="413"/>
      <c r="G232" s="412"/>
      <c r="H232" s="413"/>
      <c r="I232" s="413"/>
    </row>
    <row r="233" spans="1:9">
      <c r="A233" s="390" t="s">
        <v>976</v>
      </c>
      <c r="B233" s="401">
        <v>229</v>
      </c>
      <c r="C233" s="418"/>
      <c r="D233" s="413"/>
      <c r="E233" s="412"/>
      <c r="F233" s="413"/>
      <c r="G233" s="412"/>
      <c r="H233" s="413"/>
      <c r="I233" s="408">
        <v>13302</v>
      </c>
    </row>
    <row r="234" spans="1:9" ht="15.75" thickBot="1">
      <c r="A234" s="391" t="s">
        <v>977</v>
      </c>
      <c r="B234" s="420">
        <v>230</v>
      </c>
      <c r="C234" s="464">
        <v>96</v>
      </c>
      <c r="D234" s="449"/>
      <c r="E234" s="421"/>
      <c r="F234" s="422"/>
      <c r="G234" s="421"/>
      <c r="H234" s="422"/>
      <c r="I234" s="422"/>
    </row>
    <row r="235" spans="1:9">
      <c r="A235" s="392" t="s">
        <v>977</v>
      </c>
      <c r="B235" s="425">
        <v>231</v>
      </c>
      <c r="C235" s="439"/>
      <c r="D235" s="438">
        <v>7830</v>
      </c>
      <c r="E235" s="426"/>
      <c r="F235" s="427"/>
      <c r="G235" s="428"/>
      <c r="H235" s="427"/>
      <c r="I235" s="427"/>
    </row>
    <row r="236" spans="1:9">
      <c r="A236" s="390" t="s">
        <v>978</v>
      </c>
      <c r="B236" s="401">
        <v>232</v>
      </c>
      <c r="C236" s="461">
        <v>168</v>
      </c>
      <c r="D236" s="413"/>
      <c r="E236" s="416"/>
      <c r="F236" s="413"/>
      <c r="G236" s="412"/>
      <c r="H236" s="413"/>
      <c r="I236" s="413"/>
    </row>
    <row r="237" spans="1:9">
      <c r="A237" s="390" t="s">
        <v>978</v>
      </c>
      <c r="B237" s="401">
        <v>233</v>
      </c>
      <c r="C237" s="419"/>
      <c r="D237" s="413"/>
      <c r="E237" s="412"/>
      <c r="F237" s="413"/>
      <c r="G237" s="416"/>
      <c r="H237" s="414"/>
      <c r="I237" s="408">
        <v>13130</v>
      </c>
    </row>
    <row r="238" spans="1:9">
      <c r="A238" s="390" t="s">
        <v>979</v>
      </c>
      <c r="B238" s="401">
        <v>234</v>
      </c>
      <c r="C238" s="461">
        <v>264</v>
      </c>
      <c r="D238" s="413"/>
      <c r="E238" s="412"/>
      <c r="F238" s="413"/>
      <c r="G238" s="412"/>
      <c r="H238" s="413"/>
      <c r="I238" s="413"/>
    </row>
    <row r="239" spans="1:9">
      <c r="A239" s="390" t="s">
        <v>980</v>
      </c>
      <c r="B239" s="401">
        <v>235</v>
      </c>
      <c r="C239" s="418"/>
      <c r="D239" s="413"/>
      <c r="E239" s="412"/>
      <c r="F239" s="413"/>
      <c r="G239" s="402">
        <v>1440</v>
      </c>
      <c r="H239" s="413"/>
      <c r="I239" s="413"/>
    </row>
    <row r="240" spans="1:9">
      <c r="A240" s="390" t="s">
        <v>981</v>
      </c>
      <c r="B240" s="401">
        <v>236</v>
      </c>
      <c r="C240" s="461">
        <v>120</v>
      </c>
      <c r="D240" s="413"/>
      <c r="E240" s="412"/>
      <c r="F240" s="413"/>
      <c r="G240" s="412"/>
      <c r="H240" s="413"/>
      <c r="I240" s="413"/>
    </row>
    <row r="241" spans="1:9">
      <c r="A241" s="390" t="s">
        <v>981</v>
      </c>
      <c r="B241" s="401">
        <v>237</v>
      </c>
      <c r="C241" s="461">
        <v>22</v>
      </c>
      <c r="D241" s="413"/>
      <c r="E241" s="412"/>
      <c r="F241" s="413"/>
      <c r="G241" s="412"/>
      <c r="H241" s="413"/>
      <c r="I241" s="413"/>
    </row>
    <row r="242" spans="1:9">
      <c r="A242" s="390" t="s">
        <v>982</v>
      </c>
      <c r="B242" s="401">
        <v>238</v>
      </c>
      <c r="C242" s="461">
        <v>48</v>
      </c>
      <c r="D242" s="413"/>
      <c r="E242" s="412"/>
      <c r="F242" s="413"/>
      <c r="G242" s="412"/>
      <c r="H242" s="413"/>
      <c r="I242" s="414"/>
    </row>
    <row r="243" spans="1:9">
      <c r="A243" s="390" t="s">
        <v>982</v>
      </c>
      <c r="B243" s="401">
        <v>239</v>
      </c>
      <c r="C243" s="461">
        <v>240</v>
      </c>
      <c r="D243" s="413"/>
      <c r="E243" s="412"/>
      <c r="F243" s="413"/>
      <c r="G243" s="412"/>
      <c r="H243" s="413"/>
      <c r="I243" s="413"/>
    </row>
    <row r="244" spans="1:9">
      <c r="A244" s="390" t="s">
        <v>982</v>
      </c>
      <c r="B244" s="401">
        <v>240</v>
      </c>
      <c r="C244" s="418"/>
      <c r="D244" s="408">
        <v>7990</v>
      </c>
      <c r="E244" s="412"/>
      <c r="F244" s="413"/>
      <c r="G244" s="412"/>
      <c r="H244" s="413"/>
      <c r="I244" s="413"/>
    </row>
    <row r="245" spans="1:9">
      <c r="A245" s="390" t="s">
        <v>983</v>
      </c>
      <c r="B245" s="401">
        <v>241</v>
      </c>
      <c r="C245" s="461">
        <v>264</v>
      </c>
      <c r="D245" s="414"/>
      <c r="E245" s="412"/>
      <c r="F245" s="413"/>
      <c r="G245" s="412"/>
      <c r="H245" s="413"/>
      <c r="I245" s="413"/>
    </row>
    <row r="246" spans="1:9">
      <c r="A246" s="390" t="s">
        <v>983</v>
      </c>
      <c r="B246" s="401">
        <v>242</v>
      </c>
      <c r="C246" s="461">
        <v>540</v>
      </c>
      <c r="D246" s="414"/>
      <c r="E246" s="412"/>
      <c r="F246" s="413"/>
      <c r="G246" s="412"/>
      <c r="H246" s="413"/>
      <c r="I246" s="413"/>
    </row>
    <row r="247" spans="1:9">
      <c r="A247" s="390" t="s">
        <v>983</v>
      </c>
      <c r="B247" s="401">
        <v>243</v>
      </c>
      <c r="C247" s="418"/>
      <c r="D247" s="413"/>
      <c r="E247" s="412"/>
      <c r="F247" s="408">
        <v>1440</v>
      </c>
      <c r="G247" s="412"/>
      <c r="H247" s="413"/>
      <c r="I247" s="413"/>
    </row>
    <row r="248" spans="1:9">
      <c r="A248" s="390" t="s">
        <v>983</v>
      </c>
      <c r="B248" s="401">
        <v>244</v>
      </c>
      <c r="C248" s="419"/>
      <c r="D248" s="413"/>
      <c r="E248" s="412"/>
      <c r="F248" s="408">
        <v>1800</v>
      </c>
      <c r="G248" s="412"/>
      <c r="H248" s="413"/>
      <c r="I248" s="414"/>
    </row>
    <row r="249" spans="1:9">
      <c r="A249" s="390" t="s">
        <v>984</v>
      </c>
      <c r="B249" s="401">
        <v>245</v>
      </c>
      <c r="C249" s="461">
        <v>240</v>
      </c>
      <c r="D249" s="413"/>
      <c r="E249" s="412"/>
      <c r="F249" s="413"/>
      <c r="G249" s="412"/>
      <c r="H249" s="413"/>
      <c r="I249" s="413"/>
    </row>
    <row r="250" spans="1:9">
      <c r="A250" s="390" t="s">
        <v>984</v>
      </c>
      <c r="B250" s="401">
        <v>246</v>
      </c>
      <c r="C250" s="418"/>
      <c r="D250" s="413"/>
      <c r="E250" s="412"/>
      <c r="F250" s="413"/>
      <c r="G250" s="402">
        <v>7770</v>
      </c>
      <c r="H250" s="413"/>
      <c r="I250" s="413"/>
    </row>
    <row r="251" spans="1:9">
      <c r="A251" s="390" t="s">
        <v>985</v>
      </c>
      <c r="B251" s="401">
        <v>247</v>
      </c>
      <c r="C251" s="461">
        <v>120</v>
      </c>
      <c r="D251" s="413"/>
      <c r="E251" s="412"/>
      <c r="F251" s="413"/>
      <c r="G251" s="412"/>
      <c r="H251" s="413"/>
      <c r="I251" s="413"/>
    </row>
    <row r="252" spans="1:9">
      <c r="A252" s="390" t="s">
        <v>985</v>
      </c>
      <c r="B252" s="401">
        <v>248</v>
      </c>
      <c r="C252" s="461">
        <v>24</v>
      </c>
      <c r="D252" s="413"/>
      <c r="E252" s="412"/>
      <c r="F252" s="413"/>
      <c r="G252" s="412"/>
      <c r="H252" s="413"/>
      <c r="I252" s="413"/>
    </row>
    <row r="253" spans="1:9">
      <c r="A253" s="390" t="s">
        <v>985</v>
      </c>
      <c r="B253" s="401">
        <v>249</v>
      </c>
      <c r="C253" s="461">
        <v>120</v>
      </c>
      <c r="D253" s="413"/>
      <c r="E253" s="412"/>
      <c r="F253" s="413"/>
      <c r="G253" s="412"/>
      <c r="H253" s="413"/>
      <c r="I253" s="413"/>
    </row>
    <row r="254" spans="1:9">
      <c r="A254" s="390" t="s">
        <v>985</v>
      </c>
      <c r="B254" s="401">
        <v>250</v>
      </c>
      <c r="C254" s="418"/>
      <c r="D254" s="413"/>
      <c r="E254" s="412"/>
      <c r="F254" s="413"/>
      <c r="G254" s="412"/>
      <c r="H254" s="413"/>
      <c r="I254" s="408">
        <v>13540</v>
      </c>
    </row>
    <row r="255" spans="1:9">
      <c r="A255" s="390" t="s">
        <v>985</v>
      </c>
      <c r="B255" s="401">
        <v>251</v>
      </c>
      <c r="C255" s="418"/>
      <c r="D255" s="413"/>
      <c r="E255" s="402">
        <v>8450</v>
      </c>
      <c r="F255" s="413"/>
      <c r="G255" s="412"/>
      <c r="H255" s="413"/>
      <c r="I255" s="413"/>
    </row>
    <row r="256" spans="1:9">
      <c r="A256" s="390" t="s">
        <v>986</v>
      </c>
      <c r="B256" s="401">
        <v>252</v>
      </c>
      <c r="C256" s="461">
        <v>48</v>
      </c>
      <c r="D256" s="413"/>
      <c r="E256" s="412"/>
      <c r="F256" s="417"/>
      <c r="G256" s="412"/>
      <c r="H256" s="413"/>
      <c r="I256" s="413"/>
    </row>
    <row r="257" spans="1:9">
      <c r="A257" s="390" t="s">
        <v>987</v>
      </c>
      <c r="B257" s="401">
        <v>253</v>
      </c>
      <c r="C257" s="461">
        <v>60</v>
      </c>
      <c r="D257" s="413"/>
      <c r="E257" s="412"/>
      <c r="F257" s="417"/>
      <c r="G257" s="412"/>
      <c r="H257" s="413"/>
      <c r="I257" s="413"/>
    </row>
    <row r="258" spans="1:9">
      <c r="A258" s="390" t="s">
        <v>987</v>
      </c>
      <c r="B258" s="401">
        <v>254</v>
      </c>
      <c r="C258" s="461">
        <v>120</v>
      </c>
      <c r="D258" s="413"/>
      <c r="E258" s="412"/>
      <c r="F258" s="417"/>
      <c r="G258" s="412"/>
      <c r="H258" s="413"/>
      <c r="I258" s="413"/>
    </row>
    <row r="259" spans="1:9">
      <c r="A259" s="390" t="s">
        <v>988</v>
      </c>
      <c r="B259" s="401">
        <v>255</v>
      </c>
      <c r="C259" s="461">
        <v>336</v>
      </c>
      <c r="D259" s="413"/>
      <c r="E259" s="412"/>
      <c r="F259" s="413"/>
      <c r="G259" s="412"/>
      <c r="H259" s="413"/>
      <c r="I259" s="413"/>
    </row>
    <row r="260" spans="1:9">
      <c r="A260" s="390" t="s">
        <v>988</v>
      </c>
      <c r="B260" s="401">
        <v>256</v>
      </c>
      <c r="C260" s="418"/>
      <c r="D260" s="408">
        <v>7890</v>
      </c>
      <c r="E260" s="412"/>
      <c r="F260" s="413"/>
      <c r="G260" s="412"/>
      <c r="H260" s="413"/>
      <c r="I260" s="413"/>
    </row>
    <row r="261" spans="1:9">
      <c r="A261" s="390" t="s">
        <v>989</v>
      </c>
      <c r="B261" s="401">
        <v>257</v>
      </c>
      <c r="C261" s="461">
        <v>120</v>
      </c>
      <c r="D261" s="413"/>
      <c r="E261" s="412"/>
      <c r="F261" s="413"/>
      <c r="G261" s="412"/>
      <c r="H261" s="413"/>
      <c r="I261" s="413"/>
    </row>
    <row r="262" spans="1:9">
      <c r="A262" s="390" t="s">
        <v>990</v>
      </c>
      <c r="B262" s="401">
        <v>258</v>
      </c>
      <c r="C262" s="461">
        <v>132</v>
      </c>
      <c r="D262" s="413"/>
      <c r="E262" s="412"/>
      <c r="F262" s="413"/>
      <c r="G262" s="412"/>
      <c r="H262" s="413"/>
      <c r="I262" s="413"/>
    </row>
    <row r="263" spans="1:9">
      <c r="A263" s="390" t="s">
        <v>990</v>
      </c>
      <c r="B263" s="401">
        <v>259</v>
      </c>
      <c r="C263" s="461">
        <v>42</v>
      </c>
      <c r="D263" s="413"/>
      <c r="E263" s="412"/>
      <c r="F263" s="413"/>
      <c r="G263" s="412"/>
      <c r="H263" s="413"/>
      <c r="I263" s="413"/>
    </row>
    <row r="264" spans="1:9">
      <c r="A264" s="390" t="s">
        <v>991</v>
      </c>
      <c r="B264" s="401">
        <v>260</v>
      </c>
      <c r="C264" s="418"/>
      <c r="D264" s="413"/>
      <c r="E264" s="412"/>
      <c r="F264" s="413"/>
      <c r="G264" s="412"/>
      <c r="H264" s="413"/>
      <c r="I264" s="408">
        <v>13280</v>
      </c>
    </row>
    <row r="265" spans="1:9">
      <c r="A265" s="390" t="s">
        <v>992</v>
      </c>
      <c r="B265" s="401">
        <v>261</v>
      </c>
      <c r="C265" s="418"/>
      <c r="D265" s="408">
        <v>2730</v>
      </c>
      <c r="E265" s="412"/>
      <c r="F265" s="413"/>
      <c r="G265" s="412"/>
      <c r="H265" s="413"/>
      <c r="I265" s="413"/>
    </row>
    <row r="266" spans="1:9">
      <c r="A266" s="390" t="s">
        <v>993</v>
      </c>
      <c r="B266" s="401">
        <v>262</v>
      </c>
      <c r="C266" s="461">
        <v>60</v>
      </c>
      <c r="D266" s="413"/>
      <c r="E266" s="412"/>
      <c r="F266" s="413"/>
      <c r="G266" s="412"/>
      <c r="H266" s="413"/>
      <c r="I266" s="413"/>
    </row>
    <row r="267" spans="1:9">
      <c r="A267" s="390" t="s">
        <v>993</v>
      </c>
      <c r="B267" s="401">
        <v>263</v>
      </c>
      <c r="C267" s="419"/>
      <c r="D267" s="408">
        <v>3274</v>
      </c>
      <c r="E267" s="416"/>
      <c r="F267" s="413"/>
      <c r="G267" s="412"/>
      <c r="H267" s="413"/>
      <c r="I267" s="413"/>
    </row>
    <row r="268" spans="1:9">
      <c r="A268" s="390" t="s">
        <v>994</v>
      </c>
      <c r="B268" s="401">
        <v>264</v>
      </c>
      <c r="C268" s="419"/>
      <c r="D268" s="414"/>
      <c r="E268" s="412"/>
      <c r="F268" s="413"/>
      <c r="G268" s="412"/>
      <c r="H268" s="413"/>
      <c r="I268" s="408">
        <v>15150</v>
      </c>
    </row>
    <row r="269" spans="1:9">
      <c r="A269" s="390" t="s">
        <v>994</v>
      </c>
      <c r="B269" s="401">
        <v>265</v>
      </c>
      <c r="C269" s="419"/>
      <c r="D269" s="413"/>
      <c r="E269" s="412"/>
      <c r="F269" s="413"/>
      <c r="G269" s="412"/>
      <c r="H269" s="408">
        <v>636</v>
      </c>
      <c r="I269" s="414"/>
    </row>
    <row r="270" spans="1:9">
      <c r="A270" s="390" t="s">
        <v>994</v>
      </c>
      <c r="B270" s="401">
        <v>266</v>
      </c>
      <c r="C270" s="419"/>
      <c r="D270" s="408">
        <v>880</v>
      </c>
      <c r="E270" s="412"/>
      <c r="F270" s="413"/>
      <c r="G270" s="412"/>
      <c r="H270" s="413"/>
      <c r="I270" s="414"/>
    </row>
    <row r="271" spans="1:9">
      <c r="A271" s="390" t="s">
        <v>995</v>
      </c>
      <c r="B271" s="401">
        <v>267</v>
      </c>
      <c r="C271" s="418"/>
      <c r="D271" s="413"/>
      <c r="E271" s="412"/>
      <c r="F271" s="413"/>
      <c r="G271" s="412"/>
      <c r="H271" s="413"/>
      <c r="I271" s="408">
        <v>13502</v>
      </c>
    </row>
    <row r="272" spans="1:9">
      <c r="A272" s="390" t="s">
        <v>996</v>
      </c>
      <c r="B272" s="401">
        <v>268</v>
      </c>
      <c r="C272" s="461">
        <v>60</v>
      </c>
      <c r="D272" s="413"/>
      <c r="E272" s="412"/>
      <c r="F272" s="413"/>
      <c r="G272" s="412"/>
      <c r="H272" s="413"/>
      <c r="I272" s="413"/>
    </row>
    <row r="273" spans="1:9">
      <c r="A273" s="390" t="s">
        <v>996</v>
      </c>
      <c r="B273" s="401">
        <v>269</v>
      </c>
      <c r="C273" s="418"/>
      <c r="D273" s="413"/>
      <c r="E273" s="412"/>
      <c r="F273" s="413"/>
      <c r="G273" s="412"/>
      <c r="H273" s="413"/>
      <c r="I273" s="408">
        <v>13580</v>
      </c>
    </row>
    <row r="274" spans="1:9">
      <c r="A274" s="390" t="s">
        <v>996</v>
      </c>
      <c r="B274" s="401">
        <v>270</v>
      </c>
      <c r="C274" s="461">
        <v>120</v>
      </c>
      <c r="D274" s="413"/>
      <c r="E274" s="412"/>
      <c r="F274" s="413"/>
      <c r="G274" s="412"/>
      <c r="H274" s="413"/>
      <c r="I274" s="413"/>
    </row>
    <row r="275" spans="1:9">
      <c r="A275" s="390" t="s">
        <v>997</v>
      </c>
      <c r="B275" s="401">
        <v>271</v>
      </c>
      <c r="C275" s="461">
        <v>480</v>
      </c>
      <c r="D275" s="413"/>
      <c r="E275" s="412"/>
      <c r="F275" s="413"/>
      <c r="G275" s="412"/>
      <c r="H275" s="413"/>
      <c r="I275" s="413"/>
    </row>
    <row r="276" spans="1:9">
      <c r="A276" s="390" t="s">
        <v>997</v>
      </c>
      <c r="B276" s="401">
        <v>272</v>
      </c>
      <c r="C276" s="419"/>
      <c r="D276" s="414"/>
      <c r="E276" s="402">
        <v>8710</v>
      </c>
      <c r="F276" s="413"/>
      <c r="G276" s="412"/>
      <c r="H276" s="413"/>
      <c r="I276" s="413"/>
    </row>
    <row r="277" spans="1:9">
      <c r="A277" s="389" t="s">
        <v>997</v>
      </c>
      <c r="B277" s="440">
        <v>273</v>
      </c>
      <c r="C277" s="443"/>
      <c r="D277" s="442"/>
      <c r="E277" s="441"/>
      <c r="F277" s="448">
        <v>3600</v>
      </c>
      <c r="G277" s="441"/>
      <c r="H277" s="442"/>
      <c r="I277" s="442"/>
    </row>
    <row r="278" spans="1:9">
      <c r="A278" s="390" t="s">
        <v>997</v>
      </c>
      <c r="B278" s="401">
        <v>274</v>
      </c>
      <c r="C278" s="418"/>
      <c r="D278" s="413"/>
      <c r="E278" s="412"/>
      <c r="F278" s="408">
        <v>3000</v>
      </c>
      <c r="G278" s="412"/>
      <c r="H278" s="413"/>
      <c r="I278" s="413"/>
    </row>
    <row r="279" spans="1:9">
      <c r="A279" s="390" t="s">
        <v>997</v>
      </c>
      <c r="B279" s="401">
        <v>275</v>
      </c>
      <c r="C279" s="419"/>
      <c r="D279" s="413"/>
      <c r="E279" s="412"/>
      <c r="F279" s="408">
        <v>1620</v>
      </c>
      <c r="G279" s="412"/>
      <c r="H279" s="413"/>
      <c r="I279" s="414"/>
    </row>
    <row r="280" spans="1:9">
      <c r="A280" s="390" t="s">
        <v>998</v>
      </c>
      <c r="B280" s="401">
        <v>276</v>
      </c>
      <c r="C280" s="461">
        <v>480</v>
      </c>
      <c r="D280" s="413"/>
      <c r="E280" s="412"/>
      <c r="F280" s="413"/>
      <c r="G280" s="412"/>
      <c r="H280" s="413"/>
      <c r="I280" s="414"/>
    </row>
    <row r="281" spans="1:9" ht="15.75" thickBot="1">
      <c r="A281" s="391" t="s">
        <v>998</v>
      </c>
      <c r="B281" s="420">
        <v>277</v>
      </c>
      <c r="C281" s="464">
        <v>96</v>
      </c>
      <c r="D281" s="422"/>
      <c r="E281" s="421"/>
      <c r="F281" s="422"/>
      <c r="G281" s="421"/>
      <c r="H281" s="422"/>
      <c r="I281" s="422"/>
    </row>
    <row r="282" spans="1:9">
      <c r="A282" s="392" t="s">
        <v>998</v>
      </c>
      <c r="B282" s="425">
        <v>278</v>
      </c>
      <c r="C282" s="462">
        <v>24</v>
      </c>
      <c r="D282" s="427"/>
      <c r="E282" s="428"/>
      <c r="F282" s="450"/>
      <c r="G282" s="428"/>
      <c r="H282" s="427"/>
      <c r="I282" s="427"/>
    </row>
    <row r="283" spans="1:9">
      <c r="A283" s="390" t="s">
        <v>999</v>
      </c>
      <c r="B283" s="401">
        <v>279</v>
      </c>
      <c r="C283" s="461">
        <v>480</v>
      </c>
      <c r="D283" s="413"/>
      <c r="E283" s="412"/>
      <c r="F283" s="417"/>
      <c r="G283" s="412"/>
      <c r="H283" s="413"/>
      <c r="I283" s="413"/>
    </row>
    <row r="284" spans="1:9">
      <c r="A284" s="390" t="s">
        <v>999</v>
      </c>
      <c r="B284" s="401">
        <v>280</v>
      </c>
      <c r="C284" s="461">
        <v>166</v>
      </c>
      <c r="D284" s="413"/>
      <c r="E284" s="412"/>
      <c r="F284" s="417"/>
      <c r="G284" s="412"/>
      <c r="H284" s="413"/>
      <c r="I284" s="413"/>
    </row>
    <row r="285" spans="1:9">
      <c r="A285" s="390" t="s">
        <v>999</v>
      </c>
      <c r="B285" s="401">
        <v>281</v>
      </c>
      <c r="C285" s="461">
        <v>252</v>
      </c>
      <c r="D285" s="413"/>
      <c r="E285" s="412"/>
      <c r="F285" s="413"/>
      <c r="G285" s="416"/>
      <c r="H285" s="414"/>
      <c r="I285" s="413"/>
    </row>
    <row r="286" spans="1:9">
      <c r="A286" s="390" t="s">
        <v>999</v>
      </c>
      <c r="B286" s="401">
        <v>282</v>
      </c>
      <c r="C286" s="418"/>
      <c r="D286" s="413"/>
      <c r="E286" s="402">
        <v>7670</v>
      </c>
      <c r="F286" s="413"/>
      <c r="G286" s="412"/>
      <c r="H286" s="413"/>
      <c r="I286" s="413"/>
    </row>
    <row r="287" spans="1:9">
      <c r="A287" s="390" t="s">
        <v>1000</v>
      </c>
      <c r="B287" s="401">
        <v>283</v>
      </c>
      <c r="C287" s="418"/>
      <c r="D287" s="413"/>
      <c r="E287" s="412"/>
      <c r="F287" s="413"/>
      <c r="G287" s="412"/>
      <c r="H287" s="413"/>
      <c r="I287" s="408">
        <v>13110</v>
      </c>
    </row>
    <row r="288" spans="1:9">
      <c r="A288" s="390" t="s">
        <v>1001</v>
      </c>
      <c r="B288" s="401">
        <v>284</v>
      </c>
      <c r="C288" s="461">
        <v>120</v>
      </c>
      <c r="D288" s="413"/>
      <c r="E288" s="412"/>
      <c r="F288" s="413"/>
      <c r="G288" s="412"/>
      <c r="H288" s="413"/>
      <c r="I288" s="413"/>
    </row>
    <row r="289" spans="1:9">
      <c r="A289" s="390" t="s">
        <v>1001</v>
      </c>
      <c r="B289" s="401">
        <v>285</v>
      </c>
      <c r="C289" s="461">
        <v>408</v>
      </c>
      <c r="D289" s="413"/>
      <c r="E289" s="412"/>
      <c r="F289" s="413"/>
      <c r="G289" s="412"/>
      <c r="H289" s="413"/>
      <c r="I289" s="413"/>
    </row>
    <row r="290" spans="1:9">
      <c r="A290" s="390" t="s">
        <v>1001</v>
      </c>
      <c r="B290" s="401">
        <v>286</v>
      </c>
      <c r="C290" s="418"/>
      <c r="D290" s="413"/>
      <c r="E290" s="412"/>
      <c r="F290" s="413"/>
      <c r="G290" s="402">
        <v>6840</v>
      </c>
      <c r="H290" s="413"/>
      <c r="I290" s="413"/>
    </row>
    <row r="291" spans="1:9">
      <c r="A291" s="390" t="s">
        <v>1001</v>
      </c>
      <c r="B291" s="401">
        <v>287</v>
      </c>
      <c r="C291" s="461">
        <v>78</v>
      </c>
      <c r="D291" s="413"/>
      <c r="E291" s="412"/>
      <c r="F291" s="413"/>
      <c r="G291" s="412"/>
      <c r="H291" s="413"/>
      <c r="I291" s="413"/>
    </row>
    <row r="292" spans="1:9">
      <c r="A292" s="390" t="s">
        <v>1002</v>
      </c>
      <c r="B292" s="401">
        <v>288</v>
      </c>
      <c r="C292" s="461">
        <v>240</v>
      </c>
      <c r="D292" s="413"/>
      <c r="E292" s="412"/>
      <c r="F292" s="413"/>
      <c r="G292" s="412"/>
      <c r="H292" s="413"/>
      <c r="I292" s="413"/>
    </row>
    <row r="293" spans="1:9">
      <c r="A293" s="390" t="s">
        <v>1002</v>
      </c>
      <c r="B293" s="401">
        <v>289</v>
      </c>
      <c r="C293" s="461">
        <v>144</v>
      </c>
      <c r="D293" s="414"/>
      <c r="E293" s="412"/>
      <c r="F293" s="413"/>
      <c r="G293" s="412"/>
      <c r="H293" s="413"/>
      <c r="I293" s="413"/>
    </row>
    <row r="294" spans="1:9">
      <c r="A294" s="390" t="s">
        <v>1003</v>
      </c>
      <c r="B294" s="401">
        <v>290</v>
      </c>
      <c r="C294" s="461">
        <v>120</v>
      </c>
      <c r="D294" s="413"/>
      <c r="E294" s="412"/>
      <c r="F294" s="413"/>
      <c r="G294" s="412"/>
      <c r="H294" s="413"/>
      <c r="I294" s="414"/>
    </row>
    <row r="295" spans="1:9">
      <c r="A295" s="390" t="s">
        <v>1003</v>
      </c>
      <c r="B295" s="401">
        <v>291</v>
      </c>
      <c r="C295" s="461">
        <v>2150</v>
      </c>
      <c r="D295" s="413"/>
      <c r="E295" s="412"/>
      <c r="F295" s="413"/>
      <c r="G295" s="412"/>
      <c r="H295" s="413"/>
      <c r="I295" s="413"/>
    </row>
    <row r="296" spans="1:9">
      <c r="A296" s="390" t="s">
        <v>1003</v>
      </c>
      <c r="B296" s="401">
        <v>292</v>
      </c>
      <c r="C296" s="461">
        <v>84</v>
      </c>
      <c r="D296" s="413"/>
      <c r="E296" s="412"/>
      <c r="F296" s="413"/>
      <c r="G296" s="412"/>
      <c r="H296" s="413"/>
      <c r="I296" s="413"/>
    </row>
    <row r="297" spans="1:9">
      <c r="A297" s="390" t="s">
        <v>1003</v>
      </c>
      <c r="B297" s="401">
        <v>293</v>
      </c>
      <c r="C297" s="461">
        <v>240</v>
      </c>
      <c r="D297" s="413"/>
      <c r="E297" s="416"/>
      <c r="F297" s="413"/>
      <c r="G297" s="412"/>
      <c r="H297" s="413"/>
      <c r="I297" s="413"/>
    </row>
    <row r="298" spans="1:9">
      <c r="A298" s="390" t="s">
        <v>1003</v>
      </c>
      <c r="B298" s="401">
        <v>294</v>
      </c>
      <c r="C298" s="461">
        <v>360</v>
      </c>
      <c r="D298" s="413"/>
      <c r="E298" s="416"/>
      <c r="F298" s="413"/>
      <c r="G298" s="412"/>
      <c r="H298" s="413"/>
      <c r="I298" s="413"/>
    </row>
    <row r="299" spans="1:9">
      <c r="A299" s="390" t="s">
        <v>1004</v>
      </c>
      <c r="B299" s="401">
        <v>295</v>
      </c>
      <c r="C299" s="461">
        <v>714</v>
      </c>
      <c r="D299" s="413"/>
      <c r="E299" s="412"/>
      <c r="F299" s="417"/>
      <c r="G299" s="412"/>
      <c r="H299" s="413"/>
      <c r="I299" s="413"/>
    </row>
    <row r="300" spans="1:9">
      <c r="A300" s="390" t="s">
        <v>1004</v>
      </c>
      <c r="B300" s="401">
        <v>296</v>
      </c>
      <c r="C300" s="419"/>
      <c r="D300" s="413"/>
      <c r="E300" s="412"/>
      <c r="F300" s="417"/>
      <c r="G300" s="402">
        <v>3840</v>
      </c>
      <c r="H300" s="413"/>
      <c r="I300" s="413"/>
    </row>
    <row r="301" spans="1:9">
      <c r="A301" s="390" t="s">
        <v>1005</v>
      </c>
      <c r="B301" s="401">
        <v>297</v>
      </c>
      <c r="C301" s="461">
        <v>336</v>
      </c>
      <c r="D301" s="413"/>
      <c r="E301" s="412"/>
      <c r="F301" s="417"/>
      <c r="G301" s="412"/>
      <c r="H301" s="413"/>
      <c r="I301" s="413"/>
    </row>
    <row r="302" spans="1:9">
      <c r="A302" s="390" t="s">
        <v>1005</v>
      </c>
      <c r="B302" s="401">
        <v>298</v>
      </c>
      <c r="C302" s="418"/>
      <c r="D302" s="413"/>
      <c r="E302" s="412"/>
      <c r="F302" s="413"/>
      <c r="G302" s="412"/>
      <c r="H302" s="413"/>
      <c r="I302" s="408">
        <v>12330</v>
      </c>
    </row>
    <row r="303" spans="1:9">
      <c r="A303" s="390" t="s">
        <v>1006</v>
      </c>
      <c r="B303" s="401">
        <v>299</v>
      </c>
      <c r="C303" s="461">
        <v>48</v>
      </c>
      <c r="D303" s="413"/>
      <c r="E303" s="412"/>
      <c r="F303" s="413"/>
      <c r="G303" s="412"/>
      <c r="H303" s="413"/>
      <c r="I303" s="413"/>
    </row>
    <row r="304" spans="1:9">
      <c r="A304" s="390" t="s">
        <v>1006</v>
      </c>
      <c r="B304" s="401">
        <v>300</v>
      </c>
      <c r="C304" s="461">
        <v>24</v>
      </c>
      <c r="D304" s="413"/>
      <c r="E304" s="412"/>
      <c r="F304" s="413"/>
      <c r="G304" s="412"/>
      <c r="H304" s="413"/>
      <c r="I304" s="413"/>
    </row>
    <row r="305" spans="1:9">
      <c r="A305" s="390" t="s">
        <v>1006</v>
      </c>
      <c r="B305" s="401">
        <v>301</v>
      </c>
      <c r="C305" s="418"/>
      <c r="D305" s="413"/>
      <c r="E305" s="412"/>
      <c r="F305" s="408">
        <v>4080</v>
      </c>
      <c r="G305" s="412"/>
      <c r="H305" s="413"/>
      <c r="I305" s="413"/>
    </row>
    <row r="306" spans="1:9">
      <c r="A306" s="390" t="s">
        <v>1006</v>
      </c>
      <c r="B306" s="401">
        <v>302</v>
      </c>
      <c r="C306" s="418"/>
      <c r="D306" s="413"/>
      <c r="E306" s="412"/>
      <c r="F306" s="408">
        <v>1680</v>
      </c>
      <c r="G306" s="412"/>
      <c r="H306" s="413"/>
      <c r="I306" s="413"/>
    </row>
    <row r="307" spans="1:9">
      <c r="A307" s="390" t="s">
        <v>1006</v>
      </c>
      <c r="B307" s="401">
        <v>303</v>
      </c>
      <c r="C307" s="418"/>
      <c r="D307" s="413"/>
      <c r="E307" s="412"/>
      <c r="F307" s="408">
        <v>1920</v>
      </c>
      <c r="G307" s="412"/>
      <c r="H307" s="413"/>
      <c r="I307" s="413"/>
    </row>
    <row r="308" spans="1:9">
      <c r="A308" s="390" t="s">
        <v>1006</v>
      </c>
      <c r="B308" s="401">
        <v>304</v>
      </c>
      <c r="C308" s="461">
        <v>1284</v>
      </c>
      <c r="D308" s="413"/>
      <c r="E308" s="412"/>
      <c r="F308" s="413"/>
      <c r="G308" s="412"/>
      <c r="H308" s="413"/>
      <c r="I308" s="413"/>
    </row>
    <row r="309" spans="1:9">
      <c r="A309" s="390" t="s">
        <v>1006</v>
      </c>
      <c r="B309" s="401">
        <v>305</v>
      </c>
      <c r="C309" s="461">
        <v>300</v>
      </c>
      <c r="D309" s="413"/>
      <c r="E309" s="412"/>
      <c r="F309" s="413"/>
      <c r="G309" s="412"/>
      <c r="H309" s="413"/>
      <c r="I309" s="414"/>
    </row>
    <row r="310" spans="1:9">
      <c r="A310" s="390" t="s">
        <v>1007</v>
      </c>
      <c r="B310" s="401">
        <v>306</v>
      </c>
      <c r="C310" s="461">
        <v>1880</v>
      </c>
      <c r="D310" s="413"/>
      <c r="E310" s="412"/>
      <c r="F310" s="413"/>
      <c r="G310" s="412"/>
      <c r="H310" s="413"/>
      <c r="I310" s="413"/>
    </row>
    <row r="311" spans="1:9">
      <c r="A311" s="390" t="s">
        <v>1007</v>
      </c>
      <c r="B311" s="401">
        <v>307</v>
      </c>
      <c r="C311" s="461">
        <v>240</v>
      </c>
      <c r="D311" s="414"/>
      <c r="E311" s="412"/>
      <c r="F311" s="413"/>
      <c r="G311" s="412"/>
      <c r="H311" s="413"/>
      <c r="I311" s="413"/>
    </row>
    <row r="312" spans="1:9">
      <c r="A312" s="390" t="s">
        <v>1007</v>
      </c>
      <c r="B312" s="401">
        <v>308</v>
      </c>
      <c r="C312" s="461">
        <v>1470</v>
      </c>
      <c r="D312" s="413"/>
      <c r="E312" s="412"/>
      <c r="F312" s="413"/>
      <c r="G312" s="412"/>
      <c r="H312" s="413"/>
      <c r="I312" s="413"/>
    </row>
    <row r="313" spans="1:9">
      <c r="A313" s="390" t="s">
        <v>1007</v>
      </c>
      <c r="B313" s="401">
        <v>309</v>
      </c>
      <c r="C313" s="461">
        <v>258</v>
      </c>
      <c r="D313" s="413"/>
      <c r="E313" s="412"/>
      <c r="F313" s="413"/>
      <c r="G313" s="412"/>
      <c r="H313" s="413"/>
      <c r="I313" s="413"/>
    </row>
    <row r="314" spans="1:9">
      <c r="A314" s="390" t="s">
        <v>1007</v>
      </c>
      <c r="B314" s="401">
        <v>310</v>
      </c>
      <c r="C314" s="461">
        <v>120</v>
      </c>
      <c r="D314" s="413"/>
      <c r="E314" s="412"/>
      <c r="F314" s="413"/>
      <c r="G314" s="412"/>
      <c r="H314" s="413"/>
      <c r="I314" s="414"/>
    </row>
    <row r="315" spans="1:9">
      <c r="A315" s="390" t="s">
        <v>1008</v>
      </c>
      <c r="B315" s="401">
        <v>311</v>
      </c>
      <c r="C315" s="461">
        <v>180</v>
      </c>
      <c r="D315" s="413"/>
      <c r="E315" s="412"/>
      <c r="F315" s="413"/>
      <c r="G315" s="412"/>
      <c r="H315" s="413"/>
      <c r="I315" s="413"/>
    </row>
    <row r="316" spans="1:9">
      <c r="A316" s="390" t="s">
        <v>1008</v>
      </c>
      <c r="B316" s="401">
        <v>312</v>
      </c>
      <c r="C316" s="461">
        <v>264</v>
      </c>
      <c r="D316" s="413"/>
      <c r="E316" s="412"/>
      <c r="F316" s="413"/>
      <c r="G316" s="412"/>
      <c r="H316" s="413"/>
      <c r="I316" s="413"/>
    </row>
    <row r="317" spans="1:9">
      <c r="A317" s="390" t="s">
        <v>1008</v>
      </c>
      <c r="B317" s="401">
        <v>313</v>
      </c>
      <c r="C317" s="461">
        <v>252</v>
      </c>
      <c r="D317" s="413"/>
      <c r="E317" s="412"/>
      <c r="F317" s="413"/>
      <c r="G317" s="412"/>
      <c r="H317" s="413"/>
      <c r="I317" s="413"/>
    </row>
    <row r="318" spans="1:9">
      <c r="A318" s="390" t="s">
        <v>1008</v>
      </c>
      <c r="B318" s="401">
        <v>314</v>
      </c>
      <c r="C318" s="418"/>
      <c r="D318" s="413"/>
      <c r="E318" s="412"/>
      <c r="F318" s="413"/>
      <c r="G318" s="412"/>
      <c r="H318" s="413"/>
      <c r="I318" s="408">
        <v>15340</v>
      </c>
    </row>
    <row r="319" spans="1:9">
      <c r="A319" s="390" t="s">
        <v>1009</v>
      </c>
      <c r="B319" s="401">
        <v>315</v>
      </c>
      <c r="C319" s="461">
        <v>144</v>
      </c>
      <c r="D319" s="413"/>
      <c r="E319" s="412"/>
      <c r="F319" s="413"/>
      <c r="G319" s="412"/>
      <c r="H319" s="413"/>
      <c r="I319" s="413"/>
    </row>
    <row r="320" spans="1:9">
      <c r="A320" s="390" t="s">
        <v>1009</v>
      </c>
      <c r="B320" s="401">
        <v>316</v>
      </c>
      <c r="C320" s="461">
        <v>234</v>
      </c>
      <c r="D320" s="413"/>
      <c r="E320" s="412"/>
      <c r="F320" s="413"/>
      <c r="G320" s="416"/>
      <c r="H320" s="414"/>
      <c r="I320" s="413"/>
    </row>
    <row r="321" spans="1:9">
      <c r="A321" s="390" t="s">
        <v>1009</v>
      </c>
      <c r="B321" s="401">
        <v>317</v>
      </c>
      <c r="C321" s="461">
        <v>72</v>
      </c>
      <c r="D321" s="413"/>
      <c r="E321" s="412"/>
      <c r="F321" s="417"/>
      <c r="G321" s="412"/>
      <c r="H321" s="413"/>
      <c r="I321" s="413"/>
    </row>
    <row r="322" spans="1:9">
      <c r="A322" s="390" t="s">
        <v>1009</v>
      </c>
      <c r="B322" s="401">
        <v>318</v>
      </c>
      <c r="C322" s="419"/>
      <c r="D322" s="413"/>
      <c r="E322" s="402">
        <v>8290</v>
      </c>
      <c r="F322" s="417"/>
      <c r="G322" s="412"/>
      <c r="H322" s="413"/>
      <c r="I322" s="413"/>
    </row>
    <row r="323" spans="1:9">
      <c r="A323" s="389" t="s">
        <v>1009</v>
      </c>
      <c r="B323" s="440">
        <v>319</v>
      </c>
      <c r="C323" s="443"/>
      <c r="D323" s="442"/>
      <c r="E323" s="441"/>
      <c r="F323" s="442"/>
      <c r="G323" s="441"/>
      <c r="H323" s="448">
        <v>1386</v>
      </c>
      <c r="I323" s="442"/>
    </row>
    <row r="324" spans="1:9">
      <c r="A324" s="390" t="s">
        <v>1010</v>
      </c>
      <c r="B324" s="401">
        <v>320</v>
      </c>
      <c r="C324" s="461">
        <v>120</v>
      </c>
      <c r="D324" s="413"/>
      <c r="E324" s="412"/>
      <c r="F324" s="413"/>
      <c r="G324" s="412"/>
      <c r="H324" s="413"/>
      <c r="I324" s="413"/>
    </row>
    <row r="325" spans="1:9">
      <c r="A325" s="390" t="s">
        <v>1010</v>
      </c>
      <c r="B325" s="401">
        <v>321</v>
      </c>
      <c r="C325" s="419"/>
      <c r="D325" s="408">
        <v>6880</v>
      </c>
      <c r="E325" s="416"/>
      <c r="F325" s="413"/>
      <c r="G325" s="412"/>
      <c r="H325" s="413"/>
      <c r="I325" s="413"/>
    </row>
    <row r="326" spans="1:9">
      <c r="A326" s="390" t="s">
        <v>1011</v>
      </c>
      <c r="B326" s="401">
        <v>322</v>
      </c>
      <c r="C326" s="418"/>
      <c r="D326" s="413"/>
      <c r="E326" s="412"/>
      <c r="F326" s="408">
        <v>1920</v>
      </c>
      <c r="G326" s="412"/>
      <c r="H326" s="413"/>
      <c r="I326" s="413"/>
    </row>
    <row r="327" spans="1:9">
      <c r="A327" s="390" t="s">
        <v>1011</v>
      </c>
      <c r="B327" s="401">
        <v>323</v>
      </c>
      <c r="C327" s="418"/>
      <c r="D327" s="413"/>
      <c r="E327" s="412"/>
      <c r="F327" s="408">
        <v>3480</v>
      </c>
      <c r="G327" s="412"/>
      <c r="H327" s="413"/>
      <c r="I327" s="413"/>
    </row>
    <row r="328" spans="1:9" ht="15.75" thickBot="1">
      <c r="A328" s="391" t="s">
        <v>1012</v>
      </c>
      <c r="B328" s="420">
        <v>324</v>
      </c>
      <c r="C328" s="464">
        <v>240</v>
      </c>
      <c r="D328" s="422"/>
      <c r="E328" s="421"/>
      <c r="F328" s="422"/>
      <c r="G328" s="421"/>
      <c r="H328" s="422"/>
      <c r="I328" s="422"/>
    </row>
    <row r="329" spans="1:9">
      <c r="A329" s="392" t="s">
        <v>1013</v>
      </c>
      <c r="B329" s="425">
        <v>325</v>
      </c>
      <c r="C329" s="462">
        <v>360</v>
      </c>
      <c r="D329" s="427"/>
      <c r="E329" s="428"/>
      <c r="F329" s="427"/>
      <c r="G329" s="428"/>
      <c r="H329" s="427"/>
      <c r="I329" s="427"/>
    </row>
    <row r="330" spans="1:9">
      <c r="A330" s="390" t="s">
        <v>1013</v>
      </c>
      <c r="B330" s="401">
        <v>326</v>
      </c>
      <c r="C330" s="461">
        <v>22</v>
      </c>
      <c r="D330" s="413"/>
      <c r="E330" s="412"/>
      <c r="F330" s="413"/>
      <c r="G330" s="412"/>
      <c r="H330" s="413"/>
      <c r="I330" s="413"/>
    </row>
    <row r="331" spans="1:9">
      <c r="A331" s="390" t="s">
        <v>1014</v>
      </c>
      <c r="B331" s="401">
        <v>327</v>
      </c>
      <c r="C331" s="461">
        <v>144</v>
      </c>
      <c r="D331" s="413"/>
      <c r="E331" s="412"/>
      <c r="F331" s="413"/>
      <c r="G331" s="412"/>
      <c r="H331" s="413"/>
      <c r="I331" s="413"/>
    </row>
    <row r="332" spans="1:9">
      <c r="A332" s="390" t="s">
        <v>1014</v>
      </c>
      <c r="B332" s="401">
        <v>328</v>
      </c>
      <c r="C332" s="418"/>
      <c r="D332" s="413"/>
      <c r="E332" s="412"/>
      <c r="F332" s="413"/>
      <c r="G332" s="412"/>
      <c r="H332" s="413"/>
      <c r="I332" s="408">
        <v>12200</v>
      </c>
    </row>
    <row r="333" spans="1:9">
      <c r="A333" s="390" t="s">
        <v>1015</v>
      </c>
      <c r="B333" s="401">
        <v>329</v>
      </c>
      <c r="C333" s="461">
        <v>120</v>
      </c>
      <c r="D333" s="413"/>
      <c r="E333" s="412"/>
      <c r="F333" s="413"/>
      <c r="G333" s="412"/>
      <c r="H333" s="413"/>
      <c r="I333" s="413"/>
    </row>
    <row r="334" spans="1:9">
      <c r="A334" s="390" t="s">
        <v>1016</v>
      </c>
      <c r="B334" s="401">
        <v>330</v>
      </c>
      <c r="C334" s="461">
        <v>390</v>
      </c>
      <c r="D334" s="413"/>
      <c r="E334" s="412"/>
      <c r="F334" s="413"/>
      <c r="G334" s="412"/>
      <c r="H334" s="413"/>
      <c r="I334" s="413"/>
    </row>
    <row r="335" spans="1:9">
      <c r="A335" s="390" t="s">
        <v>1016</v>
      </c>
      <c r="B335" s="401">
        <v>331</v>
      </c>
      <c r="C335" s="461">
        <v>96</v>
      </c>
      <c r="D335" s="413"/>
      <c r="E335" s="412"/>
      <c r="F335" s="417"/>
      <c r="G335" s="412"/>
      <c r="H335" s="413"/>
      <c r="I335" s="413"/>
    </row>
    <row r="336" spans="1:9">
      <c r="A336" s="390" t="s">
        <v>1016</v>
      </c>
      <c r="B336" s="401">
        <v>332</v>
      </c>
      <c r="C336" s="461">
        <v>240</v>
      </c>
      <c r="D336" s="413"/>
      <c r="E336" s="412"/>
      <c r="F336" s="417"/>
      <c r="G336" s="412"/>
      <c r="H336" s="413"/>
      <c r="I336" s="413"/>
    </row>
    <row r="337" spans="1:9">
      <c r="A337" s="390" t="s">
        <v>1017</v>
      </c>
      <c r="B337" s="401">
        <v>333</v>
      </c>
      <c r="C337" s="461">
        <v>480</v>
      </c>
      <c r="D337" s="414"/>
      <c r="E337" s="412"/>
      <c r="F337" s="413"/>
      <c r="G337" s="412"/>
      <c r="H337" s="413"/>
      <c r="I337" s="413"/>
    </row>
    <row r="338" spans="1:9">
      <c r="A338" s="390" t="s">
        <v>1018</v>
      </c>
      <c r="B338" s="401">
        <v>334</v>
      </c>
      <c r="C338" s="461">
        <v>24</v>
      </c>
      <c r="D338" s="413"/>
      <c r="E338" s="412"/>
      <c r="F338" s="413"/>
      <c r="G338" s="412"/>
      <c r="H338" s="413"/>
      <c r="I338" s="413"/>
    </row>
    <row r="339" spans="1:9">
      <c r="A339" s="390" t="s">
        <v>1018</v>
      </c>
      <c r="B339" s="401">
        <v>335</v>
      </c>
      <c r="C339" s="461">
        <v>48</v>
      </c>
      <c r="D339" s="413"/>
      <c r="E339" s="412"/>
      <c r="F339" s="413"/>
      <c r="G339" s="412"/>
      <c r="H339" s="413"/>
      <c r="I339" s="414"/>
    </row>
    <row r="340" spans="1:9">
      <c r="A340" s="390" t="s">
        <v>1018</v>
      </c>
      <c r="B340" s="401">
        <v>336</v>
      </c>
      <c r="C340" s="419"/>
      <c r="D340" s="413"/>
      <c r="E340" s="412"/>
      <c r="F340" s="413"/>
      <c r="G340" s="402">
        <v>7544</v>
      </c>
      <c r="H340" s="414"/>
      <c r="I340" s="413"/>
    </row>
    <row r="341" spans="1:9">
      <c r="A341" s="390" t="s">
        <v>1018</v>
      </c>
      <c r="B341" s="401">
        <v>337</v>
      </c>
      <c r="C341" s="461">
        <v>528</v>
      </c>
      <c r="D341" s="413"/>
      <c r="E341" s="412"/>
      <c r="F341" s="417"/>
      <c r="G341" s="412"/>
      <c r="H341" s="413"/>
      <c r="I341" s="413"/>
    </row>
    <row r="342" spans="1:9">
      <c r="A342" s="390" t="s">
        <v>1018</v>
      </c>
      <c r="B342" s="401">
        <v>338</v>
      </c>
      <c r="C342" s="419"/>
      <c r="D342" s="413"/>
      <c r="E342" s="412"/>
      <c r="F342" s="417"/>
      <c r="G342" s="412"/>
      <c r="H342" s="408">
        <v>792</v>
      </c>
      <c r="I342" s="413"/>
    </row>
    <row r="343" spans="1:9">
      <c r="A343" s="390" t="s">
        <v>1019</v>
      </c>
      <c r="B343" s="401">
        <v>339</v>
      </c>
      <c r="C343" s="418"/>
      <c r="D343" s="408">
        <v>720</v>
      </c>
      <c r="E343" s="412"/>
      <c r="F343" s="413"/>
      <c r="G343" s="412"/>
      <c r="H343" s="413"/>
      <c r="I343" s="413"/>
    </row>
    <row r="344" spans="1:9">
      <c r="A344" s="390" t="s">
        <v>1019</v>
      </c>
      <c r="B344" s="401">
        <v>340</v>
      </c>
      <c r="C344" s="461">
        <v>240</v>
      </c>
      <c r="D344" s="413"/>
      <c r="E344" s="412"/>
      <c r="F344" s="413"/>
      <c r="G344" s="412"/>
      <c r="H344" s="413"/>
      <c r="I344" s="414"/>
    </row>
    <row r="345" spans="1:9">
      <c r="A345" s="390" t="s">
        <v>1019</v>
      </c>
      <c r="B345" s="401">
        <v>341</v>
      </c>
      <c r="C345" s="418"/>
      <c r="D345" s="413"/>
      <c r="E345" s="412"/>
      <c r="F345" s="413"/>
      <c r="G345" s="412"/>
      <c r="H345" s="413"/>
      <c r="I345" s="408">
        <v>13640</v>
      </c>
    </row>
    <row r="346" spans="1:9">
      <c r="A346" s="390" t="s">
        <v>1019</v>
      </c>
      <c r="B346" s="401">
        <v>342</v>
      </c>
      <c r="C346" s="419"/>
      <c r="D346" s="413"/>
      <c r="E346" s="402">
        <v>10930</v>
      </c>
      <c r="F346" s="413"/>
      <c r="G346" s="412"/>
      <c r="H346" s="413"/>
      <c r="I346" s="414"/>
    </row>
    <row r="347" spans="1:9">
      <c r="A347" s="390" t="s">
        <v>1020</v>
      </c>
      <c r="B347" s="401">
        <v>343</v>
      </c>
      <c r="C347" s="418"/>
      <c r="D347" s="408">
        <v>648</v>
      </c>
      <c r="E347" s="412"/>
      <c r="F347" s="413"/>
      <c r="G347" s="412"/>
      <c r="H347" s="413"/>
      <c r="I347" s="413"/>
    </row>
    <row r="348" spans="1:9">
      <c r="A348" s="390" t="s">
        <v>1020</v>
      </c>
      <c r="B348" s="401">
        <v>344</v>
      </c>
      <c r="C348" s="461">
        <v>144</v>
      </c>
      <c r="D348" s="413"/>
      <c r="E348" s="412"/>
      <c r="F348" s="417"/>
      <c r="G348" s="412"/>
      <c r="H348" s="413"/>
      <c r="I348" s="413"/>
    </row>
    <row r="349" spans="1:9">
      <c r="A349" s="390" t="s">
        <v>1020</v>
      </c>
      <c r="B349" s="401">
        <v>345</v>
      </c>
      <c r="C349" s="461">
        <v>900</v>
      </c>
      <c r="D349" s="413"/>
      <c r="E349" s="412"/>
      <c r="F349" s="417"/>
      <c r="G349" s="412"/>
      <c r="H349" s="413"/>
      <c r="I349" s="413"/>
    </row>
    <row r="350" spans="1:9">
      <c r="A350" s="390" t="s">
        <v>1021</v>
      </c>
      <c r="B350" s="401">
        <v>346</v>
      </c>
      <c r="C350" s="419"/>
      <c r="D350" s="413"/>
      <c r="E350" s="416"/>
      <c r="F350" s="408">
        <v>3780</v>
      </c>
      <c r="G350" s="412"/>
      <c r="H350" s="413"/>
      <c r="I350" s="413"/>
    </row>
    <row r="351" spans="1:9">
      <c r="A351" s="390" t="s">
        <v>1021</v>
      </c>
      <c r="B351" s="401">
        <v>347</v>
      </c>
      <c r="C351" s="419"/>
      <c r="D351" s="413"/>
      <c r="E351" s="416"/>
      <c r="F351" s="408">
        <v>2400</v>
      </c>
      <c r="G351" s="412"/>
      <c r="H351" s="413"/>
      <c r="I351" s="413"/>
    </row>
    <row r="352" spans="1:9">
      <c r="A352" s="390" t="s">
        <v>1021</v>
      </c>
      <c r="B352" s="401">
        <v>348</v>
      </c>
      <c r="C352" s="418"/>
      <c r="D352" s="413"/>
      <c r="E352" s="412"/>
      <c r="F352" s="408">
        <v>1830</v>
      </c>
      <c r="G352" s="412"/>
      <c r="H352" s="413"/>
      <c r="I352" s="413"/>
    </row>
    <row r="353" spans="1:9">
      <c r="A353" s="390" t="s">
        <v>1021</v>
      </c>
      <c r="B353" s="401">
        <v>349</v>
      </c>
      <c r="C353" s="461">
        <v>120</v>
      </c>
      <c r="D353" s="413"/>
      <c r="E353" s="412"/>
      <c r="F353" s="413"/>
      <c r="G353" s="412"/>
      <c r="H353" s="413"/>
      <c r="I353" s="413"/>
    </row>
    <row r="354" spans="1:9">
      <c r="A354" s="390" t="s">
        <v>1021</v>
      </c>
      <c r="B354" s="401">
        <v>350</v>
      </c>
      <c r="C354" s="461">
        <v>48</v>
      </c>
      <c r="D354" s="413"/>
      <c r="E354" s="412"/>
      <c r="F354" s="413"/>
      <c r="G354" s="412"/>
      <c r="H354" s="413"/>
      <c r="I354" s="413"/>
    </row>
    <row r="355" spans="1:9">
      <c r="A355" s="390" t="s">
        <v>1021</v>
      </c>
      <c r="B355" s="401">
        <v>351</v>
      </c>
      <c r="C355" s="461">
        <v>120</v>
      </c>
      <c r="D355" s="413"/>
      <c r="E355" s="412"/>
      <c r="F355" s="413"/>
      <c r="G355" s="412"/>
      <c r="H355" s="413"/>
      <c r="I355" s="413"/>
    </row>
    <row r="356" spans="1:9">
      <c r="A356" s="390" t="s">
        <v>1021</v>
      </c>
      <c r="B356" s="401">
        <v>352</v>
      </c>
      <c r="C356" s="461">
        <v>96</v>
      </c>
      <c r="D356" s="413"/>
      <c r="E356" s="412"/>
      <c r="F356" s="413"/>
      <c r="G356" s="412"/>
      <c r="H356" s="413"/>
      <c r="I356" s="413"/>
    </row>
    <row r="357" spans="1:9">
      <c r="A357" s="390" t="s">
        <v>1021</v>
      </c>
      <c r="B357" s="401">
        <v>353</v>
      </c>
      <c r="C357" s="461">
        <v>48</v>
      </c>
      <c r="D357" s="413"/>
      <c r="E357" s="412"/>
      <c r="F357" s="413"/>
      <c r="G357" s="412"/>
      <c r="H357" s="413"/>
      <c r="I357" s="414"/>
    </row>
    <row r="358" spans="1:9">
      <c r="A358" s="390" t="s">
        <v>1022</v>
      </c>
      <c r="B358" s="401">
        <v>354</v>
      </c>
      <c r="C358" s="418"/>
      <c r="D358" s="408">
        <v>5610</v>
      </c>
      <c r="E358" s="412"/>
      <c r="F358" s="413"/>
      <c r="G358" s="412"/>
      <c r="H358" s="413"/>
      <c r="I358" s="413"/>
    </row>
    <row r="359" spans="1:9">
      <c r="A359" s="390" t="s">
        <v>1023</v>
      </c>
      <c r="B359" s="401">
        <v>355</v>
      </c>
      <c r="C359" s="461">
        <v>60</v>
      </c>
      <c r="D359" s="414"/>
      <c r="E359" s="412"/>
      <c r="F359" s="413"/>
      <c r="G359" s="412"/>
      <c r="H359" s="413"/>
      <c r="I359" s="413"/>
    </row>
    <row r="360" spans="1:9">
      <c r="A360" s="390" t="s">
        <v>1024</v>
      </c>
      <c r="B360" s="401">
        <v>356</v>
      </c>
      <c r="C360" s="461">
        <v>34</v>
      </c>
      <c r="D360" s="414"/>
      <c r="E360" s="412"/>
      <c r="F360" s="413"/>
      <c r="G360" s="412"/>
      <c r="H360" s="413"/>
      <c r="I360" s="413"/>
    </row>
    <row r="361" spans="1:9">
      <c r="A361" s="390" t="s">
        <v>1025</v>
      </c>
      <c r="B361" s="401">
        <v>357</v>
      </c>
      <c r="C361" s="461">
        <v>120</v>
      </c>
      <c r="D361" s="413"/>
      <c r="E361" s="412"/>
      <c r="F361" s="413"/>
      <c r="G361" s="412"/>
      <c r="H361" s="413"/>
      <c r="I361" s="413"/>
    </row>
    <row r="362" spans="1:9">
      <c r="A362" s="390" t="s">
        <v>1026</v>
      </c>
      <c r="B362" s="401">
        <v>358</v>
      </c>
      <c r="C362" s="461">
        <v>240</v>
      </c>
      <c r="D362" s="413"/>
      <c r="E362" s="412"/>
      <c r="F362" s="413"/>
      <c r="G362" s="412"/>
      <c r="H362" s="413"/>
      <c r="I362" s="413"/>
    </row>
    <row r="363" spans="1:9">
      <c r="A363" s="390" t="s">
        <v>1026</v>
      </c>
      <c r="B363" s="401">
        <v>359</v>
      </c>
      <c r="C363" s="461">
        <v>240</v>
      </c>
      <c r="D363" s="413"/>
      <c r="E363" s="412"/>
      <c r="F363" s="417"/>
      <c r="G363" s="412"/>
      <c r="H363" s="413"/>
      <c r="I363" s="413"/>
    </row>
    <row r="364" spans="1:9">
      <c r="A364" s="390" t="s">
        <v>1026</v>
      </c>
      <c r="B364" s="401">
        <v>360</v>
      </c>
      <c r="C364" s="418"/>
      <c r="D364" s="413"/>
      <c r="E364" s="412"/>
      <c r="F364" s="408">
        <v>5096</v>
      </c>
      <c r="G364" s="412"/>
      <c r="H364" s="413"/>
      <c r="I364" s="413"/>
    </row>
    <row r="365" spans="1:9">
      <c r="A365" s="390" t="s">
        <v>1027</v>
      </c>
      <c r="B365" s="401">
        <v>361</v>
      </c>
      <c r="C365" s="418"/>
      <c r="D365" s="413"/>
      <c r="E365" s="412"/>
      <c r="F365" s="413"/>
      <c r="G365" s="412"/>
      <c r="H365" s="413"/>
      <c r="I365" s="408">
        <v>13042</v>
      </c>
    </row>
    <row r="366" spans="1:9">
      <c r="A366" s="390" t="s">
        <v>1027</v>
      </c>
      <c r="B366" s="401">
        <v>362</v>
      </c>
      <c r="C366" s="461">
        <v>96</v>
      </c>
      <c r="D366" s="413"/>
      <c r="E366" s="412"/>
      <c r="F366" s="413"/>
      <c r="G366" s="412"/>
      <c r="H366" s="413"/>
      <c r="I366" s="413"/>
    </row>
    <row r="367" spans="1:9">
      <c r="A367" s="390" t="s">
        <v>1027</v>
      </c>
      <c r="B367" s="401">
        <v>363</v>
      </c>
      <c r="C367" s="419"/>
      <c r="D367" s="408">
        <v>6244</v>
      </c>
      <c r="E367" s="412"/>
      <c r="F367" s="413"/>
      <c r="G367" s="416"/>
      <c r="H367" s="414"/>
      <c r="I367" s="413"/>
    </row>
    <row r="368" spans="1:9">
      <c r="A368" s="390" t="s">
        <v>1028</v>
      </c>
      <c r="B368" s="401">
        <v>364</v>
      </c>
      <c r="C368" s="461">
        <v>72</v>
      </c>
      <c r="D368" s="413"/>
      <c r="E368" s="412"/>
      <c r="F368" s="413"/>
      <c r="G368" s="412"/>
      <c r="H368" s="413"/>
      <c r="I368" s="414"/>
    </row>
    <row r="369" spans="1:9">
      <c r="A369" s="389" t="s">
        <v>1028</v>
      </c>
      <c r="B369" s="440">
        <v>365</v>
      </c>
      <c r="C369" s="463">
        <v>48</v>
      </c>
      <c r="D369" s="442"/>
      <c r="E369" s="441"/>
      <c r="F369" s="442"/>
      <c r="G369" s="441"/>
      <c r="H369" s="442"/>
      <c r="I369" s="442"/>
    </row>
    <row r="370" spans="1:9">
      <c r="A370" s="390" t="s">
        <v>1028</v>
      </c>
      <c r="B370" s="401">
        <v>366</v>
      </c>
      <c r="C370" s="461">
        <v>480</v>
      </c>
      <c r="D370" s="413"/>
      <c r="E370" s="412"/>
      <c r="F370" s="413"/>
      <c r="G370" s="412"/>
      <c r="H370" s="413"/>
      <c r="I370" s="413"/>
    </row>
    <row r="371" spans="1:9">
      <c r="A371" s="390" t="s">
        <v>1028</v>
      </c>
      <c r="B371" s="401">
        <v>367</v>
      </c>
      <c r="C371" s="419"/>
      <c r="D371" s="414"/>
      <c r="E371" s="412"/>
      <c r="F371" s="413"/>
      <c r="G371" s="402">
        <v>7680</v>
      </c>
      <c r="H371" s="413"/>
      <c r="I371" s="413"/>
    </row>
    <row r="372" spans="1:9">
      <c r="A372" s="390" t="s">
        <v>1029</v>
      </c>
      <c r="B372" s="401">
        <v>368</v>
      </c>
      <c r="C372" s="418"/>
      <c r="D372" s="413"/>
      <c r="E372" s="412"/>
      <c r="F372" s="413"/>
      <c r="G372" s="412"/>
      <c r="H372" s="413"/>
      <c r="I372" s="408">
        <v>12980</v>
      </c>
    </row>
    <row r="373" spans="1:9">
      <c r="A373" s="390" t="s">
        <v>1030</v>
      </c>
      <c r="B373" s="401">
        <v>369</v>
      </c>
      <c r="C373" s="461">
        <v>48</v>
      </c>
      <c r="D373" s="413"/>
      <c r="E373" s="412"/>
      <c r="F373" s="413"/>
      <c r="G373" s="412"/>
      <c r="H373" s="413"/>
      <c r="I373" s="413"/>
    </row>
    <row r="374" spans="1:9">
      <c r="A374" s="390" t="s">
        <v>1030</v>
      </c>
      <c r="B374" s="401">
        <v>370</v>
      </c>
      <c r="C374" s="419"/>
      <c r="D374" s="413"/>
      <c r="E374" s="416"/>
      <c r="F374" s="408">
        <v>4560</v>
      </c>
      <c r="G374" s="412"/>
      <c r="H374" s="413"/>
      <c r="I374" s="413"/>
    </row>
    <row r="375" spans="1:9" ht="15.75" thickBot="1">
      <c r="A375" s="391" t="s">
        <v>1030</v>
      </c>
      <c r="B375" s="420">
        <v>371</v>
      </c>
      <c r="C375" s="451"/>
      <c r="D375" s="422"/>
      <c r="E375" s="421"/>
      <c r="F375" s="446">
        <v>1680</v>
      </c>
      <c r="G375" s="421"/>
      <c r="H375" s="422"/>
      <c r="I375" s="422"/>
    </row>
    <row r="376" spans="1:9">
      <c r="A376" s="392" t="s">
        <v>1030</v>
      </c>
      <c r="B376" s="425">
        <v>372</v>
      </c>
      <c r="C376" s="439"/>
      <c r="D376" s="427"/>
      <c r="E376" s="428"/>
      <c r="F376" s="438">
        <v>2160</v>
      </c>
      <c r="G376" s="428"/>
      <c r="H376" s="427"/>
      <c r="I376" s="427"/>
    </row>
    <row r="377" spans="1:9">
      <c r="A377" s="390" t="s">
        <v>1031</v>
      </c>
      <c r="B377" s="401">
        <v>373</v>
      </c>
      <c r="C377" s="461">
        <v>24</v>
      </c>
      <c r="D377" s="413"/>
      <c r="E377" s="412"/>
      <c r="F377" s="417"/>
      <c r="G377" s="412"/>
      <c r="H377" s="413"/>
      <c r="I377" s="413"/>
    </row>
    <row r="378" spans="1:9">
      <c r="A378" s="390" t="s">
        <v>1032</v>
      </c>
      <c r="B378" s="401">
        <v>374</v>
      </c>
      <c r="C378" s="461">
        <v>48</v>
      </c>
      <c r="D378" s="413"/>
      <c r="E378" s="412"/>
      <c r="F378" s="413"/>
      <c r="G378" s="412"/>
      <c r="H378" s="413"/>
      <c r="I378" s="413"/>
    </row>
    <row r="379" spans="1:9">
      <c r="A379" s="390" t="s">
        <v>1033</v>
      </c>
      <c r="B379" s="401">
        <v>375</v>
      </c>
      <c r="C379" s="418"/>
      <c r="D379" s="413"/>
      <c r="E379" s="412"/>
      <c r="F379" s="408">
        <v>1500</v>
      </c>
      <c r="G379" s="412"/>
      <c r="H379" s="413"/>
      <c r="I379" s="413"/>
    </row>
    <row r="380" spans="1:9">
      <c r="A380" s="390" t="s">
        <v>1033</v>
      </c>
      <c r="B380" s="401">
        <v>376</v>
      </c>
      <c r="C380" s="461">
        <v>240</v>
      </c>
      <c r="D380" s="413"/>
      <c r="E380" s="412"/>
      <c r="F380" s="413"/>
      <c r="G380" s="412"/>
      <c r="H380" s="413"/>
      <c r="I380" s="413"/>
    </row>
    <row r="381" spans="1:9">
      <c r="A381" s="390" t="s">
        <v>1033</v>
      </c>
      <c r="B381" s="401">
        <v>377</v>
      </c>
      <c r="C381" s="461">
        <v>24</v>
      </c>
      <c r="D381" s="413"/>
      <c r="E381" s="412"/>
      <c r="F381" s="413"/>
      <c r="G381" s="412"/>
      <c r="H381" s="413"/>
      <c r="I381" s="413"/>
    </row>
    <row r="382" spans="1:9">
      <c r="A382" s="390" t="s">
        <v>1034</v>
      </c>
      <c r="B382" s="401">
        <v>378</v>
      </c>
      <c r="C382" s="418"/>
      <c r="D382" s="413"/>
      <c r="E382" s="412"/>
      <c r="F382" s="413"/>
      <c r="G382" s="402">
        <v>6220</v>
      </c>
      <c r="H382" s="413"/>
      <c r="I382" s="413"/>
    </row>
    <row r="383" spans="1:9">
      <c r="A383" s="390" t="s">
        <v>1034</v>
      </c>
      <c r="B383" s="401">
        <v>379</v>
      </c>
      <c r="C383" s="461">
        <v>1200</v>
      </c>
      <c r="D383" s="413"/>
      <c r="E383" s="412"/>
      <c r="F383" s="413"/>
      <c r="G383" s="412"/>
      <c r="H383" s="413"/>
      <c r="I383" s="413"/>
    </row>
    <row r="384" spans="1:9">
      <c r="A384" s="390" t="s">
        <v>1034</v>
      </c>
      <c r="B384" s="401">
        <v>380</v>
      </c>
      <c r="C384" s="418"/>
      <c r="D384" s="413"/>
      <c r="E384" s="412"/>
      <c r="F384" s="413"/>
      <c r="G384" s="412"/>
      <c r="H384" s="413"/>
      <c r="I384" s="408">
        <v>13560</v>
      </c>
    </row>
    <row r="385" spans="1:9">
      <c r="A385" s="390" t="s">
        <v>1034</v>
      </c>
      <c r="B385" s="401">
        <v>381</v>
      </c>
      <c r="C385" s="418"/>
      <c r="D385" s="413"/>
      <c r="E385" s="412"/>
      <c r="F385" s="413"/>
      <c r="G385" s="412"/>
      <c r="H385" s="408">
        <v>1260</v>
      </c>
      <c r="I385" s="413"/>
    </row>
    <row r="386" spans="1:9">
      <c r="A386" s="390" t="s">
        <v>1034</v>
      </c>
      <c r="B386" s="401">
        <v>382</v>
      </c>
      <c r="C386" s="461">
        <v>480</v>
      </c>
      <c r="D386" s="413"/>
      <c r="E386" s="412"/>
      <c r="F386" s="413"/>
      <c r="G386" s="412"/>
      <c r="H386" s="413"/>
      <c r="I386" s="413"/>
    </row>
    <row r="387" spans="1:9">
      <c r="A387" s="390" t="s">
        <v>1035</v>
      </c>
      <c r="B387" s="401">
        <v>383</v>
      </c>
      <c r="C387" s="461">
        <v>810</v>
      </c>
      <c r="D387" s="413"/>
      <c r="E387" s="412"/>
      <c r="F387" s="413"/>
      <c r="G387" s="412"/>
      <c r="H387" s="413"/>
      <c r="I387" s="414"/>
    </row>
    <row r="388" spans="1:9">
      <c r="A388" s="390" t="s">
        <v>1036</v>
      </c>
      <c r="B388" s="401">
        <v>384</v>
      </c>
      <c r="C388" s="418"/>
      <c r="D388" s="413"/>
      <c r="E388" s="412"/>
      <c r="F388" s="408">
        <v>4200</v>
      </c>
      <c r="G388" s="412"/>
      <c r="H388" s="413"/>
      <c r="I388" s="413"/>
    </row>
    <row r="389" spans="1:9">
      <c r="A389" s="390" t="s">
        <v>1036</v>
      </c>
      <c r="B389" s="401">
        <v>385</v>
      </c>
      <c r="C389" s="418"/>
      <c r="D389" s="413"/>
      <c r="E389" s="412"/>
      <c r="F389" s="408">
        <v>1920</v>
      </c>
      <c r="G389" s="412"/>
      <c r="H389" s="413"/>
      <c r="I389" s="413"/>
    </row>
    <row r="390" spans="1:9">
      <c r="A390" s="390" t="s">
        <v>1036</v>
      </c>
      <c r="B390" s="401">
        <v>386</v>
      </c>
      <c r="C390" s="419"/>
      <c r="D390" s="414"/>
      <c r="E390" s="412"/>
      <c r="F390" s="408">
        <v>2790</v>
      </c>
      <c r="G390" s="412"/>
      <c r="H390" s="413"/>
      <c r="I390" s="413"/>
    </row>
    <row r="391" spans="1:9">
      <c r="A391" s="390" t="s">
        <v>1037</v>
      </c>
      <c r="B391" s="401">
        <v>387</v>
      </c>
      <c r="C391" s="418"/>
      <c r="D391" s="413"/>
      <c r="E391" s="412"/>
      <c r="F391" s="413"/>
      <c r="G391" s="402">
        <v>3300</v>
      </c>
      <c r="H391" s="413"/>
      <c r="I391" s="413"/>
    </row>
    <row r="392" spans="1:9">
      <c r="A392" s="390" t="s">
        <v>1037</v>
      </c>
      <c r="B392" s="401">
        <v>388</v>
      </c>
      <c r="C392" s="418"/>
      <c r="D392" s="413"/>
      <c r="E392" s="412"/>
      <c r="F392" s="413"/>
      <c r="G392" s="412"/>
      <c r="H392" s="413"/>
      <c r="I392" s="408">
        <v>13920</v>
      </c>
    </row>
    <row r="393" spans="1:9">
      <c r="A393" s="390" t="s">
        <v>1037</v>
      </c>
      <c r="B393" s="401">
        <v>389</v>
      </c>
      <c r="C393" s="461">
        <v>1410</v>
      </c>
      <c r="D393" s="413"/>
      <c r="E393" s="412"/>
      <c r="F393" s="413"/>
      <c r="G393" s="412"/>
      <c r="H393" s="413"/>
      <c r="I393" s="413"/>
    </row>
    <row r="394" spans="1:9">
      <c r="A394" s="390" t="s">
        <v>1038</v>
      </c>
      <c r="B394" s="401">
        <v>390</v>
      </c>
      <c r="C394" s="461">
        <v>48</v>
      </c>
      <c r="D394" s="413"/>
      <c r="E394" s="412"/>
      <c r="F394" s="413"/>
      <c r="G394" s="412"/>
      <c r="H394" s="413"/>
      <c r="I394" s="413"/>
    </row>
    <row r="395" spans="1:9">
      <c r="A395" s="390" t="s">
        <v>1248</v>
      </c>
      <c r="B395" s="401">
        <v>391</v>
      </c>
      <c r="C395" s="461">
        <v>780</v>
      </c>
      <c r="D395" s="413"/>
      <c r="E395" s="412"/>
      <c r="F395" s="413"/>
      <c r="G395" s="412"/>
      <c r="H395" s="413"/>
      <c r="I395" s="413"/>
    </row>
    <row r="396" spans="1:9">
      <c r="A396" s="390" t="s">
        <v>1248</v>
      </c>
      <c r="B396" s="401">
        <v>392</v>
      </c>
      <c r="C396" s="418"/>
      <c r="D396" s="413"/>
      <c r="E396" s="402">
        <v>8770</v>
      </c>
      <c r="F396" s="413"/>
      <c r="G396" s="412"/>
      <c r="H396" s="413"/>
      <c r="I396" s="413"/>
    </row>
    <row r="397" spans="1:9">
      <c r="A397" s="390" t="s">
        <v>1174</v>
      </c>
      <c r="B397" s="401">
        <v>393</v>
      </c>
      <c r="C397" s="418"/>
      <c r="D397" s="408">
        <v>6094</v>
      </c>
      <c r="E397" s="412"/>
      <c r="F397" s="413"/>
      <c r="G397" s="412"/>
      <c r="H397" s="413"/>
      <c r="I397" s="413"/>
    </row>
    <row r="398" spans="1:9">
      <c r="A398" s="390" t="s">
        <v>1249</v>
      </c>
      <c r="B398" s="401">
        <v>394</v>
      </c>
      <c r="C398" s="461">
        <v>60</v>
      </c>
      <c r="D398" s="413"/>
      <c r="E398" s="412"/>
      <c r="F398" s="413"/>
      <c r="G398" s="412"/>
      <c r="H398" s="413"/>
      <c r="I398" s="413"/>
    </row>
    <row r="399" spans="1:9">
      <c r="A399" s="390" t="s">
        <v>1249</v>
      </c>
      <c r="B399" s="401">
        <v>395</v>
      </c>
      <c r="C399" s="461">
        <v>168</v>
      </c>
      <c r="D399" s="413"/>
      <c r="E399" s="412"/>
      <c r="F399" s="413"/>
      <c r="G399" s="416"/>
      <c r="H399" s="414"/>
      <c r="I399" s="413"/>
    </row>
    <row r="400" spans="1:9">
      <c r="A400" s="390" t="s">
        <v>1176</v>
      </c>
      <c r="B400" s="401">
        <v>396</v>
      </c>
      <c r="C400" s="461">
        <v>240</v>
      </c>
      <c r="D400" s="413"/>
      <c r="E400" s="412"/>
      <c r="F400" s="417"/>
      <c r="G400" s="412"/>
      <c r="H400" s="413"/>
      <c r="I400" s="413"/>
    </row>
    <row r="401" spans="1:9">
      <c r="A401" s="390" t="s">
        <v>1176</v>
      </c>
      <c r="B401" s="401">
        <v>397</v>
      </c>
      <c r="C401" s="461">
        <v>102</v>
      </c>
      <c r="D401" s="413"/>
      <c r="E401" s="412"/>
      <c r="F401" s="417"/>
      <c r="G401" s="412"/>
      <c r="H401" s="413"/>
      <c r="I401" s="413"/>
    </row>
    <row r="402" spans="1:9">
      <c r="A402" s="390" t="s">
        <v>1250</v>
      </c>
      <c r="B402" s="401">
        <v>398</v>
      </c>
      <c r="C402" s="461">
        <v>120</v>
      </c>
      <c r="D402" s="413"/>
      <c r="E402" s="412"/>
      <c r="F402" s="417"/>
      <c r="G402" s="412"/>
      <c r="H402" s="413"/>
      <c r="I402" s="413"/>
    </row>
    <row r="403" spans="1:9">
      <c r="A403" s="390" t="s">
        <v>1250</v>
      </c>
      <c r="B403" s="401">
        <v>399</v>
      </c>
      <c r="C403" s="461">
        <v>240</v>
      </c>
      <c r="D403" s="413"/>
      <c r="E403" s="412"/>
      <c r="F403" s="413"/>
      <c r="G403" s="412"/>
      <c r="H403" s="413"/>
      <c r="I403" s="414"/>
    </row>
    <row r="404" spans="1:9">
      <c r="A404" s="390" t="s">
        <v>1250</v>
      </c>
      <c r="B404" s="401">
        <v>400</v>
      </c>
      <c r="C404" s="461">
        <v>120</v>
      </c>
      <c r="D404" s="413"/>
      <c r="E404" s="412"/>
      <c r="F404" s="413"/>
      <c r="G404" s="412"/>
      <c r="H404" s="413"/>
      <c r="I404" s="413"/>
    </row>
    <row r="405" spans="1:9">
      <c r="A405" s="390" t="s">
        <v>1250</v>
      </c>
      <c r="B405" s="401">
        <v>401</v>
      </c>
      <c r="C405" s="461">
        <v>96</v>
      </c>
      <c r="D405" s="413"/>
      <c r="E405" s="412"/>
      <c r="F405" s="413"/>
      <c r="G405" s="412"/>
      <c r="H405" s="413"/>
      <c r="I405" s="413"/>
    </row>
    <row r="406" spans="1:9">
      <c r="A406" s="390" t="s">
        <v>1250</v>
      </c>
      <c r="B406" s="401">
        <v>402</v>
      </c>
      <c r="C406" s="419"/>
      <c r="D406" s="413"/>
      <c r="E406" s="416"/>
      <c r="F406" s="413"/>
      <c r="G406" s="402">
        <v>5140</v>
      </c>
      <c r="H406" s="413"/>
      <c r="I406" s="413"/>
    </row>
    <row r="407" spans="1:9">
      <c r="A407" s="390" t="s">
        <v>1250</v>
      </c>
      <c r="B407" s="401">
        <v>403</v>
      </c>
      <c r="C407" s="461">
        <v>240</v>
      </c>
      <c r="D407" s="413"/>
      <c r="E407" s="412"/>
      <c r="F407" s="413"/>
      <c r="G407" s="412"/>
      <c r="H407" s="413"/>
      <c r="I407" s="413"/>
    </row>
    <row r="408" spans="1:9">
      <c r="A408" s="390" t="s">
        <v>1251</v>
      </c>
      <c r="B408" s="401">
        <v>404</v>
      </c>
      <c r="C408" s="461">
        <v>48</v>
      </c>
      <c r="D408" s="413"/>
      <c r="E408" s="412"/>
      <c r="F408" s="413"/>
      <c r="G408" s="412"/>
      <c r="H408" s="413"/>
      <c r="I408" s="413"/>
    </row>
    <row r="409" spans="1:9">
      <c r="A409" s="390" t="s">
        <v>1251</v>
      </c>
      <c r="B409" s="401">
        <v>405</v>
      </c>
      <c r="C409" s="461">
        <v>48</v>
      </c>
      <c r="D409" s="413"/>
      <c r="E409" s="412"/>
      <c r="F409" s="413"/>
      <c r="G409" s="412"/>
      <c r="H409" s="413"/>
      <c r="I409" s="414"/>
    </row>
    <row r="410" spans="1:9">
      <c r="A410" s="390" t="s">
        <v>1251</v>
      </c>
      <c r="B410" s="401">
        <v>406</v>
      </c>
      <c r="C410" s="461">
        <v>96</v>
      </c>
      <c r="D410" s="414"/>
      <c r="E410" s="412"/>
      <c r="F410" s="413"/>
      <c r="G410" s="412"/>
      <c r="H410" s="413"/>
      <c r="I410" s="413"/>
    </row>
    <row r="411" spans="1:9">
      <c r="A411" s="390" t="s">
        <v>1252</v>
      </c>
      <c r="B411" s="401">
        <v>407</v>
      </c>
      <c r="C411" s="461">
        <v>48</v>
      </c>
      <c r="D411" s="413"/>
      <c r="E411" s="412"/>
      <c r="F411" s="413"/>
      <c r="G411" s="412"/>
      <c r="H411" s="413"/>
      <c r="I411" s="413"/>
    </row>
    <row r="412" spans="1:9">
      <c r="A412" s="390" t="s">
        <v>1252</v>
      </c>
      <c r="B412" s="401">
        <v>408</v>
      </c>
      <c r="C412" s="418"/>
      <c r="D412" s="413"/>
      <c r="E412" s="412"/>
      <c r="F412" s="408">
        <v>4590</v>
      </c>
      <c r="G412" s="412"/>
      <c r="H412" s="413"/>
      <c r="I412" s="413"/>
    </row>
    <row r="413" spans="1:9">
      <c r="A413" s="390" t="s">
        <v>1252</v>
      </c>
      <c r="B413" s="401">
        <v>409</v>
      </c>
      <c r="C413" s="419"/>
      <c r="D413" s="413"/>
      <c r="E413" s="412"/>
      <c r="F413" s="408">
        <v>1440</v>
      </c>
      <c r="G413" s="416"/>
      <c r="H413" s="414"/>
      <c r="I413" s="413"/>
    </row>
    <row r="414" spans="1:9">
      <c r="A414" s="390" t="s">
        <v>1252</v>
      </c>
      <c r="B414" s="401">
        <v>410</v>
      </c>
      <c r="C414" s="461">
        <v>336</v>
      </c>
      <c r="D414" s="413"/>
      <c r="E414" s="412"/>
      <c r="F414" s="413"/>
      <c r="G414" s="412"/>
      <c r="H414" s="413"/>
      <c r="I414" s="414"/>
    </row>
    <row r="415" spans="1:9">
      <c r="A415" s="390" t="s">
        <v>1252</v>
      </c>
      <c r="B415" s="452">
        <v>411</v>
      </c>
      <c r="C415" s="445"/>
      <c r="D415" s="442"/>
      <c r="E415" s="444">
        <v>960</v>
      </c>
      <c r="F415" s="447"/>
      <c r="G415" s="441"/>
      <c r="H415" s="442"/>
      <c r="I415" s="442"/>
    </row>
    <row r="416" spans="1:9">
      <c r="A416" s="390" t="s">
        <v>1253</v>
      </c>
      <c r="B416" s="453">
        <v>412</v>
      </c>
      <c r="C416" s="461">
        <v>120</v>
      </c>
      <c r="D416" s="413"/>
      <c r="E416" s="412"/>
      <c r="F416" s="417"/>
      <c r="G416" s="412"/>
      <c r="H416" s="413"/>
      <c r="I416" s="413"/>
    </row>
    <row r="417" spans="1:9">
      <c r="A417" s="390" t="s">
        <v>1253</v>
      </c>
      <c r="B417" s="453">
        <v>413</v>
      </c>
      <c r="C417" s="418"/>
      <c r="D417" s="408">
        <v>6940</v>
      </c>
      <c r="E417" s="412"/>
      <c r="F417" s="413"/>
      <c r="G417" s="412"/>
      <c r="H417" s="413"/>
      <c r="I417" s="413"/>
    </row>
    <row r="418" spans="1:9">
      <c r="A418" s="390" t="s">
        <v>1178</v>
      </c>
      <c r="B418" s="453">
        <v>414</v>
      </c>
      <c r="C418" s="461">
        <v>72</v>
      </c>
      <c r="D418" s="413"/>
      <c r="E418" s="412"/>
      <c r="F418" s="413"/>
      <c r="G418" s="412"/>
      <c r="H418" s="413"/>
      <c r="I418" s="413"/>
    </row>
    <row r="419" spans="1:9">
      <c r="A419" s="390" t="s">
        <v>1178</v>
      </c>
      <c r="B419" s="453">
        <v>415</v>
      </c>
      <c r="C419" s="418"/>
      <c r="D419" s="413"/>
      <c r="E419" s="412"/>
      <c r="F419" s="413"/>
      <c r="G419" s="412"/>
      <c r="H419" s="413"/>
      <c r="I419" s="408">
        <v>13810</v>
      </c>
    </row>
    <row r="420" spans="1:9">
      <c r="A420" s="390" t="s">
        <v>1254</v>
      </c>
      <c r="B420" s="453">
        <v>416</v>
      </c>
      <c r="C420" s="461">
        <v>48</v>
      </c>
      <c r="D420" s="413"/>
      <c r="E420" s="412"/>
      <c r="F420" s="417"/>
      <c r="G420" s="412"/>
      <c r="H420" s="413"/>
      <c r="I420" s="413"/>
    </row>
    <row r="421" spans="1:9">
      <c r="A421" s="454" t="s">
        <v>1254</v>
      </c>
      <c r="B421" s="453">
        <v>417</v>
      </c>
      <c r="C421" s="461">
        <v>336</v>
      </c>
      <c r="D421" s="413"/>
      <c r="E421" s="412"/>
      <c r="F421" s="417"/>
      <c r="G421" s="412"/>
      <c r="H421" s="413"/>
      <c r="I421" s="413"/>
    </row>
    <row r="422" spans="1:9" ht="15.75" thickBot="1">
      <c r="A422" s="391" t="s">
        <v>1255</v>
      </c>
      <c r="B422" s="455">
        <v>418</v>
      </c>
      <c r="C422" s="451"/>
      <c r="D422" s="449"/>
      <c r="E422" s="421"/>
      <c r="F422" s="446">
        <v>2550</v>
      </c>
      <c r="G422" s="421"/>
      <c r="H422" s="422"/>
      <c r="I422" s="422"/>
    </row>
    <row r="423" spans="1:9">
      <c r="A423" s="389" t="s">
        <v>1255</v>
      </c>
      <c r="B423" s="456">
        <v>419</v>
      </c>
      <c r="C423" s="429"/>
      <c r="D423" s="427"/>
      <c r="E423" s="428"/>
      <c r="F423" s="438">
        <v>1290</v>
      </c>
      <c r="G423" s="428"/>
      <c r="H423" s="427"/>
      <c r="I423" s="427"/>
    </row>
    <row r="424" spans="1:9">
      <c r="A424" s="390" t="s">
        <v>1255</v>
      </c>
      <c r="B424" s="453">
        <v>420</v>
      </c>
      <c r="C424" s="418"/>
      <c r="D424" s="413"/>
      <c r="E424" s="412"/>
      <c r="F424" s="408">
        <v>1800</v>
      </c>
      <c r="G424" s="412"/>
      <c r="H424" s="413"/>
      <c r="I424" s="413"/>
    </row>
    <row r="425" spans="1:9">
      <c r="A425" s="390" t="s">
        <v>1181</v>
      </c>
      <c r="B425" s="453">
        <v>421</v>
      </c>
      <c r="C425" s="461">
        <v>120</v>
      </c>
      <c r="D425" s="413"/>
      <c r="E425" s="412"/>
      <c r="F425" s="413"/>
      <c r="G425" s="412"/>
      <c r="H425" s="413"/>
      <c r="I425" s="413"/>
    </row>
    <row r="426" spans="1:9">
      <c r="A426" s="390" t="s">
        <v>1181</v>
      </c>
      <c r="B426" s="453">
        <v>422</v>
      </c>
      <c r="C426" s="461">
        <v>60</v>
      </c>
      <c r="D426" s="413"/>
      <c r="E426" s="412"/>
      <c r="F426" s="413"/>
      <c r="G426" s="412"/>
      <c r="H426" s="413"/>
      <c r="I426" s="413"/>
    </row>
    <row r="427" spans="1:9">
      <c r="A427" s="390" t="s">
        <v>1181</v>
      </c>
      <c r="B427" s="453">
        <v>423</v>
      </c>
      <c r="C427" s="418"/>
      <c r="D427" s="413"/>
      <c r="E427" s="402">
        <v>8820</v>
      </c>
      <c r="F427" s="413"/>
      <c r="G427" s="412"/>
      <c r="H427" s="413"/>
      <c r="I427" s="413"/>
    </row>
    <row r="428" spans="1:9">
      <c r="A428" s="390" t="s">
        <v>1181</v>
      </c>
      <c r="B428" s="453">
        <v>424</v>
      </c>
      <c r="C428" s="418"/>
      <c r="D428" s="413"/>
      <c r="E428" s="412"/>
      <c r="F428" s="413"/>
      <c r="G428" s="412"/>
      <c r="H428" s="413"/>
      <c r="I428" s="408">
        <v>14340</v>
      </c>
    </row>
    <row r="429" spans="1:9">
      <c r="A429" s="390" t="s">
        <v>1184</v>
      </c>
      <c r="B429" s="453">
        <v>425</v>
      </c>
      <c r="C429" s="461">
        <v>60</v>
      </c>
      <c r="D429" s="413"/>
      <c r="E429" s="412"/>
      <c r="F429" s="413"/>
      <c r="G429" s="412"/>
      <c r="H429" s="413"/>
      <c r="I429" s="413"/>
    </row>
    <row r="430" spans="1:9">
      <c r="A430" s="390" t="s">
        <v>1256</v>
      </c>
      <c r="B430" s="453">
        <v>426</v>
      </c>
      <c r="C430" s="461">
        <v>480</v>
      </c>
      <c r="D430" s="413"/>
      <c r="E430" s="412"/>
      <c r="F430" s="413"/>
      <c r="G430" s="412"/>
      <c r="H430" s="413"/>
      <c r="I430" s="414"/>
    </row>
    <row r="431" spans="1:9">
      <c r="A431" s="390" t="s">
        <v>1257</v>
      </c>
      <c r="B431" s="453">
        <v>427</v>
      </c>
      <c r="C431" s="461">
        <v>330</v>
      </c>
      <c r="D431" s="413"/>
      <c r="E431" s="416"/>
      <c r="F431" s="413"/>
      <c r="G431" s="412"/>
      <c r="H431" s="413"/>
      <c r="I431" s="413"/>
    </row>
    <row r="432" spans="1:9">
      <c r="A432" s="390" t="s">
        <v>1257</v>
      </c>
      <c r="B432" s="453">
        <v>428</v>
      </c>
      <c r="C432" s="419"/>
      <c r="D432" s="413"/>
      <c r="E432" s="412"/>
      <c r="F432" s="413"/>
      <c r="G432" s="402">
        <v>6120</v>
      </c>
      <c r="H432" s="413"/>
      <c r="I432" s="414"/>
    </row>
    <row r="433" spans="1:9">
      <c r="A433" s="390" t="s">
        <v>1257</v>
      </c>
      <c r="B433" s="453">
        <v>429</v>
      </c>
      <c r="C433" s="461">
        <v>24</v>
      </c>
      <c r="D433" s="413"/>
      <c r="E433" s="412"/>
      <c r="F433" s="417"/>
      <c r="G433" s="412"/>
      <c r="H433" s="413"/>
      <c r="I433" s="413"/>
    </row>
    <row r="434" spans="1:9">
      <c r="A434" s="390" t="s">
        <v>1257</v>
      </c>
      <c r="B434" s="453">
        <v>430</v>
      </c>
      <c r="C434" s="418"/>
      <c r="D434" s="408">
        <v>6380</v>
      </c>
      <c r="E434" s="412"/>
      <c r="F434" s="413"/>
      <c r="G434" s="412"/>
      <c r="H434" s="413"/>
      <c r="I434" s="413"/>
    </row>
    <row r="435" spans="1:9">
      <c r="A435" s="390" t="s">
        <v>1258</v>
      </c>
      <c r="B435" s="453">
        <v>431</v>
      </c>
      <c r="C435" s="461">
        <v>138</v>
      </c>
      <c r="D435" s="413"/>
      <c r="E435" s="412"/>
      <c r="F435" s="413"/>
      <c r="G435" s="412"/>
      <c r="H435" s="413"/>
      <c r="I435" s="413"/>
    </row>
    <row r="436" spans="1:9">
      <c r="A436" s="390" t="s">
        <v>1258</v>
      </c>
      <c r="B436" s="453">
        <v>432</v>
      </c>
      <c r="C436" s="461">
        <v>240</v>
      </c>
      <c r="D436" s="413"/>
      <c r="E436" s="412"/>
      <c r="F436" s="413"/>
      <c r="G436" s="412"/>
      <c r="H436" s="413"/>
      <c r="I436" s="413"/>
    </row>
    <row r="437" spans="1:9">
      <c r="A437" s="390" t="s">
        <v>1258</v>
      </c>
      <c r="B437" s="453">
        <v>433</v>
      </c>
      <c r="C437" s="461">
        <v>72</v>
      </c>
      <c r="D437" s="413"/>
      <c r="E437" s="412"/>
      <c r="F437" s="413"/>
      <c r="G437" s="412"/>
      <c r="H437" s="413"/>
      <c r="I437" s="413"/>
    </row>
    <row r="438" spans="1:9">
      <c r="A438" s="390" t="s">
        <v>1259</v>
      </c>
      <c r="B438" s="390">
        <v>434</v>
      </c>
      <c r="C438" s="461">
        <v>240</v>
      </c>
      <c r="D438" s="413"/>
      <c r="E438" s="412"/>
      <c r="F438" s="413"/>
      <c r="G438" s="412"/>
      <c r="H438" s="413"/>
      <c r="I438" s="413"/>
    </row>
    <row r="439" spans="1:9">
      <c r="A439" s="390" t="s">
        <v>1259</v>
      </c>
      <c r="B439" s="390">
        <v>435</v>
      </c>
      <c r="C439" s="461">
        <v>120</v>
      </c>
      <c r="D439" s="414"/>
      <c r="E439" s="412"/>
      <c r="F439" s="413"/>
      <c r="G439" s="412"/>
      <c r="H439" s="413"/>
      <c r="I439" s="413"/>
    </row>
    <row r="440" spans="1:9">
      <c r="A440" s="390" t="s">
        <v>1186</v>
      </c>
      <c r="B440" s="390">
        <v>436</v>
      </c>
      <c r="C440" s="418"/>
      <c r="D440" s="413"/>
      <c r="E440" s="412"/>
      <c r="F440" s="413"/>
      <c r="G440" s="412"/>
      <c r="H440" s="413"/>
      <c r="I440" s="408">
        <v>15048</v>
      </c>
    </row>
    <row r="441" spans="1:9">
      <c r="A441" s="390" t="s">
        <v>1186</v>
      </c>
      <c r="B441" s="390">
        <v>437</v>
      </c>
      <c r="C441" s="461">
        <v>22</v>
      </c>
      <c r="D441" s="413"/>
      <c r="E441" s="412"/>
      <c r="F441" s="413"/>
      <c r="G441" s="412"/>
      <c r="H441" s="413"/>
      <c r="I441" s="413"/>
    </row>
    <row r="442" spans="1:9">
      <c r="A442" s="390" t="s">
        <v>1186</v>
      </c>
      <c r="B442" s="390">
        <v>438</v>
      </c>
      <c r="C442" s="418"/>
      <c r="D442" s="413"/>
      <c r="E442" s="412"/>
      <c r="F442" s="408">
        <v>5880</v>
      </c>
      <c r="G442" s="412"/>
      <c r="H442" s="413"/>
      <c r="I442" s="413"/>
    </row>
    <row r="443" spans="1:9">
      <c r="A443" s="390" t="s">
        <v>1186</v>
      </c>
      <c r="B443" s="390">
        <v>439</v>
      </c>
      <c r="C443" s="419"/>
      <c r="D443" s="413"/>
      <c r="E443" s="412"/>
      <c r="F443" s="408">
        <v>1440</v>
      </c>
      <c r="G443" s="412"/>
      <c r="H443" s="413"/>
      <c r="I443" s="414"/>
    </row>
    <row r="444" spans="1:9">
      <c r="A444" s="390" t="s">
        <v>1186</v>
      </c>
      <c r="B444" s="390">
        <v>440</v>
      </c>
      <c r="C444" s="418"/>
      <c r="D444" s="413"/>
      <c r="E444" s="412"/>
      <c r="F444" s="408">
        <v>1680</v>
      </c>
      <c r="G444" s="412"/>
      <c r="H444" s="413"/>
      <c r="I444" s="413"/>
    </row>
    <row r="445" spans="1:9">
      <c r="A445" s="390" t="s">
        <v>1186</v>
      </c>
      <c r="B445" s="390">
        <v>441</v>
      </c>
      <c r="C445" s="461">
        <v>360</v>
      </c>
      <c r="D445" s="413"/>
      <c r="E445" s="412"/>
      <c r="F445" s="413"/>
      <c r="G445" s="412"/>
      <c r="H445" s="413"/>
      <c r="I445" s="413"/>
    </row>
    <row r="446" spans="1:9">
      <c r="A446" s="390" t="s">
        <v>1260</v>
      </c>
      <c r="B446" s="390">
        <v>442</v>
      </c>
      <c r="C446" s="461">
        <v>96</v>
      </c>
      <c r="D446" s="413"/>
      <c r="E446" s="412"/>
      <c r="F446" s="413"/>
      <c r="G446" s="412"/>
      <c r="H446" s="413"/>
      <c r="I446" s="413"/>
    </row>
    <row r="447" spans="1:9">
      <c r="A447" s="390" t="s">
        <v>1261</v>
      </c>
      <c r="B447" s="390">
        <v>443</v>
      </c>
      <c r="C447" s="461">
        <v>144</v>
      </c>
      <c r="D447" s="413"/>
      <c r="E447" s="412"/>
      <c r="F447" s="413"/>
      <c r="G447" s="416"/>
      <c r="H447" s="414"/>
      <c r="I447" s="413"/>
    </row>
    <row r="448" spans="1:9">
      <c r="A448" s="390" t="s">
        <v>1190</v>
      </c>
      <c r="B448" s="390">
        <v>444</v>
      </c>
      <c r="C448" s="461">
        <v>72</v>
      </c>
      <c r="D448" s="413"/>
      <c r="E448" s="412"/>
      <c r="F448" s="417"/>
      <c r="G448" s="412"/>
      <c r="H448" s="413"/>
      <c r="I448" s="413"/>
    </row>
    <row r="449" spans="1:9">
      <c r="A449" s="390" t="s">
        <v>1262</v>
      </c>
      <c r="B449" s="390">
        <v>445</v>
      </c>
      <c r="C449" s="418"/>
      <c r="D449" s="413"/>
      <c r="E449" s="412"/>
      <c r="F449" s="413"/>
      <c r="G449" s="402">
        <v>4180</v>
      </c>
      <c r="H449" s="413"/>
      <c r="I449" s="413"/>
    </row>
    <row r="450" spans="1:9">
      <c r="A450" s="390" t="s">
        <v>1192</v>
      </c>
      <c r="B450" s="390">
        <v>446</v>
      </c>
      <c r="C450" s="418"/>
      <c r="D450" s="413"/>
      <c r="E450" s="412"/>
      <c r="F450" s="413"/>
      <c r="G450" s="412"/>
      <c r="H450" s="408">
        <v>1020</v>
      </c>
      <c r="I450" s="413"/>
    </row>
    <row r="451" spans="1:9">
      <c r="A451" s="390" t="s">
        <v>1192</v>
      </c>
      <c r="B451" s="390">
        <v>447</v>
      </c>
      <c r="C451" s="461">
        <v>228</v>
      </c>
      <c r="D451" s="413"/>
      <c r="E451" s="412"/>
      <c r="F451" s="413"/>
      <c r="G451" s="412"/>
      <c r="H451" s="413"/>
      <c r="I451" s="413"/>
    </row>
    <row r="452" spans="1:9">
      <c r="A452" s="390" t="s">
        <v>1263</v>
      </c>
      <c r="B452" s="390">
        <v>448</v>
      </c>
      <c r="C452" s="461">
        <v>120</v>
      </c>
      <c r="D452" s="413"/>
      <c r="E452" s="416"/>
      <c r="F452" s="413"/>
      <c r="G452" s="412"/>
      <c r="H452" s="413"/>
      <c r="I452" s="413"/>
    </row>
    <row r="453" spans="1:9">
      <c r="A453" s="390" t="s">
        <v>1263</v>
      </c>
      <c r="B453" s="390">
        <v>449</v>
      </c>
      <c r="C453" s="461">
        <v>300</v>
      </c>
      <c r="D453" s="413"/>
      <c r="E453" s="412"/>
      <c r="F453" s="417"/>
      <c r="G453" s="412"/>
      <c r="H453" s="413"/>
      <c r="I453" s="413"/>
    </row>
    <row r="454" spans="1:9">
      <c r="A454" s="390" t="s">
        <v>1264</v>
      </c>
      <c r="B454" s="390">
        <v>450</v>
      </c>
      <c r="C454" s="461">
        <v>24</v>
      </c>
      <c r="D454" s="413"/>
      <c r="E454" s="412"/>
      <c r="F454" s="417"/>
      <c r="G454" s="412"/>
      <c r="H454" s="413"/>
      <c r="I454" s="413"/>
    </row>
    <row r="455" spans="1:9">
      <c r="A455" s="390" t="s">
        <v>1264</v>
      </c>
      <c r="B455" s="390">
        <v>451</v>
      </c>
      <c r="C455" s="418"/>
      <c r="D455" s="413"/>
      <c r="E455" s="402">
        <v>8880</v>
      </c>
      <c r="F455" s="413"/>
      <c r="G455" s="412"/>
      <c r="H455" s="413"/>
      <c r="I455" s="413"/>
    </row>
    <row r="456" spans="1:9">
      <c r="A456" s="390" t="s">
        <v>1264</v>
      </c>
      <c r="B456" s="390">
        <v>452</v>
      </c>
      <c r="C456" s="419"/>
      <c r="D456" s="408">
        <v>7320</v>
      </c>
      <c r="E456" s="412"/>
      <c r="F456" s="413"/>
      <c r="G456" s="412"/>
      <c r="H456" s="413"/>
      <c r="I456" s="414"/>
    </row>
    <row r="457" spans="1:9">
      <c r="A457" s="390" t="s">
        <v>1265</v>
      </c>
      <c r="B457" s="390">
        <v>453</v>
      </c>
      <c r="C457" s="461">
        <v>96</v>
      </c>
      <c r="D457" s="413"/>
      <c r="E457" s="412"/>
      <c r="F457" s="413"/>
      <c r="G457" s="412"/>
      <c r="H457" s="413"/>
      <c r="I457" s="413"/>
    </row>
    <row r="458" spans="1:9">
      <c r="A458" s="390" t="s">
        <v>1266</v>
      </c>
      <c r="B458" s="390">
        <v>454</v>
      </c>
      <c r="C458" s="461">
        <v>516</v>
      </c>
      <c r="D458" s="414"/>
      <c r="E458" s="412"/>
      <c r="F458" s="413"/>
      <c r="G458" s="412"/>
      <c r="H458" s="413"/>
      <c r="I458" s="413"/>
    </row>
    <row r="459" spans="1:9">
      <c r="A459" s="390" t="s">
        <v>1267</v>
      </c>
      <c r="B459" s="390">
        <v>455</v>
      </c>
      <c r="C459" s="419"/>
      <c r="D459" s="414"/>
      <c r="E459" s="412"/>
      <c r="F459" s="413"/>
      <c r="G459" s="412"/>
      <c r="H459" s="413"/>
      <c r="I459" s="408">
        <v>13872</v>
      </c>
    </row>
    <row r="460" spans="1:9">
      <c r="A460" s="390" t="s">
        <v>1268</v>
      </c>
      <c r="B460" s="390">
        <v>456</v>
      </c>
      <c r="C460" s="461">
        <v>46</v>
      </c>
      <c r="D460" s="413"/>
      <c r="E460" s="412"/>
      <c r="F460" s="413"/>
      <c r="G460" s="412"/>
      <c r="H460" s="413"/>
      <c r="I460" s="413"/>
    </row>
    <row r="461" spans="1:9">
      <c r="A461" s="390" t="s">
        <v>1269</v>
      </c>
      <c r="B461" s="389">
        <v>457</v>
      </c>
      <c r="C461" s="443"/>
      <c r="D461" s="442"/>
      <c r="E461" s="441"/>
      <c r="F461" s="448">
        <v>4440</v>
      </c>
      <c r="G461" s="441"/>
      <c r="H461" s="442"/>
      <c r="I461" s="442"/>
    </row>
    <row r="462" spans="1:9">
      <c r="A462" s="390" t="s">
        <v>1269</v>
      </c>
      <c r="B462" s="390">
        <v>458</v>
      </c>
      <c r="C462" s="418"/>
      <c r="D462" s="413"/>
      <c r="E462" s="412"/>
      <c r="F462" s="408">
        <v>1440</v>
      </c>
      <c r="G462" s="412"/>
      <c r="H462" s="413"/>
      <c r="I462" s="413"/>
    </row>
    <row r="463" spans="1:9">
      <c r="A463" s="390" t="s">
        <v>1269</v>
      </c>
      <c r="B463" s="390">
        <v>459</v>
      </c>
      <c r="C463" s="419"/>
      <c r="D463" s="413"/>
      <c r="E463" s="412"/>
      <c r="F463" s="408">
        <v>2220</v>
      </c>
      <c r="G463" s="412"/>
      <c r="H463" s="413"/>
      <c r="I463" s="413"/>
    </row>
    <row r="464" spans="1:9">
      <c r="A464" s="390" t="s">
        <v>1194</v>
      </c>
      <c r="B464" s="390">
        <v>460</v>
      </c>
      <c r="C464" s="461">
        <v>72</v>
      </c>
      <c r="D464" s="413"/>
      <c r="E464" s="412"/>
      <c r="F464" s="417"/>
      <c r="G464" s="412"/>
      <c r="H464" s="413"/>
      <c r="I464" s="413"/>
    </row>
    <row r="465" spans="1:9">
      <c r="A465" s="390" t="s">
        <v>1194</v>
      </c>
      <c r="B465" s="390">
        <v>461</v>
      </c>
      <c r="C465" s="461">
        <v>120</v>
      </c>
      <c r="D465" s="413"/>
      <c r="E465" s="412"/>
      <c r="F465" s="417"/>
      <c r="G465" s="412"/>
      <c r="H465" s="413"/>
      <c r="I465" s="413"/>
    </row>
    <row r="466" spans="1:9">
      <c r="A466" s="390" t="s">
        <v>1194</v>
      </c>
      <c r="B466" s="390">
        <v>462</v>
      </c>
      <c r="C466" s="461">
        <v>504</v>
      </c>
      <c r="D466" s="414"/>
      <c r="E466" s="412"/>
      <c r="F466" s="413"/>
      <c r="G466" s="412"/>
      <c r="H466" s="413"/>
      <c r="I466" s="413"/>
    </row>
    <row r="467" spans="1:9">
      <c r="A467" s="390" t="s">
        <v>1270</v>
      </c>
      <c r="B467" s="390">
        <v>463</v>
      </c>
      <c r="C467" s="461">
        <v>144</v>
      </c>
      <c r="D467" s="413"/>
      <c r="E467" s="412"/>
      <c r="F467" s="413"/>
      <c r="G467" s="412"/>
      <c r="H467" s="413"/>
      <c r="I467" s="414"/>
    </row>
    <row r="468" spans="1:9">
      <c r="A468" s="390" t="s">
        <v>1270</v>
      </c>
      <c r="B468" s="390">
        <v>464</v>
      </c>
      <c r="C468" s="461">
        <v>22</v>
      </c>
      <c r="D468" s="413"/>
      <c r="E468" s="412"/>
      <c r="F468" s="413"/>
      <c r="G468" s="412"/>
      <c r="H468" s="413"/>
      <c r="I468" s="413"/>
    </row>
    <row r="469" spans="1:9" ht="15.75" thickBot="1">
      <c r="A469" s="457" t="s">
        <v>1313</v>
      </c>
      <c r="B469" s="391">
        <v>465</v>
      </c>
      <c r="C469" s="464">
        <v>72</v>
      </c>
      <c r="D469" s="422"/>
      <c r="E469" s="421"/>
      <c r="F469" s="422"/>
      <c r="G469" s="421"/>
      <c r="H469" s="422"/>
      <c r="I469" s="422"/>
    </row>
    <row r="470" spans="1:9">
      <c r="A470" s="458" t="s">
        <v>1971</v>
      </c>
      <c r="B470" s="392">
        <v>466</v>
      </c>
      <c r="C470" s="429"/>
      <c r="D470" s="427"/>
      <c r="E470" s="428"/>
      <c r="F470" s="427"/>
      <c r="G470" s="606">
        <v>48</v>
      </c>
      <c r="H470" s="427"/>
      <c r="I470" s="427"/>
    </row>
    <row r="471" spans="1:9">
      <c r="A471" s="459" t="s">
        <v>1971</v>
      </c>
      <c r="B471" s="390">
        <v>467</v>
      </c>
      <c r="C471" s="419"/>
      <c r="D471" s="413"/>
      <c r="E471" s="412"/>
      <c r="F471" s="413"/>
      <c r="G471" s="402">
        <v>4800</v>
      </c>
      <c r="H471" s="414"/>
      <c r="I471" s="413"/>
    </row>
    <row r="472" spans="1:9">
      <c r="A472" s="459" t="s">
        <v>1971</v>
      </c>
      <c r="B472" s="390">
        <v>468</v>
      </c>
      <c r="C472" s="608">
        <v>264</v>
      </c>
      <c r="D472" s="414"/>
      <c r="E472" s="412"/>
      <c r="F472" s="413"/>
      <c r="G472" s="412"/>
      <c r="H472" s="413"/>
      <c r="I472" s="413"/>
    </row>
    <row r="473" spans="1:9">
      <c r="A473" s="459" t="s">
        <v>1972</v>
      </c>
      <c r="B473" s="390">
        <v>469</v>
      </c>
      <c r="C473" s="418"/>
      <c r="D473" s="605">
        <v>7292</v>
      </c>
      <c r="E473" s="412"/>
      <c r="F473" s="413"/>
      <c r="G473" s="412"/>
      <c r="H473" s="413"/>
      <c r="I473" s="413"/>
    </row>
    <row r="474" spans="1:9">
      <c r="A474" s="459" t="s">
        <v>1972</v>
      </c>
      <c r="B474" s="390">
        <v>470</v>
      </c>
      <c r="C474" s="461">
        <v>48</v>
      </c>
      <c r="D474" s="413"/>
      <c r="E474" s="412"/>
      <c r="F474" s="413"/>
      <c r="G474" s="412"/>
      <c r="H474" s="413"/>
      <c r="I474" s="413"/>
    </row>
    <row r="475" spans="1:9">
      <c r="A475" s="459" t="s">
        <v>1972</v>
      </c>
      <c r="B475" s="390">
        <v>471</v>
      </c>
      <c r="C475" s="461">
        <v>60</v>
      </c>
      <c r="D475" s="413"/>
      <c r="E475" s="412"/>
      <c r="F475" s="413"/>
      <c r="G475" s="412"/>
      <c r="H475" s="413"/>
      <c r="I475" s="413"/>
    </row>
    <row r="476" spans="1:9">
      <c r="A476" s="459" t="s">
        <v>1972</v>
      </c>
      <c r="B476" s="390">
        <v>472</v>
      </c>
      <c r="C476" s="418"/>
      <c r="D476" s="413"/>
      <c r="E476" s="412"/>
      <c r="F476" s="413"/>
      <c r="G476" s="412"/>
      <c r="H476" s="413"/>
      <c r="I476" s="605">
        <v>13530</v>
      </c>
    </row>
    <row r="477" spans="1:9">
      <c r="A477" s="459" t="s">
        <v>1973</v>
      </c>
      <c r="B477" s="390">
        <v>473</v>
      </c>
      <c r="C477" s="461">
        <v>48</v>
      </c>
      <c r="D477" s="413"/>
      <c r="E477" s="412"/>
      <c r="F477" s="413"/>
      <c r="G477" s="412"/>
      <c r="H477" s="413"/>
      <c r="I477" s="413"/>
    </row>
    <row r="478" spans="1:9">
      <c r="A478" s="459" t="s">
        <v>1974</v>
      </c>
      <c r="B478" s="390">
        <v>474</v>
      </c>
      <c r="C478" s="419"/>
      <c r="D478" s="413"/>
      <c r="E478" s="412"/>
      <c r="F478" s="605">
        <v>4500</v>
      </c>
      <c r="G478" s="412"/>
      <c r="H478" s="413"/>
      <c r="I478" s="414"/>
    </row>
    <row r="479" spans="1:9">
      <c r="A479" s="459" t="s">
        <v>1974</v>
      </c>
      <c r="B479" s="390">
        <v>475</v>
      </c>
      <c r="C479" s="418"/>
      <c r="D479" s="413"/>
      <c r="E479" s="412"/>
      <c r="F479" s="605">
        <v>1440</v>
      </c>
      <c r="G479" s="412"/>
      <c r="H479" s="413"/>
      <c r="I479" s="413"/>
    </row>
    <row r="480" spans="1:9">
      <c r="A480" s="459" t="s">
        <v>1974</v>
      </c>
      <c r="B480" s="390">
        <v>476</v>
      </c>
      <c r="C480" s="419"/>
      <c r="D480" s="413"/>
      <c r="E480" s="416"/>
      <c r="F480" s="605">
        <v>1740</v>
      </c>
      <c r="G480" s="412"/>
      <c r="H480" s="413"/>
      <c r="I480" s="413"/>
    </row>
    <row r="481" spans="1:12">
      <c r="A481" s="459" t="s">
        <v>1975</v>
      </c>
      <c r="B481" s="390">
        <v>477</v>
      </c>
      <c r="C481" s="608">
        <v>24</v>
      </c>
      <c r="D481" s="413"/>
      <c r="E481" s="412"/>
      <c r="F481" s="417"/>
      <c r="G481" s="412"/>
      <c r="H481" s="413"/>
      <c r="I481" s="413"/>
    </row>
    <row r="482" spans="1:12">
      <c r="A482" s="459" t="s">
        <v>1976</v>
      </c>
      <c r="B482" s="390">
        <v>478</v>
      </c>
      <c r="C482" s="419"/>
      <c r="D482" s="413"/>
      <c r="E482" s="607">
        <v>8880</v>
      </c>
      <c r="F482" s="417"/>
      <c r="G482" s="412"/>
      <c r="H482" s="413"/>
      <c r="I482" s="413"/>
    </row>
    <row r="483" spans="1:12">
      <c r="A483" s="459" t="s">
        <v>1977</v>
      </c>
      <c r="B483" s="390">
        <v>479</v>
      </c>
      <c r="C483" s="608">
        <v>24</v>
      </c>
      <c r="D483" s="413"/>
      <c r="E483" s="412"/>
      <c r="F483" s="417"/>
      <c r="G483" s="412"/>
      <c r="H483" s="413"/>
      <c r="I483" s="413"/>
    </row>
    <row r="484" spans="1:12" ht="15.75" thickBot="1">
      <c r="A484" s="459" t="s">
        <v>1978</v>
      </c>
      <c r="B484" s="390">
        <v>480</v>
      </c>
      <c r="C484" s="418"/>
      <c r="D484" s="413"/>
      <c r="E484" s="412"/>
      <c r="F484" s="413"/>
      <c r="G484" s="412"/>
      <c r="H484" s="413"/>
      <c r="I484" s="605">
        <v>8730</v>
      </c>
    </row>
    <row r="485" spans="1:12" ht="15.75" thickBot="1">
      <c r="A485" s="277" t="s">
        <v>231</v>
      </c>
      <c r="B485" s="278"/>
      <c r="C485" s="465">
        <f t="shared" ref="C485:I485" si="0">SUM(C5:C484)</f>
        <v>56537</v>
      </c>
      <c r="D485" s="388">
        <f t="shared" si="0"/>
        <v>185510</v>
      </c>
      <c r="E485" s="387">
        <f t="shared" si="0"/>
        <v>206126</v>
      </c>
      <c r="F485" s="388">
        <f t="shared" si="0"/>
        <v>242654</v>
      </c>
      <c r="G485" s="387">
        <f t="shared" si="0"/>
        <v>168080</v>
      </c>
      <c r="H485" s="388">
        <f t="shared" si="0"/>
        <v>11034</v>
      </c>
      <c r="I485" s="388">
        <f t="shared" si="0"/>
        <v>601194</v>
      </c>
      <c r="L485" s="159"/>
    </row>
    <row r="488" spans="1:12" ht="15.75" thickBot="1"/>
    <row r="489" spans="1:12" ht="15.75" customHeight="1" thickBot="1">
      <c r="A489" s="673" t="s">
        <v>1063</v>
      </c>
      <c r="B489" s="674"/>
      <c r="C489" s="674"/>
      <c r="D489" s="674"/>
      <c r="E489" s="674"/>
      <c r="F489" s="674"/>
      <c r="G489" s="674"/>
      <c r="H489" s="674"/>
      <c r="I489" s="674"/>
      <c r="J489" s="674"/>
      <c r="K489" s="674"/>
      <c r="L489" s="675"/>
    </row>
    <row r="490" spans="1:12" s="357" customFormat="1" ht="15.75" customHeight="1">
      <c r="A490" s="703" t="s">
        <v>1042</v>
      </c>
      <c r="B490" s="704"/>
      <c r="C490" s="705"/>
      <c r="D490" s="711" t="s">
        <v>1043</v>
      </c>
      <c r="E490" s="684" t="s">
        <v>1044</v>
      </c>
      <c r="F490" s="671" t="s">
        <v>1066</v>
      </c>
      <c r="G490" s="671" t="s">
        <v>1045</v>
      </c>
      <c r="H490" s="686" t="s">
        <v>1046</v>
      </c>
      <c r="I490" s="684" t="s">
        <v>1049</v>
      </c>
      <c r="J490" s="682" t="s">
        <v>1065</v>
      </c>
      <c r="K490" s="684" t="s">
        <v>1047</v>
      </c>
      <c r="L490" s="671" t="s">
        <v>1048</v>
      </c>
    </row>
    <row r="491" spans="1:12" s="357" customFormat="1" ht="15.75" thickBot="1">
      <c r="A491" s="706"/>
      <c r="B491" s="707"/>
      <c r="C491" s="683"/>
      <c r="D491" s="712"/>
      <c r="E491" s="685"/>
      <c r="F491" s="672"/>
      <c r="G491" s="672"/>
      <c r="H491" s="687"/>
      <c r="I491" s="685"/>
      <c r="J491" s="683"/>
      <c r="K491" s="685"/>
      <c r="L491" s="672"/>
    </row>
    <row r="492" spans="1:12">
      <c r="A492" s="686" t="s">
        <v>1050</v>
      </c>
      <c r="B492" s="694"/>
      <c r="C492" s="695"/>
      <c r="D492" s="332" t="s">
        <v>1051</v>
      </c>
      <c r="E492" s="332">
        <f>288+72</f>
        <v>360</v>
      </c>
      <c r="F492" s="332">
        <f>6816+2760</f>
        <v>9576</v>
      </c>
      <c r="G492" s="342">
        <f>1224+600+72</f>
        <v>1896</v>
      </c>
      <c r="H492" s="342">
        <v>0</v>
      </c>
      <c r="I492" s="342">
        <v>120</v>
      </c>
      <c r="J492" s="342">
        <f>648+264+48+48+24</f>
        <v>1032</v>
      </c>
      <c r="K492" s="333">
        <v>1152</v>
      </c>
      <c r="L492" s="334">
        <f t="shared" ref="L492:L505" si="1">SUM(E492:K492)</f>
        <v>14136</v>
      </c>
    </row>
    <row r="493" spans="1:12">
      <c r="A493" s="696"/>
      <c r="B493" s="697"/>
      <c r="C493" s="698"/>
      <c r="D493" s="335" t="s">
        <v>1052</v>
      </c>
      <c r="E493" s="336">
        <f>504+96</f>
        <v>600</v>
      </c>
      <c r="F493" s="336">
        <f>21576+3600+696</f>
        <v>25872</v>
      </c>
      <c r="G493" s="335">
        <f>20280+4224+240</f>
        <v>24744</v>
      </c>
      <c r="H493" s="335">
        <v>0</v>
      </c>
      <c r="I493" s="335">
        <v>264</v>
      </c>
      <c r="J493" s="335">
        <f>4704+1200</f>
        <v>5904</v>
      </c>
      <c r="K493" s="337">
        <f>2112+360</f>
        <v>2472</v>
      </c>
      <c r="L493" s="338">
        <f t="shared" si="1"/>
        <v>59856</v>
      </c>
    </row>
    <row r="494" spans="1:12" ht="15.75" thickBot="1">
      <c r="A494" s="687"/>
      <c r="B494" s="699"/>
      <c r="C494" s="700"/>
      <c r="D494" s="339" t="s">
        <v>1053</v>
      </c>
      <c r="E494" s="339">
        <f>297060+30150+8250+5250</f>
        <v>340710</v>
      </c>
      <c r="F494" s="339">
        <f>9000+2250</f>
        <v>11250</v>
      </c>
      <c r="G494" s="353">
        <f>17880+1950+30</f>
        <v>19860</v>
      </c>
      <c r="H494" s="353">
        <f>37500+4050+900+300</f>
        <v>42750</v>
      </c>
      <c r="I494" s="353">
        <v>690</v>
      </c>
      <c r="J494" s="353">
        <f>4770+930</f>
        <v>5700</v>
      </c>
      <c r="K494" s="340">
        <f>6120+600</f>
        <v>6720</v>
      </c>
      <c r="L494" s="341">
        <f t="shared" si="1"/>
        <v>427680</v>
      </c>
    </row>
    <row r="495" spans="1:12">
      <c r="A495" s="686" t="s">
        <v>1054</v>
      </c>
      <c r="B495" s="694"/>
      <c r="C495" s="695"/>
      <c r="D495" s="342" t="s">
        <v>1051</v>
      </c>
      <c r="E495" s="332">
        <f>21672+3120+600+720</f>
        <v>26112</v>
      </c>
      <c r="F495" s="332">
        <f>16800+2760+1200</f>
        <v>20760</v>
      </c>
      <c r="G495" s="342">
        <f>7464+960</f>
        <v>8424</v>
      </c>
      <c r="H495" s="342">
        <f>29640+4560+600+600</f>
        <v>35400</v>
      </c>
      <c r="I495" s="342">
        <v>576</v>
      </c>
      <c r="J495" s="342">
        <v>744</v>
      </c>
      <c r="K495" s="333">
        <f>28224+3600+240</f>
        <v>32064</v>
      </c>
      <c r="L495" s="334">
        <f t="shared" si="1"/>
        <v>124080</v>
      </c>
    </row>
    <row r="496" spans="1:12">
      <c r="A496" s="696"/>
      <c r="B496" s="697"/>
      <c r="C496" s="698"/>
      <c r="D496" s="336" t="s">
        <v>1055</v>
      </c>
      <c r="E496" s="336">
        <f>12120+1800+480</f>
        <v>14400</v>
      </c>
      <c r="F496" s="336">
        <f>12192+1200+600</f>
        <v>13992</v>
      </c>
      <c r="G496" s="335">
        <f>3600+240+120</f>
        <v>3960</v>
      </c>
      <c r="H496" s="335">
        <f>6360+840</f>
        <v>7200</v>
      </c>
      <c r="I496" s="335">
        <f>1632+240</f>
        <v>1872</v>
      </c>
      <c r="J496" s="335">
        <v>312</v>
      </c>
      <c r="K496" s="337">
        <f>20952+3000+240</f>
        <v>24192</v>
      </c>
      <c r="L496" s="338">
        <f t="shared" si="1"/>
        <v>65928</v>
      </c>
    </row>
    <row r="497" spans="1:15" ht="15.75" thickBot="1">
      <c r="A497" s="687"/>
      <c r="B497" s="699"/>
      <c r="C497" s="700"/>
      <c r="D497" s="343" t="s">
        <v>1052</v>
      </c>
      <c r="E497" s="339">
        <f>96360+12840+1800+960</f>
        <v>111960</v>
      </c>
      <c r="F497" s="344">
        <f>94680+14400+6000</f>
        <v>115080</v>
      </c>
      <c r="G497" s="353">
        <f>84288+15960+6720</f>
        <v>106968</v>
      </c>
      <c r="H497" s="353">
        <f>131280+17880+3000+840+1440</f>
        <v>154440</v>
      </c>
      <c r="I497" s="353">
        <f>5496+600</f>
        <v>6096</v>
      </c>
      <c r="J497" s="353">
        <f>30144+4512+72+240</f>
        <v>34968</v>
      </c>
      <c r="K497" s="340">
        <f>85008+7800+24+3600</f>
        <v>96432</v>
      </c>
      <c r="L497" s="341">
        <f t="shared" si="1"/>
        <v>625944</v>
      </c>
    </row>
    <row r="498" spans="1:15" ht="15.75" thickBot="1">
      <c r="A498" s="701" t="s">
        <v>1056</v>
      </c>
      <c r="B498" s="702"/>
      <c r="C498" s="682"/>
      <c r="D498" s="345" t="s">
        <v>1057</v>
      </c>
      <c r="E498" s="345">
        <f>1656+192</f>
        <v>1848</v>
      </c>
      <c r="F498" s="345">
        <f>2664+240+384</f>
        <v>3288</v>
      </c>
      <c r="G498" s="354">
        <v>600</v>
      </c>
      <c r="H498" s="354">
        <v>0</v>
      </c>
      <c r="I498" s="354">
        <v>0</v>
      </c>
      <c r="J498" s="354">
        <v>120</v>
      </c>
      <c r="K498" s="346">
        <f>192+120</f>
        <v>312</v>
      </c>
      <c r="L498" s="334">
        <f t="shared" si="1"/>
        <v>6168</v>
      </c>
      <c r="O498" s="159"/>
    </row>
    <row r="499" spans="1:15" ht="15.75" thickBot="1">
      <c r="A499" s="703"/>
      <c r="B499" s="704"/>
      <c r="C499" s="705"/>
      <c r="D499" s="354" t="s">
        <v>1058</v>
      </c>
      <c r="E499" s="347">
        <v>5859</v>
      </c>
      <c r="F499" s="347">
        <v>1638</v>
      </c>
      <c r="G499" s="354">
        <f>3591+110</f>
        <v>3701</v>
      </c>
      <c r="H499" s="354">
        <v>0</v>
      </c>
      <c r="I499" s="354">
        <v>0</v>
      </c>
      <c r="J499" s="354">
        <v>420</v>
      </c>
      <c r="K499" s="348">
        <v>1533</v>
      </c>
      <c r="L499" s="334">
        <f t="shared" si="1"/>
        <v>13151</v>
      </c>
    </row>
    <row r="500" spans="1:15" ht="15.75" thickBot="1">
      <c r="A500" s="703"/>
      <c r="B500" s="704"/>
      <c r="C500" s="705"/>
      <c r="D500" s="354" t="s">
        <v>1059</v>
      </c>
      <c r="E500" s="339">
        <v>273</v>
      </c>
      <c r="F500" s="339">
        <v>0</v>
      </c>
      <c r="G500" s="468">
        <v>1701</v>
      </c>
      <c r="H500" s="354">
        <v>0</v>
      </c>
      <c r="I500" s="354">
        <v>0</v>
      </c>
      <c r="J500" s="354">
        <v>63</v>
      </c>
      <c r="K500" s="467">
        <v>105</v>
      </c>
      <c r="L500" s="334">
        <f t="shared" si="1"/>
        <v>2142</v>
      </c>
    </row>
    <row r="501" spans="1:15" ht="15.75" thickBot="1">
      <c r="A501" s="703"/>
      <c r="B501" s="704"/>
      <c r="C501" s="705"/>
      <c r="D501" s="354" t="s">
        <v>1058</v>
      </c>
      <c r="E501" s="339">
        <v>4620</v>
      </c>
      <c r="F501" s="339">
        <v>1650</v>
      </c>
      <c r="G501" s="354">
        <v>4510</v>
      </c>
      <c r="H501" s="354">
        <v>44</v>
      </c>
      <c r="I501" s="354">
        <v>0</v>
      </c>
      <c r="J501" s="354">
        <f>924+22</f>
        <v>946</v>
      </c>
      <c r="K501" s="466">
        <v>1320</v>
      </c>
      <c r="L501" s="334">
        <f t="shared" si="1"/>
        <v>13090</v>
      </c>
    </row>
    <row r="502" spans="1:15" ht="15.75" thickBot="1">
      <c r="A502" s="706"/>
      <c r="B502" s="707"/>
      <c r="C502" s="683"/>
      <c r="D502" s="354" t="s">
        <v>1059</v>
      </c>
      <c r="E502" s="339">
        <v>0</v>
      </c>
      <c r="F502" s="339">
        <v>440</v>
      </c>
      <c r="G502" s="468">
        <v>2090</v>
      </c>
      <c r="H502" s="354">
        <v>0</v>
      </c>
      <c r="I502" s="354">
        <v>0</v>
      </c>
      <c r="J502" s="354">
        <v>748</v>
      </c>
      <c r="K502" s="349">
        <v>110</v>
      </c>
      <c r="L502" s="334">
        <f t="shared" si="1"/>
        <v>3388</v>
      </c>
    </row>
    <row r="503" spans="1:15">
      <c r="A503" s="701" t="s">
        <v>1064</v>
      </c>
      <c r="B503" s="702"/>
      <c r="C503" s="682"/>
      <c r="D503" s="332" t="s">
        <v>1055</v>
      </c>
      <c r="E503" s="332">
        <f>70560+5880+2400+1800</f>
        <v>80640</v>
      </c>
      <c r="F503" s="332">
        <v>2580</v>
      </c>
      <c r="G503" s="342">
        <f>5796+1260</f>
        <v>7056</v>
      </c>
      <c r="H503" s="342">
        <v>60</v>
      </c>
      <c r="I503" s="342">
        <f>1236+180</f>
        <v>1416</v>
      </c>
      <c r="J503" s="342">
        <f>4356+1116+24+60+24</f>
        <v>5580</v>
      </c>
      <c r="K503" s="333">
        <f>1404+120+24+120</f>
        <v>1668</v>
      </c>
      <c r="L503" s="334">
        <f t="shared" si="1"/>
        <v>99000</v>
      </c>
    </row>
    <row r="504" spans="1:15" ht="15.75" thickBot="1">
      <c r="A504" s="706"/>
      <c r="B504" s="707"/>
      <c r="C504" s="683"/>
      <c r="D504" s="339" t="s">
        <v>1052</v>
      </c>
      <c r="E504" s="339">
        <f>11112+2700</f>
        <v>13812</v>
      </c>
      <c r="F504" s="344">
        <v>0</v>
      </c>
      <c r="G504" s="353"/>
      <c r="H504" s="353">
        <f>1320+1440</f>
        <v>2760</v>
      </c>
      <c r="I504" s="353">
        <v>0</v>
      </c>
      <c r="J504" s="353"/>
      <c r="K504" s="350"/>
      <c r="L504" s="341">
        <f t="shared" si="1"/>
        <v>16572</v>
      </c>
    </row>
    <row r="505" spans="1:15" ht="15.75" thickBot="1">
      <c r="A505" s="691" t="s">
        <v>1060</v>
      </c>
      <c r="B505" s="692"/>
      <c r="C505" s="692"/>
      <c r="D505" s="693"/>
      <c r="E505" s="351">
        <f t="shared" ref="E505:K505" si="2">SUM(E492:E504)</f>
        <v>601194</v>
      </c>
      <c r="F505" s="351">
        <f t="shared" si="2"/>
        <v>206126</v>
      </c>
      <c r="G505" s="355">
        <f t="shared" si="2"/>
        <v>185510</v>
      </c>
      <c r="H505" s="355">
        <f t="shared" si="2"/>
        <v>242654</v>
      </c>
      <c r="I505" s="355">
        <f t="shared" si="2"/>
        <v>11034</v>
      </c>
      <c r="J505" s="355">
        <f t="shared" si="2"/>
        <v>56537</v>
      </c>
      <c r="K505" s="352">
        <f t="shared" si="2"/>
        <v>168080</v>
      </c>
      <c r="L505" s="334">
        <f t="shared" si="1"/>
        <v>1471135</v>
      </c>
    </row>
    <row r="506" spans="1:15" ht="15.75" thickBot="1">
      <c r="A506" s="679" t="s">
        <v>1061</v>
      </c>
      <c r="B506" s="680"/>
      <c r="C506" s="680"/>
      <c r="D506" s="681"/>
      <c r="E506" s="676">
        <f>SUM(E505:K505)</f>
        <v>1471135</v>
      </c>
      <c r="F506" s="677"/>
      <c r="G506" s="677"/>
      <c r="H506" s="677"/>
      <c r="I506" s="677"/>
      <c r="J506" s="677"/>
      <c r="K506" s="677"/>
      <c r="L506" s="678"/>
    </row>
    <row r="507" spans="1:15" ht="15.75" thickBot="1">
      <c r="A507" s="691" t="s">
        <v>1062</v>
      </c>
      <c r="B507" s="692"/>
      <c r="C507" s="692"/>
      <c r="D507" s="693"/>
      <c r="E507" s="347">
        <v>153591115</v>
      </c>
      <c r="F507" s="347">
        <v>47857622</v>
      </c>
      <c r="G507" s="356">
        <v>43802459</v>
      </c>
      <c r="H507" s="355">
        <v>59128566</v>
      </c>
      <c r="I507" s="356">
        <v>3031055</v>
      </c>
      <c r="J507" s="354">
        <v>15264885</v>
      </c>
      <c r="K507" s="355">
        <v>42699084</v>
      </c>
      <c r="L507" s="347">
        <f>SUM(E507:K507)</f>
        <v>365374786</v>
      </c>
    </row>
    <row r="510" spans="1:15">
      <c r="E510" s="159">
        <f>E505-I485</f>
        <v>0</v>
      </c>
      <c r="F510" s="159">
        <f>F505-E485</f>
        <v>0</v>
      </c>
      <c r="G510" s="159">
        <f>G505-D485</f>
        <v>0</v>
      </c>
      <c r="H510" s="159">
        <f>H505-F485</f>
        <v>0</v>
      </c>
      <c r="I510" s="159">
        <f>I505-H485</f>
        <v>0</v>
      </c>
      <c r="J510" s="159">
        <f>J505-C485</f>
        <v>0</v>
      </c>
      <c r="K510" s="159">
        <f>K505-G485</f>
        <v>0</v>
      </c>
    </row>
    <row r="511" spans="1:15">
      <c r="L511" s="159">
        <f>L485-L505</f>
        <v>-1471135</v>
      </c>
    </row>
  </sheetData>
  <mergeCells count="23">
    <mergeCell ref="F3:I3"/>
    <mergeCell ref="A507:D507"/>
    <mergeCell ref="A505:D505"/>
    <mergeCell ref="A495:C497"/>
    <mergeCell ref="A492:C494"/>
    <mergeCell ref="A498:C502"/>
    <mergeCell ref="A503:C504"/>
    <mergeCell ref="A3:A4"/>
    <mergeCell ref="B3:B4"/>
    <mergeCell ref="A490:C491"/>
    <mergeCell ref="D490:D491"/>
    <mergeCell ref="E490:E491"/>
    <mergeCell ref="C3:E3"/>
    <mergeCell ref="L490:L491"/>
    <mergeCell ref="F490:F491"/>
    <mergeCell ref="G490:G491"/>
    <mergeCell ref="A489:L489"/>
    <mergeCell ref="E506:L506"/>
    <mergeCell ref="A506:D506"/>
    <mergeCell ref="J490:J491"/>
    <mergeCell ref="K490:K491"/>
    <mergeCell ref="H490:H491"/>
    <mergeCell ref="I490:I491"/>
  </mergeCells>
  <pageMargins left="0.7" right="0.7" top="0.75" bottom="0.68" header="0.3" footer="0.3"/>
  <pageSetup orientation="portrait" verticalDpi="0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7"/>
  <dimension ref="A1:M70"/>
  <sheetViews>
    <sheetView zoomScaleNormal="100" workbookViewId="0">
      <pane ySplit="5" topLeftCell="A54" activePane="bottomLeft" state="frozen"/>
      <selection pane="bottomLeft" activeCell="A66" sqref="A66"/>
    </sheetView>
  </sheetViews>
  <sheetFormatPr defaultRowHeight="15"/>
  <cols>
    <col min="1" max="1" width="10.5703125" style="26" customWidth="1"/>
    <col min="2" max="2" width="8.42578125" style="158" bestFit="1" customWidth="1"/>
    <col min="3" max="3" width="10.7109375" style="282" bestFit="1" customWidth="1"/>
    <col min="4" max="4" width="9.5703125" style="26" bestFit="1" customWidth="1"/>
    <col min="5" max="5" width="8.7109375" style="288" bestFit="1" customWidth="1"/>
    <col min="6" max="6" width="7.5703125" style="26" bestFit="1" customWidth="1"/>
    <col min="7" max="7" width="8.5703125" style="158" bestFit="1" customWidth="1"/>
    <col min="8" max="8" width="9.140625" style="26"/>
    <col min="9" max="9" width="9.28515625" style="158" bestFit="1" customWidth="1"/>
    <col min="10" max="10" width="9.5703125" style="26" bestFit="1" customWidth="1"/>
    <col min="11" max="12" width="9.140625" style="26"/>
    <col min="13" max="13" width="9.5703125" style="26" bestFit="1" customWidth="1"/>
    <col min="14" max="16384" width="9.140625" style="26"/>
  </cols>
  <sheetData>
    <row r="1" spans="1:13">
      <c r="A1" s="144" t="s">
        <v>817</v>
      </c>
      <c r="B1" s="280"/>
      <c r="C1" s="281"/>
      <c r="D1" s="144"/>
      <c r="E1" s="287"/>
    </row>
    <row r="2" spans="1:13">
      <c r="A2" s="26" t="s">
        <v>1292</v>
      </c>
      <c r="D2" s="144"/>
      <c r="E2" s="287"/>
    </row>
    <row r="3" spans="1:13" ht="15.75" thickBot="1">
      <c r="D3" s="144"/>
      <c r="E3" s="288" t="s">
        <v>831</v>
      </c>
    </row>
    <row r="4" spans="1:13" ht="15.75" customHeight="1">
      <c r="A4" s="716" t="s">
        <v>1272</v>
      </c>
      <c r="B4" s="718" t="s">
        <v>824</v>
      </c>
      <c r="C4" s="718"/>
      <c r="D4" s="718"/>
      <c r="E4" s="719" t="s">
        <v>825</v>
      </c>
      <c r="F4" s="720"/>
      <c r="G4" s="720"/>
      <c r="H4" s="721" t="s">
        <v>826</v>
      </c>
      <c r="I4" s="722"/>
      <c r="J4" s="722"/>
      <c r="K4" s="713" t="s">
        <v>827</v>
      </c>
      <c r="L4" s="714"/>
      <c r="M4" s="715"/>
    </row>
    <row r="5" spans="1:13" ht="16.5" thickBot="1">
      <c r="A5" s="717"/>
      <c r="B5" s="475" t="s">
        <v>828</v>
      </c>
      <c r="C5" s="476" t="s">
        <v>829</v>
      </c>
      <c r="D5" s="477" t="s">
        <v>830</v>
      </c>
      <c r="E5" s="478" t="s">
        <v>828</v>
      </c>
      <c r="F5" s="479" t="s">
        <v>829</v>
      </c>
      <c r="G5" s="480" t="s">
        <v>830</v>
      </c>
      <c r="H5" s="481" t="s">
        <v>828</v>
      </c>
      <c r="I5" s="482" t="s">
        <v>829</v>
      </c>
      <c r="J5" s="483" t="s">
        <v>830</v>
      </c>
      <c r="K5" s="484" t="s">
        <v>828</v>
      </c>
      <c r="L5" s="485" t="s">
        <v>829</v>
      </c>
      <c r="M5" s="486" t="s">
        <v>830</v>
      </c>
    </row>
    <row r="6" spans="1:13" ht="15.75">
      <c r="A6" s="487"/>
      <c r="B6" s="488"/>
      <c r="C6" s="489"/>
      <c r="D6" s="490"/>
      <c r="E6" s="491"/>
      <c r="F6" s="492"/>
      <c r="G6" s="493"/>
      <c r="H6" s="488"/>
      <c r="I6" s="489"/>
      <c r="J6" s="490"/>
      <c r="K6" s="491"/>
      <c r="L6" s="492"/>
      <c r="M6" s="494"/>
    </row>
    <row r="7" spans="1:13" ht="15.75">
      <c r="A7" s="372" t="s">
        <v>1198</v>
      </c>
      <c r="B7" s="495"/>
      <c r="C7" s="496"/>
      <c r="D7" s="497"/>
      <c r="E7" s="499"/>
      <c r="F7" s="496"/>
      <c r="G7" s="497"/>
      <c r="H7" s="495"/>
      <c r="I7" s="496"/>
      <c r="J7" s="497"/>
      <c r="K7" s="499"/>
      <c r="L7" s="496"/>
      <c r="M7" s="498"/>
    </row>
    <row r="8" spans="1:13">
      <c r="A8" s="500" t="s">
        <v>1273</v>
      </c>
      <c r="B8" s="501"/>
      <c r="C8" s="283">
        <v>0</v>
      </c>
      <c r="D8" s="502">
        <v>0</v>
      </c>
      <c r="E8" s="503"/>
      <c r="F8" s="283">
        <v>0</v>
      </c>
      <c r="G8" s="261">
        <v>0</v>
      </c>
      <c r="H8" s="269"/>
      <c r="I8" s="283">
        <v>0</v>
      </c>
      <c r="J8" s="261">
        <v>0</v>
      </c>
      <c r="K8" s="504"/>
      <c r="L8" s="505">
        <v>0</v>
      </c>
      <c r="M8" s="534">
        <v>0</v>
      </c>
    </row>
    <row r="9" spans="1:13">
      <c r="A9" s="506" t="s">
        <v>878</v>
      </c>
      <c r="B9" s="507" t="s">
        <v>375</v>
      </c>
      <c r="C9" s="508">
        <v>1088</v>
      </c>
      <c r="D9" s="326">
        <v>35242.699999999997</v>
      </c>
      <c r="E9" s="509"/>
      <c r="F9" s="510"/>
      <c r="G9" s="328"/>
      <c r="H9" s="511"/>
      <c r="I9" s="327"/>
      <c r="J9" s="328"/>
      <c r="K9" s="511"/>
      <c r="L9" s="327"/>
      <c r="M9" s="512"/>
    </row>
    <row r="10" spans="1:13">
      <c r="A10" s="513" t="s">
        <v>882</v>
      </c>
      <c r="B10" s="514"/>
      <c r="C10" s="263"/>
      <c r="D10" s="284"/>
      <c r="E10" s="515"/>
      <c r="F10" s="264"/>
      <c r="G10" s="181"/>
      <c r="H10" s="140"/>
      <c r="I10" s="263"/>
      <c r="J10" s="265"/>
      <c r="K10" s="140" t="s">
        <v>375</v>
      </c>
      <c r="L10" s="263">
        <v>1093</v>
      </c>
      <c r="M10" s="262">
        <v>32425.599999999999</v>
      </c>
    </row>
    <row r="11" spans="1:13">
      <c r="A11" s="513" t="s">
        <v>883</v>
      </c>
      <c r="B11" s="514"/>
      <c r="C11" s="263"/>
      <c r="D11" s="284"/>
      <c r="E11" s="516"/>
      <c r="F11" s="266"/>
      <c r="G11" s="181"/>
      <c r="H11" s="140" t="s">
        <v>375</v>
      </c>
      <c r="I11" s="151">
        <v>477</v>
      </c>
      <c r="J11" s="181">
        <v>16471.8</v>
      </c>
      <c r="K11" s="515"/>
      <c r="L11" s="264"/>
      <c r="M11" s="262"/>
    </row>
    <row r="12" spans="1:13">
      <c r="A12" s="513" t="s">
        <v>1274</v>
      </c>
      <c r="B12" s="514" t="s">
        <v>376</v>
      </c>
      <c r="C12" s="263">
        <v>1068</v>
      </c>
      <c r="D12" s="284">
        <v>34751.4</v>
      </c>
      <c r="E12" s="516"/>
      <c r="F12" s="266"/>
      <c r="G12" s="180"/>
      <c r="H12" s="140"/>
      <c r="I12" s="263"/>
      <c r="J12" s="265"/>
      <c r="K12" s="140"/>
      <c r="L12" s="263"/>
      <c r="M12" s="262"/>
    </row>
    <row r="13" spans="1:13">
      <c r="A13" s="517" t="s">
        <v>1275</v>
      </c>
      <c r="B13" s="518"/>
      <c r="C13" s="283">
        <f>SUM(C9:C12)</f>
        <v>2156</v>
      </c>
      <c r="D13" s="286">
        <f>SUM(D9:D12)</f>
        <v>69994.100000000006</v>
      </c>
      <c r="E13" s="519"/>
      <c r="F13" s="283">
        <f>SUM(F9:F12)</f>
        <v>0</v>
      </c>
      <c r="G13" s="261">
        <f>SUM(G9:G12)</f>
        <v>0</v>
      </c>
      <c r="H13" s="269"/>
      <c r="I13" s="283">
        <f>SUM(I9:I12)</f>
        <v>477</v>
      </c>
      <c r="J13" s="261">
        <f>SUM(J9:J12)</f>
        <v>16471.8</v>
      </c>
      <c r="K13" s="519"/>
      <c r="L13" s="283">
        <f>SUM(L9:L12)</f>
        <v>1093</v>
      </c>
      <c r="M13" s="267">
        <f>SUM(M9:M12)</f>
        <v>32425.599999999999</v>
      </c>
    </row>
    <row r="14" spans="1:13">
      <c r="A14" s="520" t="s">
        <v>890</v>
      </c>
      <c r="B14" s="521" t="s">
        <v>377</v>
      </c>
      <c r="C14" s="14">
        <v>1063</v>
      </c>
      <c r="D14" s="285">
        <v>34753.699999999997</v>
      </c>
      <c r="E14" s="522"/>
      <c r="F14" s="523"/>
      <c r="G14" s="153"/>
      <c r="H14" s="276"/>
      <c r="I14" s="523"/>
      <c r="J14" s="153"/>
      <c r="K14" s="522"/>
      <c r="L14" s="523"/>
      <c r="M14" s="535"/>
    </row>
    <row r="15" spans="1:13">
      <c r="A15" s="520" t="s">
        <v>890</v>
      </c>
      <c r="B15" s="524"/>
      <c r="C15" s="523"/>
      <c r="D15" s="285"/>
      <c r="E15" s="525" t="s">
        <v>375</v>
      </c>
      <c r="F15" s="14">
        <v>590</v>
      </c>
      <c r="G15" s="153">
        <v>20397.5</v>
      </c>
      <c r="H15" s="276"/>
      <c r="I15" s="523"/>
      <c r="J15" s="153"/>
      <c r="K15" s="525"/>
      <c r="L15" s="14"/>
      <c r="M15" s="536"/>
    </row>
    <row r="16" spans="1:13">
      <c r="A16" s="513" t="s">
        <v>894</v>
      </c>
      <c r="B16" s="514"/>
      <c r="C16" s="263"/>
      <c r="D16" s="284"/>
      <c r="E16" s="515"/>
      <c r="F16" s="264"/>
      <c r="G16" s="181"/>
      <c r="H16" s="140"/>
      <c r="I16" s="263"/>
      <c r="J16" s="181"/>
      <c r="K16" s="525" t="s">
        <v>376</v>
      </c>
      <c r="L16" s="14">
        <v>1061</v>
      </c>
      <c r="M16" s="536">
        <v>32016.1</v>
      </c>
    </row>
    <row r="17" spans="1:13">
      <c r="A17" s="513" t="s">
        <v>898</v>
      </c>
      <c r="B17" s="514" t="s">
        <v>378</v>
      </c>
      <c r="C17" s="263">
        <v>1092</v>
      </c>
      <c r="D17" s="284">
        <v>36288.400000000001</v>
      </c>
      <c r="E17" s="515"/>
      <c r="F17" s="264"/>
      <c r="G17" s="181"/>
      <c r="H17" s="140"/>
      <c r="I17" s="263"/>
      <c r="J17" s="181"/>
      <c r="K17" s="140"/>
      <c r="L17" s="263"/>
      <c r="M17" s="262"/>
    </row>
    <row r="18" spans="1:13">
      <c r="A18" s="517" t="s">
        <v>1276</v>
      </c>
      <c r="B18" s="518"/>
      <c r="C18" s="283">
        <f>SUM(C14:C17)</f>
        <v>2155</v>
      </c>
      <c r="D18" s="286">
        <f>SUM(D14:D17)</f>
        <v>71042.100000000006</v>
      </c>
      <c r="E18" s="519"/>
      <c r="F18" s="283">
        <f>SUM(F14:F17)</f>
        <v>590</v>
      </c>
      <c r="G18" s="283">
        <f>SUM(G14:G17)</f>
        <v>20397.5</v>
      </c>
      <c r="H18" s="269"/>
      <c r="I18" s="283">
        <f>SUM(I16:I17)</f>
        <v>0</v>
      </c>
      <c r="J18" s="261">
        <f>SUM(J16:J17)</f>
        <v>0</v>
      </c>
      <c r="K18" s="519"/>
      <c r="L18" s="283">
        <f>SUM(L14:L17)</f>
        <v>1061</v>
      </c>
      <c r="M18" s="267">
        <f>SUM(M14:M17)</f>
        <v>32016.1</v>
      </c>
    </row>
    <row r="19" spans="1:13">
      <c r="A19" s="513" t="s">
        <v>907</v>
      </c>
      <c r="B19" s="514" t="s">
        <v>379</v>
      </c>
      <c r="C19" s="263">
        <v>1062</v>
      </c>
      <c r="D19" s="284">
        <v>34690.699999999997</v>
      </c>
      <c r="E19" s="525"/>
      <c r="F19" s="273"/>
      <c r="G19" s="153"/>
      <c r="H19" s="276"/>
      <c r="I19" s="10"/>
      <c r="J19" s="274"/>
      <c r="K19" s="141"/>
      <c r="L19" s="151"/>
      <c r="M19" s="262"/>
    </row>
    <row r="20" spans="1:13">
      <c r="A20" s="513" t="s">
        <v>1277</v>
      </c>
      <c r="B20" s="526"/>
      <c r="C20" s="151"/>
      <c r="D20" s="284"/>
      <c r="E20" s="515"/>
      <c r="F20" s="264"/>
      <c r="G20" s="181"/>
      <c r="H20" s="141"/>
      <c r="I20" s="151"/>
      <c r="J20" s="181"/>
      <c r="K20" s="140" t="s">
        <v>377</v>
      </c>
      <c r="L20" s="263">
        <v>1041</v>
      </c>
      <c r="M20" s="262">
        <v>33296.9</v>
      </c>
    </row>
    <row r="21" spans="1:13">
      <c r="A21" s="513" t="s">
        <v>911</v>
      </c>
      <c r="B21" s="514"/>
      <c r="C21" s="263"/>
      <c r="D21" s="284"/>
      <c r="E21" s="515"/>
      <c r="F21" s="264"/>
      <c r="G21" s="181"/>
      <c r="H21" s="140" t="s">
        <v>376</v>
      </c>
      <c r="I21" s="151">
        <v>182</v>
      </c>
      <c r="J21" s="265">
        <v>6523</v>
      </c>
      <c r="K21" s="141"/>
      <c r="L21" s="151"/>
      <c r="M21" s="262"/>
    </row>
    <row r="22" spans="1:13">
      <c r="A22" s="513" t="s">
        <v>914</v>
      </c>
      <c r="B22" s="514" t="s">
        <v>380</v>
      </c>
      <c r="C22" s="263">
        <v>1061</v>
      </c>
      <c r="D22" s="284">
        <v>34596.800000000003</v>
      </c>
      <c r="E22" s="515"/>
      <c r="F22" s="264"/>
      <c r="G22" s="181"/>
      <c r="H22" s="140"/>
      <c r="I22" s="263"/>
      <c r="J22" s="181"/>
      <c r="K22" s="140"/>
      <c r="L22" s="263"/>
      <c r="M22" s="262"/>
    </row>
    <row r="23" spans="1:13">
      <c r="A23" s="513" t="s">
        <v>921</v>
      </c>
      <c r="B23" s="514" t="s">
        <v>381</v>
      </c>
      <c r="C23" s="263">
        <v>1072</v>
      </c>
      <c r="D23" s="284">
        <v>36726.6</v>
      </c>
      <c r="E23" s="515"/>
      <c r="F23" s="264"/>
      <c r="G23" s="181"/>
      <c r="H23" s="141"/>
      <c r="I23" s="151"/>
      <c r="J23" s="181"/>
      <c r="K23" s="140"/>
      <c r="L23" s="263"/>
      <c r="M23" s="275"/>
    </row>
    <row r="24" spans="1:13">
      <c r="A24" s="513" t="s">
        <v>923</v>
      </c>
      <c r="B24" s="514"/>
      <c r="C24" s="263"/>
      <c r="D24" s="284"/>
      <c r="E24" s="515"/>
      <c r="F24" s="264"/>
      <c r="G24" s="181"/>
      <c r="H24" s="140" t="s">
        <v>377</v>
      </c>
      <c r="I24" s="151">
        <v>487</v>
      </c>
      <c r="J24" s="181">
        <v>14353.3</v>
      </c>
      <c r="K24" s="140"/>
      <c r="L24" s="263"/>
      <c r="M24" s="275"/>
    </row>
    <row r="25" spans="1:13">
      <c r="A25" s="517" t="s">
        <v>1278</v>
      </c>
      <c r="B25" s="518"/>
      <c r="C25" s="283">
        <f>SUM(C19:C24)</f>
        <v>3195</v>
      </c>
      <c r="D25" s="286">
        <f>SUM(D19:D24)</f>
        <v>106014.1</v>
      </c>
      <c r="E25" s="519"/>
      <c r="F25" s="283">
        <f>SUM(F19:F24)</f>
        <v>0</v>
      </c>
      <c r="G25" s="261">
        <f>SUM(G19:G24)</f>
        <v>0</v>
      </c>
      <c r="H25" s="269"/>
      <c r="I25" s="283">
        <f>SUM(I19:I24)</f>
        <v>669</v>
      </c>
      <c r="J25" s="261">
        <f>SUM(J19:J24)</f>
        <v>20876.3</v>
      </c>
      <c r="K25" s="519"/>
      <c r="L25" s="283">
        <f>SUM(L19:L24)</f>
        <v>1041</v>
      </c>
      <c r="M25" s="267">
        <f>SUM(M19:M24)</f>
        <v>33296.9</v>
      </c>
    </row>
    <row r="26" spans="1:13">
      <c r="A26" s="513" t="s">
        <v>926</v>
      </c>
      <c r="B26" s="526"/>
      <c r="C26" s="151"/>
      <c r="D26" s="284"/>
      <c r="E26" s="515"/>
      <c r="F26" s="264"/>
      <c r="G26" s="181"/>
      <c r="H26" s="141"/>
      <c r="I26" s="151"/>
      <c r="J26" s="181"/>
      <c r="K26" s="140" t="s">
        <v>378</v>
      </c>
      <c r="L26" s="263">
        <v>1058</v>
      </c>
      <c r="M26" s="262">
        <v>34033.9</v>
      </c>
    </row>
    <row r="27" spans="1:13">
      <c r="A27" s="513" t="s">
        <v>932</v>
      </c>
      <c r="B27" s="514" t="s">
        <v>382</v>
      </c>
      <c r="C27" s="151">
        <v>1073</v>
      </c>
      <c r="D27" s="284">
        <v>34193.699999999997</v>
      </c>
      <c r="E27" s="515"/>
      <c r="F27" s="264"/>
      <c r="G27" s="181"/>
      <c r="H27" s="141"/>
      <c r="I27" s="151"/>
      <c r="J27" s="181"/>
      <c r="K27" s="140"/>
      <c r="L27" s="263"/>
      <c r="M27" s="262"/>
    </row>
    <row r="28" spans="1:13">
      <c r="A28" s="513" t="s">
        <v>939</v>
      </c>
      <c r="B28" s="526"/>
      <c r="C28" s="151"/>
      <c r="D28" s="284"/>
      <c r="E28" s="515"/>
      <c r="F28" s="264"/>
      <c r="G28" s="181"/>
      <c r="H28" s="141"/>
      <c r="I28" s="151"/>
      <c r="J28" s="181"/>
      <c r="K28" s="140" t="s">
        <v>379</v>
      </c>
      <c r="L28" s="263">
        <v>1065</v>
      </c>
      <c r="M28" s="262">
        <v>34324.199999999997</v>
      </c>
    </row>
    <row r="29" spans="1:13">
      <c r="A29" s="513" t="s">
        <v>1279</v>
      </c>
      <c r="B29" s="514" t="s">
        <v>383</v>
      </c>
      <c r="C29" s="151">
        <v>1084</v>
      </c>
      <c r="D29" s="284">
        <v>35133.9</v>
      </c>
      <c r="E29" s="515"/>
      <c r="F29" s="264"/>
      <c r="G29" s="181"/>
      <c r="H29" s="141"/>
      <c r="I29" s="151"/>
      <c r="J29" s="181"/>
      <c r="K29" s="140"/>
      <c r="L29" s="263"/>
      <c r="M29" s="262"/>
    </row>
    <row r="30" spans="1:13">
      <c r="A30" s="513" t="s">
        <v>944</v>
      </c>
      <c r="B30" s="526"/>
      <c r="C30" s="151"/>
      <c r="D30" s="284"/>
      <c r="E30" s="515"/>
      <c r="F30" s="264"/>
      <c r="G30" s="181"/>
      <c r="H30" s="140" t="s">
        <v>378</v>
      </c>
      <c r="I30" s="151">
        <v>585</v>
      </c>
      <c r="J30" s="181">
        <v>19084.2</v>
      </c>
      <c r="K30" s="140"/>
      <c r="L30" s="263"/>
      <c r="M30" s="262"/>
    </row>
    <row r="31" spans="1:13">
      <c r="A31" s="513" t="s">
        <v>947</v>
      </c>
      <c r="B31" s="514">
        <v>10</v>
      </c>
      <c r="C31" s="263">
        <v>1080</v>
      </c>
      <c r="D31" s="284">
        <v>36010.1</v>
      </c>
      <c r="E31" s="515"/>
      <c r="F31" s="264"/>
      <c r="G31" s="181"/>
      <c r="H31" s="141"/>
      <c r="I31" s="151"/>
      <c r="J31" s="181"/>
      <c r="K31" s="140"/>
      <c r="L31" s="263"/>
      <c r="M31" s="262"/>
    </row>
    <row r="32" spans="1:13">
      <c r="A32" s="517" t="s">
        <v>1280</v>
      </c>
      <c r="B32" s="518"/>
      <c r="C32" s="283">
        <f>SUM(C26:C31)</f>
        <v>3237</v>
      </c>
      <c r="D32" s="286">
        <f>SUM(D26:D31)</f>
        <v>105337.70000000001</v>
      </c>
      <c r="E32" s="519"/>
      <c r="F32" s="283">
        <f>SUM(F26:F31)</f>
        <v>0</v>
      </c>
      <c r="G32" s="261">
        <f>SUM((G26:G31))</f>
        <v>0</v>
      </c>
      <c r="H32" s="269"/>
      <c r="I32" s="283">
        <f>SUM(I26:I31)</f>
        <v>585</v>
      </c>
      <c r="J32" s="261">
        <f>SUM(J26:J31)</f>
        <v>19084.2</v>
      </c>
      <c r="K32" s="519"/>
      <c r="L32" s="283">
        <f>SUM(L26:L31)</f>
        <v>2123</v>
      </c>
      <c r="M32" s="267">
        <f>SUM(M26:M31)</f>
        <v>68358.100000000006</v>
      </c>
    </row>
    <row r="33" spans="1:13">
      <c r="A33" s="513" t="s">
        <v>951</v>
      </c>
      <c r="B33" s="526"/>
      <c r="C33" s="151"/>
      <c r="D33" s="284"/>
      <c r="E33" s="516" t="s">
        <v>376</v>
      </c>
      <c r="F33" s="264">
        <v>600</v>
      </c>
      <c r="G33" s="181">
        <v>21074.2</v>
      </c>
      <c r="H33" s="140"/>
      <c r="I33" s="263"/>
      <c r="J33" s="265"/>
      <c r="K33" s="140"/>
      <c r="L33" s="151"/>
      <c r="M33" s="262"/>
    </row>
    <row r="34" spans="1:13">
      <c r="A34" s="513" t="s">
        <v>954</v>
      </c>
      <c r="B34" s="526"/>
      <c r="C34" s="151"/>
      <c r="D34" s="284"/>
      <c r="E34" s="515"/>
      <c r="F34" s="264"/>
      <c r="G34" s="181"/>
      <c r="H34" s="141"/>
      <c r="I34" s="151"/>
      <c r="J34" s="181"/>
      <c r="K34" s="140" t="s">
        <v>380</v>
      </c>
      <c r="L34" s="263">
        <v>1068</v>
      </c>
      <c r="M34" s="262">
        <v>34019.4</v>
      </c>
    </row>
    <row r="35" spans="1:13">
      <c r="A35" s="513" t="s">
        <v>956</v>
      </c>
      <c r="B35" s="526">
        <v>11</v>
      </c>
      <c r="C35" s="151">
        <v>1083</v>
      </c>
      <c r="D35" s="284">
        <v>36115.599999999999</v>
      </c>
      <c r="E35" s="515"/>
      <c r="F35" s="264"/>
      <c r="G35" s="181"/>
      <c r="H35" s="141"/>
      <c r="I35" s="151"/>
      <c r="J35" s="181"/>
      <c r="K35" s="141"/>
      <c r="L35" s="151"/>
      <c r="M35" s="262"/>
    </row>
    <row r="36" spans="1:13">
      <c r="A36" s="513" t="s">
        <v>967</v>
      </c>
      <c r="B36" s="526">
        <v>12</v>
      </c>
      <c r="C36" s="151">
        <v>1116</v>
      </c>
      <c r="D36" s="284">
        <v>37697.4</v>
      </c>
      <c r="E36" s="515"/>
      <c r="F36" s="264"/>
      <c r="G36" s="181"/>
      <c r="H36" s="141"/>
      <c r="I36" s="151"/>
      <c r="J36" s="181"/>
      <c r="K36" s="141"/>
      <c r="L36" s="151"/>
      <c r="M36" s="262"/>
    </row>
    <row r="37" spans="1:13">
      <c r="A37" s="513" t="s">
        <v>1114</v>
      </c>
      <c r="B37" s="526"/>
      <c r="C37" s="151"/>
      <c r="D37" s="284"/>
      <c r="E37" s="515"/>
      <c r="F37" s="264"/>
      <c r="G37" s="181"/>
      <c r="H37" s="141"/>
      <c r="I37" s="151"/>
      <c r="J37" s="181"/>
      <c r="K37" s="140" t="s">
        <v>381</v>
      </c>
      <c r="L37" s="151">
        <v>1070</v>
      </c>
      <c r="M37" s="262">
        <v>35737.1</v>
      </c>
    </row>
    <row r="38" spans="1:13">
      <c r="A38" s="517" t="s">
        <v>1281</v>
      </c>
      <c r="B38" s="518"/>
      <c r="C38" s="283">
        <f>SUM(C33:C37)</f>
        <v>2199</v>
      </c>
      <c r="D38" s="286">
        <f>SUM(D33:D37)</f>
        <v>73813</v>
      </c>
      <c r="E38" s="519"/>
      <c r="F38" s="283">
        <f>SUM(F33:F37)</f>
        <v>600</v>
      </c>
      <c r="G38" s="286">
        <f>SUM(G33:G37)</f>
        <v>21074.2</v>
      </c>
      <c r="H38" s="269"/>
      <c r="I38" s="283">
        <f>SUM(I33:I37)</f>
        <v>0</v>
      </c>
      <c r="J38" s="261">
        <f>SUM(J33:J37)</f>
        <v>0</v>
      </c>
      <c r="K38" s="519"/>
      <c r="L38" s="283">
        <f>SUM(L33:L37)</f>
        <v>2138</v>
      </c>
      <c r="M38" s="267">
        <f>SUM(M33:M37)</f>
        <v>69756.5</v>
      </c>
    </row>
    <row r="39" spans="1:13">
      <c r="A39" s="513" t="s">
        <v>1282</v>
      </c>
      <c r="B39" s="526">
        <v>13</v>
      </c>
      <c r="C39" s="151">
        <v>1074</v>
      </c>
      <c r="D39" s="284">
        <v>35516.5</v>
      </c>
      <c r="E39" s="515"/>
      <c r="F39" s="264"/>
      <c r="G39" s="181"/>
      <c r="H39" s="141"/>
      <c r="I39" s="151"/>
      <c r="J39" s="181"/>
      <c r="K39" s="141"/>
      <c r="L39" s="151"/>
      <c r="M39" s="262"/>
    </row>
    <row r="40" spans="1:13">
      <c r="A40" s="513" t="s">
        <v>975</v>
      </c>
      <c r="B40" s="526"/>
      <c r="C40" s="151"/>
      <c r="D40" s="284"/>
      <c r="E40" s="515"/>
      <c r="F40" s="264"/>
      <c r="G40" s="181"/>
      <c r="H40" s="140" t="s">
        <v>379</v>
      </c>
      <c r="I40" s="151">
        <v>330</v>
      </c>
      <c r="J40" s="181">
        <v>11230.1</v>
      </c>
      <c r="K40" s="140"/>
      <c r="L40" s="151"/>
      <c r="M40" s="262"/>
    </row>
    <row r="41" spans="1:13">
      <c r="A41" s="513" t="s">
        <v>1135</v>
      </c>
      <c r="B41" s="526"/>
      <c r="C41" s="151"/>
      <c r="D41" s="284"/>
      <c r="E41" s="515"/>
      <c r="F41" s="264"/>
      <c r="G41" s="181"/>
      <c r="H41" s="141"/>
      <c r="I41" s="151"/>
      <c r="J41" s="181"/>
      <c r="K41" s="140" t="s">
        <v>382</v>
      </c>
      <c r="L41" s="151">
        <v>1010</v>
      </c>
      <c r="M41" s="262">
        <v>31089.8</v>
      </c>
    </row>
    <row r="42" spans="1:13">
      <c r="A42" s="513" t="s">
        <v>978</v>
      </c>
      <c r="B42" s="526">
        <v>14</v>
      </c>
      <c r="C42" s="151">
        <v>1100</v>
      </c>
      <c r="D42" s="284">
        <v>35742.1</v>
      </c>
      <c r="E42" s="515"/>
      <c r="F42" s="264"/>
      <c r="G42" s="181"/>
      <c r="H42" s="140"/>
      <c r="I42" s="151"/>
      <c r="J42" s="181"/>
      <c r="K42" s="140"/>
      <c r="L42" s="151"/>
      <c r="M42" s="262"/>
    </row>
    <row r="43" spans="1:13">
      <c r="A43" s="517" t="s">
        <v>1283</v>
      </c>
      <c r="B43" s="518"/>
      <c r="C43" s="283">
        <f>SUM(C39:C42)</f>
        <v>2174</v>
      </c>
      <c r="D43" s="286">
        <f>SUM(D39:D42)</f>
        <v>71258.600000000006</v>
      </c>
      <c r="E43" s="519"/>
      <c r="F43" s="283">
        <f>SUM(F39:F42)</f>
        <v>0</v>
      </c>
      <c r="G43" s="261">
        <f>SUM(G39:G42)</f>
        <v>0</v>
      </c>
      <c r="H43" s="269"/>
      <c r="I43" s="283">
        <f>SUM(I39:I42)</f>
        <v>330</v>
      </c>
      <c r="J43" s="261">
        <f>SUM(J39:J42)</f>
        <v>11230.1</v>
      </c>
      <c r="K43" s="519"/>
      <c r="L43" s="283">
        <f>SUM(L39:L42)</f>
        <v>1010</v>
      </c>
      <c r="M43" s="267">
        <f>SUM(M39:M42)</f>
        <v>31089.8</v>
      </c>
    </row>
    <row r="44" spans="1:13">
      <c r="A44" s="513" t="s">
        <v>1284</v>
      </c>
      <c r="B44" s="526">
        <v>15</v>
      </c>
      <c r="C44" s="151">
        <v>1101</v>
      </c>
      <c r="D44" s="284">
        <v>35634.699999999997</v>
      </c>
      <c r="E44" s="515"/>
      <c r="F44" s="264"/>
      <c r="G44" s="181"/>
      <c r="H44" s="141"/>
      <c r="I44" s="151"/>
      <c r="J44" s="181"/>
      <c r="K44" s="141"/>
      <c r="L44" s="151"/>
      <c r="M44" s="262"/>
    </row>
    <row r="45" spans="1:13">
      <c r="A45" s="513" t="s">
        <v>1146</v>
      </c>
      <c r="B45" s="526"/>
      <c r="C45" s="151"/>
      <c r="D45" s="284"/>
      <c r="E45" s="515"/>
      <c r="F45" s="264"/>
      <c r="G45" s="181"/>
      <c r="H45" s="140" t="s">
        <v>380</v>
      </c>
      <c r="I45" s="151">
        <v>533</v>
      </c>
      <c r="J45" s="181">
        <v>19069.400000000001</v>
      </c>
      <c r="K45" s="140"/>
      <c r="L45" s="263"/>
      <c r="M45" s="262"/>
    </row>
    <row r="46" spans="1:13">
      <c r="A46" s="513" t="s">
        <v>1148</v>
      </c>
      <c r="B46" s="526"/>
      <c r="C46" s="151"/>
      <c r="D46" s="284"/>
      <c r="E46" s="515"/>
      <c r="F46" s="264"/>
      <c r="G46" s="181"/>
      <c r="H46" s="141"/>
      <c r="I46" s="151"/>
      <c r="J46" s="181"/>
      <c r="K46" s="140" t="s">
        <v>383</v>
      </c>
      <c r="L46" s="263">
        <v>1087</v>
      </c>
      <c r="M46" s="262">
        <v>32448.400000000001</v>
      </c>
    </row>
    <row r="47" spans="1:13">
      <c r="A47" s="517" t="s">
        <v>1285</v>
      </c>
      <c r="B47" s="518"/>
      <c r="C47" s="283">
        <f>SUM(C44:C46)</f>
        <v>1101</v>
      </c>
      <c r="D47" s="286">
        <f>SUM(D44:D46)</f>
        <v>35634.699999999997</v>
      </c>
      <c r="E47" s="519"/>
      <c r="F47" s="283">
        <f>SUM(F44:F46)</f>
        <v>0</v>
      </c>
      <c r="G47" s="261">
        <f>SUM(G44:G46)</f>
        <v>0</v>
      </c>
      <c r="H47" s="269"/>
      <c r="I47" s="283">
        <f>SUM(I44:I46)</f>
        <v>533</v>
      </c>
      <c r="J47" s="261">
        <f>SUM(J44:J46)</f>
        <v>19069.400000000001</v>
      </c>
      <c r="K47" s="519"/>
      <c r="L47" s="283">
        <f>SUM(L44:L46)</f>
        <v>1087</v>
      </c>
      <c r="M47" s="267">
        <f>SUM(M44:M46)</f>
        <v>32448.400000000001</v>
      </c>
    </row>
    <row r="48" spans="1:13">
      <c r="A48" s="513" t="s">
        <v>1002</v>
      </c>
      <c r="B48" s="526">
        <v>16</v>
      </c>
      <c r="C48" s="151">
        <v>1114</v>
      </c>
      <c r="D48" s="284">
        <v>35267.4</v>
      </c>
      <c r="E48" s="515"/>
      <c r="F48" s="264"/>
      <c r="G48" s="181"/>
      <c r="H48" s="141"/>
      <c r="I48" s="151"/>
      <c r="J48" s="181"/>
      <c r="K48" s="141"/>
      <c r="L48" s="151"/>
      <c r="M48" s="262"/>
    </row>
    <row r="49" spans="1:13">
      <c r="A49" s="513" t="s">
        <v>1006</v>
      </c>
      <c r="B49" s="526"/>
      <c r="C49" s="151"/>
      <c r="D49" s="284"/>
      <c r="E49" s="515"/>
      <c r="F49" s="264"/>
      <c r="G49" s="181"/>
      <c r="H49" s="140"/>
      <c r="I49" s="263"/>
      <c r="J49" s="181"/>
      <c r="K49" s="141">
        <v>10</v>
      </c>
      <c r="L49" s="151">
        <v>1053</v>
      </c>
      <c r="M49" s="262">
        <v>31719.8</v>
      </c>
    </row>
    <row r="50" spans="1:13">
      <c r="A50" s="513" t="s">
        <v>1156</v>
      </c>
      <c r="B50" s="526"/>
      <c r="C50" s="151"/>
      <c r="D50" s="284"/>
      <c r="E50" s="516" t="s">
        <v>377</v>
      </c>
      <c r="F50" s="266">
        <v>550</v>
      </c>
      <c r="G50" s="265">
        <v>19093.599999999999</v>
      </c>
      <c r="H50" s="141"/>
      <c r="I50" s="151"/>
      <c r="J50" s="181"/>
      <c r="K50" s="141"/>
      <c r="L50" s="151"/>
      <c r="M50" s="262"/>
    </row>
    <row r="51" spans="1:13">
      <c r="A51" s="513" t="s">
        <v>1010</v>
      </c>
      <c r="B51" s="526">
        <v>17</v>
      </c>
      <c r="C51" s="151">
        <v>1059</v>
      </c>
      <c r="D51" s="284">
        <v>35372.1</v>
      </c>
      <c r="E51" s="516"/>
      <c r="F51" s="266"/>
      <c r="G51" s="180"/>
      <c r="H51" s="141"/>
      <c r="I51" s="151"/>
      <c r="J51" s="181"/>
      <c r="K51" s="141"/>
      <c r="L51" s="151"/>
      <c r="M51" s="262"/>
    </row>
    <row r="52" spans="1:13">
      <c r="A52" s="513" t="s">
        <v>1016</v>
      </c>
      <c r="B52" s="526"/>
      <c r="C52" s="151"/>
      <c r="D52" s="284"/>
      <c r="E52" s="516"/>
      <c r="F52" s="266"/>
      <c r="G52" s="180"/>
      <c r="H52" s="141"/>
      <c r="I52" s="151"/>
      <c r="J52" s="181"/>
      <c r="K52" s="141">
        <v>11</v>
      </c>
      <c r="L52" s="151">
        <v>1044</v>
      </c>
      <c r="M52" s="262">
        <v>34247.300000000003</v>
      </c>
    </row>
    <row r="53" spans="1:13">
      <c r="A53" s="513" t="s">
        <v>1020</v>
      </c>
      <c r="B53" s="526">
        <v>18</v>
      </c>
      <c r="C53" s="151">
        <v>1058</v>
      </c>
      <c r="D53" s="284">
        <v>35580.1</v>
      </c>
      <c r="E53" s="516"/>
      <c r="F53" s="266"/>
      <c r="G53" s="180"/>
      <c r="H53" s="141"/>
      <c r="I53" s="151"/>
      <c r="J53" s="181"/>
      <c r="K53" s="141"/>
      <c r="L53" s="151"/>
      <c r="M53" s="262"/>
    </row>
    <row r="54" spans="1:13">
      <c r="A54" s="517" t="s">
        <v>1286</v>
      </c>
      <c r="B54" s="518"/>
      <c r="C54" s="283">
        <f>SUM(C48:C53)</f>
        <v>3231</v>
      </c>
      <c r="D54" s="286">
        <f>SUM(D48:D53)</f>
        <v>106219.6</v>
      </c>
      <c r="E54" s="519"/>
      <c r="F54" s="283">
        <f>SUM(F48:F53)</f>
        <v>550</v>
      </c>
      <c r="G54" s="261">
        <f>SUM(G48:G53)</f>
        <v>19093.599999999999</v>
      </c>
      <c r="H54" s="269"/>
      <c r="I54" s="283">
        <f>SUM(I48:I53)</f>
        <v>0</v>
      </c>
      <c r="J54" s="270">
        <f>SUM(J48:J53)</f>
        <v>0</v>
      </c>
      <c r="K54" s="269"/>
      <c r="L54" s="283">
        <f>SUM(L48:L53)</f>
        <v>2097</v>
      </c>
      <c r="M54" s="267">
        <f>SUM(M48:M53)</f>
        <v>65967.100000000006</v>
      </c>
    </row>
    <row r="55" spans="1:13">
      <c r="A55" s="513" t="s">
        <v>1166</v>
      </c>
      <c r="B55" s="526"/>
      <c r="C55" s="151"/>
      <c r="D55" s="284"/>
      <c r="E55" s="515"/>
      <c r="F55" s="264"/>
      <c r="G55" s="181"/>
      <c r="H55" s="140" t="s">
        <v>381</v>
      </c>
      <c r="I55" s="151">
        <v>498</v>
      </c>
      <c r="J55" s="181">
        <v>17047.099999999999</v>
      </c>
      <c r="K55" s="141"/>
      <c r="L55" s="151"/>
      <c r="M55" s="262"/>
    </row>
    <row r="56" spans="1:13">
      <c r="A56" s="513" t="s">
        <v>1287</v>
      </c>
      <c r="B56" s="526">
        <v>19</v>
      </c>
      <c r="C56" s="151">
        <v>1075</v>
      </c>
      <c r="D56" s="284">
        <v>33664.800000000003</v>
      </c>
      <c r="E56" s="515"/>
      <c r="F56" s="264"/>
      <c r="G56" s="181"/>
      <c r="H56" s="141"/>
      <c r="I56" s="151"/>
      <c r="J56" s="181"/>
      <c r="K56" s="141"/>
      <c r="L56" s="151"/>
      <c r="M56" s="262"/>
    </row>
    <row r="57" spans="1:13">
      <c r="A57" s="513" t="s">
        <v>1288</v>
      </c>
      <c r="B57" s="526"/>
      <c r="C57" s="151"/>
      <c r="D57" s="285"/>
      <c r="E57" s="515"/>
      <c r="F57" s="264"/>
      <c r="G57" s="180"/>
      <c r="H57" s="141"/>
      <c r="I57" s="151"/>
      <c r="J57" s="181"/>
      <c r="K57" s="141">
        <v>12</v>
      </c>
      <c r="L57" s="151">
        <v>1085</v>
      </c>
      <c r="M57" s="262">
        <v>34626.6</v>
      </c>
    </row>
    <row r="58" spans="1:13">
      <c r="A58" s="513" t="s">
        <v>1035</v>
      </c>
      <c r="B58" s="526">
        <v>20</v>
      </c>
      <c r="C58" s="151">
        <v>1056</v>
      </c>
      <c r="D58" s="284">
        <v>34912.800000000003</v>
      </c>
      <c r="E58" s="527"/>
      <c r="F58" s="268"/>
      <c r="G58" s="181"/>
      <c r="H58" s="141"/>
      <c r="I58" s="151"/>
      <c r="J58" s="181"/>
      <c r="K58" s="141"/>
      <c r="L58" s="151"/>
      <c r="M58" s="262"/>
    </row>
    <row r="59" spans="1:13">
      <c r="A59" s="517" t="s">
        <v>1289</v>
      </c>
      <c r="B59" s="518"/>
      <c r="C59" s="283">
        <f>SUM(C55:C58)</f>
        <v>2131</v>
      </c>
      <c r="D59" s="286">
        <f>SUM(D55:D58)</f>
        <v>68577.600000000006</v>
      </c>
      <c r="E59" s="519"/>
      <c r="F59" s="283">
        <f>SUM(F55:F58)</f>
        <v>0</v>
      </c>
      <c r="G59" s="261">
        <f>SUM(G55:G58)</f>
        <v>0</v>
      </c>
      <c r="H59" s="269"/>
      <c r="I59" s="283">
        <f>SUM(I55:I58)</f>
        <v>498</v>
      </c>
      <c r="J59" s="261">
        <f>SUM(J55:J58)</f>
        <v>17047.099999999999</v>
      </c>
      <c r="K59" s="269"/>
      <c r="L59" s="283">
        <f>SUM(L55:L58)</f>
        <v>1085</v>
      </c>
      <c r="M59" s="267">
        <f>SUM(M55:M58)</f>
        <v>34626.6</v>
      </c>
    </row>
    <row r="60" spans="1:13">
      <c r="A60" s="513" t="s">
        <v>1254</v>
      </c>
      <c r="B60" s="526"/>
      <c r="C60" s="151"/>
      <c r="D60" s="284"/>
      <c r="E60" s="525"/>
      <c r="F60" s="273"/>
      <c r="G60" s="153"/>
      <c r="H60" s="276"/>
      <c r="I60" s="10"/>
      <c r="J60" s="153"/>
      <c r="K60" s="141">
        <v>13</v>
      </c>
      <c r="L60" s="151">
        <v>1047</v>
      </c>
      <c r="M60" s="262">
        <v>32520.6</v>
      </c>
    </row>
    <row r="61" spans="1:13">
      <c r="A61" s="513" t="s">
        <v>1255</v>
      </c>
      <c r="B61" s="526">
        <v>21</v>
      </c>
      <c r="C61" s="151">
        <v>1072</v>
      </c>
      <c r="D61" s="284">
        <v>35452</v>
      </c>
      <c r="E61" s="522"/>
      <c r="F61" s="48"/>
      <c r="G61" s="274"/>
      <c r="H61" s="271"/>
      <c r="I61" s="272"/>
      <c r="J61" s="153"/>
      <c r="K61" s="141"/>
      <c r="L61" s="151"/>
      <c r="M61" s="262"/>
    </row>
    <row r="62" spans="1:13">
      <c r="A62" s="517" t="s">
        <v>1290</v>
      </c>
      <c r="B62" s="518"/>
      <c r="C62" s="283">
        <f>SUM(C60:C61)</f>
        <v>1072</v>
      </c>
      <c r="D62" s="286">
        <f>SUM(D60:D61)</f>
        <v>35452</v>
      </c>
      <c r="E62" s="519"/>
      <c r="F62" s="283">
        <f>SUM(F60:F61)</f>
        <v>0</v>
      </c>
      <c r="G62" s="261">
        <f>SUM(G60:G61)</f>
        <v>0</v>
      </c>
      <c r="H62" s="269"/>
      <c r="I62" s="283">
        <f>SUM(I60:I61)</f>
        <v>0</v>
      </c>
      <c r="J62" s="261">
        <f>SUM(J60:J61)</f>
        <v>0</v>
      </c>
      <c r="K62" s="269"/>
      <c r="L62" s="283">
        <f>SUM(L60:L61)</f>
        <v>1047</v>
      </c>
      <c r="M62" s="267">
        <f>SUM(M60:M61)</f>
        <v>32520.6</v>
      </c>
    </row>
    <row r="63" spans="1:13">
      <c r="A63" s="513" t="s">
        <v>1261</v>
      </c>
      <c r="B63" s="528">
        <v>22</v>
      </c>
      <c r="C63" s="10">
        <v>1073</v>
      </c>
      <c r="D63" s="285">
        <v>36274.699999999997</v>
      </c>
      <c r="E63" s="515"/>
      <c r="F63" s="264"/>
      <c r="G63" s="181"/>
      <c r="H63" s="141"/>
      <c r="I63" s="151"/>
      <c r="J63" s="181"/>
      <c r="K63" s="141"/>
      <c r="L63" s="151"/>
      <c r="M63" s="262"/>
    </row>
    <row r="64" spans="1:13">
      <c r="A64" s="513" t="s">
        <v>1190</v>
      </c>
      <c r="B64" s="528"/>
      <c r="C64" s="10"/>
      <c r="D64" s="285"/>
      <c r="E64" s="516" t="s">
        <v>378</v>
      </c>
      <c r="F64" s="264">
        <v>300</v>
      </c>
      <c r="G64" s="180">
        <v>9990</v>
      </c>
      <c r="H64" s="141"/>
      <c r="I64" s="151"/>
      <c r="J64" s="181"/>
      <c r="K64" s="141"/>
      <c r="L64" s="151"/>
      <c r="M64" s="262"/>
    </row>
    <row r="65" spans="1:13">
      <c r="A65" s="513" t="s">
        <v>1265</v>
      </c>
      <c r="B65" s="528"/>
      <c r="C65" s="10"/>
      <c r="D65" s="285"/>
      <c r="E65" s="515"/>
      <c r="F65" s="264"/>
      <c r="G65" s="181"/>
      <c r="H65" s="141"/>
      <c r="I65" s="151"/>
      <c r="J65" s="181"/>
      <c r="K65" s="141">
        <v>14</v>
      </c>
      <c r="L65" s="151">
        <v>1059</v>
      </c>
      <c r="M65" s="262">
        <v>32972.300000000003</v>
      </c>
    </row>
    <row r="66" spans="1:13">
      <c r="A66" s="513" t="s">
        <v>2113</v>
      </c>
      <c r="B66" s="528"/>
      <c r="C66" s="10"/>
      <c r="D66" s="285"/>
      <c r="E66" s="515"/>
      <c r="F66" s="264"/>
      <c r="G66" s="181"/>
      <c r="H66" s="140" t="s">
        <v>382</v>
      </c>
      <c r="I66" s="151">
        <v>488</v>
      </c>
      <c r="J66" s="181">
        <v>15538.5</v>
      </c>
      <c r="K66" s="141"/>
      <c r="L66" s="151"/>
      <c r="M66" s="262"/>
    </row>
    <row r="67" spans="1:13">
      <c r="A67" s="513"/>
      <c r="B67" s="526"/>
      <c r="C67" s="151"/>
      <c r="D67" s="284"/>
      <c r="E67" s="515"/>
      <c r="F67" s="264"/>
      <c r="G67" s="181"/>
      <c r="H67" s="141"/>
      <c r="I67" s="151"/>
      <c r="J67" s="181"/>
      <c r="K67" s="141"/>
      <c r="L67" s="151"/>
      <c r="M67" s="262"/>
    </row>
    <row r="68" spans="1:13" ht="15.75" thickBot="1">
      <c r="A68" s="540" t="s">
        <v>1291</v>
      </c>
      <c r="B68" s="541"/>
      <c r="C68" s="529">
        <f>SUM(C63:C67)</f>
        <v>1073</v>
      </c>
      <c r="D68" s="530">
        <f>SUM(D63:D67)</f>
        <v>36274.699999999997</v>
      </c>
      <c r="E68" s="542"/>
      <c r="F68" s="529">
        <f>SUM(F63:F67)</f>
        <v>300</v>
      </c>
      <c r="G68" s="543">
        <f>SUM(G63:G67)</f>
        <v>9990</v>
      </c>
      <c r="H68" s="544"/>
      <c r="I68" s="529">
        <f>SUM(I63:I67)</f>
        <v>488</v>
      </c>
      <c r="J68" s="545">
        <f>SUM(J63:J67)</f>
        <v>15538.5</v>
      </c>
      <c r="K68" s="544"/>
      <c r="L68" s="529">
        <f>SUM(L63:L67)</f>
        <v>1059</v>
      </c>
      <c r="M68" s="546">
        <f>SUM(M63:M67)</f>
        <v>32972.300000000003</v>
      </c>
    </row>
    <row r="69" spans="1:13" s="331" customFormat="1" ht="6.75" customHeight="1" thickBot="1">
      <c r="A69" s="547"/>
      <c r="B69" s="548"/>
      <c r="C69" s="549"/>
      <c r="D69" s="550"/>
      <c r="E69" s="551"/>
      <c r="F69" s="549"/>
      <c r="G69" s="154"/>
      <c r="H69" s="228"/>
      <c r="I69" s="549"/>
      <c r="J69" s="552"/>
      <c r="K69" s="553"/>
      <c r="L69" s="549"/>
      <c r="M69" s="554"/>
    </row>
    <row r="70" spans="1:13" ht="15.75" thickBot="1">
      <c r="A70" s="537" t="s">
        <v>48</v>
      </c>
      <c r="B70" s="538"/>
      <c r="C70" s="532">
        <f>C8+C13+C18+C25+C32+C38+C43+C47+C54+C59+C62+C68</f>
        <v>23724</v>
      </c>
      <c r="D70" s="532">
        <f>D8+D13+D18+D25+D32+D38+D43+D47+D54+D59+D62+D68</f>
        <v>779618.19999999984</v>
      </c>
      <c r="E70" s="531"/>
      <c r="F70" s="532">
        <f>F8+F13+F18+F25+F32+F38+F43+F47+F54+F59+F62+F68</f>
        <v>2040</v>
      </c>
      <c r="G70" s="178">
        <f>G8+G13+G18+G25+G32+G38+G43+G47+G54+G59+G62+G68</f>
        <v>70555.299999999988</v>
      </c>
      <c r="H70" s="539"/>
      <c r="I70" s="532">
        <f>I8+I13+I18+I25+I32+I38+I43+I47+I54+I59+I62+I68</f>
        <v>3580</v>
      </c>
      <c r="J70" s="178">
        <f>J8+J13+J18+J25+J32+J38+J43+J47+J54+J59+J62+J68</f>
        <v>119317.40000000002</v>
      </c>
      <c r="K70" s="531"/>
      <c r="L70" s="532">
        <f>L8+L13+L18+L25+L32+L38+L43+L47+L54+L59+L62+L68</f>
        <v>14841</v>
      </c>
      <c r="M70" s="533">
        <f>M8+M13+M18+M25+M32+M38+M43+M47+M54+M59+M62+M68</f>
        <v>465477.99999999994</v>
      </c>
    </row>
  </sheetData>
  <mergeCells count="5">
    <mergeCell ref="K4:M4"/>
    <mergeCell ref="A4:A5"/>
    <mergeCell ref="B4:D4"/>
    <mergeCell ref="E4:G4"/>
    <mergeCell ref="H4:J4"/>
  </mergeCells>
  <pageMargins left="0.42" right="0.21" top="0.75" bottom="0.74" header="0.3" footer="0.3"/>
  <pageSetup orientation="landscape" verticalDpi="300" r:id="rId1"/>
  <headerFooter>
    <oddHeader>&amp;RPage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D22"/>
  <sheetViews>
    <sheetView zoomScale="84" zoomScaleNormal="84" workbookViewId="0">
      <selection activeCell="D16" sqref="D16"/>
    </sheetView>
  </sheetViews>
  <sheetFormatPr defaultRowHeight="15"/>
  <cols>
    <col min="1" max="1" width="37.28515625" style="26" bestFit="1" customWidth="1"/>
    <col min="2" max="3" width="11.5703125" style="26" bestFit="1" customWidth="1"/>
    <col min="4" max="4" width="11.85546875" style="26" bestFit="1" customWidth="1"/>
    <col min="6" max="6" width="10.85546875" bestFit="1" customWidth="1"/>
  </cols>
  <sheetData>
    <row r="1" spans="1:4" ht="23.25">
      <c r="A1" s="723" t="s">
        <v>610</v>
      </c>
      <c r="B1" s="723"/>
      <c r="C1" s="723"/>
      <c r="D1" s="723"/>
    </row>
    <row r="2" spans="1:4">
      <c r="A2" s="724" t="s">
        <v>611</v>
      </c>
      <c r="B2" s="724"/>
      <c r="C2" s="724"/>
      <c r="D2" s="724"/>
    </row>
    <row r="3" spans="1:4">
      <c r="A3" s="725" t="s">
        <v>609</v>
      </c>
      <c r="B3" s="725"/>
      <c r="C3" s="725"/>
      <c r="D3" s="725"/>
    </row>
    <row r="4" spans="1:4" ht="6.75" customHeight="1">
      <c r="A4" s="289"/>
      <c r="B4" s="289"/>
      <c r="C4" s="289"/>
      <c r="D4" s="289"/>
    </row>
    <row r="5" spans="1:4">
      <c r="A5" s="144" t="s">
        <v>1296</v>
      </c>
      <c r="C5" s="724" t="s">
        <v>842</v>
      </c>
      <c r="D5" s="724"/>
    </row>
    <row r="6" spans="1:4" ht="15.75" thickBot="1">
      <c r="A6" s="144"/>
    </row>
    <row r="7" spans="1:4" ht="45.75" thickBot="1">
      <c r="A7" s="166" t="s">
        <v>839</v>
      </c>
      <c r="B7" s="167" t="s">
        <v>1295</v>
      </c>
      <c r="C7" s="290" t="s">
        <v>840</v>
      </c>
      <c r="D7" s="291" t="s">
        <v>841</v>
      </c>
    </row>
    <row r="8" spans="1:4">
      <c r="A8" s="557" t="s">
        <v>220</v>
      </c>
      <c r="B8" s="293">
        <v>96</v>
      </c>
      <c r="C8" s="559"/>
      <c r="D8" s="298">
        <f>B8*C8</f>
        <v>0</v>
      </c>
    </row>
    <row r="9" spans="1:4" ht="15.75" thickBot="1">
      <c r="A9" s="556" t="s">
        <v>221</v>
      </c>
      <c r="B9" s="294">
        <v>24</v>
      </c>
      <c r="C9" s="560"/>
      <c r="D9" s="299">
        <f t="shared" ref="D9:D21" si="0">B9*C9</f>
        <v>0</v>
      </c>
    </row>
    <row r="10" spans="1:4" ht="15.75" thickBot="1">
      <c r="A10" s="555"/>
      <c r="B10" s="295"/>
      <c r="C10" s="561"/>
      <c r="D10" s="298">
        <f t="shared" si="0"/>
        <v>0</v>
      </c>
    </row>
    <row r="11" spans="1:4">
      <c r="A11" s="557" t="s">
        <v>222</v>
      </c>
      <c r="B11" s="567">
        <v>1140</v>
      </c>
      <c r="C11" s="559"/>
      <c r="D11" s="298">
        <f t="shared" si="0"/>
        <v>0</v>
      </c>
    </row>
    <row r="12" spans="1:4">
      <c r="A12" s="558" t="s">
        <v>226</v>
      </c>
      <c r="B12" s="569">
        <v>0</v>
      </c>
      <c r="C12" s="562"/>
      <c r="D12" s="300">
        <f t="shared" si="0"/>
        <v>0</v>
      </c>
    </row>
    <row r="13" spans="1:4">
      <c r="A13" s="558" t="s">
        <v>1293</v>
      </c>
      <c r="B13" s="296">
        <v>1122</v>
      </c>
      <c r="C13" s="563"/>
      <c r="D13" s="300">
        <f t="shared" si="0"/>
        <v>0</v>
      </c>
    </row>
    <row r="14" spans="1:4" ht="15.75" thickBot="1">
      <c r="A14" s="556" t="s">
        <v>1294</v>
      </c>
      <c r="B14" s="570">
        <v>506</v>
      </c>
      <c r="C14" s="560"/>
      <c r="D14" s="571">
        <f t="shared" si="0"/>
        <v>0</v>
      </c>
    </row>
    <row r="15" spans="1:4" ht="15.75" thickBot="1">
      <c r="A15" s="555"/>
      <c r="B15" s="572"/>
      <c r="C15" s="573"/>
      <c r="D15" s="574">
        <f t="shared" si="0"/>
        <v>0</v>
      </c>
    </row>
    <row r="16" spans="1:4">
      <c r="A16" s="557" t="s">
        <v>223</v>
      </c>
      <c r="B16" s="568">
        <v>0</v>
      </c>
      <c r="C16" s="565"/>
      <c r="D16" s="299">
        <f t="shared" si="0"/>
        <v>0</v>
      </c>
    </row>
    <row r="17" spans="1:4">
      <c r="A17" s="558" t="s">
        <v>224</v>
      </c>
      <c r="B17" s="296">
        <v>1176</v>
      </c>
      <c r="C17" s="563"/>
      <c r="D17" s="300">
        <f t="shared" si="0"/>
        <v>0</v>
      </c>
    </row>
    <row r="18" spans="1:4" ht="15.75" thickBot="1">
      <c r="A18" s="556" t="s">
        <v>225</v>
      </c>
      <c r="B18" s="294">
        <v>432</v>
      </c>
      <c r="C18" s="564"/>
      <c r="D18" s="299">
        <f t="shared" si="0"/>
        <v>0</v>
      </c>
    </row>
    <row r="19" spans="1:4" ht="15.75" thickBot="1">
      <c r="A19" s="555"/>
      <c r="B19" s="295"/>
      <c r="C19" s="561"/>
      <c r="D19" s="298">
        <f t="shared" si="0"/>
        <v>0</v>
      </c>
    </row>
    <row r="20" spans="1:4">
      <c r="A20" s="557" t="s">
        <v>227</v>
      </c>
      <c r="B20" s="293">
        <v>420</v>
      </c>
      <c r="C20" s="565"/>
      <c r="D20" s="298">
        <f t="shared" si="0"/>
        <v>0</v>
      </c>
    </row>
    <row r="21" spans="1:4" ht="15.75" thickBot="1">
      <c r="A21" s="556" t="s">
        <v>228</v>
      </c>
      <c r="B21" s="294"/>
      <c r="C21" s="566"/>
      <c r="D21" s="299">
        <f t="shared" si="0"/>
        <v>0</v>
      </c>
    </row>
    <row r="22" spans="1:4" ht="15.75" thickBot="1">
      <c r="A22" s="555" t="s">
        <v>229</v>
      </c>
      <c r="B22" s="297">
        <f>SUM(B8:B21)</f>
        <v>4916</v>
      </c>
      <c r="C22" s="292"/>
      <c r="D22" s="297">
        <f>SUM(D8:D21)</f>
        <v>0</v>
      </c>
    </row>
  </sheetData>
  <mergeCells count="4">
    <mergeCell ref="A1:D1"/>
    <mergeCell ref="A2:D2"/>
    <mergeCell ref="A3:D3"/>
    <mergeCell ref="C5:D5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zoomScale="84" zoomScaleNormal="84" workbookViewId="0">
      <selection activeCell="F18" sqref="F18"/>
    </sheetView>
  </sheetViews>
  <sheetFormatPr defaultRowHeight="15"/>
  <cols>
    <col min="1" max="1" width="37.28515625" style="322" bestFit="1" customWidth="1"/>
    <col min="2" max="3" width="11.5703125" style="322" bestFit="1" customWidth="1"/>
    <col min="4" max="4" width="10.42578125" style="322" customWidth="1"/>
    <col min="6" max="7" width="10.85546875" bestFit="1" customWidth="1"/>
  </cols>
  <sheetData>
    <row r="1" spans="1:4" ht="15.75" thickBot="1">
      <c r="A1" s="726" t="s">
        <v>1068</v>
      </c>
      <c r="B1" s="726"/>
      <c r="C1" s="726"/>
      <c r="D1" s="726"/>
    </row>
    <row r="2" spans="1:4" ht="51.75" thickBot="1">
      <c r="A2" s="301" t="s">
        <v>335</v>
      </c>
      <c r="B2" s="302" t="s">
        <v>871</v>
      </c>
      <c r="C2" s="303" t="s">
        <v>843</v>
      </c>
      <c r="D2" s="303" t="s">
        <v>844</v>
      </c>
    </row>
    <row r="3" spans="1:4">
      <c r="A3" s="305" t="s">
        <v>845</v>
      </c>
      <c r="B3" s="306"/>
      <c r="C3" s="360">
        <v>260.77999999999997</v>
      </c>
      <c r="D3" s="307">
        <f>B3*C3</f>
        <v>0</v>
      </c>
    </row>
    <row r="4" spans="1:4">
      <c r="A4" s="308" t="s">
        <v>846</v>
      </c>
      <c r="B4" s="309"/>
      <c r="C4" s="358">
        <v>273.76</v>
      </c>
      <c r="D4" s="310">
        <f t="shared" ref="D4:D31" si="0">B4*C4</f>
        <v>0</v>
      </c>
    </row>
    <row r="5" spans="1:4">
      <c r="A5" s="308" t="s">
        <v>847</v>
      </c>
      <c r="B5" s="361"/>
      <c r="C5" s="362">
        <v>254.88</v>
      </c>
      <c r="D5" s="310">
        <f t="shared" si="0"/>
        <v>0</v>
      </c>
    </row>
    <row r="6" spans="1:4">
      <c r="A6" s="308" t="s">
        <v>848</v>
      </c>
      <c r="B6" s="309"/>
      <c r="C6" s="358">
        <v>254.88</v>
      </c>
      <c r="D6" s="310">
        <f t="shared" si="0"/>
        <v>0</v>
      </c>
    </row>
    <row r="7" spans="1:4">
      <c r="A7" s="311" t="s">
        <v>1072</v>
      </c>
      <c r="B7" s="309"/>
      <c r="C7" s="358">
        <v>277.3</v>
      </c>
      <c r="D7" s="310">
        <f t="shared" si="0"/>
        <v>0</v>
      </c>
    </row>
    <row r="8" spans="1:4">
      <c r="A8" s="308" t="s">
        <v>849</v>
      </c>
      <c r="B8" s="309"/>
      <c r="C8" s="358">
        <v>4.24</v>
      </c>
      <c r="D8" s="310">
        <f t="shared" si="0"/>
        <v>0</v>
      </c>
    </row>
    <row r="9" spans="1:4">
      <c r="A9" s="308" t="s">
        <v>850</v>
      </c>
      <c r="B9" s="309"/>
      <c r="C9" s="358">
        <v>3.45</v>
      </c>
      <c r="D9" s="310">
        <f t="shared" si="0"/>
        <v>0</v>
      </c>
    </row>
    <row r="10" spans="1:4">
      <c r="A10" s="308" t="s">
        <v>851</v>
      </c>
      <c r="B10" s="309"/>
      <c r="C10" s="358">
        <v>4</v>
      </c>
      <c r="D10" s="310">
        <f t="shared" si="0"/>
        <v>0</v>
      </c>
    </row>
    <row r="11" spans="1:4">
      <c r="A11" s="308" t="s">
        <v>852</v>
      </c>
      <c r="B11" s="309"/>
      <c r="C11" s="358">
        <v>22.42</v>
      </c>
      <c r="D11" s="310">
        <f t="shared" si="0"/>
        <v>0</v>
      </c>
    </row>
    <row r="12" spans="1:4">
      <c r="A12" s="308" t="s">
        <v>853</v>
      </c>
      <c r="B12" s="309"/>
      <c r="C12" s="358">
        <v>2.54</v>
      </c>
      <c r="D12" s="310">
        <f t="shared" si="0"/>
        <v>0</v>
      </c>
    </row>
    <row r="13" spans="1:4">
      <c r="A13" s="308" t="s">
        <v>854</v>
      </c>
      <c r="B13" s="309"/>
      <c r="C13" s="358">
        <v>1.77</v>
      </c>
      <c r="D13" s="310">
        <f t="shared" si="0"/>
        <v>0</v>
      </c>
    </row>
    <row r="14" spans="1:4">
      <c r="A14" s="308" t="s">
        <v>855</v>
      </c>
      <c r="B14" s="309"/>
      <c r="C14" s="358">
        <v>1.22</v>
      </c>
      <c r="D14" s="310">
        <f t="shared" si="0"/>
        <v>0</v>
      </c>
    </row>
    <row r="15" spans="1:4">
      <c r="A15" s="308" t="s">
        <v>856</v>
      </c>
      <c r="B15" s="309"/>
      <c r="C15" s="358">
        <v>1.58</v>
      </c>
      <c r="D15" s="310">
        <f t="shared" si="0"/>
        <v>0</v>
      </c>
    </row>
    <row r="16" spans="1:4">
      <c r="A16" s="312" t="s">
        <v>1071</v>
      </c>
      <c r="B16" s="361"/>
      <c r="C16" s="362">
        <v>2.1004</v>
      </c>
      <c r="D16" s="310">
        <f t="shared" si="0"/>
        <v>0</v>
      </c>
    </row>
    <row r="17" spans="1:4">
      <c r="A17" s="312" t="s">
        <v>857</v>
      </c>
      <c r="B17" s="309"/>
      <c r="C17" s="358">
        <v>75.52</v>
      </c>
      <c r="D17" s="310">
        <f t="shared" si="0"/>
        <v>0</v>
      </c>
    </row>
    <row r="18" spans="1:4">
      <c r="A18" s="313" t="s">
        <v>858</v>
      </c>
      <c r="B18" s="361"/>
      <c r="C18" s="362">
        <v>66.150000000000006</v>
      </c>
      <c r="D18" s="310">
        <f t="shared" si="0"/>
        <v>0</v>
      </c>
    </row>
    <row r="19" spans="1:4">
      <c r="A19" s="304" t="s">
        <v>1070</v>
      </c>
      <c r="B19" s="309"/>
      <c r="C19" s="358">
        <v>42.45</v>
      </c>
      <c r="D19" s="310">
        <f t="shared" si="0"/>
        <v>0</v>
      </c>
    </row>
    <row r="20" spans="1:4">
      <c r="A20" s="313" t="s">
        <v>1069</v>
      </c>
      <c r="B20" s="361"/>
      <c r="C20" s="362">
        <v>36.933999999999997</v>
      </c>
      <c r="D20" s="310">
        <f t="shared" si="0"/>
        <v>0</v>
      </c>
    </row>
    <row r="21" spans="1:4">
      <c r="A21" s="313" t="s">
        <v>859</v>
      </c>
      <c r="B21" s="309"/>
      <c r="C21" s="358">
        <v>76.7</v>
      </c>
      <c r="D21" s="310">
        <f t="shared" si="0"/>
        <v>0</v>
      </c>
    </row>
    <row r="22" spans="1:4">
      <c r="A22" s="313" t="s">
        <v>860</v>
      </c>
      <c r="B22" s="309"/>
      <c r="C22" s="358">
        <v>75.52</v>
      </c>
      <c r="D22" s="310">
        <f t="shared" si="0"/>
        <v>0</v>
      </c>
    </row>
    <row r="23" spans="1:4">
      <c r="A23" s="313" t="s">
        <v>861</v>
      </c>
      <c r="B23" s="309"/>
      <c r="C23" s="358">
        <v>76.7</v>
      </c>
      <c r="D23" s="310">
        <f t="shared" si="0"/>
        <v>0</v>
      </c>
    </row>
    <row r="24" spans="1:4">
      <c r="A24" s="312" t="s">
        <v>862</v>
      </c>
      <c r="B24" s="309"/>
      <c r="C24" s="358">
        <v>11.09</v>
      </c>
      <c r="D24" s="310">
        <f t="shared" si="0"/>
        <v>0</v>
      </c>
    </row>
    <row r="25" spans="1:4">
      <c r="A25" s="311" t="s">
        <v>863</v>
      </c>
      <c r="B25" s="309"/>
      <c r="C25" s="358">
        <v>0.76</v>
      </c>
      <c r="D25" s="310">
        <f t="shared" si="0"/>
        <v>0</v>
      </c>
    </row>
    <row r="26" spans="1:4">
      <c r="A26" s="311" t="s">
        <v>864</v>
      </c>
      <c r="B26" s="309"/>
      <c r="C26" s="358">
        <v>49.56</v>
      </c>
      <c r="D26" s="310">
        <f t="shared" si="0"/>
        <v>0</v>
      </c>
    </row>
    <row r="27" spans="1:4">
      <c r="A27" s="311" t="s">
        <v>865</v>
      </c>
      <c r="B27" s="309"/>
      <c r="C27" s="358">
        <v>49.56</v>
      </c>
      <c r="D27" s="310">
        <f t="shared" si="0"/>
        <v>0</v>
      </c>
    </row>
    <row r="28" spans="1:4">
      <c r="A28" s="311" t="s">
        <v>866</v>
      </c>
      <c r="B28" s="309"/>
      <c r="C28" s="358">
        <v>3.06</v>
      </c>
      <c r="D28" s="310">
        <f t="shared" si="0"/>
        <v>0</v>
      </c>
    </row>
    <row r="29" spans="1:4">
      <c r="A29" s="314" t="s">
        <v>867</v>
      </c>
      <c r="B29" s="315"/>
      <c r="C29" s="358">
        <v>1.4783999999999999</v>
      </c>
      <c r="D29" s="310">
        <f t="shared" si="0"/>
        <v>0</v>
      </c>
    </row>
    <row r="30" spans="1:4">
      <c r="A30" s="311" t="s">
        <v>868</v>
      </c>
      <c r="B30" s="316"/>
      <c r="C30" s="358">
        <v>0.24</v>
      </c>
      <c r="D30" s="310">
        <f t="shared" si="0"/>
        <v>0</v>
      </c>
    </row>
    <row r="31" spans="1:4" ht="15.75" thickBot="1">
      <c r="A31" s="317" t="s">
        <v>869</v>
      </c>
      <c r="B31" s="318"/>
      <c r="C31" s="359">
        <v>0.59</v>
      </c>
      <c r="D31" s="310">
        <f t="shared" si="0"/>
        <v>0</v>
      </c>
    </row>
    <row r="32" spans="1:4" ht="15.75" thickBot="1">
      <c r="A32" s="319" t="s">
        <v>870</v>
      </c>
      <c r="B32" s="320"/>
      <c r="C32" s="320"/>
      <c r="D32" s="321">
        <f>SUM(D3:D31)</f>
        <v>0</v>
      </c>
    </row>
  </sheetData>
  <mergeCells count="1">
    <mergeCell ref="A1:D1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173"/>
  <sheetViews>
    <sheetView workbookViewId="0">
      <pane ySplit="2" topLeftCell="A1038" activePane="bottomLeft" state="frozen"/>
      <selection pane="bottomLeft" activeCell="A1056" sqref="A1056"/>
    </sheetView>
  </sheetViews>
  <sheetFormatPr defaultRowHeight="15"/>
  <cols>
    <col min="1" max="1" width="9.85546875" style="587" customWidth="1"/>
    <col min="2" max="2" width="4.85546875" style="60" customWidth="1"/>
    <col min="3" max="4" width="6.7109375" style="60" customWidth="1"/>
    <col min="5" max="5" width="8.28515625" style="60" bestFit="1" customWidth="1"/>
    <col min="6" max="6" width="15" style="60" customWidth="1"/>
    <col min="7" max="7" width="22.7109375" style="60" bestFit="1" customWidth="1"/>
    <col min="8" max="8" width="10.7109375" style="60" bestFit="1" customWidth="1"/>
    <col min="9" max="9" width="9.5703125" style="60" bestFit="1" customWidth="1"/>
    <col min="10" max="10" width="20.5703125" style="60" bestFit="1" customWidth="1"/>
    <col min="11" max="11" width="9.28515625" style="586" customWidth="1"/>
    <col min="12" max="12" width="9.140625" customWidth="1"/>
  </cols>
  <sheetData>
    <row r="1" spans="1:14" ht="27" thickBot="1">
      <c r="A1" s="727" t="s">
        <v>2028</v>
      </c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"/>
      <c r="N1" s="2"/>
    </row>
    <row r="2" spans="1:14" s="53" customFormat="1" ht="48" customHeight="1" thickBot="1">
      <c r="A2" s="598" t="s">
        <v>45</v>
      </c>
      <c r="B2" s="599" t="s">
        <v>0</v>
      </c>
      <c r="C2" s="600" t="s">
        <v>46</v>
      </c>
      <c r="D2" s="599" t="s">
        <v>1</v>
      </c>
      <c r="E2" s="600" t="s">
        <v>47</v>
      </c>
      <c r="F2" s="600" t="s">
        <v>78</v>
      </c>
      <c r="G2" s="599" t="s">
        <v>79</v>
      </c>
      <c r="H2" s="599" t="s">
        <v>2</v>
      </c>
      <c r="I2" s="599" t="s">
        <v>3</v>
      </c>
      <c r="J2" s="599" t="s">
        <v>4</v>
      </c>
      <c r="K2" s="601" t="s">
        <v>44</v>
      </c>
      <c r="L2" s="597"/>
    </row>
    <row r="3" spans="1:14">
      <c r="A3" s="611" t="s">
        <v>956</v>
      </c>
      <c r="B3" s="612" t="s">
        <v>150</v>
      </c>
      <c r="C3" s="612">
        <v>33</v>
      </c>
      <c r="D3" s="612" t="s">
        <v>51</v>
      </c>
      <c r="E3" s="612">
        <v>5266</v>
      </c>
      <c r="F3" s="612" t="s">
        <v>1434</v>
      </c>
      <c r="G3" s="612" t="s">
        <v>1435</v>
      </c>
      <c r="H3" s="612" t="s">
        <v>351</v>
      </c>
      <c r="I3" s="612">
        <v>20</v>
      </c>
      <c r="J3" s="613" t="s">
        <v>1436</v>
      </c>
      <c r="K3" s="614">
        <f>(18*19)+(2*16.6)</f>
        <v>375.2</v>
      </c>
      <c r="L3" s="7"/>
    </row>
    <row r="4" spans="1:14" s="324" customFormat="1">
      <c r="A4" s="590" t="s">
        <v>956</v>
      </c>
      <c r="B4" s="11" t="s">
        <v>150</v>
      </c>
      <c r="C4" s="11">
        <v>33</v>
      </c>
      <c r="D4" s="11" t="s">
        <v>51</v>
      </c>
      <c r="E4" s="11">
        <v>5271</v>
      </c>
      <c r="F4" s="11" t="s">
        <v>1437</v>
      </c>
      <c r="G4" s="11" t="s">
        <v>1435</v>
      </c>
      <c r="H4" s="11" t="s">
        <v>8</v>
      </c>
      <c r="I4" s="11">
        <v>10</v>
      </c>
      <c r="J4" s="12" t="s">
        <v>1433</v>
      </c>
      <c r="K4" s="591">
        <v>180</v>
      </c>
      <c r="L4" s="610"/>
    </row>
    <row r="5" spans="1:14" ht="15.75" customHeight="1">
      <c r="A5" s="77" t="s">
        <v>1114</v>
      </c>
      <c r="B5" s="15" t="s">
        <v>9</v>
      </c>
      <c r="C5" s="15">
        <v>36</v>
      </c>
      <c r="D5" s="15" t="s">
        <v>10</v>
      </c>
      <c r="E5" s="15">
        <v>221</v>
      </c>
      <c r="F5" s="15" t="s">
        <v>1370</v>
      </c>
      <c r="G5" s="15" t="s">
        <v>1390</v>
      </c>
      <c r="H5" s="15" t="s">
        <v>5</v>
      </c>
      <c r="I5" s="15">
        <v>20</v>
      </c>
      <c r="J5" s="18" t="s">
        <v>31</v>
      </c>
      <c r="K5" s="589">
        <f>(19*38)+(1*29.4)</f>
        <v>751.4</v>
      </c>
      <c r="L5" s="7"/>
    </row>
    <row r="6" spans="1:14" ht="15.75" customHeight="1">
      <c r="A6" s="77" t="s">
        <v>1119</v>
      </c>
      <c r="B6" s="15" t="s">
        <v>9</v>
      </c>
      <c r="C6" s="15">
        <v>36</v>
      </c>
      <c r="D6" s="15" t="s">
        <v>7</v>
      </c>
      <c r="E6" s="15">
        <v>299</v>
      </c>
      <c r="F6" s="15" t="s">
        <v>180</v>
      </c>
      <c r="G6" s="15" t="s">
        <v>1380</v>
      </c>
      <c r="H6" s="15" t="s">
        <v>5</v>
      </c>
      <c r="I6" s="15">
        <v>10</v>
      </c>
      <c r="J6" s="18" t="s">
        <v>27</v>
      </c>
      <c r="K6" s="589">
        <f>(9*38)+(1*29.4)</f>
        <v>371.4</v>
      </c>
      <c r="L6" s="7"/>
    </row>
    <row r="7" spans="1:14" ht="15.75" customHeight="1">
      <c r="A7" s="77" t="s">
        <v>1119</v>
      </c>
      <c r="B7" s="15" t="s">
        <v>9</v>
      </c>
      <c r="C7" s="15">
        <v>36</v>
      </c>
      <c r="D7" s="15" t="s">
        <v>7</v>
      </c>
      <c r="E7" s="15">
        <v>527</v>
      </c>
      <c r="F7" s="15" t="s">
        <v>1467</v>
      </c>
      <c r="G7" s="15" t="s">
        <v>753</v>
      </c>
      <c r="H7" s="15" t="s">
        <v>1324</v>
      </c>
      <c r="I7" s="15">
        <v>15</v>
      </c>
      <c r="J7" s="18" t="s">
        <v>14</v>
      </c>
      <c r="K7" s="589">
        <f>(14*38)+(1*29.4)</f>
        <v>561.4</v>
      </c>
      <c r="L7" s="7"/>
    </row>
    <row r="8" spans="1:14" ht="15.75" customHeight="1">
      <c r="A8" s="77" t="s">
        <v>1121</v>
      </c>
      <c r="B8" s="15" t="s">
        <v>9</v>
      </c>
      <c r="C8" s="15">
        <v>36</v>
      </c>
      <c r="D8" s="15" t="s">
        <v>10</v>
      </c>
      <c r="E8" s="15">
        <v>57</v>
      </c>
      <c r="F8" s="15" t="s">
        <v>1471</v>
      </c>
      <c r="G8" s="15" t="s">
        <v>761</v>
      </c>
      <c r="H8" s="15" t="s">
        <v>143</v>
      </c>
      <c r="I8" s="15">
        <v>20</v>
      </c>
      <c r="J8" s="18" t="s">
        <v>31</v>
      </c>
      <c r="K8" s="589">
        <f>(19*38)+(1*29.4)</f>
        <v>751.4</v>
      </c>
      <c r="L8" s="7"/>
    </row>
    <row r="9" spans="1:14" ht="15.75" customHeight="1">
      <c r="A9" s="77" t="s">
        <v>1121</v>
      </c>
      <c r="B9" s="15" t="s">
        <v>9</v>
      </c>
      <c r="C9" s="15">
        <v>36</v>
      </c>
      <c r="D9" s="15" t="s">
        <v>10</v>
      </c>
      <c r="E9" s="15">
        <v>111</v>
      </c>
      <c r="F9" s="15" t="s">
        <v>721</v>
      </c>
      <c r="G9" s="15" t="s">
        <v>594</v>
      </c>
      <c r="H9" s="15" t="s">
        <v>5</v>
      </c>
      <c r="I9" s="15">
        <v>20</v>
      </c>
      <c r="J9" s="18" t="s">
        <v>31</v>
      </c>
      <c r="K9" s="589">
        <f>(19*38)+(1*29.4)</f>
        <v>751.4</v>
      </c>
      <c r="L9" s="7"/>
    </row>
    <row r="10" spans="1:14" ht="15.75" customHeight="1">
      <c r="A10" s="77" t="s">
        <v>969</v>
      </c>
      <c r="B10" s="15" t="s">
        <v>150</v>
      </c>
      <c r="C10" s="15">
        <v>36</v>
      </c>
      <c r="D10" s="15" t="s">
        <v>7</v>
      </c>
      <c r="E10" s="15">
        <v>5001</v>
      </c>
      <c r="F10" s="15" t="s">
        <v>1472</v>
      </c>
      <c r="G10" s="15" t="s">
        <v>542</v>
      </c>
      <c r="H10" s="15" t="s">
        <v>8</v>
      </c>
      <c r="I10" s="15">
        <v>20</v>
      </c>
      <c r="J10" s="18" t="s">
        <v>1473</v>
      </c>
      <c r="K10" s="589">
        <f>(19*23)+(1*20.5)</f>
        <v>457.5</v>
      </c>
      <c r="L10" s="7"/>
    </row>
    <row r="11" spans="1:14" ht="15.75" customHeight="1">
      <c r="A11" s="77" t="s">
        <v>969</v>
      </c>
      <c r="B11" s="15" t="s">
        <v>150</v>
      </c>
      <c r="C11" s="15">
        <v>36</v>
      </c>
      <c r="D11" s="15" t="s">
        <v>7</v>
      </c>
      <c r="E11" s="15">
        <v>5002</v>
      </c>
      <c r="F11" s="15" t="s">
        <v>1474</v>
      </c>
      <c r="G11" s="15" t="s">
        <v>542</v>
      </c>
      <c r="H11" s="15" t="s">
        <v>8</v>
      </c>
      <c r="I11" s="15">
        <v>20</v>
      </c>
      <c r="J11" s="18" t="s">
        <v>1473</v>
      </c>
      <c r="K11" s="589">
        <f t="shared" ref="K11:K12" si="0">(19*23)+(1*20.5)</f>
        <v>457.5</v>
      </c>
      <c r="L11" s="7"/>
    </row>
    <row r="12" spans="1:14" ht="15.75" customHeight="1">
      <c r="A12" s="77" t="s">
        <v>969</v>
      </c>
      <c r="B12" s="15" t="s">
        <v>150</v>
      </c>
      <c r="C12" s="15">
        <v>36</v>
      </c>
      <c r="D12" s="15" t="s">
        <v>7</v>
      </c>
      <c r="E12" s="15">
        <v>5003</v>
      </c>
      <c r="F12" s="15" t="s">
        <v>1475</v>
      </c>
      <c r="G12" s="15" t="s">
        <v>542</v>
      </c>
      <c r="H12" s="15" t="s">
        <v>8</v>
      </c>
      <c r="I12" s="15">
        <v>20</v>
      </c>
      <c r="J12" s="18" t="s">
        <v>1473</v>
      </c>
      <c r="K12" s="589">
        <f t="shared" si="0"/>
        <v>457.5</v>
      </c>
      <c r="L12" s="7"/>
    </row>
    <row r="13" spans="1:14" s="324" customFormat="1" ht="15.75" customHeight="1">
      <c r="A13" s="590" t="s">
        <v>969</v>
      </c>
      <c r="B13" s="11" t="s">
        <v>150</v>
      </c>
      <c r="C13" s="11">
        <v>36</v>
      </c>
      <c r="D13" s="11" t="s">
        <v>7</v>
      </c>
      <c r="E13" s="11">
        <v>5005</v>
      </c>
      <c r="F13" s="11" t="s">
        <v>1476</v>
      </c>
      <c r="G13" s="11" t="s">
        <v>542</v>
      </c>
      <c r="H13" s="11" t="s">
        <v>433</v>
      </c>
      <c r="I13" s="11">
        <v>10</v>
      </c>
      <c r="J13" s="12" t="s">
        <v>1477</v>
      </c>
      <c r="K13" s="591">
        <v>210</v>
      </c>
      <c r="L13" s="610"/>
    </row>
    <row r="14" spans="1:14" ht="15.75" customHeight="1">
      <c r="A14" s="77" t="s">
        <v>969</v>
      </c>
      <c r="B14" s="15" t="s">
        <v>150</v>
      </c>
      <c r="C14" s="15">
        <v>36</v>
      </c>
      <c r="D14" s="15" t="s">
        <v>7</v>
      </c>
      <c r="E14" s="15">
        <v>5006</v>
      </c>
      <c r="F14" s="15" t="s">
        <v>1478</v>
      </c>
      <c r="G14" s="15" t="s">
        <v>542</v>
      </c>
      <c r="H14" s="15" t="s">
        <v>433</v>
      </c>
      <c r="I14" s="15">
        <v>20</v>
      </c>
      <c r="J14" s="18" t="s">
        <v>1343</v>
      </c>
      <c r="K14" s="589">
        <f>(19*20)+(1*17.5)</f>
        <v>397.5</v>
      </c>
      <c r="L14" s="7"/>
    </row>
    <row r="15" spans="1:14" ht="15.75" customHeight="1">
      <c r="A15" s="77" t="s">
        <v>969</v>
      </c>
      <c r="B15" s="15" t="s">
        <v>150</v>
      </c>
      <c r="C15" s="15">
        <v>36</v>
      </c>
      <c r="D15" s="15" t="s">
        <v>7</v>
      </c>
      <c r="E15" s="15">
        <v>5012</v>
      </c>
      <c r="F15" s="15" t="s">
        <v>1479</v>
      </c>
      <c r="G15" s="15" t="s">
        <v>1480</v>
      </c>
      <c r="H15" s="15" t="s">
        <v>351</v>
      </c>
      <c r="I15" s="15">
        <v>15</v>
      </c>
      <c r="J15" s="18" t="s">
        <v>541</v>
      </c>
      <c r="K15" s="589">
        <f>(15*20)</f>
        <v>300</v>
      </c>
      <c r="L15" s="7"/>
    </row>
    <row r="16" spans="1:14" ht="15.75" customHeight="1">
      <c r="A16" s="590" t="s">
        <v>969</v>
      </c>
      <c r="B16" s="11" t="s">
        <v>150</v>
      </c>
      <c r="C16" s="11">
        <v>36</v>
      </c>
      <c r="D16" s="11" t="s">
        <v>7</v>
      </c>
      <c r="E16" s="11">
        <v>5032</v>
      </c>
      <c r="F16" s="11" t="s">
        <v>1481</v>
      </c>
      <c r="G16" s="11" t="s">
        <v>1480</v>
      </c>
      <c r="H16" s="11" t="s">
        <v>1340</v>
      </c>
      <c r="I16" s="11">
        <v>15</v>
      </c>
      <c r="J16" s="12" t="s">
        <v>1482</v>
      </c>
      <c r="K16" s="591">
        <f>(14*22)+(1*17.8)</f>
        <v>325.8</v>
      </c>
      <c r="L16" s="7"/>
    </row>
    <row r="17" spans="1:12" ht="15.75" customHeight="1">
      <c r="A17" s="77" t="s">
        <v>969</v>
      </c>
      <c r="B17" s="15" t="s">
        <v>150</v>
      </c>
      <c r="C17" s="15">
        <v>36</v>
      </c>
      <c r="D17" s="15" t="s">
        <v>7</v>
      </c>
      <c r="E17" s="15">
        <v>5071</v>
      </c>
      <c r="F17" s="15" t="s">
        <v>1483</v>
      </c>
      <c r="G17" s="15" t="s">
        <v>1484</v>
      </c>
      <c r="H17" s="15" t="s">
        <v>8</v>
      </c>
      <c r="I17" s="15">
        <v>17</v>
      </c>
      <c r="J17" s="18" t="s">
        <v>1485</v>
      </c>
      <c r="K17" s="589">
        <f>(17*21)</f>
        <v>357</v>
      </c>
      <c r="L17" s="7"/>
    </row>
    <row r="18" spans="1:12" ht="15.75" customHeight="1">
      <c r="A18" s="590" t="s">
        <v>969</v>
      </c>
      <c r="B18" s="11" t="s">
        <v>150</v>
      </c>
      <c r="C18" s="11">
        <v>36</v>
      </c>
      <c r="D18" s="11" t="s">
        <v>7</v>
      </c>
      <c r="E18" s="11">
        <v>5073</v>
      </c>
      <c r="F18" s="11" t="s">
        <v>1486</v>
      </c>
      <c r="G18" s="11" t="s">
        <v>1484</v>
      </c>
      <c r="H18" s="11" t="s">
        <v>1340</v>
      </c>
      <c r="I18" s="11">
        <v>10</v>
      </c>
      <c r="J18" s="12" t="s">
        <v>1487</v>
      </c>
      <c r="K18" s="591">
        <f>(9*23)+(1*18.8)</f>
        <v>225.8</v>
      </c>
      <c r="L18" s="7"/>
    </row>
    <row r="19" spans="1:12" ht="15.75" customHeight="1">
      <c r="A19" s="77" t="s">
        <v>969</v>
      </c>
      <c r="B19" s="15" t="s">
        <v>150</v>
      </c>
      <c r="C19" s="15">
        <v>36</v>
      </c>
      <c r="D19" s="15" t="s">
        <v>7</v>
      </c>
      <c r="E19" s="15">
        <v>5076</v>
      </c>
      <c r="F19" s="15" t="s">
        <v>1488</v>
      </c>
      <c r="G19" s="15" t="s">
        <v>1341</v>
      </c>
      <c r="H19" s="15" t="s">
        <v>8</v>
      </c>
      <c r="I19" s="15">
        <v>15</v>
      </c>
      <c r="J19" s="18" t="s">
        <v>1489</v>
      </c>
      <c r="K19" s="589">
        <f>(14*18)+(1*15.5)</f>
        <v>267.5</v>
      </c>
      <c r="L19" s="7"/>
    </row>
    <row r="20" spans="1:12" ht="15.75" customHeight="1">
      <c r="A20" s="77" t="s">
        <v>969</v>
      </c>
      <c r="B20" s="15" t="s">
        <v>150</v>
      </c>
      <c r="C20" s="15">
        <v>36</v>
      </c>
      <c r="D20" s="15" t="s">
        <v>7</v>
      </c>
      <c r="E20" s="15">
        <v>5099</v>
      </c>
      <c r="F20" s="15" t="s">
        <v>1490</v>
      </c>
      <c r="G20" s="15" t="s">
        <v>1491</v>
      </c>
      <c r="H20" s="15" t="s">
        <v>1492</v>
      </c>
      <c r="I20" s="15">
        <v>10</v>
      </c>
      <c r="J20" s="18" t="s">
        <v>1493</v>
      </c>
      <c r="K20" s="589">
        <f>(9*23)+(1*20.5)</f>
        <v>227.5</v>
      </c>
      <c r="L20" s="7"/>
    </row>
    <row r="21" spans="1:12" ht="15.75" customHeight="1">
      <c r="A21" s="77" t="s">
        <v>969</v>
      </c>
      <c r="B21" s="15" t="s">
        <v>150</v>
      </c>
      <c r="C21" s="15">
        <v>36</v>
      </c>
      <c r="D21" s="15" t="s">
        <v>51</v>
      </c>
      <c r="E21" s="15">
        <v>5003</v>
      </c>
      <c r="F21" s="15" t="s">
        <v>1494</v>
      </c>
      <c r="G21" s="15" t="s">
        <v>1423</v>
      </c>
      <c r="H21" s="15" t="s">
        <v>1339</v>
      </c>
      <c r="I21" s="15">
        <v>15</v>
      </c>
      <c r="J21" s="18" t="s">
        <v>1495</v>
      </c>
      <c r="K21" s="589">
        <f>(12*17)+(3*14.6)</f>
        <v>247.8</v>
      </c>
      <c r="L21" s="7"/>
    </row>
    <row r="22" spans="1:12" ht="15.75" customHeight="1">
      <c r="A22" s="77" t="s">
        <v>969</v>
      </c>
      <c r="B22" s="15" t="s">
        <v>150</v>
      </c>
      <c r="C22" s="15">
        <v>36</v>
      </c>
      <c r="D22" s="15" t="s">
        <v>50</v>
      </c>
      <c r="E22" s="15">
        <v>5003</v>
      </c>
      <c r="F22" s="15" t="s">
        <v>1496</v>
      </c>
      <c r="G22" s="15" t="s">
        <v>92</v>
      </c>
      <c r="H22" s="15" t="s">
        <v>351</v>
      </c>
      <c r="I22" s="15">
        <v>20</v>
      </c>
      <c r="J22" s="18" t="s">
        <v>1497</v>
      </c>
      <c r="K22" s="589">
        <f>(17*18)+(1*15.6)+(2*15.8)</f>
        <v>353.20000000000005</v>
      </c>
      <c r="L22" s="7"/>
    </row>
    <row r="23" spans="1:12" ht="15.75" customHeight="1">
      <c r="A23" s="77" t="s">
        <v>969</v>
      </c>
      <c r="B23" s="15" t="s">
        <v>150</v>
      </c>
      <c r="C23" s="15">
        <v>36</v>
      </c>
      <c r="D23" s="15" t="s">
        <v>50</v>
      </c>
      <c r="E23" s="15">
        <v>5013</v>
      </c>
      <c r="F23" s="15" t="s">
        <v>1498</v>
      </c>
      <c r="G23" s="15" t="s">
        <v>92</v>
      </c>
      <c r="H23" s="15" t="s">
        <v>1499</v>
      </c>
      <c r="I23" s="15">
        <v>10</v>
      </c>
      <c r="J23" s="18" t="s">
        <v>1500</v>
      </c>
      <c r="K23" s="589">
        <f>(7*51)+(1*48.6)+(2*48.8)</f>
        <v>503.20000000000005</v>
      </c>
      <c r="L23" s="7"/>
    </row>
    <row r="24" spans="1:12" ht="15.75" customHeight="1">
      <c r="A24" s="77" t="s">
        <v>969</v>
      </c>
      <c r="B24" s="15" t="s">
        <v>150</v>
      </c>
      <c r="C24" s="15">
        <v>36</v>
      </c>
      <c r="D24" s="15" t="s">
        <v>50</v>
      </c>
      <c r="E24" s="15">
        <v>5034</v>
      </c>
      <c r="F24" s="15" t="s">
        <v>1407</v>
      </c>
      <c r="G24" s="15" t="s">
        <v>84</v>
      </c>
      <c r="H24" s="15" t="s">
        <v>1339</v>
      </c>
      <c r="I24" s="15">
        <v>5</v>
      </c>
      <c r="J24" s="18" t="s">
        <v>1501</v>
      </c>
      <c r="K24" s="589">
        <f>(2*43)+(1*40.6)+(2*40.8)</f>
        <v>208.2</v>
      </c>
      <c r="L24" s="7"/>
    </row>
    <row r="25" spans="1:12" ht="15.75" customHeight="1">
      <c r="A25" s="77" t="s">
        <v>969</v>
      </c>
      <c r="B25" s="15" t="s">
        <v>150</v>
      </c>
      <c r="C25" s="15">
        <v>36</v>
      </c>
      <c r="D25" s="15" t="s">
        <v>50</v>
      </c>
      <c r="E25" s="15">
        <v>5035</v>
      </c>
      <c r="F25" s="15" t="s">
        <v>1502</v>
      </c>
      <c r="G25" s="15" t="s">
        <v>84</v>
      </c>
      <c r="H25" s="15" t="s">
        <v>1339</v>
      </c>
      <c r="I25" s="15">
        <v>10</v>
      </c>
      <c r="J25" s="18" t="s">
        <v>1503</v>
      </c>
      <c r="K25" s="589">
        <f>(7*43)+(1*40.6)+(2*40.8)</f>
        <v>423.20000000000005</v>
      </c>
      <c r="L25" s="7"/>
    </row>
    <row r="26" spans="1:12" ht="15.75" customHeight="1">
      <c r="A26" s="77" t="s">
        <v>969</v>
      </c>
      <c r="B26" s="15" t="s">
        <v>150</v>
      </c>
      <c r="C26" s="15">
        <v>36</v>
      </c>
      <c r="D26" s="15" t="s">
        <v>50</v>
      </c>
      <c r="E26" s="15">
        <v>5037</v>
      </c>
      <c r="F26" s="15" t="s">
        <v>1504</v>
      </c>
      <c r="G26" s="15" t="s">
        <v>84</v>
      </c>
      <c r="H26" s="15" t="s">
        <v>1499</v>
      </c>
      <c r="I26" s="15">
        <v>5</v>
      </c>
      <c r="J26" s="18" t="s">
        <v>1505</v>
      </c>
      <c r="K26" s="589">
        <f>(2*45)+(1*42.6)+(2*42.8)</f>
        <v>218.2</v>
      </c>
      <c r="L26" s="7"/>
    </row>
    <row r="27" spans="1:12" ht="15.75" customHeight="1">
      <c r="A27" s="77" t="s">
        <v>969</v>
      </c>
      <c r="B27" s="15" t="s">
        <v>150</v>
      </c>
      <c r="C27" s="15">
        <v>36</v>
      </c>
      <c r="D27" s="15" t="s">
        <v>50</v>
      </c>
      <c r="E27" s="15">
        <v>5039</v>
      </c>
      <c r="F27" s="15" t="s">
        <v>1506</v>
      </c>
      <c r="G27" s="15" t="s">
        <v>84</v>
      </c>
      <c r="H27" s="15" t="s">
        <v>1499</v>
      </c>
      <c r="I27" s="15">
        <v>15</v>
      </c>
      <c r="J27" s="18" t="s">
        <v>1507</v>
      </c>
      <c r="K27" s="589">
        <f>(12*46)+(1*43.6)+(2*43.8)</f>
        <v>683.2</v>
      </c>
      <c r="L27" s="7"/>
    </row>
    <row r="28" spans="1:12" ht="15.75" customHeight="1">
      <c r="A28" s="77" t="s">
        <v>969</v>
      </c>
      <c r="B28" s="15" t="s">
        <v>150</v>
      </c>
      <c r="C28" s="15">
        <v>36</v>
      </c>
      <c r="D28" s="15" t="s">
        <v>50</v>
      </c>
      <c r="E28" s="15">
        <v>5048</v>
      </c>
      <c r="F28" s="15" t="s">
        <v>1508</v>
      </c>
      <c r="G28" s="15" t="s">
        <v>1366</v>
      </c>
      <c r="H28" s="15" t="s">
        <v>1340</v>
      </c>
      <c r="I28" s="15">
        <v>8</v>
      </c>
      <c r="J28" s="18" t="s">
        <v>1509</v>
      </c>
      <c r="K28" s="589">
        <f>(7*19)+(1*16.8)</f>
        <v>149.80000000000001</v>
      </c>
      <c r="L28" s="7"/>
    </row>
    <row r="29" spans="1:12" ht="15.75" customHeight="1">
      <c r="A29" s="77" t="s">
        <v>970</v>
      </c>
      <c r="B29" s="15" t="s">
        <v>9</v>
      </c>
      <c r="C29" s="15">
        <v>37</v>
      </c>
      <c r="D29" s="15" t="s">
        <v>7</v>
      </c>
      <c r="E29" s="15">
        <v>158</v>
      </c>
      <c r="F29" s="15" t="s">
        <v>1351</v>
      </c>
      <c r="G29" s="15" t="s">
        <v>1510</v>
      </c>
      <c r="H29" s="15" t="s">
        <v>5</v>
      </c>
      <c r="I29" s="15">
        <v>15</v>
      </c>
      <c r="J29" s="18" t="s">
        <v>38</v>
      </c>
      <c r="K29" s="589">
        <f>(13*38)+(2*29.4)</f>
        <v>552.79999999999995</v>
      </c>
      <c r="L29" s="7"/>
    </row>
    <row r="30" spans="1:12" ht="15.75" customHeight="1">
      <c r="A30" s="77" t="s">
        <v>970</v>
      </c>
      <c r="B30" s="15" t="s">
        <v>9</v>
      </c>
      <c r="C30" s="15">
        <v>37</v>
      </c>
      <c r="D30" s="15" t="s">
        <v>7</v>
      </c>
      <c r="E30" s="15">
        <v>243</v>
      </c>
      <c r="F30" s="15" t="s">
        <v>1511</v>
      </c>
      <c r="G30" s="15" t="s">
        <v>1512</v>
      </c>
      <c r="H30" s="15" t="s">
        <v>143</v>
      </c>
      <c r="I30" s="15">
        <v>20</v>
      </c>
      <c r="J30" s="18" t="s">
        <v>31</v>
      </c>
      <c r="K30" s="589">
        <f>(19*38)+(1*29.4)</f>
        <v>751.4</v>
      </c>
      <c r="L30" s="7"/>
    </row>
    <row r="31" spans="1:12" ht="15.75" customHeight="1">
      <c r="A31" s="77" t="s">
        <v>1126</v>
      </c>
      <c r="B31" s="15" t="s">
        <v>9</v>
      </c>
      <c r="C31" s="15">
        <v>37</v>
      </c>
      <c r="D31" s="15" t="s">
        <v>16</v>
      </c>
      <c r="E31" s="15">
        <v>245</v>
      </c>
      <c r="F31" s="15" t="s">
        <v>1940</v>
      </c>
      <c r="G31" s="15" t="s">
        <v>212</v>
      </c>
      <c r="H31" s="15" t="s">
        <v>15</v>
      </c>
      <c r="I31" s="15">
        <v>20</v>
      </c>
      <c r="J31" s="18" t="s">
        <v>17</v>
      </c>
      <c r="K31" s="589">
        <f>(19*35)+(1*26.4)</f>
        <v>691.4</v>
      </c>
      <c r="L31" s="7"/>
    </row>
    <row r="32" spans="1:12" ht="15.75" customHeight="1">
      <c r="A32" s="77" t="s">
        <v>1126</v>
      </c>
      <c r="B32" s="15" t="s">
        <v>9</v>
      </c>
      <c r="C32" s="15">
        <v>37</v>
      </c>
      <c r="D32" s="15" t="s">
        <v>384</v>
      </c>
      <c r="E32" s="15">
        <v>15</v>
      </c>
      <c r="F32" s="15" t="s">
        <v>73</v>
      </c>
      <c r="G32" s="15" t="s">
        <v>724</v>
      </c>
      <c r="H32" s="15" t="s">
        <v>15</v>
      </c>
      <c r="I32" s="15">
        <v>15</v>
      </c>
      <c r="J32" s="18" t="s">
        <v>14</v>
      </c>
      <c r="K32" s="589">
        <f>(14*38)+(1*29.4)</f>
        <v>561.4</v>
      </c>
      <c r="L32" s="7"/>
    </row>
    <row r="33" spans="1:12" ht="15.75" customHeight="1">
      <c r="A33" s="77" t="s">
        <v>973</v>
      </c>
      <c r="B33" s="15" t="s">
        <v>9</v>
      </c>
      <c r="C33" s="15">
        <v>37</v>
      </c>
      <c r="D33" s="15" t="s">
        <v>10</v>
      </c>
      <c r="E33" s="15">
        <v>401</v>
      </c>
      <c r="F33" s="15" t="s">
        <v>1397</v>
      </c>
      <c r="G33" s="15" t="s">
        <v>161</v>
      </c>
      <c r="H33" s="15" t="s">
        <v>5</v>
      </c>
      <c r="I33" s="15">
        <v>20</v>
      </c>
      <c r="J33" s="18" t="s">
        <v>17</v>
      </c>
      <c r="K33" s="589">
        <f>(19*35)+(1*26.4)</f>
        <v>691.4</v>
      </c>
      <c r="L33" s="7"/>
    </row>
    <row r="34" spans="1:12" ht="15.75" customHeight="1" thickBot="1">
      <c r="A34" s="592" t="s">
        <v>1129</v>
      </c>
      <c r="B34" s="593" t="s">
        <v>9</v>
      </c>
      <c r="C34" s="593">
        <v>38</v>
      </c>
      <c r="D34" s="593" t="s">
        <v>16</v>
      </c>
      <c r="E34" s="593">
        <v>361</v>
      </c>
      <c r="F34" s="593" t="s">
        <v>1527</v>
      </c>
      <c r="G34" s="593" t="s">
        <v>422</v>
      </c>
      <c r="H34" s="593" t="s">
        <v>15</v>
      </c>
      <c r="I34" s="593">
        <v>20</v>
      </c>
      <c r="J34" s="595" t="s">
        <v>17</v>
      </c>
      <c r="K34" s="596">
        <f>(19*35)+(1*26.4)</f>
        <v>691.4</v>
      </c>
      <c r="L34" s="7"/>
    </row>
    <row r="35" spans="1:12" ht="15.75" customHeight="1">
      <c r="A35" s="611" t="s">
        <v>1129</v>
      </c>
      <c r="B35" s="612" t="s">
        <v>9</v>
      </c>
      <c r="C35" s="612">
        <v>38</v>
      </c>
      <c r="D35" s="612" t="s">
        <v>16</v>
      </c>
      <c r="E35" s="612">
        <v>362</v>
      </c>
      <c r="F35" s="612" t="s">
        <v>1528</v>
      </c>
      <c r="G35" s="612" t="s">
        <v>422</v>
      </c>
      <c r="H35" s="612" t="s">
        <v>15</v>
      </c>
      <c r="I35" s="612">
        <v>20</v>
      </c>
      <c r="J35" s="613" t="s">
        <v>17</v>
      </c>
      <c r="K35" s="614">
        <f>(19*35)+(1*26.4)</f>
        <v>691.4</v>
      </c>
      <c r="L35" s="7"/>
    </row>
    <row r="36" spans="1:12" ht="15.75" customHeight="1">
      <c r="A36" s="590" t="s">
        <v>1129</v>
      </c>
      <c r="B36" s="11" t="s">
        <v>9</v>
      </c>
      <c r="C36" s="11">
        <v>38</v>
      </c>
      <c r="D36" s="11" t="s">
        <v>16</v>
      </c>
      <c r="E36" s="11">
        <v>369</v>
      </c>
      <c r="F36" s="11" t="s">
        <v>421</v>
      </c>
      <c r="G36" s="11" t="s">
        <v>416</v>
      </c>
      <c r="H36" s="11" t="s">
        <v>5</v>
      </c>
      <c r="I36" s="11">
        <v>10</v>
      </c>
      <c r="J36" s="12" t="s">
        <v>11</v>
      </c>
      <c r="K36" s="591">
        <f>(9*35)+(1*26.4)</f>
        <v>341.4</v>
      </c>
      <c r="L36" s="7"/>
    </row>
    <row r="37" spans="1:12" ht="15.75" customHeight="1">
      <c r="A37" s="590" t="s">
        <v>1129</v>
      </c>
      <c r="B37" s="11" t="s">
        <v>9</v>
      </c>
      <c r="C37" s="11">
        <v>38</v>
      </c>
      <c r="D37" s="11" t="s">
        <v>16</v>
      </c>
      <c r="E37" s="11">
        <v>372</v>
      </c>
      <c r="F37" s="11" t="s">
        <v>595</v>
      </c>
      <c r="G37" s="11" t="s">
        <v>416</v>
      </c>
      <c r="H37" s="11" t="s">
        <v>15</v>
      </c>
      <c r="I37" s="11">
        <v>15</v>
      </c>
      <c r="J37" s="12" t="s">
        <v>13</v>
      </c>
      <c r="K37" s="591">
        <f>(14*35)+(1*26.4)</f>
        <v>516.4</v>
      </c>
      <c r="L37" s="7"/>
    </row>
    <row r="38" spans="1:12" ht="15.75" customHeight="1">
      <c r="A38" s="590" t="s">
        <v>1129</v>
      </c>
      <c r="B38" s="11" t="s">
        <v>9</v>
      </c>
      <c r="C38" s="11">
        <v>38</v>
      </c>
      <c r="D38" s="11" t="s">
        <v>16</v>
      </c>
      <c r="E38" s="11">
        <v>374</v>
      </c>
      <c r="F38" s="11" t="s">
        <v>43</v>
      </c>
      <c r="G38" s="11" t="s">
        <v>167</v>
      </c>
      <c r="H38" s="11" t="s">
        <v>5</v>
      </c>
      <c r="I38" s="11">
        <v>20</v>
      </c>
      <c r="J38" s="12" t="s">
        <v>17</v>
      </c>
      <c r="K38" s="591">
        <f>(19*35)+(1*26.4)</f>
        <v>691.4</v>
      </c>
      <c r="L38" s="7"/>
    </row>
    <row r="39" spans="1:12" ht="15.75" customHeight="1">
      <c r="A39" s="590" t="s">
        <v>1129</v>
      </c>
      <c r="B39" s="11" t="s">
        <v>9</v>
      </c>
      <c r="C39" s="11">
        <v>38</v>
      </c>
      <c r="D39" s="11" t="s">
        <v>16</v>
      </c>
      <c r="E39" s="11">
        <v>381</v>
      </c>
      <c r="F39" s="11" t="s">
        <v>1458</v>
      </c>
      <c r="G39" s="11" t="s">
        <v>148</v>
      </c>
      <c r="H39" s="11" t="s">
        <v>15</v>
      </c>
      <c r="I39" s="11">
        <v>15</v>
      </c>
      <c r="J39" s="12" t="s">
        <v>13</v>
      </c>
      <c r="K39" s="591">
        <f>(14*35)+(1*26.4)</f>
        <v>516.4</v>
      </c>
      <c r="L39" s="7"/>
    </row>
    <row r="40" spans="1:12" ht="15.75" customHeight="1">
      <c r="A40" s="77" t="s">
        <v>1129</v>
      </c>
      <c r="B40" s="15" t="s">
        <v>9</v>
      </c>
      <c r="C40" s="15">
        <v>38</v>
      </c>
      <c r="D40" s="15" t="s">
        <v>16</v>
      </c>
      <c r="E40" s="15">
        <v>384</v>
      </c>
      <c r="F40" s="15" t="s">
        <v>1529</v>
      </c>
      <c r="G40" s="15" t="s">
        <v>148</v>
      </c>
      <c r="H40" s="15" t="s">
        <v>15</v>
      </c>
      <c r="I40" s="15">
        <v>15</v>
      </c>
      <c r="J40" s="18" t="s">
        <v>159</v>
      </c>
      <c r="K40" s="589">
        <f>(15*35)</f>
        <v>525</v>
      </c>
      <c r="L40" s="7"/>
    </row>
    <row r="41" spans="1:12" ht="15.75" customHeight="1">
      <c r="A41" s="77" t="s">
        <v>1129</v>
      </c>
      <c r="B41" s="15" t="s">
        <v>9</v>
      </c>
      <c r="C41" s="15">
        <v>38</v>
      </c>
      <c r="D41" s="15" t="s">
        <v>16</v>
      </c>
      <c r="E41" s="15">
        <v>428</v>
      </c>
      <c r="F41" s="15" t="s">
        <v>1391</v>
      </c>
      <c r="G41" s="15" t="s">
        <v>42</v>
      </c>
      <c r="H41" s="15" t="s">
        <v>5</v>
      </c>
      <c r="I41" s="15">
        <v>20</v>
      </c>
      <c r="J41" s="18" t="s">
        <v>1530</v>
      </c>
      <c r="K41" s="589">
        <f>(18*37)+(2*28.4)</f>
        <v>722.8</v>
      </c>
      <c r="L41" s="7"/>
    </row>
    <row r="42" spans="1:12" ht="15.75" customHeight="1">
      <c r="A42" s="77" t="s">
        <v>1129</v>
      </c>
      <c r="B42" s="15" t="s">
        <v>9</v>
      </c>
      <c r="C42" s="15">
        <v>38</v>
      </c>
      <c r="D42" s="15" t="s">
        <v>16</v>
      </c>
      <c r="E42" s="15">
        <v>442</v>
      </c>
      <c r="F42" s="15" t="s">
        <v>1531</v>
      </c>
      <c r="G42" s="15" t="s">
        <v>1345</v>
      </c>
      <c r="H42" s="15" t="s">
        <v>15</v>
      </c>
      <c r="I42" s="15">
        <v>30</v>
      </c>
      <c r="J42" s="18" t="s">
        <v>25</v>
      </c>
      <c r="K42" s="589">
        <f>(29*38)+(1*29.4)</f>
        <v>1131.4000000000001</v>
      </c>
      <c r="L42" s="7"/>
    </row>
    <row r="43" spans="1:12" ht="15.75" customHeight="1">
      <c r="A43" s="77" t="s">
        <v>1129</v>
      </c>
      <c r="B43" s="15" t="s">
        <v>9</v>
      </c>
      <c r="C43" s="15">
        <v>38</v>
      </c>
      <c r="D43" s="15" t="s">
        <v>16</v>
      </c>
      <c r="E43" s="15">
        <v>444</v>
      </c>
      <c r="F43" s="15" t="s">
        <v>779</v>
      </c>
      <c r="G43" s="15" t="s">
        <v>1345</v>
      </c>
      <c r="H43" s="15" t="s">
        <v>15</v>
      </c>
      <c r="I43" s="15">
        <v>30</v>
      </c>
      <c r="J43" s="18" t="s">
        <v>25</v>
      </c>
      <c r="K43" s="589">
        <f>(29*38)+(1*29.4)</f>
        <v>1131.4000000000001</v>
      </c>
      <c r="L43" s="7"/>
    </row>
    <row r="44" spans="1:12" ht="15.75" customHeight="1">
      <c r="A44" s="77" t="s">
        <v>1129</v>
      </c>
      <c r="B44" s="15" t="s">
        <v>9</v>
      </c>
      <c r="C44" s="15">
        <v>38</v>
      </c>
      <c r="D44" s="15" t="s">
        <v>16</v>
      </c>
      <c r="E44" s="15">
        <v>493</v>
      </c>
      <c r="F44" s="15" t="s">
        <v>1522</v>
      </c>
      <c r="G44" s="15" t="s">
        <v>1395</v>
      </c>
      <c r="H44" s="15" t="s">
        <v>15</v>
      </c>
      <c r="I44" s="15">
        <v>15</v>
      </c>
      <c r="J44" s="18" t="s">
        <v>13</v>
      </c>
      <c r="K44" s="589">
        <f>(14*35)+(1*26.4)</f>
        <v>516.4</v>
      </c>
      <c r="L44" s="7"/>
    </row>
    <row r="45" spans="1:12" ht="15.75" customHeight="1">
      <c r="A45" s="77" t="s">
        <v>1129</v>
      </c>
      <c r="B45" s="15" t="s">
        <v>9</v>
      </c>
      <c r="C45" s="15">
        <v>38</v>
      </c>
      <c r="D45" s="15" t="s">
        <v>16</v>
      </c>
      <c r="E45" s="15">
        <v>498</v>
      </c>
      <c r="F45" s="15" t="s">
        <v>1532</v>
      </c>
      <c r="G45" s="15" t="s">
        <v>1395</v>
      </c>
      <c r="H45" s="15" t="s">
        <v>15</v>
      </c>
      <c r="I45" s="15">
        <v>20</v>
      </c>
      <c r="J45" s="18" t="s">
        <v>17</v>
      </c>
      <c r="K45" s="589">
        <f>(19*35)+(1*26.4)</f>
        <v>691.4</v>
      </c>
      <c r="L45" s="7"/>
    </row>
    <row r="46" spans="1:12" ht="15.75" customHeight="1">
      <c r="A46" s="590" t="s">
        <v>1129</v>
      </c>
      <c r="B46" s="11" t="s">
        <v>9</v>
      </c>
      <c r="C46" s="11">
        <v>38</v>
      </c>
      <c r="D46" s="11" t="s">
        <v>26</v>
      </c>
      <c r="E46" s="11">
        <v>55</v>
      </c>
      <c r="F46" s="11" t="s">
        <v>1387</v>
      </c>
      <c r="G46" s="11" t="s">
        <v>199</v>
      </c>
      <c r="H46" s="11" t="s">
        <v>5</v>
      </c>
      <c r="I46" s="11">
        <v>15</v>
      </c>
      <c r="J46" s="12" t="s">
        <v>108</v>
      </c>
      <c r="K46" s="591">
        <f>(14*33)+(1*24.4)</f>
        <v>486.4</v>
      </c>
      <c r="L46" s="7"/>
    </row>
    <row r="47" spans="1:12" ht="15.75" customHeight="1">
      <c r="A47" s="77" t="s">
        <v>1129</v>
      </c>
      <c r="B47" s="15" t="s">
        <v>9</v>
      </c>
      <c r="C47" s="15">
        <v>38</v>
      </c>
      <c r="D47" s="15" t="s">
        <v>26</v>
      </c>
      <c r="E47" s="15">
        <v>105</v>
      </c>
      <c r="F47" s="15" t="s">
        <v>1447</v>
      </c>
      <c r="G47" s="15" t="s">
        <v>550</v>
      </c>
      <c r="H47" s="15" t="s">
        <v>5</v>
      </c>
      <c r="I47" s="15">
        <v>20</v>
      </c>
      <c r="J47" s="18" t="s">
        <v>31</v>
      </c>
      <c r="K47" s="589">
        <f>(19*38)+(1*29.4)</f>
        <v>751.4</v>
      </c>
      <c r="L47" s="7"/>
    </row>
    <row r="48" spans="1:12" ht="15.75" customHeight="1">
      <c r="A48" s="77" t="s">
        <v>1129</v>
      </c>
      <c r="B48" s="15" t="s">
        <v>9</v>
      </c>
      <c r="C48" s="15">
        <v>38</v>
      </c>
      <c r="D48" s="15" t="s">
        <v>26</v>
      </c>
      <c r="E48" s="15">
        <v>107</v>
      </c>
      <c r="F48" s="15" t="s">
        <v>689</v>
      </c>
      <c r="G48" s="15" t="s">
        <v>550</v>
      </c>
      <c r="H48" s="15" t="s">
        <v>15</v>
      </c>
      <c r="I48" s="15">
        <v>20</v>
      </c>
      <c r="J48" s="18" t="s">
        <v>31</v>
      </c>
      <c r="K48" s="589">
        <f t="shared" ref="K48" si="1">(19*38)+(1*29.4)</f>
        <v>751.4</v>
      </c>
      <c r="L48" s="7"/>
    </row>
    <row r="49" spans="1:12" ht="15.75" customHeight="1">
      <c r="A49" s="590" t="s">
        <v>1131</v>
      </c>
      <c r="B49" s="11" t="s">
        <v>9</v>
      </c>
      <c r="C49" s="11">
        <v>38</v>
      </c>
      <c r="D49" s="11" t="s">
        <v>33</v>
      </c>
      <c r="E49" s="11">
        <v>14</v>
      </c>
      <c r="F49" s="11" t="s">
        <v>1534</v>
      </c>
      <c r="G49" s="11" t="s">
        <v>731</v>
      </c>
      <c r="H49" s="11" t="s">
        <v>5</v>
      </c>
      <c r="I49" s="11">
        <v>20</v>
      </c>
      <c r="J49" s="12" t="s">
        <v>17</v>
      </c>
      <c r="K49" s="591">
        <f>(19*35)+(1*26.4)</f>
        <v>691.4</v>
      </c>
      <c r="L49" s="7"/>
    </row>
    <row r="50" spans="1:12" ht="15.75" customHeight="1">
      <c r="A50" s="77" t="s">
        <v>1131</v>
      </c>
      <c r="B50" s="15" t="s">
        <v>9</v>
      </c>
      <c r="C50" s="15">
        <v>38</v>
      </c>
      <c r="D50" s="15" t="s">
        <v>7</v>
      </c>
      <c r="E50" s="15">
        <v>159</v>
      </c>
      <c r="F50" s="15" t="s">
        <v>1537</v>
      </c>
      <c r="G50" s="15" t="s">
        <v>765</v>
      </c>
      <c r="H50" s="15" t="s">
        <v>5</v>
      </c>
      <c r="I50" s="15">
        <v>20</v>
      </c>
      <c r="J50" s="18" t="s">
        <v>17</v>
      </c>
      <c r="K50" s="589">
        <f>(19*35)+(1*26.4)</f>
        <v>691.4</v>
      </c>
      <c r="L50" s="7"/>
    </row>
    <row r="51" spans="1:12" ht="15.75" customHeight="1">
      <c r="A51" s="590" t="s">
        <v>1131</v>
      </c>
      <c r="B51" s="11" t="s">
        <v>9</v>
      </c>
      <c r="C51" s="11">
        <v>38</v>
      </c>
      <c r="D51" s="11" t="s">
        <v>7</v>
      </c>
      <c r="E51" s="11">
        <v>255</v>
      </c>
      <c r="F51" s="11" t="s">
        <v>637</v>
      </c>
      <c r="G51" s="11" t="s">
        <v>39</v>
      </c>
      <c r="H51" s="11" t="s">
        <v>15</v>
      </c>
      <c r="I51" s="11">
        <v>25</v>
      </c>
      <c r="J51" s="12" t="s">
        <v>436</v>
      </c>
      <c r="K51" s="591">
        <f>(25*35)</f>
        <v>875</v>
      </c>
      <c r="L51" s="7"/>
    </row>
    <row r="52" spans="1:12" ht="15.75" customHeight="1">
      <c r="A52" s="590" t="s">
        <v>1131</v>
      </c>
      <c r="B52" s="11" t="s">
        <v>9</v>
      </c>
      <c r="C52" s="11">
        <v>38</v>
      </c>
      <c r="D52" s="11" t="s">
        <v>7</v>
      </c>
      <c r="E52" s="11">
        <v>400</v>
      </c>
      <c r="F52" s="11" t="s">
        <v>1521</v>
      </c>
      <c r="G52" s="11" t="s">
        <v>114</v>
      </c>
      <c r="H52" s="11" t="s">
        <v>15</v>
      </c>
      <c r="I52" s="11">
        <v>20</v>
      </c>
      <c r="J52" s="12" t="s">
        <v>34</v>
      </c>
      <c r="K52" s="591">
        <f>(19*26)+(1*17.4)</f>
        <v>511.4</v>
      </c>
      <c r="L52" s="7"/>
    </row>
    <row r="53" spans="1:12" ht="15.75" customHeight="1">
      <c r="A53" s="590" t="s">
        <v>1131</v>
      </c>
      <c r="B53" s="11" t="s">
        <v>9</v>
      </c>
      <c r="C53" s="11">
        <v>38</v>
      </c>
      <c r="D53" s="11" t="s">
        <v>7</v>
      </c>
      <c r="E53" s="11">
        <v>494</v>
      </c>
      <c r="F53" s="11" t="s">
        <v>1538</v>
      </c>
      <c r="G53" s="11" t="s">
        <v>753</v>
      </c>
      <c r="H53" s="11" t="s">
        <v>5</v>
      </c>
      <c r="I53" s="11">
        <v>20</v>
      </c>
      <c r="J53" s="12" t="s">
        <v>31</v>
      </c>
      <c r="K53" s="591">
        <f>(19*38)+(1*29.4)</f>
        <v>751.4</v>
      </c>
      <c r="L53" s="7"/>
    </row>
    <row r="54" spans="1:12" ht="15.75" customHeight="1">
      <c r="A54" s="590" t="s">
        <v>1131</v>
      </c>
      <c r="B54" s="11" t="s">
        <v>9</v>
      </c>
      <c r="C54" s="11">
        <v>38</v>
      </c>
      <c r="D54" s="11" t="s">
        <v>7</v>
      </c>
      <c r="E54" s="11">
        <v>498</v>
      </c>
      <c r="F54" s="11" t="s">
        <v>1539</v>
      </c>
      <c r="G54" s="11" t="s">
        <v>753</v>
      </c>
      <c r="H54" s="11" t="s">
        <v>15</v>
      </c>
      <c r="I54" s="11">
        <v>15</v>
      </c>
      <c r="J54" s="12" t="s">
        <v>97</v>
      </c>
      <c r="K54" s="591">
        <f>(15*38)</f>
        <v>570</v>
      </c>
      <c r="L54" s="7"/>
    </row>
    <row r="55" spans="1:12" ht="15.75" customHeight="1">
      <c r="A55" s="590" t="s">
        <v>1131</v>
      </c>
      <c r="B55" s="11" t="s">
        <v>9</v>
      </c>
      <c r="C55" s="11">
        <v>38</v>
      </c>
      <c r="D55" s="11" t="s">
        <v>7</v>
      </c>
      <c r="E55" s="11">
        <v>588</v>
      </c>
      <c r="F55" s="11" t="s">
        <v>1382</v>
      </c>
      <c r="G55" s="11" t="s">
        <v>724</v>
      </c>
      <c r="H55" s="11" t="s">
        <v>15</v>
      </c>
      <c r="I55" s="11">
        <v>15</v>
      </c>
      <c r="J55" s="12" t="s">
        <v>14</v>
      </c>
      <c r="K55" s="591">
        <f>(14*38)+(1*29.4)</f>
        <v>561.4</v>
      </c>
      <c r="L55" s="7"/>
    </row>
    <row r="56" spans="1:12" ht="15.75" customHeight="1">
      <c r="A56" s="590" t="s">
        <v>1131</v>
      </c>
      <c r="B56" s="11" t="s">
        <v>9</v>
      </c>
      <c r="C56" s="11">
        <v>38</v>
      </c>
      <c r="D56" s="11" t="s">
        <v>7</v>
      </c>
      <c r="E56" s="11">
        <v>687</v>
      </c>
      <c r="F56" s="11" t="s">
        <v>1421</v>
      </c>
      <c r="G56" s="11" t="s">
        <v>448</v>
      </c>
      <c r="H56" s="11" t="s">
        <v>15</v>
      </c>
      <c r="I56" s="11">
        <v>15</v>
      </c>
      <c r="J56" s="12" t="s">
        <v>14</v>
      </c>
      <c r="K56" s="591">
        <f>(14*35)+(1*26.4)</f>
        <v>516.4</v>
      </c>
      <c r="L56" s="7"/>
    </row>
    <row r="57" spans="1:12" ht="15.75" customHeight="1">
      <c r="A57" s="590" t="s">
        <v>1131</v>
      </c>
      <c r="B57" s="11" t="s">
        <v>9</v>
      </c>
      <c r="C57" s="11">
        <v>38</v>
      </c>
      <c r="D57" s="11" t="s">
        <v>7</v>
      </c>
      <c r="E57" s="11">
        <v>708</v>
      </c>
      <c r="F57" s="11" t="s">
        <v>735</v>
      </c>
      <c r="G57" s="11" t="s">
        <v>1535</v>
      </c>
      <c r="H57" s="11" t="s">
        <v>5</v>
      </c>
      <c r="I57" s="11">
        <v>20</v>
      </c>
      <c r="J57" s="12" t="s">
        <v>31</v>
      </c>
      <c r="K57" s="591">
        <f>(19*38)+(1*29.4)</f>
        <v>751.4</v>
      </c>
      <c r="L57" s="7"/>
    </row>
    <row r="58" spans="1:12" ht="15.75" customHeight="1">
      <c r="A58" s="590" t="s">
        <v>976</v>
      </c>
      <c r="B58" s="11" t="s">
        <v>9</v>
      </c>
      <c r="C58" s="11">
        <v>38</v>
      </c>
      <c r="D58" s="11" t="s">
        <v>7</v>
      </c>
      <c r="E58" s="11">
        <v>711</v>
      </c>
      <c r="F58" s="11" t="s">
        <v>1454</v>
      </c>
      <c r="G58" s="11" t="s">
        <v>1535</v>
      </c>
      <c r="H58" s="11" t="s">
        <v>15</v>
      </c>
      <c r="I58" s="11">
        <v>20</v>
      </c>
      <c r="J58" s="12" t="s">
        <v>31</v>
      </c>
      <c r="K58" s="591">
        <f>(19*38)+(1*29.4)</f>
        <v>751.4</v>
      </c>
      <c r="L58" s="7"/>
    </row>
    <row r="59" spans="1:12" ht="15.75" customHeight="1">
      <c r="A59" s="590" t="s">
        <v>976</v>
      </c>
      <c r="B59" s="11" t="s">
        <v>9</v>
      </c>
      <c r="C59" s="11">
        <v>38</v>
      </c>
      <c r="D59" s="11" t="s">
        <v>7</v>
      </c>
      <c r="E59" s="11">
        <v>719</v>
      </c>
      <c r="F59" s="11" t="s">
        <v>553</v>
      </c>
      <c r="G59" s="11" t="s">
        <v>1321</v>
      </c>
      <c r="H59" s="11" t="s">
        <v>15</v>
      </c>
      <c r="I59" s="11">
        <v>15</v>
      </c>
      <c r="J59" s="12" t="s">
        <v>156</v>
      </c>
      <c r="K59" s="591">
        <f>(15*26)</f>
        <v>390</v>
      </c>
      <c r="L59" s="7"/>
    </row>
    <row r="60" spans="1:12" ht="15.75" customHeight="1">
      <c r="A60" s="590" t="s">
        <v>976</v>
      </c>
      <c r="B60" s="11" t="s">
        <v>9</v>
      </c>
      <c r="C60" s="11">
        <v>38</v>
      </c>
      <c r="D60" s="11" t="s">
        <v>7</v>
      </c>
      <c r="E60" s="11">
        <v>720</v>
      </c>
      <c r="F60" s="11" t="s">
        <v>680</v>
      </c>
      <c r="G60" s="11" t="s">
        <v>1321</v>
      </c>
      <c r="H60" s="11" t="s">
        <v>15</v>
      </c>
      <c r="I60" s="11">
        <v>20</v>
      </c>
      <c r="J60" s="12" t="s">
        <v>34</v>
      </c>
      <c r="K60" s="591">
        <f>(19*26)+(1*17.4)</f>
        <v>511.4</v>
      </c>
      <c r="L60" s="7"/>
    </row>
    <row r="61" spans="1:12" ht="15.75" customHeight="1">
      <c r="A61" s="77" t="s">
        <v>976</v>
      </c>
      <c r="B61" s="15" t="s">
        <v>9</v>
      </c>
      <c r="C61" s="15">
        <v>38</v>
      </c>
      <c r="D61" s="15" t="s">
        <v>10</v>
      </c>
      <c r="E61" s="15">
        <v>19</v>
      </c>
      <c r="F61" s="15" t="s">
        <v>782</v>
      </c>
      <c r="G61" s="15" t="s">
        <v>1376</v>
      </c>
      <c r="H61" s="15" t="s">
        <v>5</v>
      </c>
      <c r="I61" s="15">
        <v>15</v>
      </c>
      <c r="J61" s="18" t="s">
        <v>14</v>
      </c>
      <c r="K61" s="589">
        <f>(14*38)+(1*29.4)</f>
        <v>561.4</v>
      </c>
      <c r="L61" s="7"/>
    </row>
    <row r="62" spans="1:12" ht="15.75" customHeight="1">
      <c r="A62" s="77" t="s">
        <v>976</v>
      </c>
      <c r="B62" s="15" t="s">
        <v>9</v>
      </c>
      <c r="C62" s="15">
        <v>38</v>
      </c>
      <c r="D62" s="15" t="s">
        <v>10</v>
      </c>
      <c r="E62" s="15">
        <v>61</v>
      </c>
      <c r="F62" s="15" t="s">
        <v>1541</v>
      </c>
      <c r="G62" s="15" t="s">
        <v>761</v>
      </c>
      <c r="H62" s="15" t="s">
        <v>5</v>
      </c>
      <c r="I62" s="15">
        <v>15</v>
      </c>
      <c r="J62" s="18" t="s">
        <v>14</v>
      </c>
      <c r="K62" s="589">
        <f>(14*38)+(1*29.4)</f>
        <v>561.4</v>
      </c>
      <c r="L62" s="7"/>
    </row>
    <row r="63" spans="1:12" ht="15.75" customHeight="1">
      <c r="A63" s="590" t="s">
        <v>976</v>
      </c>
      <c r="B63" s="11" t="s">
        <v>9</v>
      </c>
      <c r="C63" s="11">
        <v>38</v>
      </c>
      <c r="D63" s="11" t="s">
        <v>10</v>
      </c>
      <c r="E63" s="11">
        <v>91</v>
      </c>
      <c r="F63" s="11" t="s">
        <v>1427</v>
      </c>
      <c r="G63" s="11" t="s">
        <v>39</v>
      </c>
      <c r="H63" s="11" t="s">
        <v>15</v>
      </c>
      <c r="I63" s="11">
        <v>15</v>
      </c>
      <c r="J63" s="12" t="s">
        <v>13</v>
      </c>
      <c r="K63" s="591">
        <f>(14*35)+(1*26.4)</f>
        <v>516.4</v>
      </c>
      <c r="L63" s="7"/>
    </row>
    <row r="64" spans="1:12" ht="15.75" customHeight="1">
      <c r="A64" s="590" t="s">
        <v>976</v>
      </c>
      <c r="B64" s="11" t="s">
        <v>9</v>
      </c>
      <c r="C64" s="11">
        <v>38</v>
      </c>
      <c r="D64" s="11" t="s">
        <v>10</v>
      </c>
      <c r="E64" s="11">
        <v>133</v>
      </c>
      <c r="F64" s="11" t="s">
        <v>137</v>
      </c>
      <c r="G64" s="11" t="s">
        <v>594</v>
      </c>
      <c r="H64" s="11" t="s">
        <v>15</v>
      </c>
      <c r="I64" s="11">
        <v>20</v>
      </c>
      <c r="J64" s="12" t="s">
        <v>157</v>
      </c>
      <c r="K64" s="591">
        <f>(20*38)</f>
        <v>760</v>
      </c>
      <c r="L64" s="7"/>
    </row>
    <row r="65" spans="1:12" ht="15.75" customHeight="1">
      <c r="A65" s="590" t="s">
        <v>976</v>
      </c>
      <c r="B65" s="11" t="s">
        <v>9</v>
      </c>
      <c r="C65" s="11">
        <v>38</v>
      </c>
      <c r="D65" s="11" t="s">
        <v>10</v>
      </c>
      <c r="E65" s="11">
        <v>222</v>
      </c>
      <c r="F65" s="11" t="s">
        <v>532</v>
      </c>
      <c r="G65" s="11" t="s">
        <v>424</v>
      </c>
      <c r="H65" s="11" t="s">
        <v>15</v>
      </c>
      <c r="I65" s="11">
        <v>30</v>
      </c>
      <c r="J65" s="12" t="s">
        <v>12</v>
      </c>
      <c r="K65" s="591">
        <f>(29*35)+(1*26.4)</f>
        <v>1041.4000000000001</v>
      </c>
      <c r="L65" s="7"/>
    </row>
    <row r="66" spans="1:12" ht="15.75" customHeight="1">
      <c r="A66" s="590" t="s">
        <v>976</v>
      </c>
      <c r="B66" s="11" t="s">
        <v>9</v>
      </c>
      <c r="C66" s="11">
        <v>38</v>
      </c>
      <c r="D66" s="11" t="s">
        <v>10</v>
      </c>
      <c r="E66" s="11">
        <v>258</v>
      </c>
      <c r="F66" s="11" t="s">
        <v>1542</v>
      </c>
      <c r="G66" s="11" t="s">
        <v>747</v>
      </c>
      <c r="H66" s="11" t="s">
        <v>5</v>
      </c>
      <c r="I66" s="11">
        <v>15</v>
      </c>
      <c r="J66" s="12" t="s">
        <v>97</v>
      </c>
      <c r="K66" s="591">
        <f>(15*38)</f>
        <v>570</v>
      </c>
      <c r="L66" s="7"/>
    </row>
    <row r="67" spans="1:12" ht="15.75" customHeight="1">
      <c r="A67" s="590" t="s">
        <v>976</v>
      </c>
      <c r="B67" s="11" t="s">
        <v>9</v>
      </c>
      <c r="C67" s="11">
        <v>38</v>
      </c>
      <c r="D67" s="11" t="s">
        <v>10</v>
      </c>
      <c r="E67" s="11">
        <v>286</v>
      </c>
      <c r="F67" s="11" t="s">
        <v>491</v>
      </c>
      <c r="G67" s="11" t="s">
        <v>106</v>
      </c>
      <c r="H67" s="11" t="s">
        <v>1518</v>
      </c>
      <c r="I67" s="11">
        <v>20</v>
      </c>
      <c r="J67" s="12" t="s">
        <v>174</v>
      </c>
      <c r="K67" s="591">
        <f>(19*33)+(1*24.4)</f>
        <v>651.4</v>
      </c>
      <c r="L67" s="7"/>
    </row>
    <row r="68" spans="1:12" ht="15.75" customHeight="1">
      <c r="A68" s="590" t="s">
        <v>976</v>
      </c>
      <c r="B68" s="11" t="s">
        <v>9</v>
      </c>
      <c r="C68" s="11">
        <v>38</v>
      </c>
      <c r="D68" s="11" t="s">
        <v>10</v>
      </c>
      <c r="E68" s="11">
        <v>292</v>
      </c>
      <c r="F68" s="11" t="s">
        <v>1543</v>
      </c>
      <c r="G68" s="11" t="s">
        <v>774</v>
      </c>
      <c r="H68" s="11" t="s">
        <v>15</v>
      </c>
      <c r="I68" s="11">
        <v>15</v>
      </c>
      <c r="J68" s="12" t="s">
        <v>37</v>
      </c>
      <c r="K68" s="591">
        <f>(14*26)+(1*17.4)</f>
        <v>381.4</v>
      </c>
      <c r="L68" s="7"/>
    </row>
    <row r="69" spans="1:12" ht="15.75" customHeight="1">
      <c r="A69" s="590" t="s">
        <v>976</v>
      </c>
      <c r="B69" s="11" t="s">
        <v>9</v>
      </c>
      <c r="C69" s="11">
        <v>38</v>
      </c>
      <c r="D69" s="11" t="s">
        <v>10</v>
      </c>
      <c r="E69" s="11">
        <v>296</v>
      </c>
      <c r="F69" s="11" t="s">
        <v>556</v>
      </c>
      <c r="G69" s="11" t="s">
        <v>774</v>
      </c>
      <c r="H69" s="11" t="s">
        <v>15</v>
      </c>
      <c r="I69" s="11">
        <v>15</v>
      </c>
      <c r="J69" s="12" t="s">
        <v>156</v>
      </c>
      <c r="K69" s="591">
        <f>(15*26)</f>
        <v>390</v>
      </c>
      <c r="L69" s="7"/>
    </row>
    <row r="70" spans="1:12" ht="15.75" customHeight="1">
      <c r="A70" s="590" t="s">
        <v>976</v>
      </c>
      <c r="B70" s="11" t="s">
        <v>9</v>
      </c>
      <c r="C70" s="11">
        <v>38</v>
      </c>
      <c r="D70" s="11" t="s">
        <v>10</v>
      </c>
      <c r="E70" s="11">
        <v>382</v>
      </c>
      <c r="F70" s="11" t="s">
        <v>474</v>
      </c>
      <c r="G70" s="11" t="s">
        <v>161</v>
      </c>
      <c r="H70" s="11" t="s">
        <v>1518</v>
      </c>
      <c r="I70" s="11">
        <v>20</v>
      </c>
      <c r="J70" s="12" t="s">
        <v>17</v>
      </c>
      <c r="K70" s="591">
        <f>(19*35)+(1*26.4)</f>
        <v>691.4</v>
      </c>
      <c r="L70" s="7"/>
    </row>
    <row r="71" spans="1:12" ht="15.75" customHeight="1" thickBot="1">
      <c r="A71" s="592" t="s">
        <v>976</v>
      </c>
      <c r="B71" s="593" t="s">
        <v>9</v>
      </c>
      <c r="C71" s="593">
        <v>38</v>
      </c>
      <c r="D71" s="593" t="s">
        <v>10</v>
      </c>
      <c r="E71" s="593">
        <v>390</v>
      </c>
      <c r="F71" s="593" t="s">
        <v>189</v>
      </c>
      <c r="G71" s="593" t="s">
        <v>178</v>
      </c>
      <c r="H71" s="593" t="s">
        <v>15</v>
      </c>
      <c r="I71" s="593">
        <v>15</v>
      </c>
      <c r="J71" s="595" t="s">
        <v>14</v>
      </c>
      <c r="K71" s="596">
        <f>(14*38)+(1*29.4)</f>
        <v>561.4</v>
      </c>
      <c r="L71" s="7"/>
    </row>
    <row r="72" spans="1:12" ht="15.75" customHeight="1">
      <c r="A72" s="611" t="s">
        <v>976</v>
      </c>
      <c r="B72" s="612" t="s">
        <v>9</v>
      </c>
      <c r="C72" s="612">
        <v>38</v>
      </c>
      <c r="D72" s="612" t="s">
        <v>10</v>
      </c>
      <c r="E72" s="612">
        <v>402</v>
      </c>
      <c r="F72" s="612" t="s">
        <v>1330</v>
      </c>
      <c r="G72" s="612" t="s">
        <v>674</v>
      </c>
      <c r="H72" s="612" t="s">
        <v>1518</v>
      </c>
      <c r="I72" s="612">
        <v>10</v>
      </c>
      <c r="J72" s="613" t="s">
        <v>27</v>
      </c>
      <c r="K72" s="614">
        <f>(9*38)+(1*29.4)</f>
        <v>371.4</v>
      </c>
      <c r="L72" s="7"/>
    </row>
    <row r="73" spans="1:12" ht="15.75" customHeight="1">
      <c r="A73" s="590" t="s">
        <v>976</v>
      </c>
      <c r="B73" s="11" t="s">
        <v>9</v>
      </c>
      <c r="C73" s="11">
        <v>38</v>
      </c>
      <c r="D73" s="11" t="s">
        <v>10</v>
      </c>
      <c r="E73" s="11">
        <v>437</v>
      </c>
      <c r="F73" s="11" t="s">
        <v>1451</v>
      </c>
      <c r="G73" s="11" t="s">
        <v>1345</v>
      </c>
      <c r="H73" s="11" t="s">
        <v>15</v>
      </c>
      <c r="I73" s="11">
        <v>10</v>
      </c>
      <c r="J73" s="12" t="s">
        <v>27</v>
      </c>
      <c r="K73" s="591">
        <f>(9*38)+(1*29.4)</f>
        <v>371.4</v>
      </c>
      <c r="L73" s="7"/>
    </row>
    <row r="74" spans="1:12" ht="15.75" customHeight="1">
      <c r="A74" s="590" t="s">
        <v>976</v>
      </c>
      <c r="B74" s="11" t="s">
        <v>9</v>
      </c>
      <c r="C74" s="11">
        <v>38</v>
      </c>
      <c r="D74" s="11" t="s">
        <v>10</v>
      </c>
      <c r="E74" s="11">
        <v>457</v>
      </c>
      <c r="F74" s="11" t="s">
        <v>490</v>
      </c>
      <c r="G74" s="11" t="s">
        <v>724</v>
      </c>
      <c r="H74" s="11" t="s">
        <v>15</v>
      </c>
      <c r="I74" s="11">
        <v>20</v>
      </c>
      <c r="J74" s="12" t="s">
        <v>157</v>
      </c>
      <c r="K74" s="591">
        <f>(20*38)</f>
        <v>760</v>
      </c>
      <c r="L74" s="7"/>
    </row>
    <row r="75" spans="1:12" ht="15.75" customHeight="1">
      <c r="A75" s="590" t="s">
        <v>976</v>
      </c>
      <c r="B75" s="11" t="s">
        <v>9</v>
      </c>
      <c r="C75" s="11">
        <v>38</v>
      </c>
      <c r="D75" s="11" t="s">
        <v>10</v>
      </c>
      <c r="E75" s="11">
        <v>569</v>
      </c>
      <c r="F75" s="11" t="s">
        <v>1359</v>
      </c>
      <c r="G75" s="11" t="s">
        <v>36</v>
      </c>
      <c r="H75" s="11" t="s">
        <v>5</v>
      </c>
      <c r="I75" s="11">
        <v>20</v>
      </c>
      <c r="J75" s="12" t="s">
        <v>34</v>
      </c>
      <c r="K75" s="591">
        <f>(19*26)+(1*17.4)</f>
        <v>511.4</v>
      </c>
      <c r="L75" s="7"/>
    </row>
    <row r="76" spans="1:12" ht="15.75" customHeight="1">
      <c r="A76" s="590" t="s">
        <v>976</v>
      </c>
      <c r="B76" s="11" t="s">
        <v>9</v>
      </c>
      <c r="C76" s="11">
        <v>38</v>
      </c>
      <c r="D76" s="11" t="s">
        <v>10</v>
      </c>
      <c r="E76" s="11">
        <v>627</v>
      </c>
      <c r="F76" s="11" t="s">
        <v>746</v>
      </c>
      <c r="G76" s="11" t="s">
        <v>187</v>
      </c>
      <c r="H76" s="11" t="s">
        <v>5</v>
      </c>
      <c r="I76" s="11">
        <v>20</v>
      </c>
      <c r="J76" s="12" t="s">
        <v>17</v>
      </c>
      <c r="K76" s="591">
        <f>(19*35)+(1*26.4)</f>
        <v>691.4</v>
      </c>
      <c r="L76" s="7"/>
    </row>
    <row r="77" spans="1:12" ht="15.75" customHeight="1">
      <c r="A77" s="77" t="s">
        <v>1137</v>
      </c>
      <c r="B77" s="15" t="s">
        <v>9</v>
      </c>
      <c r="C77" s="15">
        <v>39</v>
      </c>
      <c r="D77" s="15" t="s">
        <v>10</v>
      </c>
      <c r="E77" s="15">
        <v>431</v>
      </c>
      <c r="F77" s="15" t="s">
        <v>579</v>
      </c>
      <c r="G77" s="15" t="s">
        <v>724</v>
      </c>
      <c r="H77" s="15" t="s">
        <v>15</v>
      </c>
      <c r="I77" s="15">
        <v>30</v>
      </c>
      <c r="J77" s="18" t="s">
        <v>25</v>
      </c>
      <c r="K77" s="589">
        <f>(29*38)+(1*29.4)</f>
        <v>1131.4000000000001</v>
      </c>
      <c r="L77" s="7"/>
    </row>
    <row r="78" spans="1:12" ht="15.75" customHeight="1">
      <c r="A78" s="77" t="s">
        <v>1137</v>
      </c>
      <c r="B78" s="15" t="s">
        <v>9</v>
      </c>
      <c r="C78" s="15">
        <v>39</v>
      </c>
      <c r="D78" s="15" t="s">
        <v>10</v>
      </c>
      <c r="E78" s="15">
        <v>432</v>
      </c>
      <c r="F78" s="15" t="s">
        <v>139</v>
      </c>
      <c r="G78" s="15" t="s">
        <v>724</v>
      </c>
      <c r="H78" s="15" t="s">
        <v>1324</v>
      </c>
      <c r="I78" s="15">
        <v>20</v>
      </c>
      <c r="J78" s="18" t="s">
        <v>157</v>
      </c>
      <c r="K78" s="589">
        <f>(20*38)</f>
        <v>760</v>
      </c>
      <c r="L78" s="7"/>
    </row>
    <row r="79" spans="1:12" ht="15.75" customHeight="1">
      <c r="A79" s="77" t="s">
        <v>1137</v>
      </c>
      <c r="B79" s="15" t="s">
        <v>9</v>
      </c>
      <c r="C79" s="15">
        <v>39</v>
      </c>
      <c r="D79" s="15" t="s">
        <v>10</v>
      </c>
      <c r="E79" s="15">
        <v>433</v>
      </c>
      <c r="F79" s="15" t="s">
        <v>1420</v>
      </c>
      <c r="G79" s="15" t="s">
        <v>724</v>
      </c>
      <c r="H79" s="15" t="s">
        <v>15</v>
      </c>
      <c r="I79" s="15">
        <v>20</v>
      </c>
      <c r="J79" s="18" t="s">
        <v>157</v>
      </c>
      <c r="K79" s="589">
        <f>(20*38)</f>
        <v>760</v>
      </c>
      <c r="L79" s="7"/>
    </row>
    <row r="80" spans="1:12" ht="15.75" customHeight="1">
      <c r="A80" s="77" t="s">
        <v>1137</v>
      </c>
      <c r="B80" s="15" t="s">
        <v>9</v>
      </c>
      <c r="C80" s="15">
        <v>39</v>
      </c>
      <c r="D80" s="15" t="s">
        <v>10</v>
      </c>
      <c r="E80" s="15">
        <v>453</v>
      </c>
      <c r="F80" s="15" t="s">
        <v>137</v>
      </c>
      <c r="G80" s="15" t="s">
        <v>1321</v>
      </c>
      <c r="H80" s="15" t="s">
        <v>15</v>
      </c>
      <c r="I80" s="15">
        <v>20</v>
      </c>
      <c r="J80" s="18" t="s">
        <v>155</v>
      </c>
      <c r="K80" s="589">
        <f>(20*26)</f>
        <v>520</v>
      </c>
      <c r="L80" s="7"/>
    </row>
    <row r="81" spans="1:12" ht="15.75" customHeight="1">
      <c r="A81" s="77" t="s">
        <v>1137</v>
      </c>
      <c r="B81" s="15" t="s">
        <v>9</v>
      </c>
      <c r="C81" s="15">
        <v>39</v>
      </c>
      <c r="D81" s="15" t="s">
        <v>10</v>
      </c>
      <c r="E81" s="15">
        <v>459</v>
      </c>
      <c r="F81" s="15" t="s">
        <v>483</v>
      </c>
      <c r="G81" s="15" t="s">
        <v>1321</v>
      </c>
      <c r="H81" s="15" t="s">
        <v>15</v>
      </c>
      <c r="I81" s="15">
        <v>20</v>
      </c>
      <c r="J81" s="18" t="s">
        <v>34</v>
      </c>
      <c r="K81" s="589">
        <f>(19*26)+(1*17.4)</f>
        <v>511.4</v>
      </c>
      <c r="L81" s="7"/>
    </row>
    <row r="82" spans="1:12" ht="15.75" customHeight="1">
      <c r="A82" s="77" t="s">
        <v>1137</v>
      </c>
      <c r="B82" s="15" t="s">
        <v>9</v>
      </c>
      <c r="C82" s="15">
        <v>39</v>
      </c>
      <c r="D82" s="15" t="s">
        <v>10</v>
      </c>
      <c r="E82" s="15">
        <v>460</v>
      </c>
      <c r="F82" s="15" t="s">
        <v>435</v>
      </c>
      <c r="G82" s="15" t="s">
        <v>1321</v>
      </c>
      <c r="H82" s="15" t="s">
        <v>15</v>
      </c>
      <c r="I82" s="15">
        <v>15</v>
      </c>
      <c r="J82" s="18" t="s">
        <v>37</v>
      </c>
      <c r="K82" s="589">
        <f>(14*26)+(1*17.4)</f>
        <v>381.4</v>
      </c>
      <c r="L82" s="7"/>
    </row>
    <row r="83" spans="1:12" ht="15.75" customHeight="1">
      <c r="A83" s="77" t="s">
        <v>1137</v>
      </c>
      <c r="B83" s="15" t="s">
        <v>9</v>
      </c>
      <c r="C83" s="15">
        <v>39</v>
      </c>
      <c r="D83" s="15" t="s">
        <v>10</v>
      </c>
      <c r="E83" s="15">
        <v>582</v>
      </c>
      <c r="F83" s="15" t="s">
        <v>681</v>
      </c>
      <c r="G83" s="15" t="s">
        <v>153</v>
      </c>
      <c r="H83" s="15" t="s">
        <v>15</v>
      </c>
      <c r="I83" s="15">
        <v>30</v>
      </c>
      <c r="J83" s="18" t="s">
        <v>12</v>
      </c>
      <c r="K83" s="589">
        <f>(29*35)+(1*26.4)</f>
        <v>1041.4000000000001</v>
      </c>
      <c r="L83" s="7"/>
    </row>
    <row r="84" spans="1:12" ht="15.75" customHeight="1">
      <c r="A84" s="77" t="s">
        <v>1137</v>
      </c>
      <c r="B84" s="15" t="s">
        <v>9</v>
      </c>
      <c r="C84" s="15">
        <v>39</v>
      </c>
      <c r="D84" s="15" t="s">
        <v>10</v>
      </c>
      <c r="E84" s="15">
        <v>584</v>
      </c>
      <c r="F84" s="15" t="s">
        <v>713</v>
      </c>
      <c r="G84" s="15" t="s">
        <v>153</v>
      </c>
      <c r="H84" s="15" t="s">
        <v>143</v>
      </c>
      <c r="I84" s="15">
        <v>15</v>
      </c>
      <c r="J84" s="18" t="s">
        <v>13</v>
      </c>
      <c r="K84" s="589">
        <f>(14*35)+(1*26.4)</f>
        <v>516.4</v>
      </c>
      <c r="L84" s="7"/>
    </row>
    <row r="85" spans="1:12" ht="15.75" customHeight="1">
      <c r="A85" s="77" t="s">
        <v>1137</v>
      </c>
      <c r="B85" s="15" t="s">
        <v>9</v>
      </c>
      <c r="C85" s="15">
        <v>39</v>
      </c>
      <c r="D85" s="15" t="s">
        <v>10</v>
      </c>
      <c r="E85" s="15">
        <v>597</v>
      </c>
      <c r="F85" s="15" t="s">
        <v>86</v>
      </c>
      <c r="G85" s="15" t="s">
        <v>36</v>
      </c>
      <c r="H85" s="15" t="s">
        <v>15</v>
      </c>
      <c r="I85" s="15">
        <v>20</v>
      </c>
      <c r="J85" s="18" t="s">
        <v>34</v>
      </c>
      <c r="K85" s="589">
        <f>(19*26)+(1*17.4)</f>
        <v>511.4</v>
      </c>
      <c r="L85" s="7"/>
    </row>
    <row r="86" spans="1:12" ht="15.75" customHeight="1">
      <c r="A86" s="77" t="s">
        <v>1137</v>
      </c>
      <c r="B86" s="15" t="s">
        <v>9</v>
      </c>
      <c r="C86" s="15">
        <v>39</v>
      </c>
      <c r="D86" s="15" t="s">
        <v>10</v>
      </c>
      <c r="E86" s="15">
        <v>655</v>
      </c>
      <c r="F86" s="15" t="s">
        <v>396</v>
      </c>
      <c r="G86" s="15" t="s">
        <v>187</v>
      </c>
      <c r="H86" s="15" t="s">
        <v>5</v>
      </c>
      <c r="I86" s="15">
        <v>20</v>
      </c>
      <c r="J86" s="18" t="s">
        <v>17</v>
      </c>
      <c r="K86" s="589">
        <f t="shared" ref="K86:K89" si="2">(19*35)+(1*26.4)</f>
        <v>691.4</v>
      </c>
      <c r="L86" s="7"/>
    </row>
    <row r="87" spans="1:12" ht="15.75" customHeight="1">
      <c r="A87" s="77" t="s">
        <v>1137</v>
      </c>
      <c r="B87" s="15" t="s">
        <v>9</v>
      </c>
      <c r="C87" s="15">
        <v>39</v>
      </c>
      <c r="D87" s="15" t="s">
        <v>10</v>
      </c>
      <c r="E87" s="15">
        <v>656</v>
      </c>
      <c r="F87" s="15" t="s">
        <v>444</v>
      </c>
      <c r="G87" s="15" t="s">
        <v>187</v>
      </c>
      <c r="H87" s="15" t="s">
        <v>5</v>
      </c>
      <c r="I87" s="15">
        <v>20</v>
      </c>
      <c r="J87" s="18" t="s">
        <v>17</v>
      </c>
      <c r="K87" s="589">
        <f t="shared" si="2"/>
        <v>691.4</v>
      </c>
      <c r="L87" s="7"/>
    </row>
    <row r="88" spans="1:12" ht="15.75" customHeight="1">
      <c r="A88" s="77" t="s">
        <v>1137</v>
      </c>
      <c r="B88" s="15" t="s">
        <v>9</v>
      </c>
      <c r="C88" s="15">
        <v>39</v>
      </c>
      <c r="D88" s="15" t="s">
        <v>10</v>
      </c>
      <c r="E88" s="15">
        <v>658</v>
      </c>
      <c r="F88" s="15" t="s">
        <v>410</v>
      </c>
      <c r="G88" s="15" t="s">
        <v>187</v>
      </c>
      <c r="H88" s="15" t="s">
        <v>15</v>
      </c>
      <c r="I88" s="15">
        <v>20</v>
      </c>
      <c r="J88" s="18" t="s">
        <v>17</v>
      </c>
      <c r="K88" s="589">
        <f t="shared" si="2"/>
        <v>691.4</v>
      </c>
      <c r="L88" s="7"/>
    </row>
    <row r="89" spans="1:12" ht="15.75" customHeight="1">
      <c r="A89" s="77" t="s">
        <v>1137</v>
      </c>
      <c r="B89" s="15" t="s">
        <v>9</v>
      </c>
      <c r="C89" s="15">
        <v>39</v>
      </c>
      <c r="D89" s="15" t="s">
        <v>10</v>
      </c>
      <c r="E89" s="15">
        <v>661</v>
      </c>
      <c r="F89" s="15" t="s">
        <v>1402</v>
      </c>
      <c r="G89" s="15" t="s">
        <v>187</v>
      </c>
      <c r="H89" s="15" t="s">
        <v>15</v>
      </c>
      <c r="I89" s="15">
        <v>20</v>
      </c>
      <c r="J89" s="18" t="s">
        <v>17</v>
      </c>
      <c r="K89" s="589">
        <f t="shared" si="2"/>
        <v>691.4</v>
      </c>
      <c r="L89" s="7"/>
    </row>
    <row r="90" spans="1:12">
      <c r="A90" s="590" t="s">
        <v>1139</v>
      </c>
      <c r="B90" s="11" t="s">
        <v>9</v>
      </c>
      <c r="C90" s="11">
        <v>38</v>
      </c>
      <c r="D90" s="11" t="s">
        <v>16</v>
      </c>
      <c r="E90" s="11">
        <v>49</v>
      </c>
      <c r="F90" s="11" t="s">
        <v>1523</v>
      </c>
      <c r="G90" s="11" t="s">
        <v>28</v>
      </c>
      <c r="H90" s="11" t="s">
        <v>5</v>
      </c>
      <c r="I90" s="11">
        <v>15</v>
      </c>
      <c r="J90" s="12" t="s">
        <v>1548</v>
      </c>
      <c r="K90" s="591">
        <f>(14*38)+(29.4)</f>
        <v>561.4</v>
      </c>
      <c r="L90" s="7"/>
    </row>
    <row r="91" spans="1:12">
      <c r="A91" s="590" t="s">
        <v>1139</v>
      </c>
      <c r="B91" s="11" t="s">
        <v>9</v>
      </c>
      <c r="C91" s="11">
        <v>38</v>
      </c>
      <c r="D91" s="11" t="s">
        <v>16</v>
      </c>
      <c r="E91" s="11">
        <v>127</v>
      </c>
      <c r="F91" s="11" t="s">
        <v>1516</v>
      </c>
      <c r="G91" s="11" t="s">
        <v>717</v>
      </c>
      <c r="H91" s="11" t="s">
        <v>143</v>
      </c>
      <c r="I91" s="11">
        <v>15</v>
      </c>
      <c r="J91" s="12" t="s">
        <v>14</v>
      </c>
      <c r="K91" s="591">
        <f>(14*38)+(1*29.4)</f>
        <v>561.4</v>
      </c>
      <c r="L91" s="7"/>
    </row>
    <row r="92" spans="1:12">
      <c r="A92" s="590" t="s">
        <v>1139</v>
      </c>
      <c r="B92" s="11" t="s">
        <v>9</v>
      </c>
      <c r="C92" s="11">
        <v>38</v>
      </c>
      <c r="D92" s="11" t="s">
        <v>16</v>
      </c>
      <c r="E92" s="11">
        <v>143</v>
      </c>
      <c r="F92" s="11" t="s">
        <v>403</v>
      </c>
      <c r="G92" s="11" t="s">
        <v>718</v>
      </c>
      <c r="H92" s="11" t="s">
        <v>143</v>
      </c>
      <c r="I92" s="11">
        <v>20</v>
      </c>
      <c r="J92" s="12" t="s">
        <v>157</v>
      </c>
      <c r="K92" s="591">
        <f>(20*38)</f>
        <v>760</v>
      </c>
      <c r="L92" s="7"/>
    </row>
    <row r="93" spans="1:12">
      <c r="A93" s="590" t="s">
        <v>1139</v>
      </c>
      <c r="B93" s="11" t="s">
        <v>9</v>
      </c>
      <c r="C93" s="11">
        <v>38</v>
      </c>
      <c r="D93" s="11" t="s">
        <v>16</v>
      </c>
      <c r="E93" s="11">
        <v>177</v>
      </c>
      <c r="F93" s="11" t="s">
        <v>442</v>
      </c>
      <c r="G93" s="11" t="s">
        <v>1377</v>
      </c>
      <c r="H93" s="11" t="s">
        <v>5</v>
      </c>
      <c r="I93" s="11">
        <v>20</v>
      </c>
      <c r="J93" s="12" t="s">
        <v>31</v>
      </c>
      <c r="K93" s="591">
        <f>(19*38)+(1*29.4)</f>
        <v>751.4</v>
      </c>
      <c r="L93" s="7"/>
    </row>
    <row r="94" spans="1:12">
      <c r="A94" s="590" t="s">
        <v>1139</v>
      </c>
      <c r="B94" s="11" t="s">
        <v>9</v>
      </c>
      <c r="C94" s="11">
        <v>38</v>
      </c>
      <c r="D94" s="11" t="s">
        <v>16</v>
      </c>
      <c r="E94" s="11">
        <v>227</v>
      </c>
      <c r="F94" s="11" t="s">
        <v>20</v>
      </c>
      <c r="G94" s="11" t="s">
        <v>1549</v>
      </c>
      <c r="H94" s="11" t="s">
        <v>15</v>
      </c>
      <c r="I94" s="11">
        <v>20</v>
      </c>
      <c r="J94" s="12" t="s">
        <v>1367</v>
      </c>
      <c r="K94" s="591">
        <f>(19*36)+(1*27.4)</f>
        <v>711.4</v>
      </c>
      <c r="L94" s="7"/>
    </row>
    <row r="95" spans="1:12">
      <c r="A95" s="590" t="s">
        <v>1139</v>
      </c>
      <c r="B95" s="11" t="s">
        <v>9</v>
      </c>
      <c r="C95" s="11">
        <v>38</v>
      </c>
      <c r="D95" s="11" t="s">
        <v>16</v>
      </c>
      <c r="E95" s="11">
        <v>231</v>
      </c>
      <c r="F95" s="11" t="s">
        <v>437</v>
      </c>
      <c r="G95" s="11" t="s">
        <v>1549</v>
      </c>
      <c r="H95" s="11" t="s">
        <v>15</v>
      </c>
      <c r="I95" s="11">
        <v>20</v>
      </c>
      <c r="J95" s="12" t="s">
        <v>1367</v>
      </c>
      <c r="K95" s="591">
        <f>(19*36)+(1*27.4)</f>
        <v>711.4</v>
      </c>
      <c r="L95" s="7"/>
    </row>
    <row r="96" spans="1:12">
      <c r="A96" s="590" t="s">
        <v>1139</v>
      </c>
      <c r="B96" s="11" t="s">
        <v>9</v>
      </c>
      <c r="C96" s="11">
        <v>38</v>
      </c>
      <c r="D96" s="11" t="s">
        <v>16</v>
      </c>
      <c r="E96" s="11">
        <v>268</v>
      </c>
      <c r="F96" s="11" t="s">
        <v>1551</v>
      </c>
      <c r="G96" s="11" t="s">
        <v>1550</v>
      </c>
      <c r="H96" s="11" t="s">
        <v>143</v>
      </c>
      <c r="I96" s="11">
        <v>15</v>
      </c>
      <c r="J96" s="12" t="s">
        <v>1349</v>
      </c>
      <c r="K96" s="591">
        <f>(14*26)+(1*20.2)</f>
        <v>384.2</v>
      </c>
      <c r="L96" s="7"/>
    </row>
    <row r="97" spans="1:12">
      <c r="A97" s="590" t="s">
        <v>1139</v>
      </c>
      <c r="B97" s="11" t="s">
        <v>9</v>
      </c>
      <c r="C97" s="11">
        <v>38</v>
      </c>
      <c r="D97" s="11" t="s">
        <v>16</v>
      </c>
      <c r="E97" s="11">
        <v>284</v>
      </c>
      <c r="F97" s="11" t="s">
        <v>1552</v>
      </c>
      <c r="G97" s="11" t="s">
        <v>40</v>
      </c>
      <c r="H97" s="11" t="s">
        <v>143</v>
      </c>
      <c r="I97" s="11">
        <v>20</v>
      </c>
      <c r="J97" s="12" t="s">
        <v>31</v>
      </c>
      <c r="K97" s="591">
        <f>(19*38)+(1*29.4)</f>
        <v>751.4</v>
      </c>
      <c r="L97" s="7"/>
    </row>
    <row r="98" spans="1:12">
      <c r="A98" s="590" t="s">
        <v>1139</v>
      </c>
      <c r="B98" s="11" t="s">
        <v>9</v>
      </c>
      <c r="C98" s="11">
        <v>38</v>
      </c>
      <c r="D98" s="11" t="s">
        <v>16</v>
      </c>
      <c r="E98" s="11">
        <v>291</v>
      </c>
      <c r="F98" s="11" t="s">
        <v>1329</v>
      </c>
      <c r="G98" s="11" t="s">
        <v>606</v>
      </c>
      <c r="H98" s="11" t="s">
        <v>15</v>
      </c>
      <c r="I98" s="11">
        <v>20</v>
      </c>
      <c r="J98" s="12" t="s">
        <v>157</v>
      </c>
      <c r="K98" s="591">
        <f>(20*38)</f>
        <v>760</v>
      </c>
      <c r="L98" s="7"/>
    </row>
    <row r="99" spans="1:12">
      <c r="A99" s="590" t="s">
        <v>1139</v>
      </c>
      <c r="B99" s="11" t="s">
        <v>9</v>
      </c>
      <c r="C99" s="11">
        <v>38</v>
      </c>
      <c r="D99" s="11" t="s">
        <v>16</v>
      </c>
      <c r="E99" s="11">
        <v>297</v>
      </c>
      <c r="F99" s="11" t="s">
        <v>1375</v>
      </c>
      <c r="G99" s="11" t="s">
        <v>606</v>
      </c>
      <c r="H99" s="11" t="s">
        <v>15</v>
      </c>
      <c r="I99" s="11">
        <v>15</v>
      </c>
      <c r="J99" s="12" t="s">
        <v>14</v>
      </c>
      <c r="K99" s="591">
        <f>(14*38)+(1*29.4)</f>
        <v>561.4</v>
      </c>
      <c r="L99" s="7"/>
    </row>
    <row r="100" spans="1:12">
      <c r="A100" s="590" t="s">
        <v>986</v>
      </c>
      <c r="B100" s="11" t="s">
        <v>9</v>
      </c>
      <c r="C100" s="11">
        <v>39</v>
      </c>
      <c r="D100" s="11" t="s">
        <v>10</v>
      </c>
      <c r="E100" s="11">
        <v>74</v>
      </c>
      <c r="F100" s="11" t="s">
        <v>1513</v>
      </c>
      <c r="G100" s="11" t="s">
        <v>39</v>
      </c>
      <c r="H100" s="11" t="s">
        <v>143</v>
      </c>
      <c r="I100" s="11">
        <v>20</v>
      </c>
      <c r="J100" s="12" t="s">
        <v>17</v>
      </c>
      <c r="K100" s="591">
        <f>(19*35)+(1*26.4)</f>
        <v>691.4</v>
      </c>
      <c r="L100" s="7"/>
    </row>
    <row r="101" spans="1:12">
      <c r="A101" s="590" t="s">
        <v>986</v>
      </c>
      <c r="B101" s="11" t="s">
        <v>9</v>
      </c>
      <c r="C101" s="11">
        <v>39</v>
      </c>
      <c r="D101" s="11" t="s">
        <v>10</v>
      </c>
      <c r="E101" s="11">
        <v>75</v>
      </c>
      <c r="F101" s="11" t="s">
        <v>120</v>
      </c>
      <c r="G101" s="11" t="s">
        <v>39</v>
      </c>
      <c r="H101" s="11" t="s">
        <v>143</v>
      </c>
      <c r="I101" s="11">
        <v>20</v>
      </c>
      <c r="J101" s="12" t="s">
        <v>17</v>
      </c>
      <c r="K101" s="591">
        <f t="shared" ref="K101" si="3">(19*35)+(1*26.4)</f>
        <v>691.4</v>
      </c>
      <c r="L101" s="7"/>
    </row>
    <row r="102" spans="1:12">
      <c r="A102" s="590" t="s">
        <v>986</v>
      </c>
      <c r="B102" s="11" t="s">
        <v>9</v>
      </c>
      <c r="C102" s="11">
        <v>39</v>
      </c>
      <c r="D102" s="11" t="s">
        <v>10</v>
      </c>
      <c r="E102" s="11">
        <v>87</v>
      </c>
      <c r="F102" s="11" t="s">
        <v>96</v>
      </c>
      <c r="G102" s="11" t="s">
        <v>28</v>
      </c>
      <c r="H102" s="11" t="s">
        <v>5</v>
      </c>
      <c r="I102" s="11">
        <v>20</v>
      </c>
      <c r="J102" s="12" t="s">
        <v>157</v>
      </c>
      <c r="K102" s="591">
        <f>(20*38)</f>
        <v>760</v>
      </c>
      <c r="L102" s="7"/>
    </row>
    <row r="103" spans="1:12">
      <c r="A103" s="590" t="s">
        <v>986</v>
      </c>
      <c r="B103" s="11" t="s">
        <v>9</v>
      </c>
      <c r="C103" s="11">
        <v>39</v>
      </c>
      <c r="D103" s="11" t="s">
        <v>10</v>
      </c>
      <c r="E103" s="11">
        <v>213</v>
      </c>
      <c r="F103" s="11" t="s">
        <v>427</v>
      </c>
      <c r="G103" s="11" t="s">
        <v>1390</v>
      </c>
      <c r="H103" s="11" t="s">
        <v>15</v>
      </c>
      <c r="I103" s="11">
        <v>10</v>
      </c>
      <c r="J103" s="12" t="s">
        <v>27</v>
      </c>
      <c r="K103" s="591">
        <f>(9*38)+(1*29.4)</f>
        <v>371.4</v>
      </c>
      <c r="L103" s="7"/>
    </row>
    <row r="104" spans="1:12">
      <c r="A104" s="590" t="s">
        <v>986</v>
      </c>
      <c r="B104" s="11" t="s">
        <v>9</v>
      </c>
      <c r="C104" s="11">
        <v>39</v>
      </c>
      <c r="D104" s="11" t="s">
        <v>10</v>
      </c>
      <c r="E104" s="11">
        <v>222</v>
      </c>
      <c r="F104" s="11" t="s">
        <v>525</v>
      </c>
      <c r="G104" s="11" t="s">
        <v>1353</v>
      </c>
      <c r="H104" s="11" t="s">
        <v>15</v>
      </c>
      <c r="I104" s="11">
        <v>20</v>
      </c>
      <c r="J104" s="12" t="s">
        <v>492</v>
      </c>
      <c r="K104" s="591">
        <f>(20*36)</f>
        <v>720</v>
      </c>
      <c r="L104" s="7"/>
    </row>
    <row r="105" spans="1:12">
      <c r="A105" s="590" t="s">
        <v>986</v>
      </c>
      <c r="B105" s="11" t="s">
        <v>9</v>
      </c>
      <c r="C105" s="11">
        <v>39</v>
      </c>
      <c r="D105" s="11" t="s">
        <v>10</v>
      </c>
      <c r="E105" s="11">
        <v>239</v>
      </c>
      <c r="F105" s="11" t="s">
        <v>766</v>
      </c>
      <c r="G105" s="11" t="s">
        <v>774</v>
      </c>
      <c r="H105" s="11" t="s">
        <v>15</v>
      </c>
      <c r="I105" s="11">
        <v>15</v>
      </c>
      <c r="J105" s="12" t="s">
        <v>37</v>
      </c>
      <c r="K105" s="591">
        <f>(14*26)+(1*17.4)</f>
        <v>381.4</v>
      </c>
      <c r="L105" s="7"/>
    </row>
    <row r="106" spans="1:12">
      <c r="A106" s="590" t="s">
        <v>986</v>
      </c>
      <c r="B106" s="11" t="s">
        <v>9</v>
      </c>
      <c r="C106" s="11">
        <v>39</v>
      </c>
      <c r="D106" s="11" t="s">
        <v>10</v>
      </c>
      <c r="E106" s="11">
        <v>243</v>
      </c>
      <c r="F106" s="11" t="s">
        <v>745</v>
      </c>
      <c r="G106" s="11" t="s">
        <v>774</v>
      </c>
      <c r="H106" s="11" t="s">
        <v>15</v>
      </c>
      <c r="I106" s="11">
        <v>13</v>
      </c>
      <c r="J106" s="12" t="s">
        <v>1429</v>
      </c>
      <c r="K106" s="591">
        <f>(13*26)</f>
        <v>338</v>
      </c>
      <c r="L106" s="7"/>
    </row>
    <row r="107" spans="1:12">
      <c r="A107" s="590" t="s">
        <v>986</v>
      </c>
      <c r="B107" s="11" t="s">
        <v>9</v>
      </c>
      <c r="C107" s="11">
        <v>39</v>
      </c>
      <c r="D107" s="11" t="s">
        <v>10</v>
      </c>
      <c r="E107" s="11">
        <v>255</v>
      </c>
      <c r="F107" s="11" t="s">
        <v>1558</v>
      </c>
      <c r="G107" s="11" t="s">
        <v>87</v>
      </c>
      <c r="H107" s="11" t="s">
        <v>15</v>
      </c>
      <c r="I107" s="11">
        <v>20</v>
      </c>
      <c r="J107" s="12" t="s">
        <v>34</v>
      </c>
      <c r="K107" s="591">
        <f>(19*26)+(1*17.4)</f>
        <v>511.4</v>
      </c>
      <c r="L107" s="7"/>
    </row>
    <row r="108" spans="1:12">
      <c r="A108" s="590" t="s">
        <v>986</v>
      </c>
      <c r="B108" s="11" t="s">
        <v>9</v>
      </c>
      <c r="C108" s="11">
        <v>39</v>
      </c>
      <c r="D108" s="11" t="s">
        <v>10</v>
      </c>
      <c r="E108" s="11">
        <v>256</v>
      </c>
      <c r="F108" s="11" t="s">
        <v>587</v>
      </c>
      <c r="G108" s="11" t="s">
        <v>87</v>
      </c>
      <c r="H108" s="11" t="s">
        <v>15</v>
      </c>
      <c r="I108" s="11">
        <v>20</v>
      </c>
      <c r="J108" s="12" t="s">
        <v>34</v>
      </c>
      <c r="K108" s="591">
        <f>(19*26)+(1*17.4)</f>
        <v>511.4</v>
      </c>
      <c r="L108" s="7"/>
    </row>
    <row r="109" spans="1:12" ht="15.75" thickBot="1">
      <c r="A109" s="592" t="s">
        <v>986</v>
      </c>
      <c r="B109" s="593" t="s">
        <v>9</v>
      </c>
      <c r="C109" s="593">
        <v>39</v>
      </c>
      <c r="D109" s="593" t="s">
        <v>10</v>
      </c>
      <c r="E109" s="593">
        <v>262</v>
      </c>
      <c r="F109" s="593" t="s">
        <v>1559</v>
      </c>
      <c r="G109" s="593" t="s">
        <v>179</v>
      </c>
      <c r="H109" s="593" t="s">
        <v>15</v>
      </c>
      <c r="I109" s="593">
        <v>20</v>
      </c>
      <c r="J109" s="595" t="s">
        <v>17</v>
      </c>
      <c r="K109" s="596">
        <f t="shared" ref="K109:K110" si="4">(19*35)+(1*26.4)</f>
        <v>691.4</v>
      </c>
      <c r="L109" s="7"/>
    </row>
    <row r="110" spans="1:12">
      <c r="A110" s="611" t="s">
        <v>986</v>
      </c>
      <c r="B110" s="612" t="s">
        <v>9</v>
      </c>
      <c r="C110" s="612">
        <v>39</v>
      </c>
      <c r="D110" s="612" t="s">
        <v>10</v>
      </c>
      <c r="E110" s="612">
        <v>267</v>
      </c>
      <c r="F110" s="612" t="s">
        <v>756</v>
      </c>
      <c r="G110" s="612" t="s">
        <v>179</v>
      </c>
      <c r="H110" s="612" t="s">
        <v>15</v>
      </c>
      <c r="I110" s="612">
        <v>20</v>
      </c>
      <c r="J110" s="613" t="s">
        <v>17</v>
      </c>
      <c r="K110" s="614">
        <f t="shared" si="4"/>
        <v>691.4</v>
      </c>
      <c r="L110" s="7"/>
    </row>
    <row r="111" spans="1:12">
      <c r="A111" s="590" t="s">
        <v>986</v>
      </c>
      <c r="B111" s="11" t="s">
        <v>9</v>
      </c>
      <c r="C111" s="11">
        <v>39</v>
      </c>
      <c r="D111" s="11" t="s">
        <v>10</v>
      </c>
      <c r="E111" s="11">
        <v>330</v>
      </c>
      <c r="F111" s="11" t="s">
        <v>509</v>
      </c>
      <c r="G111" s="11" t="s">
        <v>178</v>
      </c>
      <c r="H111" s="11" t="s">
        <v>15</v>
      </c>
      <c r="I111" s="11">
        <v>15</v>
      </c>
      <c r="J111" s="12" t="s">
        <v>14</v>
      </c>
      <c r="K111" s="591">
        <f>(14*38)+(1*29.4)</f>
        <v>561.4</v>
      </c>
      <c r="L111" s="7"/>
    </row>
    <row r="112" spans="1:12">
      <c r="A112" s="590" t="s">
        <v>986</v>
      </c>
      <c r="B112" s="11" t="s">
        <v>9</v>
      </c>
      <c r="C112" s="11">
        <v>39</v>
      </c>
      <c r="D112" s="11" t="s">
        <v>10</v>
      </c>
      <c r="E112" s="11">
        <v>332</v>
      </c>
      <c r="F112" s="11" t="s">
        <v>1394</v>
      </c>
      <c r="G112" s="11" t="s">
        <v>178</v>
      </c>
      <c r="H112" s="11" t="s">
        <v>15</v>
      </c>
      <c r="I112" s="11">
        <v>15</v>
      </c>
      <c r="J112" s="12" t="s">
        <v>14</v>
      </c>
      <c r="K112" s="591">
        <f>(14*38)+(1*29.4)</f>
        <v>561.4</v>
      </c>
      <c r="L112" s="7"/>
    </row>
    <row r="113" spans="1:12">
      <c r="A113" s="590" t="s">
        <v>986</v>
      </c>
      <c r="B113" s="11" t="s">
        <v>9</v>
      </c>
      <c r="C113" s="11">
        <v>39</v>
      </c>
      <c r="D113" s="11" t="s">
        <v>10</v>
      </c>
      <c r="E113" s="11">
        <v>361</v>
      </c>
      <c r="F113" s="11" t="s">
        <v>758</v>
      </c>
      <c r="G113" s="11" t="s">
        <v>99</v>
      </c>
      <c r="H113" s="11" t="s">
        <v>15</v>
      </c>
      <c r="I113" s="11">
        <v>15</v>
      </c>
      <c r="J113" s="12" t="s">
        <v>37</v>
      </c>
      <c r="K113" s="591">
        <f>(14*26)+(1*17.4)</f>
        <v>381.4</v>
      </c>
      <c r="L113" s="7"/>
    </row>
    <row r="114" spans="1:12">
      <c r="A114" s="590" t="s">
        <v>986</v>
      </c>
      <c r="B114" s="11" t="s">
        <v>9</v>
      </c>
      <c r="C114" s="11">
        <v>39</v>
      </c>
      <c r="D114" s="11" t="s">
        <v>10</v>
      </c>
      <c r="E114" s="11">
        <v>362</v>
      </c>
      <c r="F114" s="11" t="s">
        <v>727</v>
      </c>
      <c r="G114" s="11" t="s">
        <v>99</v>
      </c>
      <c r="H114" s="11" t="s">
        <v>15</v>
      </c>
      <c r="I114" s="11">
        <v>20</v>
      </c>
      <c r="J114" s="12" t="s">
        <v>34</v>
      </c>
      <c r="K114" s="591">
        <f>(19*26)+(1*17.4)</f>
        <v>511.4</v>
      </c>
      <c r="L114" s="7"/>
    </row>
    <row r="115" spans="1:12">
      <c r="A115" s="590" t="s">
        <v>986</v>
      </c>
      <c r="B115" s="11" t="s">
        <v>9</v>
      </c>
      <c r="C115" s="11">
        <v>39</v>
      </c>
      <c r="D115" s="11" t="s">
        <v>10</v>
      </c>
      <c r="E115" s="11">
        <v>363</v>
      </c>
      <c r="F115" s="11" t="s">
        <v>1560</v>
      </c>
      <c r="G115" s="11" t="s">
        <v>99</v>
      </c>
      <c r="H115" s="11" t="s">
        <v>15</v>
      </c>
      <c r="I115" s="11">
        <v>40</v>
      </c>
      <c r="J115" s="12" t="s">
        <v>406</v>
      </c>
      <c r="K115" s="591">
        <f>(39*26)+(1*17.4)</f>
        <v>1031.4000000000001</v>
      </c>
      <c r="L115" s="7"/>
    </row>
    <row r="116" spans="1:12">
      <c r="A116" s="590" t="s">
        <v>986</v>
      </c>
      <c r="B116" s="11" t="s">
        <v>9</v>
      </c>
      <c r="C116" s="11">
        <v>39</v>
      </c>
      <c r="D116" s="11" t="s">
        <v>10</v>
      </c>
      <c r="E116" s="11">
        <v>427</v>
      </c>
      <c r="F116" s="11" t="s">
        <v>116</v>
      </c>
      <c r="G116" s="11" t="s">
        <v>1347</v>
      </c>
      <c r="H116" s="11" t="s">
        <v>5</v>
      </c>
      <c r="I116" s="11">
        <v>20</v>
      </c>
      <c r="J116" s="12" t="s">
        <v>34</v>
      </c>
      <c r="K116" s="591">
        <f>(19*26)+(1*17.4)</f>
        <v>511.4</v>
      </c>
      <c r="L116" s="7"/>
    </row>
    <row r="117" spans="1:12">
      <c r="A117" s="590" t="s">
        <v>986</v>
      </c>
      <c r="B117" s="11" t="s">
        <v>9</v>
      </c>
      <c r="C117" s="11">
        <v>39</v>
      </c>
      <c r="D117" s="11" t="s">
        <v>10</v>
      </c>
      <c r="E117" s="11">
        <v>429</v>
      </c>
      <c r="F117" s="11" t="s">
        <v>390</v>
      </c>
      <c r="G117" s="11" t="s">
        <v>724</v>
      </c>
      <c r="H117" s="11" t="s">
        <v>5</v>
      </c>
      <c r="I117" s="11">
        <v>20</v>
      </c>
      <c r="J117" s="12" t="s">
        <v>157</v>
      </c>
      <c r="K117" s="591">
        <f>(20*38)</f>
        <v>760</v>
      </c>
      <c r="L117" s="7"/>
    </row>
    <row r="118" spans="1:12">
      <c r="A118" s="590" t="s">
        <v>986</v>
      </c>
      <c r="B118" s="11" t="s">
        <v>9</v>
      </c>
      <c r="C118" s="11">
        <v>39</v>
      </c>
      <c r="D118" s="11" t="s">
        <v>10</v>
      </c>
      <c r="E118" s="11">
        <v>485</v>
      </c>
      <c r="F118" s="11" t="s">
        <v>456</v>
      </c>
      <c r="G118" s="11" t="s">
        <v>1561</v>
      </c>
      <c r="H118" s="11" t="s">
        <v>15</v>
      </c>
      <c r="I118" s="11">
        <v>15</v>
      </c>
      <c r="J118" s="12" t="s">
        <v>37</v>
      </c>
      <c r="K118" s="591">
        <f>(14*26)+(1*17.4)</f>
        <v>381.4</v>
      </c>
      <c r="L118" s="7"/>
    </row>
    <row r="119" spans="1:12">
      <c r="A119" s="590" t="s">
        <v>993</v>
      </c>
      <c r="B119" s="11" t="s">
        <v>9</v>
      </c>
      <c r="C119" s="11">
        <v>39</v>
      </c>
      <c r="D119" s="11" t="s">
        <v>7</v>
      </c>
      <c r="E119" s="11">
        <v>498</v>
      </c>
      <c r="F119" s="11" t="s">
        <v>818</v>
      </c>
      <c r="G119" s="11" t="s">
        <v>1360</v>
      </c>
      <c r="H119" s="11" t="s">
        <v>15</v>
      </c>
      <c r="I119" s="11">
        <v>15</v>
      </c>
      <c r="J119" s="12" t="s">
        <v>13</v>
      </c>
      <c r="K119" s="591">
        <f>(14*35)+(1*26.4)</f>
        <v>516.4</v>
      </c>
      <c r="L119" s="7"/>
    </row>
    <row r="120" spans="1:12">
      <c r="A120" s="590" t="s">
        <v>993</v>
      </c>
      <c r="B120" s="11" t="s">
        <v>9</v>
      </c>
      <c r="C120" s="11">
        <v>39</v>
      </c>
      <c r="D120" s="11" t="s">
        <v>7</v>
      </c>
      <c r="E120" s="11">
        <v>499</v>
      </c>
      <c r="F120" s="11" t="s">
        <v>819</v>
      </c>
      <c r="G120" s="11" t="s">
        <v>1360</v>
      </c>
      <c r="H120" s="11" t="s">
        <v>15</v>
      </c>
      <c r="I120" s="11">
        <v>30</v>
      </c>
      <c r="J120" s="12" t="s">
        <v>12</v>
      </c>
      <c r="K120" s="591">
        <f>(29*35)+(1*26.4)</f>
        <v>1041.4000000000001</v>
      </c>
      <c r="L120" s="7"/>
    </row>
    <row r="121" spans="1:12">
      <c r="A121" s="590" t="s">
        <v>993</v>
      </c>
      <c r="B121" s="11" t="s">
        <v>9</v>
      </c>
      <c r="C121" s="11">
        <v>39</v>
      </c>
      <c r="D121" s="11" t="s">
        <v>7</v>
      </c>
      <c r="E121" s="11">
        <v>607</v>
      </c>
      <c r="F121" s="11" t="s">
        <v>586</v>
      </c>
      <c r="G121" s="11" t="s">
        <v>724</v>
      </c>
      <c r="H121" s="11" t="s">
        <v>5</v>
      </c>
      <c r="I121" s="11">
        <v>15</v>
      </c>
      <c r="J121" s="12" t="s">
        <v>14</v>
      </c>
      <c r="K121" s="591">
        <f>(14*38)+(1*29.4)</f>
        <v>561.4</v>
      </c>
      <c r="L121" s="7"/>
    </row>
    <row r="122" spans="1:12">
      <c r="A122" s="590" t="s">
        <v>993</v>
      </c>
      <c r="B122" s="11" t="s">
        <v>9</v>
      </c>
      <c r="C122" s="11">
        <v>39</v>
      </c>
      <c r="D122" s="11" t="s">
        <v>7</v>
      </c>
      <c r="E122" s="11">
        <v>609</v>
      </c>
      <c r="F122" s="11" t="s">
        <v>668</v>
      </c>
      <c r="G122" s="11" t="s">
        <v>724</v>
      </c>
      <c r="H122" s="11" t="s">
        <v>15</v>
      </c>
      <c r="I122" s="11">
        <v>15</v>
      </c>
      <c r="J122" s="12" t="s">
        <v>14</v>
      </c>
      <c r="K122" s="591">
        <f>(14*38)+(1*29.4)</f>
        <v>561.4</v>
      </c>
      <c r="L122" s="7"/>
    </row>
    <row r="123" spans="1:12">
      <c r="A123" s="590" t="s">
        <v>993</v>
      </c>
      <c r="B123" s="11" t="s">
        <v>9</v>
      </c>
      <c r="C123" s="11">
        <v>39</v>
      </c>
      <c r="D123" s="11" t="s">
        <v>7</v>
      </c>
      <c r="E123" s="11">
        <v>610</v>
      </c>
      <c r="F123" s="11" t="s">
        <v>364</v>
      </c>
      <c r="G123" s="11" t="s">
        <v>724</v>
      </c>
      <c r="H123" s="11" t="s">
        <v>15</v>
      </c>
      <c r="I123" s="11">
        <v>15</v>
      </c>
      <c r="J123" s="12" t="s">
        <v>14</v>
      </c>
      <c r="K123" s="591">
        <f>(14*38)+(1*29.4)</f>
        <v>561.4</v>
      </c>
      <c r="L123" s="7"/>
    </row>
    <row r="124" spans="1:12">
      <c r="A124" s="590" t="s">
        <v>993</v>
      </c>
      <c r="B124" s="11" t="s">
        <v>9</v>
      </c>
      <c r="C124" s="11">
        <v>39</v>
      </c>
      <c r="D124" s="11" t="s">
        <v>7</v>
      </c>
      <c r="E124" s="11">
        <v>611</v>
      </c>
      <c r="F124" s="11" t="s">
        <v>793</v>
      </c>
      <c r="G124" s="11" t="s">
        <v>724</v>
      </c>
      <c r="H124" s="11" t="s">
        <v>15</v>
      </c>
      <c r="I124" s="11">
        <v>15</v>
      </c>
      <c r="J124" s="12" t="s">
        <v>14</v>
      </c>
      <c r="K124" s="591">
        <f>(14*38)+(1*29.4)</f>
        <v>561.4</v>
      </c>
      <c r="L124" s="7"/>
    </row>
    <row r="125" spans="1:12">
      <c r="A125" s="590" t="s">
        <v>993</v>
      </c>
      <c r="B125" s="11" t="s">
        <v>9</v>
      </c>
      <c r="C125" s="11">
        <v>39</v>
      </c>
      <c r="D125" s="11" t="s">
        <v>7</v>
      </c>
      <c r="E125" s="11">
        <v>614</v>
      </c>
      <c r="F125" s="11" t="s">
        <v>186</v>
      </c>
      <c r="G125" s="11" t="s">
        <v>724</v>
      </c>
      <c r="H125" s="11" t="s">
        <v>1518</v>
      </c>
      <c r="I125" s="11">
        <v>15</v>
      </c>
      <c r="J125" s="12" t="s">
        <v>14</v>
      </c>
      <c r="K125" s="591">
        <f>(14*38)+(1*29.4)</f>
        <v>561.4</v>
      </c>
      <c r="L125" s="7"/>
    </row>
    <row r="126" spans="1:12">
      <c r="A126" s="590" t="s">
        <v>993</v>
      </c>
      <c r="B126" s="11" t="s">
        <v>9</v>
      </c>
      <c r="C126" s="11">
        <v>39</v>
      </c>
      <c r="D126" s="11" t="s">
        <v>29</v>
      </c>
      <c r="E126" s="11">
        <v>20</v>
      </c>
      <c r="F126" s="11" t="s">
        <v>119</v>
      </c>
      <c r="G126" s="11" t="s">
        <v>145</v>
      </c>
      <c r="H126" s="11" t="s">
        <v>5</v>
      </c>
      <c r="I126" s="11">
        <v>24</v>
      </c>
      <c r="J126" s="12" t="s">
        <v>734</v>
      </c>
      <c r="K126" s="591">
        <f>(23*35)+(1*26.4)</f>
        <v>831.4</v>
      </c>
      <c r="L126" s="7"/>
    </row>
    <row r="127" spans="1:12">
      <c r="A127" s="590" t="s">
        <v>993</v>
      </c>
      <c r="B127" s="11" t="s">
        <v>9</v>
      </c>
      <c r="C127" s="11">
        <v>39</v>
      </c>
      <c r="D127" s="11" t="s">
        <v>29</v>
      </c>
      <c r="E127" s="11">
        <v>21</v>
      </c>
      <c r="F127" s="11" t="s">
        <v>1557</v>
      </c>
      <c r="G127" s="11" t="s">
        <v>145</v>
      </c>
      <c r="H127" s="11" t="s">
        <v>15</v>
      </c>
      <c r="I127" s="11">
        <v>20</v>
      </c>
      <c r="J127" s="12" t="s">
        <v>17</v>
      </c>
      <c r="K127" s="591">
        <f>(19*35)+(1*26.4)</f>
        <v>691.4</v>
      </c>
      <c r="L127" s="7"/>
    </row>
    <row r="128" spans="1:12">
      <c r="A128" s="590" t="s">
        <v>993</v>
      </c>
      <c r="B128" s="11" t="s">
        <v>9</v>
      </c>
      <c r="C128" s="11">
        <v>39</v>
      </c>
      <c r="D128" s="11" t="s">
        <v>29</v>
      </c>
      <c r="E128" s="11">
        <v>50</v>
      </c>
      <c r="F128" s="11" t="s">
        <v>1469</v>
      </c>
      <c r="G128" s="11" t="s">
        <v>418</v>
      </c>
      <c r="H128" s="11" t="s">
        <v>15</v>
      </c>
      <c r="I128" s="11">
        <v>20</v>
      </c>
      <c r="J128" s="12" t="s">
        <v>17</v>
      </c>
      <c r="K128" s="591">
        <f>(19*35)+(1*26.4)</f>
        <v>691.4</v>
      </c>
      <c r="L128" s="7"/>
    </row>
    <row r="129" spans="1:12">
      <c r="A129" s="590" t="s">
        <v>993</v>
      </c>
      <c r="B129" s="11" t="s">
        <v>9</v>
      </c>
      <c r="C129" s="11">
        <v>39</v>
      </c>
      <c r="D129" s="11" t="s">
        <v>29</v>
      </c>
      <c r="E129" s="11">
        <v>78</v>
      </c>
      <c r="F129" s="11" t="s">
        <v>725</v>
      </c>
      <c r="G129" s="11" t="s">
        <v>167</v>
      </c>
      <c r="H129" s="11" t="s">
        <v>15</v>
      </c>
      <c r="I129" s="11">
        <v>15</v>
      </c>
      <c r="J129" s="12" t="s">
        <v>13</v>
      </c>
      <c r="K129" s="591">
        <f>(14*35)+(1*26.4)</f>
        <v>516.4</v>
      </c>
      <c r="L129" s="7"/>
    </row>
    <row r="130" spans="1:12">
      <c r="A130" s="590" t="s">
        <v>993</v>
      </c>
      <c r="B130" s="11" t="s">
        <v>9</v>
      </c>
      <c r="C130" s="11">
        <v>39</v>
      </c>
      <c r="D130" s="11" t="s">
        <v>29</v>
      </c>
      <c r="E130" s="11">
        <v>80</v>
      </c>
      <c r="F130" s="11" t="s">
        <v>455</v>
      </c>
      <c r="G130" s="11" t="s">
        <v>167</v>
      </c>
      <c r="H130" s="11" t="s">
        <v>15</v>
      </c>
      <c r="I130" s="11">
        <v>25</v>
      </c>
      <c r="J130" s="12" t="s">
        <v>112</v>
      </c>
      <c r="K130" s="591">
        <f>(24*35)+(1*26.4)</f>
        <v>866.4</v>
      </c>
      <c r="L130" s="7"/>
    </row>
    <row r="131" spans="1:12">
      <c r="A131" s="590" t="s">
        <v>993</v>
      </c>
      <c r="B131" s="11" t="s">
        <v>9</v>
      </c>
      <c r="C131" s="11">
        <v>39</v>
      </c>
      <c r="D131" s="11" t="s">
        <v>29</v>
      </c>
      <c r="E131" s="11">
        <v>92</v>
      </c>
      <c r="F131" s="11" t="s">
        <v>428</v>
      </c>
      <c r="G131" s="11" t="s">
        <v>1350</v>
      </c>
      <c r="H131" s="11" t="s">
        <v>15</v>
      </c>
      <c r="I131" s="11">
        <v>30</v>
      </c>
      <c r="J131" s="12" t="s">
        <v>109</v>
      </c>
      <c r="K131" s="591">
        <f>(29*26)+(1*17.4)</f>
        <v>771.4</v>
      </c>
      <c r="L131" s="7"/>
    </row>
    <row r="132" spans="1:12">
      <c r="A132" s="590" t="s">
        <v>993</v>
      </c>
      <c r="B132" s="11" t="s">
        <v>9</v>
      </c>
      <c r="C132" s="11">
        <v>39</v>
      </c>
      <c r="D132" s="11" t="s">
        <v>29</v>
      </c>
      <c r="E132" s="11">
        <v>98</v>
      </c>
      <c r="F132" s="11" t="s">
        <v>1562</v>
      </c>
      <c r="G132" s="11" t="s">
        <v>1563</v>
      </c>
      <c r="H132" s="11" t="s">
        <v>15</v>
      </c>
      <c r="I132" s="11">
        <v>25</v>
      </c>
      <c r="J132" s="12" t="s">
        <v>175</v>
      </c>
      <c r="K132" s="591">
        <f>(25*26)</f>
        <v>650</v>
      </c>
      <c r="L132" s="7"/>
    </row>
    <row r="133" spans="1:12">
      <c r="A133" s="590" t="s">
        <v>993</v>
      </c>
      <c r="B133" s="11" t="s">
        <v>9</v>
      </c>
      <c r="C133" s="11">
        <v>39</v>
      </c>
      <c r="D133" s="11" t="s">
        <v>29</v>
      </c>
      <c r="E133" s="11">
        <v>100</v>
      </c>
      <c r="F133" s="11" t="s">
        <v>388</v>
      </c>
      <c r="G133" s="11" t="s">
        <v>1563</v>
      </c>
      <c r="H133" s="11" t="s">
        <v>15</v>
      </c>
      <c r="I133" s="11">
        <v>20</v>
      </c>
      <c r="J133" s="12" t="s">
        <v>34</v>
      </c>
      <c r="K133" s="591">
        <f>(19*26)+(1*17.4)</f>
        <v>511.4</v>
      </c>
      <c r="L133" s="7"/>
    </row>
    <row r="134" spans="1:12">
      <c r="A134" s="590" t="s">
        <v>993</v>
      </c>
      <c r="B134" s="11" t="s">
        <v>9</v>
      </c>
      <c r="C134" s="11">
        <v>39</v>
      </c>
      <c r="D134" s="11" t="s">
        <v>29</v>
      </c>
      <c r="E134" s="11">
        <v>109</v>
      </c>
      <c r="F134" s="11" t="s">
        <v>506</v>
      </c>
      <c r="G134" s="11" t="s">
        <v>114</v>
      </c>
      <c r="H134" s="11" t="s">
        <v>15</v>
      </c>
      <c r="I134" s="11">
        <v>20</v>
      </c>
      <c r="J134" s="12" t="s">
        <v>34</v>
      </c>
      <c r="K134" s="591">
        <f>(19*26)+(1*17.4)</f>
        <v>511.4</v>
      </c>
      <c r="L134" s="7"/>
    </row>
    <row r="135" spans="1:12">
      <c r="A135" s="590" t="s">
        <v>993</v>
      </c>
      <c r="B135" s="11" t="s">
        <v>9</v>
      </c>
      <c r="C135" s="11">
        <v>39</v>
      </c>
      <c r="D135" s="11" t="s">
        <v>29</v>
      </c>
      <c r="E135" s="11">
        <v>110</v>
      </c>
      <c r="F135" s="11" t="s">
        <v>1564</v>
      </c>
      <c r="G135" s="11" t="s">
        <v>114</v>
      </c>
      <c r="H135" s="11" t="s">
        <v>15</v>
      </c>
      <c r="I135" s="11">
        <v>15</v>
      </c>
      <c r="J135" s="12" t="s">
        <v>37</v>
      </c>
      <c r="K135" s="591">
        <f>(14*26)+(1*17.4)</f>
        <v>381.4</v>
      </c>
      <c r="L135" s="7"/>
    </row>
    <row r="136" spans="1:12">
      <c r="A136" s="590" t="s">
        <v>993</v>
      </c>
      <c r="B136" s="11" t="s">
        <v>9</v>
      </c>
      <c r="C136" s="11">
        <v>39</v>
      </c>
      <c r="D136" s="11" t="s">
        <v>29</v>
      </c>
      <c r="E136" s="11">
        <v>111</v>
      </c>
      <c r="F136" s="11" t="s">
        <v>1459</v>
      </c>
      <c r="G136" s="11" t="s">
        <v>114</v>
      </c>
      <c r="H136" s="11" t="s">
        <v>15</v>
      </c>
      <c r="I136" s="11">
        <v>20</v>
      </c>
      <c r="J136" s="12" t="s">
        <v>34</v>
      </c>
      <c r="K136" s="591">
        <f>(19*26)+(1*17.4)</f>
        <v>511.4</v>
      </c>
      <c r="L136" s="7"/>
    </row>
    <row r="137" spans="1:12">
      <c r="A137" s="590" t="s">
        <v>993</v>
      </c>
      <c r="B137" s="11" t="s">
        <v>9</v>
      </c>
      <c r="C137" s="11">
        <v>39</v>
      </c>
      <c r="D137" s="11" t="s">
        <v>29</v>
      </c>
      <c r="E137" s="11">
        <v>143</v>
      </c>
      <c r="F137" s="11" t="s">
        <v>1405</v>
      </c>
      <c r="G137" s="11" t="s">
        <v>114</v>
      </c>
      <c r="H137" s="11" t="s">
        <v>15</v>
      </c>
      <c r="I137" s="11">
        <v>15</v>
      </c>
      <c r="J137" s="12" t="s">
        <v>37</v>
      </c>
      <c r="K137" s="591">
        <f>(14*26)+(1*17.4)</f>
        <v>381.4</v>
      </c>
      <c r="L137" s="7"/>
    </row>
    <row r="138" spans="1:12">
      <c r="A138" s="590" t="s">
        <v>993</v>
      </c>
      <c r="B138" s="11" t="s">
        <v>9</v>
      </c>
      <c r="C138" s="11">
        <v>39</v>
      </c>
      <c r="D138" s="11" t="s">
        <v>29</v>
      </c>
      <c r="E138" s="11">
        <v>146</v>
      </c>
      <c r="F138" s="11" t="s">
        <v>105</v>
      </c>
      <c r="G138" s="11" t="s">
        <v>1565</v>
      </c>
      <c r="H138" s="11" t="s">
        <v>15</v>
      </c>
      <c r="I138" s="11">
        <v>15</v>
      </c>
      <c r="J138" s="12" t="s">
        <v>37</v>
      </c>
      <c r="K138" s="591">
        <f>(14*26)+(1*17.4)</f>
        <v>381.4</v>
      </c>
      <c r="L138" s="7"/>
    </row>
    <row r="139" spans="1:12">
      <c r="A139" s="590" t="s">
        <v>993</v>
      </c>
      <c r="B139" s="11" t="s">
        <v>9</v>
      </c>
      <c r="C139" s="11">
        <v>39</v>
      </c>
      <c r="D139" s="11" t="s">
        <v>29</v>
      </c>
      <c r="E139" s="11">
        <v>147</v>
      </c>
      <c r="F139" s="11" t="s">
        <v>495</v>
      </c>
      <c r="G139" s="11" t="s">
        <v>1565</v>
      </c>
      <c r="H139" s="11" t="s">
        <v>15</v>
      </c>
      <c r="I139" s="11">
        <v>15</v>
      </c>
      <c r="J139" s="12" t="s">
        <v>37</v>
      </c>
      <c r="K139" s="591">
        <f>(14*26)+(1*17.4)</f>
        <v>381.4</v>
      </c>
      <c r="L139" s="7"/>
    </row>
    <row r="140" spans="1:12">
      <c r="A140" s="590" t="s">
        <v>993</v>
      </c>
      <c r="B140" s="11" t="s">
        <v>9</v>
      </c>
      <c r="C140" s="11">
        <v>39</v>
      </c>
      <c r="D140" s="11" t="s">
        <v>29</v>
      </c>
      <c r="E140" s="11">
        <v>148</v>
      </c>
      <c r="F140" s="11" t="s">
        <v>402</v>
      </c>
      <c r="G140" s="11" t="s">
        <v>1565</v>
      </c>
      <c r="H140" s="11" t="s">
        <v>15</v>
      </c>
      <c r="I140" s="11">
        <v>35</v>
      </c>
      <c r="J140" s="12" t="s">
        <v>204</v>
      </c>
      <c r="K140" s="591">
        <f>(34*26)+(1*17.4)</f>
        <v>901.4</v>
      </c>
      <c r="L140" s="7"/>
    </row>
    <row r="141" spans="1:12">
      <c r="A141" s="590" t="s">
        <v>993</v>
      </c>
      <c r="B141" s="11" t="s">
        <v>9</v>
      </c>
      <c r="C141" s="11" t="s">
        <v>618</v>
      </c>
      <c r="D141" s="11"/>
      <c r="E141" s="11"/>
      <c r="F141" s="11" t="s">
        <v>1568</v>
      </c>
      <c r="G141" s="11" t="s">
        <v>1550</v>
      </c>
      <c r="H141" s="11" t="s">
        <v>1518</v>
      </c>
      <c r="I141" s="11">
        <v>18</v>
      </c>
      <c r="J141" s="12" t="s">
        <v>513</v>
      </c>
      <c r="K141" s="591">
        <f>(18*26)</f>
        <v>468</v>
      </c>
      <c r="L141" s="7"/>
    </row>
    <row r="142" spans="1:12">
      <c r="A142" s="590" t="s">
        <v>993</v>
      </c>
      <c r="B142" s="11" t="s">
        <v>9</v>
      </c>
      <c r="C142" s="11" t="s">
        <v>618</v>
      </c>
      <c r="D142" s="11"/>
      <c r="E142" s="11"/>
      <c r="F142" s="11" t="s">
        <v>1569</v>
      </c>
      <c r="G142" s="11" t="s">
        <v>1550</v>
      </c>
      <c r="H142" s="11" t="s">
        <v>5</v>
      </c>
      <c r="I142" s="11">
        <v>20</v>
      </c>
      <c r="J142" s="12" t="s">
        <v>155</v>
      </c>
      <c r="K142" s="591">
        <f>(20*26)</f>
        <v>520</v>
      </c>
      <c r="L142" s="7"/>
    </row>
    <row r="143" spans="1:12">
      <c r="A143" s="590" t="s">
        <v>1144</v>
      </c>
      <c r="B143" s="11" t="s">
        <v>150</v>
      </c>
      <c r="C143" s="11">
        <v>43</v>
      </c>
      <c r="D143" s="11" t="s">
        <v>50</v>
      </c>
      <c r="E143" s="11">
        <v>406</v>
      </c>
      <c r="F143" s="11" t="s">
        <v>423</v>
      </c>
      <c r="G143" s="11" t="s">
        <v>705</v>
      </c>
      <c r="H143" s="11" t="s">
        <v>5</v>
      </c>
      <c r="I143" s="11">
        <v>30</v>
      </c>
      <c r="J143" s="12" t="s">
        <v>1570</v>
      </c>
      <c r="K143" s="591">
        <f>(28*34)+(2*26.3)</f>
        <v>1004.6</v>
      </c>
      <c r="L143" s="7"/>
    </row>
    <row r="144" spans="1:12">
      <c r="A144" s="590" t="s">
        <v>1144</v>
      </c>
      <c r="B144" s="11" t="s">
        <v>150</v>
      </c>
      <c r="C144" s="11">
        <v>43</v>
      </c>
      <c r="D144" s="11" t="s">
        <v>50</v>
      </c>
      <c r="E144" s="11">
        <v>490</v>
      </c>
      <c r="F144" s="11" t="s">
        <v>1326</v>
      </c>
      <c r="G144" s="11" t="s">
        <v>1517</v>
      </c>
      <c r="H144" s="11" t="s">
        <v>15</v>
      </c>
      <c r="I144" s="11">
        <v>21</v>
      </c>
      <c r="J144" s="12" t="s">
        <v>1571</v>
      </c>
      <c r="K144" s="591">
        <f>(19*36)+(2*28.3)</f>
        <v>740.6</v>
      </c>
      <c r="L144" s="7"/>
    </row>
    <row r="145" spans="1:12">
      <c r="A145" s="590" t="s">
        <v>1144</v>
      </c>
      <c r="B145" s="11" t="s">
        <v>150</v>
      </c>
      <c r="C145" s="11">
        <v>43</v>
      </c>
      <c r="D145" s="11" t="s">
        <v>50</v>
      </c>
      <c r="E145" s="11">
        <v>556</v>
      </c>
      <c r="F145" s="11" t="s">
        <v>140</v>
      </c>
      <c r="G145" s="11" t="s">
        <v>356</v>
      </c>
      <c r="H145" s="11" t="s">
        <v>5</v>
      </c>
      <c r="I145" s="11">
        <v>15</v>
      </c>
      <c r="J145" s="12" t="s">
        <v>624</v>
      </c>
      <c r="K145" s="591">
        <f>(14*34)+(1*26.3)</f>
        <v>502.3</v>
      </c>
      <c r="L145" s="7"/>
    </row>
    <row r="146" spans="1:12">
      <c r="A146" s="590" t="s">
        <v>1144</v>
      </c>
      <c r="B146" s="11" t="s">
        <v>150</v>
      </c>
      <c r="C146" s="11">
        <v>43</v>
      </c>
      <c r="D146" s="11" t="s">
        <v>50</v>
      </c>
      <c r="E146" s="11">
        <v>559</v>
      </c>
      <c r="F146" s="11" t="s">
        <v>1426</v>
      </c>
      <c r="G146" s="11" t="s">
        <v>356</v>
      </c>
      <c r="H146" s="11" t="s">
        <v>15</v>
      </c>
      <c r="I146" s="11">
        <v>15</v>
      </c>
      <c r="J146" s="12" t="s">
        <v>159</v>
      </c>
      <c r="K146" s="591">
        <f>(15*35)</f>
        <v>525</v>
      </c>
      <c r="L146" s="7"/>
    </row>
    <row r="147" spans="1:12">
      <c r="A147" s="590" t="s">
        <v>1144</v>
      </c>
      <c r="B147" s="11" t="s">
        <v>150</v>
      </c>
      <c r="C147" s="11">
        <v>43</v>
      </c>
      <c r="D147" s="11" t="s">
        <v>50</v>
      </c>
      <c r="E147" s="11">
        <v>563</v>
      </c>
      <c r="F147" s="11" t="s">
        <v>783</v>
      </c>
      <c r="G147" s="11" t="s">
        <v>356</v>
      </c>
      <c r="H147" s="11" t="s">
        <v>15</v>
      </c>
      <c r="I147" s="11">
        <v>15</v>
      </c>
      <c r="J147" s="12" t="s">
        <v>159</v>
      </c>
      <c r="K147" s="591">
        <f>(15*35)</f>
        <v>525</v>
      </c>
      <c r="L147" s="7"/>
    </row>
    <row r="148" spans="1:12" ht="15.75" thickBot="1">
      <c r="A148" s="592" t="s">
        <v>1144</v>
      </c>
      <c r="B148" s="593" t="s">
        <v>150</v>
      </c>
      <c r="C148" s="593">
        <v>43</v>
      </c>
      <c r="D148" s="593" t="s">
        <v>50</v>
      </c>
      <c r="E148" s="593">
        <v>564</v>
      </c>
      <c r="F148" s="593" t="s">
        <v>767</v>
      </c>
      <c r="G148" s="593" t="s">
        <v>356</v>
      </c>
      <c r="H148" s="593" t="s">
        <v>15</v>
      </c>
      <c r="I148" s="593">
        <v>15</v>
      </c>
      <c r="J148" s="595" t="s">
        <v>159</v>
      </c>
      <c r="K148" s="596">
        <f>(15*35)</f>
        <v>525</v>
      </c>
      <c r="L148" s="7"/>
    </row>
    <row r="149" spans="1:12">
      <c r="A149" s="611" t="s">
        <v>1144</v>
      </c>
      <c r="B149" s="612" t="s">
        <v>150</v>
      </c>
      <c r="C149" s="612">
        <v>43</v>
      </c>
      <c r="D149" s="612" t="s">
        <v>50</v>
      </c>
      <c r="E149" s="612">
        <v>636</v>
      </c>
      <c r="F149" s="612" t="s">
        <v>1420</v>
      </c>
      <c r="G149" s="612" t="s">
        <v>181</v>
      </c>
      <c r="H149" s="612" t="s">
        <v>5</v>
      </c>
      <c r="I149" s="612">
        <v>15</v>
      </c>
      <c r="J149" s="613" t="s">
        <v>97</v>
      </c>
      <c r="K149" s="614">
        <f>(15*38)</f>
        <v>570</v>
      </c>
      <c r="L149" s="7"/>
    </row>
    <row r="150" spans="1:12">
      <c r="A150" s="590" t="s">
        <v>1144</v>
      </c>
      <c r="B150" s="11" t="s">
        <v>150</v>
      </c>
      <c r="C150" s="11">
        <v>43</v>
      </c>
      <c r="D150" s="11" t="s">
        <v>50</v>
      </c>
      <c r="E150" s="11">
        <v>639</v>
      </c>
      <c r="F150" s="11" t="s">
        <v>1572</v>
      </c>
      <c r="G150" s="11" t="s">
        <v>181</v>
      </c>
      <c r="H150" s="11" t="s">
        <v>15</v>
      </c>
      <c r="I150" s="11">
        <v>15</v>
      </c>
      <c r="J150" s="12" t="s">
        <v>1416</v>
      </c>
      <c r="K150" s="591">
        <f>(14*40)+(1*32.3)</f>
        <v>592.29999999999995</v>
      </c>
      <c r="L150" s="7"/>
    </row>
    <row r="151" spans="1:12">
      <c r="A151" s="590" t="s">
        <v>1144</v>
      </c>
      <c r="B151" s="11" t="s">
        <v>150</v>
      </c>
      <c r="C151" s="11">
        <v>43</v>
      </c>
      <c r="D151" s="11" t="s">
        <v>50</v>
      </c>
      <c r="E151" s="11">
        <v>659</v>
      </c>
      <c r="F151" s="11" t="s">
        <v>1573</v>
      </c>
      <c r="G151" s="11" t="s">
        <v>1574</v>
      </c>
      <c r="H151" s="11" t="s">
        <v>15</v>
      </c>
      <c r="I151" s="11">
        <v>20</v>
      </c>
      <c r="J151" s="12" t="s">
        <v>698</v>
      </c>
      <c r="K151" s="591">
        <f>(19*32)+(1*27.7)</f>
        <v>635.70000000000005</v>
      </c>
      <c r="L151" s="7"/>
    </row>
    <row r="152" spans="1:12">
      <c r="A152" s="590" t="s">
        <v>1144</v>
      </c>
      <c r="B152" s="11" t="s">
        <v>150</v>
      </c>
      <c r="C152" s="11">
        <v>41</v>
      </c>
      <c r="D152" s="11" t="s">
        <v>7</v>
      </c>
      <c r="E152" s="15">
        <v>5026</v>
      </c>
      <c r="F152" s="11" t="s">
        <v>1579</v>
      </c>
      <c r="G152" s="11" t="s">
        <v>1480</v>
      </c>
      <c r="H152" s="15" t="s">
        <v>1340</v>
      </c>
      <c r="I152" s="15">
        <v>10</v>
      </c>
      <c r="J152" s="12" t="s">
        <v>1580</v>
      </c>
      <c r="K152" s="591">
        <f>(9*22)+(1*18)</f>
        <v>216</v>
      </c>
      <c r="L152" s="7"/>
    </row>
    <row r="153" spans="1:12">
      <c r="A153" s="590" t="s">
        <v>1144</v>
      </c>
      <c r="B153" s="11" t="s">
        <v>150</v>
      </c>
      <c r="C153" s="11">
        <v>41</v>
      </c>
      <c r="D153" s="11" t="s">
        <v>7</v>
      </c>
      <c r="E153" s="15">
        <v>5052</v>
      </c>
      <c r="F153" s="11" t="s">
        <v>1581</v>
      </c>
      <c r="G153" s="11" t="s">
        <v>1341</v>
      </c>
      <c r="H153" s="15" t="s">
        <v>1342</v>
      </c>
      <c r="I153" s="15">
        <v>10</v>
      </c>
      <c r="J153" s="12" t="s">
        <v>1582</v>
      </c>
      <c r="K153" s="591">
        <f>(9*20)+(1*17.4)</f>
        <v>197.4</v>
      </c>
      <c r="L153" s="7"/>
    </row>
    <row r="154" spans="1:12">
      <c r="A154" s="590" t="s">
        <v>1144</v>
      </c>
      <c r="B154" s="11" t="s">
        <v>150</v>
      </c>
      <c r="C154" s="11">
        <v>41</v>
      </c>
      <c r="D154" s="11" t="s">
        <v>7</v>
      </c>
      <c r="E154" s="15">
        <v>5064</v>
      </c>
      <c r="F154" s="11" t="s">
        <v>1583</v>
      </c>
      <c r="G154" s="11" t="s">
        <v>1341</v>
      </c>
      <c r="H154" s="15" t="s">
        <v>1499</v>
      </c>
      <c r="I154" s="15">
        <v>20</v>
      </c>
      <c r="J154" s="12" t="s">
        <v>1584</v>
      </c>
      <c r="K154" s="591">
        <f>(19*25)+(1*22.4)</f>
        <v>497.4</v>
      </c>
      <c r="L154" s="7"/>
    </row>
    <row r="155" spans="1:12">
      <c r="A155" s="590" t="s">
        <v>1144</v>
      </c>
      <c r="B155" s="11" t="s">
        <v>150</v>
      </c>
      <c r="C155" s="11">
        <v>41</v>
      </c>
      <c r="D155" s="11" t="s">
        <v>7</v>
      </c>
      <c r="E155" s="15">
        <v>5073</v>
      </c>
      <c r="F155" s="11" t="s">
        <v>1585</v>
      </c>
      <c r="G155" s="11" t="s">
        <v>1484</v>
      </c>
      <c r="H155" s="15" t="s">
        <v>1499</v>
      </c>
      <c r="I155" s="15">
        <v>10</v>
      </c>
      <c r="J155" s="12" t="s">
        <v>1586</v>
      </c>
      <c r="K155" s="591">
        <f>(9*20)+(1*16)</f>
        <v>196</v>
      </c>
      <c r="L155" s="7"/>
    </row>
    <row r="156" spans="1:12">
      <c r="A156" s="590" t="s">
        <v>1146</v>
      </c>
      <c r="B156" s="11" t="s">
        <v>9</v>
      </c>
      <c r="C156" s="11">
        <v>39</v>
      </c>
      <c r="D156" s="11" t="s">
        <v>16</v>
      </c>
      <c r="E156" s="15">
        <v>202</v>
      </c>
      <c r="F156" s="11" t="s">
        <v>730</v>
      </c>
      <c r="G156" s="11" t="s">
        <v>203</v>
      </c>
      <c r="H156" s="15" t="s">
        <v>15</v>
      </c>
      <c r="I156" s="15">
        <v>20</v>
      </c>
      <c r="J156" s="12" t="s">
        <v>17</v>
      </c>
      <c r="K156" s="591">
        <f t="shared" ref="K156:K161" si="5">(19*35)+(1*26.4)</f>
        <v>691.4</v>
      </c>
      <c r="L156" s="7"/>
    </row>
    <row r="157" spans="1:12">
      <c r="A157" s="590" t="s">
        <v>1146</v>
      </c>
      <c r="B157" s="11" t="s">
        <v>9</v>
      </c>
      <c r="C157" s="11">
        <v>39</v>
      </c>
      <c r="D157" s="11" t="s">
        <v>16</v>
      </c>
      <c r="E157" s="15">
        <v>203</v>
      </c>
      <c r="F157" s="11" t="s">
        <v>795</v>
      </c>
      <c r="G157" s="11" t="s">
        <v>203</v>
      </c>
      <c r="H157" s="15" t="s">
        <v>15</v>
      </c>
      <c r="I157" s="15">
        <v>20</v>
      </c>
      <c r="J157" s="12" t="s">
        <v>17</v>
      </c>
      <c r="K157" s="591">
        <f t="shared" si="5"/>
        <v>691.4</v>
      </c>
      <c r="L157" s="7"/>
    </row>
    <row r="158" spans="1:12">
      <c r="A158" s="590" t="s">
        <v>1146</v>
      </c>
      <c r="B158" s="11" t="s">
        <v>9</v>
      </c>
      <c r="C158" s="11">
        <v>39</v>
      </c>
      <c r="D158" s="11" t="s">
        <v>16</v>
      </c>
      <c r="E158" s="15">
        <v>206</v>
      </c>
      <c r="F158" s="11" t="s">
        <v>467</v>
      </c>
      <c r="G158" s="11" t="s">
        <v>203</v>
      </c>
      <c r="H158" s="15" t="s">
        <v>15</v>
      </c>
      <c r="I158" s="15">
        <v>20</v>
      </c>
      <c r="J158" s="12" t="s">
        <v>17</v>
      </c>
      <c r="K158" s="591">
        <f t="shared" si="5"/>
        <v>691.4</v>
      </c>
      <c r="L158" s="7"/>
    </row>
    <row r="159" spans="1:12">
      <c r="A159" s="590" t="s">
        <v>1146</v>
      </c>
      <c r="B159" s="11" t="s">
        <v>9</v>
      </c>
      <c r="C159" s="11">
        <v>39</v>
      </c>
      <c r="D159" s="11" t="s">
        <v>16</v>
      </c>
      <c r="E159" s="15">
        <v>207</v>
      </c>
      <c r="F159" s="11" t="s">
        <v>1587</v>
      </c>
      <c r="G159" s="11" t="s">
        <v>203</v>
      </c>
      <c r="H159" s="15" t="s">
        <v>1518</v>
      </c>
      <c r="I159" s="15">
        <v>20</v>
      </c>
      <c r="J159" s="12" t="s">
        <v>17</v>
      </c>
      <c r="K159" s="591">
        <f t="shared" si="5"/>
        <v>691.4</v>
      </c>
      <c r="L159" s="7"/>
    </row>
    <row r="160" spans="1:12">
      <c r="A160" s="590" t="s">
        <v>1146</v>
      </c>
      <c r="B160" s="11" t="s">
        <v>9</v>
      </c>
      <c r="C160" s="11">
        <v>39</v>
      </c>
      <c r="D160" s="11" t="s">
        <v>16</v>
      </c>
      <c r="E160" s="15">
        <v>208</v>
      </c>
      <c r="F160" s="11" t="s">
        <v>1315</v>
      </c>
      <c r="G160" s="11" t="s">
        <v>203</v>
      </c>
      <c r="H160" s="15" t="s">
        <v>1518</v>
      </c>
      <c r="I160" s="15">
        <v>20</v>
      </c>
      <c r="J160" s="12" t="s">
        <v>17</v>
      </c>
      <c r="K160" s="591">
        <f t="shared" si="5"/>
        <v>691.4</v>
      </c>
      <c r="L160" s="7"/>
    </row>
    <row r="161" spans="1:12">
      <c r="A161" s="590" t="s">
        <v>1146</v>
      </c>
      <c r="B161" s="11" t="s">
        <v>9</v>
      </c>
      <c r="C161" s="11">
        <v>39</v>
      </c>
      <c r="D161" s="11" t="s">
        <v>16</v>
      </c>
      <c r="E161" s="15">
        <v>209</v>
      </c>
      <c r="F161" s="11" t="s">
        <v>1588</v>
      </c>
      <c r="G161" s="11" t="s">
        <v>203</v>
      </c>
      <c r="H161" s="15" t="s">
        <v>1518</v>
      </c>
      <c r="I161" s="15">
        <v>20</v>
      </c>
      <c r="J161" s="12" t="s">
        <v>17</v>
      </c>
      <c r="K161" s="591">
        <f t="shared" si="5"/>
        <v>691.4</v>
      </c>
      <c r="L161" s="7"/>
    </row>
    <row r="162" spans="1:12">
      <c r="A162" s="590" t="s">
        <v>1146</v>
      </c>
      <c r="B162" s="11" t="s">
        <v>9</v>
      </c>
      <c r="C162" s="11">
        <v>39</v>
      </c>
      <c r="D162" s="11" t="s">
        <v>16</v>
      </c>
      <c r="E162" s="15">
        <v>248</v>
      </c>
      <c r="F162" s="11" t="s">
        <v>673</v>
      </c>
      <c r="G162" s="11" t="s">
        <v>115</v>
      </c>
      <c r="H162" s="15" t="s">
        <v>5</v>
      </c>
      <c r="I162" s="15">
        <v>20</v>
      </c>
      <c r="J162" s="12" t="s">
        <v>31</v>
      </c>
      <c r="K162" s="591">
        <f>+(19*38)+(1*29.4)</f>
        <v>751.4</v>
      </c>
      <c r="L162" s="7"/>
    </row>
    <row r="163" spans="1:12">
      <c r="A163" s="590" t="s">
        <v>1146</v>
      </c>
      <c r="B163" s="11" t="s">
        <v>9</v>
      </c>
      <c r="C163" s="11">
        <v>39</v>
      </c>
      <c r="D163" s="11" t="s">
        <v>16</v>
      </c>
      <c r="E163" s="15">
        <v>250</v>
      </c>
      <c r="F163" s="11" t="s">
        <v>1334</v>
      </c>
      <c r="G163" s="11" t="s">
        <v>115</v>
      </c>
      <c r="H163" s="15" t="s">
        <v>15</v>
      </c>
      <c r="I163" s="15">
        <v>20</v>
      </c>
      <c r="J163" s="12" t="s">
        <v>31</v>
      </c>
      <c r="K163" s="591">
        <f>+(19*38)+(1*29.4)</f>
        <v>751.4</v>
      </c>
      <c r="L163" s="7"/>
    </row>
    <row r="164" spans="1:12">
      <c r="A164" s="590" t="s">
        <v>1146</v>
      </c>
      <c r="B164" s="11" t="s">
        <v>9</v>
      </c>
      <c r="C164" s="11">
        <v>39</v>
      </c>
      <c r="D164" s="11" t="s">
        <v>16</v>
      </c>
      <c r="E164" s="15">
        <v>254</v>
      </c>
      <c r="F164" s="11" t="s">
        <v>434</v>
      </c>
      <c r="G164" s="11" t="s">
        <v>115</v>
      </c>
      <c r="H164" s="15" t="s">
        <v>15</v>
      </c>
      <c r="I164" s="15">
        <v>20</v>
      </c>
      <c r="J164" s="12" t="s">
        <v>31</v>
      </c>
      <c r="K164" s="591">
        <f>+(19*38)+(1*29.4)</f>
        <v>751.4</v>
      </c>
      <c r="L164" s="7"/>
    </row>
    <row r="165" spans="1:12">
      <c r="A165" s="590" t="s">
        <v>1146</v>
      </c>
      <c r="B165" s="11" t="s">
        <v>9</v>
      </c>
      <c r="C165" s="11">
        <v>39</v>
      </c>
      <c r="D165" s="11" t="s">
        <v>16</v>
      </c>
      <c r="E165" s="15">
        <v>333</v>
      </c>
      <c r="F165" s="11" t="s">
        <v>1391</v>
      </c>
      <c r="G165" s="11" t="s">
        <v>418</v>
      </c>
      <c r="H165" s="15" t="s">
        <v>15</v>
      </c>
      <c r="I165" s="15">
        <v>20</v>
      </c>
      <c r="J165" s="12" t="s">
        <v>17</v>
      </c>
      <c r="K165" s="591">
        <f>(19*35)+(1*26.4)</f>
        <v>691.4</v>
      </c>
      <c r="L165" s="7"/>
    </row>
    <row r="166" spans="1:12">
      <c r="A166" s="590" t="s">
        <v>1146</v>
      </c>
      <c r="B166" s="11" t="s">
        <v>9</v>
      </c>
      <c r="C166" s="11">
        <v>39</v>
      </c>
      <c r="D166" s="11" t="s">
        <v>16</v>
      </c>
      <c r="E166" s="15">
        <v>334</v>
      </c>
      <c r="F166" s="11" t="s">
        <v>430</v>
      </c>
      <c r="G166" s="11" t="s">
        <v>418</v>
      </c>
      <c r="H166" s="15" t="s">
        <v>15</v>
      </c>
      <c r="I166" s="15">
        <v>20</v>
      </c>
      <c r="J166" s="12" t="s">
        <v>17</v>
      </c>
      <c r="K166" s="591">
        <f>(19*35)+(1*26.4)</f>
        <v>691.4</v>
      </c>
      <c r="L166" s="7"/>
    </row>
    <row r="167" spans="1:12">
      <c r="A167" s="590" t="s">
        <v>1146</v>
      </c>
      <c r="B167" s="11" t="s">
        <v>9</v>
      </c>
      <c r="C167" s="11">
        <v>39</v>
      </c>
      <c r="D167" s="11" t="s">
        <v>16</v>
      </c>
      <c r="E167" s="15">
        <v>365</v>
      </c>
      <c r="F167" s="11" t="s">
        <v>781</v>
      </c>
      <c r="G167" s="11" t="s">
        <v>152</v>
      </c>
      <c r="H167" s="15" t="s">
        <v>15</v>
      </c>
      <c r="I167" s="15">
        <v>20</v>
      </c>
      <c r="J167" s="12" t="s">
        <v>31</v>
      </c>
      <c r="K167" s="591">
        <f>+(19*38)+(1*29.4)</f>
        <v>751.4</v>
      </c>
      <c r="L167" s="7"/>
    </row>
    <row r="168" spans="1:12">
      <c r="A168" s="590" t="s">
        <v>1146</v>
      </c>
      <c r="B168" s="11" t="s">
        <v>9</v>
      </c>
      <c r="C168" s="11">
        <v>39</v>
      </c>
      <c r="D168" s="11" t="s">
        <v>16</v>
      </c>
      <c r="E168" s="15">
        <v>367</v>
      </c>
      <c r="F168" s="11" t="s">
        <v>1564</v>
      </c>
      <c r="G168" s="11" t="s">
        <v>152</v>
      </c>
      <c r="H168" s="15" t="s">
        <v>15</v>
      </c>
      <c r="I168" s="15">
        <v>20</v>
      </c>
      <c r="J168" s="12" t="s">
        <v>31</v>
      </c>
      <c r="K168" s="591">
        <f>+(19*38)+(1*29.4)</f>
        <v>751.4</v>
      </c>
      <c r="L168" s="7"/>
    </row>
    <row r="169" spans="1:12">
      <c r="A169" s="590" t="s">
        <v>1146</v>
      </c>
      <c r="B169" s="11" t="s">
        <v>9</v>
      </c>
      <c r="C169" s="11">
        <v>39</v>
      </c>
      <c r="D169" s="11" t="s">
        <v>16</v>
      </c>
      <c r="E169" s="15">
        <v>400</v>
      </c>
      <c r="F169" s="11" t="s">
        <v>721</v>
      </c>
      <c r="G169" s="11" t="s">
        <v>1589</v>
      </c>
      <c r="H169" s="15" t="s">
        <v>15</v>
      </c>
      <c r="I169" s="15">
        <v>25</v>
      </c>
      <c r="J169" s="12" t="s">
        <v>170</v>
      </c>
      <c r="K169" s="591">
        <f>(25*38)</f>
        <v>950</v>
      </c>
      <c r="L169" s="7"/>
    </row>
    <row r="170" spans="1:12">
      <c r="A170" s="590" t="s">
        <v>1146</v>
      </c>
      <c r="B170" s="11" t="s">
        <v>9</v>
      </c>
      <c r="C170" s="11">
        <v>39</v>
      </c>
      <c r="D170" s="11" t="s">
        <v>16</v>
      </c>
      <c r="E170" s="15">
        <v>404</v>
      </c>
      <c r="F170" s="11" t="s">
        <v>732</v>
      </c>
      <c r="G170" s="11" t="s">
        <v>1589</v>
      </c>
      <c r="H170" s="15" t="s">
        <v>15</v>
      </c>
      <c r="I170" s="15">
        <v>20</v>
      </c>
      <c r="J170" s="12" t="s">
        <v>31</v>
      </c>
      <c r="K170" s="591">
        <f>+(19*38)+(1*29.4)</f>
        <v>751.4</v>
      </c>
      <c r="L170" s="7"/>
    </row>
    <row r="171" spans="1:12">
      <c r="A171" s="590" t="s">
        <v>1146</v>
      </c>
      <c r="B171" s="11" t="s">
        <v>9</v>
      </c>
      <c r="C171" s="11">
        <v>39</v>
      </c>
      <c r="D171" s="11" t="s">
        <v>16</v>
      </c>
      <c r="E171" s="15">
        <v>522</v>
      </c>
      <c r="F171" s="11" t="s">
        <v>632</v>
      </c>
      <c r="G171" s="11" t="s">
        <v>199</v>
      </c>
      <c r="H171" s="15" t="s">
        <v>15</v>
      </c>
      <c r="I171" s="15">
        <v>15</v>
      </c>
      <c r="J171" s="12" t="s">
        <v>127</v>
      </c>
      <c r="K171" s="591">
        <f>(14*34)+(1*25.4)</f>
        <v>501.4</v>
      </c>
      <c r="L171" s="7"/>
    </row>
    <row r="172" spans="1:12">
      <c r="A172" s="590" t="s">
        <v>1146</v>
      </c>
      <c r="B172" s="11" t="s">
        <v>9</v>
      </c>
      <c r="C172" s="11">
        <v>39</v>
      </c>
      <c r="D172" s="11" t="s">
        <v>16</v>
      </c>
      <c r="E172" s="15">
        <v>523</v>
      </c>
      <c r="F172" s="11" t="s">
        <v>1590</v>
      </c>
      <c r="G172" s="11" t="s">
        <v>199</v>
      </c>
      <c r="H172" s="15" t="s">
        <v>15</v>
      </c>
      <c r="I172" s="15">
        <v>20</v>
      </c>
      <c r="J172" s="12" t="s">
        <v>154</v>
      </c>
      <c r="K172" s="591">
        <f>(20*34)</f>
        <v>680</v>
      </c>
      <c r="L172" s="7"/>
    </row>
    <row r="173" spans="1:12">
      <c r="A173" s="590" t="s">
        <v>1146</v>
      </c>
      <c r="B173" s="11" t="s">
        <v>9</v>
      </c>
      <c r="C173" s="11">
        <v>39</v>
      </c>
      <c r="D173" s="11" t="s">
        <v>16</v>
      </c>
      <c r="E173" s="15">
        <v>9</v>
      </c>
      <c r="F173" s="11" t="s">
        <v>454</v>
      </c>
      <c r="G173" s="11" t="s">
        <v>36</v>
      </c>
      <c r="H173" s="15" t="s">
        <v>5</v>
      </c>
      <c r="I173" s="15">
        <v>20</v>
      </c>
      <c r="J173" s="12" t="s">
        <v>34</v>
      </c>
      <c r="K173" s="591">
        <f>(19*26)+(1*17.4)</f>
        <v>511.4</v>
      </c>
      <c r="L173" s="7"/>
    </row>
    <row r="174" spans="1:12">
      <c r="A174" s="590" t="s">
        <v>1146</v>
      </c>
      <c r="B174" s="11" t="s">
        <v>9</v>
      </c>
      <c r="C174" s="11">
        <v>39</v>
      </c>
      <c r="D174" s="11" t="s">
        <v>16</v>
      </c>
      <c r="E174" s="15">
        <v>10</v>
      </c>
      <c r="F174" s="11" t="s">
        <v>781</v>
      </c>
      <c r="G174" s="11" t="s">
        <v>36</v>
      </c>
      <c r="H174" s="15" t="s">
        <v>5</v>
      </c>
      <c r="I174" s="15">
        <v>20</v>
      </c>
      <c r="J174" s="12" t="s">
        <v>34</v>
      </c>
      <c r="K174" s="591">
        <f>(19*26)+(1*17.4)</f>
        <v>511.4</v>
      </c>
      <c r="L174" s="7"/>
    </row>
    <row r="175" spans="1:12">
      <c r="A175" s="590" t="s">
        <v>1148</v>
      </c>
      <c r="B175" s="11" t="s">
        <v>9</v>
      </c>
      <c r="C175" s="11">
        <v>39</v>
      </c>
      <c r="D175" s="11" t="s">
        <v>16</v>
      </c>
      <c r="E175" s="15">
        <v>36</v>
      </c>
      <c r="F175" s="11" t="s">
        <v>665</v>
      </c>
      <c r="G175" s="11" t="s">
        <v>354</v>
      </c>
      <c r="H175" s="15" t="s">
        <v>5</v>
      </c>
      <c r="I175" s="15">
        <v>20</v>
      </c>
      <c r="J175" s="12" t="s">
        <v>31</v>
      </c>
      <c r="K175" s="591">
        <f>(19*38)+(1*29.4)</f>
        <v>751.4</v>
      </c>
      <c r="L175" s="7"/>
    </row>
    <row r="176" spans="1:12">
      <c r="A176" s="590" t="s">
        <v>1148</v>
      </c>
      <c r="B176" s="11" t="s">
        <v>9</v>
      </c>
      <c r="C176" s="11">
        <v>39</v>
      </c>
      <c r="D176" s="11" t="s">
        <v>16</v>
      </c>
      <c r="E176" s="15">
        <v>37</v>
      </c>
      <c r="F176" s="11" t="s">
        <v>1591</v>
      </c>
      <c r="G176" s="11" t="s">
        <v>354</v>
      </c>
      <c r="H176" s="15" t="s">
        <v>5</v>
      </c>
      <c r="I176" s="15">
        <v>10</v>
      </c>
      <c r="J176" s="12" t="s">
        <v>27</v>
      </c>
      <c r="K176" s="591">
        <f>(9*38)+(1*29.4)</f>
        <v>371.4</v>
      </c>
      <c r="L176" s="7"/>
    </row>
    <row r="177" spans="1:12">
      <c r="A177" s="590" t="s">
        <v>1148</v>
      </c>
      <c r="B177" s="11" t="s">
        <v>9</v>
      </c>
      <c r="C177" s="11">
        <v>39</v>
      </c>
      <c r="D177" s="11" t="s">
        <v>16</v>
      </c>
      <c r="E177" s="15">
        <v>59</v>
      </c>
      <c r="F177" s="11" t="s">
        <v>75</v>
      </c>
      <c r="G177" s="11" t="s">
        <v>28</v>
      </c>
      <c r="H177" s="15" t="s">
        <v>5</v>
      </c>
      <c r="I177" s="15">
        <v>25</v>
      </c>
      <c r="J177" s="12" t="s">
        <v>170</v>
      </c>
      <c r="K177" s="591">
        <f>(25*38)</f>
        <v>950</v>
      </c>
      <c r="L177" s="7"/>
    </row>
    <row r="178" spans="1:12">
      <c r="A178" s="590" t="s">
        <v>1148</v>
      </c>
      <c r="B178" s="11" t="s">
        <v>9</v>
      </c>
      <c r="C178" s="11">
        <v>39</v>
      </c>
      <c r="D178" s="11" t="s">
        <v>16</v>
      </c>
      <c r="E178" s="15">
        <v>61</v>
      </c>
      <c r="F178" s="11" t="s">
        <v>160</v>
      </c>
      <c r="G178" s="11" t="s">
        <v>28</v>
      </c>
      <c r="H178" s="15" t="s">
        <v>5</v>
      </c>
      <c r="I178" s="15">
        <v>25</v>
      </c>
      <c r="J178" s="12" t="s">
        <v>170</v>
      </c>
      <c r="K178" s="591">
        <f>(25*38)</f>
        <v>950</v>
      </c>
      <c r="L178" s="7"/>
    </row>
    <row r="179" spans="1:12">
      <c r="A179" s="590" t="s">
        <v>1148</v>
      </c>
      <c r="B179" s="11" t="s">
        <v>9</v>
      </c>
      <c r="C179" s="11">
        <v>39</v>
      </c>
      <c r="D179" s="11" t="s">
        <v>16</v>
      </c>
      <c r="E179" s="15">
        <v>72</v>
      </c>
      <c r="F179" s="11" t="s">
        <v>450</v>
      </c>
      <c r="G179" s="11" t="s">
        <v>28</v>
      </c>
      <c r="H179" s="15" t="s">
        <v>1518</v>
      </c>
      <c r="I179" s="15">
        <v>15</v>
      </c>
      <c r="J179" s="12" t="s">
        <v>14</v>
      </c>
      <c r="K179" s="591">
        <f>(14*38)+(1*29.4)</f>
        <v>561.4</v>
      </c>
      <c r="L179" s="7"/>
    </row>
    <row r="180" spans="1:12">
      <c r="A180" s="590" t="s">
        <v>1148</v>
      </c>
      <c r="B180" s="11" t="s">
        <v>9</v>
      </c>
      <c r="C180" s="11">
        <v>39</v>
      </c>
      <c r="D180" s="11" t="s">
        <v>16</v>
      </c>
      <c r="E180" s="15">
        <v>96</v>
      </c>
      <c r="F180" s="11" t="s">
        <v>386</v>
      </c>
      <c r="G180" s="11" t="s">
        <v>124</v>
      </c>
      <c r="H180" s="15" t="s">
        <v>15</v>
      </c>
      <c r="I180" s="15">
        <v>15</v>
      </c>
      <c r="J180" s="12" t="s">
        <v>13</v>
      </c>
      <c r="K180" s="591">
        <f>(14*35)+(1*26.4)</f>
        <v>516.4</v>
      </c>
      <c r="L180" s="7"/>
    </row>
    <row r="181" spans="1:12">
      <c r="A181" s="590" t="s">
        <v>1148</v>
      </c>
      <c r="B181" s="11" t="s">
        <v>9</v>
      </c>
      <c r="C181" s="11">
        <v>39</v>
      </c>
      <c r="D181" s="11" t="s">
        <v>16</v>
      </c>
      <c r="E181" s="15">
        <v>108</v>
      </c>
      <c r="F181" s="11" t="s">
        <v>188</v>
      </c>
      <c r="G181" s="11" t="s">
        <v>716</v>
      </c>
      <c r="H181" s="15" t="s">
        <v>15</v>
      </c>
      <c r="I181" s="15">
        <v>20</v>
      </c>
      <c r="J181" s="12" t="s">
        <v>41</v>
      </c>
      <c r="K181" s="591">
        <f>(18*38)+(2*29.4)</f>
        <v>742.8</v>
      </c>
      <c r="L181" s="7"/>
    </row>
    <row r="182" spans="1:12">
      <c r="A182" s="590" t="s">
        <v>1148</v>
      </c>
      <c r="B182" s="11" t="s">
        <v>9</v>
      </c>
      <c r="C182" s="11">
        <v>39</v>
      </c>
      <c r="D182" s="11" t="s">
        <v>16</v>
      </c>
      <c r="E182" s="15">
        <v>109</v>
      </c>
      <c r="F182" s="11" t="s">
        <v>172</v>
      </c>
      <c r="G182" s="11" t="s">
        <v>716</v>
      </c>
      <c r="H182" s="15" t="s">
        <v>15</v>
      </c>
      <c r="I182" s="15">
        <v>20</v>
      </c>
      <c r="J182" s="12" t="s">
        <v>41</v>
      </c>
      <c r="K182" s="591">
        <f>(18*38)+(2*29.4)</f>
        <v>742.8</v>
      </c>
      <c r="L182" s="7"/>
    </row>
    <row r="183" spans="1:12">
      <c r="A183" s="590" t="s">
        <v>1148</v>
      </c>
      <c r="B183" s="11" t="s">
        <v>9</v>
      </c>
      <c r="C183" s="11">
        <v>39</v>
      </c>
      <c r="D183" s="11" t="s">
        <v>16</v>
      </c>
      <c r="E183" s="15">
        <v>110</v>
      </c>
      <c r="F183" s="11" t="s">
        <v>1543</v>
      </c>
      <c r="G183" s="11" t="s">
        <v>716</v>
      </c>
      <c r="H183" s="15" t="s">
        <v>15</v>
      </c>
      <c r="I183" s="15">
        <v>20</v>
      </c>
      <c r="J183" s="12" t="s">
        <v>41</v>
      </c>
      <c r="K183" s="591">
        <f>(18*38)+(2*29.4)</f>
        <v>742.8</v>
      </c>
      <c r="L183" s="7"/>
    </row>
    <row r="184" spans="1:12">
      <c r="A184" s="590" t="s">
        <v>1148</v>
      </c>
      <c r="B184" s="11" t="s">
        <v>9</v>
      </c>
      <c r="C184" s="11">
        <v>39</v>
      </c>
      <c r="D184" s="11" t="s">
        <v>16</v>
      </c>
      <c r="E184" s="15">
        <v>119</v>
      </c>
      <c r="F184" s="11" t="s">
        <v>1592</v>
      </c>
      <c r="G184" s="11" t="s">
        <v>717</v>
      </c>
      <c r="H184" s="15" t="s">
        <v>1518</v>
      </c>
      <c r="I184" s="15">
        <v>25</v>
      </c>
      <c r="J184" s="12" t="s">
        <v>170</v>
      </c>
      <c r="K184" s="591">
        <f>(25*38)</f>
        <v>950</v>
      </c>
      <c r="L184" s="7"/>
    </row>
    <row r="185" spans="1:12">
      <c r="A185" s="590" t="s">
        <v>1148</v>
      </c>
      <c r="B185" s="11" t="s">
        <v>9</v>
      </c>
      <c r="C185" s="11">
        <v>39</v>
      </c>
      <c r="D185" s="11" t="s">
        <v>16</v>
      </c>
      <c r="E185" s="15">
        <v>125</v>
      </c>
      <c r="F185" s="11" t="s">
        <v>1593</v>
      </c>
      <c r="G185" s="11" t="s">
        <v>718</v>
      </c>
      <c r="H185" s="15" t="s">
        <v>1518</v>
      </c>
      <c r="I185" s="15">
        <v>15</v>
      </c>
      <c r="J185" s="12" t="s">
        <v>14</v>
      </c>
      <c r="K185" s="591">
        <f>(14*38)+(1*29.4)</f>
        <v>561.4</v>
      </c>
      <c r="L185" s="7"/>
    </row>
    <row r="186" spans="1:12">
      <c r="A186" s="590" t="s">
        <v>1148</v>
      </c>
      <c r="B186" s="11" t="s">
        <v>9</v>
      </c>
      <c r="C186" s="11">
        <v>39</v>
      </c>
      <c r="D186" s="11" t="s">
        <v>16</v>
      </c>
      <c r="E186" s="15">
        <v>131</v>
      </c>
      <c r="F186" s="11" t="s">
        <v>1594</v>
      </c>
      <c r="G186" s="11" t="s">
        <v>1430</v>
      </c>
      <c r="H186" s="15" t="s">
        <v>15</v>
      </c>
      <c r="I186" s="15">
        <v>20</v>
      </c>
      <c r="J186" s="12" t="s">
        <v>157</v>
      </c>
      <c r="K186" s="591">
        <f>(20*38)</f>
        <v>760</v>
      </c>
      <c r="L186" s="7"/>
    </row>
    <row r="187" spans="1:12" ht="15.75" thickBot="1">
      <c r="A187" s="592" t="s">
        <v>1148</v>
      </c>
      <c r="B187" s="593" t="s">
        <v>9</v>
      </c>
      <c r="C187" s="593">
        <v>39</v>
      </c>
      <c r="D187" s="593" t="s">
        <v>16</v>
      </c>
      <c r="E187" s="594">
        <v>154</v>
      </c>
      <c r="F187" s="593" t="s">
        <v>1595</v>
      </c>
      <c r="G187" s="593" t="s">
        <v>1377</v>
      </c>
      <c r="H187" s="594" t="s">
        <v>1518</v>
      </c>
      <c r="I187" s="594">
        <v>20</v>
      </c>
      <c r="J187" s="595" t="s">
        <v>31</v>
      </c>
      <c r="K187" s="596">
        <f>(19*38)+(1*29.4)</f>
        <v>751.4</v>
      </c>
      <c r="L187" s="7"/>
    </row>
    <row r="188" spans="1:12">
      <c r="A188" s="611" t="s">
        <v>1148</v>
      </c>
      <c r="B188" s="612" t="s">
        <v>9</v>
      </c>
      <c r="C188" s="612">
        <v>39</v>
      </c>
      <c r="D188" s="612" t="s">
        <v>16</v>
      </c>
      <c r="E188" s="61">
        <v>164</v>
      </c>
      <c r="F188" s="612" t="s">
        <v>1445</v>
      </c>
      <c r="G188" s="612" t="s">
        <v>747</v>
      </c>
      <c r="H188" s="61" t="s">
        <v>15</v>
      </c>
      <c r="I188" s="61">
        <v>15</v>
      </c>
      <c r="J188" s="613" t="s">
        <v>14</v>
      </c>
      <c r="K188" s="614">
        <f>(14*38)+(1*29.4)</f>
        <v>561.4</v>
      </c>
      <c r="L188" s="7"/>
    </row>
    <row r="189" spans="1:12">
      <c r="A189" s="590" t="s">
        <v>1148</v>
      </c>
      <c r="B189" s="11" t="s">
        <v>9</v>
      </c>
      <c r="C189" s="11">
        <v>39</v>
      </c>
      <c r="D189" s="11" t="s">
        <v>16</v>
      </c>
      <c r="E189" s="15">
        <v>165</v>
      </c>
      <c r="F189" s="11" t="s">
        <v>442</v>
      </c>
      <c r="G189" s="11" t="s">
        <v>747</v>
      </c>
      <c r="H189" s="15" t="s">
        <v>15</v>
      </c>
      <c r="I189" s="15">
        <v>20</v>
      </c>
      <c r="J189" s="12" t="s">
        <v>157</v>
      </c>
      <c r="K189" s="591">
        <f>(20*38)</f>
        <v>760</v>
      </c>
      <c r="L189" s="7"/>
    </row>
    <row r="190" spans="1:12">
      <c r="A190" s="590" t="s">
        <v>1148</v>
      </c>
      <c r="B190" s="11" t="s">
        <v>9</v>
      </c>
      <c r="C190" s="11">
        <v>39</v>
      </c>
      <c r="D190" s="11" t="s">
        <v>16</v>
      </c>
      <c r="E190" s="15">
        <v>185</v>
      </c>
      <c r="F190" s="11" t="s">
        <v>1596</v>
      </c>
      <c r="G190" s="11" t="s">
        <v>203</v>
      </c>
      <c r="H190" s="15" t="s">
        <v>5</v>
      </c>
      <c r="I190" s="15">
        <v>20</v>
      </c>
      <c r="J190" s="12" t="s">
        <v>110</v>
      </c>
      <c r="K190" s="591">
        <f>(19*32)+(1*23.4)</f>
        <v>631.4</v>
      </c>
      <c r="L190" s="7"/>
    </row>
    <row r="191" spans="1:12">
      <c r="A191" s="590" t="s">
        <v>998</v>
      </c>
      <c r="B191" s="11" t="s">
        <v>150</v>
      </c>
      <c r="C191" s="11">
        <v>44</v>
      </c>
      <c r="D191" s="11" t="s">
        <v>7</v>
      </c>
      <c r="E191" s="15">
        <v>660</v>
      </c>
      <c r="F191" s="11" t="s">
        <v>1600</v>
      </c>
      <c r="G191" s="11" t="s">
        <v>166</v>
      </c>
      <c r="H191" s="15" t="s">
        <v>15</v>
      </c>
      <c r="I191" s="15">
        <v>20</v>
      </c>
      <c r="J191" s="12" t="s">
        <v>1601</v>
      </c>
      <c r="K191" s="591">
        <f>(19*25)+(1*20.7)</f>
        <v>495.7</v>
      </c>
      <c r="L191" s="7"/>
    </row>
    <row r="192" spans="1:12">
      <c r="A192" s="590" t="s">
        <v>998</v>
      </c>
      <c r="B192" s="11" t="s">
        <v>150</v>
      </c>
      <c r="C192" s="11">
        <v>44</v>
      </c>
      <c r="D192" s="11" t="s">
        <v>7</v>
      </c>
      <c r="E192" s="15">
        <v>661</v>
      </c>
      <c r="F192" s="11" t="s">
        <v>1602</v>
      </c>
      <c r="G192" s="11" t="s">
        <v>166</v>
      </c>
      <c r="H192" s="15" t="s">
        <v>15</v>
      </c>
      <c r="I192" s="15">
        <v>20</v>
      </c>
      <c r="J192" s="12" t="s">
        <v>155</v>
      </c>
      <c r="K192" s="591">
        <f>(20*26)</f>
        <v>520</v>
      </c>
      <c r="L192" s="7"/>
    </row>
    <row r="193" spans="1:12">
      <c r="A193" s="590" t="s">
        <v>998</v>
      </c>
      <c r="B193" s="11" t="s">
        <v>150</v>
      </c>
      <c r="C193" s="11">
        <v>44</v>
      </c>
      <c r="D193" s="11" t="s">
        <v>7</v>
      </c>
      <c r="E193" s="15">
        <v>726</v>
      </c>
      <c r="F193" s="11" t="s">
        <v>476</v>
      </c>
      <c r="G193" s="11" t="s">
        <v>1603</v>
      </c>
      <c r="H193" s="15" t="s">
        <v>15</v>
      </c>
      <c r="I193" s="15">
        <v>30</v>
      </c>
      <c r="J193" s="12" t="s">
        <v>1604</v>
      </c>
      <c r="K193" s="591">
        <f>(28*35)+(2*27.3)</f>
        <v>1034.5999999999999</v>
      </c>
      <c r="L193" s="7"/>
    </row>
    <row r="194" spans="1:12">
      <c r="A194" s="590" t="s">
        <v>998</v>
      </c>
      <c r="B194" s="11" t="s">
        <v>150</v>
      </c>
      <c r="C194" s="11">
        <v>44</v>
      </c>
      <c r="D194" s="11" t="s">
        <v>7</v>
      </c>
      <c r="E194" s="15">
        <v>950</v>
      </c>
      <c r="F194" s="11" t="s">
        <v>1443</v>
      </c>
      <c r="G194" s="11" t="s">
        <v>1576</v>
      </c>
      <c r="H194" s="15" t="s">
        <v>5</v>
      </c>
      <c r="I194" s="15">
        <v>20</v>
      </c>
      <c r="J194" s="12" t="s">
        <v>155</v>
      </c>
      <c r="K194" s="591">
        <f>(20*26)</f>
        <v>520</v>
      </c>
      <c r="L194" s="7"/>
    </row>
    <row r="195" spans="1:12">
      <c r="A195" s="590" t="s">
        <v>998</v>
      </c>
      <c r="B195" s="11" t="s">
        <v>9</v>
      </c>
      <c r="C195" s="11">
        <v>39</v>
      </c>
      <c r="D195" s="11" t="s">
        <v>7</v>
      </c>
      <c r="E195" s="15">
        <v>264</v>
      </c>
      <c r="F195" s="11" t="s">
        <v>1605</v>
      </c>
      <c r="G195" s="11" t="s">
        <v>39</v>
      </c>
      <c r="H195" s="15" t="s">
        <v>15</v>
      </c>
      <c r="I195" s="15">
        <v>15</v>
      </c>
      <c r="J195" s="12" t="s">
        <v>159</v>
      </c>
      <c r="K195" s="591">
        <f>(15*35)</f>
        <v>525</v>
      </c>
      <c r="L195" s="7"/>
    </row>
    <row r="196" spans="1:12">
      <c r="A196" s="590" t="s">
        <v>998</v>
      </c>
      <c r="B196" s="11" t="s">
        <v>9</v>
      </c>
      <c r="C196" s="11">
        <v>39</v>
      </c>
      <c r="D196" s="11" t="s">
        <v>7</v>
      </c>
      <c r="E196" s="15">
        <v>267</v>
      </c>
      <c r="F196" s="11" t="s">
        <v>468</v>
      </c>
      <c r="G196" s="11" t="s">
        <v>39</v>
      </c>
      <c r="H196" s="15" t="s">
        <v>15</v>
      </c>
      <c r="I196" s="15">
        <v>20</v>
      </c>
      <c r="J196" s="12" t="s">
        <v>142</v>
      </c>
      <c r="K196" s="591">
        <f>(20*35)</f>
        <v>700</v>
      </c>
      <c r="L196" s="7"/>
    </row>
    <row r="197" spans="1:12">
      <c r="A197" s="590" t="s">
        <v>998</v>
      </c>
      <c r="B197" s="11" t="s">
        <v>9</v>
      </c>
      <c r="C197" s="11">
        <v>39</v>
      </c>
      <c r="D197" s="11" t="s">
        <v>7</v>
      </c>
      <c r="E197" s="15">
        <v>268</v>
      </c>
      <c r="F197" s="11" t="s">
        <v>521</v>
      </c>
      <c r="G197" s="11" t="s">
        <v>39</v>
      </c>
      <c r="H197" s="15" t="s">
        <v>15</v>
      </c>
      <c r="I197" s="15">
        <v>15</v>
      </c>
      <c r="J197" s="12" t="s">
        <v>13</v>
      </c>
      <c r="K197" s="591">
        <f>(14*35)+(1*26.4)</f>
        <v>516.4</v>
      </c>
      <c r="L197" s="7"/>
    </row>
    <row r="198" spans="1:12">
      <c r="A198" s="590" t="s">
        <v>998</v>
      </c>
      <c r="B198" s="11" t="s">
        <v>9</v>
      </c>
      <c r="C198" s="11">
        <v>39</v>
      </c>
      <c r="D198" s="11" t="s">
        <v>7</v>
      </c>
      <c r="E198" s="15">
        <v>269</v>
      </c>
      <c r="F198" s="11" t="s">
        <v>43</v>
      </c>
      <c r="G198" s="11" t="s">
        <v>39</v>
      </c>
      <c r="H198" s="15" t="s">
        <v>15</v>
      </c>
      <c r="I198" s="15">
        <v>15</v>
      </c>
      <c r="J198" s="12" t="s">
        <v>13</v>
      </c>
      <c r="K198" s="591">
        <f>(14*35)+(1*26.4)</f>
        <v>516.4</v>
      </c>
      <c r="L198" s="7"/>
    </row>
    <row r="199" spans="1:12">
      <c r="A199" s="590" t="s">
        <v>998</v>
      </c>
      <c r="B199" s="11" t="s">
        <v>9</v>
      </c>
      <c r="C199" s="11">
        <v>39</v>
      </c>
      <c r="D199" s="11" t="s">
        <v>7</v>
      </c>
      <c r="E199" s="15">
        <v>325</v>
      </c>
      <c r="F199" s="11" t="s">
        <v>671</v>
      </c>
      <c r="G199" s="11" t="s">
        <v>1380</v>
      </c>
      <c r="H199" s="15" t="s">
        <v>15</v>
      </c>
      <c r="I199" s="15">
        <v>15</v>
      </c>
      <c r="J199" s="12" t="s">
        <v>97</v>
      </c>
      <c r="K199" s="591">
        <f>(15*38)</f>
        <v>570</v>
      </c>
      <c r="L199" s="7"/>
    </row>
    <row r="200" spans="1:12">
      <c r="A200" s="590" t="s">
        <v>998</v>
      </c>
      <c r="B200" s="11" t="s">
        <v>9</v>
      </c>
      <c r="C200" s="11">
        <v>39</v>
      </c>
      <c r="D200" s="11" t="s">
        <v>7</v>
      </c>
      <c r="E200" s="15">
        <v>329</v>
      </c>
      <c r="F200" s="11" t="s">
        <v>1317</v>
      </c>
      <c r="G200" s="11" t="s">
        <v>1380</v>
      </c>
      <c r="H200" s="15" t="s">
        <v>15</v>
      </c>
      <c r="I200" s="15">
        <v>15</v>
      </c>
      <c r="J200" s="12" t="s">
        <v>97</v>
      </c>
      <c r="K200" s="591">
        <f>(15*38)</f>
        <v>570</v>
      </c>
      <c r="L200" s="7"/>
    </row>
    <row r="201" spans="1:12">
      <c r="A201" s="590" t="s">
        <v>998</v>
      </c>
      <c r="B201" s="11" t="s">
        <v>9</v>
      </c>
      <c r="C201" s="11">
        <v>39</v>
      </c>
      <c r="D201" s="11" t="s">
        <v>7</v>
      </c>
      <c r="E201" s="15">
        <v>389</v>
      </c>
      <c r="F201" s="11" t="s">
        <v>672</v>
      </c>
      <c r="G201" s="11" t="s">
        <v>42</v>
      </c>
      <c r="H201" s="15" t="s">
        <v>15</v>
      </c>
      <c r="I201" s="15">
        <v>30</v>
      </c>
      <c r="J201" s="12" t="s">
        <v>25</v>
      </c>
      <c r="K201" s="591">
        <f>(29*38)+(1*29.4)</f>
        <v>1131.4000000000001</v>
      </c>
      <c r="L201" s="7"/>
    </row>
    <row r="202" spans="1:12">
      <c r="A202" s="590" t="s">
        <v>998</v>
      </c>
      <c r="B202" s="11" t="s">
        <v>9</v>
      </c>
      <c r="C202" s="11">
        <v>39</v>
      </c>
      <c r="D202" s="11" t="s">
        <v>7</v>
      </c>
      <c r="E202" s="15">
        <v>390</v>
      </c>
      <c r="F202" s="11" t="s">
        <v>1540</v>
      </c>
      <c r="G202" s="11" t="s">
        <v>42</v>
      </c>
      <c r="H202" s="15" t="s">
        <v>15</v>
      </c>
      <c r="I202" s="15">
        <v>15</v>
      </c>
      <c r="J202" s="12" t="s">
        <v>14</v>
      </c>
      <c r="K202" s="591">
        <f>(14*38)+(1*29.4)</f>
        <v>561.4</v>
      </c>
      <c r="L202" s="7"/>
    </row>
    <row r="203" spans="1:12">
      <c r="A203" s="590" t="s">
        <v>998</v>
      </c>
      <c r="B203" s="11" t="s">
        <v>9</v>
      </c>
      <c r="C203" s="11">
        <v>39</v>
      </c>
      <c r="D203" s="11" t="s">
        <v>7</v>
      </c>
      <c r="E203" s="15">
        <v>391</v>
      </c>
      <c r="F203" s="11" t="s">
        <v>147</v>
      </c>
      <c r="G203" s="11" t="s">
        <v>42</v>
      </c>
      <c r="H203" s="15" t="s">
        <v>15</v>
      </c>
      <c r="I203" s="15">
        <v>15</v>
      </c>
      <c r="J203" s="12" t="s">
        <v>14</v>
      </c>
      <c r="K203" s="591">
        <f>(14*38)+(1*29.4)</f>
        <v>561.4</v>
      </c>
      <c r="L203" s="7"/>
    </row>
    <row r="204" spans="1:12">
      <c r="A204" s="590" t="s">
        <v>998</v>
      </c>
      <c r="B204" s="11" t="s">
        <v>9</v>
      </c>
      <c r="C204" s="11">
        <v>39</v>
      </c>
      <c r="D204" s="11" t="s">
        <v>7</v>
      </c>
      <c r="E204" s="15">
        <v>392</v>
      </c>
      <c r="F204" s="11" t="s">
        <v>1457</v>
      </c>
      <c r="G204" s="11" t="s">
        <v>42</v>
      </c>
      <c r="H204" s="15" t="s">
        <v>15</v>
      </c>
      <c r="I204" s="15">
        <v>20</v>
      </c>
      <c r="J204" s="12" t="s">
        <v>31</v>
      </c>
      <c r="K204" s="591">
        <f>(19*38)+(1*29.4)</f>
        <v>751.4</v>
      </c>
      <c r="L204" s="7"/>
    </row>
    <row r="205" spans="1:12">
      <c r="A205" s="590" t="s">
        <v>998</v>
      </c>
      <c r="B205" s="11" t="s">
        <v>9</v>
      </c>
      <c r="C205" s="11">
        <v>39</v>
      </c>
      <c r="D205" s="11" t="s">
        <v>7</v>
      </c>
      <c r="E205" s="15">
        <v>393</v>
      </c>
      <c r="F205" s="11" t="s">
        <v>686</v>
      </c>
      <c r="G205" s="11" t="s">
        <v>42</v>
      </c>
      <c r="H205" s="15" t="s">
        <v>1518</v>
      </c>
      <c r="I205" s="15">
        <v>15</v>
      </c>
      <c r="J205" s="12" t="s">
        <v>1606</v>
      </c>
      <c r="K205" s="591">
        <f>(14*33)+(1*27.2)</f>
        <v>489.2</v>
      </c>
      <c r="L205" s="7"/>
    </row>
    <row r="206" spans="1:12">
      <c r="A206" s="590" t="s">
        <v>998</v>
      </c>
      <c r="B206" s="11" t="s">
        <v>9</v>
      </c>
      <c r="C206" s="11">
        <v>39</v>
      </c>
      <c r="D206" s="11" t="s">
        <v>7</v>
      </c>
      <c r="E206" s="15">
        <v>401</v>
      </c>
      <c r="F206" s="11" t="s">
        <v>1607</v>
      </c>
      <c r="G206" s="11" t="s">
        <v>87</v>
      </c>
      <c r="H206" s="15" t="s">
        <v>15</v>
      </c>
      <c r="I206" s="15">
        <v>20</v>
      </c>
      <c r="J206" s="12" t="s">
        <v>34</v>
      </c>
      <c r="K206" s="591">
        <f>(19*26)+(1*17.4)</f>
        <v>511.4</v>
      </c>
      <c r="L206" s="7"/>
    </row>
    <row r="207" spans="1:12">
      <c r="A207" s="590" t="s">
        <v>998</v>
      </c>
      <c r="B207" s="11" t="s">
        <v>9</v>
      </c>
      <c r="C207" s="11">
        <v>39</v>
      </c>
      <c r="D207" s="11" t="s">
        <v>7</v>
      </c>
      <c r="E207" s="15">
        <v>417</v>
      </c>
      <c r="F207" s="11" t="s">
        <v>1365</v>
      </c>
      <c r="G207" s="11" t="s">
        <v>607</v>
      </c>
      <c r="H207" s="15" t="s">
        <v>15</v>
      </c>
      <c r="I207" s="15">
        <v>15</v>
      </c>
      <c r="J207" s="12" t="s">
        <v>37</v>
      </c>
      <c r="K207" s="591">
        <f>(14*26)+(1*17.4)</f>
        <v>381.4</v>
      </c>
      <c r="L207" s="7"/>
    </row>
    <row r="208" spans="1:12">
      <c r="A208" s="590" t="s">
        <v>998</v>
      </c>
      <c r="B208" s="11" t="s">
        <v>9</v>
      </c>
      <c r="C208" s="11">
        <v>39</v>
      </c>
      <c r="D208" s="11" t="s">
        <v>7</v>
      </c>
      <c r="E208" s="15">
        <v>452</v>
      </c>
      <c r="F208" s="11" t="s">
        <v>555</v>
      </c>
      <c r="G208" s="11" t="s">
        <v>418</v>
      </c>
      <c r="H208" s="15" t="s">
        <v>15</v>
      </c>
      <c r="I208" s="15">
        <v>20</v>
      </c>
      <c r="J208" s="12" t="s">
        <v>17</v>
      </c>
      <c r="K208" s="591">
        <f>(19*35)+(1*26.4)</f>
        <v>691.4</v>
      </c>
      <c r="L208" s="7"/>
    </row>
    <row r="209" spans="1:12">
      <c r="A209" s="590" t="s">
        <v>998</v>
      </c>
      <c r="B209" s="11" t="s">
        <v>9</v>
      </c>
      <c r="C209" s="11">
        <v>39</v>
      </c>
      <c r="D209" s="11" t="s">
        <v>7</v>
      </c>
      <c r="E209" s="15">
        <v>476</v>
      </c>
      <c r="F209" s="11" t="s">
        <v>574</v>
      </c>
      <c r="G209" s="11" t="s">
        <v>161</v>
      </c>
      <c r="H209" s="15" t="s">
        <v>19</v>
      </c>
      <c r="I209" s="15">
        <v>20</v>
      </c>
      <c r="J209" s="12" t="s">
        <v>17</v>
      </c>
      <c r="K209" s="591">
        <f>(19*35)+(1*26.4)</f>
        <v>691.4</v>
      </c>
      <c r="L209" s="7"/>
    </row>
    <row r="210" spans="1:12">
      <c r="A210" s="590" t="s">
        <v>998</v>
      </c>
      <c r="B210" s="11" t="s">
        <v>9</v>
      </c>
      <c r="C210" s="11">
        <v>39</v>
      </c>
      <c r="D210" s="11" t="s">
        <v>7</v>
      </c>
      <c r="E210" s="15">
        <v>477</v>
      </c>
      <c r="F210" s="11" t="s">
        <v>499</v>
      </c>
      <c r="G210" s="11" t="s">
        <v>161</v>
      </c>
      <c r="H210" s="15" t="s">
        <v>5</v>
      </c>
      <c r="I210" s="15">
        <v>10</v>
      </c>
      <c r="J210" s="12" t="s">
        <v>11</v>
      </c>
      <c r="K210" s="591">
        <f>(9*35)+(1*26.4)</f>
        <v>341.4</v>
      </c>
      <c r="L210" s="7"/>
    </row>
    <row r="211" spans="1:12">
      <c r="A211" s="590" t="s">
        <v>998</v>
      </c>
      <c r="B211" s="11" t="s">
        <v>9</v>
      </c>
      <c r="C211" s="11">
        <v>39</v>
      </c>
      <c r="D211" s="11" t="s">
        <v>7</v>
      </c>
      <c r="E211" s="15">
        <v>495</v>
      </c>
      <c r="F211" s="11" t="s">
        <v>516</v>
      </c>
      <c r="G211" s="11" t="s">
        <v>777</v>
      </c>
      <c r="H211" s="15" t="s">
        <v>15</v>
      </c>
      <c r="I211" s="15">
        <v>15</v>
      </c>
      <c r="J211" s="18" t="s">
        <v>13</v>
      </c>
      <c r="K211" s="589">
        <f>(14*35)+(1*26.4)</f>
        <v>516.4</v>
      </c>
      <c r="L211" s="7"/>
    </row>
    <row r="212" spans="1:12">
      <c r="A212" s="590" t="s">
        <v>998</v>
      </c>
      <c r="B212" s="11" t="s">
        <v>9</v>
      </c>
      <c r="C212" s="11">
        <v>39</v>
      </c>
      <c r="D212" s="11" t="s">
        <v>7</v>
      </c>
      <c r="E212" s="15">
        <v>580</v>
      </c>
      <c r="F212" s="11" t="s">
        <v>438</v>
      </c>
      <c r="G212" s="11" t="s">
        <v>193</v>
      </c>
      <c r="H212" s="15" t="s">
        <v>15</v>
      </c>
      <c r="I212" s="15">
        <v>30</v>
      </c>
      <c r="J212" s="12" t="s">
        <v>109</v>
      </c>
      <c r="K212" s="591">
        <f>(29*26)+(1*17.4)</f>
        <v>771.4</v>
      </c>
      <c r="L212" s="7"/>
    </row>
    <row r="213" spans="1:12">
      <c r="A213" s="590" t="s">
        <v>998</v>
      </c>
      <c r="B213" s="11" t="s">
        <v>9</v>
      </c>
      <c r="C213" s="11" t="s">
        <v>618</v>
      </c>
      <c r="D213" s="11"/>
      <c r="E213" s="15"/>
      <c r="F213" s="11" t="s">
        <v>1462</v>
      </c>
      <c r="G213" s="11" t="s">
        <v>187</v>
      </c>
      <c r="H213" s="15" t="s">
        <v>5</v>
      </c>
      <c r="I213" s="15">
        <v>20</v>
      </c>
      <c r="J213" s="12" t="s">
        <v>17</v>
      </c>
      <c r="K213" s="591">
        <f>(19*35)+(1*26.4)</f>
        <v>691.4</v>
      </c>
      <c r="L213" s="7"/>
    </row>
    <row r="214" spans="1:12">
      <c r="A214" s="590" t="s">
        <v>998</v>
      </c>
      <c r="B214" s="11" t="s">
        <v>9</v>
      </c>
      <c r="C214" s="11" t="s">
        <v>618</v>
      </c>
      <c r="D214" s="11"/>
      <c r="E214" s="15"/>
      <c r="F214" s="11" t="s">
        <v>468</v>
      </c>
      <c r="G214" s="11" t="s">
        <v>187</v>
      </c>
      <c r="H214" s="15" t="s">
        <v>5</v>
      </c>
      <c r="I214" s="15">
        <v>20</v>
      </c>
      <c r="J214" s="12" t="s">
        <v>17</v>
      </c>
      <c r="K214" s="591">
        <f>(19*35)+(1*26.4)</f>
        <v>691.4</v>
      </c>
      <c r="L214" s="7"/>
    </row>
    <row r="215" spans="1:12">
      <c r="A215" s="590" t="s">
        <v>1002</v>
      </c>
      <c r="B215" s="11" t="s">
        <v>150</v>
      </c>
      <c r="C215" s="11">
        <v>44</v>
      </c>
      <c r="D215" s="11" t="s">
        <v>51</v>
      </c>
      <c r="E215" s="11">
        <v>791</v>
      </c>
      <c r="F215" s="11" t="s">
        <v>1346</v>
      </c>
      <c r="G215" s="11" t="s">
        <v>489</v>
      </c>
      <c r="H215" s="11" t="s">
        <v>15</v>
      </c>
      <c r="I215" s="588">
        <v>20</v>
      </c>
      <c r="J215" s="12" t="s">
        <v>628</v>
      </c>
      <c r="K215" s="591">
        <f>(18*36)+(2*31.7)</f>
        <v>711.4</v>
      </c>
      <c r="L215" s="7"/>
    </row>
    <row r="216" spans="1:12">
      <c r="A216" s="590" t="s">
        <v>1002</v>
      </c>
      <c r="B216" s="11" t="s">
        <v>150</v>
      </c>
      <c r="C216" s="11">
        <v>44</v>
      </c>
      <c r="D216" s="11" t="s">
        <v>51</v>
      </c>
      <c r="E216" s="11">
        <v>825</v>
      </c>
      <c r="F216" s="11" t="s">
        <v>514</v>
      </c>
      <c r="G216" s="11" t="s">
        <v>658</v>
      </c>
      <c r="H216" s="11" t="s">
        <v>15</v>
      </c>
      <c r="I216" s="588">
        <v>15</v>
      </c>
      <c r="J216" s="12" t="s">
        <v>659</v>
      </c>
      <c r="K216" s="591">
        <f>(13*35)+(2*27.3)</f>
        <v>509.6</v>
      </c>
      <c r="L216" s="7"/>
    </row>
    <row r="217" spans="1:12">
      <c r="A217" s="590" t="s">
        <v>1002</v>
      </c>
      <c r="B217" s="11" t="s">
        <v>150</v>
      </c>
      <c r="C217" s="11">
        <v>44</v>
      </c>
      <c r="D217" s="11" t="s">
        <v>50</v>
      </c>
      <c r="E217" s="11">
        <v>223</v>
      </c>
      <c r="F217" s="11" t="s">
        <v>1533</v>
      </c>
      <c r="G217" s="11" t="s">
        <v>1608</v>
      </c>
      <c r="H217" s="11" t="s">
        <v>15</v>
      </c>
      <c r="I217" s="588">
        <v>20</v>
      </c>
      <c r="J217" s="12" t="s">
        <v>1609</v>
      </c>
      <c r="K217" s="591">
        <f>(18*43)+(2*38.7)</f>
        <v>851.4</v>
      </c>
      <c r="L217" s="7"/>
    </row>
    <row r="218" spans="1:12">
      <c r="A218" s="590" t="s">
        <v>1002</v>
      </c>
      <c r="B218" s="11" t="s">
        <v>150</v>
      </c>
      <c r="C218" s="11">
        <v>44</v>
      </c>
      <c r="D218" s="11" t="s">
        <v>50</v>
      </c>
      <c r="E218" s="11">
        <v>284</v>
      </c>
      <c r="F218" s="11" t="s">
        <v>1610</v>
      </c>
      <c r="G218" s="11" t="s">
        <v>89</v>
      </c>
      <c r="H218" s="11" t="s">
        <v>5</v>
      </c>
      <c r="I218" s="588">
        <v>20</v>
      </c>
      <c r="J218" s="12" t="s">
        <v>708</v>
      </c>
      <c r="K218" s="591">
        <f>(18*38)+(2*33.7)</f>
        <v>751.4</v>
      </c>
      <c r="L218" s="7"/>
    </row>
    <row r="219" spans="1:12">
      <c r="A219" s="590" t="s">
        <v>1002</v>
      </c>
      <c r="B219" s="11" t="s">
        <v>150</v>
      </c>
      <c r="C219" s="11">
        <v>44</v>
      </c>
      <c r="D219" s="11" t="s">
        <v>50</v>
      </c>
      <c r="E219" s="11">
        <v>287</v>
      </c>
      <c r="F219" s="11" t="s">
        <v>1598</v>
      </c>
      <c r="G219" s="11" t="s">
        <v>89</v>
      </c>
      <c r="H219" s="11" t="s">
        <v>5</v>
      </c>
      <c r="I219" s="588">
        <v>22</v>
      </c>
      <c r="J219" s="12" t="s">
        <v>1611</v>
      </c>
      <c r="K219" s="591">
        <f>(20*38)+(2*30.3)</f>
        <v>820.6</v>
      </c>
      <c r="L219" s="7"/>
    </row>
    <row r="220" spans="1:12">
      <c r="A220" s="590" t="s">
        <v>1002</v>
      </c>
      <c r="B220" s="11" t="s">
        <v>150</v>
      </c>
      <c r="C220" s="11">
        <v>44</v>
      </c>
      <c r="D220" s="11" t="s">
        <v>50</v>
      </c>
      <c r="E220" s="11">
        <v>499</v>
      </c>
      <c r="F220" s="11" t="s">
        <v>1330</v>
      </c>
      <c r="G220" s="11" t="s">
        <v>634</v>
      </c>
      <c r="H220" s="11" t="s">
        <v>15</v>
      </c>
      <c r="I220" s="588">
        <v>20</v>
      </c>
      <c r="J220" s="12" t="s">
        <v>1612</v>
      </c>
      <c r="K220" s="591">
        <f>(19*42)+(1*37.7)</f>
        <v>835.7</v>
      </c>
      <c r="L220" s="7"/>
    </row>
    <row r="221" spans="1:12">
      <c r="A221" s="590" t="s">
        <v>1002</v>
      </c>
      <c r="B221" s="11" t="s">
        <v>150</v>
      </c>
      <c r="C221" s="11">
        <v>44</v>
      </c>
      <c r="D221" s="11" t="s">
        <v>50</v>
      </c>
      <c r="E221" s="11">
        <v>500</v>
      </c>
      <c r="F221" s="11" t="s">
        <v>1372</v>
      </c>
      <c r="G221" s="11" t="s">
        <v>634</v>
      </c>
      <c r="H221" s="11" t="s">
        <v>15</v>
      </c>
      <c r="I221" s="588">
        <v>20</v>
      </c>
      <c r="J221" s="12" t="s">
        <v>1612</v>
      </c>
      <c r="K221" s="591">
        <f>(19*42)+(1*37.7)</f>
        <v>835.7</v>
      </c>
      <c r="L221" s="7"/>
    </row>
    <row r="222" spans="1:12">
      <c r="A222" s="590" t="s">
        <v>1002</v>
      </c>
      <c r="B222" s="11" t="s">
        <v>150</v>
      </c>
      <c r="C222" s="11">
        <v>44</v>
      </c>
      <c r="D222" s="11" t="s">
        <v>50</v>
      </c>
      <c r="E222" s="11">
        <v>501</v>
      </c>
      <c r="F222" s="11" t="s">
        <v>1386</v>
      </c>
      <c r="G222" s="11" t="s">
        <v>634</v>
      </c>
      <c r="H222" s="11" t="s">
        <v>15</v>
      </c>
      <c r="I222" s="588">
        <v>20</v>
      </c>
      <c r="J222" s="12" t="s">
        <v>1613</v>
      </c>
      <c r="K222" s="591">
        <f>(17*43)+(3*38.7)</f>
        <v>847.1</v>
      </c>
      <c r="L222" s="7"/>
    </row>
    <row r="223" spans="1:12">
      <c r="A223" s="590" t="s">
        <v>1002</v>
      </c>
      <c r="B223" s="11" t="s">
        <v>150</v>
      </c>
      <c r="C223" s="11">
        <v>44</v>
      </c>
      <c r="D223" s="11" t="s">
        <v>50</v>
      </c>
      <c r="E223" s="11">
        <v>502</v>
      </c>
      <c r="F223" s="11" t="s">
        <v>1337</v>
      </c>
      <c r="G223" s="11" t="s">
        <v>634</v>
      </c>
      <c r="H223" s="11" t="s">
        <v>15</v>
      </c>
      <c r="I223" s="588">
        <v>20</v>
      </c>
      <c r="J223" s="12" t="s">
        <v>1609</v>
      </c>
      <c r="K223" s="591">
        <f>(18*43)+(2*38.7)</f>
        <v>851.4</v>
      </c>
      <c r="L223" s="7"/>
    </row>
    <row r="224" spans="1:12">
      <c r="A224" s="590" t="s">
        <v>1002</v>
      </c>
      <c r="B224" s="11" t="s">
        <v>150</v>
      </c>
      <c r="C224" s="11">
        <v>44</v>
      </c>
      <c r="D224" s="11" t="s">
        <v>50</v>
      </c>
      <c r="E224" s="11">
        <v>519</v>
      </c>
      <c r="F224" s="11" t="s">
        <v>1404</v>
      </c>
      <c r="G224" s="11" t="s">
        <v>1464</v>
      </c>
      <c r="H224" s="11" t="s">
        <v>5</v>
      </c>
      <c r="I224" s="588">
        <v>30</v>
      </c>
      <c r="J224" s="12" t="s">
        <v>629</v>
      </c>
      <c r="K224" s="591">
        <f>(28*36)+(2*28.3)</f>
        <v>1064.5999999999999</v>
      </c>
      <c r="L224" s="7"/>
    </row>
    <row r="225" spans="1:12">
      <c r="A225" s="590" t="s">
        <v>1002</v>
      </c>
      <c r="B225" s="11" t="s">
        <v>150</v>
      </c>
      <c r="C225" s="11">
        <v>44</v>
      </c>
      <c r="D225" s="11" t="s">
        <v>50</v>
      </c>
      <c r="E225" s="11">
        <v>521</v>
      </c>
      <c r="F225" s="11" t="s">
        <v>1614</v>
      </c>
      <c r="G225" s="11" t="s">
        <v>1464</v>
      </c>
      <c r="H225" s="11" t="s">
        <v>15</v>
      </c>
      <c r="I225" s="588">
        <v>15</v>
      </c>
      <c r="J225" s="12" t="s">
        <v>638</v>
      </c>
      <c r="K225" s="591">
        <f>(13*36)+(2*28.3)</f>
        <v>524.6</v>
      </c>
      <c r="L225" s="7"/>
    </row>
    <row r="226" spans="1:12" ht="15.75" thickBot="1">
      <c r="A226" s="592" t="s">
        <v>1002</v>
      </c>
      <c r="B226" s="593" t="s">
        <v>150</v>
      </c>
      <c r="C226" s="593">
        <v>44</v>
      </c>
      <c r="D226" s="593" t="s">
        <v>50</v>
      </c>
      <c r="E226" s="593">
        <v>547</v>
      </c>
      <c r="F226" s="593" t="s">
        <v>443</v>
      </c>
      <c r="G226" s="593" t="s">
        <v>181</v>
      </c>
      <c r="H226" s="593" t="s">
        <v>5</v>
      </c>
      <c r="I226" s="615">
        <v>15</v>
      </c>
      <c r="J226" s="595" t="s">
        <v>626</v>
      </c>
      <c r="K226" s="596">
        <f>(14*38)+(1*30.3)</f>
        <v>562.29999999999995</v>
      </c>
      <c r="L226" s="7"/>
    </row>
    <row r="227" spans="1:12">
      <c r="A227" s="611" t="s">
        <v>1002</v>
      </c>
      <c r="B227" s="612" t="s">
        <v>150</v>
      </c>
      <c r="C227" s="612">
        <v>44</v>
      </c>
      <c r="D227" s="612" t="s">
        <v>50</v>
      </c>
      <c r="E227" s="612">
        <v>549</v>
      </c>
      <c r="F227" s="612" t="s">
        <v>81</v>
      </c>
      <c r="G227" s="612" t="s">
        <v>181</v>
      </c>
      <c r="H227" s="612" t="s">
        <v>5</v>
      </c>
      <c r="I227" s="616">
        <v>15</v>
      </c>
      <c r="J227" s="613" t="s">
        <v>626</v>
      </c>
      <c r="K227" s="614">
        <f>(14*38)+(1*30.3)</f>
        <v>562.29999999999995</v>
      </c>
      <c r="L227" s="7"/>
    </row>
    <row r="228" spans="1:12">
      <c r="A228" s="590" t="s">
        <v>1002</v>
      </c>
      <c r="B228" s="11" t="s">
        <v>150</v>
      </c>
      <c r="C228" s="11">
        <v>44</v>
      </c>
      <c r="D228" s="11" t="s">
        <v>50</v>
      </c>
      <c r="E228" s="11">
        <v>550</v>
      </c>
      <c r="F228" s="11" t="s">
        <v>657</v>
      </c>
      <c r="G228" s="11" t="s">
        <v>181</v>
      </c>
      <c r="H228" s="11" t="s">
        <v>5</v>
      </c>
      <c r="I228" s="588">
        <v>15</v>
      </c>
      <c r="J228" s="12" t="s">
        <v>1615</v>
      </c>
      <c r="K228" s="591">
        <f>(12*38)+(3*30.3)</f>
        <v>546.9</v>
      </c>
      <c r="L228" s="7"/>
    </row>
    <row r="229" spans="1:12">
      <c r="A229" s="590" t="s">
        <v>1002</v>
      </c>
      <c r="B229" s="11" t="s">
        <v>150</v>
      </c>
      <c r="C229" s="11">
        <v>44</v>
      </c>
      <c r="D229" s="11" t="s">
        <v>50</v>
      </c>
      <c r="E229" s="11">
        <v>551</v>
      </c>
      <c r="F229" s="11" t="s">
        <v>461</v>
      </c>
      <c r="G229" s="11" t="s">
        <v>181</v>
      </c>
      <c r="H229" s="11" t="s">
        <v>5</v>
      </c>
      <c r="I229" s="588">
        <v>30</v>
      </c>
      <c r="J229" s="12" t="s">
        <v>1616</v>
      </c>
      <c r="K229" s="591">
        <f>(28*38)+(2*30.3)</f>
        <v>1124.5999999999999</v>
      </c>
      <c r="L229" s="7"/>
    </row>
    <row r="230" spans="1:12">
      <c r="A230" s="590" t="s">
        <v>1002</v>
      </c>
      <c r="B230" s="11" t="s">
        <v>150</v>
      </c>
      <c r="C230" s="11">
        <v>44</v>
      </c>
      <c r="D230" s="11" t="s">
        <v>50</v>
      </c>
      <c r="E230" s="11">
        <v>552</v>
      </c>
      <c r="F230" s="11" t="s">
        <v>508</v>
      </c>
      <c r="G230" s="11" t="s">
        <v>181</v>
      </c>
      <c r="H230" s="11" t="s">
        <v>15</v>
      </c>
      <c r="I230" s="588">
        <v>30</v>
      </c>
      <c r="J230" s="12" t="s">
        <v>1515</v>
      </c>
      <c r="K230" s="591">
        <f>(29*40)+(1*32.3)</f>
        <v>1192.3</v>
      </c>
      <c r="L230" s="7"/>
    </row>
    <row r="231" spans="1:12">
      <c r="A231" s="590" t="s">
        <v>1002</v>
      </c>
      <c r="B231" s="11" t="s">
        <v>150</v>
      </c>
      <c r="C231" s="11">
        <v>44</v>
      </c>
      <c r="D231" s="11" t="s">
        <v>53</v>
      </c>
      <c r="E231" s="11">
        <v>157</v>
      </c>
      <c r="F231" s="11" t="s">
        <v>1396</v>
      </c>
      <c r="G231" s="11" t="s">
        <v>1617</v>
      </c>
      <c r="H231" s="11" t="s">
        <v>15</v>
      </c>
      <c r="I231" s="588">
        <v>20</v>
      </c>
      <c r="J231" s="12" t="s">
        <v>628</v>
      </c>
      <c r="K231" s="591">
        <f>(18*36)+(2*31.7)</f>
        <v>711.4</v>
      </c>
      <c r="L231" s="7"/>
    </row>
    <row r="232" spans="1:12">
      <c r="A232" s="590" t="s">
        <v>1004</v>
      </c>
      <c r="B232" s="11" t="s">
        <v>9</v>
      </c>
      <c r="C232" s="11">
        <v>44</v>
      </c>
      <c r="D232" s="11" t="s">
        <v>16</v>
      </c>
      <c r="E232" s="15">
        <v>83</v>
      </c>
      <c r="F232" s="11" t="s">
        <v>147</v>
      </c>
      <c r="G232" s="11" t="s">
        <v>354</v>
      </c>
      <c r="H232" s="15" t="s">
        <v>1518</v>
      </c>
      <c r="I232" s="15">
        <v>15</v>
      </c>
      <c r="J232" s="12" t="s">
        <v>97</v>
      </c>
      <c r="K232" s="591">
        <f>(15*38)</f>
        <v>570</v>
      </c>
      <c r="L232" s="7"/>
    </row>
    <row r="233" spans="1:12">
      <c r="A233" s="590" t="s">
        <v>1004</v>
      </c>
      <c r="B233" s="11" t="s">
        <v>9</v>
      </c>
      <c r="C233" s="11">
        <v>44</v>
      </c>
      <c r="D233" s="11" t="s">
        <v>16</v>
      </c>
      <c r="E233" s="15">
        <v>178</v>
      </c>
      <c r="F233" s="11" t="s">
        <v>408</v>
      </c>
      <c r="G233" s="11" t="s">
        <v>716</v>
      </c>
      <c r="H233" s="15" t="s">
        <v>15</v>
      </c>
      <c r="I233" s="15">
        <v>20</v>
      </c>
      <c r="J233" s="12" t="s">
        <v>31</v>
      </c>
      <c r="K233" s="591">
        <f>(19*38)+(1*29.4)</f>
        <v>751.4</v>
      </c>
      <c r="L233" s="7"/>
    </row>
    <row r="234" spans="1:12">
      <c r="A234" s="590" t="s">
        <v>1004</v>
      </c>
      <c r="B234" s="11" t="s">
        <v>9</v>
      </c>
      <c r="C234" s="11">
        <v>44</v>
      </c>
      <c r="D234" s="11" t="s">
        <v>16</v>
      </c>
      <c r="E234" s="15">
        <v>456</v>
      </c>
      <c r="F234" s="11" t="s">
        <v>1618</v>
      </c>
      <c r="G234" s="11" t="s">
        <v>757</v>
      </c>
      <c r="H234" s="15" t="s">
        <v>15</v>
      </c>
      <c r="I234" s="15">
        <v>15</v>
      </c>
      <c r="J234" s="12" t="s">
        <v>13</v>
      </c>
      <c r="K234" s="591">
        <f>(14*35)+(1*26.4)</f>
        <v>516.4</v>
      </c>
      <c r="L234" s="7"/>
    </row>
    <row r="235" spans="1:12">
      <c r="A235" s="590" t="s">
        <v>1004</v>
      </c>
      <c r="B235" s="11" t="s">
        <v>9</v>
      </c>
      <c r="C235" s="11">
        <v>44</v>
      </c>
      <c r="D235" s="11" t="s">
        <v>16</v>
      </c>
      <c r="E235" s="15">
        <v>457</v>
      </c>
      <c r="F235" s="11" t="s">
        <v>1619</v>
      </c>
      <c r="G235" s="11" t="s">
        <v>757</v>
      </c>
      <c r="H235" s="15" t="s">
        <v>15</v>
      </c>
      <c r="I235" s="15">
        <v>15</v>
      </c>
      <c r="J235" s="12" t="s">
        <v>13</v>
      </c>
      <c r="K235" s="591">
        <f>(14*35)+(1*26.4)</f>
        <v>516.4</v>
      </c>
      <c r="L235" s="7"/>
    </row>
    <row r="236" spans="1:12">
      <c r="A236" s="590" t="s">
        <v>1004</v>
      </c>
      <c r="B236" s="11" t="s">
        <v>9</v>
      </c>
      <c r="C236" s="11">
        <v>44</v>
      </c>
      <c r="D236" s="11" t="s">
        <v>16</v>
      </c>
      <c r="E236" s="15">
        <v>508</v>
      </c>
      <c r="F236" s="11" t="s">
        <v>736</v>
      </c>
      <c r="G236" s="11" t="s">
        <v>167</v>
      </c>
      <c r="H236" s="15" t="s">
        <v>15</v>
      </c>
      <c r="I236" s="15">
        <v>15</v>
      </c>
      <c r="J236" s="12" t="s">
        <v>13</v>
      </c>
      <c r="K236" s="591">
        <f>(14*35)+(1*26.4)</f>
        <v>516.4</v>
      </c>
      <c r="L236" s="7"/>
    </row>
    <row r="237" spans="1:12">
      <c r="A237" s="590" t="s">
        <v>1004</v>
      </c>
      <c r="B237" s="11" t="s">
        <v>9</v>
      </c>
      <c r="C237" s="11">
        <v>44</v>
      </c>
      <c r="D237" s="11" t="s">
        <v>26</v>
      </c>
      <c r="E237" s="15">
        <v>32</v>
      </c>
      <c r="F237" s="11" t="s">
        <v>650</v>
      </c>
      <c r="G237" s="11" t="s">
        <v>1438</v>
      </c>
      <c r="H237" s="15" t="s">
        <v>5</v>
      </c>
      <c r="I237" s="15">
        <v>20</v>
      </c>
      <c r="J237" s="12" t="s">
        <v>113</v>
      </c>
      <c r="K237" s="591">
        <f>(19*28)+(1*19.4)</f>
        <v>551.4</v>
      </c>
      <c r="L237" s="7"/>
    </row>
    <row r="238" spans="1:12">
      <c r="A238" s="590" t="s">
        <v>1004</v>
      </c>
      <c r="B238" s="11" t="s">
        <v>9</v>
      </c>
      <c r="C238" s="11">
        <v>44</v>
      </c>
      <c r="D238" s="11" t="s">
        <v>26</v>
      </c>
      <c r="E238" s="15">
        <v>37</v>
      </c>
      <c r="F238" s="11" t="s">
        <v>427</v>
      </c>
      <c r="G238" s="11" t="s">
        <v>1438</v>
      </c>
      <c r="H238" s="15" t="s">
        <v>15</v>
      </c>
      <c r="I238" s="15">
        <v>10</v>
      </c>
      <c r="J238" s="12" t="s">
        <v>1620</v>
      </c>
      <c r="K238" s="591">
        <f>(8*28)+(2*19.4)</f>
        <v>262.8</v>
      </c>
      <c r="L238" s="7"/>
    </row>
    <row r="239" spans="1:12">
      <c r="A239" s="590" t="s">
        <v>1004</v>
      </c>
      <c r="B239" s="11" t="s">
        <v>9</v>
      </c>
      <c r="C239" s="11">
        <v>44</v>
      </c>
      <c r="D239" s="11" t="s">
        <v>26</v>
      </c>
      <c r="E239" s="15">
        <v>38</v>
      </c>
      <c r="F239" s="11" t="s">
        <v>1322</v>
      </c>
      <c r="G239" s="11" t="s">
        <v>1438</v>
      </c>
      <c r="H239" s="15" t="s">
        <v>15</v>
      </c>
      <c r="I239" s="15">
        <v>9</v>
      </c>
      <c r="J239" s="12" t="s">
        <v>1621</v>
      </c>
      <c r="K239" s="591">
        <f>(8*28)+(1*19.4)</f>
        <v>243.4</v>
      </c>
      <c r="L239" s="7"/>
    </row>
    <row r="240" spans="1:12">
      <c r="A240" s="590" t="s">
        <v>1004</v>
      </c>
      <c r="B240" s="11" t="s">
        <v>9</v>
      </c>
      <c r="C240" s="11">
        <v>44</v>
      </c>
      <c r="D240" s="11" t="s">
        <v>26</v>
      </c>
      <c r="E240" s="15">
        <v>39</v>
      </c>
      <c r="F240" s="11" t="s">
        <v>650</v>
      </c>
      <c r="G240" s="11" t="s">
        <v>1438</v>
      </c>
      <c r="H240" s="15" t="s">
        <v>15</v>
      </c>
      <c r="I240" s="15">
        <v>10</v>
      </c>
      <c r="J240" s="12" t="s">
        <v>750</v>
      </c>
      <c r="K240" s="591">
        <f>(9*28)+(1*19.4)</f>
        <v>271.39999999999998</v>
      </c>
      <c r="L240" s="7"/>
    </row>
    <row r="241" spans="1:12">
      <c r="A241" s="590" t="s">
        <v>1004</v>
      </c>
      <c r="B241" s="11" t="s">
        <v>9</v>
      </c>
      <c r="C241" s="11">
        <v>44</v>
      </c>
      <c r="D241" s="11" t="s">
        <v>7</v>
      </c>
      <c r="E241" s="15">
        <v>367</v>
      </c>
      <c r="F241" s="11" t="s">
        <v>453</v>
      </c>
      <c r="G241" s="11" t="s">
        <v>39</v>
      </c>
      <c r="H241" s="15" t="s">
        <v>15</v>
      </c>
      <c r="I241" s="15">
        <v>15</v>
      </c>
      <c r="J241" s="12" t="s">
        <v>35</v>
      </c>
      <c r="K241" s="591">
        <f>(13*35)+(2*26.4)</f>
        <v>507.8</v>
      </c>
      <c r="L241" s="7"/>
    </row>
    <row r="242" spans="1:12">
      <c r="A242" s="590" t="s">
        <v>1004</v>
      </c>
      <c r="B242" s="11" t="s">
        <v>9</v>
      </c>
      <c r="C242" s="11">
        <v>44</v>
      </c>
      <c r="D242" s="11" t="s">
        <v>7</v>
      </c>
      <c r="E242" s="15">
        <v>370</v>
      </c>
      <c r="F242" s="11" t="s">
        <v>785</v>
      </c>
      <c r="G242" s="11" t="s">
        <v>39</v>
      </c>
      <c r="H242" s="15" t="s">
        <v>15</v>
      </c>
      <c r="I242" s="15">
        <v>15</v>
      </c>
      <c r="J242" s="12" t="s">
        <v>159</v>
      </c>
      <c r="K242" s="591">
        <f>(15*35)</f>
        <v>525</v>
      </c>
      <c r="L242" s="7"/>
    </row>
    <row r="243" spans="1:12">
      <c r="A243" s="590" t="s">
        <v>1004</v>
      </c>
      <c r="B243" s="11" t="s">
        <v>9</v>
      </c>
      <c r="C243" s="11">
        <v>44</v>
      </c>
      <c r="D243" s="11" t="s">
        <v>7</v>
      </c>
      <c r="E243" s="15">
        <v>515</v>
      </c>
      <c r="F243" s="11" t="s">
        <v>580</v>
      </c>
      <c r="G243" s="11" t="s">
        <v>106</v>
      </c>
      <c r="H243" s="15" t="s">
        <v>15</v>
      </c>
      <c r="I243" s="15">
        <v>15</v>
      </c>
      <c r="J243" s="12" t="s">
        <v>205</v>
      </c>
      <c r="K243" s="591">
        <f>(14*36)+(1*27.4)</f>
        <v>531.4</v>
      </c>
      <c r="L243" s="7"/>
    </row>
    <row r="244" spans="1:12">
      <c r="A244" s="590" t="s">
        <v>1004</v>
      </c>
      <c r="B244" s="11" t="s">
        <v>9</v>
      </c>
      <c r="C244" s="11">
        <v>44</v>
      </c>
      <c r="D244" s="11" t="s">
        <v>7</v>
      </c>
      <c r="E244" s="15">
        <v>516</v>
      </c>
      <c r="F244" s="11" t="s">
        <v>573</v>
      </c>
      <c r="G244" s="11" t="s">
        <v>106</v>
      </c>
      <c r="H244" s="15" t="s">
        <v>15</v>
      </c>
      <c r="I244" s="15">
        <v>15</v>
      </c>
      <c r="J244" s="12" t="s">
        <v>205</v>
      </c>
      <c r="K244" s="591">
        <f>(14*36)+(1*27.4)</f>
        <v>531.4</v>
      </c>
      <c r="L244" s="7"/>
    </row>
    <row r="245" spans="1:12">
      <c r="A245" s="590" t="s">
        <v>1004</v>
      </c>
      <c r="B245" s="11" t="s">
        <v>9</v>
      </c>
      <c r="C245" s="11">
        <v>44</v>
      </c>
      <c r="D245" s="11" t="s">
        <v>10</v>
      </c>
      <c r="E245" s="15">
        <v>147</v>
      </c>
      <c r="F245" s="11" t="s">
        <v>123</v>
      </c>
      <c r="G245" s="11" t="s">
        <v>39</v>
      </c>
      <c r="H245" s="15" t="s">
        <v>15</v>
      </c>
      <c r="I245" s="15">
        <v>20</v>
      </c>
      <c r="J245" s="12" t="s">
        <v>17</v>
      </c>
      <c r="K245" s="591">
        <f>(19*35)+(1*26.4)</f>
        <v>691.4</v>
      </c>
      <c r="L245" s="7"/>
    </row>
    <row r="246" spans="1:12">
      <c r="A246" s="590" t="s">
        <v>1004</v>
      </c>
      <c r="B246" s="11" t="s">
        <v>9</v>
      </c>
      <c r="C246" s="11">
        <v>44</v>
      </c>
      <c r="D246" s="11" t="s">
        <v>10</v>
      </c>
      <c r="E246" s="15">
        <v>150</v>
      </c>
      <c r="F246" s="11" t="s">
        <v>596</v>
      </c>
      <c r="G246" s="11" t="s">
        <v>39</v>
      </c>
      <c r="H246" s="15" t="s">
        <v>15</v>
      </c>
      <c r="I246" s="15">
        <v>30</v>
      </c>
      <c r="J246" s="12" t="s">
        <v>12</v>
      </c>
      <c r="K246" s="591">
        <f>(29*35)+(1*26.4)</f>
        <v>1041.4000000000001</v>
      </c>
      <c r="L246" s="7"/>
    </row>
    <row r="247" spans="1:12">
      <c r="A247" s="590" t="s">
        <v>1004</v>
      </c>
      <c r="B247" s="11" t="s">
        <v>9</v>
      </c>
      <c r="C247" s="11">
        <v>44</v>
      </c>
      <c r="D247" s="11" t="s">
        <v>10</v>
      </c>
      <c r="E247" s="15">
        <v>153</v>
      </c>
      <c r="F247" s="11" t="s">
        <v>507</v>
      </c>
      <c r="G247" s="11" t="s">
        <v>39</v>
      </c>
      <c r="H247" s="15" t="s">
        <v>15</v>
      </c>
      <c r="I247" s="15">
        <v>20</v>
      </c>
      <c r="J247" s="12" t="s">
        <v>17</v>
      </c>
      <c r="K247" s="591">
        <f>(19*35)+(1*26.4)</f>
        <v>691.4</v>
      </c>
      <c r="L247" s="7"/>
    </row>
    <row r="248" spans="1:12">
      <c r="A248" s="590" t="s">
        <v>1004</v>
      </c>
      <c r="B248" s="11" t="s">
        <v>9</v>
      </c>
      <c r="C248" s="11">
        <v>44</v>
      </c>
      <c r="D248" s="11" t="s">
        <v>10</v>
      </c>
      <c r="E248" s="15">
        <v>154</v>
      </c>
      <c r="F248" s="11" t="s">
        <v>1545</v>
      </c>
      <c r="G248" s="11" t="s">
        <v>39</v>
      </c>
      <c r="H248" s="15" t="s">
        <v>15</v>
      </c>
      <c r="I248" s="15">
        <v>20</v>
      </c>
      <c r="J248" s="12" t="s">
        <v>142</v>
      </c>
      <c r="K248" s="591">
        <f>(20*35)</f>
        <v>700</v>
      </c>
      <c r="L248" s="7"/>
    </row>
    <row r="249" spans="1:12">
      <c r="A249" s="590" t="s">
        <v>1004</v>
      </c>
      <c r="B249" s="11" t="s">
        <v>9</v>
      </c>
      <c r="C249" s="11">
        <v>44</v>
      </c>
      <c r="D249" s="11" t="s">
        <v>10</v>
      </c>
      <c r="E249" s="15">
        <v>578</v>
      </c>
      <c r="F249" s="11" t="s">
        <v>1361</v>
      </c>
      <c r="G249" s="11" t="s">
        <v>674</v>
      </c>
      <c r="H249" s="15" t="s">
        <v>15</v>
      </c>
      <c r="I249" s="15">
        <v>15</v>
      </c>
      <c r="J249" s="12" t="s">
        <v>1622</v>
      </c>
      <c r="K249" s="591">
        <f>(14*38)++(1*29.4)</f>
        <v>561.4</v>
      </c>
      <c r="L249" s="7"/>
    </row>
    <row r="250" spans="1:12">
      <c r="A250" s="590" t="s">
        <v>1004</v>
      </c>
      <c r="B250" s="11" t="s">
        <v>9</v>
      </c>
      <c r="C250" s="11">
        <v>44</v>
      </c>
      <c r="D250" s="11" t="s">
        <v>10</v>
      </c>
      <c r="E250" s="15">
        <v>579</v>
      </c>
      <c r="F250" s="11" t="s">
        <v>77</v>
      </c>
      <c r="G250" s="11" t="s">
        <v>674</v>
      </c>
      <c r="H250" s="15" t="s">
        <v>15</v>
      </c>
      <c r="I250" s="15">
        <v>15</v>
      </c>
      <c r="J250" s="12" t="s">
        <v>1622</v>
      </c>
      <c r="K250" s="591">
        <f>(14*38)++(1*29.4)</f>
        <v>561.4</v>
      </c>
      <c r="L250" s="7"/>
    </row>
    <row r="251" spans="1:12">
      <c r="A251" s="590" t="s">
        <v>1004</v>
      </c>
      <c r="B251" s="11" t="s">
        <v>9</v>
      </c>
      <c r="C251" s="11">
        <v>44</v>
      </c>
      <c r="D251" s="11" t="s">
        <v>10</v>
      </c>
      <c r="E251" s="15">
        <v>619</v>
      </c>
      <c r="F251" s="11" t="s">
        <v>1623</v>
      </c>
      <c r="G251" s="11" t="s">
        <v>1345</v>
      </c>
      <c r="H251" s="15" t="s">
        <v>15</v>
      </c>
      <c r="I251" s="15">
        <v>15</v>
      </c>
      <c r="J251" s="12" t="s">
        <v>38</v>
      </c>
      <c r="K251" s="591">
        <f>(13*38)+(2*29.4)</f>
        <v>552.79999999999995</v>
      </c>
      <c r="L251" s="7"/>
    </row>
    <row r="252" spans="1:12">
      <c r="A252" s="590" t="s">
        <v>1004</v>
      </c>
      <c r="B252" s="11" t="s">
        <v>9</v>
      </c>
      <c r="C252" s="11">
        <v>44</v>
      </c>
      <c r="D252" s="11" t="s">
        <v>10</v>
      </c>
      <c r="E252" s="15">
        <v>621</v>
      </c>
      <c r="F252" s="11" t="s">
        <v>1440</v>
      </c>
      <c r="G252" s="11" t="s">
        <v>1345</v>
      </c>
      <c r="H252" s="15" t="s">
        <v>15</v>
      </c>
      <c r="I252" s="15">
        <v>30</v>
      </c>
      <c r="J252" s="12" t="s">
        <v>1520</v>
      </c>
      <c r="K252" s="591">
        <f>(28*38)+(2*29.4)</f>
        <v>1122.8</v>
      </c>
      <c r="L252" s="7"/>
    </row>
    <row r="253" spans="1:12">
      <c r="A253" s="590" t="s">
        <v>1004</v>
      </c>
      <c r="B253" s="11" t="s">
        <v>9</v>
      </c>
      <c r="C253" s="11">
        <v>44</v>
      </c>
      <c r="D253" s="11" t="s">
        <v>10</v>
      </c>
      <c r="E253" s="15">
        <v>652</v>
      </c>
      <c r="F253" s="11" t="s">
        <v>1516</v>
      </c>
      <c r="G253" s="11" t="s">
        <v>196</v>
      </c>
      <c r="H253" s="15" t="s">
        <v>5</v>
      </c>
      <c r="I253" s="15">
        <v>20</v>
      </c>
      <c r="J253" s="12" t="s">
        <v>31</v>
      </c>
      <c r="K253" s="591">
        <f>(19*38)+(1*29.4)</f>
        <v>751.4</v>
      </c>
      <c r="L253" s="7"/>
    </row>
    <row r="254" spans="1:12">
      <c r="A254" s="590" t="s">
        <v>1004</v>
      </c>
      <c r="B254" s="11" t="s">
        <v>9</v>
      </c>
      <c r="C254" s="11">
        <v>44</v>
      </c>
      <c r="D254" s="11" t="s">
        <v>10</v>
      </c>
      <c r="E254" s="15">
        <v>653</v>
      </c>
      <c r="F254" s="11" t="s">
        <v>1389</v>
      </c>
      <c r="G254" s="11" t="s">
        <v>196</v>
      </c>
      <c r="H254" s="15" t="s">
        <v>5</v>
      </c>
      <c r="I254" s="15">
        <v>20</v>
      </c>
      <c r="J254" s="12" t="s">
        <v>41</v>
      </c>
      <c r="K254" s="591">
        <f>(18*38)+(2*29.4)</f>
        <v>742.8</v>
      </c>
      <c r="L254" s="7"/>
    </row>
    <row r="255" spans="1:12">
      <c r="A255" s="590" t="s">
        <v>1004</v>
      </c>
      <c r="B255" s="11" t="s">
        <v>9</v>
      </c>
      <c r="C255" s="11">
        <v>44</v>
      </c>
      <c r="D255" s="11" t="s">
        <v>10</v>
      </c>
      <c r="E255" s="15">
        <v>656</v>
      </c>
      <c r="F255" s="11" t="s">
        <v>357</v>
      </c>
      <c r="G255" s="11" t="s">
        <v>196</v>
      </c>
      <c r="H255" s="15" t="s">
        <v>15</v>
      </c>
      <c r="I255" s="15">
        <v>20</v>
      </c>
      <c r="J255" s="12" t="s">
        <v>31</v>
      </c>
      <c r="K255" s="591">
        <f>(19*38)+(1*29.4)</f>
        <v>751.4</v>
      </c>
      <c r="L255" s="7"/>
    </row>
    <row r="256" spans="1:12">
      <c r="A256" s="590" t="s">
        <v>1004</v>
      </c>
      <c r="B256" s="11" t="s">
        <v>9</v>
      </c>
      <c r="C256" s="11">
        <v>44</v>
      </c>
      <c r="D256" s="11" t="s">
        <v>10</v>
      </c>
      <c r="E256" s="15">
        <v>665</v>
      </c>
      <c r="F256" s="11" t="s">
        <v>534</v>
      </c>
      <c r="G256" s="11" t="s">
        <v>724</v>
      </c>
      <c r="H256" s="15" t="s">
        <v>15</v>
      </c>
      <c r="I256" s="15">
        <v>20</v>
      </c>
      <c r="J256" s="12" t="s">
        <v>157</v>
      </c>
      <c r="K256" s="591">
        <f>(20*38)</f>
        <v>760</v>
      </c>
      <c r="L256" s="7"/>
    </row>
    <row r="257" spans="1:12">
      <c r="A257" s="590" t="s">
        <v>1004</v>
      </c>
      <c r="B257" s="11" t="s">
        <v>9</v>
      </c>
      <c r="C257" s="11">
        <v>44</v>
      </c>
      <c r="D257" s="11" t="s">
        <v>10</v>
      </c>
      <c r="E257" s="15">
        <v>666</v>
      </c>
      <c r="F257" s="11" t="s">
        <v>1317</v>
      </c>
      <c r="G257" s="11" t="s">
        <v>724</v>
      </c>
      <c r="H257" s="15" t="s">
        <v>15</v>
      </c>
      <c r="I257" s="15">
        <v>15</v>
      </c>
      <c r="J257" s="12" t="s">
        <v>38</v>
      </c>
      <c r="K257" s="591">
        <f>(13*38)+(2*29.4)</f>
        <v>552.79999999999995</v>
      </c>
      <c r="L257" s="7"/>
    </row>
    <row r="258" spans="1:12">
      <c r="A258" s="590" t="s">
        <v>1004</v>
      </c>
      <c r="B258" s="11" t="s">
        <v>9</v>
      </c>
      <c r="C258" s="11">
        <v>44</v>
      </c>
      <c r="D258" s="11" t="s">
        <v>10</v>
      </c>
      <c r="E258" s="15">
        <v>1062</v>
      </c>
      <c r="F258" s="11" t="s">
        <v>423</v>
      </c>
      <c r="G258" s="11" t="s">
        <v>49</v>
      </c>
      <c r="H258" s="15" t="s">
        <v>15</v>
      </c>
      <c r="I258" s="15">
        <v>20</v>
      </c>
      <c r="J258" s="12" t="s">
        <v>1624</v>
      </c>
      <c r="K258" s="591">
        <f>(18*30)+(2*21.4)</f>
        <v>582.79999999999995</v>
      </c>
      <c r="L258" s="7"/>
    </row>
    <row r="259" spans="1:12">
      <c r="A259" s="590" t="s">
        <v>1004</v>
      </c>
      <c r="B259" s="11" t="s">
        <v>9</v>
      </c>
      <c r="C259" s="11">
        <v>44</v>
      </c>
      <c r="D259" s="11" t="s">
        <v>10</v>
      </c>
      <c r="E259" s="15">
        <v>1067</v>
      </c>
      <c r="F259" s="11" t="s">
        <v>1625</v>
      </c>
      <c r="G259" s="11" t="s">
        <v>465</v>
      </c>
      <c r="H259" s="15" t="s">
        <v>15</v>
      </c>
      <c r="I259" s="15">
        <v>20</v>
      </c>
      <c r="J259" s="12" t="s">
        <v>17</v>
      </c>
      <c r="K259" s="591">
        <f>(19*35)+(1*26.4)</f>
        <v>691.4</v>
      </c>
      <c r="L259" s="7"/>
    </row>
    <row r="260" spans="1:12">
      <c r="A260" s="590" t="s">
        <v>1005</v>
      </c>
      <c r="B260" s="11" t="s">
        <v>150</v>
      </c>
      <c r="C260" s="11">
        <v>44</v>
      </c>
      <c r="D260" s="11" t="s">
        <v>7</v>
      </c>
      <c r="E260" s="15">
        <v>722</v>
      </c>
      <c r="F260" s="11" t="s">
        <v>687</v>
      </c>
      <c r="G260" s="11" t="s">
        <v>529</v>
      </c>
      <c r="H260" s="15" t="s">
        <v>15</v>
      </c>
      <c r="I260" s="15">
        <v>20</v>
      </c>
      <c r="J260" s="12" t="s">
        <v>142</v>
      </c>
      <c r="K260" s="591">
        <f>(20*35)</f>
        <v>700</v>
      </c>
      <c r="L260" s="7"/>
    </row>
    <row r="261" spans="1:12">
      <c r="A261" s="590" t="s">
        <v>1005</v>
      </c>
      <c r="B261" s="11" t="s">
        <v>150</v>
      </c>
      <c r="C261" s="11">
        <v>44</v>
      </c>
      <c r="D261" s="11" t="s">
        <v>7</v>
      </c>
      <c r="E261" s="15">
        <v>952</v>
      </c>
      <c r="F261" s="11" t="s">
        <v>759</v>
      </c>
      <c r="G261" s="11" t="s">
        <v>1576</v>
      </c>
      <c r="H261" s="15" t="s">
        <v>5</v>
      </c>
      <c r="I261" s="15">
        <v>15</v>
      </c>
      <c r="J261" s="12" t="s">
        <v>710</v>
      </c>
      <c r="K261" s="591">
        <f>(14*26)+(1*18.3)</f>
        <v>382.3</v>
      </c>
      <c r="L261" s="7"/>
    </row>
    <row r="262" spans="1:12">
      <c r="A262" s="590" t="s">
        <v>1005</v>
      </c>
      <c r="B262" s="11" t="s">
        <v>150</v>
      </c>
      <c r="C262" s="11">
        <v>44</v>
      </c>
      <c r="D262" s="11" t="s">
        <v>7</v>
      </c>
      <c r="E262" s="15">
        <v>958</v>
      </c>
      <c r="F262" s="11" t="s">
        <v>1562</v>
      </c>
      <c r="G262" s="11" t="s">
        <v>1576</v>
      </c>
      <c r="H262" s="15" t="s">
        <v>5</v>
      </c>
      <c r="I262" s="15">
        <v>20</v>
      </c>
      <c r="J262" s="12" t="s">
        <v>1626</v>
      </c>
      <c r="K262" s="591">
        <f>(18*24)+(2*19.7)</f>
        <v>471.4</v>
      </c>
      <c r="L262" s="7"/>
    </row>
    <row r="263" spans="1:12">
      <c r="A263" s="590" t="s">
        <v>1005</v>
      </c>
      <c r="B263" s="11" t="s">
        <v>150</v>
      </c>
      <c r="C263" s="11">
        <v>44</v>
      </c>
      <c r="D263" s="11" t="s">
        <v>7</v>
      </c>
      <c r="E263" s="15">
        <v>1133</v>
      </c>
      <c r="F263" s="11" t="s">
        <v>520</v>
      </c>
      <c r="G263" s="11" t="s">
        <v>1627</v>
      </c>
      <c r="H263" s="15" t="s">
        <v>15</v>
      </c>
      <c r="I263" s="15">
        <v>20</v>
      </c>
      <c r="J263" s="12" t="s">
        <v>1412</v>
      </c>
      <c r="K263" s="591">
        <f t="shared" ref="K263" si="6">(19*31)+(1*26.7)</f>
        <v>615.70000000000005</v>
      </c>
      <c r="L263" s="7"/>
    </row>
    <row r="264" spans="1:12">
      <c r="A264" s="590" t="s">
        <v>1005</v>
      </c>
      <c r="B264" s="11" t="s">
        <v>150</v>
      </c>
      <c r="C264" s="11">
        <v>44</v>
      </c>
      <c r="D264" s="11" t="s">
        <v>7</v>
      </c>
      <c r="E264" s="15">
        <v>1142</v>
      </c>
      <c r="F264" s="11" t="s">
        <v>1628</v>
      </c>
      <c r="G264" s="11" t="s">
        <v>1544</v>
      </c>
      <c r="H264" s="15" t="s">
        <v>15</v>
      </c>
      <c r="I264" s="15">
        <v>20</v>
      </c>
      <c r="J264" s="12" t="s">
        <v>1514</v>
      </c>
      <c r="K264" s="591">
        <f>(19*28)+(1*23.7)</f>
        <v>555.70000000000005</v>
      </c>
      <c r="L264" s="7"/>
    </row>
    <row r="265" spans="1:12" ht="15.75" thickBot="1">
      <c r="A265" s="592" t="s">
        <v>1005</v>
      </c>
      <c r="B265" s="593" t="s">
        <v>150</v>
      </c>
      <c r="C265" s="593">
        <v>44</v>
      </c>
      <c r="D265" s="593" t="s">
        <v>7</v>
      </c>
      <c r="E265" s="594">
        <v>1143</v>
      </c>
      <c r="F265" s="593" t="s">
        <v>1629</v>
      </c>
      <c r="G265" s="593" t="s">
        <v>1544</v>
      </c>
      <c r="H265" s="594" t="s">
        <v>15</v>
      </c>
      <c r="I265" s="594">
        <v>20</v>
      </c>
      <c r="J265" s="595" t="s">
        <v>1514</v>
      </c>
      <c r="K265" s="596">
        <f>(19*28)+(1*23.7)</f>
        <v>555.70000000000005</v>
      </c>
      <c r="L265" s="7"/>
    </row>
    <row r="266" spans="1:12">
      <c r="A266" s="611" t="s">
        <v>1005</v>
      </c>
      <c r="B266" s="612" t="s">
        <v>150</v>
      </c>
      <c r="C266" s="612">
        <v>44</v>
      </c>
      <c r="D266" s="612" t="s">
        <v>7</v>
      </c>
      <c r="E266" s="612">
        <v>1463</v>
      </c>
      <c r="F266" s="612" t="s">
        <v>444</v>
      </c>
      <c r="G266" s="612" t="s">
        <v>1631</v>
      </c>
      <c r="H266" s="612" t="s">
        <v>15</v>
      </c>
      <c r="I266" s="612">
        <v>12</v>
      </c>
      <c r="J266" s="613" t="s">
        <v>1432</v>
      </c>
      <c r="K266" s="614">
        <f>(11*36)+(1*28.3)</f>
        <v>424.3</v>
      </c>
      <c r="L266" s="7"/>
    </row>
    <row r="267" spans="1:12">
      <c r="A267" s="590" t="s">
        <v>1005</v>
      </c>
      <c r="B267" s="11" t="s">
        <v>150</v>
      </c>
      <c r="C267" s="11">
        <v>44</v>
      </c>
      <c r="D267" s="11" t="s">
        <v>51</v>
      </c>
      <c r="E267" s="11">
        <v>231</v>
      </c>
      <c r="F267" s="11" t="s">
        <v>1425</v>
      </c>
      <c r="G267" s="11" t="s">
        <v>658</v>
      </c>
      <c r="H267" s="11" t="s">
        <v>15</v>
      </c>
      <c r="I267" s="11">
        <v>15</v>
      </c>
      <c r="J267" s="12" t="s">
        <v>159</v>
      </c>
      <c r="K267" s="591">
        <f>(15*35)</f>
        <v>525</v>
      </c>
      <c r="L267" s="7"/>
    </row>
    <row r="268" spans="1:12">
      <c r="A268" s="590" t="s">
        <v>1005</v>
      </c>
      <c r="B268" s="11" t="s">
        <v>150</v>
      </c>
      <c r="C268" s="11">
        <v>44</v>
      </c>
      <c r="D268" s="11" t="s">
        <v>51</v>
      </c>
      <c r="E268" s="11">
        <v>701</v>
      </c>
      <c r="F268" s="11" t="s">
        <v>548</v>
      </c>
      <c r="G268" s="11" t="s">
        <v>1632</v>
      </c>
      <c r="H268" s="11" t="s">
        <v>15</v>
      </c>
      <c r="I268" s="11">
        <v>20</v>
      </c>
      <c r="J268" s="12" t="s">
        <v>743</v>
      </c>
      <c r="K268" s="591">
        <f t="shared" ref="K268" si="7">(18*28)+(2*23.7)</f>
        <v>551.4</v>
      </c>
      <c r="L268" s="7"/>
    </row>
    <row r="269" spans="1:12">
      <c r="A269" s="590" t="s">
        <v>1005</v>
      </c>
      <c r="B269" s="11" t="s">
        <v>150</v>
      </c>
      <c r="C269" s="11">
        <v>44</v>
      </c>
      <c r="D269" s="11" t="s">
        <v>50</v>
      </c>
      <c r="E269" s="11">
        <v>157</v>
      </c>
      <c r="F269" s="11" t="s">
        <v>429</v>
      </c>
      <c r="G269" s="11" t="s">
        <v>66</v>
      </c>
      <c r="H269" s="11" t="s">
        <v>15</v>
      </c>
      <c r="I269" s="11">
        <v>13</v>
      </c>
      <c r="J269" s="12" t="s">
        <v>1633</v>
      </c>
      <c r="K269" s="591">
        <f>(11*30)+(2*22.3)</f>
        <v>374.6</v>
      </c>
      <c r="L269" s="7"/>
    </row>
    <row r="270" spans="1:12">
      <c r="A270" s="590" t="s">
        <v>1005</v>
      </c>
      <c r="B270" s="11" t="s">
        <v>150</v>
      </c>
      <c r="C270" s="11">
        <v>44</v>
      </c>
      <c r="D270" s="11" t="s">
        <v>50</v>
      </c>
      <c r="E270" s="11">
        <v>228</v>
      </c>
      <c r="F270" s="11" t="s">
        <v>1428</v>
      </c>
      <c r="G270" s="11" t="s">
        <v>486</v>
      </c>
      <c r="H270" s="11" t="s">
        <v>15</v>
      </c>
      <c r="I270" s="11">
        <v>15</v>
      </c>
      <c r="J270" s="12" t="s">
        <v>97</v>
      </c>
      <c r="K270" s="591">
        <f>(15*38)</f>
        <v>570</v>
      </c>
      <c r="L270" s="7"/>
    </row>
    <row r="271" spans="1:12">
      <c r="A271" s="590" t="s">
        <v>1156</v>
      </c>
      <c r="B271" s="11" t="s">
        <v>9</v>
      </c>
      <c r="C271" s="11">
        <v>40</v>
      </c>
      <c r="D271" s="11" t="s">
        <v>7</v>
      </c>
      <c r="E271" s="15">
        <v>43</v>
      </c>
      <c r="F271" s="11" t="s">
        <v>1634</v>
      </c>
      <c r="G271" s="11" t="s">
        <v>761</v>
      </c>
      <c r="H271" s="15" t="s">
        <v>143</v>
      </c>
      <c r="I271" s="15">
        <v>20</v>
      </c>
      <c r="J271" s="12" t="s">
        <v>31</v>
      </c>
      <c r="K271" s="591">
        <f>(19*38)+(1*29.4)</f>
        <v>751.4</v>
      </c>
      <c r="L271" s="7"/>
    </row>
    <row r="272" spans="1:12">
      <c r="A272" s="590" t="s">
        <v>1156</v>
      </c>
      <c r="B272" s="11" t="s">
        <v>9</v>
      </c>
      <c r="C272" s="11">
        <v>40</v>
      </c>
      <c r="D272" s="11" t="s">
        <v>7</v>
      </c>
      <c r="E272" s="15">
        <v>82</v>
      </c>
      <c r="F272" s="11" t="s">
        <v>667</v>
      </c>
      <c r="G272" s="11" t="s">
        <v>764</v>
      </c>
      <c r="H272" s="15" t="s">
        <v>5</v>
      </c>
      <c r="I272" s="15">
        <v>20</v>
      </c>
      <c r="J272" s="12" t="s">
        <v>31</v>
      </c>
      <c r="K272" s="591">
        <f>(19*38)+(1*29.4)</f>
        <v>751.4</v>
      </c>
      <c r="L272" s="7"/>
    </row>
    <row r="273" spans="1:12">
      <c r="A273" s="590" t="s">
        <v>1156</v>
      </c>
      <c r="B273" s="11" t="s">
        <v>9</v>
      </c>
      <c r="C273" s="11">
        <v>40</v>
      </c>
      <c r="D273" s="11" t="s">
        <v>7</v>
      </c>
      <c r="E273" s="15">
        <v>83</v>
      </c>
      <c r="F273" s="11" t="s">
        <v>470</v>
      </c>
      <c r="G273" s="11" t="s">
        <v>764</v>
      </c>
      <c r="H273" s="15" t="s">
        <v>5</v>
      </c>
      <c r="I273" s="15">
        <v>10</v>
      </c>
      <c r="J273" s="12" t="s">
        <v>1635</v>
      </c>
      <c r="K273" s="591">
        <f>(9*38)+(1*29.4)</f>
        <v>371.4</v>
      </c>
      <c r="L273" s="7"/>
    </row>
    <row r="274" spans="1:12">
      <c r="A274" s="590" t="s">
        <v>1156</v>
      </c>
      <c r="B274" s="11" t="s">
        <v>9</v>
      </c>
      <c r="C274" s="11">
        <v>40</v>
      </c>
      <c r="D274" s="11" t="s">
        <v>7</v>
      </c>
      <c r="E274" s="15">
        <v>122</v>
      </c>
      <c r="F274" s="11" t="s">
        <v>1636</v>
      </c>
      <c r="G274" s="11" t="s">
        <v>207</v>
      </c>
      <c r="H274" s="15" t="s">
        <v>5</v>
      </c>
      <c r="I274" s="15">
        <v>20</v>
      </c>
      <c r="J274" s="12" t="s">
        <v>1637</v>
      </c>
      <c r="K274" s="591">
        <f>(19*40)+(1*31.4)</f>
        <v>791.4</v>
      </c>
      <c r="L274" s="7"/>
    </row>
    <row r="275" spans="1:12">
      <c r="A275" s="590" t="s">
        <v>1156</v>
      </c>
      <c r="B275" s="11" t="s">
        <v>9</v>
      </c>
      <c r="C275" s="11">
        <v>40</v>
      </c>
      <c r="D275" s="11" t="s">
        <v>7</v>
      </c>
      <c r="E275" s="15">
        <v>124</v>
      </c>
      <c r="F275" s="11" t="s">
        <v>1638</v>
      </c>
      <c r="G275" s="11" t="s">
        <v>207</v>
      </c>
      <c r="H275" s="15" t="s">
        <v>5</v>
      </c>
      <c r="I275" s="15">
        <v>20</v>
      </c>
      <c r="J275" s="12" t="s">
        <v>1637</v>
      </c>
      <c r="K275" s="591">
        <f>(19*40)+(1*31.4)</f>
        <v>791.4</v>
      </c>
      <c r="L275" s="7"/>
    </row>
    <row r="276" spans="1:12">
      <c r="A276" s="590" t="s">
        <v>1156</v>
      </c>
      <c r="B276" s="11" t="s">
        <v>9</v>
      </c>
      <c r="C276" s="11">
        <v>40</v>
      </c>
      <c r="D276" s="11" t="s">
        <v>7</v>
      </c>
      <c r="E276" s="15">
        <v>267</v>
      </c>
      <c r="F276" s="11" t="s">
        <v>654</v>
      </c>
      <c r="G276" s="11" t="s">
        <v>39</v>
      </c>
      <c r="H276" s="15" t="s">
        <v>143</v>
      </c>
      <c r="I276" s="15">
        <v>20</v>
      </c>
      <c r="J276" s="12" t="s">
        <v>17</v>
      </c>
      <c r="K276" s="591">
        <f>(19*35)+(1*26.4)</f>
        <v>691.4</v>
      </c>
      <c r="L276" s="7"/>
    </row>
    <row r="277" spans="1:12">
      <c r="A277" s="590" t="s">
        <v>1156</v>
      </c>
      <c r="B277" s="11" t="s">
        <v>9</v>
      </c>
      <c r="C277" s="11">
        <v>40</v>
      </c>
      <c r="D277" s="11" t="s">
        <v>7</v>
      </c>
      <c r="E277" s="15">
        <v>270</v>
      </c>
      <c r="F277" s="11" t="s">
        <v>1391</v>
      </c>
      <c r="G277" s="11" t="s">
        <v>39</v>
      </c>
      <c r="H277" s="15" t="s">
        <v>143</v>
      </c>
      <c r="I277" s="15">
        <v>20</v>
      </c>
      <c r="J277" s="12" t="s">
        <v>17</v>
      </c>
      <c r="K277" s="591">
        <f t="shared" ref="K277:K278" si="8">(19*35)+(1*26.4)</f>
        <v>691.4</v>
      </c>
      <c r="L277" s="7"/>
    </row>
    <row r="278" spans="1:12">
      <c r="A278" s="590" t="s">
        <v>1156</v>
      </c>
      <c r="B278" s="11" t="s">
        <v>9</v>
      </c>
      <c r="C278" s="11">
        <v>40</v>
      </c>
      <c r="D278" s="11" t="s">
        <v>7</v>
      </c>
      <c r="E278" s="15">
        <v>271</v>
      </c>
      <c r="F278" s="11" t="s">
        <v>649</v>
      </c>
      <c r="G278" s="11" t="s">
        <v>39</v>
      </c>
      <c r="H278" s="15" t="s">
        <v>143</v>
      </c>
      <c r="I278" s="15">
        <v>20</v>
      </c>
      <c r="J278" s="12" t="s">
        <v>17</v>
      </c>
      <c r="K278" s="591">
        <f t="shared" si="8"/>
        <v>691.4</v>
      </c>
      <c r="L278" s="7"/>
    </row>
    <row r="279" spans="1:12">
      <c r="A279" s="590" t="s">
        <v>1156</v>
      </c>
      <c r="B279" s="11" t="s">
        <v>9</v>
      </c>
      <c r="C279" s="11">
        <v>40</v>
      </c>
      <c r="D279" s="11" t="s">
        <v>7</v>
      </c>
      <c r="E279" s="15">
        <v>322</v>
      </c>
      <c r="F279" s="11" t="s">
        <v>1408</v>
      </c>
      <c r="G279" s="11" t="s">
        <v>1380</v>
      </c>
      <c r="H279" s="15" t="s">
        <v>15</v>
      </c>
      <c r="I279" s="15">
        <v>15</v>
      </c>
      <c r="J279" s="12" t="s">
        <v>14</v>
      </c>
      <c r="K279" s="591">
        <f>(14*38)+(1*29.4)</f>
        <v>561.4</v>
      </c>
      <c r="L279" s="7"/>
    </row>
    <row r="280" spans="1:12">
      <c r="A280" s="590" t="s">
        <v>1156</v>
      </c>
      <c r="B280" s="11" t="s">
        <v>9</v>
      </c>
      <c r="C280" s="11">
        <v>40</v>
      </c>
      <c r="D280" s="11" t="s">
        <v>7</v>
      </c>
      <c r="E280" s="15">
        <v>327</v>
      </c>
      <c r="F280" s="11" t="s">
        <v>500</v>
      </c>
      <c r="G280" s="11" t="s">
        <v>1380</v>
      </c>
      <c r="H280" s="15" t="s">
        <v>15</v>
      </c>
      <c r="I280" s="15">
        <v>15</v>
      </c>
      <c r="J280" s="12" t="s">
        <v>97</v>
      </c>
      <c r="K280" s="591">
        <f>(15*38)</f>
        <v>570</v>
      </c>
      <c r="L280" s="7"/>
    </row>
    <row r="281" spans="1:12">
      <c r="A281" s="590" t="s">
        <v>1156</v>
      </c>
      <c r="B281" s="11" t="s">
        <v>9</v>
      </c>
      <c r="C281" s="11">
        <v>40</v>
      </c>
      <c r="D281" s="11" t="s">
        <v>7</v>
      </c>
      <c r="E281" s="15">
        <v>382</v>
      </c>
      <c r="F281" s="11" t="s">
        <v>501</v>
      </c>
      <c r="G281" s="11" t="s">
        <v>18</v>
      </c>
      <c r="H281" s="15" t="s">
        <v>15</v>
      </c>
      <c r="I281" s="15">
        <v>20</v>
      </c>
      <c r="J281" s="12" t="s">
        <v>157</v>
      </c>
      <c r="K281" s="591">
        <f>(20*38)</f>
        <v>760</v>
      </c>
      <c r="L281" s="7"/>
    </row>
    <row r="282" spans="1:12">
      <c r="A282" s="590" t="s">
        <v>1156</v>
      </c>
      <c r="B282" s="11" t="s">
        <v>9</v>
      </c>
      <c r="C282" s="11">
        <v>40</v>
      </c>
      <c r="D282" s="11" t="s">
        <v>7</v>
      </c>
      <c r="E282" s="15">
        <v>383</v>
      </c>
      <c r="F282" s="11" t="s">
        <v>497</v>
      </c>
      <c r="G282" s="11" t="s">
        <v>18</v>
      </c>
      <c r="H282" s="15" t="s">
        <v>15</v>
      </c>
      <c r="I282" s="15">
        <v>30</v>
      </c>
      <c r="J282" s="12" t="s">
        <v>25</v>
      </c>
      <c r="K282" s="591">
        <f>(29*38)+(1*29.4)</f>
        <v>1131.4000000000001</v>
      </c>
      <c r="L282" s="7"/>
    </row>
    <row r="283" spans="1:12">
      <c r="A283" s="590" t="s">
        <v>1156</v>
      </c>
      <c r="B283" s="11" t="s">
        <v>9</v>
      </c>
      <c r="C283" s="11">
        <v>40</v>
      </c>
      <c r="D283" s="11" t="s">
        <v>7</v>
      </c>
      <c r="E283" s="15">
        <v>385</v>
      </c>
      <c r="F283" s="11" t="s">
        <v>385</v>
      </c>
      <c r="G283" s="11" t="s">
        <v>106</v>
      </c>
      <c r="H283" s="15" t="s">
        <v>5</v>
      </c>
      <c r="I283" s="15">
        <v>15</v>
      </c>
      <c r="J283" s="12" t="s">
        <v>159</v>
      </c>
      <c r="K283" s="591">
        <f>(15*35)</f>
        <v>525</v>
      </c>
      <c r="L283" s="7"/>
    </row>
    <row r="284" spans="1:12">
      <c r="A284" s="590" t="s">
        <v>1156</v>
      </c>
      <c r="B284" s="11" t="s">
        <v>9</v>
      </c>
      <c r="C284" s="11">
        <v>40</v>
      </c>
      <c r="D284" s="11" t="s">
        <v>7</v>
      </c>
      <c r="E284" s="15">
        <v>386</v>
      </c>
      <c r="F284" s="11" t="s">
        <v>130</v>
      </c>
      <c r="G284" s="11" t="s">
        <v>106</v>
      </c>
      <c r="H284" s="15" t="s">
        <v>5</v>
      </c>
      <c r="I284" s="15">
        <v>15</v>
      </c>
      <c r="J284" s="12" t="s">
        <v>159</v>
      </c>
      <c r="K284" s="591">
        <f>(15*35)</f>
        <v>525</v>
      </c>
      <c r="L284" s="7"/>
    </row>
    <row r="285" spans="1:12">
      <c r="A285" s="590" t="s">
        <v>1156</v>
      </c>
      <c r="B285" s="11" t="s">
        <v>9</v>
      </c>
      <c r="C285" s="11">
        <v>40</v>
      </c>
      <c r="D285" s="11" t="s">
        <v>7</v>
      </c>
      <c r="E285" s="15">
        <v>524</v>
      </c>
      <c r="F285" s="11" t="s">
        <v>1639</v>
      </c>
      <c r="G285" s="11" t="s">
        <v>777</v>
      </c>
      <c r="H285" s="15" t="s">
        <v>15</v>
      </c>
      <c r="I285" s="15">
        <v>20</v>
      </c>
      <c r="J285" s="12" t="s">
        <v>23</v>
      </c>
      <c r="K285" s="591">
        <f>(18*35)+(2*26.4)</f>
        <v>682.8</v>
      </c>
      <c r="L285" s="7"/>
    </row>
    <row r="286" spans="1:12">
      <c r="A286" s="590" t="s">
        <v>1156</v>
      </c>
      <c r="B286" s="11" t="s">
        <v>9</v>
      </c>
      <c r="C286" s="11">
        <v>40</v>
      </c>
      <c r="D286" s="11" t="s">
        <v>7</v>
      </c>
      <c r="E286" s="15">
        <v>590</v>
      </c>
      <c r="F286" s="11" t="s">
        <v>509</v>
      </c>
      <c r="G286" s="11" t="s">
        <v>152</v>
      </c>
      <c r="H286" s="15" t="s">
        <v>15</v>
      </c>
      <c r="I286" s="15">
        <v>20</v>
      </c>
      <c r="J286" s="12" t="s">
        <v>31</v>
      </c>
      <c r="K286" s="591">
        <f>(19*38)+(1*29.4)</f>
        <v>751.4</v>
      </c>
      <c r="L286" s="7"/>
    </row>
    <row r="287" spans="1:12">
      <c r="A287" s="590" t="s">
        <v>1156</v>
      </c>
      <c r="B287" s="11" t="s">
        <v>9</v>
      </c>
      <c r="C287" s="11">
        <v>40</v>
      </c>
      <c r="D287" s="11" t="s">
        <v>7</v>
      </c>
      <c r="E287" s="15">
        <v>591</v>
      </c>
      <c r="F287" s="11" t="s">
        <v>446</v>
      </c>
      <c r="G287" s="11" t="s">
        <v>152</v>
      </c>
      <c r="H287" s="15" t="s">
        <v>15</v>
      </c>
      <c r="I287" s="15">
        <v>20</v>
      </c>
      <c r="J287" s="12" t="s">
        <v>31</v>
      </c>
      <c r="K287" s="591">
        <f>(19*38)+(1*29.4)</f>
        <v>751.4</v>
      </c>
      <c r="L287" s="7"/>
    </row>
    <row r="288" spans="1:12">
      <c r="A288" s="590" t="s">
        <v>1156</v>
      </c>
      <c r="B288" s="11" t="s">
        <v>9</v>
      </c>
      <c r="C288" s="11">
        <v>40</v>
      </c>
      <c r="D288" s="11" t="s">
        <v>7</v>
      </c>
      <c r="E288" s="15">
        <v>600</v>
      </c>
      <c r="F288" s="11" t="s">
        <v>584</v>
      </c>
      <c r="G288" s="11" t="s">
        <v>153</v>
      </c>
      <c r="H288" s="15" t="s">
        <v>5</v>
      </c>
      <c r="I288" s="15">
        <v>20</v>
      </c>
      <c r="J288" s="12" t="s">
        <v>17</v>
      </c>
      <c r="K288" s="591">
        <f>(19*35)+(1*26.4)</f>
        <v>691.4</v>
      </c>
      <c r="L288" s="7"/>
    </row>
    <row r="289" spans="1:12">
      <c r="A289" s="590" t="s">
        <v>1156</v>
      </c>
      <c r="B289" s="11" t="s">
        <v>9</v>
      </c>
      <c r="C289" s="11">
        <v>40</v>
      </c>
      <c r="D289" s="11" t="s">
        <v>7</v>
      </c>
      <c r="E289" s="15">
        <v>603</v>
      </c>
      <c r="F289" s="11" t="s">
        <v>683</v>
      </c>
      <c r="G289" s="11" t="s">
        <v>153</v>
      </c>
      <c r="H289" s="15" t="s">
        <v>15</v>
      </c>
      <c r="I289" s="15">
        <v>20</v>
      </c>
      <c r="J289" s="12" t="s">
        <v>23</v>
      </c>
      <c r="K289" s="591">
        <f>(18*35)+(2*26.4)</f>
        <v>682.8</v>
      </c>
      <c r="L289" s="7"/>
    </row>
    <row r="290" spans="1:12">
      <c r="A290" s="590" t="s">
        <v>1156</v>
      </c>
      <c r="B290" s="11" t="s">
        <v>9</v>
      </c>
      <c r="C290" s="11">
        <v>40</v>
      </c>
      <c r="D290" s="11" t="s">
        <v>7</v>
      </c>
      <c r="E290" s="15">
        <v>681</v>
      </c>
      <c r="F290" s="11" t="s">
        <v>198</v>
      </c>
      <c r="G290" s="11" t="s">
        <v>1338</v>
      </c>
      <c r="H290" s="15" t="s">
        <v>5</v>
      </c>
      <c r="I290" s="15">
        <v>15</v>
      </c>
      <c r="J290" s="12" t="s">
        <v>159</v>
      </c>
      <c r="K290" s="591">
        <f>(15*35)</f>
        <v>525</v>
      </c>
      <c r="L290" s="7"/>
    </row>
    <row r="291" spans="1:12">
      <c r="A291" s="590" t="s">
        <v>1156</v>
      </c>
      <c r="B291" s="11" t="s">
        <v>9</v>
      </c>
      <c r="C291" s="11">
        <v>40</v>
      </c>
      <c r="D291" s="11" t="s">
        <v>7</v>
      </c>
      <c r="E291" s="15">
        <v>723</v>
      </c>
      <c r="F291" s="11" t="s">
        <v>1448</v>
      </c>
      <c r="G291" s="11" t="s">
        <v>190</v>
      </c>
      <c r="H291" s="15" t="s">
        <v>15</v>
      </c>
      <c r="I291" s="15">
        <v>20</v>
      </c>
      <c r="J291" s="12" t="s">
        <v>155</v>
      </c>
      <c r="K291" s="591">
        <f>(20*26)</f>
        <v>520</v>
      </c>
      <c r="L291" s="7"/>
    </row>
    <row r="292" spans="1:12">
      <c r="A292" s="590" t="s">
        <v>1156</v>
      </c>
      <c r="B292" s="11" t="s">
        <v>9</v>
      </c>
      <c r="C292" s="11">
        <v>40</v>
      </c>
      <c r="D292" s="11" t="s">
        <v>7</v>
      </c>
      <c r="E292" s="15">
        <v>725</v>
      </c>
      <c r="F292" s="11" t="s">
        <v>784</v>
      </c>
      <c r="G292" s="11" t="s">
        <v>190</v>
      </c>
      <c r="H292" s="15" t="s">
        <v>15</v>
      </c>
      <c r="I292" s="15">
        <v>20</v>
      </c>
      <c r="J292" s="12" t="s">
        <v>34</v>
      </c>
      <c r="K292" s="591">
        <f>(19*26)+(1*17.4)</f>
        <v>511.4</v>
      </c>
      <c r="L292" s="7"/>
    </row>
    <row r="293" spans="1:12">
      <c r="A293" s="590" t="s">
        <v>1156</v>
      </c>
      <c r="B293" s="11" t="s">
        <v>9</v>
      </c>
      <c r="C293" s="11">
        <v>40</v>
      </c>
      <c r="D293" s="11" t="s">
        <v>7</v>
      </c>
      <c r="E293" s="15">
        <v>738</v>
      </c>
      <c r="F293" s="11" t="s">
        <v>1391</v>
      </c>
      <c r="G293" s="11" t="s">
        <v>426</v>
      </c>
      <c r="H293" s="15" t="s">
        <v>5</v>
      </c>
      <c r="I293" s="15">
        <v>20</v>
      </c>
      <c r="J293" s="12" t="s">
        <v>17</v>
      </c>
      <c r="K293" s="591">
        <f>(19*35)+(1*26.4)</f>
        <v>691.4</v>
      </c>
      <c r="L293" s="7"/>
    </row>
    <row r="294" spans="1:12">
      <c r="A294" s="590" t="s">
        <v>1156</v>
      </c>
      <c r="B294" s="11" t="s">
        <v>9</v>
      </c>
      <c r="C294" s="11">
        <v>40</v>
      </c>
      <c r="D294" s="11" t="s">
        <v>7</v>
      </c>
      <c r="E294" s="15">
        <v>742</v>
      </c>
      <c r="F294" s="11" t="s">
        <v>453</v>
      </c>
      <c r="G294" s="11" t="s">
        <v>426</v>
      </c>
      <c r="H294" s="15" t="s">
        <v>15</v>
      </c>
      <c r="I294" s="15">
        <v>20</v>
      </c>
      <c r="J294" s="12" t="s">
        <v>17</v>
      </c>
      <c r="K294" s="591">
        <f>(19*35)+(1*26.4)</f>
        <v>691.4</v>
      </c>
      <c r="L294" s="7"/>
    </row>
    <row r="295" spans="1:12">
      <c r="A295" s="590" t="s">
        <v>1156</v>
      </c>
      <c r="B295" s="11" t="s">
        <v>9</v>
      </c>
      <c r="C295" s="11">
        <v>40</v>
      </c>
      <c r="D295" s="11" t="s">
        <v>7</v>
      </c>
      <c r="E295" s="15">
        <v>768</v>
      </c>
      <c r="F295" s="11" t="s">
        <v>1427</v>
      </c>
      <c r="G295" s="11" t="s">
        <v>359</v>
      </c>
      <c r="H295" s="15" t="s">
        <v>15</v>
      </c>
      <c r="I295" s="15">
        <v>25</v>
      </c>
      <c r="J295" s="12" t="s">
        <v>112</v>
      </c>
      <c r="K295" s="591">
        <f>(24*35)+(1*26.4)</f>
        <v>866.4</v>
      </c>
      <c r="L295" s="7"/>
    </row>
    <row r="296" spans="1:12">
      <c r="A296" s="590" t="s">
        <v>1156</v>
      </c>
      <c r="B296" s="11" t="s">
        <v>9</v>
      </c>
      <c r="C296" s="11">
        <v>40</v>
      </c>
      <c r="D296" s="11" t="s">
        <v>7</v>
      </c>
      <c r="E296" s="15">
        <v>769</v>
      </c>
      <c r="F296" s="11" t="s">
        <v>637</v>
      </c>
      <c r="G296" s="11" t="s">
        <v>359</v>
      </c>
      <c r="H296" s="15" t="s">
        <v>15</v>
      </c>
      <c r="I296" s="15">
        <v>20</v>
      </c>
      <c r="J296" s="12" t="s">
        <v>142</v>
      </c>
      <c r="K296" s="591">
        <f>(20*35)</f>
        <v>700</v>
      </c>
      <c r="L296" s="7"/>
    </row>
    <row r="297" spans="1:12">
      <c r="A297" s="590" t="s">
        <v>1156</v>
      </c>
      <c r="B297" s="11" t="s">
        <v>9</v>
      </c>
      <c r="C297" s="11">
        <v>40</v>
      </c>
      <c r="D297" s="11" t="s">
        <v>7</v>
      </c>
      <c r="E297" s="15">
        <v>841</v>
      </c>
      <c r="F297" s="11" t="s">
        <v>772</v>
      </c>
      <c r="G297" s="11" t="s">
        <v>199</v>
      </c>
      <c r="H297" s="15" t="s">
        <v>5</v>
      </c>
      <c r="I297" s="15">
        <v>15</v>
      </c>
      <c r="J297" s="12" t="s">
        <v>108</v>
      </c>
      <c r="K297" s="591">
        <f>(14*33)+(1*24.4)</f>
        <v>486.4</v>
      </c>
      <c r="L297" s="7"/>
    </row>
    <row r="298" spans="1:12">
      <c r="A298" s="590" t="s">
        <v>1156</v>
      </c>
      <c r="B298" s="11" t="s">
        <v>9</v>
      </c>
      <c r="C298" s="11">
        <v>40</v>
      </c>
      <c r="D298" s="11" t="s">
        <v>7</v>
      </c>
      <c r="E298" s="15">
        <v>844</v>
      </c>
      <c r="F298" s="11" t="s">
        <v>463</v>
      </c>
      <c r="G298" s="11" t="s">
        <v>199</v>
      </c>
      <c r="H298" s="15" t="s">
        <v>15</v>
      </c>
      <c r="I298" s="15">
        <v>15</v>
      </c>
      <c r="J298" s="12" t="s">
        <v>127</v>
      </c>
      <c r="K298" s="591">
        <f>(14*34)+(1*25.4)</f>
        <v>501.4</v>
      </c>
      <c r="L298" s="7"/>
    </row>
    <row r="299" spans="1:12">
      <c r="A299" s="590" t="s">
        <v>1156</v>
      </c>
      <c r="B299" s="11" t="s">
        <v>9</v>
      </c>
      <c r="C299" s="11">
        <v>40</v>
      </c>
      <c r="D299" s="11" t="s">
        <v>7</v>
      </c>
      <c r="E299" s="15">
        <v>848</v>
      </c>
      <c r="F299" s="11" t="s">
        <v>546</v>
      </c>
      <c r="G299" s="11" t="s">
        <v>1640</v>
      </c>
      <c r="H299" s="15" t="s">
        <v>5</v>
      </c>
      <c r="I299" s="15">
        <v>23</v>
      </c>
      <c r="J299" s="12" t="s">
        <v>1641</v>
      </c>
      <c r="K299" s="591">
        <f>(22*35)+(1*26.4)</f>
        <v>796.4</v>
      </c>
      <c r="L299" s="7"/>
    </row>
    <row r="300" spans="1:12">
      <c r="A300" s="590" t="s">
        <v>1156</v>
      </c>
      <c r="B300" s="11" t="s">
        <v>9</v>
      </c>
      <c r="C300" s="11">
        <v>40</v>
      </c>
      <c r="D300" s="11" t="s">
        <v>7</v>
      </c>
      <c r="E300" s="15">
        <v>867</v>
      </c>
      <c r="F300" s="11" t="s">
        <v>577</v>
      </c>
      <c r="G300" s="11" t="s">
        <v>49</v>
      </c>
      <c r="H300" s="15" t="s">
        <v>5</v>
      </c>
      <c r="I300" s="15">
        <v>25</v>
      </c>
      <c r="J300" s="12" t="s">
        <v>545</v>
      </c>
      <c r="K300" s="591">
        <f>(24*30)+(1*21.4)</f>
        <v>741.4</v>
      </c>
      <c r="L300" s="7"/>
    </row>
    <row r="301" spans="1:12">
      <c r="A301" s="590" t="s">
        <v>1009</v>
      </c>
      <c r="B301" s="11" t="s">
        <v>9</v>
      </c>
      <c r="C301" s="11">
        <v>42</v>
      </c>
      <c r="D301" s="11" t="s">
        <v>16</v>
      </c>
      <c r="E301" s="15">
        <v>328</v>
      </c>
      <c r="F301" s="11" t="s">
        <v>1352</v>
      </c>
      <c r="G301" s="11" t="s">
        <v>1318</v>
      </c>
      <c r="H301" s="15" t="s">
        <v>5</v>
      </c>
      <c r="I301" s="15">
        <v>20</v>
      </c>
      <c r="J301" s="12" t="s">
        <v>31</v>
      </c>
      <c r="K301" s="591">
        <f>(19*38)+(1*29.4)</f>
        <v>751.4</v>
      </c>
      <c r="L301" s="7"/>
    </row>
    <row r="302" spans="1:12">
      <c r="A302" s="590" t="s">
        <v>1009</v>
      </c>
      <c r="B302" s="11" t="s">
        <v>9</v>
      </c>
      <c r="C302" s="11">
        <v>42</v>
      </c>
      <c r="D302" s="11" t="s">
        <v>16</v>
      </c>
      <c r="E302" s="15">
        <v>389</v>
      </c>
      <c r="F302" s="11" t="s">
        <v>1461</v>
      </c>
      <c r="G302" s="11" t="s">
        <v>171</v>
      </c>
      <c r="H302" s="15" t="s">
        <v>15</v>
      </c>
      <c r="I302" s="15">
        <v>15</v>
      </c>
      <c r="J302" s="12" t="s">
        <v>35</v>
      </c>
      <c r="K302" s="591">
        <f>(13*35)+(2*26.4)</f>
        <v>507.8</v>
      </c>
      <c r="L302" s="7"/>
    </row>
    <row r="303" spans="1:12">
      <c r="A303" s="590" t="s">
        <v>1009</v>
      </c>
      <c r="B303" s="11" t="s">
        <v>9</v>
      </c>
      <c r="C303" s="11">
        <v>42</v>
      </c>
      <c r="D303" s="11" t="s">
        <v>16</v>
      </c>
      <c r="E303" s="15">
        <v>454</v>
      </c>
      <c r="F303" s="11" t="s">
        <v>686</v>
      </c>
      <c r="G303" s="11" t="s">
        <v>152</v>
      </c>
      <c r="H303" s="15" t="s">
        <v>5</v>
      </c>
      <c r="I303" s="15">
        <v>15</v>
      </c>
      <c r="J303" s="12" t="s">
        <v>97</v>
      </c>
      <c r="K303" s="591">
        <f>(15*38)</f>
        <v>570</v>
      </c>
      <c r="L303" s="7"/>
    </row>
    <row r="304" spans="1:12" ht="15.75" thickBot="1">
      <c r="A304" s="592" t="s">
        <v>1009</v>
      </c>
      <c r="B304" s="593" t="s">
        <v>9</v>
      </c>
      <c r="C304" s="593">
        <v>42</v>
      </c>
      <c r="D304" s="593" t="s">
        <v>16</v>
      </c>
      <c r="E304" s="594">
        <v>537</v>
      </c>
      <c r="F304" s="593" t="s">
        <v>1642</v>
      </c>
      <c r="G304" s="593" t="s">
        <v>448</v>
      </c>
      <c r="H304" s="594" t="s">
        <v>15</v>
      </c>
      <c r="I304" s="594">
        <v>15</v>
      </c>
      <c r="J304" s="595" t="s">
        <v>13</v>
      </c>
      <c r="K304" s="596">
        <f>(14*35)+(1*26.4)</f>
        <v>516.4</v>
      </c>
      <c r="L304" s="7"/>
    </row>
    <row r="305" spans="1:12">
      <c r="A305" s="611" t="s">
        <v>1009</v>
      </c>
      <c r="B305" s="612" t="s">
        <v>9</v>
      </c>
      <c r="C305" s="612">
        <v>42</v>
      </c>
      <c r="D305" s="612" t="s">
        <v>16</v>
      </c>
      <c r="E305" s="61">
        <v>538</v>
      </c>
      <c r="F305" s="612" t="s">
        <v>1643</v>
      </c>
      <c r="G305" s="612" t="s">
        <v>448</v>
      </c>
      <c r="H305" s="61" t="s">
        <v>15</v>
      </c>
      <c r="I305" s="61">
        <v>20</v>
      </c>
      <c r="J305" s="613" t="s">
        <v>142</v>
      </c>
      <c r="K305" s="614">
        <f>(20*35)</f>
        <v>700</v>
      </c>
      <c r="L305" s="7"/>
    </row>
    <row r="306" spans="1:12">
      <c r="A306" s="590" t="s">
        <v>1009</v>
      </c>
      <c r="B306" s="11" t="s">
        <v>9</v>
      </c>
      <c r="C306" s="11">
        <v>42</v>
      </c>
      <c r="D306" s="11" t="s">
        <v>26</v>
      </c>
      <c r="E306" s="15">
        <v>16</v>
      </c>
      <c r="F306" s="11" t="s">
        <v>780</v>
      </c>
      <c r="G306" s="11" t="s">
        <v>36</v>
      </c>
      <c r="H306" s="15" t="s">
        <v>15</v>
      </c>
      <c r="I306" s="15">
        <v>20</v>
      </c>
      <c r="J306" s="12" t="s">
        <v>85</v>
      </c>
      <c r="K306" s="591">
        <f>(18*26)+(2*17.4)</f>
        <v>502.8</v>
      </c>
      <c r="L306" s="7"/>
    </row>
    <row r="307" spans="1:12">
      <c r="A307" s="590" t="s">
        <v>1009</v>
      </c>
      <c r="B307" s="11" t="s">
        <v>9</v>
      </c>
      <c r="C307" s="11">
        <v>42</v>
      </c>
      <c r="D307" s="11" t="s">
        <v>26</v>
      </c>
      <c r="E307" s="15">
        <v>18</v>
      </c>
      <c r="F307" s="11" t="s">
        <v>414</v>
      </c>
      <c r="G307" s="11" t="s">
        <v>36</v>
      </c>
      <c r="H307" s="15" t="s">
        <v>15</v>
      </c>
      <c r="I307" s="15">
        <v>20</v>
      </c>
      <c r="J307" s="12" t="s">
        <v>85</v>
      </c>
      <c r="K307" s="591">
        <f t="shared" ref="K307:K308" si="9">(18*26)+(2*17.4)</f>
        <v>502.8</v>
      </c>
      <c r="L307" s="7"/>
    </row>
    <row r="308" spans="1:12">
      <c r="A308" s="590" t="s">
        <v>1009</v>
      </c>
      <c r="B308" s="11" t="s">
        <v>9</v>
      </c>
      <c r="C308" s="11">
        <v>42</v>
      </c>
      <c r="D308" s="11" t="s">
        <v>26</v>
      </c>
      <c r="E308" s="15">
        <v>35</v>
      </c>
      <c r="F308" s="11" t="s">
        <v>1401</v>
      </c>
      <c r="G308" s="11" t="s">
        <v>36</v>
      </c>
      <c r="H308" s="15" t="s">
        <v>1324</v>
      </c>
      <c r="I308" s="15">
        <v>20</v>
      </c>
      <c r="J308" s="12" t="s">
        <v>85</v>
      </c>
      <c r="K308" s="591">
        <f t="shared" si="9"/>
        <v>502.8</v>
      </c>
      <c r="L308" s="7"/>
    </row>
    <row r="309" spans="1:12">
      <c r="A309" s="590" t="s">
        <v>1009</v>
      </c>
      <c r="B309" s="11" t="s">
        <v>9</v>
      </c>
      <c r="C309" s="11">
        <v>42</v>
      </c>
      <c r="D309" s="11" t="s">
        <v>26</v>
      </c>
      <c r="E309" s="15">
        <v>38</v>
      </c>
      <c r="F309" s="11" t="s">
        <v>1644</v>
      </c>
      <c r="G309" s="11" t="s">
        <v>36</v>
      </c>
      <c r="H309" s="15" t="s">
        <v>1324</v>
      </c>
      <c r="I309" s="15">
        <v>20</v>
      </c>
      <c r="J309" s="12" t="s">
        <v>34</v>
      </c>
      <c r="K309" s="591">
        <f>(19*26)+(1*17.4)</f>
        <v>511.4</v>
      </c>
      <c r="L309" s="7"/>
    </row>
    <row r="310" spans="1:12">
      <c r="A310" s="590" t="s">
        <v>1009</v>
      </c>
      <c r="B310" s="11" t="s">
        <v>9</v>
      </c>
      <c r="C310" s="11">
        <v>42</v>
      </c>
      <c r="D310" s="11" t="s">
        <v>26</v>
      </c>
      <c r="E310" s="15">
        <v>41</v>
      </c>
      <c r="F310" s="11" t="s">
        <v>1533</v>
      </c>
      <c r="G310" s="11" t="s">
        <v>36</v>
      </c>
      <c r="H310" s="15" t="s">
        <v>1324</v>
      </c>
      <c r="I310" s="15">
        <v>20</v>
      </c>
      <c r="J310" s="12" t="s">
        <v>34</v>
      </c>
      <c r="K310" s="591">
        <f>(19*26)+(1*17.4)</f>
        <v>511.4</v>
      </c>
      <c r="L310" s="7"/>
    </row>
    <row r="311" spans="1:12">
      <c r="A311" s="590" t="s">
        <v>1009</v>
      </c>
      <c r="B311" s="11" t="s">
        <v>9</v>
      </c>
      <c r="C311" s="11">
        <v>42</v>
      </c>
      <c r="D311" s="11" t="s">
        <v>26</v>
      </c>
      <c r="E311" s="15">
        <v>46</v>
      </c>
      <c r="F311" s="11" t="s">
        <v>1323</v>
      </c>
      <c r="G311" s="11" t="s">
        <v>1438</v>
      </c>
      <c r="H311" s="15" t="s">
        <v>5</v>
      </c>
      <c r="I311" s="15">
        <v>18</v>
      </c>
      <c r="J311" s="12" t="s">
        <v>1645</v>
      </c>
      <c r="K311" s="591">
        <f>(17*28)+(1*19.4)</f>
        <v>495.4</v>
      </c>
      <c r="L311" s="7"/>
    </row>
    <row r="312" spans="1:12">
      <c r="A312" s="590" t="s">
        <v>1009</v>
      </c>
      <c r="B312" s="11" t="s">
        <v>9</v>
      </c>
      <c r="C312" s="11">
        <v>42</v>
      </c>
      <c r="D312" s="11" t="s">
        <v>26</v>
      </c>
      <c r="E312" s="15">
        <v>78</v>
      </c>
      <c r="F312" s="11" t="s">
        <v>1557</v>
      </c>
      <c r="G312" s="11" t="s">
        <v>199</v>
      </c>
      <c r="H312" s="15" t="s">
        <v>5</v>
      </c>
      <c r="I312" s="15">
        <v>30</v>
      </c>
      <c r="J312" s="12" t="s">
        <v>1646</v>
      </c>
      <c r="K312" s="591">
        <f>(29*33)+(1*24.4)</f>
        <v>981.4</v>
      </c>
      <c r="L312" s="7"/>
    </row>
    <row r="313" spans="1:12">
      <c r="A313" s="590" t="s">
        <v>1009</v>
      </c>
      <c r="B313" s="11" t="s">
        <v>9</v>
      </c>
      <c r="C313" s="11">
        <v>42</v>
      </c>
      <c r="D313" s="11" t="s">
        <v>26</v>
      </c>
      <c r="E313" s="15">
        <v>79</v>
      </c>
      <c r="F313" s="11" t="s">
        <v>1359</v>
      </c>
      <c r="G313" s="11" t="s">
        <v>199</v>
      </c>
      <c r="H313" s="15" t="s">
        <v>15</v>
      </c>
      <c r="I313" s="15">
        <v>15</v>
      </c>
      <c r="J313" s="12" t="s">
        <v>127</v>
      </c>
      <c r="K313" s="591">
        <f>(14*34)+(1*25.4)</f>
        <v>501.4</v>
      </c>
      <c r="L313" s="7"/>
    </row>
    <row r="314" spans="1:12">
      <c r="A314" s="590" t="s">
        <v>1009</v>
      </c>
      <c r="B314" s="11" t="s">
        <v>9</v>
      </c>
      <c r="C314" s="11">
        <v>42</v>
      </c>
      <c r="D314" s="11" t="s">
        <v>26</v>
      </c>
      <c r="E314" s="15">
        <v>80</v>
      </c>
      <c r="F314" s="11" t="s">
        <v>725</v>
      </c>
      <c r="G314" s="11" t="s">
        <v>199</v>
      </c>
      <c r="H314" s="15" t="s">
        <v>15</v>
      </c>
      <c r="I314" s="15">
        <v>15</v>
      </c>
      <c r="J314" s="12" t="s">
        <v>127</v>
      </c>
      <c r="K314" s="591">
        <f>(14*34)+(1*25.4)</f>
        <v>501.4</v>
      </c>
      <c r="L314" s="7"/>
    </row>
    <row r="315" spans="1:12">
      <c r="A315" s="590" t="s">
        <v>1009</v>
      </c>
      <c r="B315" s="11" t="s">
        <v>9</v>
      </c>
      <c r="C315" s="11">
        <v>42</v>
      </c>
      <c r="D315" s="11" t="s">
        <v>26</v>
      </c>
      <c r="E315" s="15">
        <v>149</v>
      </c>
      <c r="F315" s="11" t="s">
        <v>183</v>
      </c>
      <c r="G315" s="11" t="s">
        <v>448</v>
      </c>
      <c r="H315" s="15" t="s">
        <v>15</v>
      </c>
      <c r="I315" s="15">
        <v>15</v>
      </c>
      <c r="J315" s="12" t="s">
        <v>159</v>
      </c>
      <c r="K315" s="591">
        <f>(15*35)</f>
        <v>525</v>
      </c>
      <c r="L315" s="7"/>
    </row>
    <row r="316" spans="1:12">
      <c r="A316" s="590" t="s">
        <v>1009</v>
      </c>
      <c r="B316" s="11" t="s">
        <v>9</v>
      </c>
      <c r="C316" s="11">
        <v>42</v>
      </c>
      <c r="D316" s="11" t="s">
        <v>29</v>
      </c>
      <c r="E316" s="15">
        <v>215</v>
      </c>
      <c r="F316" s="11" t="s">
        <v>133</v>
      </c>
      <c r="G316" s="11" t="s">
        <v>125</v>
      </c>
      <c r="H316" s="15" t="s">
        <v>5</v>
      </c>
      <c r="I316" s="15">
        <v>10</v>
      </c>
      <c r="J316" s="12" t="s">
        <v>11</v>
      </c>
      <c r="K316" s="591">
        <f>(9*35)+(1*26.4)</f>
        <v>341.4</v>
      </c>
      <c r="L316" s="7"/>
    </row>
    <row r="317" spans="1:12">
      <c r="A317" s="590" t="s">
        <v>1009</v>
      </c>
      <c r="B317" s="11" t="s">
        <v>9</v>
      </c>
      <c r="C317" s="11">
        <v>42</v>
      </c>
      <c r="D317" s="11" t="s">
        <v>29</v>
      </c>
      <c r="E317" s="15">
        <v>216</v>
      </c>
      <c r="F317" s="11" t="s">
        <v>96</v>
      </c>
      <c r="G317" s="11" t="s">
        <v>125</v>
      </c>
      <c r="H317" s="15" t="s">
        <v>5</v>
      </c>
      <c r="I317" s="15">
        <v>15</v>
      </c>
      <c r="J317" s="12" t="s">
        <v>13</v>
      </c>
      <c r="K317" s="591">
        <f>(14*35)+(1*26.4)</f>
        <v>516.4</v>
      </c>
      <c r="L317" s="7"/>
    </row>
    <row r="318" spans="1:12">
      <c r="A318" s="590" t="s">
        <v>1009</v>
      </c>
      <c r="B318" s="11" t="s">
        <v>9</v>
      </c>
      <c r="C318" s="11">
        <v>42</v>
      </c>
      <c r="D318" s="11" t="s">
        <v>29</v>
      </c>
      <c r="E318" s="15">
        <v>221</v>
      </c>
      <c r="F318" s="11" t="s">
        <v>574</v>
      </c>
      <c r="G318" s="11" t="s">
        <v>125</v>
      </c>
      <c r="H318" s="15" t="s">
        <v>15</v>
      </c>
      <c r="I318" s="15">
        <v>15</v>
      </c>
      <c r="J318" s="12" t="s">
        <v>13</v>
      </c>
      <c r="K318" s="591">
        <f>(14*35)+(1*26.4)</f>
        <v>516.4</v>
      </c>
      <c r="L318" s="7"/>
    </row>
    <row r="319" spans="1:12">
      <c r="A319" s="590" t="s">
        <v>1009</v>
      </c>
      <c r="B319" s="11" t="s">
        <v>9</v>
      </c>
      <c r="C319" s="11">
        <v>42</v>
      </c>
      <c r="D319" s="11" t="s">
        <v>29</v>
      </c>
      <c r="E319" s="15">
        <v>553</v>
      </c>
      <c r="F319" s="11" t="s">
        <v>1647</v>
      </c>
      <c r="G319" s="11" t="s">
        <v>1648</v>
      </c>
      <c r="H319" s="15" t="s">
        <v>15</v>
      </c>
      <c r="I319" s="15">
        <v>20</v>
      </c>
      <c r="J319" s="12" t="s">
        <v>157</v>
      </c>
      <c r="K319" s="591">
        <f>(20*38)</f>
        <v>760</v>
      </c>
      <c r="L319" s="7"/>
    </row>
    <row r="320" spans="1:12">
      <c r="A320" s="590" t="s">
        <v>1009</v>
      </c>
      <c r="B320" s="11" t="s">
        <v>9</v>
      </c>
      <c r="C320" s="11">
        <v>42</v>
      </c>
      <c r="D320" s="11" t="s">
        <v>10</v>
      </c>
      <c r="E320" s="15">
        <v>114</v>
      </c>
      <c r="F320" s="11" t="s">
        <v>1521</v>
      </c>
      <c r="G320" s="11" t="s">
        <v>39</v>
      </c>
      <c r="H320" s="15" t="s">
        <v>15</v>
      </c>
      <c r="I320" s="15">
        <v>15</v>
      </c>
      <c r="J320" s="12" t="s">
        <v>13</v>
      </c>
      <c r="K320" s="591">
        <f>(14*35)+(1*26.4)</f>
        <v>516.4</v>
      </c>
      <c r="L320" s="7"/>
    </row>
    <row r="321" spans="1:12">
      <c r="A321" s="590" t="s">
        <v>1009</v>
      </c>
      <c r="B321" s="11" t="s">
        <v>9</v>
      </c>
      <c r="C321" s="11">
        <v>42</v>
      </c>
      <c r="D321" s="11" t="s">
        <v>10</v>
      </c>
      <c r="E321" s="15">
        <v>116</v>
      </c>
      <c r="F321" s="11" t="s">
        <v>669</v>
      </c>
      <c r="G321" s="11" t="s">
        <v>39</v>
      </c>
      <c r="H321" s="15" t="s">
        <v>15</v>
      </c>
      <c r="I321" s="15">
        <v>15</v>
      </c>
      <c r="J321" s="12" t="s">
        <v>13</v>
      </c>
      <c r="K321" s="591">
        <f>(14*35)+(1*26.4)</f>
        <v>516.4</v>
      </c>
      <c r="L321" s="7"/>
    </row>
    <row r="322" spans="1:12">
      <c r="A322" s="590" t="s">
        <v>1009</v>
      </c>
      <c r="B322" s="11" t="s">
        <v>9</v>
      </c>
      <c r="C322" s="11">
        <v>42</v>
      </c>
      <c r="D322" s="11" t="s">
        <v>10</v>
      </c>
      <c r="E322" s="15">
        <v>240</v>
      </c>
      <c r="F322" s="11" t="s">
        <v>683</v>
      </c>
      <c r="G322" s="11" t="s">
        <v>567</v>
      </c>
      <c r="H322" s="15" t="s">
        <v>143</v>
      </c>
      <c r="I322" s="15">
        <v>20</v>
      </c>
      <c r="J322" s="12" t="s">
        <v>17</v>
      </c>
      <c r="K322" s="591">
        <f>(19*35)+(1*26.4)</f>
        <v>691.4</v>
      </c>
      <c r="L322" s="7"/>
    </row>
    <row r="323" spans="1:12">
      <c r="A323" s="590" t="s">
        <v>1009</v>
      </c>
      <c r="B323" s="11" t="s">
        <v>9</v>
      </c>
      <c r="C323" s="11">
        <v>42</v>
      </c>
      <c r="D323" s="11" t="s">
        <v>10</v>
      </c>
      <c r="E323" s="15">
        <v>281</v>
      </c>
      <c r="F323" s="11" t="s">
        <v>407</v>
      </c>
      <c r="G323" s="11" t="s">
        <v>1390</v>
      </c>
      <c r="H323" s="15" t="s">
        <v>15</v>
      </c>
      <c r="I323" s="15">
        <v>20</v>
      </c>
      <c r="J323" s="12" t="s">
        <v>31</v>
      </c>
      <c r="K323" s="591">
        <f>(19*38)+(1*29.4)</f>
        <v>751.4</v>
      </c>
      <c r="L323" s="7"/>
    </row>
    <row r="324" spans="1:12">
      <c r="A324" s="590" t="s">
        <v>1009</v>
      </c>
      <c r="B324" s="11" t="s">
        <v>9</v>
      </c>
      <c r="C324" s="11">
        <v>42</v>
      </c>
      <c r="D324" s="11" t="s">
        <v>10</v>
      </c>
      <c r="E324" s="15">
        <v>466</v>
      </c>
      <c r="F324" s="11" t="s">
        <v>1649</v>
      </c>
      <c r="G324" s="11" t="s">
        <v>99</v>
      </c>
      <c r="H324" s="15" t="s">
        <v>5</v>
      </c>
      <c r="I324" s="15">
        <v>10</v>
      </c>
      <c r="J324" s="12" t="s">
        <v>126</v>
      </c>
      <c r="K324" s="591">
        <f>(9*26)+(1*17.4)</f>
        <v>251.4</v>
      </c>
      <c r="L324" s="7"/>
    </row>
    <row r="325" spans="1:12">
      <c r="A325" s="590" t="s">
        <v>1009</v>
      </c>
      <c r="B325" s="11" t="s">
        <v>9</v>
      </c>
      <c r="C325" s="11">
        <v>42</v>
      </c>
      <c r="D325" s="11" t="s">
        <v>10</v>
      </c>
      <c r="E325" s="15">
        <v>468</v>
      </c>
      <c r="F325" s="11" t="s">
        <v>769</v>
      </c>
      <c r="G325" s="11" t="s">
        <v>99</v>
      </c>
      <c r="H325" s="15" t="s">
        <v>5</v>
      </c>
      <c r="I325" s="15">
        <v>25</v>
      </c>
      <c r="J325" s="12" t="s">
        <v>175</v>
      </c>
      <c r="K325" s="591">
        <f>(25*26)</f>
        <v>650</v>
      </c>
      <c r="L325" s="7"/>
    </row>
    <row r="326" spans="1:12">
      <c r="A326" s="590" t="s">
        <v>1009</v>
      </c>
      <c r="B326" s="11" t="s">
        <v>9</v>
      </c>
      <c r="C326" s="11">
        <v>42</v>
      </c>
      <c r="D326" s="11" t="s">
        <v>10</v>
      </c>
      <c r="E326" s="15">
        <v>501</v>
      </c>
      <c r="F326" s="11" t="s">
        <v>1398</v>
      </c>
      <c r="G326" s="11" t="s">
        <v>167</v>
      </c>
      <c r="H326" s="15" t="s">
        <v>5</v>
      </c>
      <c r="I326" s="15">
        <v>25</v>
      </c>
      <c r="J326" s="12" t="s">
        <v>112</v>
      </c>
      <c r="K326" s="591">
        <f>(24*35)+(1*26.4)</f>
        <v>866.4</v>
      </c>
      <c r="L326" s="7"/>
    </row>
    <row r="327" spans="1:12">
      <c r="A327" s="590" t="s">
        <v>1009</v>
      </c>
      <c r="B327" s="11" t="s">
        <v>9</v>
      </c>
      <c r="C327" s="11">
        <v>42</v>
      </c>
      <c r="D327" s="11" t="s">
        <v>10</v>
      </c>
      <c r="E327" s="15">
        <v>560</v>
      </c>
      <c r="F327" s="11" t="s">
        <v>1567</v>
      </c>
      <c r="G327" s="11" t="s">
        <v>724</v>
      </c>
      <c r="H327" s="15" t="s">
        <v>15</v>
      </c>
      <c r="I327" s="15">
        <v>15</v>
      </c>
      <c r="J327" s="12" t="s">
        <v>14</v>
      </c>
      <c r="K327" s="591">
        <f>(14*38)+(1*29.4)</f>
        <v>561.4</v>
      </c>
      <c r="L327" s="7"/>
    </row>
    <row r="328" spans="1:12">
      <c r="A328" s="590" t="s">
        <v>1009</v>
      </c>
      <c r="B328" s="11" t="s">
        <v>9</v>
      </c>
      <c r="C328" s="11">
        <v>42</v>
      </c>
      <c r="D328" s="11" t="s">
        <v>10</v>
      </c>
      <c r="E328" s="15">
        <v>687</v>
      </c>
      <c r="F328" s="11" t="s">
        <v>133</v>
      </c>
      <c r="G328" s="11" t="s">
        <v>36</v>
      </c>
      <c r="H328" s="15" t="s">
        <v>5</v>
      </c>
      <c r="I328" s="15">
        <v>20</v>
      </c>
      <c r="J328" s="12" t="s">
        <v>34</v>
      </c>
      <c r="K328" s="591">
        <f>(19*26)+(1*17.4)</f>
        <v>511.4</v>
      </c>
      <c r="L328" s="7"/>
    </row>
    <row r="329" spans="1:12">
      <c r="A329" s="590" t="s">
        <v>1009</v>
      </c>
      <c r="B329" s="11" t="s">
        <v>9</v>
      </c>
      <c r="C329" s="11">
        <v>42</v>
      </c>
      <c r="D329" s="11" t="s">
        <v>10</v>
      </c>
      <c r="E329" s="15">
        <v>689</v>
      </c>
      <c r="F329" s="11" t="s">
        <v>208</v>
      </c>
      <c r="G329" s="11" t="s">
        <v>36</v>
      </c>
      <c r="H329" s="15" t="s">
        <v>15</v>
      </c>
      <c r="I329" s="15">
        <v>20</v>
      </c>
      <c r="J329" s="12" t="s">
        <v>34</v>
      </c>
      <c r="K329" s="591">
        <f>(19*26)+(1*17.4)</f>
        <v>511.4</v>
      </c>
      <c r="L329" s="7"/>
    </row>
    <row r="330" spans="1:12">
      <c r="A330" s="590" t="s">
        <v>1014</v>
      </c>
      <c r="B330" s="11" t="s">
        <v>9</v>
      </c>
      <c r="C330" s="11">
        <v>40</v>
      </c>
      <c r="D330" s="11" t="s">
        <v>16</v>
      </c>
      <c r="E330" s="15">
        <v>391</v>
      </c>
      <c r="F330" s="11" t="s">
        <v>411</v>
      </c>
      <c r="G330" s="11" t="s">
        <v>416</v>
      </c>
      <c r="H330" s="15" t="s">
        <v>15</v>
      </c>
      <c r="I330" s="15">
        <v>30</v>
      </c>
      <c r="J330" s="12" t="s">
        <v>12</v>
      </c>
      <c r="K330" s="591">
        <f>(29*35)+(1*26.4)</f>
        <v>1041.4000000000001</v>
      </c>
      <c r="L330" s="7"/>
    </row>
    <row r="331" spans="1:12">
      <c r="A331" s="590" t="s">
        <v>1014</v>
      </c>
      <c r="B331" s="11" t="s">
        <v>9</v>
      </c>
      <c r="C331" s="11">
        <v>40</v>
      </c>
      <c r="D331" s="11" t="s">
        <v>16</v>
      </c>
      <c r="E331" s="15">
        <v>392</v>
      </c>
      <c r="F331" s="11" t="s">
        <v>1393</v>
      </c>
      <c r="G331" s="11" t="s">
        <v>416</v>
      </c>
      <c r="H331" s="15" t="s">
        <v>15</v>
      </c>
      <c r="I331" s="15">
        <v>20</v>
      </c>
      <c r="J331" s="12" t="s">
        <v>17</v>
      </c>
      <c r="K331" s="591">
        <f>(19*35)+(1*26.4)</f>
        <v>691.4</v>
      </c>
      <c r="L331" s="7"/>
    </row>
    <row r="332" spans="1:12">
      <c r="A332" s="590" t="s">
        <v>1014</v>
      </c>
      <c r="B332" s="11" t="s">
        <v>9</v>
      </c>
      <c r="C332" s="11">
        <v>40</v>
      </c>
      <c r="D332" s="11" t="s">
        <v>16</v>
      </c>
      <c r="E332" s="15">
        <v>451</v>
      </c>
      <c r="F332" s="11" t="s">
        <v>1451</v>
      </c>
      <c r="G332" s="11" t="s">
        <v>648</v>
      </c>
      <c r="H332" s="15" t="s">
        <v>5</v>
      </c>
      <c r="I332" s="15">
        <v>20</v>
      </c>
      <c r="J332" s="12" t="s">
        <v>157</v>
      </c>
      <c r="K332" s="591">
        <f>(20*38)</f>
        <v>760</v>
      </c>
      <c r="L332" s="7"/>
    </row>
    <row r="333" spans="1:12">
      <c r="A333" s="590" t="s">
        <v>1014</v>
      </c>
      <c r="B333" s="11" t="s">
        <v>9</v>
      </c>
      <c r="C333" s="11">
        <v>40</v>
      </c>
      <c r="D333" s="11" t="s">
        <v>16</v>
      </c>
      <c r="E333" s="15">
        <v>453</v>
      </c>
      <c r="F333" s="11" t="s">
        <v>1650</v>
      </c>
      <c r="G333" s="11" t="s">
        <v>648</v>
      </c>
      <c r="H333" s="15" t="s">
        <v>15</v>
      </c>
      <c r="I333" s="15">
        <v>15</v>
      </c>
      <c r="J333" s="12" t="s">
        <v>97</v>
      </c>
      <c r="K333" s="591">
        <f>(15*38)</f>
        <v>570</v>
      </c>
      <c r="L333" s="7"/>
    </row>
    <row r="334" spans="1:12">
      <c r="A334" s="590" t="s">
        <v>1014</v>
      </c>
      <c r="B334" s="11" t="s">
        <v>9</v>
      </c>
      <c r="C334" s="11">
        <v>40</v>
      </c>
      <c r="D334" s="11" t="s">
        <v>26</v>
      </c>
      <c r="E334" s="15">
        <v>70</v>
      </c>
      <c r="F334" s="11" t="s">
        <v>369</v>
      </c>
      <c r="G334" s="11" t="s">
        <v>199</v>
      </c>
      <c r="H334" s="15" t="s">
        <v>15</v>
      </c>
      <c r="I334" s="15">
        <v>15</v>
      </c>
      <c r="J334" s="12" t="s">
        <v>127</v>
      </c>
      <c r="K334" s="591">
        <f>(14*34)+(1*25.4)</f>
        <v>501.4</v>
      </c>
      <c r="L334" s="7"/>
    </row>
    <row r="335" spans="1:12">
      <c r="A335" s="590" t="s">
        <v>1014</v>
      </c>
      <c r="B335" s="11" t="s">
        <v>9</v>
      </c>
      <c r="C335" s="11">
        <v>40</v>
      </c>
      <c r="D335" s="11" t="s">
        <v>26</v>
      </c>
      <c r="E335" s="15">
        <v>71</v>
      </c>
      <c r="F335" s="11" t="s">
        <v>519</v>
      </c>
      <c r="G335" s="11" t="s">
        <v>199</v>
      </c>
      <c r="H335" s="15" t="s">
        <v>15</v>
      </c>
      <c r="I335" s="15">
        <v>20</v>
      </c>
      <c r="J335" s="12" t="s">
        <v>154</v>
      </c>
      <c r="K335" s="591">
        <f>(20*34)</f>
        <v>680</v>
      </c>
      <c r="L335" s="7"/>
    </row>
    <row r="336" spans="1:12">
      <c r="A336" s="590" t="s">
        <v>1014</v>
      </c>
      <c r="B336" s="11" t="s">
        <v>9</v>
      </c>
      <c r="C336" s="11">
        <v>40</v>
      </c>
      <c r="D336" s="11" t="s">
        <v>26</v>
      </c>
      <c r="E336" s="15">
        <v>144</v>
      </c>
      <c r="F336" s="11" t="s">
        <v>1546</v>
      </c>
      <c r="G336" s="11" t="s">
        <v>448</v>
      </c>
      <c r="H336" s="15" t="s">
        <v>15</v>
      </c>
      <c r="I336" s="15">
        <v>20</v>
      </c>
      <c r="J336" s="12" t="s">
        <v>142</v>
      </c>
      <c r="K336" s="591">
        <f>(20*35)</f>
        <v>700</v>
      </c>
      <c r="L336" s="7"/>
    </row>
    <row r="337" spans="1:12">
      <c r="A337" s="590" t="s">
        <v>1014</v>
      </c>
      <c r="B337" s="11" t="s">
        <v>9</v>
      </c>
      <c r="C337" s="11">
        <v>40</v>
      </c>
      <c r="D337" s="11" t="s">
        <v>7</v>
      </c>
      <c r="E337" s="15">
        <v>1058</v>
      </c>
      <c r="F337" s="11" t="s">
        <v>776</v>
      </c>
      <c r="G337" s="11" t="s">
        <v>1424</v>
      </c>
      <c r="H337" s="15" t="s">
        <v>5</v>
      </c>
      <c r="I337" s="15">
        <v>20</v>
      </c>
      <c r="J337" s="12" t="s">
        <v>17</v>
      </c>
      <c r="K337" s="591">
        <f>(19*35)+(1*26.4)</f>
        <v>691.4</v>
      </c>
      <c r="L337" s="7"/>
    </row>
    <row r="338" spans="1:12">
      <c r="A338" s="590" t="s">
        <v>1014</v>
      </c>
      <c r="B338" s="11" t="s">
        <v>9</v>
      </c>
      <c r="C338" s="11">
        <v>40</v>
      </c>
      <c r="D338" s="11" t="s">
        <v>7</v>
      </c>
      <c r="E338" s="15">
        <v>1059</v>
      </c>
      <c r="F338" s="11" t="s">
        <v>88</v>
      </c>
      <c r="G338" s="11" t="s">
        <v>1424</v>
      </c>
      <c r="H338" s="15" t="s">
        <v>5</v>
      </c>
      <c r="I338" s="15">
        <v>20</v>
      </c>
      <c r="J338" s="12" t="s">
        <v>17</v>
      </c>
      <c r="K338" s="591">
        <f>(19*35)+(1*26.4)</f>
        <v>691.4</v>
      </c>
      <c r="L338" s="7"/>
    </row>
    <row r="339" spans="1:12">
      <c r="A339" s="590" t="s">
        <v>1014</v>
      </c>
      <c r="B339" s="11" t="s">
        <v>9</v>
      </c>
      <c r="C339" s="11">
        <v>40</v>
      </c>
      <c r="D339" s="11" t="s">
        <v>7</v>
      </c>
      <c r="E339" s="15">
        <v>1064</v>
      </c>
      <c r="F339" s="11" t="s">
        <v>461</v>
      </c>
      <c r="G339" s="11" t="s">
        <v>1424</v>
      </c>
      <c r="H339" s="15" t="s">
        <v>15</v>
      </c>
      <c r="I339" s="15">
        <v>15</v>
      </c>
      <c r="J339" s="12" t="s">
        <v>13</v>
      </c>
      <c r="K339" s="591">
        <f>(14*35)+(1*26.4)</f>
        <v>516.4</v>
      </c>
      <c r="L339" s="7"/>
    </row>
    <row r="340" spans="1:12">
      <c r="A340" s="590" t="s">
        <v>1014</v>
      </c>
      <c r="B340" s="11" t="s">
        <v>9</v>
      </c>
      <c r="C340" s="11">
        <v>40</v>
      </c>
      <c r="D340" s="11" t="s">
        <v>7</v>
      </c>
      <c r="E340" s="15">
        <v>1065</v>
      </c>
      <c r="F340" s="11" t="s">
        <v>43</v>
      </c>
      <c r="G340" s="11" t="s">
        <v>1424</v>
      </c>
      <c r="H340" s="15" t="s">
        <v>15</v>
      </c>
      <c r="I340" s="15">
        <v>15</v>
      </c>
      <c r="J340" s="12" t="s">
        <v>159</v>
      </c>
      <c r="K340" s="591">
        <f>(15*35)</f>
        <v>525</v>
      </c>
      <c r="L340" s="7"/>
    </row>
    <row r="341" spans="1:12">
      <c r="A341" s="590" t="s">
        <v>1014</v>
      </c>
      <c r="B341" s="11" t="s">
        <v>9</v>
      </c>
      <c r="C341" s="11">
        <v>40</v>
      </c>
      <c r="D341" s="11" t="s">
        <v>7</v>
      </c>
      <c r="E341" s="15">
        <v>1068</v>
      </c>
      <c r="F341" s="11" t="s">
        <v>439</v>
      </c>
      <c r="G341" s="11" t="s">
        <v>1424</v>
      </c>
      <c r="H341" s="15" t="s">
        <v>15</v>
      </c>
      <c r="I341" s="15">
        <v>15</v>
      </c>
      <c r="J341" s="12" t="s">
        <v>13</v>
      </c>
      <c r="K341" s="591">
        <f>(14*35)+(1*26.4)</f>
        <v>516.4</v>
      </c>
      <c r="L341" s="7"/>
    </row>
    <row r="342" spans="1:12">
      <c r="A342" s="590" t="s">
        <v>1014</v>
      </c>
      <c r="B342" s="11" t="s">
        <v>9</v>
      </c>
      <c r="C342" s="11">
        <v>40</v>
      </c>
      <c r="D342" s="11" t="s">
        <v>7</v>
      </c>
      <c r="E342" s="15">
        <v>1071</v>
      </c>
      <c r="F342" s="11" t="s">
        <v>404</v>
      </c>
      <c r="G342" s="11" t="s">
        <v>1424</v>
      </c>
      <c r="H342" s="15" t="s">
        <v>143</v>
      </c>
      <c r="I342" s="15">
        <v>15</v>
      </c>
      <c r="J342" s="12" t="s">
        <v>111</v>
      </c>
      <c r="K342" s="591">
        <f>(14*35)+(1*29.2)</f>
        <v>519.20000000000005</v>
      </c>
      <c r="L342" s="7"/>
    </row>
    <row r="343" spans="1:12" ht="15.75" thickBot="1">
      <c r="A343" s="592" t="s">
        <v>1014</v>
      </c>
      <c r="B343" s="593" t="s">
        <v>9</v>
      </c>
      <c r="C343" s="593">
        <v>40</v>
      </c>
      <c r="D343" s="593" t="s">
        <v>29</v>
      </c>
      <c r="E343" s="594">
        <v>122</v>
      </c>
      <c r="F343" s="593" t="s">
        <v>530</v>
      </c>
      <c r="G343" s="593" t="s">
        <v>670</v>
      </c>
      <c r="H343" s="594" t="s">
        <v>5</v>
      </c>
      <c r="I343" s="594">
        <v>20</v>
      </c>
      <c r="J343" s="595" t="s">
        <v>155</v>
      </c>
      <c r="K343" s="596">
        <f>(20*26)</f>
        <v>520</v>
      </c>
      <c r="L343" s="7"/>
    </row>
    <row r="344" spans="1:12">
      <c r="A344" s="611" t="s">
        <v>1014</v>
      </c>
      <c r="B344" s="612" t="s">
        <v>9</v>
      </c>
      <c r="C344" s="612">
        <v>40</v>
      </c>
      <c r="D344" s="612" t="s">
        <v>29</v>
      </c>
      <c r="E344" s="61">
        <v>133</v>
      </c>
      <c r="F344" s="612" t="s">
        <v>131</v>
      </c>
      <c r="G344" s="612" t="s">
        <v>1561</v>
      </c>
      <c r="H344" s="61" t="s">
        <v>15</v>
      </c>
      <c r="I344" s="61">
        <v>25</v>
      </c>
      <c r="J344" s="613" t="s">
        <v>175</v>
      </c>
      <c r="K344" s="614">
        <f>(25*26)</f>
        <v>650</v>
      </c>
      <c r="L344" s="7"/>
    </row>
    <row r="345" spans="1:12">
      <c r="A345" s="590" t="s">
        <v>1014</v>
      </c>
      <c r="B345" s="11" t="s">
        <v>9</v>
      </c>
      <c r="C345" s="11">
        <v>40</v>
      </c>
      <c r="D345" s="11" t="s">
        <v>29</v>
      </c>
      <c r="E345" s="15">
        <v>134</v>
      </c>
      <c r="F345" s="11" t="s">
        <v>723</v>
      </c>
      <c r="G345" s="11" t="s">
        <v>1561</v>
      </c>
      <c r="H345" s="15" t="s">
        <v>15</v>
      </c>
      <c r="I345" s="15">
        <v>15</v>
      </c>
      <c r="J345" s="12" t="s">
        <v>37</v>
      </c>
      <c r="K345" s="591">
        <f>(14*26)+(1*17.4)</f>
        <v>381.4</v>
      </c>
      <c r="L345" s="7"/>
    </row>
    <row r="346" spans="1:12">
      <c r="A346" s="590" t="s">
        <v>1014</v>
      </c>
      <c r="B346" s="11" t="s">
        <v>9</v>
      </c>
      <c r="C346" s="11">
        <v>40</v>
      </c>
      <c r="D346" s="11" t="s">
        <v>29</v>
      </c>
      <c r="E346" s="15">
        <v>153</v>
      </c>
      <c r="F346" s="11" t="s">
        <v>1651</v>
      </c>
      <c r="G346" s="11" t="s">
        <v>99</v>
      </c>
      <c r="H346" s="15" t="s">
        <v>5</v>
      </c>
      <c r="I346" s="15">
        <v>15</v>
      </c>
      <c r="J346" s="12" t="s">
        <v>37</v>
      </c>
      <c r="K346" s="591">
        <f>(14*26)+(1*17.4)</f>
        <v>381.4</v>
      </c>
      <c r="L346" s="7"/>
    </row>
    <row r="347" spans="1:12">
      <c r="A347" s="590" t="s">
        <v>1014</v>
      </c>
      <c r="B347" s="11" t="s">
        <v>9</v>
      </c>
      <c r="C347" s="11">
        <v>40</v>
      </c>
      <c r="D347" s="11" t="s">
        <v>29</v>
      </c>
      <c r="E347" s="15">
        <v>157</v>
      </c>
      <c r="F347" s="11" t="s">
        <v>165</v>
      </c>
      <c r="G347" s="11" t="s">
        <v>99</v>
      </c>
      <c r="H347" s="15" t="s">
        <v>15</v>
      </c>
      <c r="I347" s="15">
        <v>20</v>
      </c>
      <c r="J347" s="12" t="s">
        <v>34</v>
      </c>
      <c r="K347" s="591">
        <f>(19*26)+(1*17.4)</f>
        <v>511.4</v>
      </c>
      <c r="L347" s="7"/>
    </row>
    <row r="348" spans="1:12">
      <c r="A348" s="590" t="s">
        <v>1014</v>
      </c>
      <c r="B348" s="11" t="s">
        <v>9</v>
      </c>
      <c r="C348" s="11">
        <v>40</v>
      </c>
      <c r="D348" s="11" t="s">
        <v>29</v>
      </c>
      <c r="E348" s="15">
        <v>173</v>
      </c>
      <c r="F348" s="11" t="s">
        <v>639</v>
      </c>
      <c r="G348" s="11" t="s">
        <v>1468</v>
      </c>
      <c r="H348" s="15" t="s">
        <v>15</v>
      </c>
      <c r="I348" s="15">
        <v>20</v>
      </c>
      <c r="J348" s="12" t="s">
        <v>23</v>
      </c>
      <c r="K348" s="591">
        <f>(18*35)+(2*26.4)</f>
        <v>682.8</v>
      </c>
      <c r="L348" s="7"/>
    </row>
    <row r="349" spans="1:12">
      <c r="A349" s="590" t="s">
        <v>1014</v>
      </c>
      <c r="B349" s="11" t="s">
        <v>9</v>
      </c>
      <c r="C349" s="11">
        <v>40</v>
      </c>
      <c r="D349" s="11" t="s">
        <v>29</v>
      </c>
      <c r="E349" s="15">
        <v>175</v>
      </c>
      <c r="F349" s="11" t="s">
        <v>520</v>
      </c>
      <c r="G349" s="11" t="s">
        <v>1468</v>
      </c>
      <c r="H349" s="15" t="s">
        <v>15</v>
      </c>
      <c r="I349" s="15">
        <v>25</v>
      </c>
      <c r="J349" s="12" t="s">
        <v>112</v>
      </c>
      <c r="K349" s="591">
        <f>(24*35)+(1*26.4)</f>
        <v>866.4</v>
      </c>
      <c r="L349" s="7"/>
    </row>
    <row r="350" spans="1:12">
      <c r="A350" s="590" t="s">
        <v>1014</v>
      </c>
      <c r="B350" s="11" t="s">
        <v>9</v>
      </c>
      <c r="C350" s="11">
        <v>40</v>
      </c>
      <c r="D350" s="11" t="s">
        <v>29</v>
      </c>
      <c r="E350" s="15">
        <v>216</v>
      </c>
      <c r="F350" s="11" t="s">
        <v>1652</v>
      </c>
      <c r="G350" s="11" t="s">
        <v>466</v>
      </c>
      <c r="H350" s="15" t="s">
        <v>15</v>
      </c>
      <c r="I350" s="15">
        <v>20</v>
      </c>
      <c r="J350" s="12" t="s">
        <v>34</v>
      </c>
      <c r="K350" s="591">
        <f>(19*26)+(1*17.4)</f>
        <v>511.4</v>
      </c>
      <c r="L350" s="7"/>
    </row>
    <row r="351" spans="1:12">
      <c r="A351" s="590" t="s">
        <v>1014</v>
      </c>
      <c r="B351" s="11" t="s">
        <v>9</v>
      </c>
      <c r="C351" s="11">
        <v>40</v>
      </c>
      <c r="D351" s="11" t="s">
        <v>29</v>
      </c>
      <c r="E351" s="15">
        <v>220</v>
      </c>
      <c r="F351" s="11" t="s">
        <v>1364</v>
      </c>
      <c r="G351" s="11" t="s">
        <v>466</v>
      </c>
      <c r="H351" s="15" t="s">
        <v>15</v>
      </c>
      <c r="I351" s="15">
        <v>20</v>
      </c>
      <c r="J351" s="12" t="s">
        <v>34</v>
      </c>
      <c r="K351" s="591">
        <f>(19*26)+(1*17.4)</f>
        <v>511.4</v>
      </c>
      <c r="L351" s="7"/>
    </row>
    <row r="352" spans="1:12">
      <c r="A352" s="590" t="s">
        <v>1014</v>
      </c>
      <c r="B352" s="11" t="s">
        <v>9</v>
      </c>
      <c r="C352" s="11">
        <v>40</v>
      </c>
      <c r="D352" s="11" t="s">
        <v>29</v>
      </c>
      <c r="E352" s="15">
        <v>255</v>
      </c>
      <c r="F352" s="11" t="s">
        <v>100</v>
      </c>
      <c r="G352" s="11" t="s">
        <v>363</v>
      </c>
      <c r="H352" s="15" t="s">
        <v>15</v>
      </c>
      <c r="I352" s="15">
        <v>15</v>
      </c>
      <c r="J352" s="12" t="s">
        <v>156</v>
      </c>
      <c r="K352" s="591">
        <f>(15*26)</f>
        <v>390</v>
      </c>
      <c r="L352" s="7"/>
    </row>
    <row r="353" spans="1:12">
      <c r="A353" s="590" t="s">
        <v>1014</v>
      </c>
      <c r="B353" s="11" t="s">
        <v>9</v>
      </c>
      <c r="C353" s="11">
        <v>40</v>
      </c>
      <c r="D353" s="11" t="s">
        <v>29</v>
      </c>
      <c r="E353" s="15">
        <v>339</v>
      </c>
      <c r="F353" s="11" t="s">
        <v>1653</v>
      </c>
      <c r="G353" s="11" t="s">
        <v>1456</v>
      </c>
      <c r="H353" s="15" t="s">
        <v>15</v>
      </c>
      <c r="I353" s="15">
        <v>30</v>
      </c>
      <c r="J353" s="12" t="s">
        <v>25</v>
      </c>
      <c r="K353" s="591">
        <f>(29*38)+(1*29.4)</f>
        <v>1131.4000000000001</v>
      </c>
      <c r="L353" s="7"/>
    </row>
    <row r="354" spans="1:12">
      <c r="A354" s="590" t="s">
        <v>1016</v>
      </c>
      <c r="B354" s="11" t="s">
        <v>150</v>
      </c>
      <c r="C354" s="11">
        <v>45</v>
      </c>
      <c r="D354" s="11" t="s">
        <v>7</v>
      </c>
      <c r="E354" s="15">
        <v>525</v>
      </c>
      <c r="F354" s="11" t="s">
        <v>353</v>
      </c>
      <c r="G354" s="11" t="s">
        <v>524</v>
      </c>
      <c r="H354" s="15" t="s">
        <v>15</v>
      </c>
      <c r="I354" s="15">
        <v>20</v>
      </c>
      <c r="J354" s="12" t="s">
        <v>168</v>
      </c>
      <c r="K354" s="591">
        <f>(20*37)</f>
        <v>740</v>
      </c>
      <c r="L354" s="7"/>
    </row>
    <row r="355" spans="1:12">
      <c r="A355" s="590" t="s">
        <v>1016</v>
      </c>
      <c r="B355" s="11" t="s">
        <v>150</v>
      </c>
      <c r="C355" s="11">
        <v>45</v>
      </c>
      <c r="D355" s="11" t="s">
        <v>7</v>
      </c>
      <c r="E355" s="15">
        <v>526</v>
      </c>
      <c r="F355" s="11" t="s">
        <v>498</v>
      </c>
      <c r="G355" s="11" t="s">
        <v>524</v>
      </c>
      <c r="H355" s="15" t="s">
        <v>15</v>
      </c>
      <c r="I355" s="15">
        <v>20</v>
      </c>
      <c r="J355" s="12" t="s">
        <v>1654</v>
      </c>
      <c r="K355" s="591">
        <f>(19*37)+(1*29.3)</f>
        <v>732.3</v>
      </c>
      <c r="L355" s="7"/>
    </row>
    <row r="356" spans="1:12">
      <c r="A356" s="590" t="s">
        <v>1016</v>
      </c>
      <c r="B356" s="11" t="s">
        <v>150</v>
      </c>
      <c r="C356" s="11">
        <v>45</v>
      </c>
      <c r="D356" s="11" t="s">
        <v>7</v>
      </c>
      <c r="E356" s="15">
        <v>661</v>
      </c>
      <c r="F356" s="11" t="s">
        <v>1655</v>
      </c>
      <c r="G356" s="11" t="s">
        <v>166</v>
      </c>
      <c r="H356" s="15" t="s">
        <v>15</v>
      </c>
      <c r="I356" s="15">
        <v>20</v>
      </c>
      <c r="J356" s="12" t="s">
        <v>1656</v>
      </c>
      <c r="K356" s="591">
        <f>(18*26)+(1*10.6)+(1*18.3)</f>
        <v>496.90000000000003</v>
      </c>
      <c r="L356" s="7"/>
    </row>
    <row r="357" spans="1:12">
      <c r="A357" s="590" t="s">
        <v>1016</v>
      </c>
      <c r="B357" s="11" t="s">
        <v>150</v>
      </c>
      <c r="C357" s="11">
        <v>45</v>
      </c>
      <c r="D357" s="11" t="s">
        <v>7</v>
      </c>
      <c r="E357" s="15">
        <v>770</v>
      </c>
      <c r="F357" s="11" t="s">
        <v>1657</v>
      </c>
      <c r="G357" s="11" t="s">
        <v>1423</v>
      </c>
      <c r="H357" s="15" t="s">
        <v>15</v>
      </c>
      <c r="I357" s="15">
        <v>20</v>
      </c>
      <c r="J357" s="12" t="s">
        <v>1658</v>
      </c>
      <c r="K357" s="591">
        <f>(18*33)+(1*24.4)+(1*28.7)</f>
        <v>647.1</v>
      </c>
      <c r="L357" s="7"/>
    </row>
    <row r="358" spans="1:12">
      <c r="A358" s="590" t="s">
        <v>1016</v>
      </c>
      <c r="B358" s="11" t="s">
        <v>150</v>
      </c>
      <c r="C358" s="11">
        <v>45</v>
      </c>
      <c r="D358" s="11" t="s">
        <v>7</v>
      </c>
      <c r="E358" s="15">
        <v>1021</v>
      </c>
      <c r="F358" s="11" t="s">
        <v>1659</v>
      </c>
      <c r="G358" s="11" t="s">
        <v>1576</v>
      </c>
      <c r="H358" s="15" t="s">
        <v>15</v>
      </c>
      <c r="I358" s="15">
        <v>20</v>
      </c>
      <c r="J358" s="12" t="s">
        <v>1514</v>
      </c>
      <c r="K358" s="591">
        <f>(19*28)+(1*23.7)</f>
        <v>555.70000000000005</v>
      </c>
      <c r="L358" s="7"/>
    </row>
    <row r="359" spans="1:12">
      <c r="A359" s="590" t="s">
        <v>1016</v>
      </c>
      <c r="B359" s="11" t="s">
        <v>150</v>
      </c>
      <c r="C359" s="11">
        <v>45</v>
      </c>
      <c r="D359" s="11" t="s">
        <v>7</v>
      </c>
      <c r="E359" s="15">
        <v>1022</v>
      </c>
      <c r="F359" s="11" t="s">
        <v>563</v>
      </c>
      <c r="G359" s="11" t="s">
        <v>1576</v>
      </c>
      <c r="H359" s="15" t="s">
        <v>15</v>
      </c>
      <c r="I359" s="15">
        <v>20</v>
      </c>
      <c r="J359" s="12" t="s">
        <v>1514</v>
      </c>
      <c r="K359" s="591">
        <f>(19*28)+(1*23.7)</f>
        <v>555.70000000000005</v>
      </c>
      <c r="L359" s="7"/>
    </row>
    <row r="360" spans="1:12">
      <c r="A360" s="590" t="s">
        <v>1016</v>
      </c>
      <c r="B360" s="11" t="s">
        <v>150</v>
      </c>
      <c r="C360" s="11">
        <v>45</v>
      </c>
      <c r="D360" s="11" t="s">
        <v>7</v>
      </c>
      <c r="E360" s="15">
        <v>1056</v>
      </c>
      <c r="F360" s="11" t="s">
        <v>1660</v>
      </c>
      <c r="G360" s="11" t="s">
        <v>481</v>
      </c>
      <c r="H360" s="15" t="s">
        <v>15</v>
      </c>
      <c r="I360" s="15">
        <v>20</v>
      </c>
      <c r="J360" s="12" t="s">
        <v>633</v>
      </c>
      <c r="K360" s="591">
        <f>(19*34)+(1*29.7)</f>
        <v>675.7</v>
      </c>
      <c r="L360" s="7"/>
    </row>
    <row r="361" spans="1:12">
      <c r="A361" s="590" t="s">
        <v>1016</v>
      </c>
      <c r="B361" s="11" t="s">
        <v>150</v>
      </c>
      <c r="C361" s="11">
        <v>45</v>
      </c>
      <c r="D361" s="11" t="s">
        <v>7</v>
      </c>
      <c r="E361" s="15">
        <v>1057</v>
      </c>
      <c r="F361" s="11" t="s">
        <v>1661</v>
      </c>
      <c r="G361" s="11" t="s">
        <v>481</v>
      </c>
      <c r="H361" s="15" t="s">
        <v>15</v>
      </c>
      <c r="I361" s="15">
        <v>20</v>
      </c>
      <c r="J361" s="12" t="s">
        <v>633</v>
      </c>
      <c r="K361" s="591">
        <f>(19*34)+(1*29.7)</f>
        <v>675.7</v>
      </c>
      <c r="L361" s="7"/>
    </row>
    <row r="362" spans="1:12">
      <c r="A362" s="590" t="s">
        <v>1016</v>
      </c>
      <c r="B362" s="11" t="s">
        <v>150</v>
      </c>
      <c r="C362" s="11">
        <v>45</v>
      </c>
      <c r="D362" s="11" t="s">
        <v>7</v>
      </c>
      <c r="E362" s="15">
        <v>1465</v>
      </c>
      <c r="F362" s="11" t="s">
        <v>1452</v>
      </c>
      <c r="G362" s="11" t="s">
        <v>1576</v>
      </c>
      <c r="H362" s="15" t="s">
        <v>5</v>
      </c>
      <c r="I362" s="15">
        <v>20</v>
      </c>
      <c r="J362" s="12" t="s">
        <v>698</v>
      </c>
      <c r="K362" s="591">
        <f>(19*32)+(1*27.7)</f>
        <v>635.70000000000005</v>
      </c>
      <c r="L362" s="7"/>
    </row>
    <row r="363" spans="1:12">
      <c r="A363" s="590" t="s">
        <v>1016</v>
      </c>
      <c r="B363" s="11" t="s">
        <v>150</v>
      </c>
      <c r="C363" s="11">
        <v>45</v>
      </c>
      <c r="D363" s="11" t="s">
        <v>7</v>
      </c>
      <c r="E363" s="15">
        <v>1470</v>
      </c>
      <c r="F363" s="11" t="s">
        <v>775</v>
      </c>
      <c r="G363" s="11" t="s">
        <v>1576</v>
      </c>
      <c r="H363" s="15" t="s">
        <v>15</v>
      </c>
      <c r="I363" s="15">
        <v>20</v>
      </c>
      <c r="J363" s="12" t="s">
        <v>633</v>
      </c>
      <c r="K363" s="591">
        <f>(19*34)+(1*29.7)</f>
        <v>675.7</v>
      </c>
      <c r="L363" s="7"/>
    </row>
    <row r="364" spans="1:12">
      <c r="A364" s="590" t="s">
        <v>1016</v>
      </c>
      <c r="B364" s="11" t="s">
        <v>150</v>
      </c>
      <c r="C364" s="11">
        <v>45</v>
      </c>
      <c r="D364" s="11" t="s">
        <v>7</v>
      </c>
      <c r="E364" s="15">
        <v>1512</v>
      </c>
      <c r="F364" s="11" t="s">
        <v>1662</v>
      </c>
      <c r="G364" s="11" t="s">
        <v>432</v>
      </c>
      <c r="H364" s="15" t="s">
        <v>15</v>
      </c>
      <c r="I364" s="15">
        <v>20</v>
      </c>
      <c r="J364" s="12" t="s">
        <v>1663</v>
      </c>
      <c r="K364" s="591">
        <f>(17*26)+(3*18.3)</f>
        <v>496.9</v>
      </c>
      <c r="L364" s="7"/>
    </row>
    <row r="365" spans="1:12">
      <c r="A365" s="590" t="s">
        <v>1016</v>
      </c>
      <c r="B365" s="11" t="s">
        <v>150</v>
      </c>
      <c r="C365" s="11">
        <v>45</v>
      </c>
      <c r="D365" s="11" t="s">
        <v>7</v>
      </c>
      <c r="E365" s="15">
        <v>1558</v>
      </c>
      <c r="F365" s="11" t="s">
        <v>1664</v>
      </c>
      <c r="G365" s="11" t="s">
        <v>620</v>
      </c>
      <c r="H365" s="15" t="s">
        <v>15</v>
      </c>
      <c r="I365" s="15">
        <v>30</v>
      </c>
      <c r="J365" s="12" t="s">
        <v>1665</v>
      </c>
      <c r="K365" s="591">
        <f>(30*40)</f>
        <v>1200</v>
      </c>
      <c r="L365" s="7"/>
    </row>
    <row r="366" spans="1:12">
      <c r="A366" s="590" t="s">
        <v>1016</v>
      </c>
      <c r="B366" s="11" t="s">
        <v>150</v>
      </c>
      <c r="C366" s="11">
        <v>45</v>
      </c>
      <c r="D366" s="11" t="s">
        <v>7</v>
      </c>
      <c r="E366" s="15">
        <v>1559</v>
      </c>
      <c r="F366" s="11" t="s">
        <v>1666</v>
      </c>
      <c r="G366" s="11" t="s">
        <v>620</v>
      </c>
      <c r="H366" s="15" t="s">
        <v>15</v>
      </c>
      <c r="I366" s="15">
        <v>30</v>
      </c>
      <c r="J366" s="12" t="s">
        <v>1665</v>
      </c>
      <c r="K366" s="591">
        <f>(30*40)</f>
        <v>1200</v>
      </c>
      <c r="L366" s="7"/>
    </row>
    <row r="367" spans="1:12">
      <c r="A367" s="590" t="s">
        <v>1016</v>
      </c>
      <c r="B367" s="11" t="s">
        <v>150</v>
      </c>
      <c r="C367" s="11">
        <v>45</v>
      </c>
      <c r="D367" s="11" t="s">
        <v>51</v>
      </c>
      <c r="E367" s="15">
        <v>340</v>
      </c>
      <c r="F367" s="11" t="s">
        <v>1662</v>
      </c>
      <c r="G367" s="11" t="s">
        <v>515</v>
      </c>
      <c r="H367" s="15" t="s">
        <v>15</v>
      </c>
      <c r="I367" s="15">
        <v>20</v>
      </c>
      <c r="J367" s="12" t="s">
        <v>1667</v>
      </c>
      <c r="K367" s="591">
        <f>(19*38)+(1*30.3)</f>
        <v>752.3</v>
      </c>
      <c r="L367" s="7"/>
    </row>
    <row r="368" spans="1:12">
      <c r="A368" s="590" t="s">
        <v>1016</v>
      </c>
      <c r="B368" s="11" t="s">
        <v>150</v>
      </c>
      <c r="C368" s="11">
        <v>45</v>
      </c>
      <c r="D368" s="11" t="s">
        <v>51</v>
      </c>
      <c r="E368" s="15">
        <v>362</v>
      </c>
      <c r="F368" s="11" t="s">
        <v>1668</v>
      </c>
      <c r="G368" s="11" t="s">
        <v>1406</v>
      </c>
      <c r="H368" s="15" t="s">
        <v>15</v>
      </c>
      <c r="I368" s="15">
        <v>20</v>
      </c>
      <c r="J368" s="12" t="s">
        <v>1669</v>
      </c>
      <c r="K368" s="591">
        <f>(19*24)+(1*19.7)</f>
        <v>475.7</v>
      </c>
      <c r="L368" s="7"/>
    </row>
    <row r="369" spans="1:12">
      <c r="A369" s="590" t="s">
        <v>1016</v>
      </c>
      <c r="B369" s="11" t="s">
        <v>150</v>
      </c>
      <c r="C369" s="11">
        <v>45</v>
      </c>
      <c r="D369" s="11" t="s">
        <v>51</v>
      </c>
      <c r="E369" s="15">
        <v>483</v>
      </c>
      <c r="F369" s="11" t="s">
        <v>1383</v>
      </c>
      <c r="G369" s="11" t="s">
        <v>664</v>
      </c>
      <c r="H369" s="15" t="s">
        <v>15</v>
      </c>
      <c r="I369" s="15">
        <v>20</v>
      </c>
      <c r="J369" s="12" t="s">
        <v>642</v>
      </c>
      <c r="K369" s="591">
        <f>(19*35)+(1*30.7)</f>
        <v>695.7</v>
      </c>
      <c r="L369" s="7"/>
    </row>
    <row r="370" spans="1:12">
      <c r="A370" s="590" t="s">
        <v>1016</v>
      </c>
      <c r="B370" s="11" t="s">
        <v>150</v>
      </c>
      <c r="C370" s="11">
        <v>45</v>
      </c>
      <c r="D370" s="11" t="s">
        <v>51</v>
      </c>
      <c r="E370" s="15">
        <v>637</v>
      </c>
      <c r="F370" s="11" t="s">
        <v>767</v>
      </c>
      <c r="G370" s="11" t="s">
        <v>1670</v>
      </c>
      <c r="H370" s="15" t="s">
        <v>15</v>
      </c>
      <c r="I370" s="15">
        <v>15</v>
      </c>
      <c r="J370" s="12" t="s">
        <v>684</v>
      </c>
      <c r="K370" s="591">
        <f>(14*33)+(1*25.3)</f>
        <v>487.3</v>
      </c>
      <c r="L370" s="7"/>
    </row>
    <row r="371" spans="1:12">
      <c r="A371" s="590" t="s">
        <v>1016</v>
      </c>
      <c r="B371" s="11" t="s">
        <v>150</v>
      </c>
      <c r="C371" s="11">
        <v>45</v>
      </c>
      <c r="D371" s="11" t="s">
        <v>51</v>
      </c>
      <c r="E371" s="15">
        <v>270</v>
      </c>
      <c r="F371" s="11" t="s">
        <v>1671</v>
      </c>
      <c r="G371" s="11" t="s">
        <v>89</v>
      </c>
      <c r="H371" s="15" t="s">
        <v>5</v>
      </c>
      <c r="I371" s="15">
        <v>15</v>
      </c>
      <c r="J371" s="12" t="s">
        <v>169</v>
      </c>
      <c r="K371" s="591">
        <f>(15*36)</f>
        <v>540</v>
      </c>
      <c r="L371" s="7"/>
    </row>
    <row r="372" spans="1:12">
      <c r="A372" s="590" t="s">
        <v>1016</v>
      </c>
      <c r="B372" s="11" t="s">
        <v>150</v>
      </c>
      <c r="C372" s="11">
        <v>45</v>
      </c>
      <c r="D372" s="11" t="s">
        <v>51</v>
      </c>
      <c r="E372" s="15">
        <v>274</v>
      </c>
      <c r="F372" s="11" t="s">
        <v>1672</v>
      </c>
      <c r="G372" s="11" t="s">
        <v>89</v>
      </c>
      <c r="H372" s="15" t="s">
        <v>5</v>
      </c>
      <c r="I372" s="15">
        <v>12</v>
      </c>
      <c r="J372" s="12" t="s">
        <v>1673</v>
      </c>
      <c r="K372" s="591">
        <f>(10*38)+(2*30.3)</f>
        <v>440.6</v>
      </c>
      <c r="L372" s="7"/>
    </row>
    <row r="373" spans="1:12">
      <c r="A373" s="590" t="s">
        <v>1016</v>
      </c>
      <c r="B373" s="11" t="s">
        <v>150</v>
      </c>
      <c r="C373" s="11">
        <v>45</v>
      </c>
      <c r="D373" s="11" t="s">
        <v>51</v>
      </c>
      <c r="E373" s="15">
        <v>276</v>
      </c>
      <c r="F373" s="11" t="s">
        <v>1674</v>
      </c>
      <c r="G373" s="11" t="s">
        <v>89</v>
      </c>
      <c r="H373" s="15" t="s">
        <v>15</v>
      </c>
      <c r="I373" s="15">
        <v>15</v>
      </c>
      <c r="J373" s="12" t="s">
        <v>163</v>
      </c>
      <c r="K373" s="591">
        <f>(15*37)</f>
        <v>555</v>
      </c>
      <c r="L373" s="7"/>
    </row>
    <row r="374" spans="1:12">
      <c r="A374" s="590" t="s">
        <v>1016</v>
      </c>
      <c r="B374" s="11" t="s">
        <v>150</v>
      </c>
      <c r="C374" s="11">
        <v>45</v>
      </c>
      <c r="D374" s="11" t="s">
        <v>51</v>
      </c>
      <c r="E374" s="15">
        <v>278</v>
      </c>
      <c r="F374" s="11" t="s">
        <v>1675</v>
      </c>
      <c r="G374" s="11" t="s">
        <v>89</v>
      </c>
      <c r="H374" s="15" t="s">
        <v>15</v>
      </c>
      <c r="I374" s="15">
        <v>20</v>
      </c>
      <c r="J374" s="12" t="s">
        <v>1676</v>
      </c>
      <c r="K374" s="591">
        <f>(19*39)+(1*30.4)</f>
        <v>771.4</v>
      </c>
      <c r="L374" s="7"/>
    </row>
    <row r="375" spans="1:12">
      <c r="A375" s="590" t="s">
        <v>1016</v>
      </c>
      <c r="B375" s="11" t="s">
        <v>150</v>
      </c>
      <c r="C375" s="11">
        <v>45</v>
      </c>
      <c r="D375" s="11" t="s">
        <v>51</v>
      </c>
      <c r="E375" s="15">
        <v>368</v>
      </c>
      <c r="F375" s="11" t="s">
        <v>636</v>
      </c>
      <c r="G375" s="11" t="s">
        <v>1556</v>
      </c>
      <c r="H375" s="15" t="s">
        <v>15</v>
      </c>
      <c r="I375" s="15">
        <v>15</v>
      </c>
      <c r="J375" s="12" t="s">
        <v>159</v>
      </c>
      <c r="K375" s="591">
        <f>(15*35)</f>
        <v>525</v>
      </c>
      <c r="L375" s="7"/>
    </row>
    <row r="376" spans="1:12">
      <c r="A376" s="590" t="s">
        <v>1016</v>
      </c>
      <c r="B376" s="11" t="s">
        <v>150</v>
      </c>
      <c r="C376" s="11">
        <v>45</v>
      </c>
      <c r="D376" s="11" t="s">
        <v>51</v>
      </c>
      <c r="E376" s="15">
        <v>392</v>
      </c>
      <c r="F376" s="11" t="s">
        <v>707</v>
      </c>
      <c r="G376" s="11" t="s">
        <v>1677</v>
      </c>
      <c r="H376" s="15" t="s">
        <v>15</v>
      </c>
      <c r="I376" s="15">
        <v>6</v>
      </c>
      <c r="J376" s="12" t="s">
        <v>1678</v>
      </c>
      <c r="K376" s="591">
        <f>(5*34)+(1*29.7)</f>
        <v>199.7</v>
      </c>
      <c r="L376" s="7"/>
    </row>
    <row r="377" spans="1:12">
      <c r="A377" s="590" t="s">
        <v>1016</v>
      </c>
      <c r="B377" s="11" t="s">
        <v>150</v>
      </c>
      <c r="C377" s="11">
        <v>45</v>
      </c>
      <c r="D377" s="11" t="s">
        <v>51</v>
      </c>
      <c r="E377" s="15">
        <v>395</v>
      </c>
      <c r="F377" s="11" t="s">
        <v>392</v>
      </c>
      <c r="G377" s="11" t="s">
        <v>1677</v>
      </c>
      <c r="H377" s="15" t="s">
        <v>15</v>
      </c>
      <c r="I377" s="15">
        <v>13</v>
      </c>
      <c r="J377" s="12" t="s">
        <v>1679</v>
      </c>
      <c r="K377" s="591">
        <f>(12*34)+(1*29.7)</f>
        <v>437.7</v>
      </c>
      <c r="L377" s="7"/>
    </row>
    <row r="378" spans="1:12">
      <c r="A378" s="590" t="s">
        <v>1016</v>
      </c>
      <c r="B378" s="11" t="s">
        <v>150</v>
      </c>
      <c r="C378" s="11">
        <v>45</v>
      </c>
      <c r="D378" s="11" t="s">
        <v>51</v>
      </c>
      <c r="E378" s="15">
        <v>465</v>
      </c>
      <c r="F378" s="11" t="s">
        <v>202</v>
      </c>
      <c r="G378" s="11" t="s">
        <v>117</v>
      </c>
      <c r="H378" s="15" t="s">
        <v>5</v>
      </c>
      <c r="I378" s="15">
        <v>20</v>
      </c>
      <c r="J378" s="12" t="s">
        <v>708</v>
      </c>
      <c r="K378" s="591">
        <f>(18*38)+(2*33.7)</f>
        <v>751.4</v>
      </c>
      <c r="L378" s="7"/>
    </row>
    <row r="379" spans="1:12">
      <c r="A379" s="590" t="s">
        <v>1016</v>
      </c>
      <c r="B379" s="11" t="s">
        <v>150</v>
      </c>
      <c r="C379" s="11">
        <v>45</v>
      </c>
      <c r="D379" s="11" t="s">
        <v>51</v>
      </c>
      <c r="E379" s="15">
        <v>473</v>
      </c>
      <c r="F379" s="11" t="s">
        <v>491</v>
      </c>
      <c r="G379" s="11" t="s">
        <v>356</v>
      </c>
      <c r="H379" s="15" t="s">
        <v>5</v>
      </c>
      <c r="I379" s="15">
        <v>15</v>
      </c>
      <c r="J379" s="12" t="s">
        <v>624</v>
      </c>
      <c r="K379" s="591">
        <f>(14*34)+(1*26.3)</f>
        <v>502.3</v>
      </c>
      <c r="L379" s="7"/>
    </row>
    <row r="380" spans="1:12">
      <c r="A380" s="590" t="s">
        <v>1016</v>
      </c>
      <c r="B380" s="11" t="s">
        <v>150</v>
      </c>
      <c r="C380" s="11">
        <v>45</v>
      </c>
      <c r="D380" s="11" t="s">
        <v>51</v>
      </c>
      <c r="E380" s="15">
        <v>474</v>
      </c>
      <c r="F380" s="11" t="s">
        <v>173</v>
      </c>
      <c r="G380" s="11" t="s">
        <v>356</v>
      </c>
      <c r="H380" s="15" t="s">
        <v>15</v>
      </c>
      <c r="I380" s="15">
        <v>15</v>
      </c>
      <c r="J380" s="12" t="s">
        <v>159</v>
      </c>
      <c r="K380" s="591">
        <f>(15*35)</f>
        <v>525</v>
      </c>
      <c r="L380" s="7"/>
    </row>
    <row r="381" spans="1:12">
      <c r="A381" s="590" t="s">
        <v>1016</v>
      </c>
      <c r="B381" s="11" t="s">
        <v>150</v>
      </c>
      <c r="C381" s="11">
        <v>45</v>
      </c>
      <c r="D381" s="11" t="s">
        <v>51</v>
      </c>
      <c r="E381" s="15">
        <v>487</v>
      </c>
      <c r="F381" s="11" t="s">
        <v>1392</v>
      </c>
      <c r="G381" s="11" t="s">
        <v>634</v>
      </c>
      <c r="H381" s="15" t="s">
        <v>5</v>
      </c>
      <c r="I381" s="15">
        <v>20</v>
      </c>
      <c r="J381" s="12" t="s">
        <v>1417</v>
      </c>
      <c r="K381" s="591">
        <f>(18*40)+(2*35.7)</f>
        <v>791.4</v>
      </c>
      <c r="L381" s="7"/>
    </row>
    <row r="382" spans="1:12" ht="15.75" thickBot="1">
      <c r="A382" s="592" t="s">
        <v>1016</v>
      </c>
      <c r="B382" s="593" t="s">
        <v>150</v>
      </c>
      <c r="C382" s="593">
        <v>45</v>
      </c>
      <c r="D382" s="593" t="s">
        <v>51</v>
      </c>
      <c r="E382" s="594">
        <v>489</v>
      </c>
      <c r="F382" s="593" t="s">
        <v>392</v>
      </c>
      <c r="G382" s="593" t="s">
        <v>634</v>
      </c>
      <c r="H382" s="594" t="s">
        <v>15</v>
      </c>
      <c r="I382" s="594">
        <v>20</v>
      </c>
      <c r="J382" s="595" t="s">
        <v>1680</v>
      </c>
      <c r="K382" s="596">
        <f>(18*42)+(2*37.7)</f>
        <v>831.4</v>
      </c>
      <c r="L382" s="7"/>
    </row>
    <row r="383" spans="1:12">
      <c r="A383" s="611" t="s">
        <v>1016</v>
      </c>
      <c r="B383" s="612" t="s">
        <v>6</v>
      </c>
      <c r="C383" s="612" t="s">
        <v>618</v>
      </c>
      <c r="D383" s="612"/>
      <c r="E383" s="61"/>
      <c r="F383" s="612" t="s">
        <v>1681</v>
      </c>
      <c r="G383" s="612" t="s">
        <v>621</v>
      </c>
      <c r="H383" s="61" t="s">
        <v>619</v>
      </c>
      <c r="I383" s="61">
        <v>15</v>
      </c>
      <c r="J383" s="613" t="s">
        <v>1682</v>
      </c>
      <c r="K383" s="614">
        <f>(14*24)+(1*20.4)</f>
        <v>356.4</v>
      </c>
      <c r="L383" s="7"/>
    </row>
    <row r="384" spans="1:12">
      <c r="A384" s="590" t="s">
        <v>1016</v>
      </c>
      <c r="B384" s="11" t="s">
        <v>6</v>
      </c>
      <c r="C384" s="11" t="s">
        <v>618</v>
      </c>
      <c r="D384" s="11"/>
      <c r="E384" s="15"/>
      <c r="F384" s="11" t="s">
        <v>1683</v>
      </c>
      <c r="G384" s="11" t="s">
        <v>621</v>
      </c>
      <c r="H384" s="15" t="s">
        <v>619</v>
      </c>
      <c r="I384" s="15">
        <v>10</v>
      </c>
      <c r="J384" s="12" t="s">
        <v>1684</v>
      </c>
      <c r="K384" s="591">
        <f>(9*24)+(1*20.4)</f>
        <v>236.4</v>
      </c>
      <c r="L384" s="7"/>
    </row>
    <row r="385" spans="1:12">
      <c r="A385" s="590" t="s">
        <v>1016</v>
      </c>
      <c r="B385" s="11" t="s">
        <v>6</v>
      </c>
      <c r="C385" s="11" t="s">
        <v>618</v>
      </c>
      <c r="D385" s="11"/>
      <c r="E385" s="15"/>
      <c r="F385" s="11" t="s">
        <v>1685</v>
      </c>
      <c r="G385" s="11" t="s">
        <v>621</v>
      </c>
      <c r="H385" s="15" t="s">
        <v>619</v>
      </c>
      <c r="I385" s="15">
        <v>15</v>
      </c>
      <c r="J385" s="12" t="s">
        <v>1682</v>
      </c>
      <c r="K385" s="591">
        <f>(14*24)+(1*20.4)</f>
        <v>356.4</v>
      </c>
      <c r="L385" s="7"/>
    </row>
    <row r="386" spans="1:12">
      <c r="A386" s="590" t="s">
        <v>1016</v>
      </c>
      <c r="B386" s="11" t="s">
        <v>6</v>
      </c>
      <c r="C386" s="11" t="s">
        <v>618</v>
      </c>
      <c r="D386" s="11"/>
      <c r="E386" s="15"/>
      <c r="F386" s="11" t="s">
        <v>1686</v>
      </c>
      <c r="G386" s="11" t="s">
        <v>621</v>
      </c>
      <c r="H386" s="15" t="s">
        <v>619</v>
      </c>
      <c r="I386" s="15">
        <v>10</v>
      </c>
      <c r="J386" s="12" t="s">
        <v>1684</v>
      </c>
      <c r="K386" s="591">
        <f>(9*24)+(1*20.4)</f>
        <v>236.4</v>
      </c>
      <c r="L386" s="7"/>
    </row>
    <row r="387" spans="1:12">
      <c r="A387" s="590" t="s">
        <v>1016</v>
      </c>
      <c r="B387" s="11" t="s">
        <v>6</v>
      </c>
      <c r="C387" s="11" t="s">
        <v>618</v>
      </c>
      <c r="D387" s="11"/>
      <c r="E387" s="15"/>
      <c r="F387" s="11" t="s">
        <v>1687</v>
      </c>
      <c r="G387" s="11" t="s">
        <v>621</v>
      </c>
      <c r="H387" s="15" t="s">
        <v>619</v>
      </c>
      <c r="I387" s="15">
        <v>15</v>
      </c>
      <c r="J387" s="12" t="s">
        <v>1682</v>
      </c>
      <c r="K387" s="591">
        <f>(14*24)+(1*20.4)</f>
        <v>356.4</v>
      </c>
      <c r="L387" s="7"/>
    </row>
    <row r="388" spans="1:12">
      <c r="A388" s="590" t="s">
        <v>1016</v>
      </c>
      <c r="B388" s="11" t="s">
        <v>6</v>
      </c>
      <c r="C388" s="11" t="s">
        <v>618</v>
      </c>
      <c r="D388" s="11"/>
      <c r="E388" s="15"/>
      <c r="F388" s="11" t="s">
        <v>1688</v>
      </c>
      <c r="G388" s="11" t="s">
        <v>621</v>
      </c>
      <c r="H388" s="15" t="s">
        <v>619</v>
      </c>
      <c r="I388" s="15">
        <v>10</v>
      </c>
      <c r="J388" s="12" t="s">
        <v>1684</v>
      </c>
      <c r="K388" s="591">
        <f>(9*24)+(1*20.4)</f>
        <v>236.4</v>
      </c>
      <c r="L388" s="7"/>
    </row>
    <row r="389" spans="1:12">
      <c r="A389" s="590" t="s">
        <v>1016</v>
      </c>
      <c r="B389" s="11" t="s">
        <v>6</v>
      </c>
      <c r="C389" s="11" t="s">
        <v>618</v>
      </c>
      <c r="D389" s="11"/>
      <c r="E389" s="15"/>
      <c r="F389" s="11" t="s">
        <v>1689</v>
      </c>
      <c r="G389" s="11" t="s">
        <v>621</v>
      </c>
      <c r="H389" s="15" t="s">
        <v>619</v>
      </c>
      <c r="I389" s="15">
        <v>15</v>
      </c>
      <c r="J389" s="12" t="s">
        <v>1682</v>
      </c>
      <c r="K389" s="591">
        <f>(14*24)+(1*20.4)</f>
        <v>356.4</v>
      </c>
      <c r="L389" s="7"/>
    </row>
    <row r="390" spans="1:12">
      <c r="A390" s="590" t="s">
        <v>1016</v>
      </c>
      <c r="B390" s="11" t="s">
        <v>6</v>
      </c>
      <c r="C390" s="11" t="s">
        <v>618</v>
      </c>
      <c r="D390" s="11"/>
      <c r="E390" s="15"/>
      <c r="F390" s="11" t="s">
        <v>1690</v>
      </c>
      <c r="G390" s="11" t="s">
        <v>621</v>
      </c>
      <c r="H390" s="15" t="s">
        <v>619</v>
      </c>
      <c r="I390" s="15">
        <v>10</v>
      </c>
      <c r="J390" s="12" t="s">
        <v>1684</v>
      </c>
      <c r="K390" s="591">
        <f t="shared" ref="K390" si="10">(9*24)+(1*20.4)</f>
        <v>236.4</v>
      </c>
      <c r="L390" s="7"/>
    </row>
    <row r="391" spans="1:12">
      <c r="A391" s="590" t="s">
        <v>1016</v>
      </c>
      <c r="B391" s="11" t="s">
        <v>6</v>
      </c>
      <c r="C391" s="11" t="s">
        <v>618</v>
      </c>
      <c r="D391" s="11"/>
      <c r="E391" s="15"/>
      <c r="F391" s="11" t="s">
        <v>1691</v>
      </c>
      <c r="G391" s="11" t="s">
        <v>621</v>
      </c>
      <c r="H391" s="15" t="s">
        <v>619</v>
      </c>
      <c r="I391" s="15">
        <v>10</v>
      </c>
      <c r="J391" s="12" t="s">
        <v>1692</v>
      </c>
      <c r="K391" s="591">
        <f>(9*21)+(1*17.4)</f>
        <v>206.4</v>
      </c>
      <c r="L391" s="7"/>
    </row>
    <row r="392" spans="1:12">
      <c r="A392" s="590" t="s">
        <v>1016</v>
      </c>
      <c r="B392" s="11" t="s">
        <v>6</v>
      </c>
      <c r="C392" s="11" t="s">
        <v>618</v>
      </c>
      <c r="D392" s="11"/>
      <c r="E392" s="15"/>
      <c r="F392" s="11" t="s">
        <v>1693</v>
      </c>
      <c r="G392" s="11" t="s">
        <v>621</v>
      </c>
      <c r="H392" s="15" t="s">
        <v>619</v>
      </c>
      <c r="I392" s="15">
        <v>10</v>
      </c>
      <c r="J392" s="12" t="s">
        <v>1692</v>
      </c>
      <c r="K392" s="591">
        <f t="shared" ref="K392:K398" si="11">(9*21)+(1*17.4)</f>
        <v>206.4</v>
      </c>
      <c r="L392" s="7"/>
    </row>
    <row r="393" spans="1:12">
      <c r="A393" s="590" t="s">
        <v>1016</v>
      </c>
      <c r="B393" s="11" t="s">
        <v>6</v>
      </c>
      <c r="C393" s="11" t="s">
        <v>618</v>
      </c>
      <c r="D393" s="11"/>
      <c r="E393" s="15"/>
      <c r="F393" s="11" t="s">
        <v>1694</v>
      </c>
      <c r="G393" s="11" t="s">
        <v>621</v>
      </c>
      <c r="H393" s="15" t="s">
        <v>619</v>
      </c>
      <c r="I393" s="15">
        <v>10</v>
      </c>
      <c r="J393" s="12" t="s">
        <v>1692</v>
      </c>
      <c r="K393" s="591">
        <f t="shared" si="11"/>
        <v>206.4</v>
      </c>
      <c r="L393" s="7"/>
    </row>
    <row r="394" spans="1:12">
      <c r="A394" s="590" t="s">
        <v>1016</v>
      </c>
      <c r="B394" s="11" t="s">
        <v>6</v>
      </c>
      <c r="C394" s="11" t="s">
        <v>618</v>
      </c>
      <c r="D394" s="11"/>
      <c r="E394" s="15"/>
      <c r="F394" s="11" t="s">
        <v>1695</v>
      </c>
      <c r="G394" s="11" t="s">
        <v>621</v>
      </c>
      <c r="H394" s="15" t="s">
        <v>619</v>
      </c>
      <c r="I394" s="15">
        <v>10</v>
      </c>
      <c r="J394" s="12" t="s">
        <v>1692</v>
      </c>
      <c r="K394" s="591">
        <f t="shared" si="11"/>
        <v>206.4</v>
      </c>
      <c r="L394" s="7"/>
    </row>
    <row r="395" spans="1:12">
      <c r="A395" s="590" t="s">
        <v>1016</v>
      </c>
      <c r="B395" s="11" t="s">
        <v>6</v>
      </c>
      <c r="C395" s="11" t="s">
        <v>618</v>
      </c>
      <c r="D395" s="11"/>
      <c r="E395" s="15"/>
      <c r="F395" s="11" t="s">
        <v>1696</v>
      </c>
      <c r="G395" s="11" t="s">
        <v>621</v>
      </c>
      <c r="H395" s="15" t="s">
        <v>619</v>
      </c>
      <c r="I395" s="15">
        <v>10</v>
      </c>
      <c r="J395" s="12" t="s">
        <v>1692</v>
      </c>
      <c r="K395" s="591">
        <f t="shared" si="11"/>
        <v>206.4</v>
      </c>
      <c r="L395" s="7"/>
    </row>
    <row r="396" spans="1:12">
      <c r="A396" s="590" t="s">
        <v>1016</v>
      </c>
      <c r="B396" s="11" t="s">
        <v>6</v>
      </c>
      <c r="C396" s="11" t="s">
        <v>618</v>
      </c>
      <c r="D396" s="11"/>
      <c r="E396" s="15"/>
      <c r="F396" s="11" t="s">
        <v>1697</v>
      </c>
      <c r="G396" s="11" t="s">
        <v>621</v>
      </c>
      <c r="H396" s="15" t="s">
        <v>619</v>
      </c>
      <c r="I396" s="15">
        <v>10</v>
      </c>
      <c r="J396" s="12" t="s">
        <v>1692</v>
      </c>
      <c r="K396" s="591">
        <f t="shared" si="11"/>
        <v>206.4</v>
      </c>
      <c r="L396" s="7"/>
    </row>
    <row r="397" spans="1:12">
      <c r="A397" s="590" t="s">
        <v>1016</v>
      </c>
      <c r="B397" s="11" t="s">
        <v>6</v>
      </c>
      <c r="C397" s="11" t="s">
        <v>618</v>
      </c>
      <c r="D397" s="11"/>
      <c r="E397" s="15"/>
      <c r="F397" s="11" t="s">
        <v>1698</v>
      </c>
      <c r="G397" s="11" t="s">
        <v>621</v>
      </c>
      <c r="H397" s="15" t="s">
        <v>619</v>
      </c>
      <c r="I397" s="15">
        <v>10</v>
      </c>
      <c r="J397" s="12" t="s">
        <v>1692</v>
      </c>
      <c r="K397" s="591">
        <f t="shared" si="11"/>
        <v>206.4</v>
      </c>
      <c r="L397" s="7"/>
    </row>
    <row r="398" spans="1:12">
      <c r="A398" s="590" t="s">
        <v>1016</v>
      </c>
      <c r="B398" s="11" t="s">
        <v>6</v>
      </c>
      <c r="C398" s="11" t="s">
        <v>618</v>
      </c>
      <c r="D398" s="11"/>
      <c r="E398" s="15"/>
      <c r="F398" s="11" t="s">
        <v>1699</v>
      </c>
      <c r="G398" s="11" t="s">
        <v>621</v>
      </c>
      <c r="H398" s="15" t="s">
        <v>619</v>
      </c>
      <c r="I398" s="15">
        <v>10</v>
      </c>
      <c r="J398" s="12" t="s">
        <v>1692</v>
      </c>
      <c r="K398" s="591">
        <f t="shared" si="11"/>
        <v>206.4</v>
      </c>
      <c r="L398" s="7"/>
    </row>
    <row r="399" spans="1:12">
      <c r="A399" s="590" t="s">
        <v>1018</v>
      </c>
      <c r="B399" s="11" t="s">
        <v>6</v>
      </c>
      <c r="C399" s="11">
        <v>47</v>
      </c>
      <c r="D399" s="11" t="s">
        <v>64</v>
      </c>
      <c r="E399" s="15">
        <v>5013</v>
      </c>
      <c r="F399" s="11" t="s">
        <v>1700</v>
      </c>
      <c r="G399" s="11" t="s">
        <v>1701</v>
      </c>
      <c r="H399" s="15" t="s">
        <v>1578</v>
      </c>
      <c r="I399" s="15">
        <v>10</v>
      </c>
      <c r="J399" s="12" t="s">
        <v>1702</v>
      </c>
      <c r="K399" s="591">
        <f>(9*47)+(1*42.9)</f>
        <v>465.9</v>
      </c>
      <c r="L399" s="7"/>
    </row>
    <row r="400" spans="1:12">
      <c r="A400" s="590" t="s">
        <v>1018</v>
      </c>
      <c r="B400" s="11" t="s">
        <v>6</v>
      </c>
      <c r="C400" s="11">
        <v>47</v>
      </c>
      <c r="D400" s="11" t="s">
        <v>82</v>
      </c>
      <c r="E400" s="15">
        <v>5071</v>
      </c>
      <c r="F400" s="11" t="s">
        <v>1703</v>
      </c>
      <c r="G400" s="11" t="s">
        <v>1704</v>
      </c>
      <c r="H400" s="15" t="s">
        <v>1578</v>
      </c>
      <c r="I400" s="15">
        <v>20</v>
      </c>
      <c r="J400" s="12" t="s">
        <v>360</v>
      </c>
      <c r="K400" s="591">
        <f>(19*19)+(1*12)</f>
        <v>373</v>
      </c>
      <c r="L400" s="7"/>
    </row>
    <row r="401" spans="1:12">
      <c r="A401" s="590" t="s">
        <v>1018</v>
      </c>
      <c r="B401" s="11" t="s">
        <v>6</v>
      </c>
      <c r="C401" s="11">
        <v>47</v>
      </c>
      <c r="D401" s="11" t="s">
        <v>82</v>
      </c>
      <c r="E401" s="15">
        <v>5091</v>
      </c>
      <c r="F401" s="11" t="s">
        <v>1705</v>
      </c>
      <c r="G401" s="11" t="s">
        <v>645</v>
      </c>
      <c r="H401" s="15" t="s">
        <v>1578</v>
      </c>
      <c r="I401" s="15">
        <v>20</v>
      </c>
      <c r="J401" s="12" t="s">
        <v>360</v>
      </c>
      <c r="K401" s="591">
        <f t="shared" ref="K401:K402" si="12">(19*19)+(1*12)</f>
        <v>373</v>
      </c>
      <c r="L401" s="7"/>
    </row>
    <row r="402" spans="1:12">
      <c r="A402" s="590" t="s">
        <v>1018</v>
      </c>
      <c r="B402" s="11" t="s">
        <v>6</v>
      </c>
      <c r="C402" s="11">
        <v>47</v>
      </c>
      <c r="D402" s="11" t="s">
        <v>82</v>
      </c>
      <c r="E402" s="15">
        <v>5122</v>
      </c>
      <c r="F402" s="11" t="s">
        <v>1706</v>
      </c>
      <c r="G402" s="11" t="s">
        <v>502</v>
      </c>
      <c r="H402" s="15" t="s">
        <v>1578</v>
      </c>
      <c r="I402" s="15">
        <v>20</v>
      </c>
      <c r="J402" s="12" t="s">
        <v>360</v>
      </c>
      <c r="K402" s="591">
        <f t="shared" si="12"/>
        <v>373</v>
      </c>
      <c r="L402" s="7"/>
    </row>
    <row r="403" spans="1:12">
      <c r="A403" s="590" t="s">
        <v>1018</v>
      </c>
      <c r="B403" s="11" t="s">
        <v>6</v>
      </c>
      <c r="C403" s="11">
        <v>47</v>
      </c>
      <c r="D403" s="11" t="s">
        <v>82</v>
      </c>
      <c r="E403" s="15">
        <v>5126</v>
      </c>
      <c r="F403" s="11" t="s">
        <v>1707</v>
      </c>
      <c r="G403" s="11" t="s">
        <v>502</v>
      </c>
      <c r="H403" s="15" t="s">
        <v>8</v>
      </c>
      <c r="I403" s="15">
        <v>10</v>
      </c>
      <c r="J403" s="12" t="s">
        <v>1708</v>
      </c>
      <c r="K403" s="591">
        <f>(9*42)+(1*37.9)</f>
        <v>415.9</v>
      </c>
      <c r="L403" s="7"/>
    </row>
    <row r="404" spans="1:12">
      <c r="A404" s="590" t="s">
        <v>1018</v>
      </c>
      <c r="B404" s="11" t="s">
        <v>6</v>
      </c>
      <c r="C404" s="11">
        <v>47</v>
      </c>
      <c r="D404" s="11" t="s">
        <v>82</v>
      </c>
      <c r="E404" s="15">
        <v>5161</v>
      </c>
      <c r="F404" s="11" t="s">
        <v>1709</v>
      </c>
      <c r="G404" s="11" t="s">
        <v>1710</v>
      </c>
      <c r="H404" s="15" t="s">
        <v>1578</v>
      </c>
      <c r="I404" s="15">
        <v>20</v>
      </c>
      <c r="J404" s="12" t="s">
        <v>128</v>
      </c>
      <c r="K404" s="591">
        <f>(19*17)+(1*10)</f>
        <v>333</v>
      </c>
      <c r="L404" s="7"/>
    </row>
    <row r="405" spans="1:12">
      <c r="A405" s="590" t="s">
        <v>1018</v>
      </c>
      <c r="B405" s="11" t="s">
        <v>6</v>
      </c>
      <c r="C405" s="11">
        <v>47</v>
      </c>
      <c r="D405" s="11" t="s">
        <v>82</v>
      </c>
      <c r="E405" s="15">
        <v>5266</v>
      </c>
      <c r="F405" s="11" t="s">
        <v>1711</v>
      </c>
      <c r="G405" s="11" t="s">
        <v>647</v>
      </c>
      <c r="H405" s="15" t="s">
        <v>1578</v>
      </c>
      <c r="I405" s="15">
        <v>15</v>
      </c>
      <c r="J405" s="12" t="s">
        <v>1712</v>
      </c>
      <c r="K405" s="591">
        <f>(14*19)+(1*14.9)</f>
        <v>280.89999999999998</v>
      </c>
      <c r="L405" s="7"/>
    </row>
    <row r="406" spans="1:12">
      <c r="A406" s="590" t="s">
        <v>1018</v>
      </c>
      <c r="B406" s="11" t="s">
        <v>6</v>
      </c>
      <c r="C406" s="11">
        <v>47</v>
      </c>
      <c r="D406" s="11" t="s">
        <v>82</v>
      </c>
      <c r="E406" s="15">
        <v>5306</v>
      </c>
      <c r="F406" s="11" t="s">
        <v>1713</v>
      </c>
      <c r="G406" s="11" t="s">
        <v>1714</v>
      </c>
      <c r="H406" s="15" t="s">
        <v>1578</v>
      </c>
      <c r="I406" s="15">
        <v>20</v>
      </c>
      <c r="J406" s="12" t="s">
        <v>360</v>
      </c>
      <c r="K406" s="591">
        <f>(19*19)+(1*12)</f>
        <v>373</v>
      </c>
      <c r="L406" s="7"/>
    </row>
    <row r="407" spans="1:12">
      <c r="A407" s="590" t="s">
        <v>1018</v>
      </c>
      <c r="B407" s="11" t="s">
        <v>6</v>
      </c>
      <c r="C407" s="11">
        <v>47</v>
      </c>
      <c r="D407" s="11" t="s">
        <v>82</v>
      </c>
      <c r="E407" s="15">
        <v>5309</v>
      </c>
      <c r="F407" s="11" t="s">
        <v>1715</v>
      </c>
      <c r="G407" s="11" t="s">
        <v>1714</v>
      </c>
      <c r="H407" s="15" t="s">
        <v>1578</v>
      </c>
      <c r="I407" s="15">
        <v>20</v>
      </c>
      <c r="J407" s="12" t="s">
        <v>360</v>
      </c>
      <c r="K407" s="591">
        <f t="shared" ref="K407:K408" si="13">(19*19)+(1*12)</f>
        <v>373</v>
      </c>
      <c r="L407" s="7"/>
    </row>
    <row r="408" spans="1:12">
      <c r="A408" s="590" t="s">
        <v>1018</v>
      </c>
      <c r="B408" s="11" t="s">
        <v>6</v>
      </c>
      <c r="C408" s="11">
        <v>47</v>
      </c>
      <c r="D408" s="11" t="s">
        <v>82</v>
      </c>
      <c r="E408" s="15">
        <v>5338</v>
      </c>
      <c r="F408" s="11" t="s">
        <v>1716</v>
      </c>
      <c r="G408" s="11" t="s">
        <v>1717</v>
      </c>
      <c r="H408" s="15" t="s">
        <v>1578</v>
      </c>
      <c r="I408" s="15">
        <v>20</v>
      </c>
      <c r="J408" s="12" t="s">
        <v>360</v>
      </c>
      <c r="K408" s="591">
        <f t="shared" si="13"/>
        <v>373</v>
      </c>
      <c r="L408" s="7"/>
    </row>
    <row r="409" spans="1:12">
      <c r="A409" s="590" t="s">
        <v>1018</v>
      </c>
      <c r="B409" s="11" t="s">
        <v>6</v>
      </c>
      <c r="C409" s="11">
        <v>47</v>
      </c>
      <c r="D409" s="11" t="s">
        <v>82</v>
      </c>
      <c r="E409" s="15">
        <v>5339</v>
      </c>
      <c r="F409" s="11" t="s">
        <v>1718</v>
      </c>
      <c r="G409" s="11" t="s">
        <v>1717</v>
      </c>
      <c r="H409" s="15" t="s">
        <v>433</v>
      </c>
      <c r="I409" s="15">
        <v>10</v>
      </c>
      <c r="J409" s="12" t="s">
        <v>1719</v>
      </c>
      <c r="K409" s="591">
        <f>(9*37)+(1*32.9)</f>
        <v>365.9</v>
      </c>
      <c r="L409" s="7"/>
    </row>
    <row r="410" spans="1:12">
      <c r="A410" s="590" t="s">
        <v>1018</v>
      </c>
      <c r="B410" s="11" t="s">
        <v>6</v>
      </c>
      <c r="C410" s="11">
        <v>47</v>
      </c>
      <c r="D410" s="11" t="s">
        <v>82</v>
      </c>
      <c r="E410" s="15">
        <v>5359</v>
      </c>
      <c r="F410" s="11" t="s">
        <v>1720</v>
      </c>
      <c r="G410" s="11" t="s">
        <v>646</v>
      </c>
      <c r="H410" s="15" t="s">
        <v>8</v>
      </c>
      <c r="I410" s="15">
        <v>20</v>
      </c>
      <c r="J410" s="12" t="s">
        <v>1721</v>
      </c>
      <c r="K410" s="591">
        <f>(19*42)+(1*35)</f>
        <v>833</v>
      </c>
      <c r="L410" s="7"/>
    </row>
    <row r="411" spans="1:12">
      <c r="A411" s="590" t="s">
        <v>1018</v>
      </c>
      <c r="B411" s="11" t="s">
        <v>6</v>
      </c>
      <c r="C411" s="11">
        <v>47</v>
      </c>
      <c r="D411" s="11" t="s">
        <v>82</v>
      </c>
      <c r="E411" s="15">
        <v>5394</v>
      </c>
      <c r="F411" s="11" t="s">
        <v>1722</v>
      </c>
      <c r="G411" s="11" t="s">
        <v>149</v>
      </c>
      <c r="H411" s="15" t="s">
        <v>1578</v>
      </c>
      <c r="I411" s="15">
        <v>10</v>
      </c>
      <c r="J411" s="12" t="s">
        <v>1723</v>
      </c>
      <c r="K411" s="591">
        <f>(9*19)+(1*14.9)</f>
        <v>185.9</v>
      </c>
      <c r="L411" s="7"/>
    </row>
    <row r="412" spans="1:12">
      <c r="A412" s="590" t="s">
        <v>1018</v>
      </c>
      <c r="B412" s="11" t="s">
        <v>6</v>
      </c>
      <c r="C412" s="11">
        <v>47</v>
      </c>
      <c r="D412" s="11" t="s">
        <v>82</v>
      </c>
      <c r="E412" s="15">
        <v>5505</v>
      </c>
      <c r="F412" s="11" t="s">
        <v>1724</v>
      </c>
      <c r="G412" s="11" t="s">
        <v>484</v>
      </c>
      <c r="H412" s="15" t="s">
        <v>8</v>
      </c>
      <c r="I412" s="15">
        <v>20</v>
      </c>
      <c r="J412" s="12" t="s">
        <v>360</v>
      </c>
      <c r="K412" s="591">
        <f>(19*19)+(1*12)</f>
        <v>373</v>
      </c>
      <c r="L412" s="7"/>
    </row>
    <row r="413" spans="1:12">
      <c r="A413" s="590" t="s">
        <v>1018</v>
      </c>
      <c r="B413" s="11" t="s">
        <v>6</v>
      </c>
      <c r="C413" s="11">
        <v>47</v>
      </c>
      <c r="D413" s="11" t="s">
        <v>82</v>
      </c>
      <c r="E413" s="15">
        <v>5579</v>
      </c>
      <c r="F413" s="11" t="s">
        <v>1725</v>
      </c>
      <c r="G413" s="11" t="s">
        <v>30</v>
      </c>
      <c r="H413" s="15" t="s">
        <v>8</v>
      </c>
      <c r="I413" s="15">
        <v>20</v>
      </c>
      <c r="J413" s="12" t="s">
        <v>107</v>
      </c>
      <c r="K413" s="591">
        <f>(19*18)+(1*11)</f>
        <v>353</v>
      </c>
      <c r="L413" s="7"/>
    </row>
    <row r="414" spans="1:12">
      <c r="A414" s="590" t="s">
        <v>1018</v>
      </c>
      <c r="B414" s="11" t="s">
        <v>6</v>
      </c>
      <c r="C414" s="11">
        <v>47</v>
      </c>
      <c r="D414" s="11" t="s">
        <v>82</v>
      </c>
      <c r="E414" s="15">
        <v>6713</v>
      </c>
      <c r="F414" s="11" t="s">
        <v>1726</v>
      </c>
      <c r="G414" s="11" t="s">
        <v>1727</v>
      </c>
      <c r="H414" s="15" t="s">
        <v>1578</v>
      </c>
      <c r="I414" s="15">
        <v>20</v>
      </c>
      <c r="J414" s="12" t="s">
        <v>1728</v>
      </c>
      <c r="K414" s="591">
        <f>(18*21)+(2*14)</f>
        <v>406</v>
      </c>
      <c r="L414" s="7"/>
    </row>
    <row r="415" spans="1:12">
      <c r="A415" s="590" t="s">
        <v>1018</v>
      </c>
      <c r="B415" s="11" t="s">
        <v>6</v>
      </c>
      <c r="C415" s="11">
        <v>47</v>
      </c>
      <c r="D415" s="11" t="s">
        <v>82</v>
      </c>
      <c r="E415" s="15">
        <v>6770</v>
      </c>
      <c r="F415" s="11" t="s">
        <v>1729</v>
      </c>
      <c r="G415" s="11" t="s">
        <v>1730</v>
      </c>
      <c r="H415" s="15" t="s">
        <v>1578</v>
      </c>
      <c r="I415" s="15">
        <v>20</v>
      </c>
      <c r="J415" s="12" t="s">
        <v>1731</v>
      </c>
      <c r="K415" s="591">
        <f>(19*45)+(1*38)</f>
        <v>893</v>
      </c>
      <c r="L415" s="7"/>
    </row>
    <row r="416" spans="1:12">
      <c r="A416" s="590" t="s">
        <v>1018</v>
      </c>
      <c r="B416" s="11" t="s">
        <v>6</v>
      </c>
      <c r="C416" s="11">
        <v>47</v>
      </c>
      <c r="D416" s="11" t="s">
        <v>82</v>
      </c>
      <c r="E416" s="15">
        <v>6916</v>
      </c>
      <c r="F416" s="11" t="s">
        <v>1732</v>
      </c>
      <c r="G416" s="11" t="s">
        <v>83</v>
      </c>
      <c r="H416" s="15" t="s">
        <v>1578</v>
      </c>
      <c r="I416" s="15">
        <v>15</v>
      </c>
      <c r="J416" s="12" t="s">
        <v>1733</v>
      </c>
      <c r="K416" s="591">
        <f>(14*22)+(1*15)</f>
        <v>323</v>
      </c>
      <c r="L416" s="7"/>
    </row>
    <row r="417" spans="1:12">
      <c r="A417" s="590" t="s">
        <v>1018</v>
      </c>
      <c r="B417" s="11" t="s">
        <v>6</v>
      </c>
      <c r="C417" s="11">
        <v>47</v>
      </c>
      <c r="D417" s="11" t="s">
        <v>82</v>
      </c>
      <c r="E417" s="15">
        <v>6918</v>
      </c>
      <c r="F417" s="11" t="s">
        <v>1734</v>
      </c>
      <c r="G417" s="11" t="s">
        <v>83</v>
      </c>
      <c r="H417" s="15" t="s">
        <v>8</v>
      </c>
      <c r="I417" s="15">
        <v>15</v>
      </c>
      <c r="J417" s="12" t="s">
        <v>540</v>
      </c>
      <c r="K417" s="591">
        <f>(14*20)+(1*13)</f>
        <v>293</v>
      </c>
      <c r="L417" s="7"/>
    </row>
    <row r="418" spans="1:12">
      <c r="A418" s="590" t="s">
        <v>1023</v>
      </c>
      <c r="B418" s="11" t="s">
        <v>9</v>
      </c>
      <c r="C418" s="11">
        <v>40</v>
      </c>
      <c r="D418" s="11" t="s">
        <v>16</v>
      </c>
      <c r="E418" s="15">
        <v>42</v>
      </c>
      <c r="F418" s="11" t="s">
        <v>720</v>
      </c>
      <c r="G418" s="11" t="s">
        <v>354</v>
      </c>
      <c r="H418" s="15" t="s">
        <v>5</v>
      </c>
      <c r="I418" s="15">
        <v>10</v>
      </c>
      <c r="J418" s="12" t="s">
        <v>27</v>
      </c>
      <c r="K418" s="591">
        <f>(9*38)+(1*29.4)</f>
        <v>371.4</v>
      </c>
      <c r="L418" s="7"/>
    </row>
    <row r="419" spans="1:12">
      <c r="A419" s="590" t="s">
        <v>1023</v>
      </c>
      <c r="B419" s="11" t="s">
        <v>9</v>
      </c>
      <c r="C419" s="11">
        <v>40</v>
      </c>
      <c r="D419" s="11" t="s">
        <v>16</v>
      </c>
      <c r="E419" s="15">
        <v>43</v>
      </c>
      <c r="F419" s="11" t="s">
        <v>1735</v>
      </c>
      <c r="G419" s="11" t="s">
        <v>354</v>
      </c>
      <c r="H419" s="15" t="s">
        <v>5</v>
      </c>
      <c r="I419" s="15">
        <v>20</v>
      </c>
      <c r="J419" s="12" t="s">
        <v>31</v>
      </c>
      <c r="K419" s="591">
        <f>(19*38)+(1*29.4)</f>
        <v>751.4</v>
      </c>
      <c r="L419" s="7"/>
    </row>
    <row r="420" spans="1:12">
      <c r="A420" s="590" t="s">
        <v>1023</v>
      </c>
      <c r="B420" s="11" t="s">
        <v>9</v>
      </c>
      <c r="C420" s="11">
        <v>40</v>
      </c>
      <c r="D420" s="11" t="s">
        <v>16</v>
      </c>
      <c r="E420" s="15">
        <v>44</v>
      </c>
      <c r="F420" s="11" t="s">
        <v>706</v>
      </c>
      <c r="G420" s="11" t="s">
        <v>354</v>
      </c>
      <c r="H420" s="15" t="s">
        <v>5</v>
      </c>
      <c r="I420" s="15">
        <v>15</v>
      </c>
      <c r="J420" s="12" t="s">
        <v>97</v>
      </c>
      <c r="K420" s="591">
        <f>(15*38)</f>
        <v>570</v>
      </c>
      <c r="L420" s="7"/>
    </row>
    <row r="421" spans="1:12" ht="15.75" thickBot="1">
      <c r="A421" s="592" t="s">
        <v>1023</v>
      </c>
      <c r="B421" s="593" t="s">
        <v>9</v>
      </c>
      <c r="C421" s="593">
        <v>40</v>
      </c>
      <c r="D421" s="593" t="s">
        <v>16</v>
      </c>
      <c r="E421" s="594">
        <v>104</v>
      </c>
      <c r="F421" s="593" t="s">
        <v>653</v>
      </c>
      <c r="G421" s="593" t="s">
        <v>124</v>
      </c>
      <c r="H421" s="594" t="s">
        <v>5</v>
      </c>
      <c r="I421" s="594">
        <v>20</v>
      </c>
      <c r="J421" s="595" t="s">
        <v>17</v>
      </c>
      <c r="K421" s="596">
        <f>(19*35)+(1*26.4)</f>
        <v>691.4</v>
      </c>
      <c r="L421" s="7"/>
    </row>
    <row r="422" spans="1:12">
      <c r="A422" s="611" t="s">
        <v>1023</v>
      </c>
      <c r="B422" s="612" t="s">
        <v>9</v>
      </c>
      <c r="C422" s="612">
        <v>40</v>
      </c>
      <c r="D422" s="612" t="s">
        <v>16</v>
      </c>
      <c r="E422" s="61">
        <v>105</v>
      </c>
      <c r="F422" s="612" t="s">
        <v>586</v>
      </c>
      <c r="G422" s="612" t="s">
        <v>124</v>
      </c>
      <c r="H422" s="61" t="s">
        <v>5</v>
      </c>
      <c r="I422" s="61">
        <v>25</v>
      </c>
      <c r="J422" s="613" t="s">
        <v>112</v>
      </c>
      <c r="K422" s="614">
        <f>(24*35)+(1*26.4)</f>
        <v>866.4</v>
      </c>
      <c r="L422" s="7"/>
    </row>
    <row r="423" spans="1:12">
      <c r="A423" s="590" t="s">
        <v>1023</v>
      </c>
      <c r="B423" s="11" t="s">
        <v>9</v>
      </c>
      <c r="C423" s="11">
        <v>40</v>
      </c>
      <c r="D423" s="11" t="s">
        <v>16</v>
      </c>
      <c r="E423" s="15">
        <v>227</v>
      </c>
      <c r="F423" s="11" t="s">
        <v>1736</v>
      </c>
      <c r="G423" s="11" t="s">
        <v>203</v>
      </c>
      <c r="H423" s="15" t="s">
        <v>5</v>
      </c>
      <c r="I423" s="15">
        <v>20</v>
      </c>
      <c r="J423" s="12" t="s">
        <v>110</v>
      </c>
      <c r="K423" s="591">
        <f>(19*32)+(1*23.4)</f>
        <v>631.4</v>
      </c>
      <c r="L423" s="7"/>
    </row>
    <row r="424" spans="1:12">
      <c r="A424" s="590" t="s">
        <v>1023</v>
      </c>
      <c r="B424" s="11" t="s">
        <v>9</v>
      </c>
      <c r="C424" s="11">
        <v>40</v>
      </c>
      <c r="D424" s="11" t="s">
        <v>16</v>
      </c>
      <c r="E424" s="15">
        <v>228</v>
      </c>
      <c r="F424" s="11" t="s">
        <v>1737</v>
      </c>
      <c r="G424" s="11" t="s">
        <v>203</v>
      </c>
      <c r="H424" s="15" t="s">
        <v>5</v>
      </c>
      <c r="I424" s="15">
        <v>20</v>
      </c>
      <c r="J424" s="12" t="s">
        <v>17</v>
      </c>
      <c r="K424" s="591">
        <f>(19*35)+(1*26.4)</f>
        <v>691.4</v>
      </c>
      <c r="L424" s="7"/>
    </row>
    <row r="425" spans="1:12">
      <c r="A425" s="590" t="s">
        <v>1023</v>
      </c>
      <c r="B425" s="11" t="s">
        <v>9</v>
      </c>
      <c r="C425" s="11">
        <v>40</v>
      </c>
      <c r="D425" s="11" t="s">
        <v>16</v>
      </c>
      <c r="E425" s="15">
        <v>229</v>
      </c>
      <c r="F425" s="11" t="s">
        <v>1738</v>
      </c>
      <c r="G425" s="11" t="s">
        <v>203</v>
      </c>
      <c r="H425" s="15" t="s">
        <v>5</v>
      </c>
      <c r="I425" s="15">
        <v>20</v>
      </c>
      <c r="J425" s="12" t="s">
        <v>17</v>
      </c>
      <c r="K425" s="591">
        <f t="shared" ref="K425:K430" si="14">(19*35)+(1*26.4)</f>
        <v>691.4</v>
      </c>
      <c r="L425" s="7"/>
    </row>
    <row r="426" spans="1:12">
      <c r="A426" s="590" t="s">
        <v>1023</v>
      </c>
      <c r="B426" s="11" t="s">
        <v>9</v>
      </c>
      <c r="C426" s="11">
        <v>40</v>
      </c>
      <c r="D426" s="11" t="s">
        <v>16</v>
      </c>
      <c r="E426" s="15">
        <v>230</v>
      </c>
      <c r="F426" s="11" t="s">
        <v>796</v>
      </c>
      <c r="G426" s="11" t="s">
        <v>203</v>
      </c>
      <c r="H426" s="15" t="s">
        <v>5</v>
      </c>
      <c r="I426" s="15">
        <v>20</v>
      </c>
      <c r="J426" s="12" t="s">
        <v>17</v>
      </c>
      <c r="K426" s="591">
        <f t="shared" si="14"/>
        <v>691.4</v>
      </c>
      <c r="L426" s="7"/>
    </row>
    <row r="427" spans="1:12">
      <c r="A427" s="590" t="s">
        <v>1023</v>
      </c>
      <c r="B427" s="11" t="s">
        <v>9</v>
      </c>
      <c r="C427" s="11">
        <v>40</v>
      </c>
      <c r="D427" s="11" t="s">
        <v>16</v>
      </c>
      <c r="E427" s="15">
        <v>231</v>
      </c>
      <c r="F427" s="11" t="s">
        <v>1739</v>
      </c>
      <c r="G427" s="11" t="s">
        <v>203</v>
      </c>
      <c r="H427" s="15" t="s">
        <v>5</v>
      </c>
      <c r="I427" s="15">
        <v>20</v>
      </c>
      <c r="J427" s="12" t="s">
        <v>17</v>
      </c>
      <c r="K427" s="591">
        <f t="shared" si="14"/>
        <v>691.4</v>
      </c>
      <c r="L427" s="7"/>
    </row>
    <row r="428" spans="1:12">
      <c r="A428" s="590" t="s">
        <v>1023</v>
      </c>
      <c r="B428" s="11" t="s">
        <v>9</v>
      </c>
      <c r="C428" s="11">
        <v>40</v>
      </c>
      <c r="D428" s="11" t="s">
        <v>16</v>
      </c>
      <c r="E428" s="15">
        <v>250</v>
      </c>
      <c r="F428" s="11" t="s">
        <v>1740</v>
      </c>
      <c r="G428" s="11" t="s">
        <v>203</v>
      </c>
      <c r="H428" s="15" t="s">
        <v>15</v>
      </c>
      <c r="I428" s="15">
        <v>20</v>
      </c>
      <c r="J428" s="12" t="s">
        <v>17</v>
      </c>
      <c r="K428" s="591">
        <f t="shared" si="14"/>
        <v>691.4</v>
      </c>
      <c r="L428" s="7"/>
    </row>
    <row r="429" spans="1:12">
      <c r="A429" s="590" t="s">
        <v>1023</v>
      </c>
      <c r="B429" s="11" t="s">
        <v>9</v>
      </c>
      <c r="C429" s="11">
        <v>40</v>
      </c>
      <c r="D429" s="11" t="s">
        <v>16</v>
      </c>
      <c r="E429" s="15">
        <v>251</v>
      </c>
      <c r="F429" s="11" t="s">
        <v>1741</v>
      </c>
      <c r="G429" s="11" t="s">
        <v>203</v>
      </c>
      <c r="H429" s="15" t="s">
        <v>15</v>
      </c>
      <c r="I429" s="15">
        <v>20</v>
      </c>
      <c r="J429" s="12" t="s">
        <v>17</v>
      </c>
      <c r="K429" s="591">
        <f t="shared" si="14"/>
        <v>691.4</v>
      </c>
      <c r="L429" s="7"/>
    </row>
    <row r="430" spans="1:12">
      <c r="A430" s="590" t="s">
        <v>1023</v>
      </c>
      <c r="B430" s="11" t="s">
        <v>9</v>
      </c>
      <c r="C430" s="11">
        <v>40</v>
      </c>
      <c r="D430" s="11" t="s">
        <v>16</v>
      </c>
      <c r="E430" s="15">
        <v>252</v>
      </c>
      <c r="F430" s="11" t="s">
        <v>822</v>
      </c>
      <c r="G430" s="11" t="s">
        <v>203</v>
      </c>
      <c r="H430" s="15" t="s">
        <v>15</v>
      </c>
      <c r="I430" s="15">
        <v>20</v>
      </c>
      <c r="J430" s="12" t="s">
        <v>17</v>
      </c>
      <c r="K430" s="591">
        <f t="shared" si="14"/>
        <v>691.4</v>
      </c>
      <c r="L430" s="7"/>
    </row>
    <row r="431" spans="1:12">
      <c r="A431" s="590" t="s">
        <v>1023</v>
      </c>
      <c r="B431" s="11" t="s">
        <v>9</v>
      </c>
      <c r="C431" s="11">
        <v>40</v>
      </c>
      <c r="D431" s="11" t="s">
        <v>16</v>
      </c>
      <c r="E431" s="15">
        <v>313</v>
      </c>
      <c r="F431" s="11" t="s">
        <v>1742</v>
      </c>
      <c r="G431" s="11" t="s">
        <v>40</v>
      </c>
      <c r="H431" s="15" t="s">
        <v>143</v>
      </c>
      <c r="I431" s="15">
        <v>10</v>
      </c>
      <c r="J431" s="12" t="s">
        <v>1358</v>
      </c>
      <c r="K431" s="591">
        <f>(9*38)+(1*32.2)</f>
        <v>374.2</v>
      </c>
      <c r="L431" s="7"/>
    </row>
    <row r="432" spans="1:12">
      <c r="A432" s="590" t="s">
        <v>1023</v>
      </c>
      <c r="B432" s="11" t="s">
        <v>9</v>
      </c>
      <c r="C432" s="11">
        <v>40</v>
      </c>
      <c r="D432" s="11" t="s">
        <v>16</v>
      </c>
      <c r="E432" s="15">
        <v>314</v>
      </c>
      <c r="F432" s="11" t="s">
        <v>1743</v>
      </c>
      <c r="G432" s="11" t="s">
        <v>40</v>
      </c>
      <c r="H432" s="15" t="s">
        <v>143</v>
      </c>
      <c r="I432" s="15">
        <v>20</v>
      </c>
      <c r="J432" s="12" t="s">
        <v>31</v>
      </c>
      <c r="K432" s="591">
        <f>(19*38)+(1*29.4)</f>
        <v>751.4</v>
      </c>
      <c r="L432" s="7"/>
    </row>
    <row r="433" spans="1:12">
      <c r="A433" s="590" t="s">
        <v>1023</v>
      </c>
      <c r="B433" s="11" t="s">
        <v>9</v>
      </c>
      <c r="C433" s="11">
        <v>40</v>
      </c>
      <c r="D433" s="11" t="s">
        <v>16</v>
      </c>
      <c r="E433" s="15">
        <v>333</v>
      </c>
      <c r="F433" s="11" t="s">
        <v>1371</v>
      </c>
      <c r="G433" s="11" t="s">
        <v>606</v>
      </c>
      <c r="H433" s="15" t="s">
        <v>15</v>
      </c>
      <c r="I433" s="15">
        <v>30</v>
      </c>
      <c r="J433" s="12" t="s">
        <v>25</v>
      </c>
      <c r="K433" s="591">
        <f>(29*38)+(1*29.4)</f>
        <v>1131.4000000000001</v>
      </c>
      <c r="L433" s="7"/>
    </row>
    <row r="434" spans="1:12">
      <c r="A434" s="590" t="s">
        <v>1023</v>
      </c>
      <c r="B434" s="11" t="s">
        <v>9</v>
      </c>
      <c r="C434" s="11">
        <v>40</v>
      </c>
      <c r="D434" s="11" t="s">
        <v>16</v>
      </c>
      <c r="E434" s="15">
        <v>334</v>
      </c>
      <c r="F434" s="11" t="s">
        <v>1325</v>
      </c>
      <c r="G434" s="11" t="s">
        <v>606</v>
      </c>
      <c r="H434" s="15" t="s">
        <v>15</v>
      </c>
      <c r="I434" s="15">
        <v>30</v>
      </c>
      <c r="J434" s="12" t="s">
        <v>25</v>
      </c>
      <c r="K434" s="591">
        <f>(29*38)+(1*29.4)</f>
        <v>1131.4000000000001</v>
      </c>
      <c r="L434" s="7"/>
    </row>
    <row r="435" spans="1:12">
      <c r="A435" s="590" t="s">
        <v>1023</v>
      </c>
      <c r="B435" s="11" t="s">
        <v>9</v>
      </c>
      <c r="C435" s="11">
        <v>40</v>
      </c>
      <c r="D435" s="11" t="s">
        <v>16</v>
      </c>
      <c r="E435" s="15">
        <v>336</v>
      </c>
      <c r="F435" s="11" t="s">
        <v>415</v>
      </c>
      <c r="G435" s="11" t="s">
        <v>606</v>
      </c>
      <c r="H435" s="15" t="s">
        <v>15</v>
      </c>
      <c r="I435" s="15">
        <v>20</v>
      </c>
      <c r="J435" s="12" t="s">
        <v>157</v>
      </c>
      <c r="K435" s="591">
        <f>(20*38)</f>
        <v>760</v>
      </c>
      <c r="L435" s="7"/>
    </row>
    <row r="436" spans="1:12">
      <c r="A436" s="590" t="s">
        <v>1023</v>
      </c>
      <c r="B436" s="11" t="s">
        <v>9</v>
      </c>
      <c r="C436" s="11">
        <v>40</v>
      </c>
      <c r="D436" s="11" t="s">
        <v>16</v>
      </c>
      <c r="E436" s="15">
        <v>418</v>
      </c>
      <c r="F436" s="11" t="s">
        <v>562</v>
      </c>
      <c r="G436" s="11" t="s">
        <v>167</v>
      </c>
      <c r="H436" s="15" t="s">
        <v>5</v>
      </c>
      <c r="I436" s="15">
        <v>30</v>
      </c>
      <c r="J436" s="12" t="s">
        <v>12</v>
      </c>
      <c r="K436" s="591">
        <f>(29*35)+(1*26.4)</f>
        <v>1041.4000000000001</v>
      </c>
      <c r="L436" s="7"/>
    </row>
    <row r="437" spans="1:12">
      <c r="A437" s="590" t="s">
        <v>1023</v>
      </c>
      <c r="B437" s="11" t="s">
        <v>9</v>
      </c>
      <c r="C437" s="11">
        <v>40</v>
      </c>
      <c r="D437" s="11" t="s">
        <v>16</v>
      </c>
      <c r="E437" s="15">
        <v>419</v>
      </c>
      <c r="F437" s="11" t="s">
        <v>136</v>
      </c>
      <c r="G437" s="11" t="s">
        <v>167</v>
      </c>
      <c r="H437" s="15" t="s">
        <v>15</v>
      </c>
      <c r="I437" s="15">
        <v>20</v>
      </c>
      <c r="J437" s="12" t="s">
        <v>142</v>
      </c>
      <c r="K437" s="591">
        <f>(20*35)</f>
        <v>700</v>
      </c>
      <c r="L437" s="7"/>
    </row>
    <row r="438" spans="1:12">
      <c r="A438" s="590" t="s">
        <v>1023</v>
      </c>
      <c r="B438" s="11" t="s">
        <v>9</v>
      </c>
      <c r="C438" s="11">
        <v>40</v>
      </c>
      <c r="D438" s="11" t="s">
        <v>16</v>
      </c>
      <c r="E438" s="15">
        <v>435</v>
      </c>
      <c r="F438" s="11" t="s">
        <v>1401</v>
      </c>
      <c r="G438" s="11" t="s">
        <v>152</v>
      </c>
      <c r="H438" s="15" t="s">
        <v>15</v>
      </c>
      <c r="I438" s="15">
        <v>20</v>
      </c>
      <c r="J438" s="12" t="s">
        <v>31</v>
      </c>
      <c r="K438" s="591">
        <f>(19*38)+(1*29.4)</f>
        <v>751.4</v>
      </c>
      <c r="L438" s="7"/>
    </row>
    <row r="439" spans="1:12">
      <c r="A439" s="590" t="s">
        <v>1023</v>
      </c>
      <c r="B439" s="11" t="s">
        <v>9</v>
      </c>
      <c r="C439" s="11">
        <v>40</v>
      </c>
      <c r="D439" s="11" t="s">
        <v>16</v>
      </c>
      <c r="E439" s="15">
        <v>436</v>
      </c>
      <c r="F439" s="11" t="s">
        <v>662</v>
      </c>
      <c r="G439" s="11" t="s">
        <v>152</v>
      </c>
      <c r="H439" s="15" t="s">
        <v>15</v>
      </c>
      <c r="I439" s="15">
        <v>10</v>
      </c>
      <c r="J439" s="12" t="s">
        <v>27</v>
      </c>
      <c r="K439" s="591">
        <f>(9*38)+(1*29.4)</f>
        <v>371.4</v>
      </c>
      <c r="L439" s="7"/>
    </row>
    <row r="440" spans="1:12">
      <c r="A440" s="590" t="s">
        <v>1023</v>
      </c>
      <c r="B440" s="11" t="s">
        <v>9</v>
      </c>
      <c r="C440" s="11">
        <v>40</v>
      </c>
      <c r="D440" s="11" t="s">
        <v>16</v>
      </c>
      <c r="E440" s="15">
        <v>450</v>
      </c>
      <c r="F440" s="11" t="s">
        <v>771</v>
      </c>
      <c r="G440" s="11" t="s">
        <v>648</v>
      </c>
      <c r="H440" s="15" t="s">
        <v>5</v>
      </c>
      <c r="I440" s="15">
        <v>15</v>
      </c>
      <c r="J440" s="12" t="s">
        <v>14</v>
      </c>
      <c r="K440" s="591">
        <f>(14*38)+(1*29.4)</f>
        <v>561.4</v>
      </c>
      <c r="L440" s="7"/>
    </row>
    <row r="441" spans="1:12">
      <c r="A441" s="590" t="s">
        <v>1023</v>
      </c>
      <c r="B441" s="11" t="s">
        <v>9</v>
      </c>
      <c r="C441" s="11">
        <v>40</v>
      </c>
      <c r="D441" s="11" t="s">
        <v>16</v>
      </c>
      <c r="E441" s="15">
        <v>604</v>
      </c>
      <c r="F441" s="11" t="s">
        <v>361</v>
      </c>
      <c r="G441" s="11" t="s">
        <v>199</v>
      </c>
      <c r="H441" s="15" t="s">
        <v>5</v>
      </c>
      <c r="I441" s="15">
        <v>30</v>
      </c>
      <c r="J441" s="12" t="s">
        <v>1646</v>
      </c>
      <c r="K441" s="591">
        <f>(29*33)+(1*24.4)</f>
        <v>981.4</v>
      </c>
      <c r="L441" s="7"/>
    </row>
    <row r="442" spans="1:12">
      <c r="A442" s="590" t="s">
        <v>1023</v>
      </c>
      <c r="B442" s="11" t="s">
        <v>9</v>
      </c>
      <c r="C442" s="11">
        <v>40</v>
      </c>
      <c r="D442" s="11" t="s">
        <v>16</v>
      </c>
      <c r="E442" s="15">
        <v>605</v>
      </c>
      <c r="F442" s="11" t="s">
        <v>561</v>
      </c>
      <c r="G442" s="11" t="s">
        <v>199</v>
      </c>
      <c r="H442" s="15" t="s">
        <v>5</v>
      </c>
      <c r="I442" s="15">
        <v>30</v>
      </c>
      <c r="J442" s="12" t="s">
        <v>1646</v>
      </c>
      <c r="K442" s="591">
        <f>(29*33)+(1*24.4)</f>
        <v>981.4</v>
      </c>
      <c r="L442" s="7"/>
    </row>
    <row r="443" spans="1:12">
      <c r="A443" s="590" t="s">
        <v>1023</v>
      </c>
      <c r="B443" s="11" t="s">
        <v>9</v>
      </c>
      <c r="C443" s="11">
        <v>40</v>
      </c>
      <c r="D443" s="11" t="s">
        <v>16</v>
      </c>
      <c r="E443" s="15">
        <v>607</v>
      </c>
      <c r="F443" s="11" t="s">
        <v>393</v>
      </c>
      <c r="G443" s="11" t="s">
        <v>199</v>
      </c>
      <c r="H443" s="15" t="s">
        <v>15</v>
      </c>
      <c r="I443" s="15">
        <v>15</v>
      </c>
      <c r="J443" s="12" t="s">
        <v>127</v>
      </c>
      <c r="K443" s="591">
        <f>(14*34)+(1*25.4)</f>
        <v>501.4</v>
      </c>
      <c r="L443" s="7"/>
    </row>
    <row r="444" spans="1:12">
      <c r="A444" s="590" t="s">
        <v>1023</v>
      </c>
      <c r="B444" s="11" t="s">
        <v>9</v>
      </c>
      <c r="C444" s="11">
        <v>40</v>
      </c>
      <c r="D444" s="11" t="s">
        <v>16</v>
      </c>
      <c r="E444" s="15">
        <v>608</v>
      </c>
      <c r="F444" s="11" t="s">
        <v>1513</v>
      </c>
      <c r="G444" s="11" t="s">
        <v>199</v>
      </c>
      <c r="H444" s="15" t="s">
        <v>15</v>
      </c>
      <c r="I444" s="15">
        <v>15</v>
      </c>
      <c r="J444" s="12" t="s">
        <v>127</v>
      </c>
      <c r="K444" s="591">
        <f>(14*34)+(1*25.4)</f>
        <v>501.4</v>
      </c>
      <c r="L444" s="7"/>
    </row>
    <row r="445" spans="1:12">
      <c r="A445" s="590" t="s">
        <v>1023</v>
      </c>
      <c r="B445" s="11" t="s">
        <v>9</v>
      </c>
      <c r="C445" s="11">
        <v>40</v>
      </c>
      <c r="D445" s="11" t="s">
        <v>16</v>
      </c>
      <c r="E445" s="15">
        <v>625</v>
      </c>
      <c r="F445" s="11" t="s">
        <v>1393</v>
      </c>
      <c r="G445" s="11" t="s">
        <v>1744</v>
      </c>
      <c r="H445" s="15" t="s">
        <v>5</v>
      </c>
      <c r="I445" s="15">
        <v>20</v>
      </c>
      <c r="J445" s="12" t="s">
        <v>31</v>
      </c>
      <c r="K445" s="591">
        <f>(19*38)+(1*29.4)</f>
        <v>751.4</v>
      </c>
      <c r="L445" s="7"/>
    </row>
    <row r="446" spans="1:12">
      <c r="A446" s="590" t="s">
        <v>1164</v>
      </c>
      <c r="B446" s="11" t="s">
        <v>9</v>
      </c>
      <c r="C446" s="11">
        <v>40</v>
      </c>
      <c r="D446" s="11" t="s">
        <v>33</v>
      </c>
      <c r="E446" s="15">
        <v>73</v>
      </c>
      <c r="F446" s="11" t="s">
        <v>1426</v>
      </c>
      <c r="G446" s="11" t="s">
        <v>125</v>
      </c>
      <c r="H446" s="15" t="s">
        <v>15</v>
      </c>
      <c r="I446" s="15">
        <v>15</v>
      </c>
      <c r="J446" s="12" t="s">
        <v>13</v>
      </c>
      <c r="K446" s="591">
        <f>(14*35)+(1*26.4)</f>
        <v>516.4</v>
      </c>
      <c r="L446" s="7"/>
    </row>
    <row r="447" spans="1:12">
      <c r="A447" s="590" t="s">
        <v>1164</v>
      </c>
      <c r="B447" s="11" t="s">
        <v>9</v>
      </c>
      <c r="C447" s="11">
        <v>40</v>
      </c>
      <c r="D447" s="11" t="s">
        <v>10</v>
      </c>
      <c r="E447" s="15">
        <v>70</v>
      </c>
      <c r="F447" s="11" t="s">
        <v>762</v>
      </c>
      <c r="G447" s="11" t="s">
        <v>761</v>
      </c>
      <c r="H447" s="15" t="s">
        <v>5</v>
      </c>
      <c r="I447" s="15">
        <v>30</v>
      </c>
      <c r="J447" s="12" t="s">
        <v>25</v>
      </c>
      <c r="K447" s="591">
        <f>(29*38)+(1*29.4)</f>
        <v>1131.4000000000001</v>
      </c>
      <c r="L447" s="7"/>
    </row>
    <row r="448" spans="1:12">
      <c r="A448" s="590" t="s">
        <v>1164</v>
      </c>
      <c r="B448" s="11" t="s">
        <v>9</v>
      </c>
      <c r="C448" s="11">
        <v>40</v>
      </c>
      <c r="D448" s="11" t="s">
        <v>10</v>
      </c>
      <c r="E448" s="15">
        <v>72</v>
      </c>
      <c r="F448" s="11" t="s">
        <v>1745</v>
      </c>
      <c r="G448" s="11" t="s">
        <v>761</v>
      </c>
      <c r="H448" s="15" t="s">
        <v>5</v>
      </c>
      <c r="I448" s="15">
        <v>15</v>
      </c>
      <c r="J448" s="12" t="s">
        <v>14</v>
      </c>
      <c r="K448" s="591">
        <f>(14*38)+(1*29.4)</f>
        <v>561.4</v>
      </c>
      <c r="L448" s="7"/>
    </row>
    <row r="449" spans="1:12">
      <c r="A449" s="590" t="s">
        <v>1164</v>
      </c>
      <c r="B449" s="11" t="s">
        <v>9</v>
      </c>
      <c r="C449" s="11">
        <v>40</v>
      </c>
      <c r="D449" s="11" t="s">
        <v>10</v>
      </c>
      <c r="E449" s="15">
        <v>81</v>
      </c>
      <c r="F449" s="11" t="s">
        <v>211</v>
      </c>
      <c r="G449" s="11" t="s">
        <v>761</v>
      </c>
      <c r="H449" s="15" t="s">
        <v>143</v>
      </c>
      <c r="I449" s="15">
        <v>20</v>
      </c>
      <c r="J449" s="12" t="s">
        <v>31</v>
      </c>
      <c r="K449" s="591">
        <f>(19*38)+(1*29.4)</f>
        <v>751.4</v>
      </c>
      <c r="L449" s="7"/>
    </row>
    <row r="450" spans="1:12">
      <c r="A450" s="590" t="s">
        <v>1164</v>
      </c>
      <c r="B450" s="11" t="s">
        <v>9</v>
      </c>
      <c r="C450" s="11">
        <v>40</v>
      </c>
      <c r="D450" s="11" t="s">
        <v>10</v>
      </c>
      <c r="E450" s="15">
        <v>84</v>
      </c>
      <c r="F450" s="11" t="s">
        <v>1559</v>
      </c>
      <c r="G450" s="11" t="s">
        <v>761</v>
      </c>
      <c r="H450" s="15" t="s">
        <v>143</v>
      </c>
      <c r="I450" s="15">
        <v>20</v>
      </c>
      <c r="J450" s="12" t="s">
        <v>31</v>
      </c>
      <c r="K450" s="591">
        <f>(19*38)+(1*29.4)</f>
        <v>751.4</v>
      </c>
      <c r="L450" s="7"/>
    </row>
    <row r="451" spans="1:12">
      <c r="A451" s="590" t="s">
        <v>1164</v>
      </c>
      <c r="B451" s="11" t="s">
        <v>9</v>
      </c>
      <c r="C451" s="11">
        <v>40</v>
      </c>
      <c r="D451" s="11" t="s">
        <v>10</v>
      </c>
      <c r="E451" s="15">
        <v>98</v>
      </c>
      <c r="F451" s="11" t="s">
        <v>1466</v>
      </c>
      <c r="G451" s="11" t="s">
        <v>39</v>
      </c>
      <c r="H451" s="15" t="s">
        <v>15</v>
      </c>
      <c r="I451" s="15">
        <v>15</v>
      </c>
      <c r="J451" s="12" t="s">
        <v>13</v>
      </c>
      <c r="K451" s="591">
        <f>(14*35)+(1*26.4)</f>
        <v>516.4</v>
      </c>
      <c r="L451" s="7"/>
    </row>
    <row r="452" spans="1:12">
      <c r="A452" s="590" t="s">
        <v>1164</v>
      </c>
      <c r="B452" s="11" t="s">
        <v>9</v>
      </c>
      <c r="C452" s="11">
        <v>40</v>
      </c>
      <c r="D452" s="11" t="s">
        <v>10</v>
      </c>
      <c r="E452" s="15">
        <v>101</v>
      </c>
      <c r="F452" s="11" t="s">
        <v>1382</v>
      </c>
      <c r="G452" s="11" t="s">
        <v>39</v>
      </c>
      <c r="H452" s="15" t="s">
        <v>15</v>
      </c>
      <c r="I452" s="15">
        <v>15</v>
      </c>
      <c r="J452" s="12" t="s">
        <v>13</v>
      </c>
      <c r="K452" s="591">
        <f>(14*35)+(1*26.4)</f>
        <v>516.4</v>
      </c>
      <c r="L452" s="7"/>
    </row>
    <row r="453" spans="1:12">
      <c r="A453" s="590" t="s">
        <v>1164</v>
      </c>
      <c r="B453" s="11" t="s">
        <v>9</v>
      </c>
      <c r="C453" s="11">
        <v>40</v>
      </c>
      <c r="D453" s="11" t="s">
        <v>10</v>
      </c>
      <c r="E453" s="15">
        <v>105</v>
      </c>
      <c r="F453" s="11" t="s">
        <v>1466</v>
      </c>
      <c r="G453" s="11" t="s">
        <v>39</v>
      </c>
      <c r="H453" s="15" t="s">
        <v>143</v>
      </c>
      <c r="I453" s="15">
        <v>20</v>
      </c>
      <c r="J453" s="12" t="s">
        <v>17</v>
      </c>
      <c r="K453" s="591">
        <f>(19*35)+(1*26.4)</f>
        <v>691.4</v>
      </c>
      <c r="L453" s="7"/>
    </row>
    <row r="454" spans="1:12">
      <c r="A454" s="590" t="s">
        <v>1164</v>
      </c>
      <c r="B454" s="11" t="s">
        <v>9</v>
      </c>
      <c r="C454" s="11">
        <v>40</v>
      </c>
      <c r="D454" s="11" t="s">
        <v>10</v>
      </c>
      <c r="E454" s="15">
        <v>115</v>
      </c>
      <c r="F454" s="11" t="s">
        <v>1746</v>
      </c>
      <c r="G454" s="11" t="s">
        <v>28</v>
      </c>
      <c r="H454" s="15" t="s">
        <v>5</v>
      </c>
      <c r="I454" s="15">
        <v>15</v>
      </c>
      <c r="J454" s="12" t="s">
        <v>14</v>
      </c>
      <c r="K454" s="591">
        <f>(14*38)+(1*29.4)</f>
        <v>561.4</v>
      </c>
      <c r="L454" s="7"/>
    </row>
    <row r="455" spans="1:12">
      <c r="A455" s="590" t="s">
        <v>1164</v>
      </c>
      <c r="B455" s="11" t="s">
        <v>9</v>
      </c>
      <c r="C455" s="11">
        <v>40</v>
      </c>
      <c r="D455" s="11" t="s">
        <v>10</v>
      </c>
      <c r="E455" s="15">
        <v>116</v>
      </c>
      <c r="F455" s="11" t="s">
        <v>177</v>
      </c>
      <c r="G455" s="11" t="s">
        <v>28</v>
      </c>
      <c r="H455" s="15" t="s">
        <v>5</v>
      </c>
      <c r="I455" s="15">
        <v>15</v>
      </c>
      <c r="J455" s="12" t="s">
        <v>97</v>
      </c>
      <c r="K455" s="591">
        <f>(15*38)</f>
        <v>570</v>
      </c>
      <c r="L455" s="7"/>
    </row>
    <row r="456" spans="1:12">
      <c r="A456" s="590" t="s">
        <v>1164</v>
      </c>
      <c r="B456" s="11" t="s">
        <v>9</v>
      </c>
      <c r="C456" s="11">
        <v>40</v>
      </c>
      <c r="D456" s="11" t="s">
        <v>10</v>
      </c>
      <c r="E456" s="15">
        <v>201</v>
      </c>
      <c r="F456" s="11" t="s">
        <v>773</v>
      </c>
      <c r="G456" s="11" t="s">
        <v>40</v>
      </c>
      <c r="H456" s="15" t="s">
        <v>143</v>
      </c>
      <c r="I456" s="15">
        <v>20</v>
      </c>
      <c r="J456" s="12" t="s">
        <v>31</v>
      </c>
      <c r="K456" s="591">
        <f>(19*38)+(1*29.4)</f>
        <v>751.4</v>
      </c>
      <c r="L456" s="7"/>
    </row>
    <row r="457" spans="1:12">
      <c r="A457" s="590" t="s">
        <v>1164</v>
      </c>
      <c r="B457" s="11" t="s">
        <v>9</v>
      </c>
      <c r="C457" s="11">
        <v>40</v>
      </c>
      <c r="D457" s="11" t="s">
        <v>10</v>
      </c>
      <c r="E457" s="15">
        <v>254</v>
      </c>
      <c r="F457" s="11" t="s">
        <v>560</v>
      </c>
      <c r="G457" s="11" t="s">
        <v>747</v>
      </c>
      <c r="H457" s="15" t="s">
        <v>5</v>
      </c>
      <c r="I457" s="15">
        <v>20</v>
      </c>
      <c r="J457" s="12" t="s">
        <v>31</v>
      </c>
      <c r="K457" s="591">
        <f>(19*38)+(1*29.4)</f>
        <v>751.4</v>
      </c>
      <c r="L457" s="7"/>
    </row>
    <row r="458" spans="1:12">
      <c r="A458" s="590" t="s">
        <v>1164</v>
      </c>
      <c r="B458" s="11" t="s">
        <v>9</v>
      </c>
      <c r="C458" s="11">
        <v>40</v>
      </c>
      <c r="D458" s="11" t="s">
        <v>10</v>
      </c>
      <c r="E458" s="15">
        <v>280</v>
      </c>
      <c r="F458" s="11" t="s">
        <v>518</v>
      </c>
      <c r="G458" s="11" t="s">
        <v>106</v>
      </c>
      <c r="H458" s="15" t="s">
        <v>5</v>
      </c>
      <c r="I458" s="15">
        <v>20</v>
      </c>
      <c r="J458" s="12" t="s">
        <v>142</v>
      </c>
      <c r="K458" s="591">
        <f>(20*35)</f>
        <v>700</v>
      </c>
      <c r="L458" s="7"/>
    </row>
    <row r="459" spans="1:12">
      <c r="A459" s="590" t="s">
        <v>1164</v>
      </c>
      <c r="B459" s="11" t="s">
        <v>9</v>
      </c>
      <c r="C459" s="11">
        <v>40</v>
      </c>
      <c r="D459" s="11" t="s">
        <v>10</v>
      </c>
      <c r="E459" s="15">
        <v>370</v>
      </c>
      <c r="F459" s="11" t="s">
        <v>409</v>
      </c>
      <c r="G459" s="11" t="s">
        <v>145</v>
      </c>
      <c r="H459" s="15" t="s">
        <v>15</v>
      </c>
      <c r="I459" s="15">
        <v>20</v>
      </c>
      <c r="J459" s="12" t="s">
        <v>17</v>
      </c>
      <c r="K459" s="591">
        <f>(19*35)+(1*26.4)</f>
        <v>691.4</v>
      </c>
      <c r="L459" s="7"/>
    </row>
    <row r="460" spans="1:12" ht="15.75" thickBot="1">
      <c r="A460" s="592" t="s">
        <v>1164</v>
      </c>
      <c r="B460" s="593" t="s">
        <v>9</v>
      </c>
      <c r="C460" s="593">
        <v>40</v>
      </c>
      <c r="D460" s="593" t="s">
        <v>10</v>
      </c>
      <c r="E460" s="594">
        <v>396</v>
      </c>
      <c r="F460" s="593" t="s">
        <v>67</v>
      </c>
      <c r="G460" s="593" t="s">
        <v>99</v>
      </c>
      <c r="H460" s="594" t="s">
        <v>15</v>
      </c>
      <c r="I460" s="594">
        <v>15</v>
      </c>
      <c r="J460" s="595" t="s">
        <v>37</v>
      </c>
      <c r="K460" s="596">
        <f>(14*26)+(1*17.4)</f>
        <v>381.4</v>
      </c>
      <c r="L460" s="7"/>
    </row>
    <row r="461" spans="1:12">
      <c r="A461" s="611" t="s">
        <v>1164</v>
      </c>
      <c r="B461" s="612" t="s">
        <v>9</v>
      </c>
      <c r="C461" s="612">
        <v>40</v>
      </c>
      <c r="D461" s="612" t="s">
        <v>10</v>
      </c>
      <c r="E461" s="61">
        <v>458</v>
      </c>
      <c r="F461" s="612" t="s">
        <v>780</v>
      </c>
      <c r="G461" s="612" t="s">
        <v>724</v>
      </c>
      <c r="H461" s="61" t="s">
        <v>143</v>
      </c>
      <c r="I461" s="61">
        <v>15</v>
      </c>
      <c r="J461" s="613" t="s">
        <v>14</v>
      </c>
      <c r="K461" s="614">
        <f>(14*38)+(1*29.4)</f>
        <v>561.4</v>
      </c>
      <c r="L461" s="7"/>
    </row>
    <row r="462" spans="1:12">
      <c r="A462" s="590" t="s">
        <v>1164</v>
      </c>
      <c r="B462" s="11" t="s">
        <v>9</v>
      </c>
      <c r="C462" s="11">
        <v>40</v>
      </c>
      <c r="D462" s="11" t="s">
        <v>10</v>
      </c>
      <c r="E462" s="15">
        <v>492</v>
      </c>
      <c r="F462" s="11" t="s">
        <v>365</v>
      </c>
      <c r="G462" s="11" t="s">
        <v>190</v>
      </c>
      <c r="H462" s="15" t="s">
        <v>15</v>
      </c>
      <c r="I462" s="15">
        <v>25</v>
      </c>
      <c r="J462" s="12" t="s">
        <v>175</v>
      </c>
      <c r="K462" s="591">
        <f>(25*26)</f>
        <v>650</v>
      </c>
      <c r="L462" s="7"/>
    </row>
    <row r="463" spans="1:12">
      <c r="A463" s="590" t="s">
        <v>1164</v>
      </c>
      <c r="B463" s="11" t="s">
        <v>9</v>
      </c>
      <c r="C463" s="11">
        <v>40</v>
      </c>
      <c r="D463" s="11" t="s">
        <v>10</v>
      </c>
      <c r="E463" s="15">
        <v>834</v>
      </c>
      <c r="F463" s="11" t="s">
        <v>420</v>
      </c>
      <c r="G463" s="11" t="s">
        <v>1348</v>
      </c>
      <c r="H463" s="15" t="s">
        <v>5</v>
      </c>
      <c r="I463" s="15">
        <v>15</v>
      </c>
      <c r="J463" s="12" t="s">
        <v>159</v>
      </c>
      <c r="K463" s="591">
        <f>(15*35)</f>
        <v>525</v>
      </c>
      <c r="L463" s="7"/>
    </row>
    <row r="464" spans="1:12">
      <c r="A464" s="590" t="s">
        <v>1164</v>
      </c>
      <c r="B464" s="11" t="s">
        <v>9</v>
      </c>
      <c r="C464" s="11">
        <v>40</v>
      </c>
      <c r="D464" s="11" t="s">
        <v>10</v>
      </c>
      <c r="E464" s="15">
        <v>941</v>
      </c>
      <c r="F464" s="11" t="s">
        <v>1463</v>
      </c>
      <c r="G464" s="11" t="s">
        <v>676</v>
      </c>
      <c r="H464" s="15" t="s">
        <v>15</v>
      </c>
      <c r="I464" s="15">
        <v>20</v>
      </c>
      <c r="J464" s="12" t="s">
        <v>34</v>
      </c>
      <c r="K464" s="591">
        <f>(19*26)+(1*17.4)</f>
        <v>511.4</v>
      </c>
      <c r="L464" s="7"/>
    </row>
    <row r="465" spans="1:12">
      <c r="A465" s="590" t="s">
        <v>1164</v>
      </c>
      <c r="B465" s="11" t="s">
        <v>9</v>
      </c>
      <c r="C465" s="11">
        <v>40</v>
      </c>
      <c r="D465" s="11" t="s">
        <v>10</v>
      </c>
      <c r="E465" s="15">
        <v>996</v>
      </c>
      <c r="F465" s="11" t="s">
        <v>1747</v>
      </c>
      <c r="G465" s="11" t="s">
        <v>1456</v>
      </c>
      <c r="H465" s="15" t="s">
        <v>5</v>
      </c>
      <c r="I465" s="15">
        <v>25</v>
      </c>
      <c r="J465" s="12" t="s">
        <v>608</v>
      </c>
      <c r="K465" s="591">
        <f>(24*38)+(1*29.4)</f>
        <v>941.4</v>
      </c>
      <c r="L465" s="7"/>
    </row>
    <row r="466" spans="1:12">
      <c r="A466" s="590" t="s">
        <v>1164</v>
      </c>
      <c r="B466" s="11" t="s">
        <v>9</v>
      </c>
      <c r="C466" s="11">
        <v>40</v>
      </c>
      <c r="D466" s="11" t="s">
        <v>10</v>
      </c>
      <c r="E466" s="15">
        <v>998</v>
      </c>
      <c r="F466" s="11" t="s">
        <v>1748</v>
      </c>
      <c r="G466" s="11" t="s">
        <v>1456</v>
      </c>
      <c r="H466" s="15" t="s">
        <v>143</v>
      </c>
      <c r="I466" s="15">
        <v>22</v>
      </c>
      <c r="J466" s="12" t="s">
        <v>1749</v>
      </c>
      <c r="K466" s="591">
        <f>(21*38)+(1*29.4)</f>
        <v>827.4</v>
      </c>
      <c r="L466" s="7"/>
    </row>
    <row r="467" spans="1:12">
      <c r="A467" s="590" t="s">
        <v>1164</v>
      </c>
      <c r="B467" s="11" t="s">
        <v>9</v>
      </c>
      <c r="C467" s="11">
        <v>40</v>
      </c>
      <c r="D467" s="11" t="s">
        <v>10</v>
      </c>
      <c r="E467" s="15">
        <v>999</v>
      </c>
      <c r="F467" s="11" t="s">
        <v>1750</v>
      </c>
      <c r="G467" s="11" t="s">
        <v>1456</v>
      </c>
      <c r="H467" s="15" t="s">
        <v>15</v>
      </c>
      <c r="I467" s="15">
        <v>25</v>
      </c>
      <c r="J467" s="12" t="s">
        <v>608</v>
      </c>
      <c r="K467" s="591">
        <f>(24*38)+(1*29.4)</f>
        <v>941.4</v>
      </c>
      <c r="L467" s="7"/>
    </row>
    <row r="468" spans="1:12">
      <c r="A468" s="590" t="s">
        <v>1164</v>
      </c>
      <c r="B468" s="11" t="s">
        <v>9</v>
      </c>
      <c r="C468" s="11">
        <v>40</v>
      </c>
      <c r="D468" s="11" t="s">
        <v>10</v>
      </c>
      <c r="E468" s="15">
        <v>1001</v>
      </c>
      <c r="F468" s="11" t="s">
        <v>1751</v>
      </c>
      <c r="G468" s="11" t="s">
        <v>1456</v>
      </c>
      <c r="H468" s="15" t="s">
        <v>15</v>
      </c>
      <c r="I468" s="15">
        <v>15</v>
      </c>
      <c r="J468" s="12" t="s">
        <v>744</v>
      </c>
      <c r="K468" s="591">
        <f>(15*29)</f>
        <v>435</v>
      </c>
      <c r="L468" s="7"/>
    </row>
    <row r="469" spans="1:12">
      <c r="A469" s="590" t="s">
        <v>1164</v>
      </c>
      <c r="B469" s="11" t="s">
        <v>9</v>
      </c>
      <c r="C469" s="11">
        <v>40</v>
      </c>
      <c r="D469" s="11" t="s">
        <v>384</v>
      </c>
      <c r="E469" s="15">
        <v>30</v>
      </c>
      <c r="F469" s="11" t="s">
        <v>1752</v>
      </c>
      <c r="G469" s="11" t="s">
        <v>648</v>
      </c>
      <c r="H469" s="15" t="s">
        <v>5</v>
      </c>
      <c r="I469" s="15">
        <v>30</v>
      </c>
      <c r="J469" s="12" t="s">
        <v>25</v>
      </c>
      <c r="K469" s="591">
        <f>(29*38)+(1*29.4)</f>
        <v>1131.4000000000001</v>
      </c>
      <c r="L469" s="7"/>
    </row>
    <row r="470" spans="1:12">
      <c r="A470" s="590" t="s">
        <v>1164</v>
      </c>
      <c r="B470" s="11" t="s">
        <v>9</v>
      </c>
      <c r="C470" s="11">
        <v>40</v>
      </c>
      <c r="D470" s="11" t="s">
        <v>384</v>
      </c>
      <c r="E470" s="15">
        <v>31</v>
      </c>
      <c r="F470" s="11" t="s">
        <v>201</v>
      </c>
      <c r="G470" s="11" t="s">
        <v>648</v>
      </c>
      <c r="H470" s="15" t="s">
        <v>5</v>
      </c>
      <c r="I470" s="15">
        <v>15</v>
      </c>
      <c r="J470" s="12" t="s">
        <v>97</v>
      </c>
      <c r="K470" s="591">
        <f>(15*38)</f>
        <v>570</v>
      </c>
      <c r="L470" s="7"/>
    </row>
    <row r="471" spans="1:12">
      <c r="A471" s="590" t="s">
        <v>1164</v>
      </c>
      <c r="B471" s="11" t="s">
        <v>9</v>
      </c>
      <c r="C471" s="11">
        <v>40</v>
      </c>
      <c r="D471" s="11" t="s">
        <v>384</v>
      </c>
      <c r="E471" s="15">
        <v>32</v>
      </c>
      <c r="F471" s="11" t="s">
        <v>1753</v>
      </c>
      <c r="G471" s="11" t="s">
        <v>648</v>
      </c>
      <c r="H471" s="15" t="s">
        <v>5</v>
      </c>
      <c r="I471" s="15">
        <v>15</v>
      </c>
      <c r="J471" s="12" t="s">
        <v>14</v>
      </c>
      <c r="K471" s="591">
        <f>(14*38)+(1*29.4)</f>
        <v>561.4</v>
      </c>
      <c r="L471" s="7"/>
    </row>
    <row r="472" spans="1:12">
      <c r="A472" s="590" t="s">
        <v>1164</v>
      </c>
      <c r="B472" s="11" t="s">
        <v>9</v>
      </c>
      <c r="C472" s="11">
        <v>40</v>
      </c>
      <c r="D472" s="11" t="s">
        <v>384</v>
      </c>
      <c r="E472" s="15">
        <v>33</v>
      </c>
      <c r="F472" s="11" t="s">
        <v>1439</v>
      </c>
      <c r="G472" s="11" t="s">
        <v>648</v>
      </c>
      <c r="H472" s="15" t="s">
        <v>5</v>
      </c>
      <c r="I472" s="15">
        <v>15</v>
      </c>
      <c r="J472" s="12" t="s">
        <v>97</v>
      </c>
      <c r="K472" s="591">
        <f>(15*38)</f>
        <v>570</v>
      </c>
      <c r="L472" s="7"/>
    </row>
    <row r="473" spans="1:12">
      <c r="A473" s="590" t="s">
        <v>1164</v>
      </c>
      <c r="B473" s="11" t="s">
        <v>9</v>
      </c>
      <c r="C473" s="11">
        <v>40</v>
      </c>
      <c r="D473" s="11" t="s">
        <v>384</v>
      </c>
      <c r="E473" s="15">
        <v>34</v>
      </c>
      <c r="F473" s="11" t="s">
        <v>1754</v>
      </c>
      <c r="G473" s="11" t="s">
        <v>648</v>
      </c>
      <c r="H473" s="15" t="s">
        <v>5</v>
      </c>
      <c r="I473" s="15">
        <v>15</v>
      </c>
      <c r="J473" s="12" t="s">
        <v>14</v>
      </c>
      <c r="K473" s="591">
        <f>(14*38)+(1*29.4)</f>
        <v>561.4</v>
      </c>
      <c r="L473" s="7"/>
    </row>
    <row r="474" spans="1:12">
      <c r="A474" s="590" t="s">
        <v>1164</v>
      </c>
      <c r="B474" s="11" t="s">
        <v>9</v>
      </c>
      <c r="C474" s="11">
        <v>40</v>
      </c>
      <c r="D474" s="11" t="s">
        <v>384</v>
      </c>
      <c r="E474" s="15">
        <v>40</v>
      </c>
      <c r="F474" s="11" t="s">
        <v>554</v>
      </c>
      <c r="G474" s="11" t="s">
        <v>648</v>
      </c>
      <c r="H474" s="15" t="s">
        <v>15</v>
      </c>
      <c r="I474" s="15">
        <v>15</v>
      </c>
      <c r="J474" s="12" t="s">
        <v>14</v>
      </c>
      <c r="K474" s="591">
        <f>(14*38)+(1*29.4)</f>
        <v>561.4</v>
      </c>
      <c r="L474" s="7"/>
    </row>
    <row r="475" spans="1:12">
      <c r="A475" s="590" t="s">
        <v>1164</v>
      </c>
      <c r="B475" s="11" t="s">
        <v>9</v>
      </c>
      <c r="C475" s="11">
        <v>40</v>
      </c>
      <c r="D475" s="11" t="s">
        <v>384</v>
      </c>
      <c r="E475" s="15">
        <v>41</v>
      </c>
      <c r="F475" s="11" t="s">
        <v>597</v>
      </c>
      <c r="G475" s="11" t="s">
        <v>648</v>
      </c>
      <c r="H475" s="15" t="s">
        <v>15</v>
      </c>
      <c r="I475" s="15">
        <v>15</v>
      </c>
      <c r="J475" s="12" t="s">
        <v>97</v>
      </c>
      <c r="K475" s="591">
        <f>(15*38)</f>
        <v>570</v>
      </c>
      <c r="L475" s="7"/>
    </row>
    <row r="476" spans="1:12">
      <c r="A476" s="590" t="s">
        <v>1166</v>
      </c>
      <c r="B476" s="11" t="s">
        <v>150</v>
      </c>
      <c r="C476" s="11">
        <v>49</v>
      </c>
      <c r="D476" s="11" t="s">
        <v>7</v>
      </c>
      <c r="E476" s="15">
        <v>634</v>
      </c>
      <c r="F476" s="11" t="s">
        <v>1524</v>
      </c>
      <c r="G476" s="11" t="s">
        <v>523</v>
      </c>
      <c r="H476" s="15" t="s">
        <v>15</v>
      </c>
      <c r="I476" s="15">
        <v>15</v>
      </c>
      <c r="J476" s="12" t="s">
        <v>1755</v>
      </c>
      <c r="K476" s="591">
        <f>(11*36)+(4*28.3)</f>
        <v>509.2</v>
      </c>
      <c r="L476" s="7"/>
    </row>
    <row r="477" spans="1:12">
      <c r="A477" s="590" t="s">
        <v>1166</v>
      </c>
      <c r="B477" s="11" t="s">
        <v>150</v>
      </c>
      <c r="C477" s="11">
        <v>49</v>
      </c>
      <c r="D477" s="11" t="s">
        <v>7</v>
      </c>
      <c r="E477" s="15">
        <v>783</v>
      </c>
      <c r="F477" s="11" t="s">
        <v>1756</v>
      </c>
      <c r="G477" s="11" t="s">
        <v>1757</v>
      </c>
      <c r="H477" s="15" t="s">
        <v>15</v>
      </c>
      <c r="I477" s="15">
        <v>15</v>
      </c>
      <c r="J477" s="12" t="s">
        <v>1758</v>
      </c>
      <c r="K477" s="591">
        <f>(15*25)</f>
        <v>375</v>
      </c>
      <c r="L477" s="7"/>
    </row>
    <row r="478" spans="1:12">
      <c r="A478" s="590" t="s">
        <v>1166</v>
      </c>
      <c r="B478" s="11" t="s">
        <v>150</v>
      </c>
      <c r="C478" s="11">
        <v>49</v>
      </c>
      <c r="D478" s="11" t="s">
        <v>7</v>
      </c>
      <c r="E478" s="15">
        <v>784</v>
      </c>
      <c r="F478" s="11" t="s">
        <v>787</v>
      </c>
      <c r="G478" s="11" t="s">
        <v>1757</v>
      </c>
      <c r="H478" s="15" t="s">
        <v>15</v>
      </c>
      <c r="I478" s="15">
        <v>15</v>
      </c>
      <c r="J478" s="12" t="s">
        <v>1758</v>
      </c>
      <c r="K478" s="591">
        <f t="shared" ref="K478:K479" si="15">(15*25)</f>
        <v>375</v>
      </c>
      <c r="L478" s="7"/>
    </row>
    <row r="479" spans="1:12">
      <c r="A479" s="590" t="s">
        <v>1166</v>
      </c>
      <c r="B479" s="11" t="s">
        <v>150</v>
      </c>
      <c r="C479" s="11">
        <v>49</v>
      </c>
      <c r="D479" s="11" t="s">
        <v>7</v>
      </c>
      <c r="E479" s="15">
        <v>785</v>
      </c>
      <c r="F479" s="11" t="s">
        <v>1759</v>
      </c>
      <c r="G479" s="11" t="s">
        <v>1757</v>
      </c>
      <c r="H479" s="15" t="s">
        <v>15</v>
      </c>
      <c r="I479" s="15">
        <v>15</v>
      </c>
      <c r="J479" s="12" t="s">
        <v>1758</v>
      </c>
      <c r="K479" s="591">
        <f t="shared" si="15"/>
        <v>375</v>
      </c>
      <c r="L479" s="7"/>
    </row>
    <row r="480" spans="1:12">
      <c r="A480" s="590" t="s">
        <v>1166</v>
      </c>
      <c r="B480" s="11" t="s">
        <v>150</v>
      </c>
      <c r="C480" s="11">
        <v>49</v>
      </c>
      <c r="D480" s="11" t="s">
        <v>7</v>
      </c>
      <c r="E480" s="15">
        <v>786</v>
      </c>
      <c r="F480" s="11" t="s">
        <v>1760</v>
      </c>
      <c r="G480" s="11" t="s">
        <v>1757</v>
      </c>
      <c r="H480" s="15" t="s">
        <v>15</v>
      </c>
      <c r="I480" s="15">
        <v>15</v>
      </c>
      <c r="J480" s="12" t="s">
        <v>1761</v>
      </c>
      <c r="K480" s="591">
        <f>(12*25)+(3*17.3)</f>
        <v>351.9</v>
      </c>
      <c r="L480" s="7"/>
    </row>
    <row r="481" spans="1:12">
      <c r="A481" s="590" t="s">
        <v>1166</v>
      </c>
      <c r="B481" s="11" t="s">
        <v>150</v>
      </c>
      <c r="C481" s="11">
        <v>49</v>
      </c>
      <c r="D481" s="11" t="s">
        <v>7</v>
      </c>
      <c r="E481" s="15">
        <v>945</v>
      </c>
      <c r="F481" s="11" t="s">
        <v>352</v>
      </c>
      <c r="G481" s="11" t="s">
        <v>709</v>
      </c>
      <c r="H481" s="15" t="s">
        <v>15</v>
      </c>
      <c r="I481" s="15">
        <v>30</v>
      </c>
      <c r="J481" s="12" t="s">
        <v>1762</v>
      </c>
      <c r="K481" s="591">
        <f>(29*25)+(1*17.3)</f>
        <v>742.3</v>
      </c>
      <c r="L481" s="7"/>
    </row>
    <row r="482" spans="1:12">
      <c r="A482" s="590" t="s">
        <v>1166</v>
      </c>
      <c r="B482" s="11" t="s">
        <v>150</v>
      </c>
      <c r="C482" s="11">
        <v>49</v>
      </c>
      <c r="D482" s="11" t="s">
        <v>7</v>
      </c>
      <c r="E482" s="15">
        <v>1472</v>
      </c>
      <c r="F482" s="11" t="s">
        <v>134</v>
      </c>
      <c r="G482" s="11" t="s">
        <v>480</v>
      </c>
      <c r="H482" s="15" t="s">
        <v>5</v>
      </c>
      <c r="I482" s="15">
        <v>15</v>
      </c>
      <c r="J482" s="12" t="s">
        <v>691</v>
      </c>
      <c r="K482" s="591">
        <f>(14*32)+(1*24.3)</f>
        <v>472.3</v>
      </c>
      <c r="L482" s="7"/>
    </row>
    <row r="483" spans="1:12">
      <c r="A483" s="590" t="s">
        <v>1166</v>
      </c>
      <c r="B483" s="11" t="s">
        <v>150</v>
      </c>
      <c r="C483" s="11">
        <v>49</v>
      </c>
      <c r="D483" s="11" t="s">
        <v>7</v>
      </c>
      <c r="E483" s="15">
        <v>1797</v>
      </c>
      <c r="F483" s="11" t="s">
        <v>1465</v>
      </c>
      <c r="G483" s="11" t="s">
        <v>356</v>
      </c>
      <c r="H483" s="15" t="s">
        <v>15</v>
      </c>
      <c r="I483" s="15">
        <v>30</v>
      </c>
      <c r="J483" s="12" t="s">
        <v>661</v>
      </c>
      <c r="K483" s="591">
        <f>(29*35)+(1*27.3)</f>
        <v>1042.3</v>
      </c>
      <c r="L483" s="7"/>
    </row>
    <row r="484" spans="1:12">
      <c r="A484" s="590" t="s">
        <v>1166</v>
      </c>
      <c r="B484" s="11" t="s">
        <v>150</v>
      </c>
      <c r="C484" s="11">
        <v>49</v>
      </c>
      <c r="D484" s="11" t="s">
        <v>7</v>
      </c>
      <c r="E484" s="15">
        <v>1798</v>
      </c>
      <c r="F484" s="11" t="s">
        <v>558</v>
      </c>
      <c r="G484" s="11" t="s">
        <v>356</v>
      </c>
      <c r="H484" s="15" t="s">
        <v>15</v>
      </c>
      <c r="I484" s="15">
        <v>30</v>
      </c>
      <c r="J484" s="12" t="s">
        <v>661</v>
      </c>
      <c r="K484" s="591">
        <f>(29*35)+(1*27.3)</f>
        <v>1042.3</v>
      </c>
      <c r="L484" s="7"/>
    </row>
    <row r="485" spans="1:12">
      <c r="A485" s="590" t="s">
        <v>1166</v>
      </c>
      <c r="B485" s="11" t="s">
        <v>150</v>
      </c>
      <c r="C485" s="11">
        <v>49</v>
      </c>
      <c r="D485" s="11" t="s">
        <v>51</v>
      </c>
      <c r="E485" s="15">
        <v>25</v>
      </c>
      <c r="F485" s="11" t="s">
        <v>1763</v>
      </c>
      <c r="G485" s="11" t="s">
        <v>1632</v>
      </c>
      <c r="H485" s="15" t="s">
        <v>5</v>
      </c>
      <c r="I485" s="15">
        <v>20</v>
      </c>
      <c r="J485" s="12" t="s">
        <v>1764</v>
      </c>
      <c r="K485" s="591">
        <f>(16*25)+(4*20.7)</f>
        <v>482.8</v>
      </c>
      <c r="L485" s="7"/>
    </row>
    <row r="486" spans="1:12">
      <c r="A486" s="590" t="s">
        <v>1166</v>
      </c>
      <c r="B486" s="11" t="s">
        <v>150</v>
      </c>
      <c r="C486" s="11">
        <v>49</v>
      </c>
      <c r="D486" s="11" t="s">
        <v>51</v>
      </c>
      <c r="E486" s="15">
        <v>32</v>
      </c>
      <c r="F486" s="11" t="s">
        <v>564</v>
      </c>
      <c r="G486" s="11" t="s">
        <v>1632</v>
      </c>
      <c r="H486" s="15" t="s">
        <v>15</v>
      </c>
      <c r="I486" s="15">
        <v>20</v>
      </c>
      <c r="J486" s="12" t="s">
        <v>1765</v>
      </c>
      <c r="K486" s="591">
        <f>(18*29)+(2*24.7)</f>
        <v>571.4</v>
      </c>
      <c r="L486" s="7"/>
    </row>
    <row r="487" spans="1:12">
      <c r="A487" s="590" t="s">
        <v>1166</v>
      </c>
      <c r="B487" s="11" t="s">
        <v>150</v>
      </c>
      <c r="C487" s="11">
        <v>49</v>
      </c>
      <c r="D487" s="11" t="s">
        <v>51</v>
      </c>
      <c r="E487" s="15">
        <v>55</v>
      </c>
      <c r="F487" s="11" t="s">
        <v>400</v>
      </c>
      <c r="G487" s="11" t="s">
        <v>367</v>
      </c>
      <c r="H487" s="15" t="s">
        <v>15</v>
      </c>
      <c r="I487" s="15">
        <v>20</v>
      </c>
      <c r="J487" s="12" t="s">
        <v>1514</v>
      </c>
      <c r="K487" s="591">
        <f>(19*28)+(1*23.7)</f>
        <v>555.70000000000005</v>
      </c>
      <c r="L487" s="7"/>
    </row>
    <row r="488" spans="1:12">
      <c r="A488" s="590" t="s">
        <v>1166</v>
      </c>
      <c r="B488" s="11" t="s">
        <v>150</v>
      </c>
      <c r="C488" s="11">
        <v>49</v>
      </c>
      <c r="D488" s="11" t="s">
        <v>51</v>
      </c>
      <c r="E488" s="15">
        <v>72</v>
      </c>
      <c r="F488" s="11" t="s">
        <v>1331</v>
      </c>
      <c r="G488" s="11" t="s">
        <v>1766</v>
      </c>
      <c r="H488" s="15" t="s">
        <v>15</v>
      </c>
      <c r="I488" s="15">
        <v>20</v>
      </c>
      <c r="J488" s="12" t="s">
        <v>708</v>
      </c>
      <c r="K488" s="591">
        <f>(18*38)+(2*33.7)</f>
        <v>751.4</v>
      </c>
      <c r="L488" s="7"/>
    </row>
    <row r="489" spans="1:12">
      <c r="A489" s="590" t="s">
        <v>1166</v>
      </c>
      <c r="B489" s="11" t="s">
        <v>150</v>
      </c>
      <c r="C489" s="11">
        <v>49</v>
      </c>
      <c r="D489" s="11" t="s">
        <v>51</v>
      </c>
      <c r="E489" s="15">
        <v>73</v>
      </c>
      <c r="F489" s="11" t="s">
        <v>1333</v>
      </c>
      <c r="G489" s="11" t="s">
        <v>1766</v>
      </c>
      <c r="H489" s="15" t="s">
        <v>15</v>
      </c>
      <c r="I489" s="15">
        <v>10</v>
      </c>
      <c r="J489" s="12" t="s">
        <v>1767</v>
      </c>
      <c r="K489" s="591">
        <f>(8*38)+(2*33.7)</f>
        <v>371.4</v>
      </c>
      <c r="L489" s="7"/>
    </row>
    <row r="490" spans="1:12">
      <c r="A490" s="590" t="s">
        <v>1166</v>
      </c>
      <c r="B490" s="11" t="s">
        <v>150</v>
      </c>
      <c r="C490" s="11">
        <v>49</v>
      </c>
      <c r="D490" s="11" t="s">
        <v>51</v>
      </c>
      <c r="E490" s="15">
        <v>106</v>
      </c>
      <c r="F490" s="11" t="s">
        <v>1337</v>
      </c>
      <c r="G490" s="11" t="s">
        <v>1766</v>
      </c>
      <c r="H490" s="15" t="s">
        <v>15</v>
      </c>
      <c r="I490" s="15">
        <v>20</v>
      </c>
      <c r="J490" s="12" t="s">
        <v>631</v>
      </c>
      <c r="K490" s="591">
        <f>(19*36)+(1*31.7)</f>
        <v>715.7</v>
      </c>
      <c r="L490" s="7"/>
    </row>
    <row r="491" spans="1:12">
      <c r="A491" s="590" t="s">
        <v>1166</v>
      </c>
      <c r="B491" s="11" t="s">
        <v>150</v>
      </c>
      <c r="C491" s="11">
        <v>49</v>
      </c>
      <c r="D491" s="11" t="s">
        <v>51</v>
      </c>
      <c r="E491" s="15">
        <v>133</v>
      </c>
      <c r="F491" s="11" t="s">
        <v>1442</v>
      </c>
      <c r="G491" s="11" t="s">
        <v>1768</v>
      </c>
      <c r="H491" s="15" t="s">
        <v>5</v>
      </c>
      <c r="I491" s="15">
        <v>15</v>
      </c>
      <c r="J491" s="12" t="s">
        <v>710</v>
      </c>
      <c r="K491" s="591">
        <f>(14*26)+(1*18.3)</f>
        <v>382.3</v>
      </c>
      <c r="L491" s="7"/>
    </row>
    <row r="492" spans="1:12">
      <c r="A492" s="590" t="s">
        <v>1166</v>
      </c>
      <c r="B492" s="11" t="s">
        <v>150</v>
      </c>
      <c r="C492" s="11">
        <v>49</v>
      </c>
      <c r="D492" s="11" t="s">
        <v>51</v>
      </c>
      <c r="E492" s="15">
        <v>137</v>
      </c>
      <c r="F492" s="11" t="s">
        <v>1528</v>
      </c>
      <c r="G492" s="11" t="s">
        <v>1768</v>
      </c>
      <c r="H492" s="15" t="s">
        <v>15</v>
      </c>
      <c r="I492" s="15">
        <v>15</v>
      </c>
      <c r="J492" s="12" t="s">
        <v>1769</v>
      </c>
      <c r="K492" s="591">
        <f>(12*28)+(3*20.3)</f>
        <v>396.9</v>
      </c>
      <c r="L492" s="7"/>
    </row>
    <row r="493" spans="1:12">
      <c r="A493" s="590" t="s">
        <v>1166</v>
      </c>
      <c r="B493" s="11" t="s">
        <v>150</v>
      </c>
      <c r="C493" s="11">
        <v>49</v>
      </c>
      <c r="D493" s="11" t="s">
        <v>51</v>
      </c>
      <c r="E493" s="15">
        <v>140</v>
      </c>
      <c r="F493" s="11" t="s">
        <v>593</v>
      </c>
      <c r="G493" s="11" t="s">
        <v>1768</v>
      </c>
      <c r="H493" s="15" t="s">
        <v>15</v>
      </c>
      <c r="I493" s="15">
        <v>15</v>
      </c>
      <c r="J493" s="12" t="s">
        <v>355</v>
      </c>
      <c r="K493" s="591">
        <f>(15*28)</f>
        <v>420</v>
      </c>
      <c r="L493" s="7"/>
    </row>
    <row r="494" spans="1:12">
      <c r="A494" s="590" t="s">
        <v>1166</v>
      </c>
      <c r="B494" s="11" t="s">
        <v>150</v>
      </c>
      <c r="C494" s="11">
        <v>49</v>
      </c>
      <c r="D494" s="11" t="s">
        <v>51</v>
      </c>
      <c r="E494" s="15">
        <v>159</v>
      </c>
      <c r="F494" s="11" t="s">
        <v>688</v>
      </c>
      <c r="G494" s="11" t="s">
        <v>658</v>
      </c>
      <c r="H494" s="15" t="s">
        <v>15</v>
      </c>
      <c r="I494" s="15">
        <v>15</v>
      </c>
      <c r="J494" s="12" t="s">
        <v>659</v>
      </c>
      <c r="K494" s="591">
        <f>(13*35)+(2*27.3)</f>
        <v>509.6</v>
      </c>
      <c r="L494" s="7"/>
    </row>
    <row r="495" spans="1:12">
      <c r="A495" s="590" t="s">
        <v>1166</v>
      </c>
      <c r="B495" s="11" t="s">
        <v>150</v>
      </c>
      <c r="C495" s="11">
        <v>49</v>
      </c>
      <c r="D495" s="11" t="s">
        <v>51</v>
      </c>
      <c r="E495" s="15">
        <v>160</v>
      </c>
      <c r="F495" s="11" t="s">
        <v>1454</v>
      </c>
      <c r="G495" s="11" t="s">
        <v>658</v>
      </c>
      <c r="H495" s="15" t="s">
        <v>15</v>
      </c>
      <c r="I495" s="15">
        <v>15</v>
      </c>
      <c r="J495" s="12" t="s">
        <v>659</v>
      </c>
      <c r="K495" s="591">
        <f>(13*35)+(2*27.3)</f>
        <v>509.6</v>
      </c>
      <c r="L495" s="7"/>
    </row>
    <row r="496" spans="1:12">
      <c r="A496" s="590" t="s">
        <v>1166</v>
      </c>
      <c r="B496" s="11" t="s">
        <v>150</v>
      </c>
      <c r="C496" s="11">
        <v>49</v>
      </c>
      <c r="D496" s="11" t="s">
        <v>51</v>
      </c>
      <c r="E496" s="15">
        <v>163</v>
      </c>
      <c r="F496" s="11" t="s">
        <v>751</v>
      </c>
      <c r="G496" s="11" t="s">
        <v>658</v>
      </c>
      <c r="H496" s="15" t="s">
        <v>15</v>
      </c>
      <c r="I496" s="15">
        <v>15</v>
      </c>
      <c r="J496" s="12" t="s">
        <v>641</v>
      </c>
      <c r="K496" s="591">
        <f>(14*35)+(1*27.3)</f>
        <v>517.29999999999995</v>
      </c>
      <c r="L496" s="7"/>
    </row>
    <row r="497" spans="1:12">
      <c r="A497" s="590" t="s">
        <v>1166</v>
      </c>
      <c r="B497" s="11" t="s">
        <v>150</v>
      </c>
      <c r="C497" s="11">
        <v>49</v>
      </c>
      <c r="D497" s="11" t="s">
        <v>51</v>
      </c>
      <c r="E497" s="15">
        <v>185</v>
      </c>
      <c r="F497" s="11" t="s">
        <v>536</v>
      </c>
      <c r="G497" s="11" t="s">
        <v>503</v>
      </c>
      <c r="H497" s="15" t="s">
        <v>15</v>
      </c>
      <c r="I497" s="15">
        <v>20</v>
      </c>
      <c r="J497" s="12" t="s">
        <v>642</v>
      </c>
      <c r="K497" s="591">
        <f>(19*35)+(1*30.7)</f>
        <v>695.7</v>
      </c>
      <c r="L497" s="7"/>
    </row>
    <row r="498" spans="1:12">
      <c r="A498" s="590" t="s">
        <v>1166</v>
      </c>
      <c r="B498" s="11" t="s">
        <v>150</v>
      </c>
      <c r="C498" s="11">
        <v>49</v>
      </c>
      <c r="D498" s="11" t="s">
        <v>51</v>
      </c>
      <c r="E498" s="15">
        <v>312</v>
      </c>
      <c r="F498" s="11" t="s">
        <v>1443</v>
      </c>
      <c r="G498" s="11" t="s">
        <v>1770</v>
      </c>
      <c r="H498" s="15" t="s">
        <v>15</v>
      </c>
      <c r="I498" s="15">
        <v>20</v>
      </c>
      <c r="J498" s="12" t="s">
        <v>1771</v>
      </c>
      <c r="K498" s="591">
        <f>(17*26)+(3*21.7)</f>
        <v>507.1</v>
      </c>
      <c r="L498" s="7"/>
    </row>
    <row r="499" spans="1:12" ht="15.75" thickBot="1">
      <c r="A499" s="592" t="s">
        <v>1166</v>
      </c>
      <c r="B499" s="593" t="s">
        <v>150</v>
      </c>
      <c r="C499" s="593">
        <v>49</v>
      </c>
      <c r="D499" s="593" t="s">
        <v>50</v>
      </c>
      <c r="E499" s="594">
        <v>45</v>
      </c>
      <c r="F499" s="593" t="s">
        <v>405</v>
      </c>
      <c r="G499" s="593" t="s">
        <v>1772</v>
      </c>
      <c r="H499" s="594" t="s">
        <v>5</v>
      </c>
      <c r="I499" s="594">
        <v>20</v>
      </c>
      <c r="J499" s="595" t="s">
        <v>431</v>
      </c>
      <c r="K499" s="596">
        <f>(20*30)</f>
        <v>600</v>
      </c>
      <c r="L499" s="7"/>
    </row>
    <row r="500" spans="1:12">
      <c r="A500" s="611" t="s">
        <v>1166</v>
      </c>
      <c r="B500" s="612" t="s">
        <v>150</v>
      </c>
      <c r="C500" s="612">
        <v>49</v>
      </c>
      <c r="D500" s="612" t="s">
        <v>50</v>
      </c>
      <c r="E500" s="61">
        <v>48</v>
      </c>
      <c r="F500" s="612" t="s">
        <v>511</v>
      </c>
      <c r="G500" s="612" t="s">
        <v>1772</v>
      </c>
      <c r="H500" s="61" t="s">
        <v>5</v>
      </c>
      <c r="I500" s="61">
        <v>15</v>
      </c>
      <c r="J500" s="613" t="s">
        <v>712</v>
      </c>
      <c r="K500" s="614">
        <f>(14*30)+(1*22.3)</f>
        <v>442.3</v>
      </c>
      <c r="L500" s="7"/>
    </row>
    <row r="501" spans="1:12">
      <c r="A501" s="590" t="s">
        <v>1166</v>
      </c>
      <c r="B501" s="11" t="s">
        <v>150</v>
      </c>
      <c r="C501" s="11">
        <v>49</v>
      </c>
      <c r="D501" s="11" t="s">
        <v>50</v>
      </c>
      <c r="E501" s="15">
        <v>93</v>
      </c>
      <c r="F501" s="11" t="s">
        <v>1387</v>
      </c>
      <c r="G501" s="11" t="s">
        <v>1773</v>
      </c>
      <c r="H501" s="15" t="s">
        <v>5</v>
      </c>
      <c r="I501" s="15">
        <v>25</v>
      </c>
      <c r="J501" s="12" t="s">
        <v>1774</v>
      </c>
      <c r="K501" s="591">
        <f>(23*36)+(2*28.3)</f>
        <v>884.6</v>
      </c>
      <c r="L501" s="7"/>
    </row>
    <row r="502" spans="1:12">
      <c r="A502" s="590" t="s">
        <v>1166</v>
      </c>
      <c r="B502" s="11" t="s">
        <v>150</v>
      </c>
      <c r="C502" s="11">
        <v>49</v>
      </c>
      <c r="D502" s="11" t="s">
        <v>50</v>
      </c>
      <c r="E502" s="15">
        <v>278</v>
      </c>
      <c r="F502" s="11" t="s">
        <v>1775</v>
      </c>
      <c r="G502" s="11" t="s">
        <v>1677</v>
      </c>
      <c r="H502" s="15" t="s">
        <v>15</v>
      </c>
      <c r="I502" s="15">
        <v>20</v>
      </c>
      <c r="J502" s="12" t="s">
        <v>633</v>
      </c>
      <c r="K502" s="591">
        <f>(19*34)+(1*29.7)</f>
        <v>675.7</v>
      </c>
      <c r="L502" s="7"/>
    </row>
    <row r="503" spans="1:12">
      <c r="A503" s="590" t="s">
        <v>1166</v>
      </c>
      <c r="B503" s="11" t="s">
        <v>150</v>
      </c>
      <c r="C503" s="11">
        <v>49</v>
      </c>
      <c r="D503" s="11" t="s">
        <v>50</v>
      </c>
      <c r="E503" s="15">
        <v>310</v>
      </c>
      <c r="F503" s="11" t="s">
        <v>632</v>
      </c>
      <c r="G503" s="11" t="s">
        <v>1776</v>
      </c>
      <c r="H503" s="15" t="s">
        <v>15</v>
      </c>
      <c r="I503" s="15">
        <v>25</v>
      </c>
      <c r="J503" s="12" t="s">
        <v>1388</v>
      </c>
      <c r="K503" s="591">
        <f>(25*36)</f>
        <v>900</v>
      </c>
      <c r="L503" s="7"/>
    </row>
    <row r="504" spans="1:12">
      <c r="A504" s="590" t="s">
        <v>1166</v>
      </c>
      <c r="B504" s="11" t="s">
        <v>150</v>
      </c>
      <c r="C504" s="11">
        <v>49</v>
      </c>
      <c r="D504" s="11" t="s">
        <v>50</v>
      </c>
      <c r="E504" s="15">
        <v>313</v>
      </c>
      <c r="F504" s="11" t="s">
        <v>131</v>
      </c>
      <c r="G504" s="11" t="s">
        <v>1777</v>
      </c>
      <c r="H504" s="15" t="s">
        <v>15</v>
      </c>
      <c r="I504" s="15">
        <v>15</v>
      </c>
      <c r="J504" s="12" t="s">
        <v>712</v>
      </c>
      <c r="K504" s="591">
        <f>(14*30)+(1*22.3)</f>
        <v>442.3</v>
      </c>
      <c r="L504" s="7"/>
    </row>
    <row r="505" spans="1:12">
      <c r="A505" s="590" t="s">
        <v>1166</v>
      </c>
      <c r="B505" s="11" t="s">
        <v>150</v>
      </c>
      <c r="C505" s="11">
        <v>49</v>
      </c>
      <c r="D505" s="11" t="s">
        <v>50</v>
      </c>
      <c r="E505" s="15">
        <v>314</v>
      </c>
      <c r="F505" s="11" t="s">
        <v>723</v>
      </c>
      <c r="G505" s="11" t="s">
        <v>1777</v>
      </c>
      <c r="H505" s="15" t="s">
        <v>15</v>
      </c>
      <c r="I505" s="15">
        <v>15</v>
      </c>
      <c r="J505" s="12" t="s">
        <v>712</v>
      </c>
      <c r="K505" s="591">
        <f>(14*30)+(1*22.3)</f>
        <v>442.3</v>
      </c>
      <c r="L505" s="7"/>
    </row>
    <row r="506" spans="1:12">
      <c r="A506" s="590" t="s">
        <v>1166</v>
      </c>
      <c r="B506" s="11" t="s">
        <v>150</v>
      </c>
      <c r="C506" s="11">
        <v>49</v>
      </c>
      <c r="D506" s="11" t="s">
        <v>50</v>
      </c>
      <c r="E506" s="15">
        <v>318</v>
      </c>
      <c r="F506" s="11" t="s">
        <v>746</v>
      </c>
      <c r="G506" s="11" t="s">
        <v>1777</v>
      </c>
      <c r="H506" s="15" t="s">
        <v>15</v>
      </c>
      <c r="I506" s="15">
        <v>15</v>
      </c>
      <c r="J506" s="12" t="s">
        <v>355</v>
      </c>
      <c r="K506" s="591">
        <f>(15*28)</f>
        <v>420</v>
      </c>
      <c r="L506" s="7"/>
    </row>
    <row r="507" spans="1:12">
      <c r="A507" s="590" t="s">
        <v>1030</v>
      </c>
      <c r="B507" s="11" t="s">
        <v>9</v>
      </c>
      <c r="C507" s="11">
        <v>45</v>
      </c>
      <c r="D507" s="11" t="s">
        <v>10</v>
      </c>
      <c r="E507" s="15">
        <v>164</v>
      </c>
      <c r="F507" s="11" t="s">
        <v>1536</v>
      </c>
      <c r="G507" s="11" t="s">
        <v>28</v>
      </c>
      <c r="H507" s="15" t="s">
        <v>15</v>
      </c>
      <c r="I507" s="15">
        <v>15</v>
      </c>
      <c r="J507" s="12" t="s">
        <v>97</v>
      </c>
      <c r="K507" s="591">
        <f>(15*38)</f>
        <v>570</v>
      </c>
      <c r="L507" s="7"/>
    </row>
    <row r="508" spans="1:12">
      <c r="A508" s="590" t="s">
        <v>1030</v>
      </c>
      <c r="B508" s="11" t="s">
        <v>9</v>
      </c>
      <c r="C508" s="11">
        <v>45</v>
      </c>
      <c r="D508" s="11" t="s">
        <v>10</v>
      </c>
      <c r="E508" s="15">
        <v>166</v>
      </c>
      <c r="F508" s="11" t="s">
        <v>554</v>
      </c>
      <c r="G508" s="11" t="s">
        <v>28</v>
      </c>
      <c r="H508" s="15" t="s">
        <v>15</v>
      </c>
      <c r="I508" s="15">
        <v>15</v>
      </c>
      <c r="J508" s="12" t="s">
        <v>97</v>
      </c>
      <c r="K508" s="591">
        <f>(15*38)</f>
        <v>570</v>
      </c>
      <c r="L508" s="7"/>
    </row>
    <row r="509" spans="1:12">
      <c r="A509" s="590" t="s">
        <v>1030</v>
      </c>
      <c r="B509" s="11" t="s">
        <v>9</v>
      </c>
      <c r="C509" s="11">
        <v>45</v>
      </c>
      <c r="D509" s="11" t="s">
        <v>10</v>
      </c>
      <c r="E509" s="15">
        <v>192</v>
      </c>
      <c r="F509" s="11" t="s">
        <v>475</v>
      </c>
      <c r="G509" s="11" t="s">
        <v>594</v>
      </c>
      <c r="H509" s="15" t="s">
        <v>15</v>
      </c>
      <c r="I509" s="15">
        <v>15</v>
      </c>
      <c r="J509" s="12" t="s">
        <v>38</v>
      </c>
      <c r="K509" s="591">
        <f>(13*38)+(2*29.4)</f>
        <v>552.79999999999995</v>
      </c>
      <c r="L509" s="7"/>
    </row>
    <row r="510" spans="1:12">
      <c r="A510" s="590" t="s">
        <v>1030</v>
      </c>
      <c r="B510" s="11" t="s">
        <v>9</v>
      </c>
      <c r="C510" s="11">
        <v>45</v>
      </c>
      <c r="D510" s="11" t="s">
        <v>10</v>
      </c>
      <c r="E510" s="15">
        <v>193</v>
      </c>
      <c r="F510" s="11" t="s">
        <v>498</v>
      </c>
      <c r="G510" s="11" t="s">
        <v>594</v>
      </c>
      <c r="H510" s="15" t="s">
        <v>15</v>
      </c>
      <c r="I510" s="15">
        <v>15</v>
      </c>
      <c r="J510" s="12" t="s">
        <v>38</v>
      </c>
      <c r="K510" s="591">
        <f>(13*38)+(2*29.4)</f>
        <v>552.79999999999995</v>
      </c>
      <c r="L510" s="7"/>
    </row>
    <row r="511" spans="1:12">
      <c r="A511" s="590" t="s">
        <v>1030</v>
      </c>
      <c r="B511" s="11" t="s">
        <v>9</v>
      </c>
      <c r="C511" s="11">
        <v>45</v>
      </c>
      <c r="D511" s="11" t="s">
        <v>10</v>
      </c>
      <c r="E511" s="15">
        <v>195</v>
      </c>
      <c r="F511" s="11" t="s">
        <v>1778</v>
      </c>
      <c r="G511" s="11" t="s">
        <v>594</v>
      </c>
      <c r="H511" s="15" t="s">
        <v>15</v>
      </c>
      <c r="I511" s="15">
        <v>30</v>
      </c>
      <c r="J511" s="12" t="s">
        <v>1520</v>
      </c>
      <c r="K511" s="591">
        <f>(28*38)+(2*29.4)</f>
        <v>1122.8</v>
      </c>
      <c r="L511" s="7"/>
    </row>
    <row r="512" spans="1:12">
      <c r="A512" s="590" t="s">
        <v>1030</v>
      </c>
      <c r="B512" s="11" t="s">
        <v>9</v>
      </c>
      <c r="C512" s="11">
        <v>45</v>
      </c>
      <c r="D512" s="11" t="s">
        <v>10</v>
      </c>
      <c r="E512" s="15">
        <v>255</v>
      </c>
      <c r="F512" s="11" t="s">
        <v>192</v>
      </c>
      <c r="G512" s="11" t="s">
        <v>40</v>
      </c>
      <c r="H512" s="15" t="s">
        <v>15</v>
      </c>
      <c r="I512" s="15">
        <v>15</v>
      </c>
      <c r="J512" s="12" t="s">
        <v>14</v>
      </c>
      <c r="K512" s="591">
        <f>(14*38)+(1*29.4)</f>
        <v>561.4</v>
      </c>
      <c r="L512" s="7"/>
    </row>
    <row r="513" spans="1:12">
      <c r="A513" s="590" t="s">
        <v>1030</v>
      </c>
      <c r="B513" s="11" t="s">
        <v>9</v>
      </c>
      <c r="C513" s="11">
        <v>45</v>
      </c>
      <c r="D513" s="11" t="s">
        <v>10</v>
      </c>
      <c r="E513" s="15">
        <v>256</v>
      </c>
      <c r="F513" s="11" t="s">
        <v>230</v>
      </c>
      <c r="G513" s="11" t="s">
        <v>40</v>
      </c>
      <c r="H513" s="15" t="s">
        <v>15</v>
      </c>
      <c r="I513" s="15">
        <v>15</v>
      </c>
      <c r="J513" s="12" t="s">
        <v>14</v>
      </c>
      <c r="K513" s="591">
        <f>(14*38)+(1*29.4)</f>
        <v>561.4</v>
      </c>
      <c r="L513" s="7"/>
    </row>
    <row r="514" spans="1:12">
      <c r="A514" s="590" t="s">
        <v>1030</v>
      </c>
      <c r="B514" s="11" t="s">
        <v>9</v>
      </c>
      <c r="C514" s="11">
        <v>45</v>
      </c>
      <c r="D514" s="11" t="s">
        <v>10</v>
      </c>
      <c r="E514" s="15">
        <v>264</v>
      </c>
      <c r="F514" s="11" t="s">
        <v>182</v>
      </c>
      <c r="G514" s="11" t="s">
        <v>21</v>
      </c>
      <c r="H514" s="15" t="s">
        <v>5</v>
      </c>
      <c r="I514" s="15">
        <v>15</v>
      </c>
      <c r="J514" s="12" t="s">
        <v>1779</v>
      </c>
      <c r="K514" s="591">
        <f>(13*37)+(2*28.4)</f>
        <v>537.79999999999995</v>
      </c>
      <c r="L514" s="7"/>
    </row>
    <row r="515" spans="1:12">
      <c r="A515" s="590" t="s">
        <v>1030</v>
      </c>
      <c r="B515" s="11" t="s">
        <v>9</v>
      </c>
      <c r="C515" s="11">
        <v>45</v>
      </c>
      <c r="D515" s="11" t="s">
        <v>10</v>
      </c>
      <c r="E515" s="15">
        <v>501</v>
      </c>
      <c r="F515" s="11" t="s">
        <v>1384</v>
      </c>
      <c r="G515" s="11" t="s">
        <v>674</v>
      </c>
      <c r="H515" s="15" t="s">
        <v>5</v>
      </c>
      <c r="I515" s="15">
        <v>10</v>
      </c>
      <c r="J515" s="12" t="s">
        <v>27</v>
      </c>
      <c r="K515" s="591">
        <f>(9*38)+(1*29.4)</f>
        <v>371.4</v>
      </c>
      <c r="L515" s="7"/>
    </row>
    <row r="516" spans="1:12">
      <c r="A516" s="590" t="s">
        <v>1030</v>
      </c>
      <c r="B516" s="11" t="s">
        <v>9</v>
      </c>
      <c r="C516" s="11">
        <v>45</v>
      </c>
      <c r="D516" s="11" t="s">
        <v>10</v>
      </c>
      <c r="E516" s="15">
        <v>502</v>
      </c>
      <c r="F516" s="11" t="s">
        <v>1373</v>
      </c>
      <c r="G516" s="11" t="s">
        <v>674</v>
      </c>
      <c r="H516" s="15" t="s">
        <v>5</v>
      </c>
      <c r="I516" s="15">
        <v>25</v>
      </c>
      <c r="J516" s="12" t="s">
        <v>608</v>
      </c>
      <c r="K516" s="591">
        <f>(24*38)+(1*29.4)</f>
        <v>941.4</v>
      </c>
      <c r="L516" s="7"/>
    </row>
    <row r="517" spans="1:12">
      <c r="A517" s="590" t="s">
        <v>1030</v>
      </c>
      <c r="B517" s="11" t="s">
        <v>9</v>
      </c>
      <c r="C517" s="11">
        <v>45</v>
      </c>
      <c r="D517" s="11" t="s">
        <v>10</v>
      </c>
      <c r="E517" s="15">
        <v>504</v>
      </c>
      <c r="F517" s="11" t="s">
        <v>400</v>
      </c>
      <c r="G517" s="11" t="s">
        <v>674</v>
      </c>
      <c r="H517" s="15" t="s">
        <v>5</v>
      </c>
      <c r="I517" s="15">
        <v>25</v>
      </c>
      <c r="J517" s="12" t="s">
        <v>608</v>
      </c>
      <c r="K517" s="591">
        <f>(24*38)+(1*29.4)</f>
        <v>941.4</v>
      </c>
      <c r="L517" s="7"/>
    </row>
    <row r="518" spans="1:12">
      <c r="A518" s="590" t="s">
        <v>1030</v>
      </c>
      <c r="B518" s="11" t="s">
        <v>9</v>
      </c>
      <c r="C518" s="11">
        <v>45</v>
      </c>
      <c r="D518" s="11" t="s">
        <v>10</v>
      </c>
      <c r="E518" s="15">
        <v>506</v>
      </c>
      <c r="F518" s="11" t="s">
        <v>1384</v>
      </c>
      <c r="G518" s="11" t="s">
        <v>674</v>
      </c>
      <c r="H518" s="15" t="s">
        <v>15</v>
      </c>
      <c r="I518" s="15">
        <v>10</v>
      </c>
      <c r="J518" s="12" t="s">
        <v>27</v>
      </c>
      <c r="K518" s="591">
        <f>(9*38)+(1*29.4)</f>
        <v>371.4</v>
      </c>
      <c r="L518" s="7"/>
    </row>
    <row r="519" spans="1:12">
      <c r="A519" s="590" t="s">
        <v>1030</v>
      </c>
      <c r="B519" s="11" t="s">
        <v>9</v>
      </c>
      <c r="C519" s="11">
        <v>45</v>
      </c>
      <c r="D519" s="11" t="s">
        <v>10</v>
      </c>
      <c r="E519" s="15">
        <v>513</v>
      </c>
      <c r="F519" s="11" t="s">
        <v>1323</v>
      </c>
      <c r="G519" s="11" t="s">
        <v>674</v>
      </c>
      <c r="H519" s="15" t="s">
        <v>15</v>
      </c>
      <c r="I519" s="15">
        <v>15</v>
      </c>
      <c r="J519" s="12" t="s">
        <v>38</v>
      </c>
      <c r="K519" s="591">
        <f>(13*38)+(2*29.4)</f>
        <v>552.79999999999995</v>
      </c>
      <c r="L519" s="7"/>
    </row>
    <row r="520" spans="1:12">
      <c r="A520" s="590" t="s">
        <v>1030</v>
      </c>
      <c r="B520" s="11" t="s">
        <v>9</v>
      </c>
      <c r="C520" s="11">
        <v>45</v>
      </c>
      <c r="D520" s="11" t="s">
        <v>10</v>
      </c>
      <c r="E520" s="15">
        <v>514</v>
      </c>
      <c r="F520" s="11" t="s">
        <v>1652</v>
      </c>
      <c r="G520" s="11" t="s">
        <v>674</v>
      </c>
      <c r="H520" s="15" t="s">
        <v>15</v>
      </c>
      <c r="I520" s="15">
        <v>10</v>
      </c>
      <c r="J520" s="12" t="s">
        <v>447</v>
      </c>
      <c r="K520" s="591">
        <f>(8*38)+(2*29.4)</f>
        <v>362.8</v>
      </c>
      <c r="L520" s="7"/>
    </row>
    <row r="521" spans="1:12">
      <c r="A521" s="590" t="s">
        <v>1030</v>
      </c>
      <c r="B521" s="11" t="s">
        <v>9</v>
      </c>
      <c r="C521" s="11">
        <v>45</v>
      </c>
      <c r="D521" s="11" t="s">
        <v>10</v>
      </c>
      <c r="E521" s="15">
        <v>515</v>
      </c>
      <c r="F521" s="11" t="s">
        <v>678</v>
      </c>
      <c r="G521" s="11" t="s">
        <v>674</v>
      </c>
      <c r="H521" s="15" t="s">
        <v>15</v>
      </c>
      <c r="I521" s="15">
        <v>10</v>
      </c>
      <c r="J521" s="12" t="s">
        <v>447</v>
      </c>
      <c r="K521" s="591">
        <f>(8*38)+(2*29.4)</f>
        <v>362.8</v>
      </c>
      <c r="L521" s="7"/>
    </row>
    <row r="522" spans="1:12">
      <c r="A522" s="590" t="s">
        <v>1030</v>
      </c>
      <c r="B522" s="11" t="s">
        <v>9</v>
      </c>
      <c r="C522" s="11">
        <v>45</v>
      </c>
      <c r="D522" s="11" t="s">
        <v>16</v>
      </c>
      <c r="E522" s="15">
        <v>25</v>
      </c>
      <c r="F522" s="11" t="s">
        <v>1441</v>
      </c>
      <c r="G522" s="11" t="s">
        <v>354</v>
      </c>
      <c r="H522" s="15" t="s">
        <v>5</v>
      </c>
      <c r="I522" s="15">
        <v>20</v>
      </c>
      <c r="J522" s="12" t="s">
        <v>31</v>
      </c>
      <c r="K522" s="591">
        <f>(19*38)+(1*29.4)</f>
        <v>751.4</v>
      </c>
      <c r="L522" s="7"/>
    </row>
    <row r="523" spans="1:12">
      <c r="A523" s="590" t="s">
        <v>1030</v>
      </c>
      <c r="B523" s="11" t="s">
        <v>9</v>
      </c>
      <c r="C523" s="11">
        <v>45</v>
      </c>
      <c r="D523" s="11" t="s">
        <v>16</v>
      </c>
      <c r="E523" s="15">
        <v>43</v>
      </c>
      <c r="F523" s="11" t="s">
        <v>1439</v>
      </c>
      <c r="G523" s="11" t="s">
        <v>28</v>
      </c>
      <c r="H523" s="15" t="s">
        <v>5</v>
      </c>
      <c r="I523" s="15">
        <v>20</v>
      </c>
      <c r="J523" s="12" t="s">
        <v>157</v>
      </c>
      <c r="K523" s="591">
        <f>(20*38)</f>
        <v>760</v>
      </c>
      <c r="L523" s="7"/>
    </row>
    <row r="524" spans="1:12">
      <c r="A524" s="590" t="s">
        <v>1030</v>
      </c>
      <c r="B524" s="11" t="s">
        <v>9</v>
      </c>
      <c r="C524" s="11">
        <v>45</v>
      </c>
      <c r="D524" s="11" t="s">
        <v>16</v>
      </c>
      <c r="E524" s="15">
        <v>50</v>
      </c>
      <c r="F524" s="11" t="s">
        <v>164</v>
      </c>
      <c r="G524" s="11" t="s">
        <v>28</v>
      </c>
      <c r="H524" s="15" t="s">
        <v>143</v>
      </c>
      <c r="I524" s="15">
        <v>15</v>
      </c>
      <c r="J524" s="12" t="s">
        <v>14</v>
      </c>
      <c r="K524" s="591">
        <f>(14*38)+(1*29.4)</f>
        <v>561.4</v>
      </c>
      <c r="L524" s="7"/>
    </row>
    <row r="525" spans="1:12">
      <c r="A525" s="590" t="s">
        <v>1030</v>
      </c>
      <c r="B525" s="11" t="s">
        <v>9</v>
      </c>
      <c r="C525" s="11">
        <v>45</v>
      </c>
      <c r="D525" s="11" t="s">
        <v>16</v>
      </c>
      <c r="E525" s="15">
        <v>62</v>
      </c>
      <c r="F525" s="11" t="s">
        <v>675</v>
      </c>
      <c r="G525" s="11" t="s">
        <v>594</v>
      </c>
      <c r="H525" s="15" t="s">
        <v>15</v>
      </c>
      <c r="I525" s="15">
        <v>15</v>
      </c>
      <c r="J525" s="12" t="s">
        <v>38</v>
      </c>
      <c r="K525" s="591">
        <f>(13*38)+(2*29.4)</f>
        <v>552.79999999999995</v>
      </c>
      <c r="L525" s="7"/>
    </row>
    <row r="526" spans="1:12">
      <c r="A526" s="590" t="s">
        <v>1030</v>
      </c>
      <c r="B526" s="11" t="s">
        <v>9</v>
      </c>
      <c r="C526" s="11">
        <v>45</v>
      </c>
      <c r="D526" s="11" t="s">
        <v>16</v>
      </c>
      <c r="E526" s="15">
        <v>63</v>
      </c>
      <c r="F526" s="11" t="s">
        <v>1465</v>
      </c>
      <c r="G526" s="11" t="s">
        <v>594</v>
      </c>
      <c r="H526" s="15" t="s">
        <v>15</v>
      </c>
      <c r="I526" s="15">
        <v>15</v>
      </c>
      <c r="J526" s="12" t="s">
        <v>38</v>
      </c>
      <c r="K526" s="591">
        <f t="shared" ref="K526:K527" si="16">(13*38)+(2*29.4)</f>
        <v>552.79999999999995</v>
      </c>
      <c r="L526" s="7"/>
    </row>
    <row r="527" spans="1:12">
      <c r="A527" s="590" t="s">
        <v>1030</v>
      </c>
      <c r="B527" s="11" t="s">
        <v>9</v>
      </c>
      <c r="C527" s="11">
        <v>45</v>
      </c>
      <c r="D527" s="11" t="s">
        <v>16</v>
      </c>
      <c r="E527" s="15">
        <v>64</v>
      </c>
      <c r="F527" s="11" t="s">
        <v>471</v>
      </c>
      <c r="G527" s="11" t="s">
        <v>594</v>
      </c>
      <c r="H527" s="15" t="s">
        <v>15</v>
      </c>
      <c r="I527" s="15">
        <v>15</v>
      </c>
      <c r="J527" s="12" t="s">
        <v>38</v>
      </c>
      <c r="K527" s="591">
        <f t="shared" si="16"/>
        <v>552.79999999999995</v>
      </c>
      <c r="L527" s="7"/>
    </row>
    <row r="528" spans="1:12">
      <c r="A528" s="590" t="s">
        <v>1030</v>
      </c>
      <c r="B528" s="11" t="s">
        <v>9</v>
      </c>
      <c r="C528" s="11">
        <v>45</v>
      </c>
      <c r="D528" s="11" t="s">
        <v>16</v>
      </c>
      <c r="E528" s="15">
        <v>65</v>
      </c>
      <c r="F528" s="11" t="s">
        <v>538</v>
      </c>
      <c r="G528" s="11" t="s">
        <v>594</v>
      </c>
      <c r="H528" s="15" t="s">
        <v>15</v>
      </c>
      <c r="I528" s="15">
        <v>15</v>
      </c>
      <c r="J528" s="12" t="s">
        <v>397</v>
      </c>
      <c r="K528" s="591">
        <f>(12*38)+(3*29.4)</f>
        <v>544.20000000000005</v>
      </c>
      <c r="L528" s="7"/>
    </row>
    <row r="529" spans="1:12">
      <c r="A529" s="590" t="s">
        <v>1030</v>
      </c>
      <c r="B529" s="11" t="s">
        <v>9</v>
      </c>
      <c r="C529" s="11">
        <v>45</v>
      </c>
      <c r="D529" s="11" t="s">
        <v>16</v>
      </c>
      <c r="E529" s="15">
        <v>69</v>
      </c>
      <c r="F529" s="11" t="s">
        <v>1471</v>
      </c>
      <c r="G529" s="11" t="s">
        <v>594</v>
      </c>
      <c r="H529" s="15" t="s">
        <v>143</v>
      </c>
      <c r="I529" s="15">
        <v>15</v>
      </c>
      <c r="J529" s="12" t="s">
        <v>38</v>
      </c>
      <c r="K529" s="591">
        <f>(13*38)+(2*29.4)</f>
        <v>552.79999999999995</v>
      </c>
      <c r="L529" s="7"/>
    </row>
    <row r="530" spans="1:12">
      <c r="A530" s="590" t="s">
        <v>1030</v>
      </c>
      <c r="B530" s="11" t="s">
        <v>9</v>
      </c>
      <c r="C530" s="11">
        <v>45</v>
      </c>
      <c r="D530" s="11" t="s">
        <v>16</v>
      </c>
      <c r="E530" s="15">
        <v>72</v>
      </c>
      <c r="F530" s="11" t="s">
        <v>1397</v>
      </c>
      <c r="G530" s="11" t="s">
        <v>124</v>
      </c>
      <c r="H530" s="15" t="s">
        <v>15</v>
      </c>
      <c r="I530" s="15">
        <v>10</v>
      </c>
      <c r="J530" s="12" t="s">
        <v>11</v>
      </c>
      <c r="K530" s="591">
        <f>(9*35)+(1*26.4)</f>
        <v>341.4</v>
      </c>
      <c r="L530" s="7"/>
    </row>
    <row r="531" spans="1:12">
      <c r="A531" s="590" t="s">
        <v>1030</v>
      </c>
      <c r="B531" s="11" t="s">
        <v>9</v>
      </c>
      <c r="C531" s="11">
        <v>45</v>
      </c>
      <c r="D531" s="11" t="s">
        <v>16</v>
      </c>
      <c r="E531" s="15">
        <v>73</v>
      </c>
      <c r="F531" s="11" t="s">
        <v>411</v>
      </c>
      <c r="G531" s="11" t="s">
        <v>124</v>
      </c>
      <c r="H531" s="15" t="s">
        <v>15</v>
      </c>
      <c r="I531" s="15">
        <v>25</v>
      </c>
      <c r="J531" s="12" t="s">
        <v>436</v>
      </c>
      <c r="K531" s="591">
        <f>(25*35)</f>
        <v>875</v>
      </c>
      <c r="L531" s="7"/>
    </row>
    <row r="532" spans="1:12">
      <c r="A532" s="590" t="s">
        <v>1030</v>
      </c>
      <c r="B532" s="11" t="s">
        <v>9</v>
      </c>
      <c r="C532" s="11">
        <v>45</v>
      </c>
      <c r="D532" s="11" t="s">
        <v>16</v>
      </c>
      <c r="E532" s="15">
        <v>74</v>
      </c>
      <c r="F532" s="11" t="s">
        <v>1398</v>
      </c>
      <c r="G532" s="11" t="s">
        <v>124</v>
      </c>
      <c r="H532" s="15" t="s">
        <v>15</v>
      </c>
      <c r="I532" s="15">
        <v>15</v>
      </c>
      <c r="J532" s="12" t="s">
        <v>13</v>
      </c>
      <c r="K532" s="591">
        <f>(14*35)+(1*26.4)</f>
        <v>516.4</v>
      </c>
      <c r="L532" s="7"/>
    </row>
    <row r="533" spans="1:12">
      <c r="A533" s="590" t="s">
        <v>1030</v>
      </c>
      <c r="B533" s="11" t="s">
        <v>9</v>
      </c>
      <c r="C533" s="11">
        <v>45</v>
      </c>
      <c r="D533" s="11" t="s">
        <v>16</v>
      </c>
      <c r="E533" s="15">
        <v>75</v>
      </c>
      <c r="F533" s="11" t="s">
        <v>1393</v>
      </c>
      <c r="G533" s="11" t="s">
        <v>124</v>
      </c>
      <c r="H533" s="15" t="s">
        <v>15</v>
      </c>
      <c r="I533" s="15">
        <v>15</v>
      </c>
      <c r="J533" s="12" t="s">
        <v>13</v>
      </c>
      <c r="K533" s="591">
        <f>(14*35)+(1*26.4)</f>
        <v>516.4</v>
      </c>
      <c r="L533" s="7"/>
    </row>
    <row r="534" spans="1:12">
      <c r="A534" s="590" t="s">
        <v>1030</v>
      </c>
      <c r="B534" s="11" t="s">
        <v>9</v>
      </c>
      <c r="C534" s="11">
        <v>45</v>
      </c>
      <c r="D534" s="11" t="s">
        <v>16</v>
      </c>
      <c r="E534" s="15">
        <v>93</v>
      </c>
      <c r="F534" s="11" t="s">
        <v>93</v>
      </c>
      <c r="G534" s="11" t="s">
        <v>80</v>
      </c>
      <c r="H534" s="15" t="s">
        <v>5</v>
      </c>
      <c r="I534" s="15">
        <v>20</v>
      </c>
      <c r="J534" s="12" t="s">
        <v>31</v>
      </c>
      <c r="K534" s="591">
        <f>(19*38)+(1*29.4)</f>
        <v>751.4</v>
      </c>
      <c r="L534" s="7"/>
    </row>
    <row r="535" spans="1:12">
      <c r="A535" s="590" t="s">
        <v>1030</v>
      </c>
      <c r="B535" s="11" t="s">
        <v>9</v>
      </c>
      <c r="C535" s="11">
        <v>45</v>
      </c>
      <c r="D535" s="11" t="s">
        <v>16</v>
      </c>
      <c r="E535" s="15">
        <v>108</v>
      </c>
      <c r="F535" s="11" t="s">
        <v>791</v>
      </c>
      <c r="G535" s="11" t="s">
        <v>716</v>
      </c>
      <c r="H535" s="15" t="s">
        <v>15</v>
      </c>
      <c r="I535" s="15">
        <v>20</v>
      </c>
      <c r="J535" s="12" t="s">
        <v>31</v>
      </c>
      <c r="K535" s="591">
        <f t="shared" ref="K535:K536" si="17">(19*38)+(1*29.4)</f>
        <v>751.4</v>
      </c>
      <c r="L535" s="7"/>
    </row>
    <row r="536" spans="1:12">
      <c r="A536" s="590" t="s">
        <v>1030</v>
      </c>
      <c r="B536" s="11" t="s">
        <v>9</v>
      </c>
      <c r="C536" s="11">
        <v>45</v>
      </c>
      <c r="D536" s="11" t="s">
        <v>16</v>
      </c>
      <c r="E536" s="15">
        <v>109</v>
      </c>
      <c r="F536" s="11" t="s">
        <v>760</v>
      </c>
      <c r="G536" s="11" t="s">
        <v>716</v>
      </c>
      <c r="H536" s="15" t="s">
        <v>15</v>
      </c>
      <c r="I536" s="15">
        <v>20</v>
      </c>
      <c r="J536" s="12" t="s">
        <v>31</v>
      </c>
      <c r="K536" s="591">
        <f t="shared" si="17"/>
        <v>751.4</v>
      </c>
      <c r="L536" s="7"/>
    </row>
    <row r="537" spans="1:12">
      <c r="A537" s="590" t="s">
        <v>1030</v>
      </c>
      <c r="B537" s="11" t="s">
        <v>9</v>
      </c>
      <c r="C537" s="11">
        <v>45</v>
      </c>
      <c r="D537" s="11" t="s">
        <v>16</v>
      </c>
      <c r="E537" s="15">
        <v>200</v>
      </c>
      <c r="F537" s="11" t="s">
        <v>1780</v>
      </c>
      <c r="G537" s="11" t="s">
        <v>40</v>
      </c>
      <c r="H537" s="15" t="s">
        <v>15</v>
      </c>
      <c r="I537" s="15">
        <v>15</v>
      </c>
      <c r="J537" s="12" t="s">
        <v>97</v>
      </c>
      <c r="K537" s="591">
        <f>(15*38)</f>
        <v>570</v>
      </c>
      <c r="L537" s="7"/>
    </row>
    <row r="538" spans="1:12" ht="15.75" thickBot="1">
      <c r="A538" s="592" t="s">
        <v>1030</v>
      </c>
      <c r="B538" s="593" t="s">
        <v>9</v>
      </c>
      <c r="C538" s="593">
        <v>45</v>
      </c>
      <c r="D538" s="593" t="s">
        <v>16</v>
      </c>
      <c r="E538" s="594">
        <v>201</v>
      </c>
      <c r="F538" s="593" t="s">
        <v>1587</v>
      </c>
      <c r="G538" s="593" t="s">
        <v>40</v>
      </c>
      <c r="H538" s="594" t="s">
        <v>15</v>
      </c>
      <c r="I538" s="594">
        <v>15</v>
      </c>
      <c r="J538" s="595" t="s">
        <v>97</v>
      </c>
      <c r="K538" s="596">
        <f t="shared" ref="K538:K539" si="18">(15*38)</f>
        <v>570</v>
      </c>
      <c r="L538" s="7"/>
    </row>
    <row r="539" spans="1:12">
      <c r="A539" s="611" t="s">
        <v>1030</v>
      </c>
      <c r="B539" s="612" t="s">
        <v>9</v>
      </c>
      <c r="C539" s="612">
        <v>45</v>
      </c>
      <c r="D539" s="612" t="s">
        <v>16</v>
      </c>
      <c r="E539" s="61">
        <v>205</v>
      </c>
      <c r="F539" s="612" t="s">
        <v>729</v>
      </c>
      <c r="G539" s="612" t="s">
        <v>40</v>
      </c>
      <c r="H539" s="61" t="s">
        <v>15</v>
      </c>
      <c r="I539" s="61">
        <v>15</v>
      </c>
      <c r="J539" s="613" t="s">
        <v>97</v>
      </c>
      <c r="K539" s="614">
        <f t="shared" si="18"/>
        <v>570</v>
      </c>
      <c r="L539" s="7"/>
    </row>
    <row r="540" spans="1:12">
      <c r="A540" s="590" t="s">
        <v>1031</v>
      </c>
      <c r="B540" s="11" t="s">
        <v>9</v>
      </c>
      <c r="C540" s="11">
        <v>45</v>
      </c>
      <c r="D540" s="11" t="s">
        <v>7</v>
      </c>
      <c r="E540" s="15">
        <v>40</v>
      </c>
      <c r="F540" s="11" t="s">
        <v>188</v>
      </c>
      <c r="G540" s="11" t="s">
        <v>24</v>
      </c>
      <c r="H540" s="15" t="s">
        <v>5</v>
      </c>
      <c r="I540" s="15">
        <v>20</v>
      </c>
      <c r="J540" s="12" t="s">
        <v>31</v>
      </c>
      <c r="K540" s="591">
        <f>(19*38)+(1*29.4)</f>
        <v>751.4</v>
      </c>
      <c r="L540" s="7"/>
    </row>
    <row r="541" spans="1:12">
      <c r="A541" s="590" t="s">
        <v>1031</v>
      </c>
      <c r="B541" s="11" t="s">
        <v>9</v>
      </c>
      <c r="C541" s="11">
        <v>45</v>
      </c>
      <c r="D541" s="11" t="s">
        <v>7</v>
      </c>
      <c r="E541" s="15">
        <v>41</v>
      </c>
      <c r="F541" s="11" t="s">
        <v>72</v>
      </c>
      <c r="G541" s="11" t="s">
        <v>24</v>
      </c>
      <c r="H541" s="15" t="s">
        <v>5</v>
      </c>
      <c r="I541" s="15">
        <v>20</v>
      </c>
      <c r="J541" s="12" t="s">
        <v>31</v>
      </c>
      <c r="K541" s="591">
        <f>(19*38)+(1*29.4)</f>
        <v>751.4</v>
      </c>
      <c r="L541" s="7"/>
    </row>
    <row r="542" spans="1:12" ht="14.25" customHeight="1">
      <c r="A542" s="590" t="s">
        <v>1031</v>
      </c>
      <c r="B542" s="11" t="s">
        <v>9</v>
      </c>
      <c r="C542" s="11">
        <v>45</v>
      </c>
      <c r="D542" s="11" t="s">
        <v>7</v>
      </c>
      <c r="E542" s="15">
        <v>88</v>
      </c>
      <c r="F542" s="11" t="s">
        <v>686</v>
      </c>
      <c r="G542" s="11" t="s">
        <v>441</v>
      </c>
      <c r="H542" s="15" t="s">
        <v>15</v>
      </c>
      <c r="I542" s="15">
        <v>25</v>
      </c>
      <c r="J542" s="12" t="s">
        <v>608</v>
      </c>
      <c r="K542" s="591">
        <f>(24*38)+(1*29.4)</f>
        <v>941.4</v>
      </c>
      <c r="L542" s="7"/>
    </row>
    <row r="543" spans="1:12">
      <c r="A543" s="590" t="s">
        <v>1031</v>
      </c>
      <c r="B543" s="11" t="s">
        <v>9</v>
      </c>
      <c r="C543" s="11">
        <v>45</v>
      </c>
      <c r="D543" s="11" t="s">
        <v>7</v>
      </c>
      <c r="E543" s="15">
        <v>90</v>
      </c>
      <c r="F543" s="11" t="s">
        <v>140</v>
      </c>
      <c r="G543" s="11" t="s">
        <v>441</v>
      </c>
      <c r="H543" s="15" t="s">
        <v>15</v>
      </c>
      <c r="I543" s="15">
        <v>10</v>
      </c>
      <c r="J543" s="12" t="s">
        <v>27</v>
      </c>
      <c r="K543" s="591">
        <f>(9*38)+(1*29.4)</f>
        <v>371.4</v>
      </c>
      <c r="L543" s="7"/>
    </row>
    <row r="544" spans="1:12">
      <c r="A544" s="590" t="s">
        <v>1031</v>
      </c>
      <c r="B544" s="11" t="s">
        <v>9</v>
      </c>
      <c r="C544" s="11">
        <v>45</v>
      </c>
      <c r="D544" s="11" t="s">
        <v>7</v>
      </c>
      <c r="E544" s="15">
        <v>91</v>
      </c>
      <c r="F544" s="11" t="s">
        <v>198</v>
      </c>
      <c r="G544" s="11" t="s">
        <v>441</v>
      </c>
      <c r="H544" s="15" t="s">
        <v>15</v>
      </c>
      <c r="I544" s="15">
        <v>25</v>
      </c>
      <c r="J544" s="12" t="s">
        <v>170</v>
      </c>
      <c r="K544" s="591">
        <f>(25*38)</f>
        <v>950</v>
      </c>
      <c r="L544" s="7"/>
    </row>
    <row r="545" spans="1:12">
      <c r="A545" s="590" t="s">
        <v>1031</v>
      </c>
      <c r="B545" s="11" t="s">
        <v>9</v>
      </c>
      <c r="C545" s="11">
        <v>45</v>
      </c>
      <c r="D545" s="11" t="s">
        <v>7</v>
      </c>
      <c r="E545" s="15">
        <v>139</v>
      </c>
      <c r="F545" s="11" t="s">
        <v>1781</v>
      </c>
      <c r="G545" s="11" t="s">
        <v>716</v>
      </c>
      <c r="H545" s="15" t="s">
        <v>15</v>
      </c>
      <c r="I545" s="15">
        <v>20</v>
      </c>
      <c r="J545" s="12" t="s">
        <v>31</v>
      </c>
      <c r="K545" s="591">
        <f>(19*38)+(1*29.4)</f>
        <v>751.4</v>
      </c>
      <c r="L545" s="7"/>
    </row>
    <row r="546" spans="1:12">
      <c r="A546" s="590" t="s">
        <v>1031</v>
      </c>
      <c r="B546" s="11" t="s">
        <v>9</v>
      </c>
      <c r="C546" s="11">
        <v>45</v>
      </c>
      <c r="D546" s="11" t="s">
        <v>7</v>
      </c>
      <c r="E546" s="15">
        <v>140</v>
      </c>
      <c r="F546" s="11" t="s">
        <v>749</v>
      </c>
      <c r="G546" s="11" t="s">
        <v>716</v>
      </c>
      <c r="H546" s="15" t="s">
        <v>15</v>
      </c>
      <c r="I546" s="15">
        <v>20</v>
      </c>
      <c r="J546" s="12" t="s">
        <v>31</v>
      </c>
      <c r="K546" s="591">
        <f>(19*38)+(1*29.4)</f>
        <v>751.4</v>
      </c>
      <c r="L546" s="7"/>
    </row>
    <row r="547" spans="1:12">
      <c r="A547" s="590" t="s">
        <v>1031</v>
      </c>
      <c r="B547" s="11" t="s">
        <v>9</v>
      </c>
      <c r="C547" s="11">
        <v>45</v>
      </c>
      <c r="D547" s="11" t="s">
        <v>7</v>
      </c>
      <c r="E547" s="15">
        <v>142</v>
      </c>
      <c r="F547" s="11" t="s">
        <v>200</v>
      </c>
      <c r="G547" s="11" t="s">
        <v>716</v>
      </c>
      <c r="H547" s="15" t="s">
        <v>15</v>
      </c>
      <c r="I547" s="15">
        <v>20</v>
      </c>
      <c r="J547" s="12" t="s">
        <v>31</v>
      </c>
      <c r="K547" s="591">
        <f>(19*38)+(1*29.4)</f>
        <v>751.4</v>
      </c>
      <c r="L547" s="7"/>
    </row>
    <row r="548" spans="1:12">
      <c r="A548" s="590" t="s">
        <v>1031</v>
      </c>
      <c r="B548" s="11" t="s">
        <v>9</v>
      </c>
      <c r="C548" s="11">
        <v>45</v>
      </c>
      <c r="D548" s="11" t="s">
        <v>7</v>
      </c>
      <c r="E548" s="15">
        <v>163</v>
      </c>
      <c r="F548" s="11" t="s">
        <v>499</v>
      </c>
      <c r="G548" s="11" t="s">
        <v>797</v>
      </c>
      <c r="H548" s="15" t="s">
        <v>15</v>
      </c>
      <c r="I548" s="15">
        <v>20</v>
      </c>
      <c r="J548" s="12" t="s">
        <v>17</v>
      </c>
      <c r="K548" s="591">
        <f>(19*35)+(1*26.4)</f>
        <v>691.4</v>
      </c>
      <c r="L548" s="7"/>
    </row>
    <row r="549" spans="1:12">
      <c r="A549" s="590" t="s">
        <v>1031</v>
      </c>
      <c r="B549" s="11" t="s">
        <v>9</v>
      </c>
      <c r="C549" s="11">
        <v>45</v>
      </c>
      <c r="D549" s="11" t="s">
        <v>7</v>
      </c>
      <c r="E549" s="15">
        <v>205</v>
      </c>
      <c r="F549" s="11" t="s">
        <v>714</v>
      </c>
      <c r="G549" s="11" t="s">
        <v>1782</v>
      </c>
      <c r="H549" s="15" t="s">
        <v>15</v>
      </c>
      <c r="I549" s="15">
        <v>30</v>
      </c>
      <c r="J549" s="12" t="s">
        <v>1520</v>
      </c>
      <c r="K549" s="591">
        <f>(28*38)+(2*29.4)</f>
        <v>1122.8</v>
      </c>
      <c r="L549" s="7"/>
    </row>
    <row r="550" spans="1:12">
      <c r="A550" s="590" t="s">
        <v>1031</v>
      </c>
      <c r="B550" s="11" t="s">
        <v>9</v>
      </c>
      <c r="C550" s="11">
        <v>45</v>
      </c>
      <c r="D550" s="11" t="s">
        <v>7</v>
      </c>
      <c r="E550" s="15">
        <v>206</v>
      </c>
      <c r="F550" s="11" t="s">
        <v>719</v>
      </c>
      <c r="G550" s="11" t="s">
        <v>1782</v>
      </c>
      <c r="H550" s="15" t="s">
        <v>15</v>
      </c>
      <c r="I550" s="15">
        <v>30</v>
      </c>
      <c r="J550" s="12" t="s">
        <v>1520</v>
      </c>
      <c r="K550" s="591">
        <f>(28*38)+(2*29.4)</f>
        <v>1122.8</v>
      </c>
      <c r="L550" s="7"/>
    </row>
    <row r="551" spans="1:12">
      <c r="A551" s="590" t="s">
        <v>1031</v>
      </c>
      <c r="B551" s="11" t="s">
        <v>9</v>
      </c>
      <c r="C551" s="11">
        <v>45</v>
      </c>
      <c r="D551" s="11" t="s">
        <v>7</v>
      </c>
      <c r="E551" s="15">
        <v>222</v>
      </c>
      <c r="F551" s="11" t="s">
        <v>136</v>
      </c>
      <c r="G551" s="11" t="s">
        <v>1783</v>
      </c>
      <c r="H551" s="15" t="s">
        <v>15</v>
      </c>
      <c r="I551" s="15">
        <v>20</v>
      </c>
      <c r="J551" s="12" t="s">
        <v>31</v>
      </c>
      <c r="K551" s="591">
        <f>(19*38)+(1*29.4)</f>
        <v>751.4</v>
      </c>
      <c r="L551" s="7"/>
    </row>
    <row r="552" spans="1:12">
      <c r="A552" s="590" t="s">
        <v>1031</v>
      </c>
      <c r="B552" s="11" t="s">
        <v>9</v>
      </c>
      <c r="C552" s="11">
        <v>45</v>
      </c>
      <c r="D552" s="11" t="s">
        <v>7</v>
      </c>
      <c r="E552" s="15">
        <v>223</v>
      </c>
      <c r="F552" s="11" t="s">
        <v>793</v>
      </c>
      <c r="G552" s="11" t="s">
        <v>1783</v>
      </c>
      <c r="H552" s="15" t="s">
        <v>15</v>
      </c>
      <c r="I552" s="15">
        <v>15</v>
      </c>
      <c r="J552" s="12" t="s">
        <v>14</v>
      </c>
      <c r="K552" s="591">
        <f>(14*38)+(1*29.4)</f>
        <v>561.4</v>
      </c>
      <c r="L552" s="7"/>
    </row>
    <row r="553" spans="1:12">
      <c r="A553" s="590" t="s">
        <v>1031</v>
      </c>
      <c r="B553" s="11" t="s">
        <v>9</v>
      </c>
      <c r="C553" s="11">
        <v>45</v>
      </c>
      <c r="D553" s="11" t="s">
        <v>7</v>
      </c>
      <c r="E553" s="15">
        <v>224</v>
      </c>
      <c r="F553" s="11" t="s">
        <v>186</v>
      </c>
      <c r="G553" s="11" t="s">
        <v>1783</v>
      </c>
      <c r="H553" s="15" t="s">
        <v>15</v>
      </c>
      <c r="I553" s="15">
        <v>15</v>
      </c>
      <c r="J553" s="12" t="s">
        <v>14</v>
      </c>
      <c r="K553" s="591">
        <f>(14*38)+(1*29.4)</f>
        <v>561.4</v>
      </c>
      <c r="L553" s="7"/>
    </row>
    <row r="554" spans="1:12">
      <c r="A554" s="590" t="s">
        <v>1031</v>
      </c>
      <c r="B554" s="11" t="s">
        <v>9</v>
      </c>
      <c r="C554" s="11">
        <v>45</v>
      </c>
      <c r="D554" s="11" t="s">
        <v>7</v>
      </c>
      <c r="E554" s="15">
        <v>228</v>
      </c>
      <c r="F554" s="11" t="s">
        <v>1572</v>
      </c>
      <c r="G554" s="11" t="s">
        <v>1783</v>
      </c>
      <c r="H554" s="15" t="s">
        <v>15</v>
      </c>
      <c r="I554" s="15">
        <v>20</v>
      </c>
      <c r="J554" s="12" t="s">
        <v>31</v>
      </c>
      <c r="K554" s="591">
        <f>(19*38)+(1*29.4)</f>
        <v>751.4</v>
      </c>
      <c r="L554" s="7"/>
    </row>
    <row r="555" spans="1:12">
      <c r="A555" s="590" t="s">
        <v>1031</v>
      </c>
      <c r="B555" s="11" t="s">
        <v>9</v>
      </c>
      <c r="C555" s="11">
        <v>45</v>
      </c>
      <c r="D555" s="11" t="s">
        <v>7</v>
      </c>
      <c r="E555" s="15">
        <v>232</v>
      </c>
      <c r="F555" s="11" t="s">
        <v>1554</v>
      </c>
      <c r="G555" s="11" t="s">
        <v>1783</v>
      </c>
      <c r="H555" s="15" t="s">
        <v>15</v>
      </c>
      <c r="I555" s="15">
        <v>10</v>
      </c>
      <c r="J555" s="12" t="s">
        <v>447</v>
      </c>
      <c r="K555" s="591">
        <f>(8*38)+(2*29.4)</f>
        <v>362.8</v>
      </c>
      <c r="L555" s="7"/>
    </row>
    <row r="556" spans="1:12">
      <c r="A556" s="590" t="s">
        <v>1031</v>
      </c>
      <c r="B556" s="11" t="s">
        <v>9</v>
      </c>
      <c r="C556" s="11">
        <v>45</v>
      </c>
      <c r="D556" s="11" t="s">
        <v>7</v>
      </c>
      <c r="E556" s="15">
        <v>268</v>
      </c>
      <c r="F556" s="11" t="s">
        <v>1446</v>
      </c>
      <c r="G556" s="11" t="s">
        <v>124</v>
      </c>
      <c r="H556" s="15" t="s">
        <v>15</v>
      </c>
      <c r="I556" s="15">
        <v>20</v>
      </c>
      <c r="J556" s="12" t="s">
        <v>17</v>
      </c>
      <c r="K556" s="591">
        <f>(19*35)+(1*26.4)</f>
        <v>691.4</v>
      </c>
      <c r="L556" s="7"/>
    </row>
    <row r="557" spans="1:12">
      <c r="A557" s="590" t="s">
        <v>1031</v>
      </c>
      <c r="B557" s="11" t="s">
        <v>9</v>
      </c>
      <c r="C557" s="11">
        <v>45</v>
      </c>
      <c r="D557" s="11" t="s">
        <v>7</v>
      </c>
      <c r="E557" s="15">
        <v>269</v>
      </c>
      <c r="F557" s="11" t="s">
        <v>488</v>
      </c>
      <c r="G557" s="11" t="s">
        <v>124</v>
      </c>
      <c r="H557" s="15" t="s">
        <v>15</v>
      </c>
      <c r="I557" s="15">
        <v>15</v>
      </c>
      <c r="J557" s="12" t="s">
        <v>13</v>
      </c>
      <c r="K557" s="591">
        <f>(14*35)+(1*26.4)</f>
        <v>516.4</v>
      </c>
      <c r="L557" s="7"/>
    </row>
    <row r="558" spans="1:12">
      <c r="A558" s="590" t="s">
        <v>1031</v>
      </c>
      <c r="B558" s="11" t="s">
        <v>9</v>
      </c>
      <c r="C558" s="11">
        <v>45</v>
      </c>
      <c r="D558" s="11" t="s">
        <v>10</v>
      </c>
      <c r="E558" s="15">
        <v>33</v>
      </c>
      <c r="F558" s="11" t="s">
        <v>482</v>
      </c>
      <c r="G558" s="11" t="s">
        <v>820</v>
      </c>
      <c r="H558" s="15" t="s">
        <v>5</v>
      </c>
      <c r="I558" s="15">
        <v>10</v>
      </c>
      <c r="J558" s="12" t="s">
        <v>755</v>
      </c>
      <c r="K558" s="591">
        <f>(9*36)+(1*27.4)</f>
        <v>351.4</v>
      </c>
      <c r="L558" s="7"/>
    </row>
    <row r="559" spans="1:12">
      <c r="A559" s="590" t="s">
        <v>1031</v>
      </c>
      <c r="B559" s="11" t="s">
        <v>9</v>
      </c>
      <c r="C559" s="11">
        <v>45</v>
      </c>
      <c r="D559" s="11" t="s">
        <v>10</v>
      </c>
      <c r="E559" s="15">
        <v>36</v>
      </c>
      <c r="F559" s="11" t="s">
        <v>1335</v>
      </c>
      <c r="G559" s="11" t="s">
        <v>820</v>
      </c>
      <c r="H559" s="15" t="s">
        <v>5</v>
      </c>
      <c r="I559" s="15">
        <v>20</v>
      </c>
      <c r="J559" s="12" t="s">
        <v>1403</v>
      </c>
      <c r="K559" s="591">
        <f>(18*36)+(2*27.4)</f>
        <v>702.8</v>
      </c>
      <c r="L559" s="7"/>
    </row>
    <row r="560" spans="1:12">
      <c r="A560" s="590" t="s">
        <v>1031</v>
      </c>
      <c r="B560" s="11" t="s">
        <v>9</v>
      </c>
      <c r="C560" s="11">
        <v>45</v>
      </c>
      <c r="D560" s="11" t="s">
        <v>10</v>
      </c>
      <c r="E560" s="15">
        <v>61</v>
      </c>
      <c r="F560" s="11" t="s">
        <v>738</v>
      </c>
      <c r="G560" s="11" t="s">
        <v>1784</v>
      </c>
      <c r="H560" s="15" t="s">
        <v>5</v>
      </c>
      <c r="I560" s="15">
        <v>10</v>
      </c>
      <c r="J560" s="12" t="s">
        <v>11</v>
      </c>
      <c r="K560" s="591">
        <f>(9*35)+(1*26.4)</f>
        <v>341.4</v>
      </c>
      <c r="L560" s="7"/>
    </row>
    <row r="561" spans="1:12">
      <c r="A561" s="590" t="s">
        <v>1031</v>
      </c>
      <c r="B561" s="11" t="s">
        <v>9</v>
      </c>
      <c r="C561" s="11">
        <v>45</v>
      </c>
      <c r="D561" s="11" t="s">
        <v>10</v>
      </c>
      <c r="E561" s="15">
        <v>62</v>
      </c>
      <c r="F561" s="11" t="s">
        <v>1381</v>
      </c>
      <c r="G561" s="11" t="s">
        <v>1784</v>
      </c>
      <c r="H561" s="15" t="s">
        <v>5</v>
      </c>
      <c r="I561" s="15">
        <v>25</v>
      </c>
      <c r="J561" s="12" t="s">
        <v>112</v>
      </c>
      <c r="K561" s="591">
        <f>(24*35)+(1*26.4)</f>
        <v>866.4</v>
      </c>
      <c r="L561" s="7"/>
    </row>
    <row r="562" spans="1:12">
      <c r="A562" s="590" t="s">
        <v>1031</v>
      </c>
      <c r="B562" s="11" t="s">
        <v>9</v>
      </c>
      <c r="C562" s="11">
        <v>45</v>
      </c>
      <c r="D562" s="11" t="s">
        <v>10</v>
      </c>
      <c r="E562" s="15">
        <v>63</v>
      </c>
      <c r="F562" s="11" t="s">
        <v>404</v>
      </c>
      <c r="G562" s="11" t="s">
        <v>1784</v>
      </c>
      <c r="H562" s="15" t="s">
        <v>5</v>
      </c>
      <c r="I562" s="15">
        <v>25</v>
      </c>
      <c r="J562" s="12" t="s">
        <v>112</v>
      </c>
      <c r="K562" s="591">
        <f>(24*35)+(1*26.4)</f>
        <v>866.4</v>
      </c>
      <c r="L562" s="7"/>
    </row>
    <row r="563" spans="1:12">
      <c r="A563" s="590" t="s">
        <v>1031</v>
      </c>
      <c r="B563" s="11" t="s">
        <v>9</v>
      </c>
      <c r="C563" s="11">
        <v>45</v>
      </c>
      <c r="D563" s="11" t="s">
        <v>10</v>
      </c>
      <c r="E563" s="15">
        <v>65</v>
      </c>
      <c r="F563" s="11" t="s">
        <v>490</v>
      </c>
      <c r="G563" s="11" t="s">
        <v>1784</v>
      </c>
      <c r="H563" s="15" t="s">
        <v>5</v>
      </c>
      <c r="I563" s="15">
        <v>15</v>
      </c>
      <c r="J563" s="12" t="s">
        <v>13</v>
      </c>
      <c r="K563" s="591">
        <f>(14*35)+(1*26.4)</f>
        <v>516.4</v>
      </c>
      <c r="L563" s="7"/>
    </row>
    <row r="564" spans="1:12">
      <c r="A564" s="590" t="s">
        <v>1031</v>
      </c>
      <c r="B564" s="11" t="s">
        <v>9</v>
      </c>
      <c r="C564" s="11">
        <v>45</v>
      </c>
      <c r="D564" s="11" t="s">
        <v>10</v>
      </c>
      <c r="E564" s="15">
        <v>67</v>
      </c>
      <c r="F564" s="11" t="s">
        <v>1355</v>
      </c>
      <c r="G564" s="11" t="s">
        <v>1784</v>
      </c>
      <c r="H564" s="15" t="s">
        <v>5</v>
      </c>
      <c r="I564" s="15">
        <v>30</v>
      </c>
      <c r="J564" s="12" t="s">
        <v>1785</v>
      </c>
      <c r="K564" s="591">
        <f>(28*35)+(2*26.4)</f>
        <v>1032.8</v>
      </c>
      <c r="L564" s="7"/>
    </row>
    <row r="565" spans="1:12">
      <c r="A565" s="590" t="s">
        <v>1031</v>
      </c>
      <c r="B565" s="11" t="s">
        <v>9</v>
      </c>
      <c r="C565" s="11">
        <v>45</v>
      </c>
      <c r="D565" s="11" t="s">
        <v>10</v>
      </c>
      <c r="E565" s="15">
        <v>68</v>
      </c>
      <c r="F565" s="11" t="s">
        <v>1399</v>
      </c>
      <c r="G565" s="11" t="s">
        <v>1784</v>
      </c>
      <c r="H565" s="15" t="s">
        <v>5</v>
      </c>
      <c r="I565" s="15">
        <v>25</v>
      </c>
      <c r="J565" s="12" t="s">
        <v>1786</v>
      </c>
      <c r="K565" s="591">
        <f>(23*35)+(2*26.4)</f>
        <v>857.8</v>
      </c>
      <c r="L565" s="7"/>
    </row>
    <row r="566" spans="1:12">
      <c r="A566" s="590" t="s">
        <v>1031</v>
      </c>
      <c r="B566" s="11" t="s">
        <v>9</v>
      </c>
      <c r="C566" s="11">
        <v>45</v>
      </c>
      <c r="D566" s="11" t="s">
        <v>10</v>
      </c>
      <c r="E566" s="15">
        <v>69</v>
      </c>
      <c r="F566" s="11" t="s">
        <v>425</v>
      </c>
      <c r="G566" s="11" t="s">
        <v>1784</v>
      </c>
      <c r="H566" s="15" t="s">
        <v>5</v>
      </c>
      <c r="I566" s="15">
        <v>15</v>
      </c>
      <c r="J566" s="12" t="s">
        <v>35</v>
      </c>
      <c r="K566" s="591">
        <f>(13*35)+(2*26.4)</f>
        <v>507.8</v>
      </c>
      <c r="L566" s="7"/>
    </row>
    <row r="567" spans="1:12">
      <c r="A567" s="590" t="s">
        <v>1031</v>
      </c>
      <c r="B567" s="11" t="s">
        <v>9</v>
      </c>
      <c r="C567" s="11">
        <v>45</v>
      </c>
      <c r="D567" s="11" t="s">
        <v>10</v>
      </c>
      <c r="E567" s="15">
        <v>70</v>
      </c>
      <c r="F567" s="11" t="s">
        <v>1356</v>
      </c>
      <c r="G567" s="11" t="s">
        <v>1784</v>
      </c>
      <c r="H567" s="15" t="s">
        <v>5</v>
      </c>
      <c r="I567" s="15">
        <v>15</v>
      </c>
      <c r="J567" s="12" t="s">
        <v>159</v>
      </c>
      <c r="K567" s="591">
        <f>(15*35)</f>
        <v>525</v>
      </c>
      <c r="L567" s="7"/>
    </row>
    <row r="568" spans="1:12">
      <c r="A568" s="590" t="s">
        <v>1170</v>
      </c>
      <c r="B568" s="11" t="s">
        <v>9</v>
      </c>
      <c r="C568" s="11">
        <v>46</v>
      </c>
      <c r="D568" s="11" t="s">
        <v>16</v>
      </c>
      <c r="E568" s="15">
        <v>116</v>
      </c>
      <c r="F568" s="11" t="s">
        <v>1449</v>
      </c>
      <c r="G568" s="11" t="s">
        <v>717</v>
      </c>
      <c r="H568" s="15" t="s">
        <v>15</v>
      </c>
      <c r="I568" s="15">
        <v>15</v>
      </c>
      <c r="J568" s="12" t="s">
        <v>14</v>
      </c>
      <c r="K568" s="591">
        <f>(14*38)+(1*29.4)</f>
        <v>561.4</v>
      </c>
      <c r="L568" s="7"/>
    </row>
    <row r="569" spans="1:12">
      <c r="A569" s="590" t="s">
        <v>1170</v>
      </c>
      <c r="B569" s="11" t="s">
        <v>9</v>
      </c>
      <c r="C569" s="11">
        <v>46</v>
      </c>
      <c r="D569" s="11" t="s">
        <v>16</v>
      </c>
      <c r="E569" s="15">
        <v>118</v>
      </c>
      <c r="F569" s="11" t="s">
        <v>1327</v>
      </c>
      <c r="G569" s="11" t="s">
        <v>717</v>
      </c>
      <c r="H569" s="15" t="s">
        <v>15</v>
      </c>
      <c r="I569" s="15">
        <v>25</v>
      </c>
      <c r="J569" s="12" t="s">
        <v>170</v>
      </c>
      <c r="K569" s="591">
        <f>(25*38)</f>
        <v>950</v>
      </c>
      <c r="L569" s="7"/>
    </row>
    <row r="570" spans="1:12">
      <c r="A570" s="590" t="s">
        <v>1170</v>
      </c>
      <c r="B570" s="11" t="s">
        <v>9</v>
      </c>
      <c r="C570" s="11">
        <v>46</v>
      </c>
      <c r="D570" s="11" t="s">
        <v>16</v>
      </c>
      <c r="E570" s="15">
        <v>129</v>
      </c>
      <c r="F570" s="11" t="s">
        <v>206</v>
      </c>
      <c r="G570" s="11" t="s">
        <v>718</v>
      </c>
      <c r="H570" s="15" t="s">
        <v>15</v>
      </c>
      <c r="I570" s="15">
        <v>20</v>
      </c>
      <c r="J570" s="12" t="s">
        <v>31</v>
      </c>
      <c r="K570" s="591">
        <f>(19*38)+(1*29.4)</f>
        <v>751.4</v>
      </c>
      <c r="L570" s="7"/>
    </row>
    <row r="571" spans="1:12">
      <c r="A571" s="590" t="s">
        <v>1170</v>
      </c>
      <c r="B571" s="11" t="s">
        <v>9</v>
      </c>
      <c r="C571" s="11">
        <v>46</v>
      </c>
      <c r="D571" s="11" t="s">
        <v>16</v>
      </c>
      <c r="E571" s="15">
        <v>138</v>
      </c>
      <c r="F571" s="11" t="s">
        <v>725</v>
      </c>
      <c r="G571" s="11" t="s">
        <v>718</v>
      </c>
      <c r="H571" s="15" t="s">
        <v>15</v>
      </c>
      <c r="I571" s="15">
        <v>25</v>
      </c>
      <c r="J571" s="12" t="s">
        <v>170</v>
      </c>
      <c r="K571" s="591">
        <f>(25*38)</f>
        <v>950</v>
      </c>
      <c r="L571" s="7"/>
    </row>
    <row r="572" spans="1:12">
      <c r="A572" s="590" t="s">
        <v>1170</v>
      </c>
      <c r="B572" s="11" t="s">
        <v>9</v>
      </c>
      <c r="C572" s="11">
        <v>46</v>
      </c>
      <c r="D572" s="11" t="s">
        <v>7</v>
      </c>
      <c r="E572" s="15">
        <v>29</v>
      </c>
      <c r="F572" s="11" t="s">
        <v>209</v>
      </c>
      <c r="G572" s="11" t="s">
        <v>24</v>
      </c>
      <c r="H572" s="15" t="s">
        <v>15</v>
      </c>
      <c r="I572" s="15">
        <v>10</v>
      </c>
      <c r="J572" s="12" t="s">
        <v>27</v>
      </c>
      <c r="K572" s="591">
        <f>(9*38)+(1*29.4)</f>
        <v>371.4</v>
      </c>
      <c r="L572" s="7"/>
    </row>
    <row r="573" spans="1:12">
      <c r="A573" s="590" t="s">
        <v>1170</v>
      </c>
      <c r="B573" s="11" t="s">
        <v>9</v>
      </c>
      <c r="C573" s="11">
        <v>46</v>
      </c>
      <c r="D573" s="11" t="s">
        <v>7</v>
      </c>
      <c r="E573" s="15">
        <v>30</v>
      </c>
      <c r="F573" s="11" t="s">
        <v>210</v>
      </c>
      <c r="G573" s="11" t="s">
        <v>24</v>
      </c>
      <c r="H573" s="15" t="s">
        <v>15</v>
      </c>
      <c r="I573" s="15">
        <v>10</v>
      </c>
      <c r="J573" s="12" t="s">
        <v>27</v>
      </c>
      <c r="K573" s="591">
        <f>(9*38)+(1*29.4)</f>
        <v>371.4</v>
      </c>
      <c r="L573" s="7"/>
    </row>
    <row r="574" spans="1:12">
      <c r="A574" s="590" t="s">
        <v>1170</v>
      </c>
      <c r="B574" s="11" t="s">
        <v>9</v>
      </c>
      <c r="C574" s="11">
        <v>46</v>
      </c>
      <c r="D574" s="11" t="s">
        <v>7</v>
      </c>
      <c r="E574" s="15">
        <v>66</v>
      </c>
      <c r="F574" s="11" t="s">
        <v>720</v>
      </c>
      <c r="G574" s="11" t="s">
        <v>752</v>
      </c>
      <c r="H574" s="15" t="s">
        <v>5</v>
      </c>
      <c r="I574" s="15">
        <v>20</v>
      </c>
      <c r="J574" s="12" t="s">
        <v>31</v>
      </c>
      <c r="K574" s="591">
        <f>(19*38)+(1*29.4)</f>
        <v>751.4</v>
      </c>
      <c r="L574" s="7"/>
    </row>
    <row r="575" spans="1:12">
      <c r="A575" s="590" t="s">
        <v>1170</v>
      </c>
      <c r="B575" s="11" t="s">
        <v>9</v>
      </c>
      <c r="C575" s="11">
        <v>46</v>
      </c>
      <c r="D575" s="11" t="s">
        <v>7</v>
      </c>
      <c r="E575" s="15">
        <v>67</v>
      </c>
      <c r="F575" s="11" t="s">
        <v>393</v>
      </c>
      <c r="G575" s="11" t="s">
        <v>752</v>
      </c>
      <c r="H575" s="15" t="s">
        <v>5</v>
      </c>
      <c r="I575" s="15">
        <v>20</v>
      </c>
      <c r="J575" s="12" t="s">
        <v>41</v>
      </c>
      <c r="K575" s="591">
        <f>(18*38)+(2*29.4)</f>
        <v>742.8</v>
      </c>
      <c r="L575" s="7"/>
    </row>
    <row r="576" spans="1:12">
      <c r="A576" s="590" t="s">
        <v>1170</v>
      </c>
      <c r="B576" s="11" t="s">
        <v>9</v>
      </c>
      <c r="C576" s="11">
        <v>46</v>
      </c>
      <c r="D576" s="11" t="s">
        <v>7</v>
      </c>
      <c r="E576" s="15">
        <v>74</v>
      </c>
      <c r="F576" s="11" t="s">
        <v>94</v>
      </c>
      <c r="G576" s="11" t="s">
        <v>752</v>
      </c>
      <c r="H576" s="15" t="s">
        <v>143</v>
      </c>
      <c r="I576" s="15">
        <v>15</v>
      </c>
      <c r="J576" s="12" t="s">
        <v>1319</v>
      </c>
      <c r="K576" s="591">
        <f>(14*38)+(1*32.2)</f>
        <v>564.20000000000005</v>
      </c>
      <c r="L576" s="7"/>
    </row>
    <row r="577" spans="1:12" ht="15.75" thickBot="1">
      <c r="A577" s="592" t="s">
        <v>1170</v>
      </c>
      <c r="B577" s="593" t="s">
        <v>9</v>
      </c>
      <c r="C577" s="593">
        <v>46</v>
      </c>
      <c r="D577" s="593" t="s">
        <v>7</v>
      </c>
      <c r="E577" s="594">
        <v>83</v>
      </c>
      <c r="F577" s="593" t="s">
        <v>1644</v>
      </c>
      <c r="G577" s="593" t="s">
        <v>441</v>
      </c>
      <c r="H577" s="594" t="s">
        <v>15</v>
      </c>
      <c r="I577" s="594">
        <v>10</v>
      </c>
      <c r="J577" s="595" t="s">
        <v>27</v>
      </c>
      <c r="K577" s="596">
        <f>(9*38)+(1*29.4)</f>
        <v>371.4</v>
      </c>
      <c r="L577" s="7"/>
    </row>
    <row r="578" spans="1:12">
      <c r="A578" s="611" t="s">
        <v>1170</v>
      </c>
      <c r="B578" s="612" t="s">
        <v>9</v>
      </c>
      <c r="C578" s="612">
        <v>46</v>
      </c>
      <c r="D578" s="612" t="s">
        <v>7</v>
      </c>
      <c r="E578" s="61">
        <v>84</v>
      </c>
      <c r="F578" s="612" t="s">
        <v>191</v>
      </c>
      <c r="G578" s="612" t="s">
        <v>441</v>
      </c>
      <c r="H578" s="61" t="s">
        <v>15</v>
      </c>
      <c r="I578" s="61">
        <v>15</v>
      </c>
      <c r="J578" s="613" t="s">
        <v>97</v>
      </c>
      <c r="K578" s="614">
        <f>(15*38)</f>
        <v>570</v>
      </c>
      <c r="L578" s="7"/>
    </row>
    <row r="579" spans="1:12">
      <c r="A579" s="590" t="s">
        <v>1170</v>
      </c>
      <c r="B579" s="11" t="s">
        <v>9</v>
      </c>
      <c r="C579" s="11">
        <v>46</v>
      </c>
      <c r="D579" s="11" t="s">
        <v>7</v>
      </c>
      <c r="E579" s="15">
        <v>85</v>
      </c>
      <c r="F579" s="11" t="s">
        <v>551</v>
      </c>
      <c r="G579" s="11" t="s">
        <v>441</v>
      </c>
      <c r="H579" s="15" t="s">
        <v>15</v>
      </c>
      <c r="I579" s="15">
        <v>20</v>
      </c>
      <c r="J579" s="12" t="s">
        <v>157</v>
      </c>
      <c r="K579" s="591">
        <f>(20*38)</f>
        <v>760</v>
      </c>
      <c r="L579" s="7"/>
    </row>
    <row r="580" spans="1:12">
      <c r="A580" s="590" t="s">
        <v>1170</v>
      </c>
      <c r="B580" s="11" t="s">
        <v>9</v>
      </c>
      <c r="C580" s="11">
        <v>46</v>
      </c>
      <c r="D580" s="11" t="s">
        <v>7</v>
      </c>
      <c r="E580" s="15">
        <v>91</v>
      </c>
      <c r="F580" s="11" t="s">
        <v>683</v>
      </c>
      <c r="G580" s="11" t="s">
        <v>441</v>
      </c>
      <c r="H580" s="15" t="s">
        <v>15</v>
      </c>
      <c r="I580" s="15">
        <v>15</v>
      </c>
      <c r="J580" s="12" t="s">
        <v>38</v>
      </c>
      <c r="K580" s="591">
        <f>(13*38)+(2*29.4)</f>
        <v>552.79999999999995</v>
      </c>
      <c r="L580" s="7"/>
    </row>
    <row r="581" spans="1:12">
      <c r="A581" s="590" t="s">
        <v>1170</v>
      </c>
      <c r="B581" s="11" t="s">
        <v>9</v>
      </c>
      <c r="C581" s="11">
        <v>46</v>
      </c>
      <c r="D581" s="11" t="s">
        <v>7</v>
      </c>
      <c r="E581" s="15">
        <v>145</v>
      </c>
      <c r="F581" s="11" t="s">
        <v>1787</v>
      </c>
      <c r="G581" s="11" t="s">
        <v>761</v>
      </c>
      <c r="H581" s="15" t="s">
        <v>15</v>
      </c>
      <c r="I581" s="15">
        <v>15</v>
      </c>
      <c r="J581" s="12" t="s">
        <v>397</v>
      </c>
      <c r="K581" s="591">
        <f>(12*38)+(3*29.4)</f>
        <v>544.20000000000005</v>
      </c>
      <c r="L581" s="7"/>
    </row>
    <row r="582" spans="1:12">
      <c r="A582" s="590" t="s">
        <v>1170</v>
      </c>
      <c r="B582" s="11" t="s">
        <v>9</v>
      </c>
      <c r="C582" s="11">
        <v>46</v>
      </c>
      <c r="D582" s="11" t="s">
        <v>7</v>
      </c>
      <c r="E582" s="15">
        <v>146</v>
      </c>
      <c r="F582" s="11" t="s">
        <v>768</v>
      </c>
      <c r="G582" s="11" t="s">
        <v>761</v>
      </c>
      <c r="H582" s="15" t="s">
        <v>15</v>
      </c>
      <c r="I582" s="15">
        <v>15</v>
      </c>
      <c r="J582" s="12" t="s">
        <v>397</v>
      </c>
      <c r="K582" s="591">
        <f>(12*38)+(3*29.4)</f>
        <v>544.20000000000005</v>
      </c>
      <c r="L582" s="7"/>
    </row>
    <row r="583" spans="1:12">
      <c r="A583" s="590" t="s">
        <v>1170</v>
      </c>
      <c r="B583" s="11" t="s">
        <v>9</v>
      </c>
      <c r="C583" s="11">
        <v>46</v>
      </c>
      <c r="D583" s="11" t="s">
        <v>7</v>
      </c>
      <c r="E583" s="15">
        <v>152</v>
      </c>
      <c r="F583" s="11" t="s">
        <v>1788</v>
      </c>
      <c r="G583" s="11" t="s">
        <v>716</v>
      </c>
      <c r="H583" s="15" t="s">
        <v>15</v>
      </c>
      <c r="I583" s="15">
        <v>20</v>
      </c>
      <c r="J583" s="12" t="s">
        <v>31</v>
      </c>
      <c r="K583" s="591">
        <f>(19*38)+(1*29.4)</f>
        <v>751.4</v>
      </c>
      <c r="L583" s="7"/>
    </row>
    <row r="584" spans="1:12">
      <c r="A584" s="590" t="s">
        <v>1170</v>
      </c>
      <c r="B584" s="11" t="s">
        <v>9</v>
      </c>
      <c r="C584" s="11">
        <v>46</v>
      </c>
      <c r="D584" s="11" t="s">
        <v>7</v>
      </c>
      <c r="E584" s="15">
        <v>153</v>
      </c>
      <c r="F584" s="11" t="s">
        <v>1789</v>
      </c>
      <c r="G584" s="11" t="s">
        <v>716</v>
      </c>
      <c r="H584" s="15" t="s">
        <v>15</v>
      </c>
      <c r="I584" s="15">
        <v>20</v>
      </c>
      <c r="J584" s="12" t="s">
        <v>31</v>
      </c>
      <c r="K584" s="591">
        <f t="shared" ref="K584:K585" si="19">(19*38)+(1*29.4)</f>
        <v>751.4</v>
      </c>
      <c r="L584" s="7"/>
    </row>
    <row r="585" spans="1:12">
      <c r="A585" s="590" t="s">
        <v>1170</v>
      </c>
      <c r="B585" s="11" t="s">
        <v>9</v>
      </c>
      <c r="C585" s="11">
        <v>46</v>
      </c>
      <c r="D585" s="11" t="s">
        <v>7</v>
      </c>
      <c r="E585" s="15">
        <v>154</v>
      </c>
      <c r="F585" s="11" t="s">
        <v>557</v>
      </c>
      <c r="G585" s="11" t="s">
        <v>716</v>
      </c>
      <c r="H585" s="15" t="s">
        <v>15</v>
      </c>
      <c r="I585" s="15">
        <v>20</v>
      </c>
      <c r="J585" s="12" t="s">
        <v>31</v>
      </c>
      <c r="K585" s="591">
        <f t="shared" si="19"/>
        <v>751.4</v>
      </c>
      <c r="L585" s="7"/>
    </row>
    <row r="586" spans="1:12">
      <c r="A586" s="590" t="s">
        <v>1170</v>
      </c>
      <c r="B586" s="11" t="s">
        <v>9</v>
      </c>
      <c r="C586" s="11">
        <v>46</v>
      </c>
      <c r="D586" s="11" t="s">
        <v>7</v>
      </c>
      <c r="E586" s="15">
        <v>608</v>
      </c>
      <c r="F586" s="11" t="s">
        <v>1790</v>
      </c>
      <c r="G586" s="11" t="s">
        <v>777</v>
      </c>
      <c r="H586" s="15" t="s">
        <v>15</v>
      </c>
      <c r="I586" s="15">
        <v>30</v>
      </c>
      <c r="J586" s="12" t="s">
        <v>12</v>
      </c>
      <c r="K586" s="591">
        <f>(29*35)+(1*26.4)</f>
        <v>1041.4000000000001</v>
      </c>
      <c r="L586" s="7"/>
    </row>
    <row r="587" spans="1:12">
      <c r="A587" s="590" t="s">
        <v>1170</v>
      </c>
      <c r="B587" s="11" t="s">
        <v>9</v>
      </c>
      <c r="C587" s="11">
        <v>46</v>
      </c>
      <c r="D587" s="11" t="s">
        <v>7</v>
      </c>
      <c r="E587" s="15">
        <v>609</v>
      </c>
      <c r="F587" s="11" t="s">
        <v>1791</v>
      </c>
      <c r="G587" s="11" t="s">
        <v>777</v>
      </c>
      <c r="H587" s="15" t="s">
        <v>15</v>
      </c>
      <c r="I587" s="15">
        <v>20</v>
      </c>
      <c r="J587" s="12" t="s">
        <v>142</v>
      </c>
      <c r="K587" s="591">
        <f>(20*35)</f>
        <v>700</v>
      </c>
      <c r="L587" s="7"/>
    </row>
    <row r="588" spans="1:12">
      <c r="A588" s="590" t="s">
        <v>1170</v>
      </c>
      <c r="B588" s="11" t="s">
        <v>9</v>
      </c>
      <c r="C588" s="11">
        <v>46</v>
      </c>
      <c r="D588" s="11" t="s">
        <v>7</v>
      </c>
      <c r="E588" s="15">
        <v>691</v>
      </c>
      <c r="F588" s="11" t="s">
        <v>695</v>
      </c>
      <c r="G588" s="11" t="s">
        <v>1792</v>
      </c>
      <c r="H588" s="15" t="s">
        <v>5</v>
      </c>
      <c r="I588" s="15">
        <v>20</v>
      </c>
      <c r="J588" s="12" t="s">
        <v>31</v>
      </c>
      <c r="K588" s="591">
        <f>(19*38)+(1*29.4)</f>
        <v>751.4</v>
      </c>
      <c r="L588" s="7"/>
    </row>
    <row r="589" spans="1:12">
      <c r="A589" s="590" t="s">
        <v>1170</v>
      </c>
      <c r="B589" s="11" t="s">
        <v>9</v>
      </c>
      <c r="C589" s="11">
        <v>46</v>
      </c>
      <c r="D589" s="11" t="s">
        <v>7</v>
      </c>
      <c r="E589" s="15">
        <v>692</v>
      </c>
      <c r="F589" s="11" t="s">
        <v>751</v>
      </c>
      <c r="G589" s="11" t="s">
        <v>1792</v>
      </c>
      <c r="H589" s="15" t="s">
        <v>5</v>
      </c>
      <c r="I589" s="15">
        <v>20</v>
      </c>
      <c r="J589" s="12" t="s">
        <v>31</v>
      </c>
      <c r="K589" s="591">
        <f>(19*38)+(1*29.4)</f>
        <v>751.4</v>
      </c>
      <c r="L589" s="7"/>
    </row>
    <row r="590" spans="1:12">
      <c r="A590" s="590" t="s">
        <v>1170</v>
      </c>
      <c r="B590" s="11" t="s">
        <v>9</v>
      </c>
      <c r="C590" s="11">
        <v>46</v>
      </c>
      <c r="D590" s="11" t="s">
        <v>7</v>
      </c>
      <c r="E590" s="15">
        <v>693</v>
      </c>
      <c r="F590" s="11" t="s">
        <v>722</v>
      </c>
      <c r="G590" s="11" t="s">
        <v>1792</v>
      </c>
      <c r="H590" s="15" t="s">
        <v>15</v>
      </c>
      <c r="I590" s="15">
        <v>15</v>
      </c>
      <c r="J590" s="12" t="s">
        <v>14</v>
      </c>
      <c r="K590" s="591">
        <f>(14*38)+(1*29.4)</f>
        <v>561.4</v>
      </c>
      <c r="L590" s="7"/>
    </row>
    <row r="591" spans="1:12">
      <c r="A591" s="590" t="s">
        <v>1170</v>
      </c>
      <c r="B591" s="11" t="s">
        <v>9</v>
      </c>
      <c r="C591" s="11">
        <v>46</v>
      </c>
      <c r="D591" s="11" t="s">
        <v>7</v>
      </c>
      <c r="E591" s="15">
        <v>694</v>
      </c>
      <c r="F591" s="11" t="s">
        <v>751</v>
      </c>
      <c r="G591" s="11" t="s">
        <v>1792</v>
      </c>
      <c r="H591" s="15" t="s">
        <v>15</v>
      </c>
      <c r="I591" s="15">
        <v>10</v>
      </c>
      <c r="J591" s="12" t="s">
        <v>27</v>
      </c>
      <c r="K591" s="591">
        <f>(9*38)+(1*29.4)</f>
        <v>371.4</v>
      </c>
      <c r="L591" s="7"/>
    </row>
    <row r="592" spans="1:12">
      <c r="A592" s="590" t="s">
        <v>1170</v>
      </c>
      <c r="B592" s="11" t="s">
        <v>9</v>
      </c>
      <c r="C592" s="11">
        <v>46</v>
      </c>
      <c r="D592" s="11" t="s">
        <v>7</v>
      </c>
      <c r="E592" s="15">
        <v>710</v>
      </c>
      <c r="F592" s="11" t="s">
        <v>101</v>
      </c>
      <c r="G592" s="11" t="s">
        <v>1793</v>
      </c>
      <c r="H592" s="15" t="s">
        <v>15</v>
      </c>
      <c r="I592" s="15">
        <v>15</v>
      </c>
      <c r="J592" s="12" t="s">
        <v>159</v>
      </c>
      <c r="K592" s="591">
        <f>(15*35)</f>
        <v>525</v>
      </c>
      <c r="L592" s="7"/>
    </row>
    <row r="593" spans="1:12">
      <c r="A593" s="590" t="s">
        <v>1170</v>
      </c>
      <c r="B593" s="11" t="s">
        <v>9</v>
      </c>
      <c r="C593" s="11">
        <v>46</v>
      </c>
      <c r="D593" s="11" t="s">
        <v>7</v>
      </c>
      <c r="E593" s="15">
        <v>712</v>
      </c>
      <c r="F593" s="11" t="s">
        <v>95</v>
      </c>
      <c r="G593" s="11" t="s">
        <v>1793</v>
      </c>
      <c r="H593" s="15" t="s">
        <v>15</v>
      </c>
      <c r="I593" s="15">
        <v>15</v>
      </c>
      <c r="J593" s="12" t="s">
        <v>159</v>
      </c>
      <c r="K593" s="591">
        <f>(15*35)</f>
        <v>525</v>
      </c>
      <c r="L593" s="7"/>
    </row>
    <row r="594" spans="1:12">
      <c r="A594" s="590" t="s">
        <v>1170</v>
      </c>
      <c r="B594" s="11" t="s">
        <v>9</v>
      </c>
      <c r="C594" s="11">
        <v>46</v>
      </c>
      <c r="D594" s="11" t="s">
        <v>7</v>
      </c>
      <c r="E594" s="15">
        <v>919</v>
      </c>
      <c r="F594" s="11" t="s">
        <v>660</v>
      </c>
      <c r="G594" s="11" t="s">
        <v>426</v>
      </c>
      <c r="H594" s="15" t="s">
        <v>15</v>
      </c>
      <c r="I594" s="15">
        <v>20</v>
      </c>
      <c r="J594" s="12" t="s">
        <v>17</v>
      </c>
      <c r="K594" s="591">
        <f>(19*35)+(1*26.4)</f>
        <v>691.4</v>
      </c>
      <c r="L594" s="7"/>
    </row>
    <row r="595" spans="1:12">
      <c r="A595" s="590" t="s">
        <v>1170</v>
      </c>
      <c r="B595" s="11" t="s">
        <v>9</v>
      </c>
      <c r="C595" s="11">
        <v>46</v>
      </c>
      <c r="D595" s="11" t="s">
        <v>7</v>
      </c>
      <c r="E595" s="15">
        <v>921</v>
      </c>
      <c r="F595" s="11" t="s">
        <v>1401</v>
      </c>
      <c r="G595" s="11" t="s">
        <v>426</v>
      </c>
      <c r="H595" s="15" t="s">
        <v>15</v>
      </c>
      <c r="I595" s="15">
        <v>15</v>
      </c>
      <c r="J595" s="12" t="s">
        <v>13</v>
      </c>
      <c r="K595" s="591">
        <f>(14*35)+(1*26.4)</f>
        <v>516.4</v>
      </c>
      <c r="L595" s="7"/>
    </row>
    <row r="596" spans="1:12">
      <c r="A596" s="590" t="s">
        <v>1170</v>
      </c>
      <c r="B596" s="11" t="s">
        <v>9</v>
      </c>
      <c r="C596" s="11">
        <v>46</v>
      </c>
      <c r="D596" s="11" t="s">
        <v>10</v>
      </c>
      <c r="E596" s="15">
        <v>7</v>
      </c>
      <c r="F596" s="11" t="s">
        <v>543</v>
      </c>
      <c r="G596" s="11" t="s">
        <v>1794</v>
      </c>
      <c r="H596" s="15" t="s">
        <v>15</v>
      </c>
      <c r="I596" s="15">
        <v>15</v>
      </c>
      <c r="J596" s="12" t="s">
        <v>14</v>
      </c>
      <c r="K596" s="591">
        <f>(14*38)+(1*29.4)</f>
        <v>561.4</v>
      </c>
      <c r="L596" s="7"/>
    </row>
    <row r="597" spans="1:12">
      <c r="A597" s="590" t="s">
        <v>1170</v>
      </c>
      <c r="B597" s="11" t="s">
        <v>9</v>
      </c>
      <c r="C597" s="11">
        <v>46</v>
      </c>
      <c r="D597" s="11" t="s">
        <v>10</v>
      </c>
      <c r="E597" s="15">
        <v>46</v>
      </c>
      <c r="F597" s="11" t="s">
        <v>763</v>
      </c>
      <c r="G597" s="11" t="s">
        <v>1795</v>
      </c>
      <c r="H597" s="15" t="s">
        <v>5</v>
      </c>
      <c r="I597" s="15">
        <v>25</v>
      </c>
      <c r="J597" s="12" t="s">
        <v>112</v>
      </c>
      <c r="K597" s="591">
        <f>(24*35)+(1*26.4)</f>
        <v>866.4</v>
      </c>
      <c r="L597" s="7"/>
    </row>
    <row r="598" spans="1:12">
      <c r="A598" s="590" t="s">
        <v>1170</v>
      </c>
      <c r="B598" s="11" t="s">
        <v>9</v>
      </c>
      <c r="C598" s="11">
        <v>46</v>
      </c>
      <c r="D598" s="11" t="s">
        <v>10</v>
      </c>
      <c r="E598" s="15">
        <v>69</v>
      </c>
      <c r="F598" s="11" t="s">
        <v>720</v>
      </c>
      <c r="G598" s="11" t="s">
        <v>1795</v>
      </c>
      <c r="H598" s="15" t="s">
        <v>143</v>
      </c>
      <c r="I598" s="15">
        <v>15</v>
      </c>
      <c r="J598" s="12" t="s">
        <v>13</v>
      </c>
      <c r="K598" s="591">
        <f>(14*35)+(1*26.4)</f>
        <v>516.4</v>
      </c>
      <c r="L598" s="7"/>
    </row>
    <row r="599" spans="1:12">
      <c r="A599" s="590" t="s">
        <v>1172</v>
      </c>
      <c r="B599" s="11" t="s">
        <v>9</v>
      </c>
      <c r="C599" s="11">
        <v>46</v>
      </c>
      <c r="D599" s="11" t="s">
        <v>16</v>
      </c>
      <c r="E599" s="15">
        <v>6</v>
      </c>
      <c r="F599" s="11" t="s">
        <v>1796</v>
      </c>
      <c r="G599" s="11" t="s">
        <v>21</v>
      </c>
      <c r="H599" s="15" t="s">
        <v>5</v>
      </c>
      <c r="I599" s="15">
        <v>15</v>
      </c>
      <c r="J599" s="12" t="s">
        <v>22</v>
      </c>
      <c r="K599" s="591">
        <f>(14*37)+(1*28.4)</f>
        <v>546.4</v>
      </c>
      <c r="L599" s="7"/>
    </row>
    <row r="600" spans="1:12">
      <c r="A600" s="590" t="s">
        <v>1172</v>
      </c>
      <c r="B600" s="11" t="s">
        <v>9</v>
      </c>
      <c r="C600" s="11">
        <v>46</v>
      </c>
      <c r="D600" s="11" t="s">
        <v>16</v>
      </c>
      <c r="E600" s="15">
        <v>9</v>
      </c>
      <c r="F600" s="11" t="s">
        <v>1797</v>
      </c>
      <c r="G600" s="11" t="s">
        <v>21</v>
      </c>
      <c r="H600" s="15" t="s">
        <v>5</v>
      </c>
      <c r="I600" s="15">
        <v>25</v>
      </c>
      <c r="J600" s="12" t="s">
        <v>52</v>
      </c>
      <c r="K600" s="591">
        <f>(24*37)+(1*28.4)</f>
        <v>916.4</v>
      </c>
      <c r="L600" s="7"/>
    </row>
    <row r="601" spans="1:12">
      <c r="A601" s="590" t="s">
        <v>1172</v>
      </c>
      <c r="B601" s="11" t="s">
        <v>9</v>
      </c>
      <c r="C601" s="11">
        <v>46</v>
      </c>
      <c r="D601" s="11" t="s">
        <v>16</v>
      </c>
      <c r="E601" s="15">
        <v>30</v>
      </c>
      <c r="F601" s="11" t="s">
        <v>784</v>
      </c>
      <c r="G601" s="11" t="s">
        <v>354</v>
      </c>
      <c r="H601" s="15" t="s">
        <v>5</v>
      </c>
      <c r="I601" s="15">
        <v>15</v>
      </c>
      <c r="J601" s="12" t="s">
        <v>38</v>
      </c>
      <c r="K601" s="591">
        <f>(13*38)+(2*29.4)</f>
        <v>552.79999999999995</v>
      </c>
      <c r="L601" s="7"/>
    </row>
    <row r="602" spans="1:12">
      <c r="A602" s="590" t="s">
        <v>1172</v>
      </c>
      <c r="B602" s="11" t="s">
        <v>9</v>
      </c>
      <c r="C602" s="11">
        <v>46</v>
      </c>
      <c r="D602" s="11" t="s">
        <v>16</v>
      </c>
      <c r="E602" s="15">
        <v>33</v>
      </c>
      <c r="F602" s="11" t="s">
        <v>1798</v>
      </c>
      <c r="G602" s="11" t="s">
        <v>354</v>
      </c>
      <c r="H602" s="15" t="s">
        <v>15</v>
      </c>
      <c r="I602" s="15">
        <v>20</v>
      </c>
      <c r="J602" s="12" t="s">
        <v>31</v>
      </c>
      <c r="K602" s="591">
        <f>(19*38)+(1*29.4)</f>
        <v>751.4</v>
      </c>
      <c r="L602" s="7"/>
    </row>
    <row r="603" spans="1:12">
      <c r="A603" s="590" t="s">
        <v>1172</v>
      </c>
      <c r="B603" s="11" t="s">
        <v>9</v>
      </c>
      <c r="C603" s="11">
        <v>46</v>
      </c>
      <c r="D603" s="11" t="s">
        <v>16</v>
      </c>
      <c r="E603" s="15">
        <v>34</v>
      </c>
      <c r="F603" s="11" t="s">
        <v>1746</v>
      </c>
      <c r="G603" s="11" t="s">
        <v>354</v>
      </c>
      <c r="H603" s="15" t="s">
        <v>15</v>
      </c>
      <c r="I603" s="15">
        <v>20</v>
      </c>
      <c r="J603" s="12" t="s">
        <v>31</v>
      </c>
      <c r="K603" s="591">
        <f>(19*38)+(1*29.4)</f>
        <v>751.4</v>
      </c>
      <c r="L603" s="7"/>
    </row>
    <row r="604" spans="1:12">
      <c r="A604" s="590" t="s">
        <v>1172</v>
      </c>
      <c r="B604" s="11" t="s">
        <v>9</v>
      </c>
      <c r="C604" s="11">
        <v>46</v>
      </c>
      <c r="D604" s="11" t="s">
        <v>16</v>
      </c>
      <c r="E604" s="15">
        <v>71</v>
      </c>
      <c r="F604" s="11" t="s">
        <v>581</v>
      </c>
      <c r="G604" s="11" t="s">
        <v>715</v>
      </c>
      <c r="H604" s="15" t="s">
        <v>15</v>
      </c>
      <c r="I604" s="15">
        <v>30</v>
      </c>
      <c r="J604" s="12" t="s">
        <v>25</v>
      </c>
      <c r="K604" s="591">
        <f>(29*38)+(1*29.4)</f>
        <v>1131.4000000000001</v>
      </c>
      <c r="L604" s="7"/>
    </row>
    <row r="605" spans="1:12">
      <c r="A605" s="590" t="s">
        <v>1172</v>
      </c>
      <c r="B605" s="11" t="s">
        <v>9</v>
      </c>
      <c r="C605" s="11">
        <v>46</v>
      </c>
      <c r="D605" s="11" t="s">
        <v>16</v>
      </c>
      <c r="E605" s="15">
        <v>72</v>
      </c>
      <c r="F605" s="11" t="s">
        <v>571</v>
      </c>
      <c r="G605" s="11" t="s">
        <v>715</v>
      </c>
      <c r="H605" s="15" t="s">
        <v>15</v>
      </c>
      <c r="I605" s="15">
        <v>23</v>
      </c>
      <c r="J605" s="12" t="s">
        <v>1799</v>
      </c>
      <c r="K605" s="591">
        <f>(23*38)</f>
        <v>874</v>
      </c>
      <c r="L605" s="7"/>
    </row>
    <row r="606" spans="1:12">
      <c r="A606" s="590" t="s">
        <v>1172</v>
      </c>
      <c r="B606" s="11" t="s">
        <v>9</v>
      </c>
      <c r="C606" s="11">
        <v>46</v>
      </c>
      <c r="D606" s="11" t="s">
        <v>16</v>
      </c>
      <c r="E606" s="15">
        <v>82</v>
      </c>
      <c r="F606" s="11" t="s">
        <v>1800</v>
      </c>
      <c r="G606" s="11" t="s">
        <v>124</v>
      </c>
      <c r="H606" s="15" t="s">
        <v>15</v>
      </c>
      <c r="I606" s="15">
        <v>20</v>
      </c>
      <c r="J606" s="12" t="s">
        <v>17</v>
      </c>
      <c r="K606" s="591">
        <f>(19*35)+(1*26.4)</f>
        <v>691.4</v>
      </c>
      <c r="L606" s="7"/>
    </row>
    <row r="607" spans="1:12">
      <c r="A607" s="590" t="s">
        <v>1172</v>
      </c>
      <c r="B607" s="11" t="s">
        <v>9</v>
      </c>
      <c r="C607" s="11">
        <v>46</v>
      </c>
      <c r="D607" s="11" t="s">
        <v>16</v>
      </c>
      <c r="E607" s="15">
        <v>84</v>
      </c>
      <c r="F607" s="11" t="s">
        <v>1447</v>
      </c>
      <c r="G607" s="11" t="s">
        <v>124</v>
      </c>
      <c r="H607" s="15" t="s">
        <v>15</v>
      </c>
      <c r="I607" s="15">
        <v>15</v>
      </c>
      <c r="J607" s="12" t="s">
        <v>159</v>
      </c>
      <c r="K607" s="591">
        <f>(15*35)</f>
        <v>525</v>
      </c>
      <c r="L607" s="7"/>
    </row>
    <row r="608" spans="1:12">
      <c r="A608" s="590" t="s">
        <v>1172</v>
      </c>
      <c r="B608" s="11" t="s">
        <v>9</v>
      </c>
      <c r="C608" s="11">
        <v>46</v>
      </c>
      <c r="D608" s="11" t="s">
        <v>16</v>
      </c>
      <c r="E608" s="15">
        <v>92</v>
      </c>
      <c r="F608" s="11" t="s">
        <v>786</v>
      </c>
      <c r="G608" s="11" t="s">
        <v>80</v>
      </c>
      <c r="H608" s="15" t="s">
        <v>5</v>
      </c>
      <c r="I608" s="15">
        <v>20</v>
      </c>
      <c r="J608" s="12" t="s">
        <v>31</v>
      </c>
      <c r="K608" s="591">
        <f>(19*38)+(1*29.4)</f>
        <v>751.4</v>
      </c>
      <c r="L608" s="7"/>
    </row>
    <row r="609" spans="1:12">
      <c r="A609" s="590" t="s">
        <v>1172</v>
      </c>
      <c r="B609" s="11" t="s">
        <v>9</v>
      </c>
      <c r="C609" s="11">
        <v>46</v>
      </c>
      <c r="D609" s="11" t="s">
        <v>16</v>
      </c>
      <c r="E609" s="15">
        <v>93</v>
      </c>
      <c r="F609" s="11" t="s">
        <v>1801</v>
      </c>
      <c r="G609" s="11" t="s">
        <v>80</v>
      </c>
      <c r="H609" s="15" t="s">
        <v>5</v>
      </c>
      <c r="I609" s="15">
        <v>20</v>
      </c>
      <c r="J609" s="12" t="s">
        <v>31</v>
      </c>
      <c r="K609" s="591">
        <f>(19*38)+(1*29.4)</f>
        <v>751.4</v>
      </c>
      <c r="L609" s="7"/>
    </row>
    <row r="610" spans="1:12">
      <c r="A610" s="590" t="s">
        <v>1172</v>
      </c>
      <c r="B610" s="11" t="s">
        <v>9</v>
      </c>
      <c r="C610" s="11">
        <v>46</v>
      </c>
      <c r="D610" s="11" t="s">
        <v>16</v>
      </c>
      <c r="E610" s="15">
        <v>94</v>
      </c>
      <c r="F610" s="11" t="s">
        <v>745</v>
      </c>
      <c r="G610" s="11" t="s">
        <v>80</v>
      </c>
      <c r="H610" s="15" t="s">
        <v>5</v>
      </c>
      <c r="I610" s="15">
        <v>20</v>
      </c>
      <c r="J610" s="12" t="s">
        <v>41</v>
      </c>
      <c r="K610" s="591">
        <f>(18*38)+(2*29.4)</f>
        <v>742.8</v>
      </c>
      <c r="L610" s="7"/>
    </row>
    <row r="611" spans="1:12">
      <c r="A611" s="590" t="s">
        <v>1172</v>
      </c>
      <c r="B611" s="11" t="s">
        <v>9</v>
      </c>
      <c r="C611" s="11">
        <v>46</v>
      </c>
      <c r="D611" s="11" t="s">
        <v>16</v>
      </c>
      <c r="E611" s="15">
        <v>99</v>
      </c>
      <c r="F611" s="11" t="s">
        <v>1787</v>
      </c>
      <c r="G611" s="11" t="s">
        <v>80</v>
      </c>
      <c r="H611" s="15" t="s">
        <v>15</v>
      </c>
      <c r="I611" s="15">
        <v>20</v>
      </c>
      <c r="J611" s="12" t="s">
        <v>31</v>
      </c>
      <c r="K611" s="591">
        <f>(19*38)+(1*29.4)</f>
        <v>751.4</v>
      </c>
      <c r="L611" s="7"/>
    </row>
    <row r="612" spans="1:12">
      <c r="A612" s="590" t="s">
        <v>1172</v>
      </c>
      <c r="B612" s="11" t="s">
        <v>9</v>
      </c>
      <c r="C612" s="11">
        <v>46</v>
      </c>
      <c r="D612" s="11" t="s">
        <v>16</v>
      </c>
      <c r="E612" s="15">
        <v>100</v>
      </c>
      <c r="F612" s="11" t="s">
        <v>528</v>
      </c>
      <c r="G612" s="11" t="s">
        <v>80</v>
      </c>
      <c r="H612" s="15" t="s">
        <v>15</v>
      </c>
      <c r="I612" s="15">
        <v>20</v>
      </c>
      <c r="J612" s="12" t="s">
        <v>41</v>
      </c>
      <c r="K612" s="591">
        <f>(18*38)+(2*29.4)</f>
        <v>742.8</v>
      </c>
      <c r="L612" s="7"/>
    </row>
    <row r="613" spans="1:12">
      <c r="A613" s="590" t="s">
        <v>1172</v>
      </c>
      <c r="B613" s="11" t="s">
        <v>9</v>
      </c>
      <c r="C613" s="11">
        <v>46</v>
      </c>
      <c r="D613" s="11" t="s">
        <v>16</v>
      </c>
      <c r="E613" s="15">
        <v>110</v>
      </c>
      <c r="F613" s="11" t="s">
        <v>627</v>
      </c>
      <c r="G613" s="11" t="s">
        <v>717</v>
      </c>
      <c r="H613" s="15" t="s">
        <v>5</v>
      </c>
      <c r="I613" s="15">
        <v>15</v>
      </c>
      <c r="J613" s="12" t="s">
        <v>14</v>
      </c>
      <c r="K613" s="591">
        <f>(14*38)+(1*29.4)</f>
        <v>561.4</v>
      </c>
      <c r="L613" s="7"/>
    </row>
    <row r="614" spans="1:12">
      <c r="A614" s="590" t="s">
        <v>1172</v>
      </c>
      <c r="B614" s="11" t="s">
        <v>9</v>
      </c>
      <c r="C614" s="11">
        <v>46</v>
      </c>
      <c r="D614" s="11" t="s">
        <v>16</v>
      </c>
      <c r="E614" s="15">
        <v>157</v>
      </c>
      <c r="F614" s="11" t="s">
        <v>121</v>
      </c>
      <c r="G614" s="11" t="s">
        <v>1430</v>
      </c>
      <c r="H614" s="15" t="s">
        <v>15</v>
      </c>
      <c r="I614" s="15">
        <v>10</v>
      </c>
      <c r="J614" s="12" t="s">
        <v>27</v>
      </c>
      <c r="K614" s="591">
        <f>(9*38)+(1*29.4)</f>
        <v>371.4</v>
      </c>
      <c r="L614" s="7"/>
    </row>
    <row r="615" spans="1:12">
      <c r="A615" s="590" t="s">
        <v>1172</v>
      </c>
      <c r="B615" s="11" t="s">
        <v>9</v>
      </c>
      <c r="C615" s="11">
        <v>46</v>
      </c>
      <c r="D615" s="11" t="s">
        <v>16</v>
      </c>
      <c r="E615" s="15">
        <v>158</v>
      </c>
      <c r="F615" s="11" t="s">
        <v>1397</v>
      </c>
      <c r="G615" s="11" t="s">
        <v>1430</v>
      </c>
      <c r="H615" s="15" t="s">
        <v>15</v>
      </c>
      <c r="I615" s="15">
        <v>25</v>
      </c>
      <c r="J615" s="12" t="s">
        <v>170</v>
      </c>
      <c r="K615" s="591">
        <f>(25*38)</f>
        <v>950</v>
      </c>
      <c r="L615" s="7"/>
    </row>
    <row r="616" spans="1:12" ht="15.75" thickBot="1">
      <c r="A616" s="592" t="s">
        <v>1172</v>
      </c>
      <c r="B616" s="593" t="s">
        <v>9</v>
      </c>
      <c r="C616" s="593">
        <v>46</v>
      </c>
      <c r="D616" s="593" t="s">
        <v>16</v>
      </c>
      <c r="E616" s="594">
        <v>159</v>
      </c>
      <c r="F616" s="593" t="s">
        <v>509</v>
      </c>
      <c r="G616" s="593" t="s">
        <v>1430</v>
      </c>
      <c r="H616" s="594" t="s">
        <v>15</v>
      </c>
      <c r="I616" s="594">
        <v>15</v>
      </c>
      <c r="J616" s="595" t="s">
        <v>14</v>
      </c>
      <c r="K616" s="596">
        <f>(14*38)+(1*29.4)</f>
        <v>561.4</v>
      </c>
      <c r="L616" s="7"/>
    </row>
    <row r="617" spans="1:12">
      <c r="A617" s="611" t="s">
        <v>1172</v>
      </c>
      <c r="B617" s="612" t="s">
        <v>9</v>
      </c>
      <c r="C617" s="612">
        <v>46</v>
      </c>
      <c r="D617" s="612" t="s">
        <v>16</v>
      </c>
      <c r="E617" s="61">
        <v>160</v>
      </c>
      <c r="F617" s="612" t="s">
        <v>474</v>
      </c>
      <c r="G617" s="612" t="s">
        <v>1430</v>
      </c>
      <c r="H617" s="61" t="s">
        <v>15</v>
      </c>
      <c r="I617" s="61">
        <v>15</v>
      </c>
      <c r="J617" s="613" t="s">
        <v>97</v>
      </c>
      <c r="K617" s="614">
        <f>(15*38)</f>
        <v>570</v>
      </c>
      <c r="L617" s="7"/>
    </row>
    <row r="618" spans="1:12">
      <c r="A618" s="590" t="s">
        <v>1172</v>
      </c>
      <c r="B618" s="11" t="s">
        <v>9</v>
      </c>
      <c r="C618" s="11">
        <v>46</v>
      </c>
      <c r="D618" s="11" t="s">
        <v>16</v>
      </c>
      <c r="E618" s="15">
        <v>161</v>
      </c>
      <c r="F618" s="11" t="s">
        <v>1446</v>
      </c>
      <c r="G618" s="11" t="s">
        <v>1430</v>
      </c>
      <c r="H618" s="15" t="s">
        <v>15</v>
      </c>
      <c r="I618" s="15">
        <v>10</v>
      </c>
      <c r="J618" s="12" t="s">
        <v>27</v>
      </c>
      <c r="K618" s="591">
        <f>(9*38)+(1*29.4)</f>
        <v>371.4</v>
      </c>
      <c r="L618" s="7"/>
    </row>
    <row r="619" spans="1:12">
      <c r="A619" s="590" t="s">
        <v>1172</v>
      </c>
      <c r="B619" s="11" t="s">
        <v>9</v>
      </c>
      <c r="C619" s="11">
        <v>46</v>
      </c>
      <c r="D619" s="11" t="s">
        <v>16</v>
      </c>
      <c r="E619" s="15">
        <v>185</v>
      </c>
      <c r="F619" s="11" t="s">
        <v>172</v>
      </c>
      <c r="G619" s="11" t="s">
        <v>24</v>
      </c>
      <c r="H619" s="15" t="s">
        <v>15</v>
      </c>
      <c r="I619" s="15">
        <v>15</v>
      </c>
      <c r="J619" s="12" t="s">
        <v>14</v>
      </c>
      <c r="K619" s="591">
        <f>(14*38)+(1*29.4)</f>
        <v>561.4</v>
      </c>
      <c r="L619" s="7"/>
    </row>
    <row r="620" spans="1:12">
      <c r="A620" s="590" t="s">
        <v>1172</v>
      </c>
      <c r="B620" s="11" t="s">
        <v>9</v>
      </c>
      <c r="C620" s="11">
        <v>46</v>
      </c>
      <c r="D620" s="11" t="s">
        <v>16</v>
      </c>
      <c r="E620" s="15">
        <v>198</v>
      </c>
      <c r="F620" s="11" t="s">
        <v>180</v>
      </c>
      <c r="G620" s="11" t="s">
        <v>747</v>
      </c>
      <c r="H620" s="15" t="s">
        <v>15</v>
      </c>
      <c r="I620" s="15">
        <v>15</v>
      </c>
      <c r="J620" s="12" t="s">
        <v>14</v>
      </c>
      <c r="K620" s="591">
        <f>(14*38)+(1*29.4)</f>
        <v>561.4</v>
      </c>
      <c r="L620" s="7"/>
    </row>
    <row r="621" spans="1:12">
      <c r="A621" s="590" t="s">
        <v>1172</v>
      </c>
      <c r="B621" s="11" t="s">
        <v>9</v>
      </c>
      <c r="C621" s="11">
        <v>46</v>
      </c>
      <c r="D621" s="11" t="s">
        <v>16</v>
      </c>
      <c r="E621" s="15">
        <v>199</v>
      </c>
      <c r="F621" s="11" t="s">
        <v>362</v>
      </c>
      <c r="G621" s="11" t="s">
        <v>747</v>
      </c>
      <c r="H621" s="15" t="s">
        <v>15</v>
      </c>
      <c r="I621" s="15">
        <v>25</v>
      </c>
      <c r="J621" s="12" t="s">
        <v>170</v>
      </c>
      <c r="K621" s="591">
        <f>(25*38)</f>
        <v>950</v>
      </c>
      <c r="L621" s="7"/>
    </row>
    <row r="622" spans="1:12">
      <c r="A622" s="590" t="s">
        <v>1172</v>
      </c>
      <c r="B622" s="11" t="s">
        <v>9</v>
      </c>
      <c r="C622" s="11">
        <v>46</v>
      </c>
      <c r="D622" s="11" t="s">
        <v>16</v>
      </c>
      <c r="E622" s="15">
        <v>200</v>
      </c>
      <c r="F622" s="11" t="s">
        <v>138</v>
      </c>
      <c r="G622" s="11" t="s">
        <v>747</v>
      </c>
      <c r="H622" s="15" t="s">
        <v>15</v>
      </c>
      <c r="I622" s="15">
        <v>20</v>
      </c>
      <c r="J622" s="12" t="s">
        <v>157</v>
      </c>
      <c r="K622" s="591">
        <f>(20*38)</f>
        <v>760</v>
      </c>
      <c r="L622" s="7"/>
    </row>
    <row r="623" spans="1:12">
      <c r="A623" s="590" t="s">
        <v>1172</v>
      </c>
      <c r="B623" s="11" t="s">
        <v>9</v>
      </c>
      <c r="C623" s="11">
        <v>46</v>
      </c>
      <c r="D623" s="11" t="s">
        <v>16</v>
      </c>
      <c r="E623" s="15">
        <v>234</v>
      </c>
      <c r="F623" s="11" t="s">
        <v>1802</v>
      </c>
      <c r="G623" s="11" t="s">
        <v>203</v>
      </c>
      <c r="H623" s="15" t="s">
        <v>15</v>
      </c>
      <c r="I623" s="15">
        <v>20</v>
      </c>
      <c r="J623" s="12" t="s">
        <v>17</v>
      </c>
      <c r="K623" s="591">
        <f>(19*35)+(1*26.4)</f>
        <v>691.4</v>
      </c>
      <c r="L623" s="7"/>
    </row>
    <row r="624" spans="1:12">
      <c r="A624" s="590" t="s">
        <v>1172</v>
      </c>
      <c r="B624" s="11" t="s">
        <v>9</v>
      </c>
      <c r="C624" s="11">
        <v>46</v>
      </c>
      <c r="D624" s="11" t="s">
        <v>16</v>
      </c>
      <c r="E624" s="15">
        <v>235</v>
      </c>
      <c r="F624" s="11" t="s">
        <v>1803</v>
      </c>
      <c r="G624" s="11" t="s">
        <v>203</v>
      </c>
      <c r="H624" s="15" t="s">
        <v>15</v>
      </c>
      <c r="I624" s="15">
        <v>20</v>
      </c>
      <c r="J624" s="12" t="s">
        <v>17</v>
      </c>
      <c r="K624" s="591">
        <f t="shared" ref="K624:K627" si="20">(19*35)+(1*26.4)</f>
        <v>691.4</v>
      </c>
      <c r="L624" s="7"/>
    </row>
    <row r="625" spans="1:12">
      <c r="A625" s="590" t="s">
        <v>1172</v>
      </c>
      <c r="B625" s="11" t="s">
        <v>9</v>
      </c>
      <c r="C625" s="11">
        <v>46</v>
      </c>
      <c r="D625" s="11" t="s">
        <v>16</v>
      </c>
      <c r="E625" s="15">
        <v>237</v>
      </c>
      <c r="F625" s="11" t="s">
        <v>1804</v>
      </c>
      <c r="G625" s="11" t="s">
        <v>203</v>
      </c>
      <c r="H625" s="15" t="s">
        <v>15</v>
      </c>
      <c r="I625" s="15">
        <v>20</v>
      </c>
      <c r="J625" s="12" t="s">
        <v>17</v>
      </c>
      <c r="K625" s="591">
        <f t="shared" si="20"/>
        <v>691.4</v>
      </c>
      <c r="L625" s="7"/>
    </row>
    <row r="626" spans="1:12">
      <c r="A626" s="590" t="s">
        <v>1172</v>
      </c>
      <c r="B626" s="11" t="s">
        <v>9</v>
      </c>
      <c r="C626" s="11">
        <v>46</v>
      </c>
      <c r="D626" s="11" t="s">
        <v>16</v>
      </c>
      <c r="E626" s="15">
        <v>238</v>
      </c>
      <c r="F626" s="11" t="s">
        <v>1805</v>
      </c>
      <c r="G626" s="11" t="s">
        <v>203</v>
      </c>
      <c r="H626" s="15" t="s">
        <v>15</v>
      </c>
      <c r="I626" s="15">
        <v>20</v>
      </c>
      <c r="J626" s="12" t="s">
        <v>17</v>
      </c>
      <c r="K626" s="591">
        <f t="shared" si="20"/>
        <v>691.4</v>
      </c>
      <c r="L626" s="7"/>
    </row>
    <row r="627" spans="1:12">
      <c r="A627" s="590" t="s">
        <v>1172</v>
      </c>
      <c r="B627" s="11" t="s">
        <v>9</v>
      </c>
      <c r="C627" s="11">
        <v>46</v>
      </c>
      <c r="D627" s="11" t="s">
        <v>16</v>
      </c>
      <c r="E627" s="15">
        <v>353</v>
      </c>
      <c r="F627" s="11" t="s">
        <v>1444</v>
      </c>
      <c r="G627" s="11" t="s">
        <v>417</v>
      </c>
      <c r="H627" s="15" t="s">
        <v>15</v>
      </c>
      <c r="I627" s="15">
        <v>20</v>
      </c>
      <c r="J627" s="12" t="s">
        <v>17</v>
      </c>
      <c r="K627" s="591">
        <f t="shared" si="20"/>
        <v>691.4</v>
      </c>
      <c r="L627" s="7"/>
    </row>
    <row r="628" spans="1:12">
      <c r="A628" s="590" t="s">
        <v>1174</v>
      </c>
      <c r="B628" s="11" t="s">
        <v>9</v>
      </c>
      <c r="C628" s="11">
        <v>46</v>
      </c>
      <c r="D628" s="11" t="s">
        <v>10</v>
      </c>
      <c r="E628" s="15">
        <v>11</v>
      </c>
      <c r="F628" s="11" t="s">
        <v>76</v>
      </c>
      <c r="G628" s="11" t="s">
        <v>820</v>
      </c>
      <c r="H628" s="15" t="s">
        <v>5</v>
      </c>
      <c r="I628" s="15">
        <v>20</v>
      </c>
      <c r="J628" s="12" t="s">
        <v>492</v>
      </c>
      <c r="K628" s="591">
        <f>(20*36)</f>
        <v>720</v>
      </c>
      <c r="L628" s="7"/>
    </row>
    <row r="629" spans="1:12">
      <c r="A629" s="590" t="s">
        <v>1174</v>
      </c>
      <c r="B629" s="11" t="s">
        <v>9</v>
      </c>
      <c r="C629" s="11">
        <v>46</v>
      </c>
      <c r="D629" s="11" t="s">
        <v>10</v>
      </c>
      <c r="E629" s="15">
        <v>47</v>
      </c>
      <c r="F629" s="11" t="s">
        <v>667</v>
      </c>
      <c r="G629" s="11" t="s">
        <v>778</v>
      </c>
      <c r="H629" s="15" t="s">
        <v>5</v>
      </c>
      <c r="I629" s="15">
        <v>10</v>
      </c>
      <c r="J629" s="12" t="s">
        <v>11</v>
      </c>
      <c r="K629" s="591">
        <f>(9*35)+(1*26.4)</f>
        <v>341.4</v>
      </c>
      <c r="L629" s="7"/>
    </row>
    <row r="630" spans="1:12">
      <c r="A630" s="590" t="s">
        <v>1174</v>
      </c>
      <c r="B630" s="11" t="s">
        <v>9</v>
      </c>
      <c r="C630" s="11">
        <v>46</v>
      </c>
      <c r="D630" s="11" t="s">
        <v>10</v>
      </c>
      <c r="E630" s="15">
        <v>48</v>
      </c>
      <c r="F630" s="11" t="s">
        <v>630</v>
      </c>
      <c r="G630" s="11" t="s">
        <v>778</v>
      </c>
      <c r="H630" s="15" t="s">
        <v>5</v>
      </c>
      <c r="I630" s="15">
        <v>10</v>
      </c>
      <c r="J630" s="12" t="s">
        <v>401</v>
      </c>
      <c r="K630" s="591">
        <f>(10*35)</f>
        <v>350</v>
      </c>
      <c r="L630" s="7"/>
    </row>
    <row r="631" spans="1:12">
      <c r="A631" s="590" t="s">
        <v>1174</v>
      </c>
      <c r="B631" s="11" t="s">
        <v>9</v>
      </c>
      <c r="C631" s="11">
        <v>46</v>
      </c>
      <c r="D631" s="11" t="s">
        <v>10</v>
      </c>
      <c r="E631" s="15">
        <v>50</v>
      </c>
      <c r="F631" s="11" t="s">
        <v>726</v>
      </c>
      <c r="G631" s="11" t="s">
        <v>778</v>
      </c>
      <c r="H631" s="15" t="s">
        <v>5</v>
      </c>
      <c r="I631" s="15">
        <v>20</v>
      </c>
      <c r="J631" s="12" t="s">
        <v>142</v>
      </c>
      <c r="K631" s="591">
        <f>(20*35)</f>
        <v>700</v>
      </c>
      <c r="L631" s="7"/>
    </row>
    <row r="632" spans="1:12">
      <c r="A632" s="590" t="s">
        <v>1174</v>
      </c>
      <c r="B632" s="11" t="s">
        <v>9</v>
      </c>
      <c r="C632" s="11">
        <v>46</v>
      </c>
      <c r="D632" s="11" t="s">
        <v>10</v>
      </c>
      <c r="E632" s="15">
        <v>51</v>
      </c>
      <c r="F632" s="11" t="s">
        <v>470</v>
      </c>
      <c r="G632" s="11" t="s">
        <v>778</v>
      </c>
      <c r="H632" s="15" t="s">
        <v>5</v>
      </c>
      <c r="I632" s="15">
        <v>15</v>
      </c>
      <c r="J632" s="12" t="s">
        <v>159</v>
      </c>
      <c r="K632" s="591">
        <f>(15*35)</f>
        <v>525</v>
      </c>
      <c r="L632" s="7"/>
    </row>
    <row r="633" spans="1:12">
      <c r="A633" s="590" t="s">
        <v>1174</v>
      </c>
      <c r="B633" s="11" t="s">
        <v>9</v>
      </c>
      <c r="C633" s="11">
        <v>46</v>
      </c>
      <c r="D633" s="11" t="s">
        <v>10</v>
      </c>
      <c r="E633" s="15">
        <v>67</v>
      </c>
      <c r="F633" s="11" t="s">
        <v>390</v>
      </c>
      <c r="G633" s="11" t="s">
        <v>778</v>
      </c>
      <c r="H633" s="15" t="s">
        <v>15</v>
      </c>
      <c r="I633" s="15">
        <v>15</v>
      </c>
      <c r="J633" s="12" t="s">
        <v>97</v>
      </c>
      <c r="K633" s="591">
        <f>(15*38)</f>
        <v>570</v>
      </c>
      <c r="L633" s="7"/>
    </row>
    <row r="634" spans="1:12">
      <c r="A634" s="590" t="s">
        <v>1174</v>
      </c>
      <c r="B634" s="11" t="s">
        <v>9</v>
      </c>
      <c r="C634" s="11">
        <v>46</v>
      </c>
      <c r="D634" s="11" t="s">
        <v>10</v>
      </c>
      <c r="E634" s="15">
        <v>123</v>
      </c>
      <c r="F634" s="11" t="s">
        <v>146</v>
      </c>
      <c r="G634" s="11" t="s">
        <v>770</v>
      </c>
      <c r="H634" s="15" t="s">
        <v>5</v>
      </c>
      <c r="I634" s="15">
        <v>30</v>
      </c>
      <c r="J634" s="12" t="s">
        <v>728</v>
      </c>
      <c r="K634" s="591">
        <f>(30*34)</f>
        <v>1020</v>
      </c>
      <c r="L634" s="7"/>
    </row>
    <row r="635" spans="1:12">
      <c r="A635" s="590" t="s">
        <v>1174</v>
      </c>
      <c r="B635" s="11" t="s">
        <v>9</v>
      </c>
      <c r="C635" s="11">
        <v>46</v>
      </c>
      <c r="D635" s="11" t="s">
        <v>10</v>
      </c>
      <c r="E635" s="15">
        <v>129</v>
      </c>
      <c r="F635" s="11" t="s">
        <v>146</v>
      </c>
      <c r="G635" s="11" t="s">
        <v>770</v>
      </c>
      <c r="H635" s="15" t="s">
        <v>143</v>
      </c>
      <c r="I635" s="15">
        <v>15</v>
      </c>
      <c r="J635" s="12" t="s">
        <v>127</v>
      </c>
      <c r="K635" s="591">
        <f>(14*34)+(1*25.4)</f>
        <v>501.4</v>
      </c>
      <c r="L635" s="7"/>
    </row>
    <row r="636" spans="1:12">
      <c r="A636" s="590" t="s">
        <v>1174</v>
      </c>
      <c r="B636" s="11" t="s">
        <v>9</v>
      </c>
      <c r="C636" s="11">
        <v>46</v>
      </c>
      <c r="D636" s="11" t="s">
        <v>10</v>
      </c>
      <c r="E636" s="15">
        <v>138</v>
      </c>
      <c r="F636" s="11" t="s">
        <v>67</v>
      </c>
      <c r="G636" s="11" t="s">
        <v>28</v>
      </c>
      <c r="H636" s="15" t="s">
        <v>15</v>
      </c>
      <c r="I636" s="15">
        <v>20</v>
      </c>
      <c r="J636" s="12" t="s">
        <v>157</v>
      </c>
      <c r="K636" s="591">
        <f>(20*38)</f>
        <v>760</v>
      </c>
      <c r="L636" s="7"/>
    </row>
    <row r="637" spans="1:12">
      <c r="A637" s="590" t="s">
        <v>1174</v>
      </c>
      <c r="B637" s="11" t="s">
        <v>9</v>
      </c>
      <c r="C637" s="11">
        <v>46</v>
      </c>
      <c r="D637" s="11" t="s">
        <v>10</v>
      </c>
      <c r="E637" s="15">
        <v>139</v>
      </c>
      <c r="F637" s="11" t="s">
        <v>779</v>
      </c>
      <c r="G637" s="11" t="s">
        <v>28</v>
      </c>
      <c r="H637" s="15" t="s">
        <v>15</v>
      </c>
      <c r="I637" s="15">
        <v>15</v>
      </c>
      <c r="J637" s="12" t="s">
        <v>14</v>
      </c>
      <c r="K637" s="591">
        <f>(14*38)+(1*29.4)</f>
        <v>561.4</v>
      </c>
      <c r="L637" s="7"/>
    </row>
    <row r="638" spans="1:12">
      <c r="A638" s="590" t="s">
        <v>1174</v>
      </c>
      <c r="B638" s="11" t="s">
        <v>9</v>
      </c>
      <c r="C638" s="11">
        <v>46</v>
      </c>
      <c r="D638" s="11" t="s">
        <v>10</v>
      </c>
      <c r="E638" s="15">
        <v>189</v>
      </c>
      <c r="F638" s="11" t="s">
        <v>794</v>
      </c>
      <c r="G638" s="11" t="s">
        <v>40</v>
      </c>
      <c r="H638" s="15" t="s">
        <v>15</v>
      </c>
      <c r="I638" s="15">
        <v>30</v>
      </c>
      <c r="J638" s="12" t="s">
        <v>25</v>
      </c>
      <c r="K638" s="591">
        <f>(29*38)+(1*29.4)</f>
        <v>1131.4000000000001</v>
      </c>
      <c r="L638" s="7"/>
    </row>
    <row r="639" spans="1:12">
      <c r="A639" s="590" t="s">
        <v>1174</v>
      </c>
      <c r="B639" s="11" t="s">
        <v>9</v>
      </c>
      <c r="C639" s="11">
        <v>46</v>
      </c>
      <c r="D639" s="11" t="s">
        <v>10</v>
      </c>
      <c r="E639" s="15">
        <v>190</v>
      </c>
      <c r="F639" s="11" t="s">
        <v>565</v>
      </c>
      <c r="G639" s="11" t="s">
        <v>40</v>
      </c>
      <c r="H639" s="15" t="s">
        <v>15</v>
      </c>
      <c r="I639" s="15">
        <v>30</v>
      </c>
      <c r="J639" s="12" t="s">
        <v>25</v>
      </c>
      <c r="K639" s="591">
        <f t="shared" ref="K639:K640" si="21">(29*38)+(1*29.4)</f>
        <v>1131.4000000000001</v>
      </c>
      <c r="L639" s="7"/>
    </row>
    <row r="640" spans="1:12">
      <c r="A640" s="590" t="s">
        <v>1174</v>
      </c>
      <c r="B640" s="11" t="s">
        <v>9</v>
      </c>
      <c r="C640" s="11">
        <v>46</v>
      </c>
      <c r="D640" s="11" t="s">
        <v>10</v>
      </c>
      <c r="E640" s="15">
        <v>191</v>
      </c>
      <c r="F640" s="11" t="s">
        <v>589</v>
      </c>
      <c r="G640" s="11" t="s">
        <v>40</v>
      </c>
      <c r="H640" s="15" t="s">
        <v>15</v>
      </c>
      <c r="I640" s="15">
        <v>30</v>
      </c>
      <c r="J640" s="12" t="s">
        <v>25</v>
      </c>
      <c r="K640" s="591">
        <f t="shared" si="21"/>
        <v>1131.4000000000001</v>
      </c>
      <c r="L640" s="7"/>
    </row>
    <row r="641" spans="1:12">
      <c r="A641" s="590" t="s">
        <v>1174</v>
      </c>
      <c r="B641" s="11" t="s">
        <v>9</v>
      </c>
      <c r="C641" s="11">
        <v>46</v>
      </c>
      <c r="D641" s="11" t="s">
        <v>10</v>
      </c>
      <c r="E641" s="15">
        <v>201</v>
      </c>
      <c r="F641" s="11" t="s">
        <v>789</v>
      </c>
      <c r="G641" s="11" t="s">
        <v>21</v>
      </c>
      <c r="H641" s="15" t="s">
        <v>5</v>
      </c>
      <c r="I641" s="15">
        <v>20</v>
      </c>
      <c r="J641" s="12" t="s">
        <v>168</v>
      </c>
      <c r="K641" s="591">
        <f>(20*37)</f>
        <v>740</v>
      </c>
      <c r="L641" s="7"/>
    </row>
    <row r="642" spans="1:12">
      <c r="A642" s="590" t="s">
        <v>1174</v>
      </c>
      <c r="B642" s="11" t="s">
        <v>9</v>
      </c>
      <c r="C642" s="11">
        <v>46</v>
      </c>
      <c r="D642" s="11" t="s">
        <v>10</v>
      </c>
      <c r="E642" s="15">
        <v>362</v>
      </c>
      <c r="F642" s="11" t="s">
        <v>588</v>
      </c>
      <c r="G642" s="11" t="s">
        <v>179</v>
      </c>
      <c r="H642" s="15" t="s">
        <v>15</v>
      </c>
      <c r="I642" s="15">
        <v>20</v>
      </c>
      <c r="J642" s="12" t="s">
        <v>17</v>
      </c>
      <c r="K642" s="591">
        <f>(19*35)+(1*26.4)</f>
        <v>691.4</v>
      </c>
      <c r="L642" s="7"/>
    </row>
    <row r="643" spans="1:12">
      <c r="A643" s="590" t="s">
        <v>1174</v>
      </c>
      <c r="B643" s="11" t="s">
        <v>9</v>
      </c>
      <c r="C643" s="11">
        <v>46</v>
      </c>
      <c r="D643" s="11" t="s">
        <v>10</v>
      </c>
      <c r="E643" s="15">
        <v>363</v>
      </c>
      <c r="F643" s="11" t="s">
        <v>412</v>
      </c>
      <c r="G643" s="11" t="s">
        <v>179</v>
      </c>
      <c r="H643" s="15" t="s">
        <v>15</v>
      </c>
      <c r="I643" s="15">
        <v>20</v>
      </c>
      <c r="J643" s="12" t="s">
        <v>17</v>
      </c>
      <c r="K643" s="591">
        <f t="shared" ref="K643:K646" si="22">(19*35)+(1*26.4)</f>
        <v>691.4</v>
      </c>
      <c r="L643" s="7"/>
    </row>
    <row r="644" spans="1:12">
      <c r="A644" s="590" t="s">
        <v>1174</v>
      </c>
      <c r="B644" s="11" t="s">
        <v>9</v>
      </c>
      <c r="C644" s="11">
        <v>46</v>
      </c>
      <c r="D644" s="11" t="s">
        <v>10</v>
      </c>
      <c r="E644" s="15">
        <v>364</v>
      </c>
      <c r="F644" s="11" t="s">
        <v>792</v>
      </c>
      <c r="G644" s="11" t="s">
        <v>179</v>
      </c>
      <c r="H644" s="15" t="s">
        <v>15</v>
      </c>
      <c r="I644" s="15">
        <v>20</v>
      </c>
      <c r="J644" s="12" t="s">
        <v>17</v>
      </c>
      <c r="K644" s="591">
        <f t="shared" si="22"/>
        <v>691.4</v>
      </c>
      <c r="L644" s="7"/>
    </row>
    <row r="645" spans="1:12">
      <c r="A645" s="590" t="s">
        <v>1174</v>
      </c>
      <c r="B645" s="11" t="s">
        <v>9</v>
      </c>
      <c r="C645" s="11">
        <v>46</v>
      </c>
      <c r="D645" s="11" t="s">
        <v>10</v>
      </c>
      <c r="E645" s="15">
        <v>365</v>
      </c>
      <c r="F645" s="11" t="s">
        <v>566</v>
      </c>
      <c r="G645" s="11" t="s">
        <v>179</v>
      </c>
      <c r="H645" s="15" t="s">
        <v>15</v>
      </c>
      <c r="I645" s="15">
        <v>20</v>
      </c>
      <c r="J645" s="12" t="s">
        <v>17</v>
      </c>
      <c r="K645" s="591">
        <f t="shared" si="22"/>
        <v>691.4</v>
      </c>
      <c r="L645" s="7"/>
    </row>
    <row r="646" spans="1:12">
      <c r="A646" s="590" t="s">
        <v>1174</v>
      </c>
      <c r="B646" s="11" t="s">
        <v>9</v>
      </c>
      <c r="C646" s="11">
        <v>46</v>
      </c>
      <c r="D646" s="11" t="s">
        <v>10</v>
      </c>
      <c r="E646" s="15">
        <v>403</v>
      </c>
      <c r="F646" s="11" t="s">
        <v>578</v>
      </c>
      <c r="G646" s="11" t="s">
        <v>161</v>
      </c>
      <c r="H646" s="15" t="s">
        <v>5</v>
      </c>
      <c r="I646" s="15">
        <v>20</v>
      </c>
      <c r="J646" s="12" t="s">
        <v>17</v>
      </c>
      <c r="K646" s="591">
        <f t="shared" si="22"/>
        <v>691.4</v>
      </c>
      <c r="L646" s="7"/>
    </row>
    <row r="647" spans="1:12">
      <c r="A647" s="590" t="s">
        <v>1174</v>
      </c>
      <c r="B647" s="11" t="s">
        <v>9</v>
      </c>
      <c r="C647" s="11">
        <v>47</v>
      </c>
      <c r="D647" s="11" t="s">
        <v>10</v>
      </c>
      <c r="E647" s="15">
        <v>67</v>
      </c>
      <c r="F647" s="11" t="s">
        <v>1806</v>
      </c>
      <c r="G647" s="11" t="s">
        <v>761</v>
      </c>
      <c r="H647" s="15" t="s">
        <v>5</v>
      </c>
      <c r="I647" s="15">
        <v>23</v>
      </c>
      <c r="J647" s="12" t="s">
        <v>1799</v>
      </c>
      <c r="K647" s="591">
        <f>(23*38)</f>
        <v>874</v>
      </c>
      <c r="L647" s="7"/>
    </row>
    <row r="648" spans="1:12">
      <c r="A648" s="590" t="s">
        <v>1174</v>
      </c>
      <c r="B648" s="11" t="s">
        <v>9</v>
      </c>
      <c r="C648" s="11">
        <v>47</v>
      </c>
      <c r="D648" s="11" t="s">
        <v>10</v>
      </c>
      <c r="E648" s="15">
        <v>68</v>
      </c>
      <c r="F648" s="11" t="s">
        <v>493</v>
      </c>
      <c r="G648" s="11" t="s">
        <v>761</v>
      </c>
      <c r="H648" s="15" t="s">
        <v>5</v>
      </c>
      <c r="I648" s="15">
        <v>15</v>
      </c>
      <c r="J648" s="12" t="s">
        <v>38</v>
      </c>
      <c r="K648" s="591">
        <f>(13*38)+(2*29.4)</f>
        <v>552.79999999999995</v>
      </c>
      <c r="L648" s="7"/>
    </row>
    <row r="649" spans="1:12">
      <c r="A649" s="590" t="s">
        <v>1174</v>
      </c>
      <c r="B649" s="11" t="s">
        <v>9</v>
      </c>
      <c r="C649" s="11">
        <v>47</v>
      </c>
      <c r="D649" s="11" t="s">
        <v>10</v>
      </c>
      <c r="E649" s="15">
        <v>69</v>
      </c>
      <c r="F649" s="11" t="s">
        <v>1807</v>
      </c>
      <c r="G649" s="11" t="s">
        <v>761</v>
      </c>
      <c r="H649" s="15" t="s">
        <v>15</v>
      </c>
      <c r="I649" s="15">
        <v>15</v>
      </c>
      <c r="J649" s="12" t="s">
        <v>14</v>
      </c>
      <c r="K649" s="591">
        <f>(14*38)+(1*29.4)</f>
        <v>561.4</v>
      </c>
      <c r="L649" s="7"/>
    </row>
    <row r="650" spans="1:12">
      <c r="A650" s="590" t="s">
        <v>1174</v>
      </c>
      <c r="B650" s="11" t="s">
        <v>9</v>
      </c>
      <c r="C650" s="11">
        <v>47</v>
      </c>
      <c r="D650" s="11" t="s">
        <v>10</v>
      </c>
      <c r="E650" s="15">
        <v>73</v>
      </c>
      <c r="F650" s="11" t="s">
        <v>1808</v>
      </c>
      <c r="G650" s="11" t="s">
        <v>761</v>
      </c>
      <c r="H650" s="15" t="s">
        <v>15</v>
      </c>
      <c r="I650" s="15">
        <v>15</v>
      </c>
      <c r="J650" s="12" t="s">
        <v>14</v>
      </c>
      <c r="K650" s="591">
        <f>(14*38)+(1*29.4)</f>
        <v>561.4</v>
      </c>
      <c r="L650" s="7"/>
    </row>
    <row r="651" spans="1:12">
      <c r="A651" s="590" t="s">
        <v>1174</v>
      </c>
      <c r="B651" s="11" t="s">
        <v>9</v>
      </c>
      <c r="C651" s="11">
        <v>47</v>
      </c>
      <c r="D651" s="11" t="s">
        <v>10</v>
      </c>
      <c r="E651" s="15">
        <v>74</v>
      </c>
      <c r="F651" s="11" t="s">
        <v>391</v>
      </c>
      <c r="G651" s="11" t="s">
        <v>761</v>
      </c>
      <c r="H651" s="15" t="s">
        <v>15</v>
      </c>
      <c r="I651" s="15">
        <v>15</v>
      </c>
      <c r="J651" s="12" t="s">
        <v>38</v>
      </c>
      <c r="K651" s="591">
        <f>(13*38)+(2*29.4)</f>
        <v>552.79999999999995</v>
      </c>
      <c r="L651" s="7"/>
    </row>
    <row r="652" spans="1:12">
      <c r="A652" s="590" t="s">
        <v>1174</v>
      </c>
      <c r="B652" s="11" t="s">
        <v>9</v>
      </c>
      <c r="C652" s="11">
        <v>47</v>
      </c>
      <c r="D652" s="11" t="s">
        <v>10</v>
      </c>
      <c r="E652" s="15">
        <v>310</v>
      </c>
      <c r="F652" s="11" t="s">
        <v>521</v>
      </c>
      <c r="G652" s="11" t="s">
        <v>747</v>
      </c>
      <c r="H652" s="15" t="s">
        <v>15</v>
      </c>
      <c r="I652" s="15">
        <v>20</v>
      </c>
      <c r="J652" s="12" t="s">
        <v>157</v>
      </c>
      <c r="K652" s="591">
        <f>(20*38)</f>
        <v>760</v>
      </c>
      <c r="L652" s="7"/>
    </row>
    <row r="653" spans="1:12">
      <c r="A653" s="590" t="s">
        <v>1174</v>
      </c>
      <c r="B653" s="11" t="s">
        <v>9</v>
      </c>
      <c r="C653" s="11">
        <v>47</v>
      </c>
      <c r="D653" s="11" t="s">
        <v>10</v>
      </c>
      <c r="E653" s="15">
        <v>461</v>
      </c>
      <c r="F653" s="11" t="s">
        <v>472</v>
      </c>
      <c r="G653" s="11" t="s">
        <v>161</v>
      </c>
      <c r="H653" s="15" t="s">
        <v>5</v>
      </c>
      <c r="I653" s="15">
        <v>20</v>
      </c>
      <c r="J653" s="12" t="s">
        <v>17</v>
      </c>
      <c r="K653" s="591">
        <f>(19*35)+(1*26.4)</f>
        <v>691.4</v>
      </c>
      <c r="L653" s="7"/>
    </row>
    <row r="654" spans="1:12">
      <c r="A654" s="590" t="s">
        <v>1174</v>
      </c>
      <c r="B654" s="11" t="s">
        <v>9</v>
      </c>
      <c r="C654" s="11">
        <v>47</v>
      </c>
      <c r="D654" s="11" t="s">
        <v>10</v>
      </c>
      <c r="E654" s="15">
        <v>495</v>
      </c>
      <c r="F654" s="11" t="s">
        <v>1344</v>
      </c>
      <c r="G654" s="11" t="s">
        <v>674</v>
      </c>
      <c r="H654" s="15" t="s">
        <v>5</v>
      </c>
      <c r="I654" s="15">
        <v>15</v>
      </c>
      <c r="J654" s="12" t="s">
        <v>14</v>
      </c>
      <c r="K654" s="591">
        <f>(14*38)+(1*29.4)</f>
        <v>561.4</v>
      </c>
      <c r="L654" s="7"/>
    </row>
    <row r="655" spans="1:12" ht="15.75" thickBot="1">
      <c r="A655" s="592" t="s">
        <v>1174</v>
      </c>
      <c r="B655" s="593" t="s">
        <v>9</v>
      </c>
      <c r="C655" s="593">
        <v>47</v>
      </c>
      <c r="D655" s="593" t="s">
        <v>10</v>
      </c>
      <c r="E655" s="594">
        <v>496</v>
      </c>
      <c r="F655" s="593" t="s">
        <v>1511</v>
      </c>
      <c r="G655" s="593" t="s">
        <v>674</v>
      </c>
      <c r="H655" s="594" t="s">
        <v>5</v>
      </c>
      <c r="I655" s="594">
        <v>15</v>
      </c>
      <c r="J655" s="595" t="s">
        <v>97</v>
      </c>
      <c r="K655" s="596">
        <f>(15*38)</f>
        <v>570</v>
      </c>
      <c r="L655" s="7"/>
    </row>
    <row r="656" spans="1:12">
      <c r="A656" s="611" t="s">
        <v>1174</v>
      </c>
      <c r="B656" s="612" t="s">
        <v>9</v>
      </c>
      <c r="C656" s="612">
        <v>47</v>
      </c>
      <c r="D656" s="612" t="s">
        <v>10</v>
      </c>
      <c r="E656" s="61">
        <v>500</v>
      </c>
      <c r="F656" s="612" t="s">
        <v>1511</v>
      </c>
      <c r="G656" s="612" t="s">
        <v>674</v>
      </c>
      <c r="H656" s="61" t="s">
        <v>15</v>
      </c>
      <c r="I656" s="61">
        <v>20</v>
      </c>
      <c r="J656" s="613" t="s">
        <v>157</v>
      </c>
      <c r="K656" s="614">
        <f>(20*38)</f>
        <v>760</v>
      </c>
      <c r="L656" s="7"/>
    </row>
    <row r="657" spans="1:12">
      <c r="A657" s="590" t="s">
        <v>1174</v>
      </c>
      <c r="B657" s="11" t="s">
        <v>9</v>
      </c>
      <c r="C657" s="11">
        <v>47</v>
      </c>
      <c r="D657" s="11" t="s">
        <v>10</v>
      </c>
      <c r="E657" s="15">
        <v>504</v>
      </c>
      <c r="F657" s="11" t="s">
        <v>1369</v>
      </c>
      <c r="G657" s="11" t="s">
        <v>674</v>
      </c>
      <c r="H657" s="15" t="s">
        <v>15</v>
      </c>
      <c r="I657" s="15">
        <v>15</v>
      </c>
      <c r="J657" s="12" t="s">
        <v>97</v>
      </c>
      <c r="K657" s="591">
        <f>(15*38)</f>
        <v>570</v>
      </c>
      <c r="L657" s="7"/>
    </row>
    <row r="658" spans="1:12">
      <c r="A658" s="590" t="s">
        <v>1174</v>
      </c>
      <c r="B658" s="11" t="s">
        <v>9</v>
      </c>
      <c r="C658" s="11">
        <v>47</v>
      </c>
      <c r="D658" s="11" t="s">
        <v>10</v>
      </c>
      <c r="E658" s="15">
        <v>566</v>
      </c>
      <c r="F658" s="11" t="s">
        <v>473</v>
      </c>
      <c r="G658" s="11" t="s">
        <v>167</v>
      </c>
      <c r="H658" s="15" t="s">
        <v>5</v>
      </c>
      <c r="I658" s="15">
        <v>15</v>
      </c>
      <c r="J658" s="12" t="s">
        <v>13</v>
      </c>
      <c r="K658" s="591">
        <f>(14*35)+(1*26.4)</f>
        <v>516.4</v>
      </c>
      <c r="L658" s="7"/>
    </row>
    <row r="659" spans="1:12">
      <c r="A659" s="590" t="s">
        <v>1176</v>
      </c>
      <c r="B659" s="11" t="s">
        <v>150</v>
      </c>
      <c r="C659" s="11">
        <v>50</v>
      </c>
      <c r="D659" s="11" t="s">
        <v>7</v>
      </c>
      <c r="E659" s="15">
        <v>670</v>
      </c>
      <c r="F659" s="11" t="s">
        <v>1809</v>
      </c>
      <c r="G659" s="11" t="s">
        <v>517</v>
      </c>
      <c r="H659" s="15" t="s">
        <v>15</v>
      </c>
      <c r="I659" s="15">
        <v>30</v>
      </c>
      <c r="J659" s="12" t="s">
        <v>1810</v>
      </c>
      <c r="K659" s="591">
        <f>(30*25)</f>
        <v>750</v>
      </c>
      <c r="L659" s="7"/>
    </row>
    <row r="660" spans="1:12">
      <c r="A660" s="590" t="s">
        <v>1176</v>
      </c>
      <c r="B660" s="11" t="s">
        <v>150</v>
      </c>
      <c r="C660" s="11">
        <v>50</v>
      </c>
      <c r="D660" s="11" t="s">
        <v>7</v>
      </c>
      <c r="E660" s="15">
        <v>890</v>
      </c>
      <c r="F660" s="11" t="s">
        <v>195</v>
      </c>
      <c r="G660" s="11" t="s">
        <v>709</v>
      </c>
      <c r="H660" s="15" t="s">
        <v>15</v>
      </c>
      <c r="I660" s="15">
        <v>30</v>
      </c>
      <c r="J660" s="12" t="s">
        <v>1762</v>
      </c>
      <c r="K660" s="591">
        <f>(29*25)+(1*17.3)</f>
        <v>742.3</v>
      </c>
      <c r="L660" s="7"/>
    </row>
    <row r="661" spans="1:12">
      <c r="A661" s="590" t="s">
        <v>1176</v>
      </c>
      <c r="B661" s="11" t="s">
        <v>150</v>
      </c>
      <c r="C661" s="11">
        <v>50</v>
      </c>
      <c r="D661" s="11" t="s">
        <v>7</v>
      </c>
      <c r="E661" s="15">
        <v>907</v>
      </c>
      <c r="F661" s="11" t="s">
        <v>1806</v>
      </c>
      <c r="G661" s="11" t="s">
        <v>1576</v>
      </c>
      <c r="H661" s="15" t="s">
        <v>5</v>
      </c>
      <c r="I661" s="15">
        <v>15</v>
      </c>
      <c r="J661" s="12" t="s">
        <v>1811</v>
      </c>
      <c r="K661" s="591">
        <f>(13*26)+(2*18.3)</f>
        <v>374.6</v>
      </c>
      <c r="L661" s="7"/>
    </row>
    <row r="662" spans="1:12">
      <c r="A662" s="590" t="s">
        <v>1176</v>
      </c>
      <c r="B662" s="11" t="s">
        <v>150</v>
      </c>
      <c r="C662" s="11">
        <v>50</v>
      </c>
      <c r="D662" s="11" t="s">
        <v>51</v>
      </c>
      <c r="E662" s="15">
        <v>43</v>
      </c>
      <c r="F662" s="11" t="s">
        <v>1812</v>
      </c>
      <c r="G662" s="11" t="s">
        <v>1766</v>
      </c>
      <c r="H662" s="15" t="s">
        <v>5</v>
      </c>
      <c r="I662" s="15">
        <v>10</v>
      </c>
      <c r="J662" s="12" t="s">
        <v>1813</v>
      </c>
      <c r="K662" s="591">
        <f>(10*34)</f>
        <v>340</v>
      </c>
      <c r="L662" s="7"/>
    </row>
    <row r="663" spans="1:12">
      <c r="A663" s="590" t="s">
        <v>1176</v>
      </c>
      <c r="B663" s="11" t="s">
        <v>150</v>
      </c>
      <c r="C663" s="11">
        <v>50</v>
      </c>
      <c r="D663" s="11" t="s">
        <v>51</v>
      </c>
      <c r="E663" s="15">
        <v>63</v>
      </c>
      <c r="F663" s="11" t="s">
        <v>578</v>
      </c>
      <c r="G663" s="11" t="s">
        <v>1768</v>
      </c>
      <c r="H663" s="15" t="s">
        <v>15</v>
      </c>
      <c r="I663" s="15">
        <v>13</v>
      </c>
      <c r="J663" s="12" t="s">
        <v>1547</v>
      </c>
      <c r="K663" s="591">
        <f>(13*28)</f>
        <v>364</v>
      </c>
      <c r="L663" s="7"/>
    </row>
    <row r="664" spans="1:12">
      <c r="A664" s="590" t="s">
        <v>1176</v>
      </c>
      <c r="B664" s="11" t="s">
        <v>150</v>
      </c>
      <c r="C664" s="11">
        <v>50</v>
      </c>
      <c r="D664" s="11" t="s">
        <v>51</v>
      </c>
      <c r="E664" s="15">
        <v>67</v>
      </c>
      <c r="F664" s="11" t="s">
        <v>151</v>
      </c>
      <c r="G664" s="11" t="s">
        <v>1768</v>
      </c>
      <c r="H664" s="15" t="s">
        <v>15</v>
      </c>
      <c r="I664" s="15">
        <v>15</v>
      </c>
      <c r="J664" s="12" t="s">
        <v>741</v>
      </c>
      <c r="K664" s="591">
        <f>(14*28)+(1*20.3)</f>
        <v>412.3</v>
      </c>
      <c r="L664" s="7"/>
    </row>
    <row r="665" spans="1:12">
      <c r="A665" s="590" t="s">
        <v>1176</v>
      </c>
      <c r="B665" s="11" t="s">
        <v>150</v>
      </c>
      <c r="C665" s="11">
        <v>50</v>
      </c>
      <c r="D665" s="11" t="s">
        <v>51</v>
      </c>
      <c r="E665" s="15">
        <v>83</v>
      </c>
      <c r="F665" s="11" t="s">
        <v>1447</v>
      </c>
      <c r="G665" s="11" t="s">
        <v>658</v>
      </c>
      <c r="H665" s="15" t="s">
        <v>15</v>
      </c>
      <c r="I665" s="15">
        <v>15</v>
      </c>
      <c r="J665" s="12" t="s">
        <v>659</v>
      </c>
      <c r="K665" s="591">
        <f>(13*35)+(2*27.3)</f>
        <v>509.6</v>
      </c>
      <c r="L665" s="7"/>
    </row>
    <row r="666" spans="1:12">
      <c r="A666" s="590" t="s">
        <v>1176</v>
      </c>
      <c r="B666" s="11" t="s">
        <v>150</v>
      </c>
      <c r="C666" s="11">
        <v>50</v>
      </c>
      <c r="D666" s="11" t="s">
        <v>51</v>
      </c>
      <c r="E666" s="15">
        <v>84</v>
      </c>
      <c r="F666" s="11" t="s">
        <v>499</v>
      </c>
      <c r="G666" s="11" t="s">
        <v>658</v>
      </c>
      <c r="H666" s="15" t="s">
        <v>15</v>
      </c>
      <c r="I666" s="15">
        <v>15</v>
      </c>
      <c r="J666" s="12" t="s">
        <v>659</v>
      </c>
      <c r="K666" s="591">
        <f>(13*35)+(2*27.3)</f>
        <v>509.6</v>
      </c>
      <c r="L666" s="7"/>
    </row>
    <row r="667" spans="1:12">
      <c r="A667" s="590" t="s">
        <v>1176</v>
      </c>
      <c r="B667" s="11" t="s">
        <v>150</v>
      </c>
      <c r="C667" s="11">
        <v>50</v>
      </c>
      <c r="D667" s="11" t="s">
        <v>51</v>
      </c>
      <c r="E667" s="15">
        <v>85</v>
      </c>
      <c r="F667" s="11" t="s">
        <v>368</v>
      </c>
      <c r="G667" s="11" t="s">
        <v>658</v>
      </c>
      <c r="H667" s="15" t="s">
        <v>15</v>
      </c>
      <c r="I667" s="15">
        <v>30</v>
      </c>
      <c r="J667" s="12" t="s">
        <v>1604</v>
      </c>
      <c r="K667" s="591">
        <f>(28*35)+(2*27.3)</f>
        <v>1034.5999999999999</v>
      </c>
      <c r="L667" s="7"/>
    </row>
    <row r="668" spans="1:12">
      <c r="A668" s="590" t="s">
        <v>1176</v>
      </c>
      <c r="B668" s="11" t="s">
        <v>150</v>
      </c>
      <c r="C668" s="11">
        <v>50</v>
      </c>
      <c r="D668" s="11" t="s">
        <v>51</v>
      </c>
      <c r="E668" s="15">
        <v>88</v>
      </c>
      <c r="F668" s="11" t="s">
        <v>464</v>
      </c>
      <c r="G668" s="11" t="s">
        <v>658</v>
      </c>
      <c r="H668" s="15" t="s">
        <v>15</v>
      </c>
      <c r="I668" s="15">
        <v>15</v>
      </c>
      <c r="J668" s="12" t="s">
        <v>659</v>
      </c>
      <c r="K668" s="591">
        <f>(13*35)+(2*27.3)</f>
        <v>509.6</v>
      </c>
      <c r="L668" s="7"/>
    </row>
    <row r="669" spans="1:12">
      <c r="A669" s="590" t="s">
        <v>1176</v>
      </c>
      <c r="B669" s="11" t="s">
        <v>150</v>
      </c>
      <c r="C669" s="11">
        <v>50</v>
      </c>
      <c r="D669" s="11" t="s">
        <v>51</v>
      </c>
      <c r="E669" s="15">
        <v>89</v>
      </c>
      <c r="F669" s="11" t="s">
        <v>1519</v>
      </c>
      <c r="G669" s="11" t="s">
        <v>658</v>
      </c>
      <c r="H669" s="15" t="s">
        <v>15</v>
      </c>
      <c r="I669" s="15">
        <v>20</v>
      </c>
      <c r="J669" s="12" t="s">
        <v>696</v>
      </c>
      <c r="K669" s="591">
        <f>(18*35)+(2*30.7)</f>
        <v>691.4</v>
      </c>
      <c r="L669" s="7"/>
    </row>
    <row r="670" spans="1:12">
      <c r="A670" s="590" t="s">
        <v>1176</v>
      </c>
      <c r="B670" s="11" t="s">
        <v>150</v>
      </c>
      <c r="C670" s="11">
        <v>50</v>
      </c>
      <c r="D670" s="11" t="s">
        <v>51</v>
      </c>
      <c r="E670" s="15">
        <v>90</v>
      </c>
      <c r="F670" s="11" t="s">
        <v>141</v>
      </c>
      <c r="G670" s="11" t="s">
        <v>658</v>
      </c>
      <c r="H670" s="15" t="s">
        <v>15</v>
      </c>
      <c r="I670" s="15">
        <v>15</v>
      </c>
      <c r="J670" s="12" t="s">
        <v>159</v>
      </c>
      <c r="K670" s="591">
        <f>(15*35)</f>
        <v>525</v>
      </c>
      <c r="L670" s="7"/>
    </row>
    <row r="671" spans="1:12">
      <c r="A671" s="590" t="s">
        <v>1176</v>
      </c>
      <c r="B671" s="11" t="s">
        <v>150</v>
      </c>
      <c r="C671" s="11">
        <v>50</v>
      </c>
      <c r="D671" s="11" t="s">
        <v>51</v>
      </c>
      <c r="E671" s="15">
        <v>95</v>
      </c>
      <c r="F671" s="11" t="s">
        <v>352</v>
      </c>
      <c r="G671" s="11" t="s">
        <v>658</v>
      </c>
      <c r="H671" s="15" t="s">
        <v>15</v>
      </c>
      <c r="I671" s="15">
        <v>15</v>
      </c>
      <c r="J671" s="12" t="s">
        <v>159</v>
      </c>
      <c r="K671" s="591">
        <f>(15*35)</f>
        <v>525</v>
      </c>
      <c r="L671" s="7"/>
    </row>
    <row r="672" spans="1:12">
      <c r="A672" s="590" t="s">
        <v>1176</v>
      </c>
      <c r="B672" s="11" t="s">
        <v>150</v>
      </c>
      <c r="C672" s="11">
        <v>50</v>
      </c>
      <c r="D672" s="11" t="s">
        <v>51</v>
      </c>
      <c r="E672" s="15">
        <v>220</v>
      </c>
      <c r="F672" s="11" t="s">
        <v>1814</v>
      </c>
      <c r="G672" s="11" t="s">
        <v>1815</v>
      </c>
      <c r="H672" s="15" t="s">
        <v>15</v>
      </c>
      <c r="I672" s="15">
        <v>20</v>
      </c>
      <c r="J672" s="12" t="s">
        <v>1669</v>
      </c>
      <c r="K672" s="591">
        <f>(19*24)+(1*19.7)</f>
        <v>475.7</v>
      </c>
      <c r="L672" s="7"/>
    </row>
    <row r="673" spans="1:12">
      <c r="A673" s="590" t="s">
        <v>1176</v>
      </c>
      <c r="B673" s="11" t="s">
        <v>150</v>
      </c>
      <c r="C673" s="11">
        <v>50</v>
      </c>
      <c r="D673" s="11" t="s">
        <v>51</v>
      </c>
      <c r="E673" s="15">
        <v>348</v>
      </c>
      <c r="F673" s="11" t="s">
        <v>1816</v>
      </c>
      <c r="G673" s="11" t="s">
        <v>1817</v>
      </c>
      <c r="H673" s="15" t="s">
        <v>15</v>
      </c>
      <c r="I673" s="15">
        <v>20</v>
      </c>
      <c r="J673" s="12" t="s">
        <v>1818</v>
      </c>
      <c r="K673" s="591">
        <f>(19*25)+(1*17.3)</f>
        <v>492.3</v>
      </c>
      <c r="L673" s="7"/>
    </row>
    <row r="674" spans="1:12">
      <c r="A674" s="590" t="s">
        <v>1176</v>
      </c>
      <c r="B674" s="11" t="s">
        <v>150</v>
      </c>
      <c r="C674" s="11">
        <v>50</v>
      </c>
      <c r="D674" s="11" t="s">
        <v>51</v>
      </c>
      <c r="E674" s="15">
        <v>349</v>
      </c>
      <c r="F674" s="11" t="s">
        <v>1819</v>
      </c>
      <c r="G674" s="11" t="s">
        <v>1817</v>
      </c>
      <c r="H674" s="15" t="s">
        <v>15</v>
      </c>
      <c r="I674" s="15">
        <v>20</v>
      </c>
      <c r="J674" s="12" t="s">
        <v>1820</v>
      </c>
      <c r="K674" s="591">
        <f>(19*26)+(1*18.3)</f>
        <v>512.29999999999995</v>
      </c>
      <c r="L674" s="7"/>
    </row>
    <row r="675" spans="1:12">
      <c r="A675" s="590" t="s">
        <v>1176</v>
      </c>
      <c r="B675" s="11" t="s">
        <v>150</v>
      </c>
      <c r="C675" s="11">
        <v>50</v>
      </c>
      <c r="D675" s="11" t="s">
        <v>51</v>
      </c>
      <c r="E675" s="15">
        <v>351</v>
      </c>
      <c r="F675" s="11" t="s">
        <v>1821</v>
      </c>
      <c r="G675" s="11" t="s">
        <v>1817</v>
      </c>
      <c r="H675" s="15" t="s">
        <v>15</v>
      </c>
      <c r="I675" s="15">
        <v>20</v>
      </c>
      <c r="J675" s="12" t="s">
        <v>1818</v>
      </c>
      <c r="K675" s="591">
        <f>(19*25)+(1*17.3)</f>
        <v>492.3</v>
      </c>
      <c r="L675" s="7"/>
    </row>
    <row r="676" spans="1:12">
      <c r="A676" s="590" t="s">
        <v>1176</v>
      </c>
      <c r="B676" s="11" t="s">
        <v>150</v>
      </c>
      <c r="C676" s="11">
        <v>50</v>
      </c>
      <c r="D676" s="11" t="s">
        <v>51</v>
      </c>
      <c r="E676" s="15">
        <v>352</v>
      </c>
      <c r="F676" s="11" t="s">
        <v>1822</v>
      </c>
      <c r="G676" s="11" t="s">
        <v>1817</v>
      </c>
      <c r="H676" s="15" t="s">
        <v>15</v>
      </c>
      <c r="I676" s="15">
        <v>20</v>
      </c>
      <c r="J676" s="12" t="s">
        <v>155</v>
      </c>
      <c r="K676" s="591">
        <f>(20*26)</f>
        <v>520</v>
      </c>
      <c r="L676" s="7"/>
    </row>
    <row r="677" spans="1:12">
      <c r="A677" s="590" t="s">
        <v>1176</v>
      </c>
      <c r="B677" s="11" t="s">
        <v>150</v>
      </c>
      <c r="C677" s="11">
        <v>50</v>
      </c>
      <c r="D677" s="11" t="s">
        <v>51</v>
      </c>
      <c r="E677" s="15">
        <v>353</v>
      </c>
      <c r="F677" s="11" t="s">
        <v>1823</v>
      </c>
      <c r="G677" s="11" t="s">
        <v>1817</v>
      </c>
      <c r="H677" s="15" t="s">
        <v>15</v>
      </c>
      <c r="I677" s="15">
        <v>28</v>
      </c>
      <c r="J677" s="12" t="s">
        <v>1824</v>
      </c>
      <c r="K677" s="591">
        <f>(28*25)</f>
        <v>700</v>
      </c>
      <c r="L677" s="7"/>
    </row>
    <row r="678" spans="1:12">
      <c r="A678" s="590" t="s">
        <v>1176</v>
      </c>
      <c r="B678" s="11" t="s">
        <v>150</v>
      </c>
      <c r="C678" s="11">
        <v>50</v>
      </c>
      <c r="D678" s="11" t="s">
        <v>51</v>
      </c>
      <c r="E678" s="15">
        <v>417</v>
      </c>
      <c r="F678" s="11" t="s">
        <v>1526</v>
      </c>
      <c r="G678" s="11" t="s">
        <v>523</v>
      </c>
      <c r="H678" s="15" t="s">
        <v>15</v>
      </c>
      <c r="I678" s="15">
        <v>15</v>
      </c>
      <c r="J678" s="12" t="s">
        <v>641</v>
      </c>
      <c r="K678" s="591">
        <f>(14*35)+(1*27.3)</f>
        <v>517.29999999999995</v>
      </c>
      <c r="L678" s="7"/>
    </row>
    <row r="679" spans="1:12">
      <c r="A679" s="590" t="s">
        <v>1176</v>
      </c>
      <c r="B679" s="11" t="s">
        <v>150</v>
      </c>
      <c r="C679" s="11">
        <v>50</v>
      </c>
      <c r="D679" s="11" t="s">
        <v>51</v>
      </c>
      <c r="E679" s="15">
        <v>435</v>
      </c>
      <c r="F679" s="11" t="s">
        <v>1471</v>
      </c>
      <c r="G679" s="11" t="s">
        <v>515</v>
      </c>
      <c r="H679" s="15" t="s">
        <v>15</v>
      </c>
      <c r="I679" s="15">
        <v>15</v>
      </c>
      <c r="J679" s="12" t="s">
        <v>625</v>
      </c>
      <c r="K679" s="591">
        <f>(14*37)+(1*29.3)</f>
        <v>547.29999999999995</v>
      </c>
      <c r="L679" s="7"/>
    </row>
    <row r="680" spans="1:12">
      <c r="A680" s="590" t="s">
        <v>1176</v>
      </c>
      <c r="B680" s="11" t="s">
        <v>150</v>
      </c>
      <c r="C680" s="11">
        <v>50</v>
      </c>
      <c r="D680" s="11" t="s">
        <v>51</v>
      </c>
      <c r="E680" s="15">
        <v>437</v>
      </c>
      <c r="F680" s="11" t="s">
        <v>578</v>
      </c>
      <c r="G680" s="11" t="s">
        <v>515</v>
      </c>
      <c r="H680" s="15" t="s">
        <v>15</v>
      </c>
      <c r="I680" s="15">
        <v>20</v>
      </c>
      <c r="J680" s="12" t="s">
        <v>1654</v>
      </c>
      <c r="K680" s="591">
        <f>(19*37)+(1*29.3)</f>
        <v>732.3</v>
      </c>
      <c r="L680" s="7"/>
    </row>
    <row r="681" spans="1:12">
      <c r="A681" s="590" t="s">
        <v>1176</v>
      </c>
      <c r="B681" s="11" t="s">
        <v>150</v>
      </c>
      <c r="C681" s="11">
        <v>50</v>
      </c>
      <c r="D681" s="11" t="s">
        <v>51</v>
      </c>
      <c r="E681" s="15">
        <v>439</v>
      </c>
      <c r="F681" s="11" t="s">
        <v>758</v>
      </c>
      <c r="G681" s="11" t="s">
        <v>515</v>
      </c>
      <c r="H681" s="15" t="s">
        <v>15</v>
      </c>
      <c r="I681" s="15">
        <v>20</v>
      </c>
      <c r="J681" s="12" t="s">
        <v>1654</v>
      </c>
      <c r="K681" s="591">
        <f>(19*37)+(1*29.3)</f>
        <v>732.3</v>
      </c>
      <c r="L681" s="7"/>
    </row>
    <row r="682" spans="1:12">
      <c r="A682" s="590" t="s">
        <v>1176</v>
      </c>
      <c r="B682" s="11" t="s">
        <v>150</v>
      </c>
      <c r="C682" s="11">
        <v>50</v>
      </c>
      <c r="D682" s="11" t="s">
        <v>50</v>
      </c>
      <c r="E682" s="15">
        <v>49</v>
      </c>
      <c r="F682" s="11" t="s">
        <v>711</v>
      </c>
      <c r="G682" s="11" t="s">
        <v>1772</v>
      </c>
      <c r="H682" s="15" t="s">
        <v>5</v>
      </c>
      <c r="I682" s="15">
        <v>15</v>
      </c>
      <c r="J682" s="12" t="s">
        <v>98</v>
      </c>
      <c r="K682" s="591">
        <f>(15*30)</f>
        <v>450</v>
      </c>
      <c r="L682" s="7"/>
    </row>
    <row r="683" spans="1:12">
      <c r="A683" s="590" t="s">
        <v>1176</v>
      </c>
      <c r="B683" s="11" t="s">
        <v>150</v>
      </c>
      <c r="C683" s="11">
        <v>50</v>
      </c>
      <c r="D683" s="11" t="s">
        <v>50</v>
      </c>
      <c r="E683" s="15">
        <v>176</v>
      </c>
      <c r="F683" s="11" t="s">
        <v>1369</v>
      </c>
      <c r="G683" s="11" t="s">
        <v>1825</v>
      </c>
      <c r="H683" s="15" t="s">
        <v>5</v>
      </c>
      <c r="I683" s="15">
        <v>7</v>
      </c>
      <c r="J683" s="12" t="s">
        <v>1826</v>
      </c>
      <c r="K683" s="591">
        <f>(5*31)+(2*26.7)</f>
        <v>208.4</v>
      </c>
      <c r="L683" s="7"/>
    </row>
    <row r="684" spans="1:12">
      <c r="A684" s="590" t="s">
        <v>1176</v>
      </c>
      <c r="B684" s="11" t="s">
        <v>150</v>
      </c>
      <c r="C684" s="11">
        <v>50</v>
      </c>
      <c r="D684" s="11" t="s">
        <v>50</v>
      </c>
      <c r="E684" s="15">
        <v>193</v>
      </c>
      <c r="F684" s="11" t="s">
        <v>772</v>
      </c>
      <c r="G684" s="11" t="s">
        <v>1776</v>
      </c>
      <c r="H684" s="15" t="s">
        <v>15</v>
      </c>
      <c r="I684" s="15">
        <v>15</v>
      </c>
      <c r="J684" s="12" t="s">
        <v>640</v>
      </c>
      <c r="K684" s="591">
        <f>(14*36)+(1*28.3)</f>
        <v>532.29999999999995</v>
      </c>
      <c r="L684" s="7"/>
    </row>
    <row r="685" spans="1:12">
      <c r="A685" s="590" t="s">
        <v>1176</v>
      </c>
      <c r="B685" s="11" t="s">
        <v>150</v>
      </c>
      <c r="C685" s="11">
        <v>50</v>
      </c>
      <c r="D685" s="11" t="s">
        <v>50</v>
      </c>
      <c r="E685" s="15">
        <v>195</v>
      </c>
      <c r="F685" s="11" t="s">
        <v>533</v>
      </c>
      <c r="G685" s="11" t="s">
        <v>1776</v>
      </c>
      <c r="H685" s="15" t="s">
        <v>15</v>
      </c>
      <c r="I685" s="15">
        <v>15</v>
      </c>
      <c r="J685" s="12" t="s">
        <v>638</v>
      </c>
      <c r="K685" s="591">
        <f>(13*36)+(2*28.3)</f>
        <v>524.6</v>
      </c>
      <c r="L685" s="7"/>
    </row>
    <row r="686" spans="1:12">
      <c r="A686" s="590" t="s">
        <v>1176</v>
      </c>
      <c r="B686" s="11" t="s">
        <v>150</v>
      </c>
      <c r="C686" s="11">
        <v>50</v>
      </c>
      <c r="D686" s="11" t="s">
        <v>50</v>
      </c>
      <c r="E686" s="15">
        <v>304</v>
      </c>
      <c r="F686" s="11" t="s">
        <v>1753</v>
      </c>
      <c r="G686" s="11" t="s">
        <v>356</v>
      </c>
      <c r="H686" s="15" t="s">
        <v>15</v>
      </c>
      <c r="I686" s="15">
        <v>20</v>
      </c>
      <c r="J686" s="12" t="s">
        <v>142</v>
      </c>
      <c r="K686" s="591">
        <f>(20*35)</f>
        <v>700</v>
      </c>
      <c r="L686" s="7"/>
    </row>
    <row r="687" spans="1:12">
      <c r="A687" s="590" t="s">
        <v>1176</v>
      </c>
      <c r="B687" s="11" t="s">
        <v>150</v>
      </c>
      <c r="C687" s="11">
        <v>50</v>
      </c>
      <c r="D687" s="11" t="s">
        <v>50</v>
      </c>
      <c r="E687" s="15">
        <v>307</v>
      </c>
      <c r="F687" s="11" t="s">
        <v>1827</v>
      </c>
      <c r="G687" s="11" t="s">
        <v>356</v>
      </c>
      <c r="H687" s="15" t="s">
        <v>15</v>
      </c>
      <c r="I687" s="15">
        <v>15</v>
      </c>
      <c r="J687" s="12" t="s">
        <v>659</v>
      </c>
      <c r="K687" s="591">
        <f>(13*35)+(2*27.3)</f>
        <v>509.6</v>
      </c>
      <c r="L687" s="7"/>
    </row>
    <row r="688" spans="1:12">
      <c r="A688" s="590" t="s">
        <v>1176</v>
      </c>
      <c r="B688" s="11" t="s">
        <v>150</v>
      </c>
      <c r="C688" s="11">
        <v>50</v>
      </c>
      <c r="D688" s="11" t="s">
        <v>53</v>
      </c>
      <c r="E688" s="15">
        <v>22</v>
      </c>
      <c r="F688" s="11" t="s">
        <v>1359</v>
      </c>
      <c r="G688" s="11" t="s">
        <v>185</v>
      </c>
      <c r="H688" s="15" t="s">
        <v>5</v>
      </c>
      <c r="I688" s="15">
        <v>20</v>
      </c>
      <c r="J688" s="12" t="s">
        <v>682</v>
      </c>
      <c r="K688" s="591">
        <f>(19*38)+(1*33.7)</f>
        <v>755.7</v>
      </c>
      <c r="L688" s="7"/>
    </row>
    <row r="689" spans="1:12">
      <c r="A689" s="590" t="s">
        <v>1176</v>
      </c>
      <c r="B689" s="11" t="s">
        <v>150</v>
      </c>
      <c r="C689" s="11">
        <v>50</v>
      </c>
      <c r="D689" s="11" t="s">
        <v>53</v>
      </c>
      <c r="E689" s="15">
        <v>24</v>
      </c>
      <c r="F689" s="11" t="s">
        <v>102</v>
      </c>
      <c r="G689" s="11" t="s">
        <v>185</v>
      </c>
      <c r="H689" s="15" t="s">
        <v>15</v>
      </c>
      <c r="I689" s="15">
        <v>20</v>
      </c>
      <c r="J689" s="12" t="s">
        <v>1417</v>
      </c>
      <c r="K689" s="591">
        <f>(18*40)+(2*35.7)</f>
        <v>791.4</v>
      </c>
      <c r="L689" s="7"/>
    </row>
    <row r="690" spans="1:12">
      <c r="A690" s="590" t="s">
        <v>1178</v>
      </c>
      <c r="B690" s="11" t="s">
        <v>150</v>
      </c>
      <c r="C690" s="11">
        <v>46</v>
      </c>
      <c r="D690" s="11" t="s">
        <v>51</v>
      </c>
      <c r="E690" s="15">
        <v>177</v>
      </c>
      <c r="F690" s="11" t="s">
        <v>1828</v>
      </c>
      <c r="G690" s="11" t="s">
        <v>1829</v>
      </c>
      <c r="H690" s="15" t="s">
        <v>15</v>
      </c>
      <c r="I690" s="15">
        <v>20</v>
      </c>
      <c r="J690" s="12" t="s">
        <v>642</v>
      </c>
      <c r="K690" s="591">
        <f>(19*35)+(1*30.7)</f>
        <v>695.7</v>
      </c>
      <c r="L690" s="7"/>
    </row>
    <row r="691" spans="1:12">
      <c r="A691" s="590" t="s">
        <v>1178</v>
      </c>
      <c r="B691" s="11" t="s">
        <v>150</v>
      </c>
      <c r="C691" s="11">
        <v>46</v>
      </c>
      <c r="D691" s="11" t="s">
        <v>51</v>
      </c>
      <c r="E691" s="15">
        <v>178</v>
      </c>
      <c r="F691" s="11" t="s">
        <v>1830</v>
      </c>
      <c r="G691" s="11" t="s">
        <v>1829</v>
      </c>
      <c r="H691" s="15" t="s">
        <v>15</v>
      </c>
      <c r="I691" s="15">
        <v>20</v>
      </c>
      <c r="J691" s="12" t="s">
        <v>642</v>
      </c>
      <c r="K691" s="591">
        <f t="shared" ref="K691" si="23">(19*35)+(1*30.7)</f>
        <v>695.7</v>
      </c>
      <c r="L691" s="7"/>
    </row>
    <row r="692" spans="1:12">
      <c r="A692" s="590" t="s">
        <v>1178</v>
      </c>
      <c r="B692" s="11" t="s">
        <v>150</v>
      </c>
      <c r="C692" s="11">
        <v>46</v>
      </c>
      <c r="D692" s="11" t="s">
        <v>51</v>
      </c>
      <c r="E692" s="15">
        <v>222</v>
      </c>
      <c r="F692" s="11" t="s">
        <v>387</v>
      </c>
      <c r="G692" s="11" t="s">
        <v>1831</v>
      </c>
      <c r="H692" s="15" t="s">
        <v>15</v>
      </c>
      <c r="I692" s="15">
        <v>20</v>
      </c>
      <c r="J692" s="12" t="s">
        <v>1599</v>
      </c>
      <c r="K692" s="591">
        <f>(19*33)+(1*28.7)</f>
        <v>655.7</v>
      </c>
      <c r="L692" s="7"/>
    </row>
    <row r="693" spans="1:12">
      <c r="A693" s="590" t="s">
        <v>1178</v>
      </c>
      <c r="B693" s="11" t="s">
        <v>150</v>
      </c>
      <c r="C693" s="11">
        <v>46</v>
      </c>
      <c r="D693" s="11" t="s">
        <v>51</v>
      </c>
      <c r="E693" s="15">
        <v>370</v>
      </c>
      <c r="F693" s="11" t="s">
        <v>583</v>
      </c>
      <c r="G693" s="11" t="s">
        <v>515</v>
      </c>
      <c r="H693" s="15" t="s">
        <v>15</v>
      </c>
      <c r="I693" s="15">
        <v>20</v>
      </c>
      <c r="J693" s="12" t="s">
        <v>1667</v>
      </c>
      <c r="K693" s="591">
        <f>(19*38)+(1*30.3)</f>
        <v>752.3</v>
      </c>
      <c r="L693" s="7"/>
    </row>
    <row r="694" spans="1:12" ht="15.75" thickBot="1">
      <c r="A694" s="592" t="s">
        <v>1178</v>
      </c>
      <c r="B694" s="593" t="s">
        <v>150</v>
      </c>
      <c r="C694" s="593">
        <v>46</v>
      </c>
      <c r="D694" s="593" t="s">
        <v>51</v>
      </c>
      <c r="E694" s="594">
        <v>376</v>
      </c>
      <c r="F694" s="593" t="s">
        <v>173</v>
      </c>
      <c r="G694" s="593" t="s">
        <v>515</v>
      </c>
      <c r="H694" s="594" t="s">
        <v>15</v>
      </c>
      <c r="I694" s="594">
        <v>20</v>
      </c>
      <c r="J694" s="595" t="s">
        <v>1667</v>
      </c>
      <c r="K694" s="596">
        <f>(19*38)+(1*30.3)</f>
        <v>752.3</v>
      </c>
      <c r="L694" s="7"/>
    </row>
    <row r="695" spans="1:12">
      <c r="A695" s="611" t="s">
        <v>1178</v>
      </c>
      <c r="B695" s="612" t="s">
        <v>150</v>
      </c>
      <c r="C695" s="612">
        <v>46</v>
      </c>
      <c r="D695" s="612" t="s">
        <v>51</v>
      </c>
      <c r="E695" s="61">
        <v>515</v>
      </c>
      <c r="F695" s="612" t="s">
        <v>1453</v>
      </c>
      <c r="G695" s="612" t="s">
        <v>1832</v>
      </c>
      <c r="H695" s="61" t="s">
        <v>5</v>
      </c>
      <c r="I695" s="61">
        <v>20</v>
      </c>
      <c r="J695" s="613" t="s">
        <v>633</v>
      </c>
      <c r="K695" s="614">
        <f>(19*34)+(1*29.7)</f>
        <v>675.7</v>
      </c>
      <c r="L695" s="7"/>
    </row>
    <row r="696" spans="1:12">
      <c r="A696" s="590" t="s">
        <v>1178</v>
      </c>
      <c r="B696" s="11" t="s">
        <v>150</v>
      </c>
      <c r="C696" s="11">
        <v>46</v>
      </c>
      <c r="D696" s="11" t="s">
        <v>51</v>
      </c>
      <c r="E696" s="15">
        <v>516</v>
      </c>
      <c r="F696" s="11" t="s">
        <v>1374</v>
      </c>
      <c r="G696" s="11" t="s">
        <v>1832</v>
      </c>
      <c r="H696" s="15" t="s">
        <v>5</v>
      </c>
      <c r="I696" s="15">
        <v>20</v>
      </c>
      <c r="J696" s="12" t="s">
        <v>633</v>
      </c>
      <c r="K696" s="591">
        <f t="shared" ref="K696:K697" si="24">(19*34)+(1*29.7)</f>
        <v>675.7</v>
      </c>
      <c r="L696" s="7"/>
    </row>
    <row r="697" spans="1:12">
      <c r="A697" s="590" t="s">
        <v>1178</v>
      </c>
      <c r="B697" s="11" t="s">
        <v>150</v>
      </c>
      <c r="C697" s="11">
        <v>46</v>
      </c>
      <c r="D697" s="11" t="s">
        <v>51</v>
      </c>
      <c r="E697" s="15">
        <v>585</v>
      </c>
      <c r="F697" s="11" t="s">
        <v>485</v>
      </c>
      <c r="G697" s="11" t="s">
        <v>462</v>
      </c>
      <c r="H697" s="15" t="s">
        <v>15</v>
      </c>
      <c r="I697" s="15">
        <v>20</v>
      </c>
      <c r="J697" s="12" t="s">
        <v>633</v>
      </c>
      <c r="K697" s="591">
        <f t="shared" si="24"/>
        <v>675.7</v>
      </c>
      <c r="L697" s="7"/>
    </row>
    <row r="698" spans="1:12">
      <c r="A698" s="590" t="s">
        <v>1178</v>
      </c>
      <c r="B698" s="11" t="s">
        <v>150</v>
      </c>
      <c r="C698" s="11">
        <v>46</v>
      </c>
      <c r="D698" s="11" t="s">
        <v>51</v>
      </c>
      <c r="E698" s="15">
        <v>612</v>
      </c>
      <c r="F698" s="11" t="s">
        <v>740</v>
      </c>
      <c r="G698" s="11" t="s">
        <v>117</v>
      </c>
      <c r="H698" s="15" t="s">
        <v>15</v>
      </c>
      <c r="I698" s="15">
        <v>20</v>
      </c>
      <c r="J698" s="12" t="s">
        <v>1415</v>
      </c>
      <c r="K698" s="591">
        <f>(19*44)+(1*39.7)</f>
        <v>875.7</v>
      </c>
      <c r="L698" s="7"/>
    </row>
    <row r="699" spans="1:12">
      <c r="A699" s="590" t="s">
        <v>1178</v>
      </c>
      <c r="B699" s="11" t="s">
        <v>150</v>
      </c>
      <c r="C699" s="11">
        <v>46</v>
      </c>
      <c r="D699" s="11" t="s">
        <v>51</v>
      </c>
      <c r="E699" s="15">
        <v>613</v>
      </c>
      <c r="F699" s="11" t="s">
        <v>1833</v>
      </c>
      <c r="G699" s="11" t="s">
        <v>117</v>
      </c>
      <c r="H699" s="15" t="s">
        <v>15</v>
      </c>
      <c r="I699" s="15">
        <v>20</v>
      </c>
      <c r="J699" s="12" t="s">
        <v>643</v>
      </c>
      <c r="K699" s="591">
        <f>(19*39)+(1*34.7)</f>
        <v>775.7</v>
      </c>
      <c r="L699" s="7"/>
    </row>
    <row r="700" spans="1:12">
      <c r="A700" s="590" t="s">
        <v>1178</v>
      </c>
      <c r="B700" s="11" t="s">
        <v>150</v>
      </c>
      <c r="C700" s="11">
        <v>46</v>
      </c>
      <c r="D700" s="11" t="s">
        <v>50</v>
      </c>
      <c r="E700" s="15">
        <v>10</v>
      </c>
      <c r="F700" s="11" t="s">
        <v>1834</v>
      </c>
      <c r="G700" s="11" t="s">
        <v>701</v>
      </c>
      <c r="H700" s="15" t="s">
        <v>5</v>
      </c>
      <c r="I700" s="15">
        <v>15</v>
      </c>
      <c r="J700" s="12" t="s">
        <v>169</v>
      </c>
      <c r="K700" s="591">
        <f>(15*36)</f>
        <v>540</v>
      </c>
      <c r="L700" s="7"/>
    </row>
    <row r="701" spans="1:12">
      <c r="A701" s="590" t="s">
        <v>1178</v>
      </c>
      <c r="B701" s="11" t="s">
        <v>150</v>
      </c>
      <c r="C701" s="11">
        <v>46</v>
      </c>
      <c r="D701" s="11" t="s">
        <v>50</v>
      </c>
      <c r="E701" s="15">
        <v>266</v>
      </c>
      <c r="F701" s="11" t="s">
        <v>1835</v>
      </c>
      <c r="G701" s="11" t="s">
        <v>358</v>
      </c>
      <c r="H701" s="15" t="s">
        <v>15</v>
      </c>
      <c r="I701" s="15">
        <v>35</v>
      </c>
      <c r="J701" s="12" t="s">
        <v>1836</v>
      </c>
      <c r="K701" s="591">
        <f>(34*38)+(1*30.3)</f>
        <v>1322.3</v>
      </c>
      <c r="L701" s="7"/>
    </row>
    <row r="702" spans="1:12">
      <c r="A702" s="590" t="s">
        <v>1178</v>
      </c>
      <c r="B702" s="11" t="s">
        <v>150</v>
      </c>
      <c r="C702" s="11">
        <v>46</v>
      </c>
      <c r="D702" s="11" t="s">
        <v>50</v>
      </c>
      <c r="E702" s="15">
        <v>267</v>
      </c>
      <c r="F702" s="11" t="s">
        <v>1837</v>
      </c>
      <c r="G702" s="11" t="s">
        <v>358</v>
      </c>
      <c r="H702" s="15" t="s">
        <v>15</v>
      </c>
      <c r="I702" s="15">
        <v>15</v>
      </c>
      <c r="J702" s="12" t="s">
        <v>626</v>
      </c>
      <c r="K702" s="591">
        <f>(14*38)+(1*30.3)</f>
        <v>562.29999999999995</v>
      </c>
      <c r="L702" s="7"/>
    </row>
    <row r="703" spans="1:12">
      <c r="A703" s="590" t="s">
        <v>1178</v>
      </c>
      <c r="B703" s="11" t="s">
        <v>150</v>
      </c>
      <c r="C703" s="11">
        <v>46</v>
      </c>
      <c r="D703" s="11" t="s">
        <v>50</v>
      </c>
      <c r="E703" s="15">
        <v>282</v>
      </c>
      <c r="F703" s="11" t="s">
        <v>1385</v>
      </c>
      <c r="G703" s="11" t="s">
        <v>1776</v>
      </c>
      <c r="H703" s="15" t="s">
        <v>15</v>
      </c>
      <c r="I703" s="15">
        <v>30</v>
      </c>
      <c r="J703" s="12" t="s">
        <v>655</v>
      </c>
      <c r="K703" s="591">
        <f>(29*36)+(1*28.3)</f>
        <v>1072.3</v>
      </c>
      <c r="L703" s="7"/>
    </row>
    <row r="704" spans="1:12">
      <c r="A704" s="590" t="s">
        <v>1178</v>
      </c>
      <c r="B704" s="11" t="s">
        <v>150</v>
      </c>
      <c r="C704" s="11">
        <v>46</v>
      </c>
      <c r="D704" s="11" t="s">
        <v>50</v>
      </c>
      <c r="E704" s="15">
        <v>300</v>
      </c>
      <c r="F704" s="11" t="s">
        <v>1460</v>
      </c>
      <c r="G704" s="11" t="s">
        <v>1838</v>
      </c>
      <c r="H704" s="15" t="s">
        <v>15</v>
      </c>
      <c r="I704" s="15">
        <v>15</v>
      </c>
      <c r="J704" s="12" t="s">
        <v>159</v>
      </c>
      <c r="K704" s="591">
        <f>(15*35)</f>
        <v>525</v>
      </c>
      <c r="L704" s="7"/>
    </row>
    <row r="705" spans="1:12">
      <c r="A705" s="590" t="s">
        <v>1178</v>
      </c>
      <c r="B705" s="11" t="s">
        <v>150</v>
      </c>
      <c r="C705" s="11">
        <v>46</v>
      </c>
      <c r="D705" s="11" t="s">
        <v>50</v>
      </c>
      <c r="E705" s="15">
        <v>301</v>
      </c>
      <c r="F705" s="11" t="s">
        <v>1450</v>
      </c>
      <c r="G705" s="11" t="s">
        <v>1838</v>
      </c>
      <c r="H705" s="15" t="s">
        <v>15</v>
      </c>
      <c r="I705" s="15">
        <v>15</v>
      </c>
      <c r="J705" s="12" t="s">
        <v>159</v>
      </c>
      <c r="K705" s="591">
        <f>(15*35)</f>
        <v>525</v>
      </c>
      <c r="L705" s="7"/>
    </row>
    <row r="706" spans="1:12">
      <c r="A706" s="590" t="s">
        <v>1178</v>
      </c>
      <c r="B706" s="11" t="s">
        <v>150</v>
      </c>
      <c r="C706" s="11">
        <v>46</v>
      </c>
      <c r="D706" s="11" t="s">
        <v>50</v>
      </c>
      <c r="E706" s="15">
        <v>349</v>
      </c>
      <c r="F706" s="11" t="s">
        <v>580</v>
      </c>
      <c r="G706" s="11" t="s">
        <v>117</v>
      </c>
      <c r="H706" s="15" t="s">
        <v>5</v>
      </c>
      <c r="I706" s="15">
        <v>20</v>
      </c>
      <c r="J706" s="12" t="s">
        <v>692</v>
      </c>
      <c r="K706" s="591">
        <f>(19*37)+(1*32.7)</f>
        <v>735.7</v>
      </c>
      <c r="L706" s="7"/>
    </row>
    <row r="707" spans="1:12">
      <c r="A707" s="590" t="s">
        <v>1178</v>
      </c>
      <c r="B707" s="11" t="s">
        <v>150</v>
      </c>
      <c r="C707" s="11">
        <v>46</v>
      </c>
      <c r="D707" s="11" t="s">
        <v>50</v>
      </c>
      <c r="E707" s="15">
        <v>350</v>
      </c>
      <c r="F707" s="11" t="s">
        <v>1839</v>
      </c>
      <c r="G707" s="11" t="s">
        <v>117</v>
      </c>
      <c r="H707" s="15" t="s">
        <v>15</v>
      </c>
      <c r="I707" s="15">
        <v>20</v>
      </c>
      <c r="J707" s="12" t="s">
        <v>643</v>
      </c>
      <c r="K707" s="591">
        <f>(19*39)+(1*34.7)</f>
        <v>775.7</v>
      </c>
      <c r="L707" s="7"/>
    </row>
    <row r="708" spans="1:12">
      <c r="A708" s="590" t="s">
        <v>1178</v>
      </c>
      <c r="B708" s="11" t="s">
        <v>150</v>
      </c>
      <c r="C708" s="11">
        <v>46</v>
      </c>
      <c r="D708" s="11" t="s">
        <v>50</v>
      </c>
      <c r="E708" s="15">
        <v>352</v>
      </c>
      <c r="F708" s="11" t="s">
        <v>1840</v>
      </c>
      <c r="G708" s="11" t="s">
        <v>117</v>
      </c>
      <c r="H708" s="15" t="s">
        <v>15</v>
      </c>
      <c r="I708" s="15">
        <v>20</v>
      </c>
      <c r="J708" s="12" t="s">
        <v>643</v>
      </c>
      <c r="K708" s="591">
        <f>(19*39)+(1*34.7)</f>
        <v>775.7</v>
      </c>
      <c r="L708" s="7"/>
    </row>
    <row r="709" spans="1:12">
      <c r="A709" s="590" t="s">
        <v>1178</v>
      </c>
      <c r="B709" s="11" t="s">
        <v>150</v>
      </c>
      <c r="C709" s="11">
        <v>49</v>
      </c>
      <c r="D709" s="11" t="s">
        <v>55</v>
      </c>
      <c r="E709" s="15">
        <v>97</v>
      </c>
      <c r="F709" s="11" t="s">
        <v>478</v>
      </c>
      <c r="G709" s="11" t="s">
        <v>705</v>
      </c>
      <c r="H709" s="15" t="s">
        <v>15</v>
      </c>
      <c r="I709" s="15">
        <v>15</v>
      </c>
      <c r="J709" s="12" t="s">
        <v>159</v>
      </c>
      <c r="K709" s="591">
        <f>(15*35)</f>
        <v>525</v>
      </c>
      <c r="L709" s="7"/>
    </row>
    <row r="710" spans="1:12">
      <c r="A710" s="590" t="s">
        <v>1178</v>
      </c>
      <c r="B710" s="11" t="s">
        <v>150</v>
      </c>
      <c r="C710" s="11">
        <v>49</v>
      </c>
      <c r="D710" s="11" t="s">
        <v>55</v>
      </c>
      <c r="E710" s="15">
        <v>98</v>
      </c>
      <c r="F710" s="11" t="s">
        <v>596</v>
      </c>
      <c r="G710" s="11" t="s">
        <v>705</v>
      </c>
      <c r="H710" s="15" t="s">
        <v>15</v>
      </c>
      <c r="I710" s="15">
        <v>15</v>
      </c>
      <c r="J710" s="12" t="s">
        <v>159</v>
      </c>
      <c r="K710" s="591">
        <f>(15*35)</f>
        <v>525</v>
      </c>
      <c r="L710" s="7"/>
    </row>
    <row r="711" spans="1:12">
      <c r="A711" s="590" t="s">
        <v>1178</v>
      </c>
      <c r="B711" s="11" t="s">
        <v>150</v>
      </c>
      <c r="C711" s="11">
        <v>49</v>
      </c>
      <c r="D711" s="11" t="s">
        <v>55</v>
      </c>
      <c r="E711" s="15">
        <v>100</v>
      </c>
      <c r="F711" s="11" t="s">
        <v>368</v>
      </c>
      <c r="G711" s="11" t="s">
        <v>705</v>
      </c>
      <c r="H711" s="15" t="s">
        <v>15</v>
      </c>
      <c r="I711" s="15">
        <v>20</v>
      </c>
      <c r="J711" s="12" t="s">
        <v>142</v>
      </c>
      <c r="K711" s="591">
        <f>(20*35)</f>
        <v>700</v>
      </c>
      <c r="L711" s="7"/>
    </row>
    <row r="712" spans="1:12">
      <c r="A712" s="590" t="s">
        <v>1178</v>
      </c>
      <c r="B712" s="11" t="s">
        <v>150</v>
      </c>
      <c r="C712" s="11">
        <v>49</v>
      </c>
      <c r="D712" s="11" t="s">
        <v>55</v>
      </c>
      <c r="E712" s="15">
        <v>125</v>
      </c>
      <c r="F712" s="11" t="s">
        <v>1841</v>
      </c>
      <c r="G712" s="11" t="s">
        <v>1617</v>
      </c>
      <c r="H712" s="15" t="s">
        <v>15</v>
      </c>
      <c r="I712" s="15">
        <v>20</v>
      </c>
      <c r="J712" s="12" t="s">
        <v>694</v>
      </c>
      <c r="K712" s="591">
        <f>(17*36)+(3*31.7)</f>
        <v>707.1</v>
      </c>
      <c r="L712" s="7"/>
    </row>
    <row r="713" spans="1:12">
      <c r="A713" s="590" t="s">
        <v>1178</v>
      </c>
      <c r="B713" s="11" t="s">
        <v>150</v>
      </c>
      <c r="C713" s="11">
        <v>49</v>
      </c>
      <c r="D713" s="11" t="s">
        <v>144</v>
      </c>
      <c r="E713" s="15">
        <v>21</v>
      </c>
      <c r="F713" s="11" t="s">
        <v>1842</v>
      </c>
      <c r="G713" s="11" t="s">
        <v>677</v>
      </c>
      <c r="H713" s="15" t="s">
        <v>5</v>
      </c>
      <c r="I713" s="15">
        <v>20</v>
      </c>
      <c r="J713" s="12" t="s">
        <v>698</v>
      </c>
      <c r="K713" s="591">
        <f>(19*32)+(1*27.7)</f>
        <v>635.70000000000005</v>
      </c>
      <c r="L713" s="7"/>
    </row>
    <row r="714" spans="1:12">
      <c r="A714" s="590" t="s">
        <v>1178</v>
      </c>
      <c r="B714" s="11" t="s">
        <v>150</v>
      </c>
      <c r="C714" s="11">
        <v>49</v>
      </c>
      <c r="D714" s="11" t="s">
        <v>144</v>
      </c>
      <c r="E714" s="15">
        <v>24</v>
      </c>
      <c r="F714" s="11" t="s">
        <v>1843</v>
      </c>
      <c r="G714" s="11" t="s">
        <v>677</v>
      </c>
      <c r="H714" s="15" t="s">
        <v>15</v>
      </c>
      <c r="I714" s="15">
        <v>20</v>
      </c>
      <c r="J714" s="12" t="s">
        <v>1599</v>
      </c>
      <c r="K714" s="591">
        <f>(19*33)+(1*28.7)</f>
        <v>655.7</v>
      </c>
      <c r="L714" s="7"/>
    </row>
    <row r="715" spans="1:12">
      <c r="A715" s="590" t="s">
        <v>1178</v>
      </c>
      <c r="B715" s="11" t="s">
        <v>150</v>
      </c>
      <c r="C715" s="11">
        <v>49</v>
      </c>
      <c r="D715" s="11" t="s">
        <v>7</v>
      </c>
      <c r="E715" s="15">
        <v>73</v>
      </c>
      <c r="F715" s="11" t="s">
        <v>1844</v>
      </c>
      <c r="G715" s="11" t="s">
        <v>1845</v>
      </c>
      <c r="H715" s="15" t="s">
        <v>15</v>
      </c>
      <c r="I715" s="15">
        <v>30</v>
      </c>
      <c r="J715" s="12" t="s">
        <v>1846</v>
      </c>
      <c r="K715" s="591">
        <f>(29*28)+(1*20.3)</f>
        <v>832.3</v>
      </c>
      <c r="L715" s="7"/>
    </row>
    <row r="716" spans="1:12">
      <c r="A716" s="590" t="s">
        <v>1178</v>
      </c>
      <c r="B716" s="11" t="s">
        <v>150</v>
      </c>
      <c r="C716" s="11">
        <v>49</v>
      </c>
      <c r="D716" s="11" t="s">
        <v>7</v>
      </c>
      <c r="E716" s="15">
        <v>75</v>
      </c>
      <c r="F716" s="11" t="s">
        <v>1847</v>
      </c>
      <c r="G716" s="11" t="s">
        <v>1845</v>
      </c>
      <c r="H716" s="15" t="s">
        <v>15</v>
      </c>
      <c r="I716" s="15">
        <v>15</v>
      </c>
      <c r="J716" s="12" t="s">
        <v>741</v>
      </c>
      <c r="K716" s="591">
        <f>(14*28)+(1*20.3)</f>
        <v>412.3</v>
      </c>
      <c r="L716" s="7"/>
    </row>
    <row r="717" spans="1:12">
      <c r="A717" s="590" t="s">
        <v>1178</v>
      </c>
      <c r="B717" s="11" t="s">
        <v>150</v>
      </c>
      <c r="C717" s="11">
        <v>49</v>
      </c>
      <c r="D717" s="11" t="s">
        <v>7</v>
      </c>
      <c r="E717" s="15">
        <v>76</v>
      </c>
      <c r="F717" s="11" t="s">
        <v>1848</v>
      </c>
      <c r="G717" s="11" t="s">
        <v>1845</v>
      </c>
      <c r="H717" s="15" t="s">
        <v>15</v>
      </c>
      <c r="I717" s="15">
        <v>15</v>
      </c>
      <c r="J717" s="12" t="s">
        <v>741</v>
      </c>
      <c r="K717" s="591">
        <f>(14*28)+(1*20.3)</f>
        <v>412.3</v>
      </c>
      <c r="L717" s="7"/>
    </row>
    <row r="718" spans="1:12">
      <c r="A718" s="590" t="s">
        <v>1178</v>
      </c>
      <c r="B718" s="11" t="s">
        <v>150</v>
      </c>
      <c r="C718" s="11">
        <v>49</v>
      </c>
      <c r="D718" s="11" t="s">
        <v>7</v>
      </c>
      <c r="E718" s="15">
        <v>203</v>
      </c>
      <c r="F718" s="11" t="s">
        <v>598</v>
      </c>
      <c r="G718" s="11" t="s">
        <v>1849</v>
      </c>
      <c r="H718" s="15" t="s">
        <v>5</v>
      </c>
      <c r="I718" s="15">
        <v>20</v>
      </c>
      <c r="J718" s="12" t="s">
        <v>628</v>
      </c>
      <c r="K718" s="591">
        <f>(18*36)+(2*31.7)</f>
        <v>711.4</v>
      </c>
      <c r="L718" s="7"/>
    </row>
    <row r="719" spans="1:12">
      <c r="A719" s="590" t="s">
        <v>1178</v>
      </c>
      <c r="B719" s="11" t="s">
        <v>150</v>
      </c>
      <c r="C719" s="11">
        <v>49</v>
      </c>
      <c r="D719" s="11" t="s">
        <v>7</v>
      </c>
      <c r="E719" s="15">
        <v>372</v>
      </c>
      <c r="F719" s="11" t="s">
        <v>1419</v>
      </c>
      <c r="G719" s="11" t="s">
        <v>1850</v>
      </c>
      <c r="H719" s="15" t="s">
        <v>15</v>
      </c>
      <c r="I719" s="15">
        <v>20</v>
      </c>
      <c r="J719" s="12" t="s">
        <v>458</v>
      </c>
      <c r="K719" s="591">
        <f>(20*28)</f>
        <v>560</v>
      </c>
      <c r="L719" s="7"/>
    </row>
    <row r="720" spans="1:12">
      <c r="A720" s="590" t="s">
        <v>1178</v>
      </c>
      <c r="B720" s="11" t="s">
        <v>150</v>
      </c>
      <c r="C720" s="11">
        <v>49</v>
      </c>
      <c r="D720" s="11" t="s">
        <v>7</v>
      </c>
      <c r="E720" s="15">
        <v>450</v>
      </c>
      <c r="F720" s="11" t="s">
        <v>1851</v>
      </c>
      <c r="G720" s="11" t="s">
        <v>504</v>
      </c>
      <c r="H720" s="15" t="s">
        <v>15</v>
      </c>
      <c r="I720" s="15">
        <v>20</v>
      </c>
      <c r="J720" s="12" t="s">
        <v>682</v>
      </c>
      <c r="K720" s="591">
        <f>(19*38)+(1*33.7)</f>
        <v>755.7</v>
      </c>
      <c r="L720" s="7"/>
    </row>
    <row r="721" spans="1:12">
      <c r="A721" s="590" t="s">
        <v>1178</v>
      </c>
      <c r="B721" s="11" t="s">
        <v>150</v>
      </c>
      <c r="C721" s="11">
        <v>49</v>
      </c>
      <c r="D721" s="11" t="s">
        <v>7</v>
      </c>
      <c r="E721" s="15">
        <v>632</v>
      </c>
      <c r="F721" s="11" t="s">
        <v>527</v>
      </c>
      <c r="G721" s="11" t="s">
        <v>523</v>
      </c>
      <c r="H721" s="15" t="s">
        <v>15</v>
      </c>
      <c r="I721" s="15">
        <v>20</v>
      </c>
      <c r="J721" s="12" t="s">
        <v>1577</v>
      </c>
      <c r="K721" s="591">
        <f>(17*37)+(3*29.3)</f>
        <v>716.9</v>
      </c>
      <c r="L721" s="7"/>
    </row>
    <row r="722" spans="1:12">
      <c r="A722" s="590" t="s">
        <v>1178</v>
      </c>
      <c r="B722" s="11" t="s">
        <v>150</v>
      </c>
      <c r="C722" s="11">
        <v>49</v>
      </c>
      <c r="D722" s="11" t="s">
        <v>7</v>
      </c>
      <c r="E722" s="15">
        <v>720</v>
      </c>
      <c r="F722" s="11" t="s">
        <v>208</v>
      </c>
      <c r="G722" s="11" t="s">
        <v>515</v>
      </c>
      <c r="H722" s="15" t="s">
        <v>15</v>
      </c>
      <c r="I722" s="15">
        <v>20</v>
      </c>
      <c r="J722" s="12" t="s">
        <v>696</v>
      </c>
      <c r="K722" s="591">
        <f>(18*35)+(2*30.7)</f>
        <v>691.4</v>
      </c>
      <c r="L722" s="7"/>
    </row>
    <row r="723" spans="1:12">
      <c r="A723" s="590" t="s">
        <v>1178</v>
      </c>
      <c r="B723" s="11" t="s">
        <v>150</v>
      </c>
      <c r="C723" s="11">
        <v>50</v>
      </c>
      <c r="D723" s="11" t="s">
        <v>55</v>
      </c>
      <c r="E723" s="15">
        <v>26</v>
      </c>
      <c r="F723" s="11" t="s">
        <v>1852</v>
      </c>
      <c r="G723" s="11" t="s">
        <v>1853</v>
      </c>
      <c r="H723" s="15" t="s">
        <v>15</v>
      </c>
      <c r="I723" s="15">
        <v>20</v>
      </c>
      <c r="J723" s="12" t="s">
        <v>1854</v>
      </c>
      <c r="K723" s="591">
        <f>(18*25)+(2*20.7)</f>
        <v>491.4</v>
      </c>
      <c r="L723" s="7"/>
    </row>
    <row r="724" spans="1:12">
      <c r="A724" s="590" t="s">
        <v>1178</v>
      </c>
      <c r="B724" s="11" t="s">
        <v>150</v>
      </c>
      <c r="C724" s="11">
        <v>50</v>
      </c>
      <c r="D724" s="11" t="s">
        <v>55</v>
      </c>
      <c r="E724" s="15">
        <v>37</v>
      </c>
      <c r="F724" s="11" t="s">
        <v>1855</v>
      </c>
      <c r="G724" s="11" t="s">
        <v>1757</v>
      </c>
      <c r="H724" s="15" t="s">
        <v>15</v>
      </c>
      <c r="I724" s="15">
        <v>15</v>
      </c>
      <c r="J724" s="12" t="s">
        <v>1758</v>
      </c>
      <c r="K724" s="591">
        <f>(15*25)</f>
        <v>375</v>
      </c>
      <c r="L724" s="7"/>
    </row>
    <row r="725" spans="1:12">
      <c r="A725" s="590" t="s">
        <v>1178</v>
      </c>
      <c r="B725" s="11" t="s">
        <v>150</v>
      </c>
      <c r="C725" s="11">
        <v>50</v>
      </c>
      <c r="D725" s="11" t="s">
        <v>55</v>
      </c>
      <c r="E725" s="15">
        <v>55</v>
      </c>
      <c r="F725" s="11" t="s">
        <v>1856</v>
      </c>
      <c r="G725" s="11" t="s">
        <v>705</v>
      </c>
      <c r="H725" s="15" t="s">
        <v>15</v>
      </c>
      <c r="I725" s="15">
        <v>25</v>
      </c>
      <c r="J725" s="12" t="s">
        <v>436</v>
      </c>
      <c r="K725" s="591">
        <f>(25*35)</f>
        <v>875</v>
      </c>
      <c r="L725" s="7"/>
    </row>
    <row r="726" spans="1:12">
      <c r="A726" s="590" t="s">
        <v>1178</v>
      </c>
      <c r="B726" s="11" t="s">
        <v>150</v>
      </c>
      <c r="C726" s="11">
        <v>50</v>
      </c>
      <c r="D726" s="11" t="s">
        <v>55</v>
      </c>
      <c r="E726" s="15">
        <v>57</v>
      </c>
      <c r="F726" s="11" t="s">
        <v>160</v>
      </c>
      <c r="G726" s="11" t="s">
        <v>705</v>
      </c>
      <c r="H726" s="15" t="s">
        <v>15</v>
      </c>
      <c r="I726" s="15">
        <v>15</v>
      </c>
      <c r="J726" s="12" t="s">
        <v>159</v>
      </c>
      <c r="K726" s="591">
        <f>(15*35)</f>
        <v>525</v>
      </c>
      <c r="L726" s="7"/>
    </row>
    <row r="727" spans="1:12">
      <c r="A727" s="590" t="s">
        <v>1178</v>
      </c>
      <c r="B727" s="11" t="s">
        <v>150</v>
      </c>
      <c r="C727" s="11">
        <v>50</v>
      </c>
      <c r="D727" s="11" t="s">
        <v>144</v>
      </c>
      <c r="E727" s="15">
        <v>2</v>
      </c>
      <c r="F727" s="11" t="s">
        <v>1857</v>
      </c>
      <c r="G727" s="11" t="s">
        <v>677</v>
      </c>
      <c r="H727" s="15" t="s">
        <v>15</v>
      </c>
      <c r="I727" s="15">
        <v>20</v>
      </c>
      <c r="J727" s="12" t="s">
        <v>1599</v>
      </c>
      <c r="K727" s="591">
        <f>(19*33)+(1*28.7)</f>
        <v>655.7</v>
      </c>
      <c r="L727" s="7"/>
    </row>
    <row r="728" spans="1:12">
      <c r="A728" s="590" t="s">
        <v>1178</v>
      </c>
      <c r="B728" s="11" t="s">
        <v>150</v>
      </c>
      <c r="C728" s="11">
        <v>50</v>
      </c>
      <c r="D728" s="11" t="s">
        <v>144</v>
      </c>
      <c r="E728" s="15">
        <v>190</v>
      </c>
      <c r="F728" s="11" t="s">
        <v>663</v>
      </c>
      <c r="G728" s="11" t="s">
        <v>1858</v>
      </c>
      <c r="H728" s="15" t="s">
        <v>15</v>
      </c>
      <c r="I728" s="15">
        <v>20</v>
      </c>
      <c r="J728" s="12" t="s">
        <v>682</v>
      </c>
      <c r="K728" s="591">
        <f>(19*38)+(1*33.7)</f>
        <v>755.7</v>
      </c>
      <c r="L728" s="7"/>
    </row>
    <row r="729" spans="1:12">
      <c r="A729" s="590" t="s">
        <v>1178</v>
      </c>
      <c r="B729" s="11" t="s">
        <v>150</v>
      </c>
      <c r="C729" s="11">
        <v>50</v>
      </c>
      <c r="D729" s="11" t="s">
        <v>693</v>
      </c>
      <c r="E729" s="15">
        <v>75</v>
      </c>
      <c r="F729" s="11" t="s">
        <v>1336</v>
      </c>
      <c r="G729" s="11" t="s">
        <v>1859</v>
      </c>
      <c r="H729" s="15" t="s">
        <v>15</v>
      </c>
      <c r="I729" s="15">
        <v>20</v>
      </c>
      <c r="J729" s="12" t="s">
        <v>692</v>
      </c>
      <c r="K729" s="591">
        <f>(19*37)+(1*32.7)</f>
        <v>735.7</v>
      </c>
      <c r="L729" s="7"/>
    </row>
    <row r="730" spans="1:12">
      <c r="A730" s="590" t="s">
        <v>1178</v>
      </c>
      <c r="B730" s="11" t="s">
        <v>150</v>
      </c>
      <c r="C730" s="11">
        <v>50</v>
      </c>
      <c r="D730" s="11" t="s">
        <v>7</v>
      </c>
      <c r="E730" s="15">
        <v>66</v>
      </c>
      <c r="F730" s="11" t="s">
        <v>1860</v>
      </c>
      <c r="G730" s="11" t="s">
        <v>1845</v>
      </c>
      <c r="H730" s="15" t="s">
        <v>15</v>
      </c>
      <c r="I730" s="15">
        <v>15</v>
      </c>
      <c r="J730" s="12" t="s">
        <v>1861</v>
      </c>
      <c r="K730" s="591">
        <f>(13*28)+(2*20.3)</f>
        <v>404.6</v>
      </c>
      <c r="L730" s="7"/>
    </row>
    <row r="731" spans="1:12">
      <c r="A731" s="590" t="s">
        <v>1178</v>
      </c>
      <c r="B731" s="11" t="s">
        <v>150</v>
      </c>
      <c r="C731" s="11">
        <v>50</v>
      </c>
      <c r="D731" s="11" t="s">
        <v>7</v>
      </c>
      <c r="E731" s="15">
        <v>522</v>
      </c>
      <c r="F731" s="11" t="s">
        <v>575</v>
      </c>
      <c r="G731" s="11" t="s">
        <v>504</v>
      </c>
      <c r="H731" s="15" t="s">
        <v>15</v>
      </c>
      <c r="I731" s="15">
        <v>20</v>
      </c>
      <c r="J731" s="12" t="s">
        <v>682</v>
      </c>
      <c r="K731" s="591">
        <f>(19*38)+(1*33.7)</f>
        <v>755.7</v>
      </c>
      <c r="L731" s="7"/>
    </row>
    <row r="732" spans="1:12">
      <c r="A732" s="590" t="s">
        <v>1178</v>
      </c>
      <c r="B732" s="11" t="s">
        <v>150</v>
      </c>
      <c r="C732" s="11">
        <v>50</v>
      </c>
      <c r="D732" s="11" t="s">
        <v>7</v>
      </c>
      <c r="E732" s="15">
        <v>536</v>
      </c>
      <c r="F732" s="11" t="s">
        <v>570</v>
      </c>
      <c r="G732" s="11" t="s">
        <v>1575</v>
      </c>
      <c r="H732" s="15" t="s">
        <v>5</v>
      </c>
      <c r="I732" s="15">
        <v>20</v>
      </c>
      <c r="J732" s="12" t="s">
        <v>1862</v>
      </c>
      <c r="K732" s="591">
        <f>(19*26)+(1*21.7)</f>
        <v>515.70000000000005</v>
      </c>
      <c r="L732" s="7"/>
    </row>
    <row r="733" spans="1:12" ht="15.75" thickBot="1">
      <c r="A733" s="592" t="s">
        <v>1178</v>
      </c>
      <c r="B733" s="593" t="s">
        <v>150</v>
      </c>
      <c r="C733" s="593">
        <v>50</v>
      </c>
      <c r="D733" s="593" t="s">
        <v>7</v>
      </c>
      <c r="E733" s="594">
        <v>543</v>
      </c>
      <c r="F733" s="593" t="s">
        <v>1649</v>
      </c>
      <c r="G733" s="593" t="s">
        <v>1575</v>
      </c>
      <c r="H733" s="594" t="s">
        <v>15</v>
      </c>
      <c r="I733" s="594">
        <v>20</v>
      </c>
      <c r="J733" s="595" t="s">
        <v>1514</v>
      </c>
      <c r="K733" s="596">
        <f>(19*28)+(1*23.7)</f>
        <v>555.70000000000005</v>
      </c>
      <c r="L733" s="7"/>
    </row>
    <row r="734" spans="1:12">
      <c r="A734" s="611" t="s">
        <v>1178</v>
      </c>
      <c r="B734" s="612" t="s">
        <v>150</v>
      </c>
      <c r="C734" s="612">
        <v>50</v>
      </c>
      <c r="D734" s="612" t="s">
        <v>7</v>
      </c>
      <c r="E734" s="61">
        <v>602</v>
      </c>
      <c r="F734" s="612" t="s">
        <v>1863</v>
      </c>
      <c r="G734" s="612" t="s">
        <v>166</v>
      </c>
      <c r="H734" s="61" t="s">
        <v>15</v>
      </c>
      <c r="I734" s="61">
        <v>20</v>
      </c>
      <c r="J734" s="613" t="s">
        <v>1862</v>
      </c>
      <c r="K734" s="614">
        <f>(19*26)+(1*21.7)</f>
        <v>515.70000000000005</v>
      </c>
      <c r="L734" s="7"/>
    </row>
    <row r="735" spans="1:12">
      <c r="A735" s="590" t="s">
        <v>1178</v>
      </c>
      <c r="B735" s="11" t="s">
        <v>150</v>
      </c>
      <c r="C735" s="11">
        <v>50</v>
      </c>
      <c r="D735" s="11" t="s">
        <v>7</v>
      </c>
      <c r="E735" s="15">
        <v>603</v>
      </c>
      <c r="F735" s="11" t="s">
        <v>1864</v>
      </c>
      <c r="G735" s="11" t="s">
        <v>166</v>
      </c>
      <c r="H735" s="15" t="s">
        <v>15</v>
      </c>
      <c r="I735" s="15">
        <v>20</v>
      </c>
      <c r="J735" s="12" t="s">
        <v>1862</v>
      </c>
      <c r="K735" s="591">
        <f>(19*26)+(1*21.7)</f>
        <v>515.70000000000005</v>
      </c>
      <c r="L735" s="7"/>
    </row>
    <row r="736" spans="1:12">
      <c r="A736" s="590" t="s">
        <v>1178</v>
      </c>
      <c r="B736" s="11" t="s">
        <v>150</v>
      </c>
      <c r="C736" s="11">
        <v>50</v>
      </c>
      <c r="D736" s="11" t="s">
        <v>7</v>
      </c>
      <c r="E736" s="15">
        <v>667</v>
      </c>
      <c r="F736" s="11" t="s">
        <v>1865</v>
      </c>
      <c r="G736" s="11" t="s">
        <v>517</v>
      </c>
      <c r="H736" s="15" t="s">
        <v>15</v>
      </c>
      <c r="I736" s="15">
        <v>30</v>
      </c>
      <c r="J736" s="12" t="s">
        <v>1810</v>
      </c>
      <c r="K736" s="591">
        <f>(30*25)</f>
        <v>750</v>
      </c>
      <c r="L736" s="7"/>
    </row>
    <row r="737" spans="1:12">
      <c r="A737" s="590" t="s">
        <v>1178</v>
      </c>
      <c r="B737" s="11" t="s">
        <v>150</v>
      </c>
      <c r="C737" s="11">
        <v>50</v>
      </c>
      <c r="D737" s="11" t="s">
        <v>51</v>
      </c>
      <c r="E737" s="15">
        <v>41</v>
      </c>
      <c r="F737" s="11" t="s">
        <v>1866</v>
      </c>
      <c r="G737" s="11" t="s">
        <v>1766</v>
      </c>
      <c r="H737" s="15" t="s">
        <v>5</v>
      </c>
      <c r="I737" s="15">
        <v>20</v>
      </c>
      <c r="J737" s="12" t="s">
        <v>633</v>
      </c>
      <c r="K737" s="591">
        <f>(19*34)+(1*29.7)</f>
        <v>675.7</v>
      </c>
      <c r="L737" s="7"/>
    </row>
    <row r="738" spans="1:12">
      <c r="A738" s="590" t="s">
        <v>1181</v>
      </c>
      <c r="B738" s="11" t="s">
        <v>150</v>
      </c>
      <c r="C738" s="11">
        <v>46</v>
      </c>
      <c r="D738" s="11" t="s">
        <v>144</v>
      </c>
      <c r="E738" s="15">
        <v>24</v>
      </c>
      <c r="F738" s="11" t="s">
        <v>1800</v>
      </c>
      <c r="G738" s="11" t="s">
        <v>503</v>
      </c>
      <c r="H738" s="15" t="s">
        <v>15</v>
      </c>
      <c r="I738" s="15">
        <v>20</v>
      </c>
      <c r="J738" s="12" t="s">
        <v>642</v>
      </c>
      <c r="K738" s="591">
        <f>(19*35)+(1*30.7)</f>
        <v>695.7</v>
      </c>
      <c r="L738" s="7"/>
    </row>
    <row r="739" spans="1:12">
      <c r="A739" s="590" t="s">
        <v>1181</v>
      </c>
      <c r="B739" s="11" t="s">
        <v>150</v>
      </c>
      <c r="C739" s="11">
        <v>46</v>
      </c>
      <c r="D739" s="11" t="s">
        <v>144</v>
      </c>
      <c r="E739" s="15">
        <v>25</v>
      </c>
      <c r="F739" s="11" t="s">
        <v>574</v>
      </c>
      <c r="G739" s="11" t="s">
        <v>503</v>
      </c>
      <c r="H739" s="15" t="s">
        <v>15</v>
      </c>
      <c r="I739" s="15">
        <v>20</v>
      </c>
      <c r="J739" s="12" t="s">
        <v>642</v>
      </c>
      <c r="K739" s="591">
        <f>(19*35)+(1*30.7)</f>
        <v>695.7</v>
      </c>
      <c r="L739" s="7"/>
    </row>
    <row r="740" spans="1:12">
      <c r="A740" s="590" t="s">
        <v>1181</v>
      </c>
      <c r="B740" s="11" t="s">
        <v>150</v>
      </c>
      <c r="C740" s="11">
        <v>46</v>
      </c>
      <c r="D740" s="11" t="s">
        <v>7</v>
      </c>
      <c r="E740" s="15">
        <v>508</v>
      </c>
      <c r="F740" s="11" t="s">
        <v>1867</v>
      </c>
      <c r="G740" s="11" t="s">
        <v>517</v>
      </c>
      <c r="H740" s="15" t="s">
        <v>15</v>
      </c>
      <c r="I740" s="15">
        <v>20</v>
      </c>
      <c r="J740" s="12" t="s">
        <v>1868</v>
      </c>
      <c r="K740" s="591">
        <f>(20*25)</f>
        <v>500</v>
      </c>
      <c r="L740" s="7"/>
    </row>
    <row r="741" spans="1:12">
      <c r="A741" s="590" t="s">
        <v>1181</v>
      </c>
      <c r="B741" s="11" t="s">
        <v>150</v>
      </c>
      <c r="C741" s="11">
        <v>46</v>
      </c>
      <c r="D741" s="11" t="s">
        <v>7</v>
      </c>
      <c r="E741" s="15">
        <v>709</v>
      </c>
      <c r="F741" s="11" t="s">
        <v>1869</v>
      </c>
      <c r="G741" s="11" t="s">
        <v>129</v>
      </c>
      <c r="H741" s="15" t="s">
        <v>15</v>
      </c>
      <c r="I741" s="15">
        <v>15</v>
      </c>
      <c r="J741" s="12" t="s">
        <v>169</v>
      </c>
      <c r="K741" s="591">
        <f>(15*36)</f>
        <v>540</v>
      </c>
      <c r="L741" s="7"/>
    </row>
    <row r="742" spans="1:12">
      <c r="A742" s="590" t="s">
        <v>1181</v>
      </c>
      <c r="B742" s="11" t="s">
        <v>150</v>
      </c>
      <c r="C742" s="11">
        <v>46</v>
      </c>
      <c r="D742" s="11" t="s">
        <v>7</v>
      </c>
      <c r="E742" s="15">
        <v>827</v>
      </c>
      <c r="F742" s="11" t="s">
        <v>1870</v>
      </c>
      <c r="G742" s="11" t="s">
        <v>644</v>
      </c>
      <c r="H742" s="15" t="s">
        <v>15</v>
      </c>
      <c r="I742" s="15">
        <v>15</v>
      </c>
      <c r="J742" s="12" t="s">
        <v>159</v>
      </c>
      <c r="K742" s="591">
        <f>(15*35)</f>
        <v>525</v>
      </c>
      <c r="L742" s="7"/>
    </row>
    <row r="743" spans="1:12">
      <c r="A743" s="590" t="s">
        <v>1181</v>
      </c>
      <c r="B743" s="11" t="s">
        <v>150</v>
      </c>
      <c r="C743" s="11">
        <v>46</v>
      </c>
      <c r="D743" s="11" t="s">
        <v>7</v>
      </c>
      <c r="E743" s="15">
        <v>882</v>
      </c>
      <c r="F743" s="11" t="s">
        <v>1572</v>
      </c>
      <c r="G743" s="11" t="s">
        <v>451</v>
      </c>
      <c r="H743" s="15" t="s">
        <v>15</v>
      </c>
      <c r="I743" s="15">
        <v>13</v>
      </c>
      <c r="J743" s="12" t="s">
        <v>494</v>
      </c>
      <c r="K743" s="591">
        <f>(13*40)</f>
        <v>520</v>
      </c>
      <c r="L743" s="7"/>
    </row>
    <row r="744" spans="1:12">
      <c r="A744" s="590" t="s">
        <v>1181</v>
      </c>
      <c r="B744" s="11" t="s">
        <v>150</v>
      </c>
      <c r="C744" s="11">
        <v>46</v>
      </c>
      <c r="D744" s="11" t="s">
        <v>7</v>
      </c>
      <c r="E744" s="15">
        <v>883</v>
      </c>
      <c r="F744" s="11" t="s">
        <v>514</v>
      </c>
      <c r="G744" s="11" t="s">
        <v>451</v>
      </c>
      <c r="H744" s="15" t="s">
        <v>15</v>
      </c>
      <c r="I744" s="15">
        <v>20</v>
      </c>
      <c r="J744" s="12" t="s">
        <v>700</v>
      </c>
      <c r="K744" s="591">
        <f>(19*40)+(1*35.7)</f>
        <v>795.7</v>
      </c>
      <c r="L744" s="7"/>
    </row>
    <row r="745" spans="1:12">
      <c r="A745" s="590" t="s">
        <v>1181</v>
      </c>
      <c r="B745" s="11" t="s">
        <v>150</v>
      </c>
      <c r="C745" s="11">
        <v>46</v>
      </c>
      <c r="D745" s="11" t="s">
        <v>7</v>
      </c>
      <c r="E745" s="15">
        <v>931</v>
      </c>
      <c r="F745" s="11" t="s">
        <v>1871</v>
      </c>
      <c r="G745" s="11" t="s">
        <v>1872</v>
      </c>
      <c r="H745" s="15" t="s">
        <v>15</v>
      </c>
      <c r="I745" s="15">
        <v>20</v>
      </c>
      <c r="J745" s="12" t="s">
        <v>1601</v>
      </c>
      <c r="K745" s="591">
        <f>(19*25)+(1*20.7)</f>
        <v>495.7</v>
      </c>
      <c r="L745" s="7"/>
    </row>
    <row r="746" spans="1:12">
      <c r="A746" s="590" t="s">
        <v>1181</v>
      </c>
      <c r="B746" s="11" t="s">
        <v>150</v>
      </c>
      <c r="C746" s="11">
        <v>46</v>
      </c>
      <c r="D746" s="11" t="s">
        <v>7</v>
      </c>
      <c r="E746" s="15">
        <v>956</v>
      </c>
      <c r="F746" s="11" t="s">
        <v>1873</v>
      </c>
      <c r="G746" s="11" t="s">
        <v>432</v>
      </c>
      <c r="H746" s="15" t="s">
        <v>15</v>
      </c>
      <c r="I746" s="15">
        <v>20</v>
      </c>
      <c r="J746" s="12" t="s">
        <v>1820</v>
      </c>
      <c r="K746" s="591">
        <f>(19*26)+(1*18.3)</f>
        <v>512.29999999999995</v>
      </c>
      <c r="L746" s="7"/>
    </row>
    <row r="747" spans="1:12">
      <c r="A747" s="590" t="s">
        <v>1181</v>
      </c>
      <c r="B747" s="11" t="s">
        <v>150</v>
      </c>
      <c r="C747" s="11">
        <v>46</v>
      </c>
      <c r="D747" s="11" t="s">
        <v>7</v>
      </c>
      <c r="E747" s="15">
        <v>957</v>
      </c>
      <c r="F747" s="11" t="s">
        <v>1874</v>
      </c>
      <c r="G747" s="11" t="s">
        <v>432</v>
      </c>
      <c r="H747" s="15" t="s">
        <v>15</v>
      </c>
      <c r="I747" s="15">
        <v>30</v>
      </c>
      <c r="J747" s="12" t="s">
        <v>622</v>
      </c>
      <c r="K747" s="591">
        <f>(30*26)</f>
        <v>780</v>
      </c>
      <c r="L747" s="7"/>
    </row>
    <row r="748" spans="1:12">
      <c r="A748" s="590" t="s">
        <v>1181</v>
      </c>
      <c r="B748" s="11" t="s">
        <v>150</v>
      </c>
      <c r="C748" s="11">
        <v>46</v>
      </c>
      <c r="D748" s="11" t="s">
        <v>7</v>
      </c>
      <c r="E748" s="15">
        <v>964</v>
      </c>
      <c r="F748" s="11" t="s">
        <v>1875</v>
      </c>
      <c r="G748" s="11" t="s">
        <v>505</v>
      </c>
      <c r="H748" s="15" t="s">
        <v>15</v>
      </c>
      <c r="I748" s="15">
        <v>20</v>
      </c>
      <c r="J748" s="12" t="s">
        <v>1818</v>
      </c>
      <c r="K748" s="591">
        <f>(19*25)+(1*17.3)</f>
        <v>492.3</v>
      </c>
      <c r="L748" s="7"/>
    </row>
    <row r="749" spans="1:12">
      <c r="A749" s="590" t="s">
        <v>1181</v>
      </c>
      <c r="B749" s="11" t="s">
        <v>150</v>
      </c>
      <c r="C749" s="11">
        <v>46</v>
      </c>
      <c r="D749" s="11" t="s">
        <v>7</v>
      </c>
      <c r="E749" s="15">
        <v>965</v>
      </c>
      <c r="F749" s="11" t="s">
        <v>1876</v>
      </c>
      <c r="G749" s="11" t="s">
        <v>505</v>
      </c>
      <c r="H749" s="15" t="s">
        <v>15</v>
      </c>
      <c r="I749" s="15">
        <v>40</v>
      </c>
      <c r="J749" s="12" t="s">
        <v>685</v>
      </c>
      <c r="K749" s="591">
        <f>(39*25)+(1*17.3)</f>
        <v>992.3</v>
      </c>
      <c r="L749" s="7"/>
    </row>
    <row r="750" spans="1:12">
      <c r="A750" s="590" t="s">
        <v>1181</v>
      </c>
      <c r="B750" s="11" t="s">
        <v>150</v>
      </c>
      <c r="C750" s="11">
        <v>46</v>
      </c>
      <c r="D750" s="11" t="s">
        <v>7</v>
      </c>
      <c r="E750" s="15">
        <v>1004</v>
      </c>
      <c r="F750" s="11" t="s">
        <v>1459</v>
      </c>
      <c r="G750" s="11" t="s">
        <v>1411</v>
      </c>
      <c r="H750" s="15" t="s">
        <v>5</v>
      </c>
      <c r="I750" s="15">
        <v>20</v>
      </c>
      <c r="J750" s="12" t="s">
        <v>682</v>
      </c>
      <c r="K750" s="591">
        <f>(19*38)+(1*33.7)</f>
        <v>755.7</v>
      </c>
      <c r="L750" s="7"/>
    </row>
    <row r="751" spans="1:12">
      <c r="A751" s="590" t="s">
        <v>1181</v>
      </c>
      <c r="B751" s="11" t="s">
        <v>150</v>
      </c>
      <c r="C751" s="11">
        <v>46</v>
      </c>
      <c r="D751" s="11" t="s">
        <v>7</v>
      </c>
      <c r="E751" s="15">
        <v>1007</v>
      </c>
      <c r="F751" s="11" t="s">
        <v>1400</v>
      </c>
      <c r="G751" s="11" t="s">
        <v>1411</v>
      </c>
      <c r="H751" s="15" t="s">
        <v>15</v>
      </c>
      <c r="I751" s="15">
        <v>20</v>
      </c>
      <c r="J751" s="12" t="s">
        <v>700</v>
      </c>
      <c r="K751" s="591">
        <f>(19*40)+(1*35.7)</f>
        <v>795.7</v>
      </c>
      <c r="L751" s="7"/>
    </row>
    <row r="752" spans="1:12">
      <c r="A752" s="590" t="s">
        <v>1181</v>
      </c>
      <c r="B752" s="11" t="s">
        <v>150</v>
      </c>
      <c r="C752" s="11">
        <v>46</v>
      </c>
      <c r="D752" s="11" t="s">
        <v>7</v>
      </c>
      <c r="E752" s="15">
        <v>1027</v>
      </c>
      <c r="F752" s="11" t="s">
        <v>392</v>
      </c>
      <c r="G752" s="11" t="s">
        <v>656</v>
      </c>
      <c r="H752" s="15" t="s">
        <v>15</v>
      </c>
      <c r="I752" s="15">
        <v>14</v>
      </c>
      <c r="J752" s="12" t="s">
        <v>1418</v>
      </c>
      <c r="K752" s="591">
        <f>(13*34)+(1*26.3)</f>
        <v>468.3</v>
      </c>
      <c r="L752" s="7"/>
    </row>
    <row r="753" spans="1:12">
      <c r="A753" s="590" t="s">
        <v>1181</v>
      </c>
      <c r="B753" s="11" t="s">
        <v>150</v>
      </c>
      <c r="C753" s="11">
        <v>46</v>
      </c>
      <c r="D753" s="11" t="s">
        <v>7</v>
      </c>
      <c r="E753" s="15">
        <v>1040</v>
      </c>
      <c r="F753" s="11" t="s">
        <v>1519</v>
      </c>
      <c r="G753" s="11" t="s">
        <v>480</v>
      </c>
      <c r="H753" s="15" t="s">
        <v>15</v>
      </c>
      <c r="I753" s="15">
        <v>30</v>
      </c>
      <c r="J753" s="12" t="s">
        <v>1553</v>
      </c>
      <c r="K753" s="591">
        <f>(29*33)+(1*25.3)</f>
        <v>982.3</v>
      </c>
      <c r="L753" s="7"/>
    </row>
    <row r="754" spans="1:12">
      <c r="A754" s="590" t="s">
        <v>1181</v>
      </c>
      <c r="B754" s="11" t="s">
        <v>150</v>
      </c>
      <c r="C754" s="11">
        <v>46</v>
      </c>
      <c r="D754" s="11" t="s">
        <v>7</v>
      </c>
      <c r="E754" s="15">
        <v>1041</v>
      </c>
      <c r="F754" s="11" t="s">
        <v>1421</v>
      </c>
      <c r="G754" s="11" t="s">
        <v>480</v>
      </c>
      <c r="H754" s="15" t="s">
        <v>15</v>
      </c>
      <c r="I754" s="15">
        <v>30</v>
      </c>
      <c r="J754" s="12" t="s">
        <v>1553</v>
      </c>
      <c r="K754" s="591">
        <f>(29*33)+(1*25.3)</f>
        <v>982.3</v>
      </c>
      <c r="L754" s="7"/>
    </row>
    <row r="755" spans="1:12">
      <c r="A755" s="590" t="s">
        <v>1181</v>
      </c>
      <c r="B755" s="11" t="s">
        <v>150</v>
      </c>
      <c r="C755" s="11">
        <v>46</v>
      </c>
      <c r="D755" s="11" t="s">
        <v>7</v>
      </c>
      <c r="E755" s="15">
        <v>1090</v>
      </c>
      <c r="F755" s="11" t="s">
        <v>423</v>
      </c>
      <c r="G755" s="11" t="s">
        <v>1555</v>
      </c>
      <c r="H755" s="15" t="s">
        <v>5</v>
      </c>
      <c r="I755" s="15">
        <v>20</v>
      </c>
      <c r="J755" s="12" t="s">
        <v>633</v>
      </c>
      <c r="K755" s="591">
        <f>(19*34)+(1*29.7)</f>
        <v>675.7</v>
      </c>
      <c r="L755" s="7"/>
    </row>
    <row r="756" spans="1:12">
      <c r="A756" s="590" t="s">
        <v>1181</v>
      </c>
      <c r="B756" s="11" t="s">
        <v>150</v>
      </c>
      <c r="C756" s="11">
        <v>46</v>
      </c>
      <c r="D756" s="11" t="s">
        <v>7</v>
      </c>
      <c r="E756" s="15">
        <v>1265</v>
      </c>
      <c r="F756" s="11" t="s">
        <v>1543</v>
      </c>
      <c r="G756" s="11" t="s">
        <v>356</v>
      </c>
      <c r="H756" s="15" t="s">
        <v>5</v>
      </c>
      <c r="I756" s="15">
        <v>20</v>
      </c>
      <c r="J756" s="12" t="s">
        <v>154</v>
      </c>
      <c r="K756" s="591">
        <f>(20*34)</f>
        <v>680</v>
      </c>
      <c r="L756" s="7"/>
    </row>
    <row r="757" spans="1:12">
      <c r="A757" s="590" t="s">
        <v>1181</v>
      </c>
      <c r="B757" s="11" t="s">
        <v>150</v>
      </c>
      <c r="C757" s="11">
        <v>46</v>
      </c>
      <c r="D757" s="11" t="s">
        <v>7</v>
      </c>
      <c r="E757" s="15">
        <v>1269</v>
      </c>
      <c r="F757" s="11" t="s">
        <v>394</v>
      </c>
      <c r="G757" s="11" t="s">
        <v>356</v>
      </c>
      <c r="H757" s="15" t="s">
        <v>15</v>
      </c>
      <c r="I757" s="15">
        <v>20</v>
      </c>
      <c r="J757" s="12" t="s">
        <v>142</v>
      </c>
      <c r="K757" s="591">
        <f>(20*35)</f>
        <v>700</v>
      </c>
      <c r="L757" s="7"/>
    </row>
    <row r="758" spans="1:12">
      <c r="A758" s="590" t="s">
        <v>1181</v>
      </c>
      <c r="B758" s="11" t="s">
        <v>150</v>
      </c>
      <c r="C758" s="11">
        <v>46</v>
      </c>
      <c r="D758" s="11" t="s">
        <v>7</v>
      </c>
      <c r="E758" s="15">
        <v>1270</v>
      </c>
      <c r="F758" s="11" t="s">
        <v>697</v>
      </c>
      <c r="G758" s="11" t="s">
        <v>356</v>
      </c>
      <c r="H758" s="15" t="s">
        <v>15</v>
      </c>
      <c r="I758" s="15">
        <v>15</v>
      </c>
      <c r="J758" s="12" t="s">
        <v>641</v>
      </c>
      <c r="K758" s="591">
        <f>(14*35)+(1*27.3)</f>
        <v>517.29999999999995</v>
      </c>
      <c r="L758" s="7"/>
    </row>
    <row r="759" spans="1:12">
      <c r="A759" s="590" t="s">
        <v>1181</v>
      </c>
      <c r="B759" s="11" t="s">
        <v>150</v>
      </c>
      <c r="C759" s="11">
        <v>46</v>
      </c>
      <c r="D759" s="11" t="s">
        <v>51</v>
      </c>
      <c r="E759" s="15">
        <v>497</v>
      </c>
      <c r="F759" s="11" t="s">
        <v>1357</v>
      </c>
      <c r="G759" s="11" t="s">
        <v>1776</v>
      </c>
      <c r="H759" s="15" t="s">
        <v>5</v>
      </c>
      <c r="I759" s="15">
        <v>30</v>
      </c>
      <c r="J759" s="12" t="s">
        <v>661</v>
      </c>
      <c r="K759" s="591">
        <f>(29*35)+(1*27.3)</f>
        <v>1042.3</v>
      </c>
      <c r="L759" s="7"/>
    </row>
    <row r="760" spans="1:12">
      <c r="A760" s="590" t="s">
        <v>1181</v>
      </c>
      <c r="B760" s="11" t="s">
        <v>150</v>
      </c>
      <c r="C760" s="11">
        <v>46</v>
      </c>
      <c r="D760" s="11" t="s">
        <v>51</v>
      </c>
      <c r="E760" s="15">
        <v>498</v>
      </c>
      <c r="F760" s="11" t="s">
        <v>1461</v>
      </c>
      <c r="G760" s="11" t="s">
        <v>1776</v>
      </c>
      <c r="H760" s="15" t="s">
        <v>15</v>
      </c>
      <c r="I760" s="15">
        <v>30</v>
      </c>
      <c r="J760" s="12" t="s">
        <v>655</v>
      </c>
      <c r="K760" s="591">
        <f>(29*36)+(1*28.3)</f>
        <v>1072.3</v>
      </c>
      <c r="L760" s="7"/>
    </row>
    <row r="761" spans="1:12">
      <c r="A761" s="590" t="s">
        <v>1181</v>
      </c>
      <c r="B761" s="11" t="s">
        <v>150</v>
      </c>
      <c r="C761" s="11">
        <v>48</v>
      </c>
      <c r="D761" s="11" t="s">
        <v>55</v>
      </c>
      <c r="E761" s="15">
        <v>91</v>
      </c>
      <c r="F761" s="11" t="s">
        <v>1877</v>
      </c>
      <c r="G761" s="11" t="s">
        <v>1878</v>
      </c>
      <c r="H761" s="15" t="s">
        <v>5</v>
      </c>
      <c r="I761" s="15">
        <v>12</v>
      </c>
      <c r="J761" s="12" t="s">
        <v>1879</v>
      </c>
      <c r="K761" s="591">
        <f>(9*34)+(3*26.3)</f>
        <v>384.9</v>
      </c>
      <c r="L761" s="7"/>
    </row>
    <row r="762" spans="1:12">
      <c r="A762" s="590" t="s">
        <v>1181</v>
      </c>
      <c r="B762" s="11" t="s">
        <v>150</v>
      </c>
      <c r="C762" s="11">
        <v>48</v>
      </c>
      <c r="D762" s="11" t="s">
        <v>144</v>
      </c>
      <c r="E762" s="15">
        <v>13</v>
      </c>
      <c r="F762" s="11" t="s">
        <v>1880</v>
      </c>
      <c r="G762" s="11" t="s">
        <v>677</v>
      </c>
      <c r="H762" s="15" t="s">
        <v>15</v>
      </c>
      <c r="I762" s="15">
        <v>20</v>
      </c>
      <c r="J762" s="12" t="s">
        <v>1599</v>
      </c>
      <c r="K762" s="591">
        <f>(19*33)+(1*28.7)</f>
        <v>655.7</v>
      </c>
      <c r="L762" s="7"/>
    </row>
    <row r="763" spans="1:12">
      <c r="A763" s="590" t="s">
        <v>1181</v>
      </c>
      <c r="B763" s="11" t="s">
        <v>150</v>
      </c>
      <c r="C763" s="11">
        <v>48</v>
      </c>
      <c r="D763" s="11" t="s">
        <v>144</v>
      </c>
      <c r="E763" s="15">
        <v>15</v>
      </c>
      <c r="F763" s="11" t="s">
        <v>1881</v>
      </c>
      <c r="G763" s="11" t="s">
        <v>677</v>
      </c>
      <c r="H763" s="15" t="s">
        <v>15</v>
      </c>
      <c r="I763" s="15">
        <v>20</v>
      </c>
      <c r="J763" s="12" t="s">
        <v>1882</v>
      </c>
      <c r="K763" s="591">
        <f>(18*33)+(2*28.7)</f>
        <v>651.4</v>
      </c>
      <c r="L763" s="7"/>
    </row>
    <row r="764" spans="1:12">
      <c r="A764" s="590" t="s">
        <v>1181</v>
      </c>
      <c r="B764" s="11" t="s">
        <v>150</v>
      </c>
      <c r="C764" s="11">
        <v>48</v>
      </c>
      <c r="D764" s="11" t="s">
        <v>693</v>
      </c>
      <c r="E764" s="15">
        <v>144</v>
      </c>
      <c r="F764" s="11" t="s">
        <v>389</v>
      </c>
      <c r="G764" s="11" t="s">
        <v>1883</v>
      </c>
      <c r="H764" s="15" t="s">
        <v>15</v>
      </c>
      <c r="I764" s="15">
        <v>20</v>
      </c>
      <c r="J764" s="12" t="s">
        <v>698</v>
      </c>
      <c r="K764" s="591">
        <f>(19*32)+(1*27.7)</f>
        <v>635.70000000000005</v>
      </c>
      <c r="L764" s="7"/>
    </row>
    <row r="765" spans="1:12">
      <c r="A765" s="590" t="s">
        <v>1181</v>
      </c>
      <c r="B765" s="11" t="s">
        <v>150</v>
      </c>
      <c r="C765" s="11">
        <v>48</v>
      </c>
      <c r="D765" s="11" t="s">
        <v>7</v>
      </c>
      <c r="E765" s="15">
        <v>383</v>
      </c>
      <c r="F765" s="11" t="s">
        <v>162</v>
      </c>
      <c r="G765" s="11" t="s">
        <v>1884</v>
      </c>
      <c r="H765" s="15" t="s">
        <v>15</v>
      </c>
      <c r="I765" s="15">
        <v>30</v>
      </c>
      <c r="J765" s="12" t="s">
        <v>661</v>
      </c>
      <c r="K765" s="591">
        <f>(29*35)+(1*27.3)</f>
        <v>1042.3</v>
      </c>
      <c r="L765" s="7"/>
    </row>
    <row r="766" spans="1:12">
      <c r="A766" s="590" t="s">
        <v>1181</v>
      </c>
      <c r="B766" s="11" t="s">
        <v>150</v>
      </c>
      <c r="C766" s="11">
        <v>47</v>
      </c>
      <c r="D766" s="11" t="s">
        <v>496</v>
      </c>
      <c r="E766" s="15">
        <v>112</v>
      </c>
      <c r="F766" s="11" t="s">
        <v>118</v>
      </c>
      <c r="G766" s="11" t="s">
        <v>1886</v>
      </c>
      <c r="H766" s="15" t="s">
        <v>5</v>
      </c>
      <c r="I766" s="15">
        <v>13</v>
      </c>
      <c r="J766" s="12" t="s">
        <v>512</v>
      </c>
      <c r="K766" s="591">
        <f>(13*34)</f>
        <v>442</v>
      </c>
      <c r="L766" s="7"/>
    </row>
    <row r="767" spans="1:12">
      <c r="A767" s="590" t="s">
        <v>1181</v>
      </c>
      <c r="B767" s="11" t="s">
        <v>150</v>
      </c>
      <c r="C767" s="11">
        <v>47</v>
      </c>
      <c r="D767" s="11" t="s">
        <v>496</v>
      </c>
      <c r="E767" s="15">
        <v>115</v>
      </c>
      <c r="F767" s="11" t="s">
        <v>1363</v>
      </c>
      <c r="G767" s="11" t="s">
        <v>1886</v>
      </c>
      <c r="H767" s="15" t="s">
        <v>5</v>
      </c>
      <c r="I767" s="15">
        <v>15</v>
      </c>
      <c r="J767" s="12" t="s">
        <v>635</v>
      </c>
      <c r="K767" s="591">
        <f>(13*34)+(2*26.3)</f>
        <v>494.6</v>
      </c>
      <c r="L767" s="7"/>
    </row>
    <row r="768" spans="1:12">
      <c r="A768" s="590" t="s">
        <v>1181</v>
      </c>
      <c r="B768" s="11" t="s">
        <v>150</v>
      </c>
      <c r="C768" s="11">
        <v>47</v>
      </c>
      <c r="D768" s="11" t="s">
        <v>496</v>
      </c>
      <c r="E768" s="15">
        <v>116</v>
      </c>
      <c r="F768" s="11" t="s">
        <v>1354</v>
      </c>
      <c r="G768" s="11" t="s">
        <v>1886</v>
      </c>
      <c r="H768" s="15" t="s">
        <v>15</v>
      </c>
      <c r="I768" s="15">
        <v>15</v>
      </c>
      <c r="J768" s="12" t="s">
        <v>640</v>
      </c>
      <c r="K768" s="591">
        <f>(14*36)+(1*28.3)</f>
        <v>532.29999999999995</v>
      </c>
      <c r="L768" s="7"/>
    </row>
    <row r="769" spans="1:12">
      <c r="A769" s="590" t="s">
        <v>1181</v>
      </c>
      <c r="B769" s="11" t="s">
        <v>150</v>
      </c>
      <c r="C769" s="11">
        <v>47</v>
      </c>
      <c r="D769" s="11" t="s">
        <v>496</v>
      </c>
      <c r="E769" s="15">
        <v>120</v>
      </c>
      <c r="F769" s="11" t="s">
        <v>1362</v>
      </c>
      <c r="G769" s="11" t="s">
        <v>1886</v>
      </c>
      <c r="H769" s="15" t="s">
        <v>15</v>
      </c>
      <c r="I769" s="15">
        <v>15</v>
      </c>
      <c r="J769" s="12" t="s">
        <v>169</v>
      </c>
      <c r="K769" s="591">
        <f>(15*36)</f>
        <v>540</v>
      </c>
      <c r="L769" s="7"/>
    </row>
    <row r="770" spans="1:12">
      <c r="A770" s="590" t="s">
        <v>1181</v>
      </c>
      <c r="B770" s="11" t="s">
        <v>150</v>
      </c>
      <c r="C770" s="11">
        <v>47</v>
      </c>
      <c r="D770" s="11" t="s">
        <v>496</v>
      </c>
      <c r="E770" s="15">
        <v>197</v>
      </c>
      <c r="F770" s="11" t="s">
        <v>1887</v>
      </c>
      <c r="G770" s="11" t="s">
        <v>1888</v>
      </c>
      <c r="H770" s="15" t="s">
        <v>15</v>
      </c>
      <c r="I770" s="15">
        <v>20</v>
      </c>
      <c r="J770" s="12" t="s">
        <v>700</v>
      </c>
      <c r="K770" s="591">
        <f>(19*40)+(1*35.7)</f>
        <v>795.7</v>
      </c>
      <c r="L770" s="7"/>
    </row>
    <row r="771" spans="1:12">
      <c r="A771" s="590" t="s">
        <v>1181</v>
      </c>
      <c r="B771" s="11" t="s">
        <v>150</v>
      </c>
      <c r="C771" s="11">
        <v>47</v>
      </c>
      <c r="D771" s="11" t="s">
        <v>496</v>
      </c>
      <c r="E771" s="15">
        <v>295</v>
      </c>
      <c r="F771" s="11" t="s">
        <v>632</v>
      </c>
      <c r="G771" s="11" t="s">
        <v>1556</v>
      </c>
      <c r="H771" s="15" t="s">
        <v>15</v>
      </c>
      <c r="I771" s="15">
        <v>15</v>
      </c>
      <c r="J771" s="12" t="s">
        <v>659</v>
      </c>
      <c r="K771" s="591">
        <f>(13*35)+(2*27.3)</f>
        <v>509.6</v>
      </c>
      <c r="L771" s="7"/>
    </row>
    <row r="772" spans="1:12" ht="15.75" thickBot="1">
      <c r="A772" s="592" t="s">
        <v>1181</v>
      </c>
      <c r="B772" s="593" t="s">
        <v>150</v>
      </c>
      <c r="C772" s="593">
        <v>47</v>
      </c>
      <c r="D772" s="593" t="s">
        <v>496</v>
      </c>
      <c r="E772" s="594">
        <v>353</v>
      </c>
      <c r="F772" s="593" t="s">
        <v>1889</v>
      </c>
      <c r="G772" s="593" t="s">
        <v>1409</v>
      </c>
      <c r="H772" s="594" t="s">
        <v>15</v>
      </c>
      <c r="I772" s="594">
        <v>12</v>
      </c>
      <c r="J772" s="595" t="s">
        <v>1414</v>
      </c>
      <c r="K772" s="596">
        <f>(10*40)+(2*32.3)</f>
        <v>464.6</v>
      </c>
      <c r="L772" s="7"/>
    </row>
    <row r="773" spans="1:12">
      <c r="A773" s="611" t="s">
        <v>1181</v>
      </c>
      <c r="B773" s="612" t="s">
        <v>150</v>
      </c>
      <c r="C773" s="612">
        <v>47</v>
      </c>
      <c r="D773" s="612" t="s">
        <v>7</v>
      </c>
      <c r="E773" s="61">
        <v>503</v>
      </c>
      <c r="F773" s="612" t="s">
        <v>689</v>
      </c>
      <c r="G773" s="612" t="s">
        <v>1884</v>
      </c>
      <c r="H773" s="61" t="s">
        <v>15</v>
      </c>
      <c r="I773" s="61">
        <v>40</v>
      </c>
      <c r="J773" s="613" t="s">
        <v>1890</v>
      </c>
      <c r="K773" s="614">
        <f>(39*34)+(1*26.3)</f>
        <v>1352.3</v>
      </c>
      <c r="L773" s="7"/>
    </row>
    <row r="774" spans="1:12">
      <c r="A774" s="590" t="s">
        <v>1181</v>
      </c>
      <c r="B774" s="11" t="s">
        <v>150</v>
      </c>
      <c r="C774" s="11">
        <v>47</v>
      </c>
      <c r="D774" s="11" t="s">
        <v>7</v>
      </c>
      <c r="E774" s="15">
        <v>503</v>
      </c>
      <c r="F774" s="11" t="s">
        <v>739</v>
      </c>
      <c r="G774" s="11" t="s">
        <v>1884</v>
      </c>
      <c r="H774" s="15" t="s">
        <v>15</v>
      </c>
      <c r="I774" s="15">
        <v>35</v>
      </c>
      <c r="J774" s="12" t="s">
        <v>1891</v>
      </c>
      <c r="K774" s="591">
        <f>(34*34)+(1*26.3)</f>
        <v>1182.3</v>
      </c>
      <c r="L774" s="7"/>
    </row>
    <row r="775" spans="1:12">
      <c r="A775" s="590" t="s">
        <v>1184</v>
      </c>
      <c r="B775" s="11" t="s">
        <v>150</v>
      </c>
      <c r="C775" s="11">
        <v>48</v>
      </c>
      <c r="D775" s="11" t="s">
        <v>693</v>
      </c>
      <c r="E775" s="15">
        <v>147</v>
      </c>
      <c r="F775" s="11" t="s">
        <v>742</v>
      </c>
      <c r="G775" s="11" t="s">
        <v>1883</v>
      </c>
      <c r="H775" s="15" t="s">
        <v>15</v>
      </c>
      <c r="I775" s="15">
        <v>20</v>
      </c>
      <c r="J775" s="12" t="s">
        <v>698</v>
      </c>
      <c r="K775" s="591">
        <f>(19*32)+(1*27.7)</f>
        <v>635.70000000000005</v>
      </c>
      <c r="L775" s="7"/>
    </row>
    <row r="776" spans="1:12">
      <c r="A776" s="590" t="s">
        <v>1184</v>
      </c>
      <c r="B776" s="11" t="s">
        <v>150</v>
      </c>
      <c r="C776" s="11">
        <v>48</v>
      </c>
      <c r="D776" s="11" t="s">
        <v>7</v>
      </c>
      <c r="E776" s="15">
        <v>384</v>
      </c>
      <c r="F776" s="11" t="s">
        <v>559</v>
      </c>
      <c r="G776" s="11" t="s">
        <v>1884</v>
      </c>
      <c r="H776" s="15" t="s">
        <v>15</v>
      </c>
      <c r="I776" s="15">
        <v>20</v>
      </c>
      <c r="J776" s="12" t="s">
        <v>642</v>
      </c>
      <c r="K776" s="591">
        <f>(19*35)+(1*30.7)</f>
        <v>695.7</v>
      </c>
      <c r="L776" s="7"/>
    </row>
    <row r="777" spans="1:12">
      <c r="A777" s="590" t="s">
        <v>1184</v>
      </c>
      <c r="B777" s="11" t="s">
        <v>150</v>
      </c>
      <c r="C777" s="11">
        <v>48</v>
      </c>
      <c r="D777" s="11" t="s">
        <v>7</v>
      </c>
      <c r="E777" s="15">
        <v>388</v>
      </c>
      <c r="F777" s="11" t="s">
        <v>1457</v>
      </c>
      <c r="G777" s="11" t="s">
        <v>1884</v>
      </c>
      <c r="H777" s="15" t="s">
        <v>15</v>
      </c>
      <c r="I777" s="15">
        <v>20</v>
      </c>
      <c r="J777" s="12" t="s">
        <v>642</v>
      </c>
      <c r="K777" s="591">
        <f>(19*35)+(1*30.7)</f>
        <v>695.7</v>
      </c>
      <c r="L777" s="7"/>
    </row>
    <row r="778" spans="1:12">
      <c r="A778" s="590" t="s">
        <v>1184</v>
      </c>
      <c r="B778" s="11" t="s">
        <v>150</v>
      </c>
      <c r="C778" s="11">
        <v>48</v>
      </c>
      <c r="D778" s="11" t="s">
        <v>7</v>
      </c>
      <c r="E778" s="15">
        <v>1272</v>
      </c>
      <c r="F778" s="11" t="s">
        <v>1892</v>
      </c>
      <c r="G778" s="11" t="s">
        <v>644</v>
      </c>
      <c r="H778" s="15" t="s">
        <v>15</v>
      </c>
      <c r="I778" s="15">
        <v>15</v>
      </c>
      <c r="J778" s="12" t="s">
        <v>159</v>
      </c>
      <c r="K778" s="591">
        <f>(15*35)</f>
        <v>525</v>
      </c>
      <c r="L778" s="7"/>
    </row>
    <row r="779" spans="1:12">
      <c r="A779" s="590" t="s">
        <v>1184</v>
      </c>
      <c r="B779" s="11" t="s">
        <v>150</v>
      </c>
      <c r="C779" s="11">
        <v>48</v>
      </c>
      <c r="D779" s="11" t="s">
        <v>7</v>
      </c>
      <c r="E779" s="15">
        <v>1273</v>
      </c>
      <c r="F779" s="11" t="s">
        <v>1893</v>
      </c>
      <c r="G779" s="11" t="s">
        <v>644</v>
      </c>
      <c r="H779" s="15" t="s">
        <v>15</v>
      </c>
      <c r="I779" s="15">
        <v>15</v>
      </c>
      <c r="J779" s="12" t="s">
        <v>159</v>
      </c>
      <c r="K779" s="591">
        <f>(15*35)</f>
        <v>525</v>
      </c>
      <c r="L779" s="7"/>
    </row>
    <row r="780" spans="1:12">
      <c r="A780" s="590" t="s">
        <v>1184</v>
      </c>
      <c r="B780" s="11" t="s">
        <v>150</v>
      </c>
      <c r="C780" s="11">
        <v>48</v>
      </c>
      <c r="D780" s="11" t="s">
        <v>7</v>
      </c>
      <c r="E780" s="15">
        <v>1276</v>
      </c>
      <c r="F780" s="11" t="s">
        <v>1894</v>
      </c>
      <c r="G780" s="11" t="s">
        <v>644</v>
      </c>
      <c r="H780" s="15" t="s">
        <v>15</v>
      </c>
      <c r="I780" s="15">
        <v>20</v>
      </c>
      <c r="J780" s="12" t="s">
        <v>142</v>
      </c>
      <c r="K780" s="591">
        <f>(20*35)</f>
        <v>700</v>
      </c>
      <c r="L780" s="7"/>
    </row>
    <row r="781" spans="1:12">
      <c r="A781" s="590" t="s">
        <v>1184</v>
      </c>
      <c r="B781" s="11" t="s">
        <v>150</v>
      </c>
      <c r="C781" s="11">
        <v>48</v>
      </c>
      <c r="D781" s="11" t="s">
        <v>7</v>
      </c>
      <c r="E781" s="15">
        <v>1340</v>
      </c>
      <c r="F781" s="11" t="s">
        <v>537</v>
      </c>
      <c r="G781" s="11" t="s">
        <v>451</v>
      </c>
      <c r="H781" s="15" t="s">
        <v>15</v>
      </c>
      <c r="I781" s="15">
        <v>20</v>
      </c>
      <c r="J781" s="12" t="s">
        <v>1630</v>
      </c>
      <c r="K781" s="591">
        <f>(20*40)</f>
        <v>800</v>
      </c>
      <c r="L781" s="7"/>
    </row>
    <row r="782" spans="1:12">
      <c r="A782" s="590" t="s">
        <v>1184</v>
      </c>
      <c r="B782" s="11" t="s">
        <v>150</v>
      </c>
      <c r="C782" s="11">
        <v>48</v>
      </c>
      <c r="D782" s="11" t="s">
        <v>7</v>
      </c>
      <c r="E782" s="15">
        <v>1343</v>
      </c>
      <c r="F782" s="11" t="s">
        <v>667</v>
      </c>
      <c r="G782" s="11" t="s">
        <v>451</v>
      </c>
      <c r="H782" s="15" t="s">
        <v>15</v>
      </c>
      <c r="I782" s="15">
        <v>12</v>
      </c>
      <c r="J782" s="12" t="s">
        <v>1414</v>
      </c>
      <c r="K782" s="591">
        <f>(10*40)+(2*32.3)</f>
        <v>464.6</v>
      </c>
      <c r="L782" s="7"/>
    </row>
    <row r="783" spans="1:12">
      <c r="A783" s="590" t="s">
        <v>1184</v>
      </c>
      <c r="B783" s="11" t="s">
        <v>150</v>
      </c>
      <c r="C783" s="11">
        <v>48</v>
      </c>
      <c r="D783" s="11" t="s">
        <v>7</v>
      </c>
      <c r="E783" s="15">
        <v>1528</v>
      </c>
      <c r="F783" s="11" t="s">
        <v>792</v>
      </c>
      <c r="G783" s="11" t="s">
        <v>1576</v>
      </c>
      <c r="H783" s="15" t="s">
        <v>15</v>
      </c>
      <c r="I783" s="15">
        <v>15</v>
      </c>
      <c r="J783" s="12" t="s">
        <v>624</v>
      </c>
      <c r="K783" s="591">
        <f>(14*34)+(1*26.3)</f>
        <v>502.3</v>
      </c>
      <c r="L783" s="7"/>
    </row>
    <row r="784" spans="1:12">
      <c r="A784" s="590" t="s">
        <v>1184</v>
      </c>
      <c r="B784" s="11" t="s">
        <v>150</v>
      </c>
      <c r="C784" s="11">
        <v>48</v>
      </c>
      <c r="D784" s="11" t="s">
        <v>7</v>
      </c>
      <c r="E784" s="15">
        <v>1552</v>
      </c>
      <c r="F784" s="11" t="s">
        <v>1895</v>
      </c>
      <c r="G784" s="11" t="s">
        <v>1597</v>
      </c>
      <c r="H784" s="15" t="s">
        <v>5</v>
      </c>
      <c r="I784" s="15">
        <v>20</v>
      </c>
      <c r="J784" s="12" t="s">
        <v>1885</v>
      </c>
      <c r="K784" s="591">
        <f>(18*26)+(2*21.7)</f>
        <v>511.4</v>
      </c>
      <c r="L784" s="7"/>
    </row>
    <row r="785" spans="1:12">
      <c r="A785" s="590" t="s">
        <v>1184</v>
      </c>
      <c r="B785" s="11" t="s">
        <v>150</v>
      </c>
      <c r="C785" s="11">
        <v>48</v>
      </c>
      <c r="D785" s="11" t="s">
        <v>7</v>
      </c>
      <c r="E785" s="15">
        <v>1553</v>
      </c>
      <c r="F785" s="11" t="s">
        <v>1896</v>
      </c>
      <c r="G785" s="11" t="s">
        <v>1597</v>
      </c>
      <c r="H785" s="15" t="s">
        <v>15</v>
      </c>
      <c r="I785" s="15">
        <v>20</v>
      </c>
      <c r="J785" s="12" t="s">
        <v>1885</v>
      </c>
      <c r="K785" s="591">
        <f>(18*26)+(2*21.7)</f>
        <v>511.4</v>
      </c>
      <c r="L785" s="7"/>
    </row>
    <row r="786" spans="1:12">
      <c r="A786" s="590" t="s">
        <v>1184</v>
      </c>
      <c r="B786" s="11" t="s">
        <v>150</v>
      </c>
      <c r="C786" s="11">
        <v>48</v>
      </c>
      <c r="D786" s="11" t="s">
        <v>7</v>
      </c>
      <c r="E786" s="15">
        <v>1562</v>
      </c>
      <c r="F786" s="11" t="s">
        <v>455</v>
      </c>
      <c r="G786" s="11" t="s">
        <v>480</v>
      </c>
      <c r="H786" s="15" t="s">
        <v>5</v>
      </c>
      <c r="I786" s="15">
        <v>15</v>
      </c>
      <c r="J786" s="12" t="s">
        <v>704</v>
      </c>
      <c r="K786" s="591">
        <f>(13*32)+(2*24.3)</f>
        <v>464.6</v>
      </c>
      <c r="L786" s="7"/>
    </row>
    <row r="787" spans="1:12">
      <c r="A787" s="590" t="s">
        <v>1184</v>
      </c>
      <c r="B787" s="11" t="s">
        <v>150</v>
      </c>
      <c r="C787" s="11">
        <v>48</v>
      </c>
      <c r="D787" s="11" t="s">
        <v>7</v>
      </c>
      <c r="E787" s="15">
        <v>1570</v>
      </c>
      <c r="F787" s="11" t="s">
        <v>725</v>
      </c>
      <c r="G787" s="11" t="s">
        <v>480</v>
      </c>
      <c r="H787" s="15" t="s">
        <v>15</v>
      </c>
      <c r="I787" s="15">
        <v>15</v>
      </c>
      <c r="J787" s="12" t="s">
        <v>158</v>
      </c>
      <c r="K787" s="591">
        <f>(15*33)</f>
        <v>495</v>
      </c>
      <c r="L787" s="7"/>
    </row>
    <row r="788" spans="1:12">
      <c r="A788" s="590" t="s">
        <v>1184</v>
      </c>
      <c r="B788" s="11" t="s">
        <v>150</v>
      </c>
      <c r="C788" s="11">
        <v>48</v>
      </c>
      <c r="D788" s="11" t="s">
        <v>7</v>
      </c>
      <c r="E788" s="15">
        <v>1729</v>
      </c>
      <c r="F788" s="11" t="s">
        <v>440</v>
      </c>
      <c r="G788" s="11" t="s">
        <v>1897</v>
      </c>
      <c r="H788" s="15" t="s">
        <v>5</v>
      </c>
      <c r="I788" s="15">
        <v>20</v>
      </c>
      <c r="J788" s="12" t="s">
        <v>633</v>
      </c>
      <c r="K788" s="591">
        <f>(19*34)+(1*29.7)</f>
        <v>675.7</v>
      </c>
      <c r="L788" s="7"/>
    </row>
    <row r="789" spans="1:12">
      <c r="A789" s="590" t="s">
        <v>1184</v>
      </c>
      <c r="B789" s="11" t="s">
        <v>150</v>
      </c>
      <c r="C789" s="11">
        <v>48</v>
      </c>
      <c r="D789" s="11" t="s">
        <v>51</v>
      </c>
      <c r="E789" s="15">
        <v>28</v>
      </c>
      <c r="F789" s="11" t="s">
        <v>1316</v>
      </c>
      <c r="G789" s="11" t="s">
        <v>1632</v>
      </c>
      <c r="H789" s="15" t="s">
        <v>15</v>
      </c>
      <c r="I789" s="15">
        <v>20</v>
      </c>
      <c r="J789" s="12" t="s">
        <v>1765</v>
      </c>
      <c r="K789" s="591">
        <f>(18*29)+(2*24.7)</f>
        <v>571.4</v>
      </c>
      <c r="L789" s="7"/>
    </row>
    <row r="790" spans="1:12">
      <c r="A790" s="590" t="s">
        <v>1184</v>
      </c>
      <c r="B790" s="11" t="s">
        <v>150</v>
      </c>
      <c r="C790" s="11">
        <v>48</v>
      </c>
      <c r="D790" s="11" t="s">
        <v>51</v>
      </c>
      <c r="E790" s="15">
        <v>31</v>
      </c>
      <c r="F790" s="11" t="s">
        <v>1898</v>
      </c>
      <c r="G790" s="11" t="s">
        <v>1632</v>
      </c>
      <c r="H790" s="15" t="s">
        <v>15</v>
      </c>
      <c r="I790" s="15">
        <v>20</v>
      </c>
      <c r="J790" s="12" t="s">
        <v>1765</v>
      </c>
      <c r="K790" s="591">
        <f>(18*29)+(2*24.7)</f>
        <v>571.4</v>
      </c>
      <c r="L790" s="7"/>
    </row>
    <row r="791" spans="1:12">
      <c r="A791" s="590" t="s">
        <v>1184</v>
      </c>
      <c r="B791" s="11" t="s">
        <v>150</v>
      </c>
      <c r="C791" s="11">
        <v>48</v>
      </c>
      <c r="D791" s="11" t="s">
        <v>51</v>
      </c>
      <c r="E791" s="15">
        <v>78</v>
      </c>
      <c r="F791" s="11" t="s">
        <v>1384</v>
      </c>
      <c r="G791" s="11" t="s">
        <v>1899</v>
      </c>
      <c r="H791" s="15" t="s">
        <v>15</v>
      </c>
      <c r="I791" s="15">
        <v>20</v>
      </c>
      <c r="J791" s="12" t="s">
        <v>743</v>
      </c>
      <c r="K791" s="591">
        <f>(18*28)+(2*23.7)</f>
        <v>551.4</v>
      </c>
      <c r="L791" s="7"/>
    </row>
    <row r="792" spans="1:12">
      <c r="A792" s="590" t="s">
        <v>1184</v>
      </c>
      <c r="B792" s="11" t="s">
        <v>150</v>
      </c>
      <c r="C792" s="11">
        <v>48</v>
      </c>
      <c r="D792" s="11" t="s">
        <v>51</v>
      </c>
      <c r="E792" s="15">
        <v>141</v>
      </c>
      <c r="F792" s="11" t="s">
        <v>491</v>
      </c>
      <c r="G792" s="11" t="s">
        <v>658</v>
      </c>
      <c r="H792" s="15" t="s">
        <v>15</v>
      </c>
      <c r="I792" s="15">
        <v>15</v>
      </c>
      <c r="J792" s="12" t="s">
        <v>641</v>
      </c>
      <c r="K792" s="591">
        <f>(14*35)+(1*27.3)</f>
        <v>517.29999999999995</v>
      </c>
      <c r="L792" s="7"/>
    </row>
    <row r="793" spans="1:12">
      <c r="A793" s="590" t="s">
        <v>1184</v>
      </c>
      <c r="B793" s="11" t="s">
        <v>150</v>
      </c>
      <c r="C793" s="11">
        <v>48</v>
      </c>
      <c r="D793" s="11" t="s">
        <v>51</v>
      </c>
      <c r="E793" s="15">
        <v>159</v>
      </c>
      <c r="F793" s="11" t="s">
        <v>1900</v>
      </c>
      <c r="G793" s="11" t="s">
        <v>129</v>
      </c>
      <c r="H793" s="15" t="s">
        <v>5</v>
      </c>
      <c r="I793" s="15">
        <v>13</v>
      </c>
      <c r="J793" s="12" t="s">
        <v>512</v>
      </c>
      <c r="K793" s="591">
        <f>(13*34)</f>
        <v>442</v>
      </c>
      <c r="L793" s="7"/>
    </row>
    <row r="794" spans="1:12">
      <c r="A794" s="590" t="s">
        <v>1184</v>
      </c>
      <c r="B794" s="11" t="s">
        <v>150</v>
      </c>
      <c r="C794" s="11">
        <v>48</v>
      </c>
      <c r="D794" s="11" t="s">
        <v>51</v>
      </c>
      <c r="E794" s="15">
        <v>172</v>
      </c>
      <c r="F794" s="11" t="s">
        <v>96</v>
      </c>
      <c r="G794" s="11" t="s">
        <v>503</v>
      </c>
      <c r="H794" s="15" t="s">
        <v>15</v>
      </c>
      <c r="I794" s="15">
        <v>20</v>
      </c>
      <c r="J794" s="12" t="s">
        <v>642</v>
      </c>
      <c r="K794" s="591">
        <f>(19*35)+(1*30.7)</f>
        <v>695.7</v>
      </c>
      <c r="L794" s="7"/>
    </row>
    <row r="795" spans="1:12">
      <c r="A795" s="590" t="s">
        <v>1184</v>
      </c>
      <c r="B795" s="11" t="s">
        <v>150</v>
      </c>
      <c r="C795" s="11">
        <v>48</v>
      </c>
      <c r="D795" s="11" t="s">
        <v>51</v>
      </c>
      <c r="E795" s="15">
        <v>173</v>
      </c>
      <c r="F795" s="11" t="s">
        <v>733</v>
      </c>
      <c r="G795" s="11" t="s">
        <v>503</v>
      </c>
      <c r="H795" s="15" t="s">
        <v>15</v>
      </c>
      <c r="I795" s="15">
        <v>20</v>
      </c>
      <c r="J795" s="12" t="s">
        <v>642</v>
      </c>
      <c r="K795" s="591">
        <f t="shared" ref="K795:K796" si="25">(19*35)+(1*30.7)</f>
        <v>695.7</v>
      </c>
      <c r="L795" s="7"/>
    </row>
    <row r="796" spans="1:12">
      <c r="A796" s="590" t="s">
        <v>1184</v>
      </c>
      <c r="B796" s="11" t="s">
        <v>150</v>
      </c>
      <c r="C796" s="11">
        <v>48</v>
      </c>
      <c r="D796" s="11" t="s">
        <v>51</v>
      </c>
      <c r="E796" s="15">
        <v>176</v>
      </c>
      <c r="F796" s="11" t="s">
        <v>1746</v>
      </c>
      <c r="G796" s="11" t="s">
        <v>503</v>
      </c>
      <c r="H796" s="15" t="s">
        <v>15</v>
      </c>
      <c r="I796" s="15">
        <v>20</v>
      </c>
      <c r="J796" s="12" t="s">
        <v>642</v>
      </c>
      <c r="K796" s="591">
        <f t="shared" si="25"/>
        <v>695.7</v>
      </c>
      <c r="L796" s="7"/>
    </row>
    <row r="797" spans="1:12">
      <c r="A797" s="590" t="s">
        <v>1184</v>
      </c>
      <c r="B797" s="11" t="s">
        <v>150</v>
      </c>
      <c r="C797" s="11">
        <v>48</v>
      </c>
      <c r="D797" s="11" t="s">
        <v>51</v>
      </c>
      <c r="E797" s="15">
        <v>448</v>
      </c>
      <c r="F797" s="11" t="s">
        <v>1329</v>
      </c>
      <c r="G797" s="11" t="s">
        <v>535</v>
      </c>
      <c r="H797" s="15" t="s">
        <v>15</v>
      </c>
      <c r="I797" s="15">
        <v>15</v>
      </c>
      <c r="J797" s="12" t="s">
        <v>1410</v>
      </c>
      <c r="K797" s="591">
        <f>(12*35)+(3*30.7)</f>
        <v>512.1</v>
      </c>
      <c r="L797" s="7"/>
    </row>
    <row r="798" spans="1:12">
      <c r="A798" s="590" t="s">
        <v>1184</v>
      </c>
      <c r="B798" s="11" t="s">
        <v>150</v>
      </c>
      <c r="C798" s="11">
        <v>48</v>
      </c>
      <c r="D798" s="11" t="s">
        <v>51</v>
      </c>
      <c r="E798" s="15">
        <v>449</v>
      </c>
      <c r="F798" s="11" t="s">
        <v>413</v>
      </c>
      <c r="G798" s="11" t="s">
        <v>535</v>
      </c>
      <c r="H798" s="15" t="s">
        <v>15</v>
      </c>
      <c r="I798" s="15">
        <v>10</v>
      </c>
      <c r="J798" s="12" t="s">
        <v>1901</v>
      </c>
      <c r="K798" s="591">
        <f>(9*35)+(1*30.7)</f>
        <v>345.7</v>
      </c>
      <c r="L798" s="7"/>
    </row>
    <row r="799" spans="1:12">
      <c r="A799" s="590" t="s">
        <v>1184</v>
      </c>
      <c r="B799" s="11" t="s">
        <v>150</v>
      </c>
      <c r="C799" s="11">
        <v>48</v>
      </c>
      <c r="D799" s="11" t="s">
        <v>51</v>
      </c>
      <c r="E799" s="15">
        <v>843</v>
      </c>
      <c r="F799" s="11" t="s">
        <v>1326</v>
      </c>
      <c r="G799" s="11" t="s">
        <v>664</v>
      </c>
      <c r="H799" s="15" t="s">
        <v>5</v>
      </c>
      <c r="I799" s="15">
        <v>13</v>
      </c>
      <c r="J799" s="12" t="s">
        <v>512</v>
      </c>
      <c r="K799" s="591">
        <f>(13*34)</f>
        <v>442</v>
      </c>
      <c r="L799" s="7"/>
    </row>
    <row r="800" spans="1:12">
      <c r="A800" s="590" t="s">
        <v>1184</v>
      </c>
      <c r="B800" s="11" t="s">
        <v>150</v>
      </c>
      <c r="C800" s="11">
        <v>48</v>
      </c>
      <c r="D800" s="11" t="s">
        <v>51</v>
      </c>
      <c r="E800" s="15">
        <v>846</v>
      </c>
      <c r="F800" s="11" t="s">
        <v>1320</v>
      </c>
      <c r="G800" s="11" t="s">
        <v>664</v>
      </c>
      <c r="H800" s="15" t="s">
        <v>15</v>
      </c>
      <c r="I800" s="15">
        <v>14</v>
      </c>
      <c r="J800" s="12" t="s">
        <v>176</v>
      </c>
      <c r="K800" s="591">
        <f>(14*35)</f>
        <v>490</v>
      </c>
      <c r="L800" s="7"/>
    </row>
    <row r="801" spans="1:12">
      <c r="A801" s="590" t="s">
        <v>1184</v>
      </c>
      <c r="B801" s="11" t="s">
        <v>150</v>
      </c>
      <c r="C801" s="11">
        <v>48</v>
      </c>
      <c r="D801" s="11" t="s">
        <v>51</v>
      </c>
      <c r="E801" s="15">
        <v>1297</v>
      </c>
      <c r="F801" s="11" t="s">
        <v>695</v>
      </c>
      <c r="G801" s="11" t="s">
        <v>479</v>
      </c>
      <c r="H801" s="15" t="s">
        <v>15</v>
      </c>
      <c r="I801" s="15">
        <v>10</v>
      </c>
      <c r="J801" s="12" t="s">
        <v>1902</v>
      </c>
      <c r="K801" s="591">
        <f>(9*36)+(1*31.7)</f>
        <v>355.7</v>
      </c>
      <c r="L801" s="7"/>
    </row>
    <row r="802" spans="1:12">
      <c r="A802" s="590" t="s">
        <v>1184</v>
      </c>
      <c r="B802" s="11" t="s">
        <v>150</v>
      </c>
      <c r="C802" s="11">
        <v>48</v>
      </c>
      <c r="D802" s="11" t="s">
        <v>50</v>
      </c>
      <c r="E802" s="15">
        <v>251</v>
      </c>
      <c r="F802" s="11" t="s">
        <v>766</v>
      </c>
      <c r="G802" s="11" t="s">
        <v>1903</v>
      </c>
      <c r="H802" s="15" t="s">
        <v>5</v>
      </c>
      <c r="I802" s="15">
        <v>15</v>
      </c>
      <c r="J802" s="12" t="s">
        <v>163</v>
      </c>
      <c r="K802" s="591">
        <f>(15*37)</f>
        <v>555</v>
      </c>
      <c r="L802" s="7"/>
    </row>
    <row r="803" spans="1:12">
      <c r="A803" s="590" t="s">
        <v>1184</v>
      </c>
      <c r="B803" s="11" t="s">
        <v>150</v>
      </c>
      <c r="C803" s="11">
        <v>48</v>
      </c>
      <c r="D803" s="11" t="s">
        <v>50</v>
      </c>
      <c r="E803" s="15">
        <v>252</v>
      </c>
      <c r="F803" s="11" t="s">
        <v>184</v>
      </c>
      <c r="G803" s="11" t="s">
        <v>1903</v>
      </c>
      <c r="H803" s="15" t="s">
        <v>5</v>
      </c>
      <c r="I803" s="15">
        <v>20</v>
      </c>
      <c r="J803" s="12" t="s">
        <v>692</v>
      </c>
      <c r="K803" s="591">
        <f>(19*37)+(1*32.7)</f>
        <v>735.7</v>
      </c>
      <c r="L803" s="7"/>
    </row>
    <row r="804" spans="1:12">
      <c r="A804" s="590" t="s">
        <v>1184</v>
      </c>
      <c r="B804" s="11" t="s">
        <v>150</v>
      </c>
      <c r="C804" s="11">
        <v>48</v>
      </c>
      <c r="D804" s="11" t="s">
        <v>50</v>
      </c>
      <c r="E804" s="15">
        <v>258</v>
      </c>
      <c r="F804" s="11" t="s">
        <v>525</v>
      </c>
      <c r="G804" s="11" t="s">
        <v>1903</v>
      </c>
      <c r="H804" s="15" t="s">
        <v>15</v>
      </c>
      <c r="I804" s="15">
        <v>10</v>
      </c>
      <c r="J804" s="12" t="s">
        <v>1904</v>
      </c>
      <c r="K804" s="591">
        <f>(9*37)+(1*32.7)</f>
        <v>365.7</v>
      </c>
      <c r="L804" s="7"/>
    </row>
    <row r="805" spans="1:12">
      <c r="A805" s="590" t="s">
        <v>1184</v>
      </c>
      <c r="B805" s="11" t="s">
        <v>150</v>
      </c>
      <c r="C805" s="11">
        <v>48</v>
      </c>
      <c r="D805" s="11" t="s">
        <v>53</v>
      </c>
      <c r="E805" s="15">
        <v>46</v>
      </c>
      <c r="F805" s="11" t="s">
        <v>437</v>
      </c>
      <c r="G805" s="11" t="s">
        <v>185</v>
      </c>
      <c r="H805" s="15" t="s">
        <v>15</v>
      </c>
      <c r="I805" s="15">
        <v>20</v>
      </c>
      <c r="J805" s="12" t="s">
        <v>700</v>
      </c>
      <c r="K805" s="591">
        <f>(19*40)+(1*35.7)</f>
        <v>795.7</v>
      </c>
      <c r="L805" s="7"/>
    </row>
    <row r="806" spans="1:12">
      <c r="A806" s="590" t="s">
        <v>1186</v>
      </c>
      <c r="B806" s="11" t="s">
        <v>150</v>
      </c>
      <c r="C806" s="11">
        <v>47</v>
      </c>
      <c r="D806" s="11" t="s">
        <v>7</v>
      </c>
      <c r="E806" s="15">
        <v>630</v>
      </c>
      <c r="F806" s="11" t="s">
        <v>1906</v>
      </c>
      <c r="G806" s="11" t="s">
        <v>504</v>
      </c>
      <c r="H806" s="15" t="s">
        <v>15</v>
      </c>
      <c r="I806" s="15">
        <v>20</v>
      </c>
      <c r="J806" s="12" t="s">
        <v>682</v>
      </c>
      <c r="K806" s="591">
        <f>(19*38)+(1*33.7)</f>
        <v>755.7</v>
      </c>
      <c r="L806" s="7"/>
    </row>
    <row r="807" spans="1:12">
      <c r="A807" s="590" t="s">
        <v>1186</v>
      </c>
      <c r="B807" s="11" t="s">
        <v>150</v>
      </c>
      <c r="C807" s="11">
        <v>47</v>
      </c>
      <c r="D807" s="11" t="s">
        <v>7</v>
      </c>
      <c r="E807" s="15">
        <v>730</v>
      </c>
      <c r="F807" s="11" t="s">
        <v>1907</v>
      </c>
      <c r="G807" s="11" t="s">
        <v>539</v>
      </c>
      <c r="H807" s="15" t="s">
        <v>15</v>
      </c>
      <c r="I807" s="15">
        <v>20</v>
      </c>
      <c r="J807" s="12" t="s">
        <v>1908</v>
      </c>
      <c r="K807" s="591">
        <f>(19*23)+(1*18.7)</f>
        <v>455.7</v>
      </c>
      <c r="L807" s="7"/>
    </row>
    <row r="808" spans="1:12">
      <c r="A808" s="590" t="s">
        <v>1186</v>
      </c>
      <c r="B808" s="11" t="s">
        <v>150</v>
      </c>
      <c r="C808" s="11">
        <v>47</v>
      </c>
      <c r="D808" s="11" t="s">
        <v>7</v>
      </c>
      <c r="E808" s="15">
        <v>820</v>
      </c>
      <c r="F808" s="11" t="s">
        <v>1909</v>
      </c>
      <c r="G808" s="11" t="s">
        <v>517</v>
      </c>
      <c r="H808" s="15" t="s">
        <v>15</v>
      </c>
      <c r="I808" s="15">
        <v>25</v>
      </c>
      <c r="J808" s="12" t="s">
        <v>1910</v>
      </c>
      <c r="K808" s="591">
        <f>(25*25)</f>
        <v>625</v>
      </c>
      <c r="L808" s="7"/>
    </row>
    <row r="809" spans="1:12">
      <c r="A809" s="590" t="s">
        <v>1186</v>
      </c>
      <c r="B809" s="11" t="s">
        <v>150</v>
      </c>
      <c r="C809" s="11">
        <v>47</v>
      </c>
      <c r="D809" s="11" t="s">
        <v>7</v>
      </c>
      <c r="E809" s="15">
        <v>1033</v>
      </c>
      <c r="F809" s="11" t="s">
        <v>1911</v>
      </c>
      <c r="G809" s="11" t="s">
        <v>1912</v>
      </c>
      <c r="H809" s="15" t="s">
        <v>15</v>
      </c>
      <c r="I809" s="15">
        <v>20</v>
      </c>
      <c r="J809" s="12" t="s">
        <v>142</v>
      </c>
      <c r="K809" s="591">
        <f>(20*35)</f>
        <v>700</v>
      </c>
      <c r="L809" s="7"/>
    </row>
    <row r="810" spans="1:12">
      <c r="A810" s="590" t="s">
        <v>1186</v>
      </c>
      <c r="B810" s="11" t="s">
        <v>150</v>
      </c>
      <c r="C810" s="11">
        <v>47</v>
      </c>
      <c r="D810" s="11" t="s">
        <v>7</v>
      </c>
      <c r="E810" s="15">
        <v>1036</v>
      </c>
      <c r="F810" s="11" t="s">
        <v>1913</v>
      </c>
      <c r="G810" s="11" t="s">
        <v>1912</v>
      </c>
      <c r="H810" s="15" t="s">
        <v>15</v>
      </c>
      <c r="I810" s="15">
        <v>20</v>
      </c>
      <c r="J810" s="12" t="s">
        <v>1914</v>
      </c>
      <c r="K810" s="591">
        <f>(19*35)+(1*27.3)</f>
        <v>692.3</v>
      </c>
      <c r="L810" s="7"/>
    </row>
    <row r="811" spans="1:12" ht="15.75" thickBot="1">
      <c r="A811" s="592" t="s">
        <v>1186</v>
      </c>
      <c r="B811" s="593" t="s">
        <v>150</v>
      </c>
      <c r="C811" s="593">
        <v>47</v>
      </c>
      <c r="D811" s="593" t="s">
        <v>7</v>
      </c>
      <c r="E811" s="594">
        <v>1184</v>
      </c>
      <c r="F811" s="593" t="s">
        <v>583</v>
      </c>
      <c r="G811" s="593" t="s">
        <v>709</v>
      </c>
      <c r="H811" s="594" t="s">
        <v>15</v>
      </c>
      <c r="I811" s="594">
        <v>15</v>
      </c>
      <c r="J811" s="595" t="s">
        <v>1758</v>
      </c>
      <c r="K811" s="596">
        <f>(15*25)</f>
        <v>375</v>
      </c>
      <c r="L811" s="7"/>
    </row>
    <row r="812" spans="1:12">
      <c r="A812" s="611" t="s">
        <v>1186</v>
      </c>
      <c r="B812" s="612" t="s">
        <v>150</v>
      </c>
      <c r="C812" s="612">
        <v>47</v>
      </c>
      <c r="D812" s="612" t="s">
        <v>7</v>
      </c>
      <c r="E812" s="61">
        <v>1195</v>
      </c>
      <c r="F812" s="612" t="s">
        <v>665</v>
      </c>
      <c r="G812" s="612" t="s">
        <v>522</v>
      </c>
      <c r="H812" s="61" t="s">
        <v>15</v>
      </c>
      <c r="I812" s="61">
        <v>20</v>
      </c>
      <c r="J812" s="613" t="s">
        <v>32</v>
      </c>
      <c r="K812" s="614">
        <f>(19*37)+(1*28.4)</f>
        <v>731.4</v>
      </c>
      <c r="L812" s="7"/>
    </row>
    <row r="813" spans="1:12">
      <c r="A813" s="590" t="s">
        <v>1186</v>
      </c>
      <c r="B813" s="11" t="s">
        <v>150</v>
      </c>
      <c r="C813" s="11">
        <v>47</v>
      </c>
      <c r="D813" s="11" t="s">
        <v>7</v>
      </c>
      <c r="E813" s="15">
        <v>1205</v>
      </c>
      <c r="F813" s="11" t="s">
        <v>748</v>
      </c>
      <c r="G813" s="11" t="s">
        <v>1576</v>
      </c>
      <c r="H813" s="15" t="s">
        <v>15</v>
      </c>
      <c r="I813" s="15">
        <v>30</v>
      </c>
      <c r="J813" s="12" t="s">
        <v>1915</v>
      </c>
      <c r="K813" s="591">
        <f>(30*28)</f>
        <v>840</v>
      </c>
      <c r="L813" s="7"/>
    </row>
    <row r="814" spans="1:12">
      <c r="A814" s="590" t="s">
        <v>1186</v>
      </c>
      <c r="B814" s="11" t="s">
        <v>150</v>
      </c>
      <c r="C814" s="11">
        <v>47</v>
      </c>
      <c r="D814" s="11" t="s">
        <v>7</v>
      </c>
      <c r="E814" s="15">
        <v>1489</v>
      </c>
      <c r="F814" s="11" t="s">
        <v>457</v>
      </c>
      <c r="G814" s="11" t="s">
        <v>1627</v>
      </c>
      <c r="H814" s="15" t="s">
        <v>15</v>
      </c>
      <c r="I814" s="15">
        <v>20</v>
      </c>
      <c r="J814" s="12" t="s">
        <v>652</v>
      </c>
      <c r="K814" s="591">
        <f>(19*30)+(1*25.7)</f>
        <v>595.70000000000005</v>
      </c>
      <c r="L814" s="7"/>
    </row>
    <row r="815" spans="1:12">
      <c r="A815" s="590" t="s">
        <v>1186</v>
      </c>
      <c r="B815" s="11" t="s">
        <v>150</v>
      </c>
      <c r="C815" s="11">
        <v>47</v>
      </c>
      <c r="D815" s="11" t="s">
        <v>7</v>
      </c>
      <c r="E815" s="15">
        <v>1512</v>
      </c>
      <c r="F815" s="11" t="s">
        <v>582</v>
      </c>
      <c r="G815" s="11" t="s">
        <v>451</v>
      </c>
      <c r="H815" s="15" t="s">
        <v>15</v>
      </c>
      <c r="I815" s="15">
        <v>20</v>
      </c>
      <c r="J815" s="12" t="s">
        <v>1630</v>
      </c>
      <c r="K815" s="591">
        <f>(20*40)</f>
        <v>800</v>
      </c>
      <c r="L815" s="7"/>
    </row>
    <row r="816" spans="1:12">
      <c r="A816" s="590" t="s">
        <v>1186</v>
      </c>
      <c r="B816" s="11" t="s">
        <v>150</v>
      </c>
      <c r="C816" s="11">
        <v>47</v>
      </c>
      <c r="D816" s="11" t="s">
        <v>7</v>
      </c>
      <c r="E816" s="15">
        <v>1514</v>
      </c>
      <c r="F816" s="11" t="s">
        <v>135</v>
      </c>
      <c r="G816" s="11" t="s">
        <v>451</v>
      </c>
      <c r="H816" s="15" t="s">
        <v>15</v>
      </c>
      <c r="I816" s="15">
        <v>15</v>
      </c>
      <c r="J816" s="12" t="s">
        <v>1416</v>
      </c>
      <c r="K816" s="591">
        <f>(14*40)+(1*32.3)</f>
        <v>592.29999999999995</v>
      </c>
      <c r="L816" s="7"/>
    </row>
    <row r="817" spans="1:12">
      <c r="A817" s="590" t="s">
        <v>1186</v>
      </c>
      <c r="B817" s="11" t="s">
        <v>150</v>
      </c>
      <c r="C817" s="11">
        <v>47</v>
      </c>
      <c r="D817" s="11" t="s">
        <v>7</v>
      </c>
      <c r="E817" s="15">
        <v>1903</v>
      </c>
      <c r="F817" s="11" t="s">
        <v>103</v>
      </c>
      <c r="G817" s="11" t="s">
        <v>1555</v>
      </c>
      <c r="H817" s="15" t="s">
        <v>5</v>
      </c>
      <c r="I817" s="15">
        <v>13</v>
      </c>
      <c r="J817" s="12" t="s">
        <v>512</v>
      </c>
      <c r="K817" s="591">
        <f>(13*34)</f>
        <v>442</v>
      </c>
      <c r="L817" s="7"/>
    </row>
    <row r="818" spans="1:12">
      <c r="A818" s="590" t="s">
        <v>1186</v>
      </c>
      <c r="B818" s="11" t="s">
        <v>150</v>
      </c>
      <c r="C818" s="11">
        <v>47</v>
      </c>
      <c r="D818" s="11" t="s">
        <v>51</v>
      </c>
      <c r="E818" s="15">
        <v>75</v>
      </c>
      <c r="F818" s="11" t="s">
        <v>1916</v>
      </c>
      <c r="G818" s="11" t="s">
        <v>1766</v>
      </c>
      <c r="H818" s="15" t="s">
        <v>15</v>
      </c>
      <c r="I818" s="15">
        <v>20</v>
      </c>
      <c r="J818" s="12" t="s">
        <v>692</v>
      </c>
      <c r="K818" s="591">
        <f>(19*37)+(1*32.7)</f>
        <v>735.7</v>
      </c>
      <c r="L818" s="7"/>
    </row>
    <row r="819" spans="1:12">
      <c r="A819" s="590" t="s">
        <v>1186</v>
      </c>
      <c r="B819" s="11" t="s">
        <v>150</v>
      </c>
      <c r="C819" s="11">
        <v>47</v>
      </c>
      <c r="D819" s="11" t="s">
        <v>51</v>
      </c>
      <c r="E819" s="15">
        <v>113</v>
      </c>
      <c r="F819" s="11" t="s">
        <v>596</v>
      </c>
      <c r="G819" s="11" t="s">
        <v>658</v>
      </c>
      <c r="H819" s="15" t="s">
        <v>15</v>
      </c>
      <c r="I819" s="15">
        <v>15</v>
      </c>
      <c r="J819" s="12" t="s">
        <v>659</v>
      </c>
      <c r="K819" s="591">
        <f>(13*35)+(2*27.3)</f>
        <v>509.6</v>
      </c>
      <c r="L819" s="7"/>
    </row>
    <row r="820" spans="1:12">
      <c r="A820" s="590" t="s">
        <v>1186</v>
      </c>
      <c r="B820" s="11" t="s">
        <v>150</v>
      </c>
      <c r="C820" s="11">
        <v>47</v>
      </c>
      <c r="D820" s="11" t="s">
        <v>51</v>
      </c>
      <c r="E820" s="15">
        <v>114</v>
      </c>
      <c r="F820" s="11" t="s">
        <v>1397</v>
      </c>
      <c r="G820" s="11" t="s">
        <v>658</v>
      </c>
      <c r="H820" s="15" t="s">
        <v>15</v>
      </c>
      <c r="I820" s="15">
        <v>20</v>
      </c>
      <c r="J820" s="12" t="s">
        <v>142</v>
      </c>
      <c r="K820" s="591">
        <f>(20*35)</f>
        <v>700</v>
      </c>
      <c r="L820" s="7"/>
    </row>
    <row r="821" spans="1:12">
      <c r="A821" s="590" t="s">
        <v>1186</v>
      </c>
      <c r="B821" s="11" t="s">
        <v>150</v>
      </c>
      <c r="C821" s="11">
        <v>47</v>
      </c>
      <c r="D821" s="11" t="s">
        <v>51</v>
      </c>
      <c r="E821" s="15">
        <v>116</v>
      </c>
      <c r="F821" s="11" t="s">
        <v>790</v>
      </c>
      <c r="G821" s="11" t="s">
        <v>658</v>
      </c>
      <c r="H821" s="15" t="s">
        <v>15</v>
      </c>
      <c r="I821" s="15">
        <v>15</v>
      </c>
      <c r="J821" s="12" t="s">
        <v>159</v>
      </c>
      <c r="K821" s="591">
        <f>(15*35)</f>
        <v>525</v>
      </c>
      <c r="L821" s="7"/>
    </row>
    <row r="822" spans="1:12">
      <c r="A822" s="590" t="s">
        <v>1186</v>
      </c>
      <c r="B822" s="11" t="s">
        <v>150</v>
      </c>
      <c r="C822" s="11">
        <v>47</v>
      </c>
      <c r="D822" s="11" t="s">
        <v>50</v>
      </c>
      <c r="E822" s="15">
        <v>11</v>
      </c>
      <c r="F822" s="11" t="s">
        <v>1917</v>
      </c>
      <c r="G822" s="11" t="s">
        <v>701</v>
      </c>
      <c r="H822" s="15" t="s">
        <v>15</v>
      </c>
      <c r="I822" s="15">
        <v>30</v>
      </c>
      <c r="J822" s="12" t="s">
        <v>623</v>
      </c>
      <c r="K822" s="591">
        <f>(29*37)+(1*29.3)</f>
        <v>1102.3</v>
      </c>
      <c r="L822" s="7"/>
    </row>
    <row r="823" spans="1:12">
      <c r="A823" s="590" t="s">
        <v>1186</v>
      </c>
      <c r="B823" s="11" t="s">
        <v>150</v>
      </c>
      <c r="C823" s="11">
        <v>47</v>
      </c>
      <c r="D823" s="11" t="s">
        <v>50</v>
      </c>
      <c r="E823" s="15">
        <v>12</v>
      </c>
      <c r="F823" s="11" t="s">
        <v>1918</v>
      </c>
      <c r="G823" s="11" t="s">
        <v>701</v>
      </c>
      <c r="H823" s="15" t="s">
        <v>15</v>
      </c>
      <c r="I823" s="15">
        <v>25</v>
      </c>
      <c r="J823" s="12" t="s">
        <v>1413</v>
      </c>
      <c r="K823" s="591">
        <f>(24*37)+(1*29.3)</f>
        <v>917.3</v>
      </c>
      <c r="L823" s="7"/>
    </row>
    <row r="824" spans="1:12">
      <c r="A824" s="590" t="s">
        <v>1186</v>
      </c>
      <c r="B824" s="11" t="s">
        <v>150</v>
      </c>
      <c r="C824" s="11">
        <v>47</v>
      </c>
      <c r="D824" s="11" t="s">
        <v>50</v>
      </c>
      <c r="E824" s="15">
        <v>15</v>
      </c>
      <c r="F824" s="11" t="s">
        <v>1919</v>
      </c>
      <c r="G824" s="11" t="s">
        <v>701</v>
      </c>
      <c r="H824" s="15" t="s">
        <v>15</v>
      </c>
      <c r="I824" s="15">
        <v>25</v>
      </c>
      <c r="J824" s="12" t="s">
        <v>1413</v>
      </c>
      <c r="K824" s="591">
        <f>(24*37)+(1*29.3)</f>
        <v>917.3</v>
      </c>
      <c r="L824" s="7"/>
    </row>
    <row r="825" spans="1:12">
      <c r="A825" s="590" t="s">
        <v>1186</v>
      </c>
      <c r="B825" s="11" t="s">
        <v>150</v>
      </c>
      <c r="C825" s="11">
        <v>47</v>
      </c>
      <c r="D825" s="11" t="s">
        <v>50</v>
      </c>
      <c r="E825" s="15">
        <v>103</v>
      </c>
      <c r="F825" s="11" t="s">
        <v>1470</v>
      </c>
      <c r="G825" s="11" t="s">
        <v>690</v>
      </c>
      <c r="H825" s="15" t="s">
        <v>5</v>
      </c>
      <c r="I825" s="15">
        <v>20</v>
      </c>
      <c r="J825" s="12" t="s">
        <v>633</v>
      </c>
      <c r="K825" s="591">
        <f>(19*34)+(1*29.7)</f>
        <v>675.7</v>
      </c>
      <c r="L825" s="7"/>
    </row>
    <row r="826" spans="1:12">
      <c r="A826" s="590" t="s">
        <v>1186</v>
      </c>
      <c r="B826" s="11" t="s">
        <v>150</v>
      </c>
      <c r="C826" s="11">
        <v>47</v>
      </c>
      <c r="D826" s="11" t="s">
        <v>50</v>
      </c>
      <c r="E826" s="15">
        <v>104</v>
      </c>
      <c r="F826" s="11" t="s">
        <v>736</v>
      </c>
      <c r="G826" s="11" t="s">
        <v>690</v>
      </c>
      <c r="H826" s="15" t="s">
        <v>5</v>
      </c>
      <c r="I826" s="15">
        <v>20</v>
      </c>
      <c r="J826" s="12" t="s">
        <v>633</v>
      </c>
      <c r="K826" s="591">
        <f>(19*34)+(1*29.7)</f>
        <v>675.7</v>
      </c>
      <c r="L826" s="7"/>
    </row>
    <row r="827" spans="1:12">
      <c r="A827" s="590" t="s">
        <v>1186</v>
      </c>
      <c r="B827" s="11" t="s">
        <v>150</v>
      </c>
      <c r="C827" s="11">
        <v>47</v>
      </c>
      <c r="D827" s="11" t="s">
        <v>50</v>
      </c>
      <c r="E827" s="15">
        <v>149</v>
      </c>
      <c r="F827" s="11" t="s">
        <v>1368</v>
      </c>
      <c r="G827" s="11" t="s">
        <v>66</v>
      </c>
      <c r="H827" s="15" t="s">
        <v>15</v>
      </c>
      <c r="I827" s="15">
        <v>24</v>
      </c>
      <c r="J827" s="12" t="s">
        <v>651</v>
      </c>
      <c r="K827" s="591">
        <f>(24*30)</f>
        <v>720</v>
      </c>
      <c r="L827" s="7"/>
    </row>
    <row r="828" spans="1:12">
      <c r="A828" s="590" t="s">
        <v>1186</v>
      </c>
      <c r="B828" s="11" t="s">
        <v>150</v>
      </c>
      <c r="C828" s="11">
        <v>47</v>
      </c>
      <c r="D828" s="11" t="s">
        <v>50</v>
      </c>
      <c r="E828" s="15">
        <v>150</v>
      </c>
      <c r="F828" s="11" t="s">
        <v>666</v>
      </c>
      <c r="G828" s="11" t="s">
        <v>66</v>
      </c>
      <c r="H828" s="15" t="s">
        <v>15</v>
      </c>
      <c r="I828" s="15">
        <v>20</v>
      </c>
      <c r="J828" s="12" t="s">
        <v>652</v>
      </c>
      <c r="K828" s="591">
        <f>(19*30)+(1*25.7)</f>
        <v>595.70000000000005</v>
      </c>
      <c r="L828" s="7"/>
    </row>
    <row r="829" spans="1:12">
      <c r="A829" s="590" t="s">
        <v>1188</v>
      </c>
      <c r="B829" s="11" t="s">
        <v>9</v>
      </c>
      <c r="C829" s="11">
        <v>47</v>
      </c>
      <c r="D829" s="11" t="s">
        <v>26</v>
      </c>
      <c r="E829" s="15">
        <v>11</v>
      </c>
      <c r="F829" s="11" t="s">
        <v>552</v>
      </c>
      <c r="G829" s="11" t="s">
        <v>36</v>
      </c>
      <c r="H829" s="15"/>
      <c r="I829" s="15">
        <v>20</v>
      </c>
      <c r="J829" s="12" t="s">
        <v>34</v>
      </c>
      <c r="K829" s="591">
        <f>(19*26)+(1*17.4)</f>
        <v>511.4</v>
      </c>
      <c r="L829" s="7"/>
    </row>
    <row r="830" spans="1:12">
      <c r="A830" s="590" t="s">
        <v>1188</v>
      </c>
      <c r="B830" s="11" t="s">
        <v>9</v>
      </c>
      <c r="C830" s="11">
        <v>47</v>
      </c>
      <c r="D830" s="11" t="s">
        <v>26</v>
      </c>
      <c r="E830" s="15">
        <v>13</v>
      </c>
      <c r="F830" s="11" t="s">
        <v>510</v>
      </c>
      <c r="G830" s="11" t="s">
        <v>36</v>
      </c>
      <c r="H830" s="15" t="s">
        <v>15</v>
      </c>
      <c r="I830" s="15">
        <v>20</v>
      </c>
      <c r="J830" s="12" t="s">
        <v>34</v>
      </c>
      <c r="K830" s="591">
        <f>(19*26)+(1*17.4)</f>
        <v>511.4</v>
      </c>
      <c r="L830" s="7"/>
    </row>
    <row r="831" spans="1:12">
      <c r="A831" s="590" t="s">
        <v>1188</v>
      </c>
      <c r="B831" s="11" t="s">
        <v>9</v>
      </c>
      <c r="C831" s="11">
        <v>47</v>
      </c>
      <c r="D831" s="11" t="s">
        <v>26</v>
      </c>
      <c r="E831" s="15">
        <v>32</v>
      </c>
      <c r="F831" s="11" t="s">
        <v>1384</v>
      </c>
      <c r="G831" s="11" t="s">
        <v>1438</v>
      </c>
      <c r="H831" s="15" t="s">
        <v>15</v>
      </c>
      <c r="I831" s="15">
        <v>18</v>
      </c>
      <c r="J831" s="12" t="s">
        <v>702</v>
      </c>
      <c r="K831" s="591">
        <f>(18*28)</f>
        <v>504</v>
      </c>
      <c r="L831" s="7"/>
    </row>
    <row r="832" spans="1:12">
      <c r="A832" s="590" t="s">
        <v>1188</v>
      </c>
      <c r="B832" s="11" t="s">
        <v>9</v>
      </c>
      <c r="C832" s="11">
        <v>47</v>
      </c>
      <c r="D832" s="11" t="s">
        <v>26</v>
      </c>
      <c r="E832" s="15">
        <v>77</v>
      </c>
      <c r="F832" s="11" t="s">
        <v>121</v>
      </c>
      <c r="G832" s="11" t="s">
        <v>199</v>
      </c>
      <c r="H832" s="15" t="s">
        <v>15</v>
      </c>
      <c r="I832" s="15">
        <v>15</v>
      </c>
      <c r="J832" s="12" t="s">
        <v>127</v>
      </c>
      <c r="K832" s="591">
        <f>(14*34)+(1*25.4)</f>
        <v>501.4</v>
      </c>
      <c r="L832" s="7"/>
    </row>
    <row r="833" spans="1:12">
      <c r="A833" s="590" t="s">
        <v>1188</v>
      </c>
      <c r="B833" s="11" t="s">
        <v>9</v>
      </c>
      <c r="C833" s="11">
        <v>47</v>
      </c>
      <c r="D833" s="11" t="s">
        <v>26</v>
      </c>
      <c r="E833" s="15">
        <v>79</v>
      </c>
      <c r="F833" s="11" t="s">
        <v>783</v>
      </c>
      <c r="G833" s="11" t="s">
        <v>199</v>
      </c>
      <c r="H833" s="15" t="s">
        <v>15</v>
      </c>
      <c r="I833" s="15">
        <v>15</v>
      </c>
      <c r="J833" s="12" t="s">
        <v>127</v>
      </c>
      <c r="K833" s="591">
        <f>(14*34)+(1*25.4)</f>
        <v>501.4</v>
      </c>
      <c r="L833" s="7"/>
    </row>
    <row r="834" spans="1:12">
      <c r="A834" s="590" t="s">
        <v>1188</v>
      </c>
      <c r="B834" s="11" t="s">
        <v>9</v>
      </c>
      <c r="C834" s="11">
        <v>47</v>
      </c>
      <c r="D834" s="11" t="s">
        <v>7</v>
      </c>
      <c r="E834" s="15">
        <v>132</v>
      </c>
      <c r="F834" s="11" t="s">
        <v>1459</v>
      </c>
      <c r="G834" s="11" t="s">
        <v>441</v>
      </c>
      <c r="H834" s="15" t="s">
        <v>15</v>
      </c>
      <c r="I834" s="15">
        <v>30</v>
      </c>
      <c r="J834" s="12" t="s">
        <v>1520</v>
      </c>
      <c r="K834" s="591">
        <f>(28*38)+(2*29.4)</f>
        <v>1122.8</v>
      </c>
      <c r="L834" s="7"/>
    </row>
    <row r="835" spans="1:12">
      <c r="A835" s="590" t="s">
        <v>1188</v>
      </c>
      <c r="B835" s="11" t="s">
        <v>9</v>
      </c>
      <c r="C835" s="11">
        <v>47</v>
      </c>
      <c r="D835" s="11" t="s">
        <v>7</v>
      </c>
      <c r="E835" s="15">
        <v>133</v>
      </c>
      <c r="F835" s="11" t="s">
        <v>1566</v>
      </c>
      <c r="G835" s="11" t="s">
        <v>441</v>
      </c>
      <c r="H835" s="15" t="s">
        <v>15</v>
      </c>
      <c r="I835" s="15">
        <v>15</v>
      </c>
      <c r="J835" s="12" t="s">
        <v>38</v>
      </c>
      <c r="K835" s="591">
        <f>(13*38)+(2*29.4)</f>
        <v>552.79999999999995</v>
      </c>
      <c r="L835" s="7"/>
    </row>
    <row r="836" spans="1:12">
      <c r="A836" s="590" t="s">
        <v>1188</v>
      </c>
      <c r="B836" s="11" t="s">
        <v>9</v>
      </c>
      <c r="C836" s="11">
        <v>47</v>
      </c>
      <c r="D836" s="11" t="s">
        <v>7</v>
      </c>
      <c r="E836" s="15">
        <v>168</v>
      </c>
      <c r="F836" s="11" t="s">
        <v>1920</v>
      </c>
      <c r="G836" s="11" t="s">
        <v>761</v>
      </c>
      <c r="H836" s="15" t="s">
        <v>15</v>
      </c>
      <c r="I836" s="15">
        <v>15</v>
      </c>
      <c r="J836" s="12" t="s">
        <v>38</v>
      </c>
      <c r="K836" s="591">
        <f>(13*38)+(2*29.4)</f>
        <v>552.79999999999995</v>
      </c>
      <c r="L836" s="7"/>
    </row>
    <row r="837" spans="1:12">
      <c r="A837" s="590" t="s">
        <v>1188</v>
      </c>
      <c r="B837" s="11" t="s">
        <v>9</v>
      </c>
      <c r="C837" s="11">
        <v>47</v>
      </c>
      <c r="D837" s="11" t="s">
        <v>7</v>
      </c>
      <c r="E837" s="15">
        <v>174</v>
      </c>
      <c r="F837" s="11" t="s">
        <v>1921</v>
      </c>
      <c r="G837" s="11" t="s">
        <v>761</v>
      </c>
      <c r="H837" s="15" t="s">
        <v>15</v>
      </c>
      <c r="I837" s="15">
        <v>15</v>
      </c>
      <c r="J837" s="12" t="s">
        <v>397</v>
      </c>
      <c r="K837" s="591">
        <f>(12*38)+(3*29.4)</f>
        <v>544.20000000000005</v>
      </c>
      <c r="L837" s="7"/>
    </row>
    <row r="838" spans="1:12">
      <c r="A838" s="590" t="s">
        <v>1188</v>
      </c>
      <c r="B838" s="11" t="s">
        <v>9</v>
      </c>
      <c r="C838" s="11">
        <v>47</v>
      </c>
      <c r="D838" s="11" t="s">
        <v>7</v>
      </c>
      <c r="E838" s="15">
        <v>265</v>
      </c>
      <c r="F838" s="11" t="s">
        <v>1332</v>
      </c>
      <c r="G838" s="11" t="s">
        <v>1379</v>
      </c>
      <c r="H838" s="15" t="s">
        <v>15</v>
      </c>
      <c r="I838" s="15">
        <v>20</v>
      </c>
      <c r="J838" s="12" t="s">
        <v>168</v>
      </c>
      <c r="K838" s="591">
        <f>(20*37)</f>
        <v>740</v>
      </c>
      <c r="L838" s="7"/>
    </row>
    <row r="839" spans="1:12">
      <c r="A839" s="590" t="s">
        <v>1188</v>
      </c>
      <c r="B839" s="11" t="s">
        <v>9</v>
      </c>
      <c r="C839" s="11">
        <v>47</v>
      </c>
      <c r="D839" s="11" t="s">
        <v>7</v>
      </c>
      <c r="E839" s="15">
        <v>299</v>
      </c>
      <c r="F839" s="11" t="s">
        <v>590</v>
      </c>
      <c r="G839" s="11" t="s">
        <v>1922</v>
      </c>
      <c r="H839" s="15" t="s">
        <v>15</v>
      </c>
      <c r="I839" s="15">
        <v>20</v>
      </c>
      <c r="J839" s="12" t="s">
        <v>31</v>
      </c>
      <c r="K839" s="591">
        <f>(19*38)+(1*29.4)</f>
        <v>751.4</v>
      </c>
      <c r="L839" s="7"/>
    </row>
    <row r="840" spans="1:12">
      <c r="A840" s="590" t="s">
        <v>1188</v>
      </c>
      <c r="B840" s="11" t="s">
        <v>9</v>
      </c>
      <c r="C840" s="11">
        <v>47</v>
      </c>
      <c r="D840" s="11" t="s">
        <v>7</v>
      </c>
      <c r="E840" s="15">
        <v>301</v>
      </c>
      <c r="F840" s="11" t="s">
        <v>164</v>
      </c>
      <c r="G840" s="11" t="s">
        <v>1922</v>
      </c>
      <c r="H840" s="15" t="s">
        <v>15</v>
      </c>
      <c r="I840" s="15">
        <v>20</v>
      </c>
      <c r="J840" s="12" t="s">
        <v>31</v>
      </c>
      <c r="K840" s="591">
        <f>(19*38)+(1*29.4)</f>
        <v>751.4</v>
      </c>
      <c r="L840" s="7"/>
    </row>
    <row r="841" spans="1:12">
      <c r="A841" s="590" t="s">
        <v>1188</v>
      </c>
      <c r="B841" s="11" t="s">
        <v>9</v>
      </c>
      <c r="C841" s="11">
        <v>47</v>
      </c>
      <c r="D841" s="11" t="s">
        <v>7</v>
      </c>
      <c r="E841" s="15">
        <v>317</v>
      </c>
      <c r="F841" s="11" t="s">
        <v>697</v>
      </c>
      <c r="G841" s="11" t="s">
        <v>1922</v>
      </c>
      <c r="H841" s="15" t="s">
        <v>15</v>
      </c>
      <c r="I841" s="15">
        <v>10</v>
      </c>
      <c r="J841" s="12" t="s">
        <v>447</v>
      </c>
      <c r="K841" s="591">
        <f>(8*38)+(2*29.4)</f>
        <v>362.8</v>
      </c>
      <c r="L841" s="7"/>
    </row>
    <row r="842" spans="1:12">
      <c r="A842" s="590" t="s">
        <v>1188</v>
      </c>
      <c r="B842" s="11" t="s">
        <v>9</v>
      </c>
      <c r="C842" s="11">
        <v>47</v>
      </c>
      <c r="D842" s="11" t="s">
        <v>7</v>
      </c>
      <c r="E842" s="15">
        <v>318</v>
      </c>
      <c r="F842" s="11" t="s">
        <v>699</v>
      </c>
      <c r="G842" s="11" t="s">
        <v>1922</v>
      </c>
      <c r="H842" s="15" t="s">
        <v>15</v>
      </c>
      <c r="I842" s="15">
        <v>15</v>
      </c>
      <c r="J842" s="12" t="s">
        <v>38</v>
      </c>
      <c r="K842" s="591">
        <f>(13*38)+(2*29.4)</f>
        <v>552.79999999999995</v>
      </c>
      <c r="L842" s="7"/>
    </row>
    <row r="843" spans="1:12">
      <c r="A843" s="590" t="s">
        <v>1188</v>
      </c>
      <c r="B843" s="11" t="s">
        <v>9</v>
      </c>
      <c r="C843" s="11">
        <v>47</v>
      </c>
      <c r="D843" s="11" t="s">
        <v>7</v>
      </c>
      <c r="E843" s="15">
        <v>353</v>
      </c>
      <c r="F843" s="11" t="s">
        <v>683</v>
      </c>
      <c r="G843" s="11" t="s">
        <v>1783</v>
      </c>
      <c r="H843" s="15" t="s">
        <v>15</v>
      </c>
      <c r="I843" s="15">
        <v>20</v>
      </c>
      <c r="J843" s="12" t="s">
        <v>31</v>
      </c>
      <c r="K843" s="591">
        <f>(19*38)+(1*29.4)</f>
        <v>751.4</v>
      </c>
      <c r="L843" s="7"/>
    </row>
    <row r="844" spans="1:12">
      <c r="A844" s="590" t="s">
        <v>1188</v>
      </c>
      <c r="B844" s="11" t="s">
        <v>9</v>
      </c>
      <c r="C844" s="11">
        <v>47</v>
      </c>
      <c r="D844" s="11" t="s">
        <v>7</v>
      </c>
      <c r="E844" s="15">
        <v>354</v>
      </c>
      <c r="F844" s="11" t="s">
        <v>1564</v>
      </c>
      <c r="G844" s="11" t="s">
        <v>1783</v>
      </c>
      <c r="H844" s="15" t="s">
        <v>15</v>
      </c>
      <c r="I844" s="15">
        <v>15</v>
      </c>
      <c r="J844" s="12" t="s">
        <v>97</v>
      </c>
      <c r="K844" s="591">
        <f>(15*38)</f>
        <v>570</v>
      </c>
      <c r="L844" s="7"/>
    </row>
    <row r="845" spans="1:12">
      <c r="A845" s="590" t="s">
        <v>1188</v>
      </c>
      <c r="B845" s="11" t="s">
        <v>9</v>
      </c>
      <c r="C845" s="11">
        <v>47</v>
      </c>
      <c r="D845" s="11" t="s">
        <v>7</v>
      </c>
      <c r="E845" s="15">
        <v>355</v>
      </c>
      <c r="F845" s="11" t="s">
        <v>660</v>
      </c>
      <c r="G845" s="11" t="s">
        <v>1783</v>
      </c>
      <c r="H845" s="15" t="s">
        <v>15</v>
      </c>
      <c r="I845" s="15">
        <v>20</v>
      </c>
      <c r="J845" s="12" t="s">
        <v>31</v>
      </c>
      <c r="K845" s="591">
        <f>(19*38)+(1*29.4)</f>
        <v>751.4</v>
      </c>
      <c r="L845" s="7"/>
    </row>
    <row r="846" spans="1:12">
      <c r="A846" s="590" t="s">
        <v>1188</v>
      </c>
      <c r="B846" s="11" t="s">
        <v>9</v>
      </c>
      <c r="C846" s="11">
        <v>47</v>
      </c>
      <c r="D846" s="11" t="s">
        <v>7</v>
      </c>
      <c r="E846" s="15">
        <v>358</v>
      </c>
      <c r="F846" s="11" t="s">
        <v>81</v>
      </c>
      <c r="G846" s="11" t="s">
        <v>1783</v>
      </c>
      <c r="H846" s="15" t="s">
        <v>15</v>
      </c>
      <c r="I846" s="15">
        <v>21</v>
      </c>
      <c r="J846" s="12" t="s">
        <v>1431</v>
      </c>
      <c r="K846" s="591">
        <f>(21*38)</f>
        <v>798</v>
      </c>
      <c r="L846" s="7"/>
    </row>
    <row r="847" spans="1:12">
      <c r="A847" s="590" t="s">
        <v>1188</v>
      </c>
      <c r="B847" s="11" t="s">
        <v>9</v>
      </c>
      <c r="C847" s="11">
        <v>47</v>
      </c>
      <c r="D847" s="11" t="s">
        <v>7</v>
      </c>
      <c r="E847" s="15">
        <v>368</v>
      </c>
      <c r="F847" s="11" t="s">
        <v>1382</v>
      </c>
      <c r="G847" s="11" t="s">
        <v>1783</v>
      </c>
      <c r="H847" s="15" t="s">
        <v>15</v>
      </c>
      <c r="I847" s="15">
        <v>20</v>
      </c>
      <c r="J847" s="12" t="s">
        <v>41</v>
      </c>
      <c r="K847" s="591">
        <f>(18*38)+(2*29.4)</f>
        <v>742.8</v>
      </c>
      <c r="L847" s="7"/>
    </row>
    <row r="848" spans="1:12">
      <c r="A848" s="590" t="s">
        <v>1188</v>
      </c>
      <c r="B848" s="11" t="s">
        <v>9</v>
      </c>
      <c r="C848" s="11">
        <v>47</v>
      </c>
      <c r="D848" s="11" t="s">
        <v>7</v>
      </c>
      <c r="E848" s="15">
        <v>393</v>
      </c>
      <c r="F848" s="11" t="s">
        <v>1422</v>
      </c>
      <c r="G848" s="11" t="s">
        <v>39</v>
      </c>
      <c r="H848" s="15" t="s">
        <v>15</v>
      </c>
      <c r="I848" s="15">
        <v>15</v>
      </c>
      <c r="J848" s="12" t="s">
        <v>159</v>
      </c>
      <c r="K848" s="591">
        <f>(15*35)</f>
        <v>525</v>
      </c>
      <c r="L848" s="7"/>
    </row>
    <row r="849" spans="1:12">
      <c r="A849" s="590" t="s">
        <v>1188</v>
      </c>
      <c r="B849" s="11" t="s">
        <v>9</v>
      </c>
      <c r="C849" s="11">
        <v>47</v>
      </c>
      <c r="D849" s="11" t="s">
        <v>7</v>
      </c>
      <c r="E849" s="15">
        <v>396</v>
      </c>
      <c r="F849" s="11" t="s">
        <v>583</v>
      </c>
      <c r="G849" s="11" t="s">
        <v>39</v>
      </c>
      <c r="H849" s="15" t="s">
        <v>15</v>
      </c>
      <c r="I849" s="15">
        <v>15</v>
      </c>
      <c r="J849" s="12" t="s">
        <v>159</v>
      </c>
      <c r="K849" s="591">
        <f t="shared" ref="K849:K850" si="26">(15*35)</f>
        <v>525</v>
      </c>
      <c r="L849" s="7"/>
    </row>
    <row r="850" spans="1:12" ht="15.75" thickBot="1">
      <c r="A850" s="592" t="s">
        <v>1188</v>
      </c>
      <c r="B850" s="593" t="s">
        <v>9</v>
      </c>
      <c r="C850" s="593">
        <v>47</v>
      </c>
      <c r="D850" s="593" t="s">
        <v>7</v>
      </c>
      <c r="E850" s="594">
        <v>399</v>
      </c>
      <c r="F850" s="593" t="s">
        <v>695</v>
      </c>
      <c r="G850" s="593" t="s">
        <v>39</v>
      </c>
      <c r="H850" s="594" t="s">
        <v>15</v>
      </c>
      <c r="I850" s="594">
        <v>15</v>
      </c>
      <c r="J850" s="595" t="s">
        <v>159</v>
      </c>
      <c r="K850" s="596">
        <f t="shared" si="26"/>
        <v>525</v>
      </c>
      <c r="L850" s="7"/>
    </row>
    <row r="851" spans="1:12">
      <c r="A851" s="611" t="s">
        <v>1188</v>
      </c>
      <c r="B851" s="612" t="s">
        <v>9</v>
      </c>
      <c r="C851" s="612">
        <v>47</v>
      </c>
      <c r="D851" s="612" t="s">
        <v>7</v>
      </c>
      <c r="E851" s="61">
        <v>432</v>
      </c>
      <c r="F851" s="612" t="s">
        <v>551</v>
      </c>
      <c r="G851" s="612" t="s">
        <v>124</v>
      </c>
      <c r="H851" s="61" t="s">
        <v>15</v>
      </c>
      <c r="I851" s="61">
        <v>15</v>
      </c>
      <c r="J851" s="613" t="s">
        <v>13</v>
      </c>
      <c r="K851" s="614">
        <f>(14*35)+(1*26.4)</f>
        <v>516.4</v>
      </c>
      <c r="L851" s="7"/>
    </row>
    <row r="852" spans="1:12">
      <c r="A852" s="590" t="s">
        <v>1188</v>
      </c>
      <c r="B852" s="11" t="s">
        <v>9</v>
      </c>
      <c r="C852" s="11">
        <v>47</v>
      </c>
      <c r="D852" s="11" t="s">
        <v>7</v>
      </c>
      <c r="E852" s="15">
        <v>433</v>
      </c>
      <c r="F852" s="11" t="s">
        <v>536</v>
      </c>
      <c r="G852" s="11" t="s">
        <v>124</v>
      </c>
      <c r="H852" s="15" t="s">
        <v>15</v>
      </c>
      <c r="I852" s="15">
        <v>15</v>
      </c>
      <c r="J852" s="12" t="s">
        <v>159</v>
      </c>
      <c r="K852" s="591">
        <f>(15*35)</f>
        <v>525</v>
      </c>
      <c r="L852" s="7"/>
    </row>
    <row r="853" spans="1:12">
      <c r="A853" s="590" t="s">
        <v>1188</v>
      </c>
      <c r="B853" s="11" t="s">
        <v>9</v>
      </c>
      <c r="C853" s="11">
        <v>47</v>
      </c>
      <c r="D853" s="11" t="s">
        <v>7</v>
      </c>
      <c r="E853" s="15">
        <v>434</v>
      </c>
      <c r="F853" s="11" t="s">
        <v>531</v>
      </c>
      <c r="G853" s="11" t="s">
        <v>124</v>
      </c>
      <c r="H853" s="15" t="s">
        <v>15</v>
      </c>
      <c r="I853" s="15">
        <v>20</v>
      </c>
      <c r="J853" s="12" t="s">
        <v>17</v>
      </c>
      <c r="K853" s="591">
        <f>(19*35)+(1*26.4)</f>
        <v>691.4</v>
      </c>
      <c r="L853" s="7"/>
    </row>
    <row r="854" spans="1:12">
      <c r="A854" s="590" t="s">
        <v>1188</v>
      </c>
      <c r="B854" s="11" t="s">
        <v>9</v>
      </c>
      <c r="C854" s="11">
        <v>47</v>
      </c>
      <c r="D854" s="11" t="s">
        <v>7</v>
      </c>
      <c r="E854" s="15">
        <v>587</v>
      </c>
      <c r="F854" s="11" t="s">
        <v>201</v>
      </c>
      <c r="G854" s="11" t="s">
        <v>42</v>
      </c>
      <c r="H854" s="15" t="s">
        <v>15</v>
      </c>
      <c r="I854" s="15">
        <v>15</v>
      </c>
      <c r="J854" s="12" t="s">
        <v>38</v>
      </c>
      <c r="K854" s="591">
        <f>(13*38)+(2*29.4)</f>
        <v>552.79999999999995</v>
      </c>
      <c r="L854" s="7"/>
    </row>
    <row r="855" spans="1:12">
      <c r="A855" s="590" t="s">
        <v>1188</v>
      </c>
      <c r="B855" s="11" t="s">
        <v>9</v>
      </c>
      <c r="C855" s="11">
        <v>47</v>
      </c>
      <c r="D855" s="11" t="s">
        <v>7</v>
      </c>
      <c r="E855" s="15">
        <v>669</v>
      </c>
      <c r="F855" s="11" t="s">
        <v>1923</v>
      </c>
      <c r="G855" s="11" t="s">
        <v>99</v>
      </c>
      <c r="H855" s="15" t="s">
        <v>15</v>
      </c>
      <c r="I855" s="15">
        <v>20</v>
      </c>
      <c r="J855" s="12" t="s">
        <v>155</v>
      </c>
      <c r="K855" s="591">
        <f>(20*26)</f>
        <v>520</v>
      </c>
      <c r="L855" s="7"/>
    </row>
    <row r="856" spans="1:12">
      <c r="A856" s="590" t="s">
        <v>1188</v>
      </c>
      <c r="B856" s="11" t="s">
        <v>9</v>
      </c>
      <c r="C856" s="11">
        <v>47</v>
      </c>
      <c r="D856" s="11" t="s">
        <v>7</v>
      </c>
      <c r="E856" s="15">
        <v>779</v>
      </c>
      <c r="F856" s="11" t="s">
        <v>1924</v>
      </c>
      <c r="G856" s="11" t="s">
        <v>212</v>
      </c>
      <c r="H856" s="15" t="s">
        <v>5</v>
      </c>
      <c r="I856" s="15">
        <v>20</v>
      </c>
      <c r="J856" s="12" t="s">
        <v>23</v>
      </c>
      <c r="K856" s="591">
        <f>(18*35)+(2*26.4)</f>
        <v>682.8</v>
      </c>
      <c r="L856" s="7"/>
    </row>
    <row r="857" spans="1:12">
      <c r="A857" s="590" t="s">
        <v>1188</v>
      </c>
      <c r="B857" s="11" t="s">
        <v>9</v>
      </c>
      <c r="C857" s="11">
        <v>47</v>
      </c>
      <c r="D857" s="11" t="s">
        <v>10</v>
      </c>
      <c r="E857" s="15">
        <v>60</v>
      </c>
      <c r="F857" s="11" t="s">
        <v>120</v>
      </c>
      <c r="G857" s="11" t="s">
        <v>778</v>
      </c>
      <c r="H857" s="15" t="s">
        <v>5</v>
      </c>
      <c r="I857" s="15">
        <v>25</v>
      </c>
      <c r="J857" s="12" t="s">
        <v>1786</v>
      </c>
      <c r="K857" s="591">
        <f>(23*35)+(2*26.4)</f>
        <v>857.8</v>
      </c>
      <c r="L857" s="7"/>
    </row>
    <row r="858" spans="1:12">
      <c r="A858" s="590" t="s">
        <v>1188</v>
      </c>
      <c r="B858" s="11" t="s">
        <v>9</v>
      </c>
      <c r="C858" s="11">
        <v>47</v>
      </c>
      <c r="D858" s="11" t="s">
        <v>10</v>
      </c>
      <c r="E858" s="15">
        <v>92</v>
      </c>
      <c r="F858" s="11" t="s">
        <v>151</v>
      </c>
      <c r="G858" s="11" t="s">
        <v>80</v>
      </c>
      <c r="H858" s="15" t="s">
        <v>5</v>
      </c>
      <c r="I858" s="15">
        <v>20</v>
      </c>
      <c r="J858" s="12" t="s">
        <v>31</v>
      </c>
      <c r="K858" s="591">
        <f>(19*38)+(1*29.4)</f>
        <v>751.4</v>
      </c>
      <c r="L858" s="7"/>
    </row>
    <row r="859" spans="1:12">
      <c r="A859" s="590" t="s">
        <v>1188</v>
      </c>
      <c r="B859" s="11" t="s">
        <v>9</v>
      </c>
      <c r="C859" s="11">
        <v>47</v>
      </c>
      <c r="D859" s="11" t="s">
        <v>10</v>
      </c>
      <c r="E859" s="15">
        <v>95</v>
      </c>
      <c r="F859" s="11" t="s">
        <v>1543</v>
      </c>
      <c r="G859" s="11" t="s">
        <v>80</v>
      </c>
      <c r="H859" s="15" t="s">
        <v>5</v>
      </c>
      <c r="I859" s="15">
        <v>20</v>
      </c>
      <c r="J859" s="12" t="s">
        <v>41</v>
      </c>
      <c r="K859" s="591">
        <f>(18*38)+(2*29.4)</f>
        <v>742.8</v>
      </c>
      <c r="L859" s="7"/>
    </row>
    <row r="860" spans="1:12">
      <c r="A860" s="590" t="s">
        <v>1188</v>
      </c>
      <c r="B860" s="11" t="s">
        <v>9</v>
      </c>
      <c r="C860" s="11">
        <v>47</v>
      </c>
      <c r="D860" s="11" t="s">
        <v>384</v>
      </c>
      <c r="E860" s="15">
        <v>11</v>
      </c>
      <c r="F860" s="11" t="s">
        <v>137</v>
      </c>
      <c r="G860" s="11" t="s">
        <v>724</v>
      </c>
      <c r="H860" s="15" t="s">
        <v>15</v>
      </c>
      <c r="I860" s="15">
        <v>15</v>
      </c>
      <c r="J860" s="12" t="s">
        <v>14</v>
      </c>
      <c r="K860" s="591">
        <f>(14*38)+(1*29.4)</f>
        <v>561.4</v>
      </c>
      <c r="L860" s="7"/>
    </row>
    <row r="861" spans="1:12">
      <c r="A861" s="590" t="s">
        <v>1190</v>
      </c>
      <c r="B861" s="11" t="s">
        <v>150</v>
      </c>
      <c r="C861" s="11">
        <v>46</v>
      </c>
      <c r="D861" s="11" t="s">
        <v>7</v>
      </c>
      <c r="E861" s="15">
        <v>826</v>
      </c>
      <c r="F861" s="11" t="s">
        <v>1925</v>
      </c>
      <c r="G861" s="11" t="s">
        <v>644</v>
      </c>
      <c r="H861" s="15" t="s">
        <v>15</v>
      </c>
      <c r="I861" s="15">
        <v>30</v>
      </c>
      <c r="J861" s="12" t="s">
        <v>661</v>
      </c>
      <c r="K861" s="591">
        <f>(29*35)+(1*27.3)</f>
        <v>1042.3</v>
      </c>
      <c r="L861" s="7"/>
    </row>
    <row r="862" spans="1:12">
      <c r="A862" s="590" t="s">
        <v>1190</v>
      </c>
      <c r="B862" s="11" t="s">
        <v>150</v>
      </c>
      <c r="C862" s="11">
        <v>46</v>
      </c>
      <c r="D862" s="11" t="s">
        <v>7</v>
      </c>
      <c r="E862" s="15">
        <v>836</v>
      </c>
      <c r="F862" s="11" t="s">
        <v>102</v>
      </c>
      <c r="G862" s="11" t="s">
        <v>1627</v>
      </c>
      <c r="H862" s="15" t="s">
        <v>5</v>
      </c>
      <c r="I862" s="15">
        <v>20</v>
      </c>
      <c r="J862" s="12" t="s">
        <v>652</v>
      </c>
      <c r="K862" s="591">
        <f>(19*30)+(1*25.7)</f>
        <v>595.70000000000005</v>
      </c>
      <c r="L862" s="7"/>
    </row>
    <row r="863" spans="1:12">
      <c r="A863" s="590" t="s">
        <v>1190</v>
      </c>
      <c r="B863" s="11" t="s">
        <v>150</v>
      </c>
      <c r="C863" s="11">
        <v>46</v>
      </c>
      <c r="D863" s="11" t="s">
        <v>7</v>
      </c>
      <c r="E863" s="15">
        <v>845</v>
      </c>
      <c r="F863" s="11" t="s">
        <v>444</v>
      </c>
      <c r="G863" s="11" t="s">
        <v>1627</v>
      </c>
      <c r="H863" s="15" t="s">
        <v>15</v>
      </c>
      <c r="I863" s="15">
        <v>20</v>
      </c>
      <c r="J863" s="12" t="s">
        <v>652</v>
      </c>
      <c r="K863" s="591">
        <f>(19*30)+(1*25.7)</f>
        <v>595.70000000000005</v>
      </c>
      <c r="L863" s="7"/>
    </row>
    <row r="864" spans="1:12">
      <c r="A864" s="590" t="s">
        <v>1192</v>
      </c>
      <c r="B864" s="11" t="s">
        <v>9</v>
      </c>
      <c r="C864" s="11">
        <v>49</v>
      </c>
      <c r="D864" s="11" t="s">
        <v>16</v>
      </c>
      <c r="E864" s="15">
        <v>117</v>
      </c>
      <c r="F864" s="11" t="s">
        <v>1926</v>
      </c>
      <c r="G864" s="11" t="s">
        <v>717</v>
      </c>
      <c r="H864" s="15" t="s">
        <v>5</v>
      </c>
      <c r="I864" s="15">
        <v>30</v>
      </c>
      <c r="J864" s="12" t="s">
        <v>419</v>
      </c>
      <c r="K864" s="591">
        <f>(30*38)</f>
        <v>1140</v>
      </c>
      <c r="L864" s="7"/>
    </row>
    <row r="865" spans="1:12">
      <c r="A865" s="590" t="s">
        <v>1192</v>
      </c>
      <c r="B865" s="11" t="s">
        <v>9</v>
      </c>
      <c r="C865" s="11">
        <v>49</v>
      </c>
      <c r="D865" s="11" t="s">
        <v>16</v>
      </c>
      <c r="E865" s="15">
        <v>119</v>
      </c>
      <c r="F865" s="11" t="s">
        <v>1328</v>
      </c>
      <c r="G865" s="11" t="s">
        <v>717</v>
      </c>
      <c r="H865" s="15" t="s">
        <v>5</v>
      </c>
      <c r="I865" s="15">
        <v>20</v>
      </c>
      <c r="J865" s="12" t="s">
        <v>31</v>
      </c>
      <c r="K865" s="591">
        <f>(19*38)+(1*29.4)</f>
        <v>751.4</v>
      </c>
      <c r="L865" s="7"/>
    </row>
    <row r="866" spans="1:12">
      <c r="A866" s="590" t="s">
        <v>1192</v>
      </c>
      <c r="B866" s="11" t="s">
        <v>9</v>
      </c>
      <c r="C866" s="11">
        <v>49</v>
      </c>
      <c r="D866" s="11" t="s">
        <v>16</v>
      </c>
      <c r="E866" s="15">
        <v>126</v>
      </c>
      <c r="F866" s="11" t="s">
        <v>703</v>
      </c>
      <c r="G866" s="11" t="s">
        <v>717</v>
      </c>
      <c r="H866" s="15" t="s">
        <v>15</v>
      </c>
      <c r="I866" s="15">
        <v>20</v>
      </c>
      <c r="J866" s="12" t="s">
        <v>157</v>
      </c>
      <c r="K866" s="591">
        <f>(20*38)</f>
        <v>760</v>
      </c>
      <c r="L866" s="7"/>
    </row>
    <row r="867" spans="1:12">
      <c r="A867" s="590" t="s">
        <v>1192</v>
      </c>
      <c r="B867" s="11" t="s">
        <v>9</v>
      </c>
      <c r="C867" s="11">
        <v>49</v>
      </c>
      <c r="D867" s="11" t="s">
        <v>16</v>
      </c>
      <c r="E867" s="15">
        <v>128</v>
      </c>
      <c r="F867" s="11" t="s">
        <v>1328</v>
      </c>
      <c r="G867" s="11" t="s">
        <v>717</v>
      </c>
      <c r="H867" s="15" t="s">
        <v>15</v>
      </c>
      <c r="I867" s="15">
        <v>20</v>
      </c>
      <c r="J867" s="12" t="s">
        <v>31</v>
      </c>
      <c r="K867" s="591">
        <f>(19*38)+(1*29.4)</f>
        <v>751.4</v>
      </c>
      <c r="L867" s="7"/>
    </row>
    <row r="868" spans="1:12">
      <c r="A868" s="590" t="s">
        <v>1192</v>
      </c>
      <c r="B868" s="11" t="s">
        <v>9</v>
      </c>
      <c r="C868" s="11">
        <v>49</v>
      </c>
      <c r="D868" s="11" t="s">
        <v>16</v>
      </c>
      <c r="E868" s="15">
        <v>148</v>
      </c>
      <c r="F868" s="11" t="s">
        <v>123</v>
      </c>
      <c r="G868" s="11" t="s">
        <v>718</v>
      </c>
      <c r="H868" s="15" t="s">
        <v>5</v>
      </c>
      <c r="I868" s="15">
        <v>10</v>
      </c>
      <c r="J868" s="12" t="s">
        <v>27</v>
      </c>
      <c r="K868" s="591">
        <f>(9*38)+(1*29.4)</f>
        <v>371.4</v>
      </c>
      <c r="L868" s="7"/>
    </row>
    <row r="869" spans="1:12">
      <c r="A869" s="590" t="s">
        <v>1192</v>
      </c>
      <c r="B869" s="11" t="s">
        <v>9</v>
      </c>
      <c r="C869" s="11">
        <v>49</v>
      </c>
      <c r="D869" s="11" t="s">
        <v>16</v>
      </c>
      <c r="E869" s="15">
        <v>149</v>
      </c>
      <c r="F869" s="11" t="s">
        <v>507</v>
      </c>
      <c r="G869" s="11" t="s">
        <v>718</v>
      </c>
      <c r="H869" s="15" t="s">
        <v>5</v>
      </c>
      <c r="I869" s="15">
        <v>20</v>
      </c>
      <c r="J869" s="12" t="s">
        <v>31</v>
      </c>
      <c r="K869" s="591">
        <f>(19*38)+(1*29.4)</f>
        <v>751.4</v>
      </c>
      <c r="L869" s="7"/>
    </row>
    <row r="870" spans="1:12">
      <c r="A870" s="590" t="s">
        <v>1192</v>
      </c>
      <c r="B870" s="11" t="s">
        <v>9</v>
      </c>
      <c r="C870" s="11">
        <v>49</v>
      </c>
      <c r="D870" s="11" t="s">
        <v>16</v>
      </c>
      <c r="E870" s="15">
        <v>145</v>
      </c>
      <c r="F870" s="11" t="s">
        <v>488</v>
      </c>
      <c r="G870" s="11" t="s">
        <v>718</v>
      </c>
      <c r="H870" s="15" t="s">
        <v>5</v>
      </c>
      <c r="I870" s="15">
        <v>20</v>
      </c>
      <c r="J870" s="12" t="s">
        <v>157</v>
      </c>
      <c r="K870" s="591">
        <f>(20*38)</f>
        <v>760</v>
      </c>
      <c r="L870" s="7"/>
    </row>
    <row r="871" spans="1:12">
      <c r="A871" s="590" t="s">
        <v>1192</v>
      </c>
      <c r="B871" s="11" t="s">
        <v>9</v>
      </c>
      <c r="C871" s="11">
        <v>49</v>
      </c>
      <c r="D871" s="11" t="s">
        <v>16</v>
      </c>
      <c r="E871" s="15">
        <v>161</v>
      </c>
      <c r="F871" s="11" t="s">
        <v>591</v>
      </c>
      <c r="G871" s="11" t="s">
        <v>718</v>
      </c>
      <c r="H871" s="15" t="s">
        <v>15</v>
      </c>
      <c r="I871" s="15">
        <v>20</v>
      </c>
      <c r="J871" s="12" t="s">
        <v>1927</v>
      </c>
      <c r="K871" s="591">
        <f>(20*38)</f>
        <v>760</v>
      </c>
      <c r="L871" s="7"/>
    </row>
    <row r="872" spans="1:12">
      <c r="A872" s="590" t="s">
        <v>1192</v>
      </c>
      <c r="B872" s="11" t="s">
        <v>9</v>
      </c>
      <c r="C872" s="11">
        <v>49</v>
      </c>
      <c r="D872" s="11" t="s">
        <v>16</v>
      </c>
      <c r="E872" s="15">
        <v>181</v>
      </c>
      <c r="F872" s="11" t="s">
        <v>1408</v>
      </c>
      <c r="G872" s="11" t="s">
        <v>718</v>
      </c>
      <c r="H872" s="15" t="s">
        <v>15</v>
      </c>
      <c r="I872" s="15">
        <v>20</v>
      </c>
      <c r="J872" s="12" t="s">
        <v>31</v>
      </c>
      <c r="K872" s="591">
        <f t="shared" ref="K872:K877" si="27">(19*38)+(1*29.4)</f>
        <v>751.4</v>
      </c>
      <c r="L872" s="7"/>
    </row>
    <row r="873" spans="1:12">
      <c r="A873" s="590" t="s">
        <v>1192</v>
      </c>
      <c r="B873" s="11" t="s">
        <v>9</v>
      </c>
      <c r="C873" s="11">
        <v>49</v>
      </c>
      <c r="D873" s="11" t="s">
        <v>16</v>
      </c>
      <c r="E873" s="15">
        <v>184</v>
      </c>
      <c r="F873" s="11" t="s">
        <v>121</v>
      </c>
      <c r="G873" s="11" t="s">
        <v>718</v>
      </c>
      <c r="H873" s="15" t="s">
        <v>15</v>
      </c>
      <c r="I873" s="15">
        <v>20</v>
      </c>
      <c r="J873" s="12" t="s">
        <v>31</v>
      </c>
      <c r="K873" s="591">
        <f t="shared" si="27"/>
        <v>751.4</v>
      </c>
      <c r="L873" s="7"/>
    </row>
    <row r="874" spans="1:12">
      <c r="A874" s="590" t="s">
        <v>1192</v>
      </c>
      <c r="B874" s="11" t="s">
        <v>9</v>
      </c>
      <c r="C874" s="11">
        <v>49</v>
      </c>
      <c r="D874" s="11" t="s">
        <v>16</v>
      </c>
      <c r="E874" s="15">
        <v>186</v>
      </c>
      <c r="F874" s="11" t="s">
        <v>474</v>
      </c>
      <c r="G874" s="11" t="s">
        <v>718</v>
      </c>
      <c r="H874" s="15" t="s">
        <v>15</v>
      </c>
      <c r="I874" s="15">
        <v>20</v>
      </c>
      <c r="J874" s="12" t="s">
        <v>31</v>
      </c>
      <c r="K874" s="591">
        <f t="shared" si="27"/>
        <v>751.4</v>
      </c>
      <c r="L874" s="7"/>
    </row>
    <row r="875" spans="1:12">
      <c r="A875" s="590" t="s">
        <v>1192</v>
      </c>
      <c r="B875" s="11" t="s">
        <v>9</v>
      </c>
      <c r="C875" s="11">
        <v>49</v>
      </c>
      <c r="D875" s="11" t="s">
        <v>16</v>
      </c>
      <c r="E875" s="15">
        <v>187</v>
      </c>
      <c r="F875" s="11" t="s">
        <v>446</v>
      </c>
      <c r="G875" s="11" t="s">
        <v>718</v>
      </c>
      <c r="H875" s="15" t="s">
        <v>15</v>
      </c>
      <c r="I875" s="15">
        <v>15</v>
      </c>
      <c r="J875" s="12" t="s">
        <v>14</v>
      </c>
      <c r="K875" s="591">
        <f>(14*38)+(1*29.4)</f>
        <v>561.4</v>
      </c>
      <c r="L875" s="7"/>
    </row>
    <row r="876" spans="1:12">
      <c r="A876" s="590" t="s">
        <v>1192</v>
      </c>
      <c r="B876" s="11" t="s">
        <v>9</v>
      </c>
      <c r="C876" s="11">
        <v>49</v>
      </c>
      <c r="D876" s="11" t="s">
        <v>16</v>
      </c>
      <c r="E876" s="15">
        <v>186</v>
      </c>
      <c r="F876" s="11" t="s">
        <v>679</v>
      </c>
      <c r="G876" s="11" t="s">
        <v>718</v>
      </c>
      <c r="H876" s="15" t="s">
        <v>15</v>
      </c>
      <c r="I876" s="15">
        <v>20</v>
      </c>
      <c r="J876" s="12" t="s">
        <v>31</v>
      </c>
      <c r="K876" s="591">
        <f t="shared" si="27"/>
        <v>751.4</v>
      </c>
      <c r="L876" s="7"/>
    </row>
    <row r="877" spans="1:12">
      <c r="A877" s="590" t="s">
        <v>1192</v>
      </c>
      <c r="B877" s="11" t="s">
        <v>9</v>
      </c>
      <c r="C877" s="11">
        <v>49</v>
      </c>
      <c r="D877" s="11" t="s">
        <v>16</v>
      </c>
      <c r="E877" s="15">
        <v>191</v>
      </c>
      <c r="F877" s="11" t="s">
        <v>411</v>
      </c>
      <c r="G877" s="11" t="s">
        <v>718</v>
      </c>
      <c r="H877" s="15" t="s">
        <v>15</v>
      </c>
      <c r="I877" s="15">
        <v>20</v>
      </c>
      <c r="J877" s="12" t="s">
        <v>31</v>
      </c>
      <c r="K877" s="591">
        <f t="shared" si="27"/>
        <v>751.4</v>
      </c>
      <c r="L877" s="7"/>
    </row>
    <row r="878" spans="1:12">
      <c r="A878" s="590" t="s">
        <v>1192</v>
      </c>
      <c r="B878" s="11" t="s">
        <v>9</v>
      </c>
      <c r="C878" s="11">
        <v>49</v>
      </c>
      <c r="D878" s="11" t="s">
        <v>16</v>
      </c>
      <c r="E878" s="15">
        <v>192</v>
      </c>
      <c r="F878" s="11" t="s">
        <v>1398</v>
      </c>
      <c r="G878" s="11" t="s">
        <v>718</v>
      </c>
      <c r="H878" s="15" t="s">
        <v>15</v>
      </c>
      <c r="I878" s="15">
        <v>15</v>
      </c>
      <c r="J878" s="12" t="s">
        <v>14</v>
      </c>
      <c r="K878" s="591">
        <f>(14*38)+(1*29.4)</f>
        <v>561.4</v>
      </c>
      <c r="L878" s="7"/>
    </row>
    <row r="879" spans="1:12">
      <c r="A879" s="590" t="s">
        <v>1192</v>
      </c>
      <c r="B879" s="11" t="s">
        <v>9</v>
      </c>
      <c r="C879" s="11">
        <v>49</v>
      </c>
      <c r="D879" s="11" t="s">
        <v>16</v>
      </c>
      <c r="E879" s="15">
        <v>405</v>
      </c>
      <c r="F879" s="11" t="s">
        <v>452</v>
      </c>
      <c r="G879" s="11" t="s">
        <v>115</v>
      </c>
      <c r="H879" s="15" t="s">
        <v>15</v>
      </c>
      <c r="I879" s="15">
        <v>20</v>
      </c>
      <c r="J879" s="12" t="s">
        <v>31</v>
      </c>
      <c r="K879" s="591">
        <f>(19*38)+(1*29.4)</f>
        <v>751.4</v>
      </c>
      <c r="L879" s="7"/>
    </row>
    <row r="880" spans="1:12">
      <c r="A880" s="590" t="s">
        <v>1192</v>
      </c>
      <c r="B880" s="11" t="s">
        <v>9</v>
      </c>
      <c r="C880" s="11">
        <v>49</v>
      </c>
      <c r="D880" s="11" t="s">
        <v>16</v>
      </c>
      <c r="E880" s="15">
        <v>408</v>
      </c>
      <c r="F880" s="11" t="s">
        <v>636</v>
      </c>
      <c r="G880" s="11" t="s">
        <v>115</v>
      </c>
      <c r="H880" s="15" t="s">
        <v>15</v>
      </c>
      <c r="I880" s="15">
        <v>20</v>
      </c>
      <c r="J880" s="12" t="s">
        <v>31</v>
      </c>
      <c r="K880" s="591">
        <f>(19*38)+(1*29.4)</f>
        <v>751.4</v>
      </c>
      <c r="L880" s="7"/>
    </row>
    <row r="881" spans="1:12">
      <c r="A881" s="590" t="s">
        <v>1192</v>
      </c>
      <c r="B881" s="11" t="s">
        <v>9</v>
      </c>
      <c r="C881" s="11">
        <v>49</v>
      </c>
      <c r="D881" s="11" t="s">
        <v>16</v>
      </c>
      <c r="E881" s="15">
        <v>410</v>
      </c>
      <c r="F881" s="11" t="s">
        <v>1378</v>
      </c>
      <c r="G881" s="11" t="s">
        <v>115</v>
      </c>
      <c r="H881" s="15" t="s">
        <v>143</v>
      </c>
      <c r="I881" s="15">
        <v>15</v>
      </c>
      <c r="J881" s="12" t="s">
        <v>1928</v>
      </c>
      <c r="K881" s="591">
        <f>(13*36)+(2*30.2)</f>
        <v>528.4</v>
      </c>
      <c r="L881" s="7"/>
    </row>
    <row r="882" spans="1:12">
      <c r="A882" s="590" t="s">
        <v>1192</v>
      </c>
      <c r="B882" s="11" t="s">
        <v>9</v>
      </c>
      <c r="C882" s="11">
        <v>49</v>
      </c>
      <c r="D882" s="11" t="s">
        <v>16</v>
      </c>
      <c r="E882" s="15">
        <v>428</v>
      </c>
      <c r="F882" s="11" t="s">
        <v>821</v>
      </c>
      <c r="G882" s="11" t="s">
        <v>40</v>
      </c>
      <c r="H882" s="15" t="s">
        <v>5</v>
      </c>
      <c r="I882" s="15">
        <v>15</v>
      </c>
      <c r="J882" s="12" t="s">
        <v>14</v>
      </c>
      <c r="K882" s="591">
        <f>(14*38)+(1*29.4)</f>
        <v>561.4</v>
      </c>
      <c r="L882" s="7"/>
    </row>
    <row r="883" spans="1:12">
      <c r="A883" s="590" t="s">
        <v>1192</v>
      </c>
      <c r="B883" s="11" t="s">
        <v>9</v>
      </c>
      <c r="C883" s="11">
        <v>49</v>
      </c>
      <c r="D883" s="11" t="s">
        <v>16</v>
      </c>
      <c r="E883" s="15">
        <v>430</v>
      </c>
      <c r="F883" s="11" t="s">
        <v>818</v>
      </c>
      <c r="G883" s="11" t="s">
        <v>40</v>
      </c>
      <c r="H883" s="15" t="s">
        <v>15</v>
      </c>
      <c r="I883" s="15">
        <v>15</v>
      </c>
      <c r="J883" s="12" t="s">
        <v>97</v>
      </c>
      <c r="K883" s="591">
        <f>(15*38)</f>
        <v>570</v>
      </c>
      <c r="L883" s="7"/>
    </row>
    <row r="884" spans="1:12">
      <c r="A884" s="590" t="s">
        <v>1192</v>
      </c>
      <c r="B884" s="11" t="s">
        <v>9</v>
      </c>
      <c r="C884" s="11">
        <v>49</v>
      </c>
      <c r="D884" s="11" t="s">
        <v>16</v>
      </c>
      <c r="E884" s="15">
        <v>434</v>
      </c>
      <c r="F884" s="11" t="s">
        <v>1929</v>
      </c>
      <c r="G884" s="11" t="s">
        <v>40</v>
      </c>
      <c r="H884" s="15" t="s">
        <v>15</v>
      </c>
      <c r="I884" s="15">
        <v>15</v>
      </c>
      <c r="J884" s="12" t="s">
        <v>97</v>
      </c>
      <c r="K884" s="591">
        <f>(15*38)</f>
        <v>570</v>
      </c>
      <c r="L884" s="7"/>
    </row>
    <row r="885" spans="1:12">
      <c r="A885" s="590" t="s">
        <v>1192</v>
      </c>
      <c r="B885" s="11" t="s">
        <v>9</v>
      </c>
      <c r="C885" s="11">
        <v>49</v>
      </c>
      <c r="D885" s="11" t="s">
        <v>16</v>
      </c>
      <c r="E885" s="15">
        <v>438</v>
      </c>
      <c r="F885" s="11" t="s">
        <v>1930</v>
      </c>
      <c r="G885" s="11" t="s">
        <v>40</v>
      </c>
      <c r="H885" s="15" t="s">
        <v>15</v>
      </c>
      <c r="I885" s="15">
        <v>20</v>
      </c>
      <c r="J885" s="12" t="s">
        <v>157</v>
      </c>
      <c r="K885" s="591">
        <f>(20*38)</f>
        <v>760</v>
      </c>
      <c r="L885" s="7"/>
    </row>
    <row r="886" spans="1:12">
      <c r="A886" s="590" t="s">
        <v>1192</v>
      </c>
      <c r="B886" s="11" t="s">
        <v>9</v>
      </c>
      <c r="C886" s="11">
        <v>49</v>
      </c>
      <c r="D886" s="11" t="s">
        <v>16</v>
      </c>
      <c r="E886" s="15">
        <v>612</v>
      </c>
      <c r="F886" s="11" t="s">
        <v>195</v>
      </c>
      <c r="G886" s="11" t="s">
        <v>152</v>
      </c>
      <c r="H886" s="15" t="s">
        <v>15</v>
      </c>
      <c r="I886" s="15">
        <v>20</v>
      </c>
      <c r="J886" s="12" t="s">
        <v>31</v>
      </c>
      <c r="K886" s="591">
        <f t="shared" ref="K886:K888" si="28">(19*38)+(1*29.4)</f>
        <v>751.4</v>
      </c>
      <c r="L886" s="7"/>
    </row>
    <row r="887" spans="1:12">
      <c r="A887" s="590" t="s">
        <v>1192</v>
      </c>
      <c r="B887" s="11" t="s">
        <v>9</v>
      </c>
      <c r="C887" s="11">
        <v>49</v>
      </c>
      <c r="D887" s="11" t="s">
        <v>7</v>
      </c>
      <c r="E887" s="15">
        <v>250</v>
      </c>
      <c r="F887" s="11" t="s">
        <v>737</v>
      </c>
      <c r="G887" s="11" t="s">
        <v>1512</v>
      </c>
      <c r="H887" s="15" t="s">
        <v>5</v>
      </c>
      <c r="I887" s="15">
        <v>20</v>
      </c>
      <c r="J887" s="12" t="s">
        <v>31</v>
      </c>
      <c r="K887" s="591">
        <f t="shared" si="28"/>
        <v>751.4</v>
      </c>
      <c r="L887" s="7"/>
    </row>
    <row r="888" spans="1:12">
      <c r="A888" s="590" t="s">
        <v>1192</v>
      </c>
      <c r="B888" s="11" t="s">
        <v>9</v>
      </c>
      <c r="C888" s="11">
        <v>49</v>
      </c>
      <c r="D888" s="11" t="s">
        <v>7</v>
      </c>
      <c r="E888" s="15">
        <v>251</v>
      </c>
      <c r="F888" s="11" t="s">
        <v>459</v>
      </c>
      <c r="G888" s="11" t="s">
        <v>1512</v>
      </c>
      <c r="H888" s="15" t="s">
        <v>5</v>
      </c>
      <c r="I888" s="15">
        <v>20</v>
      </c>
      <c r="J888" s="12" t="s">
        <v>31</v>
      </c>
      <c r="K888" s="591">
        <f t="shared" si="28"/>
        <v>751.4</v>
      </c>
      <c r="L888" s="7"/>
    </row>
    <row r="889" spans="1:12" ht="15.75" thickBot="1">
      <c r="A889" s="592" t="s">
        <v>1192</v>
      </c>
      <c r="B889" s="593" t="s">
        <v>9</v>
      </c>
      <c r="C889" s="593">
        <v>49</v>
      </c>
      <c r="D889" s="593" t="s">
        <v>7</v>
      </c>
      <c r="E889" s="594">
        <v>270</v>
      </c>
      <c r="F889" s="593" t="s">
        <v>754</v>
      </c>
      <c r="G889" s="593" t="s">
        <v>1512</v>
      </c>
      <c r="H889" s="594" t="s">
        <v>15</v>
      </c>
      <c r="I889" s="594">
        <v>10</v>
      </c>
      <c r="J889" s="595" t="s">
        <v>1905</v>
      </c>
      <c r="K889" s="596">
        <f>(10*38)</f>
        <v>380</v>
      </c>
      <c r="L889" s="7"/>
    </row>
    <row r="890" spans="1:12">
      <c r="A890" s="611" t="s">
        <v>1192</v>
      </c>
      <c r="B890" s="612" t="s">
        <v>9</v>
      </c>
      <c r="C890" s="612">
        <v>49</v>
      </c>
      <c r="D890" s="612" t="s">
        <v>7</v>
      </c>
      <c r="E890" s="61">
        <v>271</v>
      </c>
      <c r="F890" s="612" t="s">
        <v>1381</v>
      </c>
      <c r="G890" s="612" t="s">
        <v>1512</v>
      </c>
      <c r="H890" s="61" t="s">
        <v>15</v>
      </c>
      <c r="I890" s="61">
        <v>15</v>
      </c>
      <c r="J890" s="613" t="s">
        <v>14</v>
      </c>
      <c r="K890" s="614">
        <f>(14*38)+(1*29.4)</f>
        <v>561.4</v>
      </c>
      <c r="L890" s="7"/>
    </row>
    <row r="891" spans="1:12">
      <c r="A891" s="590" t="s">
        <v>1192</v>
      </c>
      <c r="B891" s="11" t="s">
        <v>9</v>
      </c>
      <c r="C891" s="11">
        <v>49</v>
      </c>
      <c r="D891" s="11" t="s">
        <v>7</v>
      </c>
      <c r="E891" s="15">
        <v>349</v>
      </c>
      <c r="F891" s="11" t="s">
        <v>1426</v>
      </c>
      <c r="G891" s="11" t="s">
        <v>1783</v>
      </c>
      <c r="H891" s="15" t="s">
        <v>15</v>
      </c>
      <c r="I891" s="15">
        <v>20</v>
      </c>
      <c r="J891" s="12" t="s">
        <v>31</v>
      </c>
      <c r="K891" s="591">
        <f>(19*38)+(1*29.4)</f>
        <v>751.4</v>
      </c>
      <c r="L891" s="7"/>
    </row>
    <row r="892" spans="1:12">
      <c r="A892" s="590" t="s">
        <v>1192</v>
      </c>
      <c r="B892" s="11" t="s">
        <v>9</v>
      </c>
      <c r="C892" s="11">
        <v>49</v>
      </c>
      <c r="D892" s="11" t="s">
        <v>7</v>
      </c>
      <c r="E892" s="15">
        <v>781</v>
      </c>
      <c r="F892" s="11" t="s">
        <v>1921</v>
      </c>
      <c r="G892" s="11" t="s">
        <v>161</v>
      </c>
      <c r="H892" s="15" t="s">
        <v>15</v>
      </c>
      <c r="I892" s="15">
        <v>20</v>
      </c>
      <c r="J892" s="12" t="s">
        <v>17</v>
      </c>
      <c r="K892" s="591">
        <f>(19*35)+(1*26.4)</f>
        <v>691.4</v>
      </c>
      <c r="L892" s="7"/>
    </row>
    <row r="893" spans="1:12">
      <c r="A893" s="590" t="s">
        <v>1194</v>
      </c>
      <c r="B893" s="11" t="s">
        <v>9</v>
      </c>
      <c r="C893" s="11">
        <v>47</v>
      </c>
      <c r="D893" s="11" t="s">
        <v>16</v>
      </c>
      <c r="E893" s="15">
        <v>7</v>
      </c>
      <c r="F893" s="11" t="s">
        <v>788</v>
      </c>
      <c r="G893" s="11" t="s">
        <v>21</v>
      </c>
      <c r="H893" s="15" t="s">
        <v>5</v>
      </c>
      <c r="I893" s="15">
        <v>25</v>
      </c>
      <c r="J893" s="12" t="s">
        <v>52</v>
      </c>
      <c r="K893" s="591">
        <f>(24*37)+(1*28.4)</f>
        <v>916.4</v>
      </c>
      <c r="L893" s="7"/>
    </row>
    <row r="894" spans="1:12">
      <c r="A894" s="590" t="s">
        <v>1194</v>
      </c>
      <c r="B894" s="11" t="s">
        <v>9</v>
      </c>
      <c r="C894" s="11">
        <v>47</v>
      </c>
      <c r="D894" s="11" t="s">
        <v>16</v>
      </c>
      <c r="E894" s="15">
        <v>47</v>
      </c>
      <c r="F894" s="11" t="s">
        <v>1525</v>
      </c>
      <c r="G894" s="11" t="s">
        <v>354</v>
      </c>
      <c r="H894" s="15" t="s">
        <v>15</v>
      </c>
      <c r="I894" s="15">
        <v>20</v>
      </c>
      <c r="J894" s="12" t="s">
        <v>31</v>
      </c>
      <c r="K894" s="591">
        <f>(19*38)+(1*29.4)</f>
        <v>751.4</v>
      </c>
      <c r="L894" s="7"/>
    </row>
    <row r="895" spans="1:12">
      <c r="A895" s="590" t="s">
        <v>1194</v>
      </c>
      <c r="B895" s="11" t="s">
        <v>9</v>
      </c>
      <c r="C895" s="11">
        <v>47</v>
      </c>
      <c r="D895" s="11" t="s">
        <v>16</v>
      </c>
      <c r="E895" s="15">
        <v>48</v>
      </c>
      <c r="F895" s="11" t="s">
        <v>751</v>
      </c>
      <c r="G895" s="11" t="s">
        <v>354</v>
      </c>
      <c r="H895" s="15" t="s">
        <v>15</v>
      </c>
      <c r="I895" s="15">
        <v>20</v>
      </c>
      <c r="J895" s="12" t="s">
        <v>31</v>
      </c>
      <c r="K895" s="591">
        <f>(19*38)+(1*29.4)</f>
        <v>751.4</v>
      </c>
      <c r="L895" s="7"/>
    </row>
    <row r="896" spans="1:12">
      <c r="A896" s="590" t="s">
        <v>1194</v>
      </c>
      <c r="B896" s="11" t="s">
        <v>9</v>
      </c>
      <c r="C896" s="11">
        <v>47</v>
      </c>
      <c r="D896" s="11" t="s">
        <v>16</v>
      </c>
      <c r="E896" s="15">
        <v>55</v>
      </c>
      <c r="F896" s="11" t="s">
        <v>544</v>
      </c>
      <c r="G896" s="11" t="s">
        <v>354</v>
      </c>
      <c r="H896" s="15" t="s">
        <v>15</v>
      </c>
      <c r="I896" s="15">
        <v>20</v>
      </c>
      <c r="J896" s="12" t="s">
        <v>31</v>
      </c>
      <c r="K896" s="591">
        <f>(19*38)+(1*29.4)</f>
        <v>751.4</v>
      </c>
      <c r="L896" s="7"/>
    </row>
    <row r="897" spans="1:12">
      <c r="A897" s="590" t="s">
        <v>1194</v>
      </c>
      <c r="B897" s="11" t="s">
        <v>9</v>
      </c>
      <c r="C897" s="11">
        <v>47</v>
      </c>
      <c r="D897" s="11" t="s">
        <v>16</v>
      </c>
      <c r="E897" s="15">
        <v>56</v>
      </c>
      <c r="F897" s="11" t="s">
        <v>1931</v>
      </c>
      <c r="G897" s="11" t="s">
        <v>354</v>
      </c>
      <c r="H897" s="15" t="s">
        <v>15</v>
      </c>
      <c r="I897" s="15">
        <v>20</v>
      </c>
      <c r="J897" s="12" t="s">
        <v>31</v>
      </c>
      <c r="K897" s="591">
        <f>(19*38)+(1*29.4)</f>
        <v>751.4</v>
      </c>
      <c r="L897" s="7"/>
    </row>
    <row r="898" spans="1:12">
      <c r="A898" s="590" t="s">
        <v>1194</v>
      </c>
      <c r="B898" s="11" t="s">
        <v>9</v>
      </c>
      <c r="C898" s="11">
        <v>47</v>
      </c>
      <c r="D898" s="11" t="s">
        <v>16</v>
      </c>
      <c r="E898" s="15">
        <v>57</v>
      </c>
      <c r="F898" s="11" t="s">
        <v>699</v>
      </c>
      <c r="G898" s="11" t="s">
        <v>354</v>
      </c>
      <c r="H898" s="15" t="s">
        <v>15</v>
      </c>
      <c r="I898" s="15">
        <v>15</v>
      </c>
      <c r="J898" s="12" t="s">
        <v>14</v>
      </c>
      <c r="K898" s="591">
        <f>(14*38)+(1*29.4)</f>
        <v>561.4</v>
      </c>
      <c r="L898" s="7"/>
    </row>
    <row r="899" spans="1:12">
      <c r="A899" s="590" t="s">
        <v>1194</v>
      </c>
      <c r="B899" s="11" t="s">
        <v>9</v>
      </c>
      <c r="C899" s="11">
        <v>47</v>
      </c>
      <c r="D899" s="11" t="s">
        <v>16</v>
      </c>
      <c r="E899" s="15">
        <v>80</v>
      </c>
      <c r="F899" s="11" t="s">
        <v>1932</v>
      </c>
      <c r="G899" s="11" t="s">
        <v>28</v>
      </c>
      <c r="H899" s="15" t="s">
        <v>15</v>
      </c>
      <c r="I899" s="15">
        <v>15</v>
      </c>
      <c r="J899" s="12" t="s">
        <v>38</v>
      </c>
      <c r="K899" s="591">
        <f>(13*38)+(2*29.4)</f>
        <v>552.79999999999995</v>
      </c>
      <c r="L899" s="7"/>
    </row>
    <row r="900" spans="1:12">
      <c r="A900" s="590" t="s">
        <v>1194</v>
      </c>
      <c r="B900" s="11" t="s">
        <v>9</v>
      </c>
      <c r="C900" s="11">
        <v>47</v>
      </c>
      <c r="D900" s="11" t="s">
        <v>16</v>
      </c>
      <c r="E900" s="15">
        <v>462</v>
      </c>
      <c r="F900" s="11" t="s">
        <v>1735</v>
      </c>
      <c r="G900" s="11" t="s">
        <v>718</v>
      </c>
      <c r="H900" s="15" t="s">
        <v>5</v>
      </c>
      <c r="I900" s="15">
        <v>20</v>
      </c>
      <c r="J900" s="12" t="s">
        <v>31</v>
      </c>
      <c r="K900" s="591">
        <f>(19*38)+(1*29.4)</f>
        <v>751.4</v>
      </c>
      <c r="L900" s="7"/>
    </row>
    <row r="901" spans="1:12">
      <c r="A901" s="590" t="s">
        <v>1194</v>
      </c>
      <c r="B901" s="11" t="s">
        <v>9</v>
      </c>
      <c r="C901" s="11">
        <v>47</v>
      </c>
      <c r="D901" s="11" t="s">
        <v>16</v>
      </c>
      <c r="E901" s="15">
        <v>164</v>
      </c>
      <c r="F901" s="11" t="s">
        <v>470</v>
      </c>
      <c r="G901" s="11" t="s">
        <v>718</v>
      </c>
      <c r="H901" s="15" t="s">
        <v>5</v>
      </c>
      <c r="I901" s="15">
        <v>20</v>
      </c>
      <c r="J901" s="12" t="s">
        <v>31</v>
      </c>
      <c r="K901" s="591">
        <f>(19*38)+(1*29.4)</f>
        <v>751.4</v>
      </c>
      <c r="L901" s="7"/>
    </row>
    <row r="902" spans="1:12">
      <c r="A902" s="590" t="s">
        <v>1194</v>
      </c>
      <c r="B902" s="11" t="s">
        <v>9</v>
      </c>
      <c r="C902" s="11">
        <v>47</v>
      </c>
      <c r="D902" s="11" t="s">
        <v>16</v>
      </c>
      <c r="E902" s="15">
        <v>166</v>
      </c>
      <c r="F902" s="11" t="s">
        <v>136</v>
      </c>
      <c r="G902" s="11" t="s">
        <v>718</v>
      </c>
      <c r="H902" s="15" t="s">
        <v>5</v>
      </c>
      <c r="I902" s="15">
        <v>15</v>
      </c>
      <c r="J902" s="12" t="s">
        <v>14</v>
      </c>
      <c r="K902" s="591">
        <f>(14*38)+(1*29.4)</f>
        <v>561.4</v>
      </c>
      <c r="L902" s="7"/>
    </row>
    <row r="903" spans="1:12">
      <c r="A903" s="590" t="s">
        <v>1194</v>
      </c>
      <c r="B903" s="11" t="s">
        <v>9</v>
      </c>
      <c r="C903" s="11">
        <v>47</v>
      </c>
      <c r="D903" s="11" t="s">
        <v>16</v>
      </c>
      <c r="E903" s="15">
        <v>179</v>
      </c>
      <c r="F903" s="11" t="s">
        <v>527</v>
      </c>
      <c r="G903" s="11" t="s">
        <v>718</v>
      </c>
      <c r="H903" s="15" t="s">
        <v>15</v>
      </c>
      <c r="I903" s="15">
        <v>20</v>
      </c>
      <c r="J903" s="12" t="s">
        <v>31</v>
      </c>
      <c r="K903" s="591">
        <f>(19*38)+(1*29.4)</f>
        <v>751.4</v>
      </c>
      <c r="L903" s="7"/>
    </row>
    <row r="904" spans="1:12">
      <c r="A904" s="590" t="s">
        <v>1194</v>
      </c>
      <c r="B904" s="11" t="s">
        <v>9</v>
      </c>
      <c r="C904" s="11">
        <v>47</v>
      </c>
      <c r="D904" s="11" t="s">
        <v>16</v>
      </c>
      <c r="E904" s="15">
        <v>181</v>
      </c>
      <c r="F904" s="11" t="s">
        <v>136</v>
      </c>
      <c r="G904" s="11" t="s">
        <v>718</v>
      </c>
      <c r="H904" s="15" t="s">
        <v>15</v>
      </c>
      <c r="I904" s="15">
        <v>30</v>
      </c>
      <c r="J904" s="12" t="s">
        <v>25</v>
      </c>
      <c r="K904" s="591">
        <f>(29*38)+(1*29.4)</f>
        <v>1131.4000000000001</v>
      </c>
      <c r="L904" s="7"/>
    </row>
    <row r="905" spans="1:12">
      <c r="A905" s="590" t="s">
        <v>1194</v>
      </c>
      <c r="B905" s="11" t="s">
        <v>9</v>
      </c>
      <c r="C905" s="11">
        <v>47</v>
      </c>
      <c r="D905" s="11" t="s">
        <v>16</v>
      </c>
      <c r="E905" s="15">
        <v>198</v>
      </c>
      <c r="F905" s="11" t="s">
        <v>1527</v>
      </c>
      <c r="G905" s="11" t="s">
        <v>1430</v>
      </c>
      <c r="H905" s="15" t="s">
        <v>15</v>
      </c>
      <c r="I905" s="15">
        <v>17</v>
      </c>
      <c r="J905" s="12" t="s">
        <v>1455</v>
      </c>
      <c r="K905" s="591">
        <f>(17*38)</f>
        <v>646</v>
      </c>
      <c r="L905" s="7"/>
    </row>
    <row r="906" spans="1:12">
      <c r="A906" s="590" t="s">
        <v>1194</v>
      </c>
      <c r="B906" s="11" t="s">
        <v>9</v>
      </c>
      <c r="C906" s="11">
        <v>47</v>
      </c>
      <c r="D906" s="11" t="s">
        <v>16</v>
      </c>
      <c r="E906" s="15">
        <v>204</v>
      </c>
      <c r="F906" s="11" t="s">
        <v>75</v>
      </c>
      <c r="G906" s="11" t="s">
        <v>1430</v>
      </c>
      <c r="H906" s="15" t="s">
        <v>15</v>
      </c>
      <c r="I906" s="15">
        <v>29</v>
      </c>
      <c r="J906" s="12" t="s">
        <v>1933</v>
      </c>
      <c r="K906" s="591">
        <f>(28*38)+(1*29.4)</f>
        <v>1093.4000000000001</v>
      </c>
      <c r="L906" s="7"/>
    </row>
    <row r="907" spans="1:12">
      <c r="A907" s="590" t="s">
        <v>1194</v>
      </c>
      <c r="B907" s="11" t="s">
        <v>9</v>
      </c>
      <c r="C907" s="11">
        <v>47</v>
      </c>
      <c r="D907" s="11" t="s">
        <v>16</v>
      </c>
      <c r="E907" s="15">
        <v>205</v>
      </c>
      <c r="F907" s="11" t="s">
        <v>688</v>
      </c>
      <c r="G907" s="11" t="s">
        <v>1430</v>
      </c>
      <c r="H907" s="15" t="s">
        <v>15</v>
      </c>
      <c r="I907" s="15">
        <v>35</v>
      </c>
      <c r="J907" s="12" t="s">
        <v>1934</v>
      </c>
      <c r="K907" s="591">
        <f>(35*38)</f>
        <v>1330</v>
      </c>
      <c r="L907" s="7"/>
    </row>
    <row r="908" spans="1:12">
      <c r="A908" s="590" t="s">
        <v>1194</v>
      </c>
      <c r="B908" s="11" t="s">
        <v>9</v>
      </c>
      <c r="C908" s="11">
        <v>47</v>
      </c>
      <c r="D908" s="11" t="s">
        <v>16</v>
      </c>
      <c r="E908" s="15">
        <v>206</v>
      </c>
      <c r="F908" s="11" t="s">
        <v>1426</v>
      </c>
      <c r="G908" s="11" t="s">
        <v>1430</v>
      </c>
      <c r="H908" s="15" t="s">
        <v>15</v>
      </c>
      <c r="I908" s="15">
        <v>15</v>
      </c>
      <c r="J908" s="12" t="s">
        <v>97</v>
      </c>
      <c r="K908" s="591">
        <f>(15*38)</f>
        <v>570</v>
      </c>
      <c r="L908" s="7"/>
    </row>
    <row r="909" spans="1:12">
      <c r="A909" s="590" t="s">
        <v>1194</v>
      </c>
      <c r="B909" s="11" t="s">
        <v>9</v>
      </c>
      <c r="C909" s="11">
        <v>47</v>
      </c>
      <c r="D909" s="11" t="s">
        <v>16</v>
      </c>
      <c r="E909" s="15">
        <v>207</v>
      </c>
      <c r="F909" s="11" t="s">
        <v>1470</v>
      </c>
      <c r="G909" s="11" t="s">
        <v>1430</v>
      </c>
      <c r="H909" s="15" t="s">
        <v>15</v>
      </c>
      <c r="I909" s="15">
        <v>15</v>
      </c>
      <c r="J909" s="12" t="s">
        <v>14</v>
      </c>
      <c r="K909" s="591">
        <f>(14*38)+(1*29.4)</f>
        <v>561.4</v>
      </c>
      <c r="L909" s="7"/>
    </row>
    <row r="910" spans="1:12">
      <c r="A910" s="590" t="s">
        <v>1194</v>
      </c>
      <c r="B910" s="11" t="s">
        <v>9</v>
      </c>
      <c r="C910" s="11">
        <v>47</v>
      </c>
      <c r="D910" s="11" t="s">
        <v>16</v>
      </c>
      <c r="E910" s="15">
        <v>208</v>
      </c>
      <c r="F910" s="11" t="s">
        <v>1523</v>
      </c>
      <c r="G910" s="11" t="s">
        <v>1430</v>
      </c>
      <c r="H910" s="15" t="s">
        <v>15</v>
      </c>
      <c r="I910" s="15">
        <v>35</v>
      </c>
      <c r="J910" s="12" t="s">
        <v>1934</v>
      </c>
      <c r="K910" s="591">
        <f>(35*38)</f>
        <v>1330</v>
      </c>
      <c r="L910" s="7"/>
    </row>
    <row r="911" spans="1:12">
      <c r="A911" s="590" t="s">
        <v>1194</v>
      </c>
      <c r="B911" s="11" t="s">
        <v>9</v>
      </c>
      <c r="C911" s="11">
        <v>47</v>
      </c>
      <c r="D911" s="11" t="s">
        <v>16</v>
      </c>
      <c r="E911" s="15">
        <v>294</v>
      </c>
      <c r="F911" s="11" t="s">
        <v>1935</v>
      </c>
      <c r="G911" s="11" t="s">
        <v>203</v>
      </c>
      <c r="H911" s="15" t="s">
        <v>15</v>
      </c>
      <c r="I911" s="15">
        <v>20</v>
      </c>
      <c r="J911" s="12" t="s">
        <v>17</v>
      </c>
      <c r="K911" s="591">
        <f>(19*35)+(1*26.4)</f>
        <v>691.4</v>
      </c>
      <c r="L911" s="7"/>
    </row>
    <row r="912" spans="1:12">
      <c r="A912" s="590" t="s">
        <v>1194</v>
      </c>
      <c r="B912" s="11" t="s">
        <v>9</v>
      </c>
      <c r="C912" s="11">
        <v>47</v>
      </c>
      <c r="D912" s="11" t="s">
        <v>16</v>
      </c>
      <c r="E912" s="15">
        <v>297</v>
      </c>
      <c r="F912" s="11" t="s">
        <v>1936</v>
      </c>
      <c r="G912" s="11" t="s">
        <v>203</v>
      </c>
      <c r="H912" s="15" t="s">
        <v>15</v>
      </c>
      <c r="I912" s="15">
        <v>20</v>
      </c>
      <c r="J912" s="12" t="s">
        <v>17</v>
      </c>
      <c r="K912" s="591">
        <f>(19*35)+(1*26.4)</f>
        <v>691.4</v>
      </c>
      <c r="L912" s="7"/>
    </row>
    <row r="913" spans="1:12">
      <c r="A913" s="590" t="s">
        <v>1194</v>
      </c>
      <c r="B913" s="11" t="s">
        <v>9</v>
      </c>
      <c r="C913" s="11">
        <v>47</v>
      </c>
      <c r="D913" s="11" t="s">
        <v>16</v>
      </c>
      <c r="E913" s="15">
        <v>298</v>
      </c>
      <c r="F913" s="11" t="s">
        <v>1937</v>
      </c>
      <c r="G913" s="11" t="s">
        <v>203</v>
      </c>
      <c r="H913" s="15" t="s">
        <v>15</v>
      </c>
      <c r="I913" s="15">
        <v>20</v>
      </c>
      <c r="J913" s="12" t="s">
        <v>17</v>
      </c>
      <c r="K913" s="591">
        <f>(19*35)+(1*26.4)</f>
        <v>691.4</v>
      </c>
      <c r="L913" s="7"/>
    </row>
    <row r="914" spans="1:12">
      <c r="A914" s="590" t="s">
        <v>1194</v>
      </c>
      <c r="B914" s="11" t="s">
        <v>9</v>
      </c>
      <c r="C914" s="11">
        <v>47</v>
      </c>
      <c r="D914" s="11" t="s">
        <v>16</v>
      </c>
      <c r="E914" s="15">
        <v>310</v>
      </c>
      <c r="F914" s="11" t="s">
        <v>1938</v>
      </c>
      <c r="G914" s="11" t="s">
        <v>212</v>
      </c>
      <c r="H914" s="15" t="s">
        <v>5</v>
      </c>
      <c r="I914" s="15">
        <v>20</v>
      </c>
      <c r="J914" s="12" t="s">
        <v>23</v>
      </c>
      <c r="K914" s="591">
        <f>(18*35)+(2*26.4)</f>
        <v>682.8</v>
      </c>
      <c r="L914" s="7"/>
    </row>
    <row r="915" spans="1:12">
      <c r="A915" s="590" t="s">
        <v>1194</v>
      </c>
      <c r="B915" s="11" t="s">
        <v>9</v>
      </c>
      <c r="C915" s="11">
        <v>47</v>
      </c>
      <c r="D915" s="11" t="s">
        <v>10</v>
      </c>
      <c r="E915" s="15">
        <v>222</v>
      </c>
      <c r="F915" s="11" t="s">
        <v>1939</v>
      </c>
      <c r="G915" s="11" t="s">
        <v>40</v>
      </c>
      <c r="H915" s="15" t="s">
        <v>15</v>
      </c>
      <c r="I915" s="15">
        <v>20</v>
      </c>
      <c r="J915" s="12" t="s">
        <v>157</v>
      </c>
      <c r="K915" s="591">
        <f>(20*38)</f>
        <v>760</v>
      </c>
      <c r="L915" s="7"/>
    </row>
    <row r="916" spans="1:12">
      <c r="A916" s="590" t="s">
        <v>1973</v>
      </c>
      <c r="B916" s="11" t="s">
        <v>9</v>
      </c>
      <c r="C916" s="11">
        <v>48</v>
      </c>
      <c r="D916" s="11" t="s">
        <v>16</v>
      </c>
      <c r="E916" s="15">
        <v>16</v>
      </c>
      <c r="F916" s="11" t="s">
        <v>1951</v>
      </c>
      <c r="G916" s="11" t="s">
        <v>21</v>
      </c>
      <c r="H916" s="15" t="s">
        <v>143</v>
      </c>
      <c r="I916" s="15">
        <v>10</v>
      </c>
      <c r="J916" s="12" t="s">
        <v>1957</v>
      </c>
      <c r="K916" s="591">
        <f>(9*37)+(1*31.2)</f>
        <v>364.2</v>
      </c>
      <c r="L916" s="7"/>
    </row>
    <row r="917" spans="1:12">
      <c r="A917" s="590" t="s">
        <v>1973</v>
      </c>
      <c r="B917" s="11" t="s">
        <v>9</v>
      </c>
      <c r="C917" s="11">
        <v>48</v>
      </c>
      <c r="D917" s="11" t="s">
        <v>16</v>
      </c>
      <c r="E917" s="15">
        <v>218</v>
      </c>
      <c r="F917" s="11" t="s">
        <v>1557</v>
      </c>
      <c r="G917" s="11" t="s">
        <v>1377</v>
      </c>
      <c r="H917" s="15" t="s">
        <v>5</v>
      </c>
      <c r="I917" s="15">
        <v>15</v>
      </c>
      <c r="J917" s="12" t="s">
        <v>14</v>
      </c>
      <c r="K917" s="591">
        <f>(14*38)+(1*29.4)</f>
        <v>561.4</v>
      </c>
      <c r="L917" s="7"/>
    </row>
    <row r="918" spans="1:12">
      <c r="A918" s="590" t="s">
        <v>1973</v>
      </c>
      <c r="B918" s="11" t="s">
        <v>9</v>
      </c>
      <c r="C918" s="11">
        <v>48</v>
      </c>
      <c r="D918" s="11" t="s">
        <v>16</v>
      </c>
      <c r="E918" s="15">
        <v>286</v>
      </c>
      <c r="F918" s="11" t="s">
        <v>1966</v>
      </c>
      <c r="G918" s="11" t="s">
        <v>203</v>
      </c>
      <c r="H918" s="15" t="s">
        <v>15</v>
      </c>
      <c r="I918" s="15">
        <v>20</v>
      </c>
      <c r="J918" s="12" t="s">
        <v>17</v>
      </c>
      <c r="K918" s="591">
        <f>(19*35)+(1*26.4)</f>
        <v>691.4</v>
      </c>
      <c r="L918" s="7"/>
    </row>
    <row r="919" spans="1:12">
      <c r="A919" s="590" t="s">
        <v>1973</v>
      </c>
      <c r="B919" s="11" t="s">
        <v>9</v>
      </c>
      <c r="C919" s="11">
        <v>48</v>
      </c>
      <c r="D919" s="11" t="s">
        <v>16</v>
      </c>
      <c r="E919" s="15">
        <v>296</v>
      </c>
      <c r="F919" s="11" t="s">
        <v>1987</v>
      </c>
      <c r="G919" s="11" t="s">
        <v>203</v>
      </c>
      <c r="H919" s="15" t="s">
        <v>15</v>
      </c>
      <c r="I919" s="15">
        <v>20</v>
      </c>
      <c r="J919" s="12" t="s">
        <v>17</v>
      </c>
      <c r="K919" s="591">
        <f t="shared" ref="K919:K923" si="29">(19*35)+(1*26.4)</f>
        <v>691.4</v>
      </c>
      <c r="L919" s="7"/>
    </row>
    <row r="920" spans="1:12">
      <c r="A920" s="590" t="s">
        <v>1973</v>
      </c>
      <c r="B920" s="11" t="s">
        <v>9</v>
      </c>
      <c r="C920" s="11">
        <v>48</v>
      </c>
      <c r="D920" s="11" t="s">
        <v>16</v>
      </c>
      <c r="E920" s="15">
        <v>297</v>
      </c>
      <c r="F920" s="11" t="s">
        <v>1988</v>
      </c>
      <c r="G920" s="11" t="s">
        <v>203</v>
      </c>
      <c r="H920" s="15" t="s">
        <v>15</v>
      </c>
      <c r="I920" s="15">
        <v>20</v>
      </c>
      <c r="J920" s="12" t="s">
        <v>17</v>
      </c>
      <c r="K920" s="591">
        <f t="shared" si="29"/>
        <v>691.4</v>
      </c>
      <c r="L920" s="7"/>
    </row>
    <row r="921" spans="1:12">
      <c r="A921" s="590" t="s">
        <v>1973</v>
      </c>
      <c r="B921" s="11" t="s">
        <v>9</v>
      </c>
      <c r="C921" s="11">
        <v>48</v>
      </c>
      <c r="D921" s="11" t="s">
        <v>16</v>
      </c>
      <c r="E921" s="15">
        <v>307</v>
      </c>
      <c r="F921" s="11" t="s">
        <v>1944</v>
      </c>
      <c r="G921" s="11" t="s">
        <v>203</v>
      </c>
      <c r="H921" s="15" t="s">
        <v>15</v>
      </c>
      <c r="I921" s="15">
        <v>20</v>
      </c>
      <c r="J921" s="12" t="s">
        <v>17</v>
      </c>
      <c r="K921" s="591">
        <f t="shared" si="29"/>
        <v>691.4</v>
      </c>
      <c r="L921" s="7"/>
    </row>
    <row r="922" spans="1:12">
      <c r="A922" s="590" t="s">
        <v>1973</v>
      </c>
      <c r="B922" s="11" t="s">
        <v>9</v>
      </c>
      <c r="C922" s="11">
        <v>48</v>
      </c>
      <c r="D922" s="11" t="s">
        <v>16</v>
      </c>
      <c r="E922" s="15">
        <v>308</v>
      </c>
      <c r="F922" s="11" t="s">
        <v>1989</v>
      </c>
      <c r="G922" s="11" t="s">
        <v>203</v>
      </c>
      <c r="H922" s="15" t="s">
        <v>15</v>
      </c>
      <c r="I922" s="15">
        <v>20</v>
      </c>
      <c r="J922" s="12" t="s">
        <v>17</v>
      </c>
      <c r="K922" s="591">
        <f t="shared" si="29"/>
        <v>691.4</v>
      </c>
      <c r="L922" s="7"/>
    </row>
    <row r="923" spans="1:12">
      <c r="A923" s="590" t="s">
        <v>1973</v>
      </c>
      <c r="B923" s="11" t="s">
        <v>9</v>
      </c>
      <c r="C923" s="11">
        <v>48</v>
      </c>
      <c r="D923" s="11" t="s">
        <v>16</v>
      </c>
      <c r="E923" s="15">
        <v>315</v>
      </c>
      <c r="F923" s="11" t="s">
        <v>1847</v>
      </c>
      <c r="G923" s="11" t="s">
        <v>203</v>
      </c>
      <c r="H923" s="15" t="s">
        <v>15</v>
      </c>
      <c r="I923" s="15">
        <v>20</v>
      </c>
      <c r="J923" s="12" t="s">
        <v>17</v>
      </c>
      <c r="K923" s="591">
        <f t="shared" si="29"/>
        <v>691.4</v>
      </c>
      <c r="L923" s="7"/>
    </row>
    <row r="924" spans="1:12">
      <c r="A924" s="590" t="s">
        <v>1973</v>
      </c>
      <c r="B924" s="11" t="s">
        <v>9</v>
      </c>
      <c r="C924" s="11">
        <v>48</v>
      </c>
      <c r="D924" s="11" t="s">
        <v>16</v>
      </c>
      <c r="E924" s="15">
        <v>359</v>
      </c>
      <c r="F924" s="11" t="s">
        <v>361</v>
      </c>
      <c r="G924" s="11" t="s">
        <v>115</v>
      </c>
      <c r="H924" s="15" t="s">
        <v>15</v>
      </c>
      <c r="I924" s="15">
        <v>20</v>
      </c>
      <c r="J924" s="12" t="s">
        <v>31</v>
      </c>
      <c r="K924" s="591">
        <f>(19*38)+(1*29.4)</f>
        <v>751.4</v>
      </c>
      <c r="L924" s="7"/>
    </row>
    <row r="925" spans="1:12">
      <c r="A925" s="590" t="s">
        <v>1973</v>
      </c>
      <c r="B925" s="11" t="s">
        <v>9</v>
      </c>
      <c r="C925" s="11">
        <v>48</v>
      </c>
      <c r="D925" s="11" t="s">
        <v>16</v>
      </c>
      <c r="E925" s="15">
        <v>360</v>
      </c>
      <c r="F925" s="11" t="s">
        <v>393</v>
      </c>
      <c r="G925" s="11" t="s">
        <v>115</v>
      </c>
      <c r="H925" s="15" t="s">
        <v>15</v>
      </c>
      <c r="I925" s="15">
        <v>20</v>
      </c>
      <c r="J925" s="12" t="s">
        <v>31</v>
      </c>
      <c r="K925" s="591">
        <f>(19*38)+(1*29.4)</f>
        <v>751.4</v>
      </c>
      <c r="L925" s="7"/>
    </row>
    <row r="926" spans="1:12">
      <c r="A926" s="590" t="s">
        <v>1973</v>
      </c>
      <c r="B926" s="11" t="s">
        <v>9</v>
      </c>
      <c r="C926" s="11">
        <v>48</v>
      </c>
      <c r="D926" s="11" t="s">
        <v>16</v>
      </c>
      <c r="E926" s="15">
        <v>387</v>
      </c>
      <c r="F926" s="11" t="s">
        <v>1948</v>
      </c>
      <c r="G926" s="11" t="s">
        <v>40</v>
      </c>
      <c r="H926" s="15" t="s">
        <v>15</v>
      </c>
      <c r="I926" s="15">
        <v>20</v>
      </c>
      <c r="J926" s="12" t="s">
        <v>157</v>
      </c>
      <c r="K926" s="591">
        <f>(20*38)</f>
        <v>760</v>
      </c>
      <c r="L926" s="7"/>
    </row>
    <row r="927" spans="1:12">
      <c r="A927" s="590" t="s">
        <v>1973</v>
      </c>
      <c r="B927" s="11" t="s">
        <v>9</v>
      </c>
      <c r="C927" s="11">
        <v>48</v>
      </c>
      <c r="D927" s="11" t="s">
        <v>16</v>
      </c>
      <c r="E927" s="15">
        <v>388</v>
      </c>
      <c r="F927" s="11" t="s">
        <v>1990</v>
      </c>
      <c r="G927" s="11" t="s">
        <v>40</v>
      </c>
      <c r="H927" s="15" t="s">
        <v>15</v>
      </c>
      <c r="I927" s="15">
        <v>30</v>
      </c>
      <c r="J927" s="12" t="s">
        <v>25</v>
      </c>
      <c r="K927" s="591">
        <f>(29*38)+(1*29.4)</f>
        <v>1131.4000000000001</v>
      </c>
      <c r="L927" s="7"/>
    </row>
    <row r="928" spans="1:12" ht="15.75" thickBot="1">
      <c r="A928" s="592" t="s">
        <v>1973</v>
      </c>
      <c r="B928" s="593" t="s">
        <v>9</v>
      </c>
      <c r="C928" s="593">
        <v>48</v>
      </c>
      <c r="D928" s="593" t="s">
        <v>16</v>
      </c>
      <c r="E928" s="594">
        <v>389</v>
      </c>
      <c r="F928" s="593" t="s">
        <v>1991</v>
      </c>
      <c r="G928" s="593" t="s">
        <v>40</v>
      </c>
      <c r="H928" s="594" t="s">
        <v>15</v>
      </c>
      <c r="I928" s="594">
        <v>30</v>
      </c>
      <c r="J928" s="595" t="s">
        <v>25</v>
      </c>
      <c r="K928" s="596">
        <f>(29*38)+(1*29.4)</f>
        <v>1131.4000000000001</v>
      </c>
      <c r="L928" s="7"/>
    </row>
    <row r="929" spans="1:12">
      <c r="A929" s="611" t="s">
        <v>1973</v>
      </c>
      <c r="B929" s="612" t="s">
        <v>9</v>
      </c>
      <c r="C929" s="612">
        <v>48</v>
      </c>
      <c r="D929" s="612" t="s">
        <v>26</v>
      </c>
      <c r="E929" s="61">
        <v>105</v>
      </c>
      <c r="F929" s="612" t="s">
        <v>1961</v>
      </c>
      <c r="G929" s="612" t="s">
        <v>153</v>
      </c>
      <c r="H929" s="61" t="s">
        <v>15</v>
      </c>
      <c r="I929" s="61">
        <v>20</v>
      </c>
      <c r="J929" s="613" t="s">
        <v>17</v>
      </c>
      <c r="K929" s="614">
        <f>(19*35)+(1*26.4)</f>
        <v>691.4</v>
      </c>
      <c r="L929" s="7"/>
    </row>
    <row r="930" spans="1:12">
      <c r="A930" s="590" t="s">
        <v>1973</v>
      </c>
      <c r="B930" s="11" t="s">
        <v>9</v>
      </c>
      <c r="C930" s="11">
        <v>48</v>
      </c>
      <c r="D930" s="11" t="s">
        <v>7</v>
      </c>
      <c r="E930" s="15">
        <v>20</v>
      </c>
      <c r="F930" s="11" t="s">
        <v>1947</v>
      </c>
      <c r="G930" s="11" t="s">
        <v>1794</v>
      </c>
      <c r="H930" s="15" t="s">
        <v>15</v>
      </c>
      <c r="I930" s="15">
        <v>18</v>
      </c>
      <c r="J930" s="12" t="s">
        <v>1992</v>
      </c>
      <c r="K930" s="591">
        <f>(18*38)</f>
        <v>684</v>
      </c>
      <c r="L930" s="7"/>
    </row>
    <row r="931" spans="1:12">
      <c r="A931" s="590" t="s">
        <v>1973</v>
      </c>
      <c r="B931" s="11" t="s">
        <v>9</v>
      </c>
      <c r="C931" s="11">
        <v>48</v>
      </c>
      <c r="D931" s="11" t="s">
        <v>7</v>
      </c>
      <c r="E931" s="15">
        <v>53</v>
      </c>
      <c r="F931" s="11" t="s">
        <v>1953</v>
      </c>
      <c r="G931" s="11" t="s">
        <v>797</v>
      </c>
      <c r="H931" s="15" t="s">
        <v>15</v>
      </c>
      <c r="I931" s="15">
        <v>20</v>
      </c>
      <c r="J931" s="12" t="s">
        <v>17</v>
      </c>
      <c r="K931" s="591">
        <f>(19*35)+(1*26.4)</f>
        <v>691.4</v>
      </c>
      <c r="L931" s="7"/>
    </row>
    <row r="932" spans="1:12">
      <c r="A932" s="590" t="s">
        <v>1973</v>
      </c>
      <c r="B932" s="11" t="s">
        <v>9</v>
      </c>
      <c r="C932" s="11">
        <v>48</v>
      </c>
      <c r="D932" s="11" t="s">
        <v>7</v>
      </c>
      <c r="E932" s="15">
        <v>54</v>
      </c>
      <c r="F932" s="11" t="s">
        <v>1993</v>
      </c>
      <c r="G932" s="11" t="s">
        <v>797</v>
      </c>
      <c r="H932" s="15" t="s">
        <v>15</v>
      </c>
      <c r="I932" s="15">
        <v>20</v>
      </c>
      <c r="J932" s="12" t="s">
        <v>17</v>
      </c>
      <c r="K932" s="591">
        <f>(19*35)+(1*26.4)</f>
        <v>691.4</v>
      </c>
      <c r="L932" s="7"/>
    </row>
    <row r="933" spans="1:12">
      <c r="A933" s="590" t="s">
        <v>1973</v>
      </c>
      <c r="B933" s="11" t="s">
        <v>9</v>
      </c>
      <c r="C933" s="11">
        <v>48</v>
      </c>
      <c r="D933" s="11" t="s">
        <v>7</v>
      </c>
      <c r="E933" s="15">
        <v>80</v>
      </c>
      <c r="F933" s="11" t="s">
        <v>1459</v>
      </c>
      <c r="G933" s="11" t="s">
        <v>764</v>
      </c>
      <c r="H933" s="15" t="s">
        <v>5</v>
      </c>
      <c r="I933" s="15">
        <v>20</v>
      </c>
      <c r="J933" s="12" t="s">
        <v>41</v>
      </c>
      <c r="K933" s="591">
        <f>(18*38)+(2*29.4)</f>
        <v>742.8</v>
      </c>
      <c r="L933" s="7"/>
    </row>
    <row r="934" spans="1:12">
      <c r="A934" s="590" t="s">
        <v>1973</v>
      </c>
      <c r="B934" s="11" t="s">
        <v>9</v>
      </c>
      <c r="C934" s="11">
        <v>48</v>
      </c>
      <c r="D934" s="11" t="s">
        <v>7</v>
      </c>
      <c r="E934" s="15">
        <v>91</v>
      </c>
      <c r="F934" s="11" t="s">
        <v>649</v>
      </c>
      <c r="G934" s="11" t="s">
        <v>764</v>
      </c>
      <c r="H934" s="15" t="s">
        <v>15</v>
      </c>
      <c r="I934" s="15">
        <v>20</v>
      </c>
      <c r="J934" s="12" t="s">
        <v>1950</v>
      </c>
      <c r="K934" s="591">
        <f>(17*38)+(3*29.4)</f>
        <v>734.2</v>
      </c>
      <c r="L934" s="7"/>
    </row>
    <row r="935" spans="1:12">
      <c r="A935" s="590" t="s">
        <v>1973</v>
      </c>
      <c r="B935" s="11" t="s">
        <v>9</v>
      </c>
      <c r="C935" s="11">
        <v>48</v>
      </c>
      <c r="D935" s="11" t="s">
        <v>7</v>
      </c>
      <c r="E935" s="15">
        <v>135</v>
      </c>
      <c r="F935" s="11" t="s">
        <v>1954</v>
      </c>
      <c r="G935" s="11" t="s">
        <v>441</v>
      </c>
      <c r="H935" s="15" t="s">
        <v>15</v>
      </c>
      <c r="I935" s="15">
        <v>20</v>
      </c>
      <c r="J935" s="12" t="s">
        <v>157</v>
      </c>
      <c r="K935" s="591">
        <f>(20*38)</f>
        <v>760</v>
      </c>
      <c r="L935" s="7"/>
    </row>
    <row r="936" spans="1:12">
      <c r="A936" s="590" t="s">
        <v>1973</v>
      </c>
      <c r="B936" s="11" t="s">
        <v>9</v>
      </c>
      <c r="C936" s="11">
        <v>48</v>
      </c>
      <c r="D936" s="11" t="s">
        <v>7</v>
      </c>
      <c r="E936" s="15">
        <v>227</v>
      </c>
      <c r="F936" s="11" t="s">
        <v>1994</v>
      </c>
      <c r="G936" s="11" t="s">
        <v>716</v>
      </c>
      <c r="H936" s="15" t="s">
        <v>15</v>
      </c>
      <c r="I936" s="15">
        <v>20</v>
      </c>
      <c r="J936" s="12" t="s">
        <v>31</v>
      </c>
      <c r="K936" s="591">
        <f>(19*38)+(1*29.4)</f>
        <v>751.4</v>
      </c>
      <c r="L936" s="7"/>
    </row>
    <row r="937" spans="1:12">
      <c r="A937" s="590" t="s">
        <v>1973</v>
      </c>
      <c r="B937" s="11" t="s">
        <v>9</v>
      </c>
      <c r="C937" s="11">
        <v>48</v>
      </c>
      <c r="D937" s="11" t="s">
        <v>384</v>
      </c>
      <c r="E937" s="15">
        <v>18</v>
      </c>
      <c r="F937" s="11" t="s">
        <v>1942</v>
      </c>
      <c r="G937" s="11" t="s">
        <v>648</v>
      </c>
      <c r="H937" s="15" t="s">
        <v>5</v>
      </c>
      <c r="I937" s="15">
        <v>25</v>
      </c>
      <c r="J937" s="12" t="s">
        <v>112</v>
      </c>
      <c r="K937" s="591">
        <f>(24*35)+(1*26.4)</f>
        <v>866.4</v>
      </c>
      <c r="L937" s="7"/>
    </row>
    <row r="938" spans="1:12">
      <c r="A938" s="590" t="s">
        <v>1973</v>
      </c>
      <c r="B938" s="11" t="s">
        <v>9</v>
      </c>
      <c r="C938" s="11">
        <v>48</v>
      </c>
      <c r="D938" s="11" t="s">
        <v>384</v>
      </c>
      <c r="E938" s="15">
        <v>20</v>
      </c>
      <c r="F938" s="11" t="s">
        <v>1995</v>
      </c>
      <c r="G938" s="11" t="s">
        <v>648</v>
      </c>
      <c r="H938" s="15" t="s">
        <v>15</v>
      </c>
      <c r="I938" s="15">
        <v>15</v>
      </c>
      <c r="J938" s="12" t="s">
        <v>97</v>
      </c>
      <c r="K938" s="591">
        <f>(15*38)</f>
        <v>570</v>
      </c>
      <c r="L938" s="7"/>
    </row>
    <row r="939" spans="1:12">
      <c r="A939" s="590" t="s">
        <v>1973</v>
      </c>
      <c r="B939" s="11" t="s">
        <v>9</v>
      </c>
      <c r="C939" s="11">
        <v>48</v>
      </c>
      <c r="D939" s="11" t="s">
        <v>384</v>
      </c>
      <c r="E939" s="15">
        <v>21</v>
      </c>
      <c r="F939" s="11" t="s">
        <v>592</v>
      </c>
      <c r="G939" s="11" t="s">
        <v>648</v>
      </c>
      <c r="H939" s="15" t="s">
        <v>15</v>
      </c>
      <c r="I939" s="15">
        <v>15</v>
      </c>
      <c r="J939" s="12" t="s">
        <v>14</v>
      </c>
      <c r="K939" s="591">
        <f>(14*38)+(1*29.4)</f>
        <v>561.4</v>
      </c>
      <c r="L939" s="7"/>
    </row>
    <row r="940" spans="1:12">
      <c r="A940" s="590" t="s">
        <v>1973</v>
      </c>
      <c r="B940" s="11" t="s">
        <v>9</v>
      </c>
      <c r="C940" s="11">
        <v>48</v>
      </c>
      <c r="D940" s="11" t="s">
        <v>29</v>
      </c>
      <c r="E940" s="15">
        <v>132</v>
      </c>
      <c r="F940" s="11" t="s">
        <v>1996</v>
      </c>
      <c r="G940" s="11" t="s">
        <v>99</v>
      </c>
      <c r="H940" s="15" t="s">
        <v>15</v>
      </c>
      <c r="I940" s="15">
        <v>25</v>
      </c>
      <c r="J940" s="12" t="s">
        <v>175</v>
      </c>
      <c r="K940" s="591">
        <f>(25*26)</f>
        <v>650</v>
      </c>
      <c r="L940" s="7"/>
    </row>
    <row r="941" spans="1:12">
      <c r="A941" s="590" t="s">
        <v>1973</v>
      </c>
      <c r="B941" s="11" t="s">
        <v>9</v>
      </c>
      <c r="C941" s="11">
        <v>48</v>
      </c>
      <c r="D941" s="11" t="s">
        <v>7</v>
      </c>
      <c r="E941" s="15">
        <v>124</v>
      </c>
      <c r="F941" s="11" t="s">
        <v>1528</v>
      </c>
      <c r="G941" s="11" t="s">
        <v>441</v>
      </c>
      <c r="H941" s="15" t="s">
        <v>15</v>
      </c>
      <c r="I941" s="15">
        <v>15</v>
      </c>
      <c r="J941" s="12" t="s">
        <v>14</v>
      </c>
      <c r="K941" s="591">
        <f>(14*38)+(1*29.4)</f>
        <v>561.4</v>
      </c>
      <c r="L941" s="7"/>
    </row>
    <row r="942" spans="1:12">
      <c r="A942" s="590" t="s">
        <v>1973</v>
      </c>
      <c r="B942" s="11" t="s">
        <v>9</v>
      </c>
      <c r="C942" s="11">
        <v>48</v>
      </c>
      <c r="D942" s="11" t="s">
        <v>7</v>
      </c>
      <c r="E942" s="15">
        <v>125</v>
      </c>
      <c r="F942" s="11" t="s">
        <v>1441</v>
      </c>
      <c r="G942" s="11" t="s">
        <v>441</v>
      </c>
      <c r="H942" s="15" t="s">
        <v>15</v>
      </c>
      <c r="I942" s="15">
        <v>20</v>
      </c>
      <c r="J942" s="12" t="s">
        <v>157</v>
      </c>
      <c r="K942" s="591">
        <f>(20*38)</f>
        <v>760</v>
      </c>
      <c r="L942" s="7"/>
    </row>
    <row r="943" spans="1:12">
      <c r="A943" s="590" t="s">
        <v>1973</v>
      </c>
      <c r="B943" s="11" t="s">
        <v>9</v>
      </c>
      <c r="C943" s="11">
        <v>48</v>
      </c>
      <c r="D943" s="11" t="s">
        <v>7</v>
      </c>
      <c r="E943" s="15">
        <v>126</v>
      </c>
      <c r="F943" s="11" t="s">
        <v>1997</v>
      </c>
      <c r="G943" s="11" t="s">
        <v>441</v>
      </c>
      <c r="H943" s="15" t="s">
        <v>15</v>
      </c>
      <c r="I943" s="15">
        <v>15</v>
      </c>
      <c r="J943" s="12" t="s">
        <v>14</v>
      </c>
      <c r="K943" s="591">
        <f>(14*38)+(1*29.4)</f>
        <v>561.4</v>
      </c>
      <c r="L943" s="7"/>
    </row>
    <row r="944" spans="1:12">
      <c r="A944" s="590" t="s">
        <v>1973</v>
      </c>
      <c r="B944" s="11" t="s">
        <v>9</v>
      </c>
      <c r="C944" s="11">
        <v>48</v>
      </c>
      <c r="D944" s="11" t="s">
        <v>7</v>
      </c>
      <c r="E944" s="15">
        <v>127</v>
      </c>
      <c r="F944" s="11" t="s">
        <v>473</v>
      </c>
      <c r="G944" s="11" t="s">
        <v>441</v>
      </c>
      <c r="H944" s="15" t="s">
        <v>15</v>
      </c>
      <c r="I944" s="15">
        <v>25</v>
      </c>
      <c r="J944" s="12" t="s">
        <v>170</v>
      </c>
      <c r="K944" s="591">
        <f>(25*38)</f>
        <v>950</v>
      </c>
      <c r="L944" s="7"/>
    </row>
    <row r="945" spans="1:12">
      <c r="A945" s="590" t="s">
        <v>1973</v>
      </c>
      <c r="B945" s="11" t="s">
        <v>9</v>
      </c>
      <c r="C945" s="11">
        <v>48</v>
      </c>
      <c r="D945" s="11" t="s">
        <v>7</v>
      </c>
      <c r="E945" s="15">
        <v>132</v>
      </c>
      <c r="F945" s="11" t="s">
        <v>366</v>
      </c>
      <c r="G945" s="11" t="s">
        <v>441</v>
      </c>
      <c r="H945" s="15" t="s">
        <v>15</v>
      </c>
      <c r="I945" s="15">
        <v>15</v>
      </c>
      <c r="J945" s="12" t="s">
        <v>14</v>
      </c>
      <c r="K945" s="591">
        <f>(14*38)+(1*29.4)</f>
        <v>561.4</v>
      </c>
      <c r="L945" s="7"/>
    </row>
    <row r="946" spans="1:12">
      <c r="A946" s="590" t="s">
        <v>1973</v>
      </c>
      <c r="B946" s="11" t="s">
        <v>9</v>
      </c>
      <c r="C946" s="11">
        <v>48</v>
      </c>
      <c r="D946" s="11" t="s">
        <v>7</v>
      </c>
      <c r="E946" s="15">
        <v>133</v>
      </c>
      <c r="F946" s="11" t="s">
        <v>173</v>
      </c>
      <c r="G946" s="11" t="s">
        <v>441</v>
      </c>
      <c r="H946" s="15" t="s">
        <v>15</v>
      </c>
      <c r="I946" s="15">
        <v>15</v>
      </c>
      <c r="J946" s="12" t="s">
        <v>14</v>
      </c>
      <c r="K946" s="591">
        <f t="shared" ref="K946:K947" si="30">(14*38)+(1*29.4)</f>
        <v>561.4</v>
      </c>
      <c r="L946" s="7"/>
    </row>
    <row r="947" spans="1:12">
      <c r="A947" s="590" t="s">
        <v>1973</v>
      </c>
      <c r="B947" s="11" t="s">
        <v>9</v>
      </c>
      <c r="C947" s="11">
        <v>48</v>
      </c>
      <c r="D947" s="11" t="s">
        <v>7</v>
      </c>
      <c r="E947" s="15">
        <v>137</v>
      </c>
      <c r="F947" s="11" t="s">
        <v>1965</v>
      </c>
      <c r="G947" s="11" t="s">
        <v>441</v>
      </c>
      <c r="H947" s="15" t="s">
        <v>15</v>
      </c>
      <c r="I947" s="15">
        <v>15</v>
      </c>
      <c r="J947" s="12" t="s">
        <v>14</v>
      </c>
      <c r="K947" s="591">
        <f t="shared" si="30"/>
        <v>561.4</v>
      </c>
      <c r="L947" s="7"/>
    </row>
    <row r="948" spans="1:12">
      <c r="A948" s="590" t="s">
        <v>1973</v>
      </c>
      <c r="B948" s="11" t="s">
        <v>9</v>
      </c>
      <c r="C948" s="11">
        <v>48</v>
      </c>
      <c r="D948" s="11" t="s">
        <v>10</v>
      </c>
      <c r="E948" s="15">
        <v>56</v>
      </c>
      <c r="F948" s="11" t="s">
        <v>1952</v>
      </c>
      <c r="G948" s="11" t="s">
        <v>778</v>
      </c>
      <c r="H948" s="15" t="s">
        <v>5</v>
      </c>
      <c r="I948" s="15">
        <v>15</v>
      </c>
      <c r="J948" s="12" t="s">
        <v>159</v>
      </c>
      <c r="K948" s="591">
        <f>(15*35)</f>
        <v>525</v>
      </c>
      <c r="L948" s="7"/>
    </row>
    <row r="949" spans="1:12">
      <c r="A949" s="590" t="s">
        <v>1973</v>
      </c>
      <c r="B949" s="11" t="s">
        <v>9</v>
      </c>
      <c r="C949" s="11">
        <v>48</v>
      </c>
      <c r="D949" s="11" t="s">
        <v>10</v>
      </c>
      <c r="E949" s="15">
        <v>59</v>
      </c>
      <c r="F949" s="11" t="s">
        <v>478</v>
      </c>
      <c r="G949" s="11" t="s">
        <v>778</v>
      </c>
      <c r="H949" s="15" t="s">
        <v>5</v>
      </c>
      <c r="I949" s="15">
        <v>15</v>
      </c>
      <c r="J949" s="12" t="s">
        <v>13</v>
      </c>
      <c r="K949" s="591">
        <f>(14*35)+(1*26.4)</f>
        <v>516.4</v>
      </c>
      <c r="L949" s="7"/>
    </row>
    <row r="950" spans="1:12">
      <c r="A950" s="590" t="s">
        <v>1973</v>
      </c>
      <c r="B950" s="11" t="s">
        <v>9</v>
      </c>
      <c r="C950" s="11">
        <v>48</v>
      </c>
      <c r="D950" s="11" t="s">
        <v>10</v>
      </c>
      <c r="E950" s="15">
        <v>135</v>
      </c>
      <c r="F950" s="11" t="s">
        <v>584</v>
      </c>
      <c r="G950" s="11" t="s">
        <v>39</v>
      </c>
      <c r="H950" s="15" t="s">
        <v>15</v>
      </c>
      <c r="I950" s="15">
        <v>15</v>
      </c>
      <c r="J950" s="12" t="s">
        <v>159</v>
      </c>
      <c r="K950" s="591">
        <f>(15*35)</f>
        <v>525</v>
      </c>
      <c r="L950" s="7"/>
    </row>
    <row r="951" spans="1:12">
      <c r="A951" s="590" t="s">
        <v>1973</v>
      </c>
      <c r="B951" s="11" t="s">
        <v>9</v>
      </c>
      <c r="C951" s="11">
        <v>48</v>
      </c>
      <c r="D951" s="11" t="s">
        <v>10</v>
      </c>
      <c r="E951" s="15">
        <v>139</v>
      </c>
      <c r="F951" s="11" t="s">
        <v>1943</v>
      </c>
      <c r="G951" s="11" t="s">
        <v>39</v>
      </c>
      <c r="H951" s="15" t="s">
        <v>15</v>
      </c>
      <c r="I951" s="15">
        <v>15</v>
      </c>
      <c r="J951" s="12" t="s">
        <v>13</v>
      </c>
      <c r="K951" s="591">
        <f>(14*35)+(1*26.4)</f>
        <v>516.4</v>
      </c>
      <c r="L951" s="7"/>
    </row>
    <row r="952" spans="1:12">
      <c r="A952" s="590" t="s">
        <v>1973</v>
      </c>
      <c r="B952" s="11" t="s">
        <v>9</v>
      </c>
      <c r="C952" s="11">
        <v>48</v>
      </c>
      <c r="D952" s="11" t="s">
        <v>10</v>
      </c>
      <c r="E952" s="15">
        <v>242</v>
      </c>
      <c r="F952" s="11" t="s">
        <v>1998</v>
      </c>
      <c r="G952" s="11" t="s">
        <v>1999</v>
      </c>
      <c r="H952" s="15" t="s">
        <v>5</v>
      </c>
      <c r="I952" s="15">
        <v>20</v>
      </c>
      <c r="J952" s="12" t="s">
        <v>17</v>
      </c>
      <c r="K952" s="591">
        <f>(19*35)+(1*26.4)</f>
        <v>691.4</v>
      </c>
      <c r="L952" s="7"/>
    </row>
    <row r="953" spans="1:12">
      <c r="A953" s="590" t="s">
        <v>1973</v>
      </c>
      <c r="B953" s="11" t="s">
        <v>9</v>
      </c>
      <c r="C953" s="11">
        <v>48</v>
      </c>
      <c r="D953" s="11" t="s">
        <v>10</v>
      </c>
      <c r="E953" s="15">
        <v>254</v>
      </c>
      <c r="F953" s="11" t="s">
        <v>2000</v>
      </c>
      <c r="G953" s="11" t="s">
        <v>40</v>
      </c>
      <c r="H953" s="15" t="s">
        <v>5</v>
      </c>
      <c r="I953" s="15">
        <v>30</v>
      </c>
      <c r="J953" s="12" t="s">
        <v>25</v>
      </c>
      <c r="K953" s="591">
        <f>(29*38)+(1*29.4)</f>
        <v>1131.4000000000001</v>
      </c>
      <c r="L953" s="7"/>
    </row>
    <row r="954" spans="1:12">
      <c r="A954" s="590" t="s">
        <v>1973</v>
      </c>
      <c r="B954" s="11" t="s">
        <v>9</v>
      </c>
      <c r="C954" s="11">
        <v>48</v>
      </c>
      <c r="D954" s="11" t="s">
        <v>10</v>
      </c>
      <c r="E954" s="15">
        <v>255</v>
      </c>
      <c r="F954" s="11" t="s">
        <v>1945</v>
      </c>
      <c r="G954" s="11" t="s">
        <v>40</v>
      </c>
      <c r="H954" s="15" t="s">
        <v>5</v>
      </c>
      <c r="I954" s="15">
        <v>20</v>
      </c>
      <c r="J954" s="12" t="s">
        <v>157</v>
      </c>
      <c r="K954" s="591">
        <f>(20*38)</f>
        <v>760</v>
      </c>
      <c r="L954" s="7"/>
    </row>
    <row r="955" spans="1:12">
      <c r="A955" s="590" t="s">
        <v>1973</v>
      </c>
      <c r="B955" s="11" t="s">
        <v>9</v>
      </c>
      <c r="C955" s="11">
        <v>48</v>
      </c>
      <c r="D955" s="11" t="s">
        <v>10</v>
      </c>
      <c r="E955" s="15">
        <v>261</v>
      </c>
      <c r="F955" s="11" t="s">
        <v>2001</v>
      </c>
      <c r="G955" s="11" t="s">
        <v>40</v>
      </c>
      <c r="H955" s="15" t="s">
        <v>15</v>
      </c>
      <c r="I955" s="15">
        <v>15</v>
      </c>
      <c r="J955" s="12" t="s">
        <v>14</v>
      </c>
      <c r="K955" s="591">
        <f>(14*38)+(1*29.4)</f>
        <v>561.4</v>
      </c>
      <c r="L955" s="7"/>
    </row>
    <row r="956" spans="1:12">
      <c r="A956" s="590" t="s">
        <v>1973</v>
      </c>
      <c r="B956" s="11" t="s">
        <v>9</v>
      </c>
      <c r="C956" s="11">
        <v>48</v>
      </c>
      <c r="D956" s="11" t="s">
        <v>10</v>
      </c>
      <c r="E956" s="15">
        <v>263</v>
      </c>
      <c r="F956" s="11" t="s">
        <v>1955</v>
      </c>
      <c r="G956" s="11" t="s">
        <v>40</v>
      </c>
      <c r="H956" s="15" t="s">
        <v>15</v>
      </c>
      <c r="I956" s="15">
        <v>20</v>
      </c>
      <c r="J956" s="12" t="s">
        <v>157</v>
      </c>
      <c r="K956" s="591">
        <f>(20*38)</f>
        <v>760</v>
      </c>
      <c r="L956" s="7"/>
    </row>
    <row r="957" spans="1:12">
      <c r="A957" s="590" t="s">
        <v>1973</v>
      </c>
      <c r="B957" s="11" t="s">
        <v>9</v>
      </c>
      <c r="C957" s="11">
        <v>48</v>
      </c>
      <c r="D957" s="11" t="s">
        <v>10</v>
      </c>
      <c r="E957" s="15">
        <v>264</v>
      </c>
      <c r="F957" s="11" t="s">
        <v>572</v>
      </c>
      <c r="G957" s="11" t="s">
        <v>40</v>
      </c>
      <c r="H957" s="15" t="s">
        <v>15</v>
      </c>
      <c r="I957" s="15">
        <v>15</v>
      </c>
      <c r="J957" s="12" t="s">
        <v>14</v>
      </c>
      <c r="K957" s="591">
        <f>(14*38)+(1*29.4)</f>
        <v>561.4</v>
      </c>
      <c r="L957" s="7"/>
    </row>
    <row r="958" spans="1:12">
      <c r="A958" s="590" t="s">
        <v>1973</v>
      </c>
      <c r="B958" s="11" t="s">
        <v>9</v>
      </c>
      <c r="C958" s="11">
        <v>48</v>
      </c>
      <c r="D958" s="11" t="s">
        <v>10</v>
      </c>
      <c r="E958" s="15">
        <v>265</v>
      </c>
      <c r="F958" s="11" t="s">
        <v>1739</v>
      </c>
      <c r="G958" s="11" t="s">
        <v>40</v>
      </c>
      <c r="H958" s="15" t="s">
        <v>15</v>
      </c>
      <c r="I958" s="15">
        <v>20</v>
      </c>
      <c r="J958" s="12" t="s">
        <v>157</v>
      </c>
      <c r="K958" s="591">
        <f>(20*38)</f>
        <v>760</v>
      </c>
      <c r="L958" s="7"/>
    </row>
    <row r="959" spans="1:12">
      <c r="A959" s="590" t="s">
        <v>1973</v>
      </c>
      <c r="B959" s="11" t="s">
        <v>9</v>
      </c>
      <c r="C959" s="11">
        <v>48</v>
      </c>
      <c r="D959" s="11" t="s">
        <v>10</v>
      </c>
      <c r="E959" s="15">
        <v>403</v>
      </c>
      <c r="F959" s="11" t="s">
        <v>1968</v>
      </c>
      <c r="G959" s="11" t="s">
        <v>106</v>
      </c>
      <c r="H959" s="15" t="s">
        <v>15</v>
      </c>
      <c r="I959" s="15">
        <v>20</v>
      </c>
      <c r="J959" s="12" t="s">
        <v>1367</v>
      </c>
      <c r="K959" s="591">
        <f>(19*36)+(1*27.4)</f>
        <v>711.4</v>
      </c>
      <c r="L959" s="7"/>
    </row>
    <row r="960" spans="1:12">
      <c r="A960" s="590" t="s">
        <v>1973</v>
      </c>
      <c r="B960" s="11" t="s">
        <v>9</v>
      </c>
      <c r="C960" s="11">
        <v>48</v>
      </c>
      <c r="D960" s="11" t="s">
        <v>10</v>
      </c>
      <c r="E960" s="15">
        <v>405</v>
      </c>
      <c r="F960" s="11" t="s">
        <v>1969</v>
      </c>
      <c r="G960" s="11" t="s">
        <v>106</v>
      </c>
      <c r="H960" s="15" t="s">
        <v>15</v>
      </c>
      <c r="I960" s="15">
        <v>20</v>
      </c>
      <c r="J960" s="12" t="s">
        <v>492</v>
      </c>
      <c r="K960" s="591">
        <f>(20*36)</f>
        <v>720</v>
      </c>
      <c r="L960" s="7"/>
    </row>
    <row r="961" spans="1:12">
      <c r="A961" s="590" t="s">
        <v>1973</v>
      </c>
      <c r="B961" s="11" t="s">
        <v>9</v>
      </c>
      <c r="C961" s="11">
        <v>48</v>
      </c>
      <c r="D961" s="11" t="s">
        <v>10</v>
      </c>
      <c r="E961" s="15">
        <v>406</v>
      </c>
      <c r="F961" s="11" t="s">
        <v>2002</v>
      </c>
      <c r="G961" s="11" t="s">
        <v>106</v>
      </c>
      <c r="H961" s="15" t="s">
        <v>15</v>
      </c>
      <c r="I961" s="15">
        <v>20</v>
      </c>
      <c r="J961" s="12" t="s">
        <v>1367</v>
      </c>
      <c r="K961" s="591">
        <f>(19*36)+(1*27.4)</f>
        <v>711.4</v>
      </c>
      <c r="L961" s="7"/>
    </row>
    <row r="962" spans="1:12">
      <c r="A962" s="590" t="s">
        <v>1973</v>
      </c>
      <c r="B962" s="11" t="s">
        <v>9</v>
      </c>
      <c r="C962" s="11">
        <v>48</v>
      </c>
      <c r="D962" s="11" t="s">
        <v>10</v>
      </c>
      <c r="E962" s="15">
        <v>525</v>
      </c>
      <c r="F962" s="11" t="s">
        <v>90</v>
      </c>
      <c r="G962" s="11" t="s">
        <v>161</v>
      </c>
      <c r="H962" s="15" t="s">
        <v>15</v>
      </c>
      <c r="I962" s="15">
        <v>15</v>
      </c>
      <c r="J962" s="12" t="s">
        <v>13</v>
      </c>
      <c r="K962" s="591">
        <f>(14*35)+(1*26.4)</f>
        <v>516.4</v>
      </c>
      <c r="L962" s="7"/>
    </row>
    <row r="963" spans="1:12">
      <c r="A963" s="590" t="s">
        <v>1973</v>
      </c>
      <c r="B963" s="11" t="s">
        <v>9</v>
      </c>
      <c r="C963" s="11">
        <v>48</v>
      </c>
      <c r="D963" s="11" t="s">
        <v>10</v>
      </c>
      <c r="E963" s="15">
        <v>566</v>
      </c>
      <c r="F963" s="11" t="s">
        <v>2003</v>
      </c>
      <c r="G963" s="11" t="s">
        <v>674</v>
      </c>
      <c r="H963" s="15" t="s">
        <v>15</v>
      </c>
      <c r="I963" s="15">
        <v>10</v>
      </c>
      <c r="J963" s="12" t="s">
        <v>27</v>
      </c>
      <c r="K963" s="591">
        <f>(9*38)+(1*29.4)</f>
        <v>371.4</v>
      </c>
      <c r="L963" s="7"/>
    </row>
    <row r="964" spans="1:12">
      <c r="A964" s="590" t="s">
        <v>1973</v>
      </c>
      <c r="B964" s="11" t="s">
        <v>9</v>
      </c>
      <c r="C964" s="11">
        <v>48</v>
      </c>
      <c r="D964" s="11" t="s">
        <v>10</v>
      </c>
      <c r="E964" s="15">
        <v>570</v>
      </c>
      <c r="F964" s="11" t="s">
        <v>400</v>
      </c>
      <c r="G964" s="11" t="s">
        <v>674</v>
      </c>
      <c r="H964" s="15" t="s">
        <v>15</v>
      </c>
      <c r="I964" s="15">
        <v>15</v>
      </c>
      <c r="J964" s="12" t="s">
        <v>38</v>
      </c>
      <c r="K964" s="591">
        <f>(13*38)+(2*29.4)</f>
        <v>552.79999999999995</v>
      </c>
      <c r="L964" s="7"/>
    </row>
    <row r="965" spans="1:12">
      <c r="A965" s="590" t="s">
        <v>1973</v>
      </c>
      <c r="B965" s="11" t="s">
        <v>9</v>
      </c>
      <c r="C965" s="11">
        <v>48</v>
      </c>
      <c r="D965" s="11" t="s">
        <v>10</v>
      </c>
      <c r="E965" s="15">
        <v>571</v>
      </c>
      <c r="F965" s="11" t="s">
        <v>122</v>
      </c>
      <c r="G965" s="11" t="s">
        <v>674</v>
      </c>
      <c r="H965" s="15" t="s">
        <v>15</v>
      </c>
      <c r="I965" s="15">
        <v>15</v>
      </c>
      <c r="J965" s="12" t="s">
        <v>38</v>
      </c>
      <c r="K965" s="591">
        <f>(13*38)+(2*29.4)</f>
        <v>552.79999999999995</v>
      </c>
      <c r="L965" s="7"/>
    </row>
    <row r="966" spans="1:12">
      <c r="A966" s="590" t="s">
        <v>1973</v>
      </c>
      <c r="B966" s="11" t="s">
        <v>9</v>
      </c>
      <c r="C966" s="11">
        <v>48</v>
      </c>
      <c r="D966" s="11" t="s">
        <v>10</v>
      </c>
      <c r="E966" s="15">
        <v>878</v>
      </c>
      <c r="F966" s="11" t="s">
        <v>2004</v>
      </c>
      <c r="G966" s="11" t="s">
        <v>132</v>
      </c>
      <c r="H966" s="15" t="s">
        <v>15</v>
      </c>
      <c r="I966" s="15">
        <v>20</v>
      </c>
      <c r="J966" s="12" t="s">
        <v>34</v>
      </c>
      <c r="K966" s="591">
        <f>(19*26)+(1*17.4)</f>
        <v>511.4</v>
      </c>
      <c r="L966" s="7"/>
    </row>
    <row r="967" spans="1:12" ht="15.75" thickBot="1">
      <c r="A967" s="592" t="s">
        <v>1973</v>
      </c>
      <c r="B967" s="593" t="s">
        <v>9</v>
      </c>
      <c r="C967" s="593">
        <v>48</v>
      </c>
      <c r="D967" s="593" t="s">
        <v>10</v>
      </c>
      <c r="E967" s="594">
        <v>901</v>
      </c>
      <c r="F967" s="593" t="s">
        <v>2005</v>
      </c>
      <c r="G967" s="593" t="s">
        <v>153</v>
      </c>
      <c r="H967" s="594" t="s">
        <v>15</v>
      </c>
      <c r="I967" s="594">
        <v>15</v>
      </c>
      <c r="J967" s="595" t="s">
        <v>13</v>
      </c>
      <c r="K967" s="596">
        <f>(14*35)+(1*26.4)</f>
        <v>516.4</v>
      </c>
      <c r="L967" s="7"/>
    </row>
    <row r="968" spans="1:12">
      <c r="A968" s="611" t="s">
        <v>1973</v>
      </c>
      <c r="B968" s="612" t="s">
        <v>9</v>
      </c>
      <c r="C968" s="612">
        <v>48</v>
      </c>
      <c r="D968" s="612" t="s">
        <v>10</v>
      </c>
      <c r="E968" s="61">
        <v>902</v>
      </c>
      <c r="F968" s="612" t="s">
        <v>558</v>
      </c>
      <c r="G968" s="612" t="s">
        <v>153</v>
      </c>
      <c r="H968" s="61" t="s">
        <v>15</v>
      </c>
      <c r="I968" s="61">
        <v>15</v>
      </c>
      <c r="J968" s="613" t="s">
        <v>13</v>
      </c>
      <c r="K968" s="614">
        <f>(14*35)+(1*26.4)</f>
        <v>516.4</v>
      </c>
      <c r="L968" s="7"/>
    </row>
    <row r="969" spans="1:12">
      <c r="A969" s="590" t="s">
        <v>1973</v>
      </c>
      <c r="B969" s="11" t="s">
        <v>9</v>
      </c>
      <c r="C969" s="11">
        <v>48</v>
      </c>
      <c r="D969" s="11" t="s">
        <v>10</v>
      </c>
      <c r="E969" s="15">
        <v>906</v>
      </c>
      <c r="F969" s="11" t="s">
        <v>758</v>
      </c>
      <c r="G969" s="11" t="s">
        <v>153</v>
      </c>
      <c r="H969" s="15" t="s">
        <v>15</v>
      </c>
      <c r="I969" s="15">
        <v>20</v>
      </c>
      <c r="J969" s="12" t="s">
        <v>17</v>
      </c>
      <c r="K969" s="591">
        <f>(19*35)+(1*26.4)</f>
        <v>691.4</v>
      </c>
      <c r="L969" s="7"/>
    </row>
    <row r="970" spans="1:12">
      <c r="A970" s="590" t="s">
        <v>1975</v>
      </c>
      <c r="B970" s="11" t="s">
        <v>9</v>
      </c>
      <c r="C970" s="11">
        <v>49</v>
      </c>
      <c r="D970" s="11" t="s">
        <v>7</v>
      </c>
      <c r="E970" s="15">
        <v>61</v>
      </c>
      <c r="F970" s="11" t="s">
        <v>464</v>
      </c>
      <c r="G970" s="11" t="s">
        <v>764</v>
      </c>
      <c r="H970" s="15" t="s">
        <v>15</v>
      </c>
      <c r="I970" s="15">
        <v>15</v>
      </c>
      <c r="J970" s="12" t="s">
        <v>14</v>
      </c>
      <c r="K970" s="591">
        <f>(14*38)+(1*29.4)</f>
        <v>561.4</v>
      </c>
      <c r="L970" s="7"/>
    </row>
    <row r="971" spans="1:12">
      <c r="A971" s="590" t="s">
        <v>1975</v>
      </c>
      <c r="B971" s="11" t="s">
        <v>9</v>
      </c>
      <c r="C971" s="11">
        <v>49</v>
      </c>
      <c r="D971" s="11" t="s">
        <v>7</v>
      </c>
      <c r="E971" s="15">
        <v>68</v>
      </c>
      <c r="F971" s="11" t="s">
        <v>1962</v>
      </c>
      <c r="G971" s="11" t="s">
        <v>764</v>
      </c>
      <c r="H971" s="15" t="s">
        <v>15</v>
      </c>
      <c r="I971" s="15">
        <v>15</v>
      </c>
      <c r="J971" s="12" t="s">
        <v>14</v>
      </c>
      <c r="K971" s="591">
        <f>(14*38)+(1*29.4)</f>
        <v>561.4</v>
      </c>
      <c r="L971" s="7"/>
    </row>
    <row r="972" spans="1:12">
      <c r="A972" s="590" t="s">
        <v>1975</v>
      </c>
      <c r="B972" s="11" t="s">
        <v>9</v>
      </c>
      <c r="C972" s="11">
        <v>49</v>
      </c>
      <c r="D972" s="11" t="s">
        <v>7</v>
      </c>
      <c r="E972" s="15">
        <v>102</v>
      </c>
      <c r="F972" s="11" t="s">
        <v>1931</v>
      </c>
      <c r="G972" s="11" t="s">
        <v>441</v>
      </c>
      <c r="H972" s="15" t="s">
        <v>15</v>
      </c>
      <c r="I972" s="15">
        <v>25</v>
      </c>
      <c r="J972" s="12" t="s">
        <v>608</v>
      </c>
      <c r="K972" s="591">
        <f>(24*38)+(1*29.4)</f>
        <v>941.4</v>
      </c>
      <c r="L972" s="7"/>
    </row>
    <row r="973" spans="1:12">
      <c r="A973" s="590" t="s">
        <v>1975</v>
      </c>
      <c r="B973" s="11" t="s">
        <v>9</v>
      </c>
      <c r="C973" s="11">
        <v>49</v>
      </c>
      <c r="D973" s="11" t="s">
        <v>7</v>
      </c>
      <c r="E973" s="15">
        <v>103</v>
      </c>
      <c r="F973" s="11" t="s">
        <v>526</v>
      </c>
      <c r="G973" s="11" t="s">
        <v>441</v>
      </c>
      <c r="H973" s="15" t="s">
        <v>15</v>
      </c>
      <c r="I973" s="15">
        <v>15</v>
      </c>
      <c r="J973" s="12" t="s">
        <v>97</v>
      </c>
      <c r="K973" s="591">
        <f>(15*38)</f>
        <v>570</v>
      </c>
      <c r="L973" s="7"/>
    </row>
    <row r="974" spans="1:12">
      <c r="A974" s="590" t="s">
        <v>1975</v>
      </c>
      <c r="B974" s="11" t="s">
        <v>9</v>
      </c>
      <c r="C974" s="11">
        <v>49</v>
      </c>
      <c r="D974" s="11" t="s">
        <v>7</v>
      </c>
      <c r="E974" s="15">
        <v>104</v>
      </c>
      <c r="F974" s="11" t="s">
        <v>435</v>
      </c>
      <c r="G974" s="11" t="s">
        <v>441</v>
      </c>
      <c r="H974" s="15" t="s">
        <v>15</v>
      </c>
      <c r="I974" s="15">
        <v>15</v>
      </c>
      <c r="J974" s="12" t="s">
        <v>14</v>
      </c>
      <c r="K974" s="591">
        <f>(14*38)+(1*29.4)</f>
        <v>561.4</v>
      </c>
      <c r="L974" s="7"/>
    </row>
    <row r="975" spans="1:12">
      <c r="A975" s="590" t="s">
        <v>1975</v>
      </c>
      <c r="B975" s="11" t="s">
        <v>9</v>
      </c>
      <c r="C975" s="11">
        <v>49</v>
      </c>
      <c r="D975" s="11" t="s">
        <v>7</v>
      </c>
      <c r="E975" s="15">
        <v>105</v>
      </c>
      <c r="F975" s="11" t="s">
        <v>2006</v>
      </c>
      <c r="G975" s="11" t="s">
        <v>441</v>
      </c>
      <c r="H975" s="15" t="s">
        <v>15</v>
      </c>
      <c r="I975" s="15">
        <v>15</v>
      </c>
      <c r="J975" s="12" t="s">
        <v>14</v>
      </c>
      <c r="K975" s="591">
        <f>(14*38)+(1*29.4)</f>
        <v>561.4</v>
      </c>
      <c r="L975" s="7"/>
    </row>
    <row r="976" spans="1:12">
      <c r="A976" s="590" t="s">
        <v>1975</v>
      </c>
      <c r="B976" s="11" t="s">
        <v>9</v>
      </c>
      <c r="C976" s="11">
        <v>49</v>
      </c>
      <c r="D976" s="11" t="s">
        <v>7</v>
      </c>
      <c r="E976" s="15">
        <v>157</v>
      </c>
      <c r="F976" s="11" t="s">
        <v>788</v>
      </c>
      <c r="G976" s="11" t="s">
        <v>716</v>
      </c>
      <c r="H976" s="15" t="s">
        <v>5</v>
      </c>
      <c r="I976" s="15">
        <v>20</v>
      </c>
      <c r="J976" s="12" t="s">
        <v>31</v>
      </c>
      <c r="K976" s="591">
        <f>(19*38)+(1*29.4)</f>
        <v>751.4</v>
      </c>
      <c r="L976" s="7"/>
    </row>
    <row r="977" spans="1:12">
      <c r="A977" s="590" t="s">
        <v>1975</v>
      </c>
      <c r="B977" s="11" t="s">
        <v>9</v>
      </c>
      <c r="C977" s="11">
        <v>49</v>
      </c>
      <c r="D977" s="11" t="s">
        <v>7</v>
      </c>
      <c r="E977" s="15">
        <v>212</v>
      </c>
      <c r="F977" s="11" t="s">
        <v>2007</v>
      </c>
      <c r="G977" s="11" t="s">
        <v>797</v>
      </c>
      <c r="H977" s="15" t="s">
        <v>15</v>
      </c>
      <c r="I977" s="15">
        <v>20</v>
      </c>
      <c r="J977" s="12" t="s">
        <v>17</v>
      </c>
      <c r="K977" s="591">
        <f>(19*35)+(1*26.4)</f>
        <v>691.4</v>
      </c>
      <c r="L977" s="7"/>
    </row>
    <row r="978" spans="1:12">
      <c r="A978" s="590" t="s">
        <v>1975</v>
      </c>
      <c r="B978" s="11" t="s">
        <v>9</v>
      </c>
      <c r="C978" s="11">
        <v>49</v>
      </c>
      <c r="D978" s="11" t="s">
        <v>7</v>
      </c>
      <c r="E978" s="15">
        <v>213</v>
      </c>
      <c r="F978" s="11" t="s">
        <v>549</v>
      </c>
      <c r="G978" s="11" t="s">
        <v>797</v>
      </c>
      <c r="H978" s="15" t="s">
        <v>15</v>
      </c>
      <c r="I978" s="15">
        <v>20</v>
      </c>
      <c r="J978" s="12" t="s">
        <v>17</v>
      </c>
      <c r="K978" s="591">
        <f>(19*35)+(1*26.4)</f>
        <v>691.4</v>
      </c>
      <c r="L978" s="7"/>
    </row>
    <row r="979" spans="1:12">
      <c r="A979" s="590" t="s">
        <v>1975</v>
      </c>
      <c r="B979" s="11" t="s">
        <v>9</v>
      </c>
      <c r="C979" s="11">
        <v>49</v>
      </c>
      <c r="D979" s="11" t="s">
        <v>7</v>
      </c>
      <c r="E979" s="15">
        <v>249</v>
      </c>
      <c r="F979" s="11" t="s">
        <v>654</v>
      </c>
      <c r="G979" s="11" t="s">
        <v>1512</v>
      </c>
      <c r="H979" s="15" t="s">
        <v>5</v>
      </c>
      <c r="I979" s="15">
        <v>20</v>
      </c>
      <c r="J979" s="12" t="s">
        <v>31</v>
      </c>
      <c r="K979" s="591">
        <f>(19*38)+(1*29.4)</f>
        <v>751.4</v>
      </c>
      <c r="L979" s="7"/>
    </row>
    <row r="980" spans="1:12">
      <c r="A980" s="590" t="s">
        <v>1975</v>
      </c>
      <c r="B980" s="11" t="s">
        <v>9</v>
      </c>
      <c r="C980" s="11">
        <v>49</v>
      </c>
      <c r="D980" s="11" t="s">
        <v>7</v>
      </c>
      <c r="E980" s="15">
        <v>348</v>
      </c>
      <c r="F980" s="11" t="s">
        <v>688</v>
      </c>
      <c r="G980" s="11" t="s">
        <v>1783</v>
      </c>
      <c r="H980" s="15" t="s">
        <v>15</v>
      </c>
      <c r="I980" s="15">
        <v>20</v>
      </c>
      <c r="J980" s="12" t="s">
        <v>31</v>
      </c>
      <c r="K980" s="591">
        <f>(19*38)+(1*29.4)</f>
        <v>751.4</v>
      </c>
      <c r="L980" s="7"/>
    </row>
    <row r="981" spans="1:12">
      <c r="A981" s="590" t="s">
        <v>1975</v>
      </c>
      <c r="B981" s="11" t="s">
        <v>9</v>
      </c>
      <c r="C981" s="11">
        <v>49</v>
      </c>
      <c r="D981" s="11" t="s">
        <v>7</v>
      </c>
      <c r="E981" s="15">
        <v>351</v>
      </c>
      <c r="F981" s="11" t="s">
        <v>1523</v>
      </c>
      <c r="G981" s="11" t="s">
        <v>1783</v>
      </c>
      <c r="H981" s="15" t="s">
        <v>15</v>
      </c>
      <c r="I981" s="15">
        <v>25</v>
      </c>
      <c r="J981" s="12" t="s">
        <v>170</v>
      </c>
      <c r="K981" s="591">
        <f>(25*38)</f>
        <v>950</v>
      </c>
      <c r="L981" s="7"/>
    </row>
    <row r="982" spans="1:12">
      <c r="A982" s="590" t="s">
        <v>1975</v>
      </c>
      <c r="B982" s="11" t="s">
        <v>9</v>
      </c>
      <c r="C982" s="11">
        <v>49</v>
      </c>
      <c r="D982" s="11" t="s">
        <v>7</v>
      </c>
      <c r="E982" s="15">
        <v>355</v>
      </c>
      <c r="F982" s="11" t="s">
        <v>736</v>
      </c>
      <c r="G982" s="11" t="s">
        <v>1783</v>
      </c>
      <c r="H982" s="15" t="s">
        <v>15</v>
      </c>
      <c r="I982" s="15">
        <v>15</v>
      </c>
      <c r="J982" s="12" t="s">
        <v>97</v>
      </c>
      <c r="K982" s="591">
        <f>(15*38)</f>
        <v>570</v>
      </c>
      <c r="L982" s="7"/>
    </row>
    <row r="983" spans="1:12">
      <c r="A983" s="590" t="s">
        <v>1975</v>
      </c>
      <c r="B983" s="11" t="s">
        <v>9</v>
      </c>
      <c r="C983" s="11">
        <v>49</v>
      </c>
      <c r="D983" s="11" t="s">
        <v>7</v>
      </c>
      <c r="E983" s="15">
        <v>402</v>
      </c>
      <c r="F983" s="11" t="s">
        <v>1965</v>
      </c>
      <c r="G983" s="11" t="s">
        <v>124</v>
      </c>
      <c r="H983" s="15" t="s">
        <v>5</v>
      </c>
      <c r="I983" s="15">
        <v>15</v>
      </c>
      <c r="J983" s="12" t="s">
        <v>13</v>
      </c>
      <c r="K983" s="591">
        <f>(14*35)+(1*26.4)</f>
        <v>516.4</v>
      </c>
      <c r="L983" s="7"/>
    </row>
    <row r="984" spans="1:12">
      <c r="A984" s="590" t="s">
        <v>1975</v>
      </c>
      <c r="B984" s="11" t="s">
        <v>9</v>
      </c>
      <c r="C984" s="11">
        <v>49</v>
      </c>
      <c r="D984" s="11" t="s">
        <v>7</v>
      </c>
      <c r="E984" s="15">
        <v>406</v>
      </c>
      <c r="F984" s="11" t="s">
        <v>72</v>
      </c>
      <c r="G984" s="11" t="s">
        <v>124</v>
      </c>
      <c r="H984" s="15" t="s">
        <v>15</v>
      </c>
      <c r="I984" s="15">
        <v>15</v>
      </c>
      <c r="J984" s="12" t="s">
        <v>13</v>
      </c>
      <c r="K984" s="591">
        <f t="shared" ref="K984:K988" si="31">(14*35)+(1*26.4)</f>
        <v>516.4</v>
      </c>
      <c r="L984" s="7"/>
    </row>
    <row r="985" spans="1:12">
      <c r="A985" s="590" t="s">
        <v>1975</v>
      </c>
      <c r="B985" s="11" t="s">
        <v>9</v>
      </c>
      <c r="C985" s="11">
        <v>49</v>
      </c>
      <c r="D985" s="11" t="s">
        <v>7</v>
      </c>
      <c r="E985" s="15">
        <v>413</v>
      </c>
      <c r="F985" s="11" t="s">
        <v>449</v>
      </c>
      <c r="G985" s="11" t="s">
        <v>424</v>
      </c>
      <c r="H985" s="15" t="s">
        <v>15</v>
      </c>
      <c r="I985" s="15">
        <v>15</v>
      </c>
      <c r="J985" s="12" t="s">
        <v>13</v>
      </c>
      <c r="K985" s="591">
        <f t="shared" si="31"/>
        <v>516.4</v>
      </c>
      <c r="L985" s="7"/>
    </row>
    <row r="986" spans="1:12">
      <c r="A986" s="590" t="s">
        <v>1975</v>
      </c>
      <c r="B986" s="11" t="s">
        <v>9</v>
      </c>
      <c r="C986" s="11">
        <v>49</v>
      </c>
      <c r="D986" s="11" t="s">
        <v>7</v>
      </c>
      <c r="E986" s="15">
        <v>435</v>
      </c>
      <c r="F986" s="11" t="s">
        <v>1441</v>
      </c>
      <c r="G986" s="11" t="s">
        <v>567</v>
      </c>
      <c r="H986" s="15" t="s">
        <v>15</v>
      </c>
      <c r="I986" s="15">
        <v>15</v>
      </c>
      <c r="J986" s="12" t="s">
        <v>13</v>
      </c>
      <c r="K986" s="591">
        <f t="shared" si="31"/>
        <v>516.4</v>
      </c>
      <c r="L986" s="7"/>
    </row>
    <row r="987" spans="1:12">
      <c r="A987" s="590" t="s">
        <v>1975</v>
      </c>
      <c r="B987" s="11" t="s">
        <v>9</v>
      </c>
      <c r="C987" s="11">
        <v>49</v>
      </c>
      <c r="D987" s="11" t="s">
        <v>7</v>
      </c>
      <c r="E987" s="15">
        <v>437</v>
      </c>
      <c r="F987" s="11" t="s">
        <v>1943</v>
      </c>
      <c r="G987" s="11" t="s">
        <v>567</v>
      </c>
      <c r="H987" s="15" t="s">
        <v>15</v>
      </c>
      <c r="I987" s="15">
        <v>15</v>
      </c>
      <c r="J987" s="12" t="s">
        <v>13</v>
      </c>
      <c r="K987" s="591">
        <f t="shared" si="31"/>
        <v>516.4</v>
      </c>
      <c r="L987" s="7"/>
    </row>
    <row r="988" spans="1:12">
      <c r="A988" s="590" t="s">
        <v>1975</v>
      </c>
      <c r="B988" s="11" t="s">
        <v>9</v>
      </c>
      <c r="C988" s="11">
        <v>49</v>
      </c>
      <c r="D988" s="11" t="s">
        <v>7</v>
      </c>
      <c r="E988" s="15">
        <v>438</v>
      </c>
      <c r="F988" s="11" t="s">
        <v>722</v>
      </c>
      <c r="G988" s="11" t="s">
        <v>567</v>
      </c>
      <c r="H988" s="15" t="s">
        <v>15</v>
      </c>
      <c r="I988" s="15">
        <v>15</v>
      </c>
      <c r="J988" s="12" t="s">
        <v>13</v>
      </c>
      <c r="K988" s="591">
        <f t="shared" si="31"/>
        <v>516.4</v>
      </c>
      <c r="L988" s="7"/>
    </row>
    <row r="989" spans="1:12">
      <c r="A989" s="590" t="s">
        <v>1975</v>
      </c>
      <c r="B989" s="11" t="s">
        <v>9</v>
      </c>
      <c r="C989" s="11">
        <v>49</v>
      </c>
      <c r="D989" s="11" t="s">
        <v>7</v>
      </c>
      <c r="E989" s="15">
        <v>486</v>
      </c>
      <c r="F989" s="11" t="s">
        <v>1643</v>
      </c>
      <c r="G989" s="11" t="s">
        <v>1380</v>
      </c>
      <c r="H989" s="15" t="s">
        <v>15</v>
      </c>
      <c r="I989" s="15">
        <v>15</v>
      </c>
      <c r="J989" s="12" t="s">
        <v>14</v>
      </c>
      <c r="K989" s="591">
        <f>(14*38)+(1*29.4)</f>
        <v>561.4</v>
      </c>
      <c r="L989" s="7"/>
    </row>
    <row r="990" spans="1:12">
      <c r="A990" s="590" t="s">
        <v>1975</v>
      </c>
      <c r="B990" s="11" t="s">
        <v>9</v>
      </c>
      <c r="C990" s="11">
        <v>49</v>
      </c>
      <c r="D990" s="11" t="s">
        <v>7</v>
      </c>
      <c r="E990" s="15">
        <v>487</v>
      </c>
      <c r="F990" s="11" t="s">
        <v>1778</v>
      </c>
      <c r="G990" s="11" t="s">
        <v>1380</v>
      </c>
      <c r="H990" s="15" t="s">
        <v>15</v>
      </c>
      <c r="I990" s="15">
        <v>20</v>
      </c>
      <c r="J990" s="12" t="s">
        <v>157</v>
      </c>
      <c r="K990" s="591">
        <f>(20*38)</f>
        <v>760</v>
      </c>
      <c r="L990" s="7"/>
    </row>
    <row r="991" spans="1:12">
      <c r="A991" s="590" t="s">
        <v>1975</v>
      </c>
      <c r="B991" s="11" t="s">
        <v>9</v>
      </c>
      <c r="C991" s="11">
        <v>49</v>
      </c>
      <c r="D991" s="11" t="s">
        <v>7</v>
      </c>
      <c r="E991" s="15">
        <v>587</v>
      </c>
      <c r="F991" s="11" t="s">
        <v>1963</v>
      </c>
      <c r="G991" s="11" t="s">
        <v>42</v>
      </c>
      <c r="H991" s="15" t="s">
        <v>15</v>
      </c>
      <c r="I991" s="15">
        <v>35</v>
      </c>
      <c r="J991" s="12" t="s">
        <v>1958</v>
      </c>
      <c r="K991" s="591">
        <f>(34*38)+(1*29.4)</f>
        <v>1321.4</v>
      </c>
      <c r="L991" s="7"/>
    </row>
    <row r="992" spans="1:12">
      <c r="A992" s="590" t="s">
        <v>1975</v>
      </c>
      <c r="B992" s="11" t="s">
        <v>9</v>
      </c>
      <c r="C992" s="11">
        <v>49</v>
      </c>
      <c r="D992" s="11" t="s">
        <v>7</v>
      </c>
      <c r="E992" s="15">
        <v>613</v>
      </c>
      <c r="F992" s="11" t="s">
        <v>576</v>
      </c>
      <c r="G992" s="11" t="s">
        <v>1964</v>
      </c>
      <c r="H992" s="15" t="s">
        <v>15</v>
      </c>
      <c r="I992" s="15">
        <v>20</v>
      </c>
      <c r="J992" s="12" t="s">
        <v>34</v>
      </c>
      <c r="K992" s="591">
        <f>(19*26)+(1*17.4)</f>
        <v>511.4</v>
      </c>
      <c r="L992" s="7"/>
    </row>
    <row r="993" spans="1:12">
      <c r="A993" s="590" t="s">
        <v>1975</v>
      </c>
      <c r="B993" s="11" t="s">
        <v>9</v>
      </c>
      <c r="C993" s="11">
        <v>49</v>
      </c>
      <c r="D993" s="11" t="s">
        <v>7</v>
      </c>
      <c r="E993" s="15">
        <v>614</v>
      </c>
      <c r="F993" s="11" t="s">
        <v>2008</v>
      </c>
      <c r="G993" s="11" t="s">
        <v>1964</v>
      </c>
      <c r="H993" s="15" t="s">
        <v>15</v>
      </c>
      <c r="I993" s="15">
        <v>20</v>
      </c>
      <c r="J993" s="12" t="s">
        <v>34</v>
      </c>
      <c r="K993" s="591">
        <f>(19*26)+(1*17.4)</f>
        <v>511.4</v>
      </c>
      <c r="L993" s="7"/>
    </row>
    <row r="994" spans="1:12">
      <c r="A994" s="590" t="s">
        <v>1975</v>
      </c>
      <c r="B994" s="11" t="s">
        <v>9</v>
      </c>
      <c r="C994" s="11">
        <v>49</v>
      </c>
      <c r="D994" s="11" t="s">
        <v>7</v>
      </c>
      <c r="E994" s="15">
        <v>789</v>
      </c>
      <c r="F994" s="11" t="s">
        <v>2009</v>
      </c>
      <c r="G994" s="11" t="s">
        <v>753</v>
      </c>
      <c r="H994" s="15" t="s">
        <v>15</v>
      </c>
      <c r="I994" s="15">
        <v>15</v>
      </c>
      <c r="J994" s="12" t="s">
        <v>14</v>
      </c>
      <c r="K994" s="591">
        <f>(14*38)+(1*29.4)</f>
        <v>561.4</v>
      </c>
      <c r="L994" s="7"/>
    </row>
    <row r="995" spans="1:12">
      <c r="A995" s="590" t="s">
        <v>1975</v>
      </c>
      <c r="B995" s="11" t="s">
        <v>9</v>
      </c>
      <c r="C995" s="11">
        <v>49</v>
      </c>
      <c r="D995" s="11" t="s">
        <v>384</v>
      </c>
      <c r="E995" s="15">
        <v>16</v>
      </c>
      <c r="F995" s="11" t="s">
        <v>547</v>
      </c>
      <c r="G995" s="11" t="s">
        <v>648</v>
      </c>
      <c r="H995" s="15" t="s">
        <v>5</v>
      </c>
      <c r="I995" s="15">
        <v>15</v>
      </c>
      <c r="J995" s="12" t="s">
        <v>13</v>
      </c>
      <c r="K995" s="591">
        <f>(14*35)+(1*26.4)</f>
        <v>516.4</v>
      </c>
      <c r="L995" s="7"/>
    </row>
    <row r="996" spans="1:12">
      <c r="A996" s="590" t="s">
        <v>1975</v>
      </c>
      <c r="B996" s="11" t="s">
        <v>9</v>
      </c>
      <c r="C996" s="11">
        <v>49</v>
      </c>
      <c r="D996" s="11" t="s">
        <v>384</v>
      </c>
      <c r="E996" s="15">
        <v>17</v>
      </c>
      <c r="F996" s="11" t="s">
        <v>1623</v>
      </c>
      <c r="G996" s="11" t="s">
        <v>648</v>
      </c>
      <c r="H996" s="15" t="s">
        <v>5</v>
      </c>
      <c r="I996" s="15">
        <v>15</v>
      </c>
      <c r="J996" s="12" t="s">
        <v>13</v>
      </c>
      <c r="K996" s="591">
        <f>(14*35)+(1*26.4)</f>
        <v>516.4</v>
      </c>
      <c r="L996" s="7"/>
    </row>
    <row r="997" spans="1:12">
      <c r="A997" s="590" t="s">
        <v>1975</v>
      </c>
      <c r="B997" s="11" t="s">
        <v>9</v>
      </c>
      <c r="C997" s="11">
        <v>49</v>
      </c>
      <c r="D997" s="11" t="s">
        <v>10</v>
      </c>
      <c r="E997" s="15">
        <v>99</v>
      </c>
      <c r="F997" s="11" t="s">
        <v>137</v>
      </c>
      <c r="G997" s="11" t="s">
        <v>39</v>
      </c>
      <c r="H997" s="15" t="s">
        <v>15</v>
      </c>
      <c r="I997" s="15">
        <v>20</v>
      </c>
      <c r="J997" s="12" t="s">
        <v>17</v>
      </c>
      <c r="K997" s="591">
        <f>(19*35)+(1*26.4)</f>
        <v>691.4</v>
      </c>
      <c r="L997" s="7"/>
    </row>
    <row r="998" spans="1:12">
      <c r="A998" s="590" t="s">
        <v>1975</v>
      </c>
      <c r="B998" s="11" t="s">
        <v>9</v>
      </c>
      <c r="C998" s="11">
        <v>49</v>
      </c>
      <c r="D998" s="11" t="s">
        <v>10</v>
      </c>
      <c r="E998" s="15">
        <v>102</v>
      </c>
      <c r="F998" s="11" t="s">
        <v>445</v>
      </c>
      <c r="G998" s="11" t="s">
        <v>39</v>
      </c>
      <c r="H998" s="15" t="s">
        <v>15</v>
      </c>
      <c r="I998" s="15">
        <v>15</v>
      </c>
      <c r="J998" s="12" t="s">
        <v>159</v>
      </c>
      <c r="K998" s="591">
        <f>(15*35)</f>
        <v>525</v>
      </c>
      <c r="L998" s="7"/>
    </row>
    <row r="999" spans="1:12">
      <c r="A999" s="590" t="s">
        <v>1975</v>
      </c>
      <c r="B999" s="11" t="s">
        <v>9</v>
      </c>
      <c r="C999" s="11">
        <v>49</v>
      </c>
      <c r="D999" s="11" t="s">
        <v>10</v>
      </c>
      <c r="E999" s="15">
        <v>142</v>
      </c>
      <c r="F999" s="11" t="s">
        <v>395</v>
      </c>
      <c r="G999" s="11" t="s">
        <v>770</v>
      </c>
      <c r="H999" s="15" t="s">
        <v>15</v>
      </c>
      <c r="I999" s="15">
        <v>20</v>
      </c>
      <c r="J999" s="12" t="s">
        <v>492</v>
      </c>
      <c r="K999" s="591">
        <f>(20*36)</f>
        <v>720</v>
      </c>
      <c r="L999" s="7"/>
    </row>
    <row r="1000" spans="1:12">
      <c r="A1000" s="590" t="s">
        <v>1975</v>
      </c>
      <c r="B1000" s="11" t="s">
        <v>9</v>
      </c>
      <c r="C1000" s="11">
        <v>49</v>
      </c>
      <c r="D1000" s="11" t="s">
        <v>10</v>
      </c>
      <c r="E1000" s="15">
        <v>201</v>
      </c>
      <c r="F1000" s="11" t="s">
        <v>1737</v>
      </c>
      <c r="G1000" s="11" t="s">
        <v>40</v>
      </c>
      <c r="H1000" s="15" t="s">
        <v>5</v>
      </c>
      <c r="I1000" s="15">
        <v>15</v>
      </c>
      <c r="J1000" s="12" t="s">
        <v>14</v>
      </c>
      <c r="K1000" s="591">
        <f>(14*38)+(1*29.4)</f>
        <v>561.4</v>
      </c>
      <c r="L1000" s="7"/>
    </row>
    <row r="1001" spans="1:12">
      <c r="A1001" s="590" t="s">
        <v>1975</v>
      </c>
      <c r="B1001" s="11" t="s">
        <v>9</v>
      </c>
      <c r="C1001" s="11">
        <v>49</v>
      </c>
      <c r="D1001" s="11" t="s">
        <v>10</v>
      </c>
      <c r="E1001" s="15">
        <v>202</v>
      </c>
      <c r="F1001" s="11" t="s">
        <v>2010</v>
      </c>
      <c r="G1001" s="11" t="s">
        <v>40</v>
      </c>
      <c r="H1001" s="15" t="s">
        <v>5</v>
      </c>
      <c r="I1001" s="15">
        <v>15</v>
      </c>
      <c r="J1001" s="12" t="s">
        <v>97</v>
      </c>
      <c r="K1001" s="591">
        <f>(15*38)</f>
        <v>570</v>
      </c>
      <c r="L1001" s="7"/>
    </row>
    <row r="1002" spans="1:12">
      <c r="A1002" s="590" t="s">
        <v>1975</v>
      </c>
      <c r="B1002" s="11" t="s">
        <v>9</v>
      </c>
      <c r="C1002" s="11">
        <v>49</v>
      </c>
      <c r="D1002" s="11" t="s">
        <v>10</v>
      </c>
      <c r="E1002" s="15">
        <v>249</v>
      </c>
      <c r="F1002" s="11" t="s">
        <v>469</v>
      </c>
      <c r="G1002" s="11" t="s">
        <v>424</v>
      </c>
      <c r="H1002" s="15" t="s">
        <v>15</v>
      </c>
      <c r="I1002" s="15">
        <v>15</v>
      </c>
      <c r="J1002" s="12" t="s">
        <v>13</v>
      </c>
      <c r="K1002" s="591">
        <f>(14*35)+(1*26.4)</f>
        <v>516.4</v>
      </c>
      <c r="L1002" s="7"/>
    </row>
    <row r="1003" spans="1:12">
      <c r="A1003" s="590" t="s">
        <v>1975</v>
      </c>
      <c r="B1003" s="11" t="s">
        <v>9</v>
      </c>
      <c r="C1003" s="11">
        <v>49</v>
      </c>
      <c r="D1003" s="11" t="s">
        <v>10</v>
      </c>
      <c r="E1003" s="15">
        <v>303</v>
      </c>
      <c r="F1003" s="11" t="s">
        <v>2011</v>
      </c>
      <c r="G1003" s="11" t="s">
        <v>106</v>
      </c>
      <c r="H1003" s="15" t="s">
        <v>5</v>
      </c>
      <c r="I1003" s="15">
        <v>20</v>
      </c>
      <c r="J1003" s="12" t="s">
        <v>23</v>
      </c>
      <c r="K1003" s="591">
        <f>(18*35)+(2*26.4)</f>
        <v>682.8</v>
      </c>
      <c r="L1003" s="7"/>
    </row>
    <row r="1004" spans="1:12">
      <c r="A1004" s="590" t="s">
        <v>1975</v>
      </c>
      <c r="B1004" s="11" t="s">
        <v>9</v>
      </c>
      <c r="C1004" s="11">
        <v>49</v>
      </c>
      <c r="D1004" s="11" t="s">
        <v>10</v>
      </c>
      <c r="E1004" s="15">
        <v>304</v>
      </c>
      <c r="F1004" s="11" t="s">
        <v>1995</v>
      </c>
      <c r="G1004" s="11" t="s">
        <v>106</v>
      </c>
      <c r="H1004" s="15" t="s">
        <v>5</v>
      </c>
      <c r="I1004" s="15">
        <v>15</v>
      </c>
      <c r="J1004" s="12" t="s">
        <v>35</v>
      </c>
      <c r="K1004" s="591">
        <f>(13*35)+(2*26.4)</f>
        <v>507.8</v>
      </c>
      <c r="L1004" s="7"/>
    </row>
    <row r="1005" spans="1:12">
      <c r="A1005" s="590" t="s">
        <v>1975</v>
      </c>
      <c r="B1005" s="11" t="s">
        <v>9</v>
      </c>
      <c r="C1005" s="11">
        <v>49</v>
      </c>
      <c r="D1005" s="11" t="s">
        <v>10</v>
      </c>
      <c r="E1005" s="15">
        <v>310</v>
      </c>
      <c r="F1005" s="11" t="s">
        <v>399</v>
      </c>
      <c r="G1005" s="11" t="s">
        <v>106</v>
      </c>
      <c r="H1005" s="15" t="s">
        <v>15</v>
      </c>
      <c r="I1005" s="15">
        <v>25</v>
      </c>
      <c r="J1005" s="12" t="s">
        <v>1388</v>
      </c>
      <c r="K1005" s="591">
        <f>(25*36)</f>
        <v>900</v>
      </c>
      <c r="L1005" s="7"/>
    </row>
    <row r="1006" spans="1:12" ht="15.75" thickBot="1">
      <c r="A1006" s="592" t="s">
        <v>1975</v>
      </c>
      <c r="B1006" s="593" t="s">
        <v>9</v>
      </c>
      <c r="C1006" s="593">
        <v>49</v>
      </c>
      <c r="D1006" s="593" t="s">
        <v>10</v>
      </c>
      <c r="E1006" s="594">
        <v>346</v>
      </c>
      <c r="F1006" s="593" t="s">
        <v>2012</v>
      </c>
      <c r="G1006" s="593" t="s">
        <v>87</v>
      </c>
      <c r="H1006" s="594" t="s">
        <v>15</v>
      </c>
      <c r="I1006" s="594">
        <v>20</v>
      </c>
      <c r="J1006" s="595" t="s">
        <v>34</v>
      </c>
      <c r="K1006" s="596">
        <f>(19*26)+(1*17.4)</f>
        <v>511.4</v>
      </c>
      <c r="L1006" s="7"/>
    </row>
    <row r="1007" spans="1:12">
      <c r="A1007" s="611" t="s">
        <v>1975</v>
      </c>
      <c r="B1007" s="612" t="s">
        <v>9</v>
      </c>
      <c r="C1007" s="612">
        <v>49</v>
      </c>
      <c r="D1007" s="612" t="s">
        <v>10</v>
      </c>
      <c r="E1007" s="61">
        <v>347</v>
      </c>
      <c r="F1007" s="612" t="s">
        <v>2013</v>
      </c>
      <c r="G1007" s="612" t="s">
        <v>87</v>
      </c>
      <c r="H1007" s="61" t="s">
        <v>15</v>
      </c>
      <c r="I1007" s="61">
        <v>20</v>
      </c>
      <c r="J1007" s="613" t="s">
        <v>34</v>
      </c>
      <c r="K1007" s="614">
        <f>(19*26)+(1*17.4)</f>
        <v>511.4</v>
      </c>
      <c r="L1007" s="7"/>
    </row>
    <row r="1008" spans="1:12">
      <c r="A1008" s="590" t="s">
        <v>1975</v>
      </c>
      <c r="B1008" s="11" t="s">
        <v>9</v>
      </c>
      <c r="C1008" s="11">
        <v>49</v>
      </c>
      <c r="D1008" s="11" t="s">
        <v>10</v>
      </c>
      <c r="E1008" s="15">
        <v>361</v>
      </c>
      <c r="F1008" s="11" t="s">
        <v>2014</v>
      </c>
      <c r="G1008" s="11" t="s">
        <v>179</v>
      </c>
      <c r="H1008" s="15" t="s">
        <v>15</v>
      </c>
      <c r="I1008" s="15">
        <v>20</v>
      </c>
      <c r="J1008" s="12" t="s">
        <v>17</v>
      </c>
      <c r="K1008" s="591">
        <f>(19*35)+(1*26.4)</f>
        <v>691.4</v>
      </c>
      <c r="L1008" s="7"/>
    </row>
    <row r="1009" spans="1:12">
      <c r="A1009" s="590" t="s">
        <v>1975</v>
      </c>
      <c r="B1009" s="11" t="s">
        <v>9</v>
      </c>
      <c r="C1009" s="11">
        <v>49</v>
      </c>
      <c r="D1009" s="11" t="s">
        <v>10</v>
      </c>
      <c r="E1009" s="15">
        <v>362</v>
      </c>
      <c r="F1009" s="11" t="s">
        <v>398</v>
      </c>
      <c r="G1009" s="11" t="s">
        <v>179</v>
      </c>
      <c r="H1009" s="15" t="s">
        <v>15</v>
      </c>
      <c r="I1009" s="15">
        <v>20</v>
      </c>
      <c r="J1009" s="12" t="s">
        <v>17</v>
      </c>
      <c r="K1009" s="591">
        <f t="shared" ref="K1009:K1012" si="32">(19*35)+(1*26.4)</f>
        <v>691.4</v>
      </c>
      <c r="L1009" s="7"/>
    </row>
    <row r="1010" spans="1:12">
      <c r="A1010" s="590" t="s">
        <v>1975</v>
      </c>
      <c r="B1010" s="11" t="s">
        <v>9</v>
      </c>
      <c r="C1010" s="11">
        <v>49</v>
      </c>
      <c r="D1010" s="11" t="s">
        <v>10</v>
      </c>
      <c r="E1010" s="15">
        <v>376</v>
      </c>
      <c r="F1010" s="11" t="s">
        <v>2015</v>
      </c>
      <c r="G1010" s="11" t="s">
        <v>179</v>
      </c>
      <c r="H1010" s="15" t="s">
        <v>15</v>
      </c>
      <c r="I1010" s="15">
        <v>20</v>
      </c>
      <c r="J1010" s="12" t="s">
        <v>17</v>
      </c>
      <c r="K1010" s="591">
        <f t="shared" si="32"/>
        <v>691.4</v>
      </c>
      <c r="L1010" s="7"/>
    </row>
    <row r="1011" spans="1:12">
      <c r="A1011" s="590" t="s">
        <v>1975</v>
      </c>
      <c r="B1011" s="11" t="s">
        <v>9</v>
      </c>
      <c r="C1011" s="11">
        <v>49</v>
      </c>
      <c r="D1011" s="11" t="s">
        <v>10</v>
      </c>
      <c r="E1011" s="15">
        <v>377</v>
      </c>
      <c r="F1011" s="11" t="s">
        <v>2016</v>
      </c>
      <c r="G1011" s="11" t="s">
        <v>179</v>
      </c>
      <c r="H1011" s="15" t="s">
        <v>15</v>
      </c>
      <c r="I1011" s="15">
        <v>20</v>
      </c>
      <c r="J1011" s="12" t="s">
        <v>17</v>
      </c>
      <c r="K1011" s="591">
        <f t="shared" si="32"/>
        <v>691.4</v>
      </c>
      <c r="L1011" s="7"/>
    </row>
    <row r="1012" spans="1:12">
      <c r="A1012" s="590" t="s">
        <v>1975</v>
      </c>
      <c r="B1012" s="11" t="s">
        <v>9</v>
      </c>
      <c r="C1012" s="11">
        <v>49</v>
      </c>
      <c r="D1012" s="11" t="s">
        <v>10</v>
      </c>
      <c r="E1012" s="15">
        <v>378</v>
      </c>
      <c r="F1012" s="11" t="s">
        <v>2017</v>
      </c>
      <c r="G1012" s="11" t="s">
        <v>179</v>
      </c>
      <c r="H1012" s="15" t="s">
        <v>15</v>
      </c>
      <c r="I1012" s="15">
        <v>20</v>
      </c>
      <c r="J1012" s="12" t="s">
        <v>17</v>
      </c>
      <c r="K1012" s="591">
        <f t="shared" si="32"/>
        <v>691.4</v>
      </c>
      <c r="L1012" s="7"/>
    </row>
    <row r="1013" spans="1:12">
      <c r="A1013" s="590" t="s">
        <v>1975</v>
      </c>
      <c r="B1013" s="11" t="s">
        <v>9</v>
      </c>
      <c r="C1013" s="11">
        <v>49</v>
      </c>
      <c r="D1013" s="11" t="s">
        <v>10</v>
      </c>
      <c r="E1013" s="15">
        <v>421</v>
      </c>
      <c r="F1013" s="11" t="s">
        <v>1642</v>
      </c>
      <c r="G1013" s="11" t="s">
        <v>145</v>
      </c>
      <c r="H1013" s="15" t="s">
        <v>5</v>
      </c>
      <c r="I1013" s="15">
        <v>14</v>
      </c>
      <c r="J1013" s="12" t="s">
        <v>176</v>
      </c>
      <c r="K1013" s="591">
        <f>(14*35)</f>
        <v>490</v>
      </c>
      <c r="L1013" s="7"/>
    </row>
    <row r="1014" spans="1:12">
      <c r="A1014" s="590" t="s">
        <v>1975</v>
      </c>
      <c r="B1014" s="11" t="s">
        <v>9</v>
      </c>
      <c r="C1014" s="11">
        <v>49</v>
      </c>
      <c r="D1014" s="11" t="s">
        <v>10</v>
      </c>
      <c r="E1014" s="15">
        <v>422</v>
      </c>
      <c r="F1014" s="11" t="s">
        <v>91</v>
      </c>
      <c r="G1014" s="11" t="s">
        <v>145</v>
      </c>
      <c r="H1014" s="15" t="s">
        <v>15</v>
      </c>
      <c r="I1014" s="15">
        <v>20</v>
      </c>
      <c r="J1014" s="12" t="s">
        <v>17</v>
      </c>
      <c r="K1014" s="591">
        <f>(19*35)+(1*26.4)</f>
        <v>691.4</v>
      </c>
      <c r="L1014" s="7"/>
    </row>
    <row r="1015" spans="1:12">
      <c r="A1015" s="590" t="s">
        <v>1975</v>
      </c>
      <c r="B1015" s="11" t="s">
        <v>9</v>
      </c>
      <c r="C1015" s="11">
        <v>49</v>
      </c>
      <c r="D1015" s="11" t="s">
        <v>10</v>
      </c>
      <c r="E1015" s="15">
        <v>436</v>
      </c>
      <c r="F1015" s="11" t="s">
        <v>2018</v>
      </c>
      <c r="G1015" s="11" t="s">
        <v>161</v>
      </c>
      <c r="H1015" s="15" t="s">
        <v>5</v>
      </c>
      <c r="I1015" s="15">
        <v>15</v>
      </c>
      <c r="J1015" s="12" t="s">
        <v>13</v>
      </c>
      <c r="K1015" s="591">
        <f>(14*35)+(1*26.4)</f>
        <v>516.4</v>
      </c>
      <c r="L1015" s="7"/>
    </row>
    <row r="1016" spans="1:12">
      <c r="A1016" s="590" t="s">
        <v>1975</v>
      </c>
      <c r="B1016" s="11" t="s">
        <v>9</v>
      </c>
      <c r="C1016" s="11">
        <v>49</v>
      </c>
      <c r="D1016" s="11" t="s">
        <v>10</v>
      </c>
      <c r="E1016" s="15">
        <v>437</v>
      </c>
      <c r="F1016" s="11" t="s">
        <v>70</v>
      </c>
      <c r="G1016" s="11" t="s">
        <v>161</v>
      </c>
      <c r="H1016" s="15" t="s">
        <v>5</v>
      </c>
      <c r="I1016" s="15">
        <v>30</v>
      </c>
      <c r="J1016" s="12" t="s">
        <v>12</v>
      </c>
      <c r="K1016" s="591">
        <f>(29*35)+(1*26.4)</f>
        <v>1041.4000000000001</v>
      </c>
      <c r="L1016" s="7"/>
    </row>
    <row r="1017" spans="1:12">
      <c r="A1017" s="590" t="s">
        <v>1975</v>
      </c>
      <c r="B1017" s="11" t="s">
        <v>9</v>
      </c>
      <c r="C1017" s="11">
        <v>49</v>
      </c>
      <c r="D1017" s="11" t="s">
        <v>10</v>
      </c>
      <c r="E1017" s="15">
        <v>438</v>
      </c>
      <c r="F1017" s="11" t="s">
        <v>2019</v>
      </c>
      <c r="G1017" s="11" t="s">
        <v>161</v>
      </c>
      <c r="H1017" s="15" t="s">
        <v>5</v>
      </c>
      <c r="I1017" s="15">
        <v>20</v>
      </c>
      <c r="J1017" s="12" t="s">
        <v>17</v>
      </c>
      <c r="K1017" s="591">
        <f>(19*35)+(1*26.4)</f>
        <v>691.4</v>
      </c>
      <c r="L1017" s="7"/>
    </row>
    <row r="1018" spans="1:12">
      <c r="A1018" s="590" t="s">
        <v>1975</v>
      </c>
      <c r="B1018" s="11" t="s">
        <v>9</v>
      </c>
      <c r="C1018" s="11">
        <v>49</v>
      </c>
      <c r="D1018" s="11" t="s">
        <v>10</v>
      </c>
      <c r="E1018" s="15">
        <v>439</v>
      </c>
      <c r="F1018" s="11" t="s">
        <v>2020</v>
      </c>
      <c r="G1018" s="11" t="s">
        <v>161</v>
      </c>
      <c r="H1018" s="15" t="s">
        <v>5</v>
      </c>
      <c r="I1018" s="15">
        <v>20</v>
      </c>
      <c r="J1018" s="12" t="s">
        <v>17</v>
      </c>
      <c r="K1018" s="591">
        <f>(19*35)+(1*26.4)</f>
        <v>691.4</v>
      </c>
      <c r="L1018" s="7"/>
    </row>
    <row r="1019" spans="1:12">
      <c r="A1019" s="590" t="s">
        <v>1975</v>
      </c>
      <c r="B1019" s="11" t="s">
        <v>9</v>
      </c>
      <c r="C1019" s="11">
        <v>49</v>
      </c>
      <c r="D1019" s="11" t="s">
        <v>10</v>
      </c>
      <c r="E1019" s="15">
        <v>442</v>
      </c>
      <c r="F1019" s="11" t="s">
        <v>194</v>
      </c>
      <c r="G1019" s="11" t="s">
        <v>161</v>
      </c>
      <c r="H1019" s="15" t="s">
        <v>15</v>
      </c>
      <c r="I1019" s="15">
        <v>15</v>
      </c>
      <c r="J1019" s="12" t="s">
        <v>13</v>
      </c>
      <c r="K1019" s="591">
        <f>(14*35)+(1*26.4)</f>
        <v>516.4</v>
      </c>
      <c r="L1019" s="7"/>
    </row>
    <row r="1020" spans="1:12">
      <c r="A1020" s="590" t="s">
        <v>1975</v>
      </c>
      <c r="B1020" s="11" t="s">
        <v>9</v>
      </c>
      <c r="C1020" s="11">
        <v>49</v>
      </c>
      <c r="D1020" s="11" t="s">
        <v>10</v>
      </c>
      <c r="E1020" s="15">
        <v>443</v>
      </c>
      <c r="F1020" s="11" t="s">
        <v>1956</v>
      </c>
      <c r="G1020" s="11" t="s">
        <v>161</v>
      </c>
      <c r="H1020" s="15" t="s">
        <v>15</v>
      </c>
      <c r="I1020" s="15">
        <v>25</v>
      </c>
      <c r="J1020" s="12" t="s">
        <v>112</v>
      </c>
      <c r="K1020" s="591">
        <f>(24*35)+(1*26.4)</f>
        <v>866.4</v>
      </c>
      <c r="L1020" s="7"/>
    </row>
    <row r="1021" spans="1:12">
      <c r="A1021" s="590" t="s">
        <v>1975</v>
      </c>
      <c r="B1021" s="11" t="s">
        <v>9</v>
      </c>
      <c r="C1021" s="11">
        <v>49</v>
      </c>
      <c r="D1021" s="11" t="s">
        <v>10</v>
      </c>
      <c r="E1021" s="15">
        <v>444</v>
      </c>
      <c r="F1021" s="11" t="s">
        <v>568</v>
      </c>
      <c r="G1021" s="11" t="s">
        <v>161</v>
      </c>
      <c r="H1021" s="15" t="s">
        <v>15</v>
      </c>
      <c r="I1021" s="15">
        <v>15</v>
      </c>
      <c r="J1021" s="12" t="s">
        <v>159</v>
      </c>
      <c r="K1021" s="591">
        <f>(15*35)</f>
        <v>525</v>
      </c>
      <c r="L1021" s="7"/>
    </row>
    <row r="1022" spans="1:12">
      <c r="A1022" s="590" t="s">
        <v>1975</v>
      </c>
      <c r="B1022" s="11" t="s">
        <v>9</v>
      </c>
      <c r="C1022" s="11">
        <v>49</v>
      </c>
      <c r="D1022" s="11" t="s">
        <v>10</v>
      </c>
      <c r="E1022" s="15">
        <v>445</v>
      </c>
      <c r="F1022" s="11" t="s">
        <v>580</v>
      </c>
      <c r="G1022" s="11" t="s">
        <v>161</v>
      </c>
      <c r="H1022" s="15" t="s">
        <v>15</v>
      </c>
      <c r="I1022" s="15">
        <v>30</v>
      </c>
      <c r="J1022" s="12" t="s">
        <v>12</v>
      </c>
      <c r="K1022" s="591">
        <f>(29*35)+(1*26.4)</f>
        <v>1041.4000000000001</v>
      </c>
      <c r="L1022" s="7"/>
    </row>
    <row r="1023" spans="1:12">
      <c r="A1023" s="590" t="s">
        <v>1976</v>
      </c>
      <c r="B1023" s="11" t="s">
        <v>9</v>
      </c>
      <c r="C1023" s="11">
        <v>49</v>
      </c>
      <c r="D1023" s="11" t="s">
        <v>7</v>
      </c>
      <c r="E1023" s="15">
        <v>401</v>
      </c>
      <c r="F1023" s="11" t="s">
        <v>104</v>
      </c>
      <c r="G1023" s="11" t="s">
        <v>124</v>
      </c>
      <c r="H1023" s="15" t="s">
        <v>5</v>
      </c>
      <c r="I1023" s="15">
        <v>15</v>
      </c>
      <c r="J1023" s="12" t="s">
        <v>13</v>
      </c>
      <c r="K1023" s="591">
        <f>(14*35)+(1*26.4)</f>
        <v>516.4</v>
      </c>
      <c r="L1023" s="7"/>
    </row>
    <row r="1024" spans="1:12">
      <c r="A1024" s="590" t="s">
        <v>1976</v>
      </c>
      <c r="B1024" s="11" t="s">
        <v>9</v>
      </c>
      <c r="C1024" s="11">
        <v>49</v>
      </c>
      <c r="D1024" s="11" t="s">
        <v>7</v>
      </c>
      <c r="E1024" s="15">
        <v>405</v>
      </c>
      <c r="F1024" s="11" t="s">
        <v>173</v>
      </c>
      <c r="G1024" s="11" t="s">
        <v>124</v>
      </c>
      <c r="H1024" s="15" t="s">
        <v>15</v>
      </c>
      <c r="I1024" s="15">
        <v>15</v>
      </c>
      <c r="J1024" s="12" t="s">
        <v>13</v>
      </c>
      <c r="K1024" s="591">
        <f>(14*35)+(1*26.4)</f>
        <v>516.4</v>
      </c>
      <c r="L1024" s="7"/>
    </row>
    <row r="1025" spans="1:12">
      <c r="A1025" s="590" t="s">
        <v>1976</v>
      </c>
      <c r="B1025" s="11" t="s">
        <v>9</v>
      </c>
      <c r="C1025" s="11">
        <v>49</v>
      </c>
      <c r="D1025" s="11" t="s">
        <v>7</v>
      </c>
      <c r="E1025" s="15">
        <v>778</v>
      </c>
      <c r="F1025" s="11" t="s">
        <v>1801</v>
      </c>
      <c r="G1025" s="11" t="s">
        <v>161</v>
      </c>
      <c r="H1025" s="15" t="s">
        <v>15</v>
      </c>
      <c r="I1025" s="15">
        <v>25</v>
      </c>
      <c r="J1025" s="12" t="s">
        <v>436</v>
      </c>
      <c r="K1025" s="591">
        <f>(25*35)</f>
        <v>875</v>
      </c>
      <c r="L1025" s="7"/>
    </row>
    <row r="1026" spans="1:12">
      <c r="A1026" s="590" t="s">
        <v>1976</v>
      </c>
      <c r="B1026" s="11" t="s">
        <v>9</v>
      </c>
      <c r="C1026" s="11">
        <v>49</v>
      </c>
      <c r="D1026" s="11" t="s">
        <v>7</v>
      </c>
      <c r="E1026" s="15">
        <v>779</v>
      </c>
      <c r="F1026" s="11" t="s">
        <v>1967</v>
      </c>
      <c r="G1026" s="11" t="s">
        <v>161</v>
      </c>
      <c r="H1026" s="15" t="s">
        <v>15</v>
      </c>
      <c r="I1026" s="15">
        <v>15</v>
      </c>
      <c r="J1026" s="12" t="s">
        <v>13</v>
      </c>
      <c r="K1026" s="591">
        <f>(14*35)+(1*26.4)</f>
        <v>516.4</v>
      </c>
      <c r="L1026" s="7"/>
    </row>
    <row r="1027" spans="1:12">
      <c r="A1027" s="590" t="s">
        <v>1976</v>
      </c>
      <c r="B1027" s="11" t="s">
        <v>9</v>
      </c>
      <c r="C1027" s="11">
        <v>49</v>
      </c>
      <c r="D1027" s="11" t="s">
        <v>7</v>
      </c>
      <c r="E1027" s="15">
        <v>780</v>
      </c>
      <c r="F1027" s="11" t="s">
        <v>2021</v>
      </c>
      <c r="G1027" s="11" t="s">
        <v>161</v>
      </c>
      <c r="H1027" s="15" t="s">
        <v>15</v>
      </c>
      <c r="I1027" s="15">
        <v>20</v>
      </c>
      <c r="J1027" s="12" t="s">
        <v>142</v>
      </c>
      <c r="K1027" s="591">
        <f>(20*35)</f>
        <v>700</v>
      </c>
      <c r="L1027" s="7"/>
    </row>
    <row r="1028" spans="1:12">
      <c r="A1028" s="590" t="s">
        <v>1976</v>
      </c>
      <c r="B1028" s="11" t="s">
        <v>9</v>
      </c>
      <c r="C1028" s="11">
        <v>49</v>
      </c>
      <c r="D1028" s="11" t="s">
        <v>7</v>
      </c>
      <c r="E1028" s="15">
        <v>869</v>
      </c>
      <c r="F1028" s="11" t="s">
        <v>727</v>
      </c>
      <c r="G1028" s="11" t="s">
        <v>153</v>
      </c>
      <c r="H1028" s="15" t="s">
        <v>5</v>
      </c>
      <c r="I1028" s="15">
        <v>15</v>
      </c>
      <c r="J1028" s="12" t="s">
        <v>13</v>
      </c>
      <c r="K1028" s="591">
        <f>(14*35)+(1*26.4)</f>
        <v>516.4</v>
      </c>
      <c r="L1028" s="7"/>
    </row>
    <row r="1029" spans="1:12">
      <c r="A1029" s="590" t="s">
        <v>1976</v>
      </c>
      <c r="B1029" s="11" t="s">
        <v>9</v>
      </c>
      <c r="C1029" s="11">
        <v>49</v>
      </c>
      <c r="D1029" s="11" t="s">
        <v>10</v>
      </c>
      <c r="E1029" s="15">
        <v>839</v>
      </c>
      <c r="F1029" s="11" t="s">
        <v>74</v>
      </c>
      <c r="G1029" s="11" t="s">
        <v>153</v>
      </c>
      <c r="H1029" s="15" t="s">
        <v>15</v>
      </c>
      <c r="I1029" s="15">
        <v>20</v>
      </c>
      <c r="J1029" s="12" t="s">
        <v>142</v>
      </c>
      <c r="K1029" s="591">
        <f>(20*35)</f>
        <v>700</v>
      </c>
      <c r="L1029" s="7"/>
    </row>
    <row r="1030" spans="1:12">
      <c r="A1030" s="590" t="s">
        <v>1976</v>
      </c>
      <c r="B1030" s="11" t="s">
        <v>9</v>
      </c>
      <c r="C1030" s="11">
        <v>49</v>
      </c>
      <c r="D1030" s="11" t="s">
        <v>10</v>
      </c>
      <c r="E1030" s="15">
        <v>962</v>
      </c>
      <c r="F1030" s="11" t="s">
        <v>1960</v>
      </c>
      <c r="G1030" s="11" t="s">
        <v>187</v>
      </c>
      <c r="H1030" s="15" t="s">
        <v>5</v>
      </c>
      <c r="I1030" s="15">
        <v>20</v>
      </c>
      <c r="J1030" s="12" t="s">
        <v>17</v>
      </c>
      <c r="K1030" s="591">
        <f>(19*35)+(1*26.4)</f>
        <v>691.4</v>
      </c>
      <c r="L1030" s="7"/>
    </row>
    <row r="1031" spans="1:12">
      <c r="A1031" s="590" t="s">
        <v>1976</v>
      </c>
      <c r="B1031" s="11" t="s">
        <v>9</v>
      </c>
      <c r="C1031" s="11">
        <v>49</v>
      </c>
      <c r="D1031" s="11" t="s">
        <v>10</v>
      </c>
      <c r="E1031" s="15">
        <v>963</v>
      </c>
      <c r="F1031" s="11" t="s">
        <v>714</v>
      </c>
      <c r="G1031" s="11" t="s">
        <v>187</v>
      </c>
      <c r="H1031" s="15" t="s">
        <v>5</v>
      </c>
      <c r="I1031" s="15">
        <v>20</v>
      </c>
      <c r="J1031" s="12" t="s">
        <v>17</v>
      </c>
      <c r="K1031" s="591">
        <f>(19*35)+(1*26.4)</f>
        <v>691.4</v>
      </c>
      <c r="L1031" s="7"/>
    </row>
    <row r="1032" spans="1:12">
      <c r="A1032" s="590" t="s">
        <v>1976</v>
      </c>
      <c r="B1032" s="11" t="s">
        <v>9</v>
      </c>
      <c r="C1032" s="11">
        <v>49</v>
      </c>
      <c r="D1032" s="11" t="s">
        <v>29</v>
      </c>
      <c r="E1032" s="15">
        <v>31</v>
      </c>
      <c r="F1032" s="11" t="s">
        <v>183</v>
      </c>
      <c r="G1032" s="11" t="s">
        <v>145</v>
      </c>
      <c r="H1032" s="15" t="s">
        <v>5</v>
      </c>
      <c r="I1032" s="15">
        <v>10</v>
      </c>
      <c r="J1032" s="12" t="s">
        <v>11</v>
      </c>
      <c r="K1032" s="591">
        <f>(9*35)+(1*26.4)</f>
        <v>341.4</v>
      </c>
      <c r="L1032" s="7"/>
    </row>
    <row r="1033" spans="1:12">
      <c r="A1033" s="590" t="s">
        <v>1976</v>
      </c>
      <c r="B1033" s="11" t="s">
        <v>9</v>
      </c>
      <c r="C1033" s="11">
        <v>49</v>
      </c>
      <c r="D1033" s="11" t="s">
        <v>29</v>
      </c>
      <c r="E1033" s="15">
        <v>169</v>
      </c>
      <c r="F1033" s="11" t="s">
        <v>1938</v>
      </c>
      <c r="G1033" s="11" t="s">
        <v>99</v>
      </c>
      <c r="H1033" s="15" t="s">
        <v>15</v>
      </c>
      <c r="I1033" s="15">
        <v>15</v>
      </c>
      <c r="J1033" s="12" t="s">
        <v>37</v>
      </c>
      <c r="K1033" s="591">
        <f>(14*26)+(1*17.4)</f>
        <v>381.4</v>
      </c>
      <c r="L1033" s="7"/>
    </row>
    <row r="1034" spans="1:12">
      <c r="A1034" s="590" t="s">
        <v>1976</v>
      </c>
      <c r="B1034" s="11" t="s">
        <v>9</v>
      </c>
      <c r="C1034" s="11">
        <v>49</v>
      </c>
      <c r="D1034" s="11" t="s">
        <v>29</v>
      </c>
      <c r="E1034" s="15">
        <v>684</v>
      </c>
      <c r="F1034" s="11" t="s">
        <v>460</v>
      </c>
      <c r="G1034" s="11" t="s">
        <v>1561</v>
      </c>
      <c r="H1034" s="15" t="s">
        <v>15</v>
      </c>
      <c r="I1034" s="15">
        <v>15</v>
      </c>
      <c r="J1034" s="12" t="s">
        <v>37</v>
      </c>
      <c r="K1034" s="591">
        <f>(14*26)+(1*17.4)</f>
        <v>381.4</v>
      </c>
      <c r="L1034" s="7"/>
    </row>
    <row r="1035" spans="1:12">
      <c r="A1035" s="590" t="s">
        <v>1976</v>
      </c>
      <c r="B1035" s="11" t="s">
        <v>9</v>
      </c>
      <c r="C1035" s="11">
        <v>49</v>
      </c>
      <c r="D1035" s="11" t="s">
        <v>29</v>
      </c>
      <c r="E1035" s="15">
        <v>806</v>
      </c>
      <c r="F1035" s="11" t="s">
        <v>582</v>
      </c>
      <c r="G1035" s="11" t="s">
        <v>1949</v>
      </c>
      <c r="H1035" s="15" t="s">
        <v>15</v>
      </c>
      <c r="I1035" s="15">
        <v>20</v>
      </c>
      <c r="J1035" s="12" t="s">
        <v>17</v>
      </c>
      <c r="K1035" s="591">
        <f>(19*35)+(1*26.4)</f>
        <v>691.4</v>
      </c>
      <c r="L1035" s="7"/>
    </row>
    <row r="1036" spans="1:12">
      <c r="A1036" s="590" t="s">
        <v>1976</v>
      </c>
      <c r="B1036" s="11" t="s">
        <v>9</v>
      </c>
      <c r="C1036" s="11">
        <v>49</v>
      </c>
      <c r="D1036" s="11" t="s">
        <v>29</v>
      </c>
      <c r="E1036" s="15">
        <v>835</v>
      </c>
      <c r="F1036" s="11" t="s">
        <v>569</v>
      </c>
      <c r="G1036" s="11" t="s">
        <v>153</v>
      </c>
      <c r="H1036" s="15" t="s">
        <v>5</v>
      </c>
      <c r="I1036" s="15">
        <v>15</v>
      </c>
      <c r="J1036" s="12" t="s">
        <v>159</v>
      </c>
      <c r="K1036" s="591">
        <f>(15*35)</f>
        <v>525</v>
      </c>
      <c r="L1036" s="7"/>
    </row>
    <row r="1037" spans="1:12">
      <c r="A1037" s="590" t="s">
        <v>1976</v>
      </c>
      <c r="B1037" s="11" t="s">
        <v>9</v>
      </c>
      <c r="C1037" s="11">
        <v>49</v>
      </c>
      <c r="D1037" s="11" t="s">
        <v>29</v>
      </c>
      <c r="E1037" s="15">
        <v>838</v>
      </c>
      <c r="F1037" s="11" t="s">
        <v>164</v>
      </c>
      <c r="G1037" s="11" t="s">
        <v>153</v>
      </c>
      <c r="H1037" s="15" t="s">
        <v>15</v>
      </c>
      <c r="I1037" s="15">
        <v>20</v>
      </c>
      <c r="J1037" s="12" t="s">
        <v>17</v>
      </c>
      <c r="K1037" s="591">
        <f>(19*35)+(1*26.4)</f>
        <v>691.4</v>
      </c>
      <c r="L1037" s="7"/>
    </row>
    <row r="1038" spans="1:12">
      <c r="A1038" s="590" t="s">
        <v>1976</v>
      </c>
      <c r="B1038" s="11" t="s">
        <v>9</v>
      </c>
      <c r="C1038" s="11">
        <v>49</v>
      </c>
      <c r="D1038" s="11" t="s">
        <v>29</v>
      </c>
      <c r="E1038" s="15">
        <v>961</v>
      </c>
      <c r="F1038" s="11" t="s">
        <v>477</v>
      </c>
      <c r="G1038" s="11" t="s">
        <v>187</v>
      </c>
      <c r="H1038" s="15" t="s">
        <v>5</v>
      </c>
      <c r="I1038" s="15">
        <v>20</v>
      </c>
      <c r="J1038" s="12" t="s">
        <v>17</v>
      </c>
      <c r="K1038" s="591">
        <f>(19*35)+(1*26.4)</f>
        <v>691.4</v>
      </c>
      <c r="L1038" s="7"/>
    </row>
    <row r="1039" spans="1:12">
      <c r="A1039" s="590" t="s">
        <v>1976</v>
      </c>
      <c r="B1039" s="11" t="s">
        <v>9</v>
      </c>
      <c r="C1039" s="11">
        <v>49</v>
      </c>
      <c r="D1039" s="11" t="s">
        <v>384</v>
      </c>
      <c r="E1039" s="15">
        <v>20</v>
      </c>
      <c r="F1039" s="11" t="s">
        <v>598</v>
      </c>
      <c r="G1039" s="11" t="s">
        <v>648</v>
      </c>
      <c r="H1039" s="15" t="s">
        <v>15</v>
      </c>
      <c r="I1039" s="15">
        <v>20</v>
      </c>
      <c r="J1039" s="12" t="s">
        <v>31</v>
      </c>
      <c r="K1039" s="591">
        <f>(19*38)+(1*29.4)</f>
        <v>751.4</v>
      </c>
      <c r="L1039" s="7"/>
    </row>
    <row r="1040" spans="1:12">
      <c r="A1040" s="590" t="s">
        <v>1976</v>
      </c>
      <c r="B1040" s="11" t="s">
        <v>9</v>
      </c>
      <c r="C1040" s="11">
        <v>49</v>
      </c>
      <c r="D1040" s="11" t="s">
        <v>384</v>
      </c>
      <c r="E1040" s="15">
        <v>23</v>
      </c>
      <c r="F1040" s="11" t="s">
        <v>1440</v>
      </c>
      <c r="G1040" s="11" t="s">
        <v>648</v>
      </c>
      <c r="H1040" s="15" t="s">
        <v>15</v>
      </c>
      <c r="I1040" s="15">
        <v>20</v>
      </c>
      <c r="J1040" s="12" t="s">
        <v>31</v>
      </c>
      <c r="K1040" s="591">
        <f>(19*38)+(1*29.4)</f>
        <v>751.4</v>
      </c>
      <c r="L1040" s="7"/>
    </row>
    <row r="1041" spans="1:12">
      <c r="A1041" s="590" t="s">
        <v>1976</v>
      </c>
      <c r="B1041" s="11" t="s">
        <v>9</v>
      </c>
      <c r="C1041" s="11">
        <v>49</v>
      </c>
      <c r="D1041" s="11" t="s">
        <v>29</v>
      </c>
      <c r="E1041" s="15">
        <v>167</v>
      </c>
      <c r="F1041" s="11" t="s">
        <v>1806</v>
      </c>
      <c r="G1041" s="11" t="s">
        <v>99</v>
      </c>
      <c r="H1041" s="15" t="s">
        <v>15</v>
      </c>
      <c r="I1041" s="15">
        <v>20</v>
      </c>
      <c r="J1041" s="12" t="s">
        <v>155</v>
      </c>
      <c r="K1041" s="591">
        <f>(20*26)</f>
        <v>520</v>
      </c>
      <c r="L1041" s="7"/>
    </row>
    <row r="1042" spans="1:12">
      <c r="A1042" s="590" t="s">
        <v>1976</v>
      </c>
      <c r="B1042" s="11" t="s">
        <v>9</v>
      </c>
      <c r="C1042" s="11">
        <v>49</v>
      </c>
      <c r="D1042" s="11" t="s">
        <v>29</v>
      </c>
      <c r="E1042" s="15">
        <v>168</v>
      </c>
      <c r="F1042" s="11" t="s">
        <v>2022</v>
      </c>
      <c r="G1042" s="11" t="s">
        <v>99</v>
      </c>
      <c r="H1042" s="15" t="s">
        <v>15</v>
      </c>
      <c r="I1042" s="15">
        <v>25</v>
      </c>
      <c r="J1042" s="12" t="s">
        <v>175</v>
      </c>
      <c r="K1042" s="591">
        <f>(25*26)</f>
        <v>650</v>
      </c>
      <c r="L1042" s="7"/>
    </row>
    <row r="1043" spans="1:12">
      <c r="A1043" s="590" t="s">
        <v>1977</v>
      </c>
      <c r="B1043" s="11" t="s">
        <v>9</v>
      </c>
      <c r="C1043" s="11">
        <v>47</v>
      </c>
      <c r="D1043" s="11" t="s">
        <v>16</v>
      </c>
      <c r="E1043" s="15">
        <v>352</v>
      </c>
      <c r="F1043" s="11" t="s">
        <v>2023</v>
      </c>
      <c r="G1043" s="11" t="s">
        <v>40</v>
      </c>
      <c r="H1043" s="15" t="s">
        <v>15</v>
      </c>
      <c r="I1043" s="15">
        <v>15</v>
      </c>
      <c r="J1043" s="12" t="s">
        <v>14</v>
      </c>
      <c r="K1043" s="591">
        <f>(14*38)+(1*29.4)</f>
        <v>561.4</v>
      </c>
      <c r="L1043" s="7"/>
    </row>
    <row r="1044" spans="1:12">
      <c r="A1044" s="590" t="s">
        <v>1977</v>
      </c>
      <c r="B1044" s="11" t="s">
        <v>9</v>
      </c>
      <c r="C1044" s="11">
        <v>47</v>
      </c>
      <c r="D1044" s="11" t="s">
        <v>16</v>
      </c>
      <c r="E1044" s="15">
        <v>353</v>
      </c>
      <c r="F1044" s="11" t="s">
        <v>2024</v>
      </c>
      <c r="G1044" s="11" t="s">
        <v>40</v>
      </c>
      <c r="H1044" s="15" t="s">
        <v>15</v>
      </c>
      <c r="I1044" s="15">
        <v>15</v>
      </c>
      <c r="J1044" s="12" t="s">
        <v>14</v>
      </c>
      <c r="K1044" s="591">
        <f t="shared" ref="K1044:K1045" si="33">(14*38)+(1*29.4)</f>
        <v>561.4</v>
      </c>
      <c r="L1044" s="7"/>
    </row>
    <row r="1045" spans="1:12" ht="15.75" thickBot="1">
      <c r="A1045" s="592" t="s">
        <v>1977</v>
      </c>
      <c r="B1045" s="593" t="s">
        <v>9</v>
      </c>
      <c r="C1045" s="593">
        <v>47</v>
      </c>
      <c r="D1045" s="593" t="s">
        <v>10</v>
      </c>
      <c r="E1045" s="594">
        <v>152</v>
      </c>
      <c r="F1045" s="593" t="s">
        <v>1801</v>
      </c>
      <c r="G1045" s="593" t="s">
        <v>28</v>
      </c>
      <c r="H1045" s="594" t="s">
        <v>15</v>
      </c>
      <c r="I1045" s="594">
        <v>15</v>
      </c>
      <c r="J1045" s="595" t="s">
        <v>14</v>
      </c>
      <c r="K1045" s="596">
        <f t="shared" si="33"/>
        <v>561.4</v>
      </c>
      <c r="L1045" s="7"/>
    </row>
    <row r="1046" spans="1:12">
      <c r="A1046" s="611" t="s">
        <v>1977</v>
      </c>
      <c r="B1046" s="612" t="s">
        <v>9</v>
      </c>
      <c r="C1046" s="612">
        <v>47</v>
      </c>
      <c r="D1046" s="612" t="s">
        <v>10</v>
      </c>
      <c r="E1046" s="61">
        <v>567</v>
      </c>
      <c r="F1046" s="612" t="s">
        <v>1959</v>
      </c>
      <c r="G1046" s="612" t="s">
        <v>167</v>
      </c>
      <c r="H1046" s="61" t="s">
        <v>5</v>
      </c>
      <c r="I1046" s="61">
        <v>10</v>
      </c>
      <c r="J1046" s="613" t="s">
        <v>401</v>
      </c>
      <c r="K1046" s="614">
        <f>(10*35)</f>
        <v>350</v>
      </c>
      <c r="L1046" s="7"/>
    </row>
    <row r="1047" spans="1:12">
      <c r="A1047" s="590" t="s">
        <v>1977</v>
      </c>
      <c r="B1047" s="11" t="s">
        <v>9</v>
      </c>
      <c r="C1047" s="11">
        <v>48</v>
      </c>
      <c r="D1047" s="11" t="s">
        <v>7</v>
      </c>
      <c r="E1047" s="15">
        <v>138</v>
      </c>
      <c r="F1047" s="11" t="s">
        <v>209</v>
      </c>
      <c r="G1047" s="11" t="s">
        <v>441</v>
      </c>
      <c r="H1047" s="15" t="s">
        <v>15</v>
      </c>
      <c r="I1047" s="15">
        <v>15</v>
      </c>
      <c r="J1047" s="12" t="s">
        <v>14</v>
      </c>
      <c r="K1047" s="591">
        <f>(14*38)+(1*29.4)</f>
        <v>561.4</v>
      </c>
      <c r="L1047" s="7"/>
    </row>
    <row r="1048" spans="1:12">
      <c r="A1048" s="590" t="s">
        <v>1977</v>
      </c>
      <c r="B1048" s="11" t="s">
        <v>9</v>
      </c>
      <c r="C1048" s="11">
        <v>48</v>
      </c>
      <c r="D1048" s="11" t="s">
        <v>7</v>
      </c>
      <c r="E1048" s="15">
        <v>92</v>
      </c>
      <c r="F1048" s="11" t="s">
        <v>206</v>
      </c>
      <c r="G1048" s="11" t="s">
        <v>764</v>
      </c>
      <c r="H1048" s="15" t="s">
        <v>15</v>
      </c>
      <c r="I1048" s="15">
        <v>14</v>
      </c>
      <c r="J1048" s="12" t="s">
        <v>2025</v>
      </c>
      <c r="K1048" s="591">
        <f>(11*38)+(3*29.4)</f>
        <v>506.2</v>
      </c>
      <c r="L1048" s="7"/>
    </row>
    <row r="1049" spans="1:12">
      <c r="A1049" s="590" t="s">
        <v>1977</v>
      </c>
      <c r="B1049" s="11" t="s">
        <v>9</v>
      </c>
      <c r="C1049" s="11">
        <v>48</v>
      </c>
      <c r="D1049" s="11" t="s">
        <v>7</v>
      </c>
      <c r="E1049" s="15">
        <v>265</v>
      </c>
      <c r="F1049" s="11" t="s">
        <v>722</v>
      </c>
      <c r="G1049" s="11" t="s">
        <v>797</v>
      </c>
      <c r="H1049" s="15" t="s">
        <v>5</v>
      </c>
      <c r="I1049" s="15">
        <v>20</v>
      </c>
      <c r="J1049" s="12" t="s">
        <v>17</v>
      </c>
      <c r="K1049" s="591">
        <f>(19*35)+(1*26.4)</f>
        <v>691.4</v>
      </c>
      <c r="L1049" s="7"/>
    </row>
    <row r="1050" spans="1:12">
      <c r="A1050" s="590" t="s">
        <v>1977</v>
      </c>
      <c r="B1050" s="11" t="s">
        <v>9</v>
      </c>
      <c r="C1050" s="11">
        <v>48</v>
      </c>
      <c r="D1050" s="11" t="s">
        <v>7</v>
      </c>
      <c r="E1050" s="15">
        <v>266</v>
      </c>
      <c r="F1050" s="11" t="s">
        <v>445</v>
      </c>
      <c r="G1050" s="11" t="s">
        <v>797</v>
      </c>
      <c r="H1050" s="15" t="s">
        <v>5</v>
      </c>
      <c r="I1050" s="15">
        <v>20</v>
      </c>
      <c r="J1050" s="12" t="s">
        <v>17</v>
      </c>
      <c r="K1050" s="591">
        <f>(19*35)+(1*26.4)</f>
        <v>691.4</v>
      </c>
      <c r="L1050" s="7"/>
    </row>
    <row r="1051" spans="1:12">
      <c r="A1051" s="590" t="s">
        <v>1977</v>
      </c>
      <c r="B1051" s="11" t="s">
        <v>9</v>
      </c>
      <c r="C1051" s="11">
        <v>48</v>
      </c>
      <c r="D1051" s="11" t="s">
        <v>7</v>
      </c>
      <c r="E1051" s="15">
        <v>294</v>
      </c>
      <c r="F1051" s="11" t="s">
        <v>20</v>
      </c>
      <c r="G1051" s="11" t="s">
        <v>1512</v>
      </c>
      <c r="H1051" s="15" t="s">
        <v>5</v>
      </c>
      <c r="I1051" s="15">
        <v>20</v>
      </c>
      <c r="J1051" s="12" t="s">
        <v>31</v>
      </c>
      <c r="K1051" s="591">
        <f>(19*38)+(1*29.4)</f>
        <v>751.4</v>
      </c>
      <c r="L1051" s="7"/>
    </row>
    <row r="1052" spans="1:12">
      <c r="A1052" s="590" t="s">
        <v>1977</v>
      </c>
      <c r="B1052" s="11" t="s">
        <v>9</v>
      </c>
      <c r="C1052" s="11">
        <v>48</v>
      </c>
      <c r="D1052" s="11" t="s">
        <v>7</v>
      </c>
      <c r="E1052" s="15">
        <v>298</v>
      </c>
      <c r="F1052" s="11" t="s">
        <v>138</v>
      </c>
      <c r="G1052" s="11" t="s">
        <v>1512</v>
      </c>
      <c r="H1052" s="15" t="s">
        <v>5</v>
      </c>
      <c r="I1052" s="15">
        <v>15</v>
      </c>
      <c r="J1052" s="12" t="s">
        <v>14</v>
      </c>
      <c r="K1052" s="591">
        <f>(14*38)+(1*29.4)</f>
        <v>561.4</v>
      </c>
      <c r="L1052" s="7"/>
    </row>
    <row r="1053" spans="1:12">
      <c r="A1053" s="590" t="s">
        <v>1977</v>
      </c>
      <c r="B1053" s="11" t="s">
        <v>9</v>
      </c>
      <c r="C1053" s="11">
        <v>48</v>
      </c>
      <c r="D1053" s="11" t="s">
        <v>7</v>
      </c>
      <c r="E1053" s="15">
        <v>793</v>
      </c>
      <c r="F1053" s="11" t="s">
        <v>1941</v>
      </c>
      <c r="G1053" s="11" t="s">
        <v>161</v>
      </c>
      <c r="H1053" s="15" t="s">
        <v>15</v>
      </c>
      <c r="I1053" s="15">
        <v>15</v>
      </c>
      <c r="J1053" s="12" t="s">
        <v>13</v>
      </c>
      <c r="K1053" s="591">
        <f>(14*35)+(1*26.4)</f>
        <v>516.4</v>
      </c>
      <c r="L1053" s="7"/>
    </row>
    <row r="1054" spans="1:12">
      <c r="A1054" s="590" t="s">
        <v>1977</v>
      </c>
      <c r="B1054" s="11" t="s">
        <v>9</v>
      </c>
      <c r="C1054" s="11">
        <v>48</v>
      </c>
      <c r="D1054" s="11" t="s">
        <v>384</v>
      </c>
      <c r="E1054" s="15">
        <v>22</v>
      </c>
      <c r="F1054" s="11" t="s">
        <v>399</v>
      </c>
      <c r="G1054" s="11" t="s">
        <v>648</v>
      </c>
      <c r="H1054" s="15" t="s">
        <v>15</v>
      </c>
      <c r="I1054" s="15">
        <v>15</v>
      </c>
      <c r="J1054" s="12" t="s">
        <v>14</v>
      </c>
      <c r="K1054" s="591">
        <f>(14*38)+(1*29.4)</f>
        <v>561.4</v>
      </c>
      <c r="L1054" s="7"/>
    </row>
    <row r="1055" spans="1:12">
      <c r="A1055" s="590" t="s">
        <v>1977</v>
      </c>
      <c r="B1055" s="11" t="s">
        <v>9</v>
      </c>
      <c r="C1055" s="11">
        <v>48</v>
      </c>
      <c r="D1055" s="11" t="s">
        <v>29</v>
      </c>
      <c r="E1055" s="15">
        <v>133</v>
      </c>
      <c r="F1055" s="11" t="s">
        <v>2026</v>
      </c>
      <c r="G1055" s="11" t="s">
        <v>99</v>
      </c>
      <c r="H1055" s="15" t="s">
        <v>15</v>
      </c>
      <c r="I1055" s="15">
        <v>25</v>
      </c>
      <c r="J1055" s="12" t="s">
        <v>175</v>
      </c>
      <c r="K1055" s="591">
        <f>(25*26)</f>
        <v>650</v>
      </c>
      <c r="L1055" s="7"/>
    </row>
    <row r="1056" spans="1:12">
      <c r="A1056" s="590" t="s">
        <v>1977</v>
      </c>
      <c r="B1056" s="11" t="s">
        <v>9</v>
      </c>
      <c r="C1056" s="11">
        <v>48</v>
      </c>
      <c r="D1056" s="11" t="s">
        <v>29</v>
      </c>
      <c r="E1056" s="15">
        <v>134</v>
      </c>
      <c r="F1056" s="11" t="s">
        <v>100</v>
      </c>
      <c r="G1056" s="11" t="s">
        <v>99</v>
      </c>
      <c r="H1056" s="15" t="s">
        <v>15</v>
      </c>
      <c r="I1056" s="15">
        <v>20</v>
      </c>
      <c r="J1056" s="12" t="s">
        <v>155</v>
      </c>
      <c r="K1056" s="591">
        <f>(20*26)</f>
        <v>520</v>
      </c>
      <c r="L1056" s="7"/>
    </row>
    <row r="1057" spans="1:12">
      <c r="A1057" s="590" t="s">
        <v>1977</v>
      </c>
      <c r="B1057" s="11" t="s">
        <v>9</v>
      </c>
      <c r="C1057" s="11">
        <v>48</v>
      </c>
      <c r="D1057" s="11" t="s">
        <v>29</v>
      </c>
      <c r="E1057" s="15">
        <v>135</v>
      </c>
      <c r="F1057" s="11" t="s">
        <v>1946</v>
      </c>
      <c r="G1057" s="11" t="s">
        <v>99</v>
      </c>
      <c r="H1057" s="15" t="s">
        <v>15</v>
      </c>
      <c r="I1057" s="15">
        <v>17</v>
      </c>
      <c r="J1057" s="12" t="s">
        <v>487</v>
      </c>
      <c r="K1057" s="591">
        <f>(17*26)</f>
        <v>442</v>
      </c>
      <c r="L1057" s="7"/>
    </row>
    <row r="1058" spans="1:12">
      <c r="A1058" s="590" t="s">
        <v>1977</v>
      </c>
      <c r="B1058" s="11" t="s">
        <v>9</v>
      </c>
      <c r="C1058" s="11">
        <v>48</v>
      </c>
      <c r="D1058" s="11" t="s">
        <v>10</v>
      </c>
      <c r="E1058" s="15">
        <v>1056</v>
      </c>
      <c r="F1058" s="11" t="s">
        <v>1567</v>
      </c>
      <c r="G1058" s="11" t="s">
        <v>187</v>
      </c>
      <c r="H1058" s="15" t="s">
        <v>5</v>
      </c>
      <c r="I1058" s="15">
        <v>20</v>
      </c>
      <c r="J1058" s="12" t="s">
        <v>17</v>
      </c>
      <c r="K1058" s="591">
        <f>(19*35)+(1*26.4)</f>
        <v>691.4</v>
      </c>
      <c r="L1058" s="7"/>
    </row>
    <row r="1059" spans="1:12">
      <c r="A1059" s="590" t="s">
        <v>1977</v>
      </c>
      <c r="B1059" s="11" t="s">
        <v>9</v>
      </c>
      <c r="C1059" s="11">
        <v>48</v>
      </c>
      <c r="D1059" s="11" t="s">
        <v>10</v>
      </c>
      <c r="E1059" s="15">
        <v>1060</v>
      </c>
      <c r="F1059" s="11" t="s">
        <v>783</v>
      </c>
      <c r="G1059" s="11" t="s">
        <v>187</v>
      </c>
      <c r="H1059" s="15" t="s">
        <v>15</v>
      </c>
      <c r="I1059" s="15">
        <v>20</v>
      </c>
      <c r="J1059" s="12" t="s">
        <v>17</v>
      </c>
      <c r="K1059" s="591">
        <f t="shared" ref="K1059:K1060" si="34">(19*35)+(1*26.4)</f>
        <v>691.4</v>
      </c>
      <c r="L1059" s="7"/>
    </row>
    <row r="1060" spans="1:12">
      <c r="A1060" s="590" t="s">
        <v>1977</v>
      </c>
      <c r="B1060" s="11" t="s">
        <v>9</v>
      </c>
      <c r="C1060" s="11">
        <v>48</v>
      </c>
      <c r="D1060" s="11" t="s">
        <v>10</v>
      </c>
      <c r="E1060" s="15">
        <v>1063</v>
      </c>
      <c r="F1060" s="11" t="s">
        <v>1800</v>
      </c>
      <c r="G1060" s="11" t="s">
        <v>187</v>
      </c>
      <c r="H1060" s="15" t="s">
        <v>15</v>
      </c>
      <c r="I1060" s="15">
        <v>20</v>
      </c>
      <c r="J1060" s="12" t="s">
        <v>17</v>
      </c>
      <c r="K1060" s="591">
        <f t="shared" si="34"/>
        <v>691.4</v>
      </c>
      <c r="L1060" s="7"/>
    </row>
    <row r="1061" spans="1:12" ht="6.75" customHeight="1" thickBot="1">
      <c r="A1061" s="592"/>
      <c r="B1061" s="593"/>
      <c r="C1061" s="593"/>
      <c r="D1061" s="593"/>
      <c r="E1061" s="594"/>
      <c r="F1061" s="593"/>
      <c r="G1061" s="593"/>
      <c r="H1061" s="594"/>
      <c r="I1061" s="594"/>
      <c r="J1061" s="595"/>
      <c r="K1061" s="596"/>
      <c r="L1061" s="7"/>
    </row>
    <row r="1062" spans="1:12" ht="15.75" thickBot="1">
      <c r="A1062" s="617"/>
      <c r="B1062" s="618"/>
      <c r="C1062" s="618"/>
      <c r="D1062" s="618"/>
      <c r="E1062" s="619"/>
      <c r="F1062" s="618"/>
      <c r="G1062" s="618" t="s">
        <v>231</v>
      </c>
      <c r="H1062" s="619"/>
      <c r="I1062" s="619">
        <f>SUM(I3:I1061)</f>
        <v>19601</v>
      </c>
      <c r="J1062" s="620"/>
      <c r="K1062" s="621">
        <f>SUM(K3:K1061)</f>
        <v>666070.90000000538</v>
      </c>
      <c r="L1062" s="7"/>
    </row>
    <row r="1063" spans="1:12">
      <c r="A1063" s="583"/>
      <c r="B1063" s="584"/>
      <c r="C1063" s="584"/>
      <c r="D1063" s="584"/>
      <c r="E1063" s="584"/>
      <c r="F1063" s="584"/>
      <c r="G1063" s="584"/>
      <c r="H1063" s="584"/>
      <c r="I1063" s="584"/>
      <c r="J1063" s="584"/>
      <c r="K1063" s="585"/>
    </row>
    <row r="1064" spans="1:12">
      <c r="A1064" s="583"/>
      <c r="B1064" s="584"/>
      <c r="C1064" s="584"/>
      <c r="D1064" s="584"/>
      <c r="E1064" s="584"/>
      <c r="F1064" s="584"/>
      <c r="G1064" s="584"/>
      <c r="H1064" s="584"/>
      <c r="I1064" s="584"/>
      <c r="J1064" s="584"/>
      <c r="K1064" s="585"/>
    </row>
    <row r="1065" spans="1:12">
      <c r="A1065" s="583"/>
      <c r="B1065" s="584"/>
      <c r="C1065" s="584"/>
      <c r="D1065" s="584"/>
      <c r="E1065" s="584"/>
      <c r="F1065" s="584"/>
      <c r="G1065" s="584"/>
      <c r="H1065" s="584"/>
      <c r="I1065" s="609"/>
      <c r="J1065" s="584"/>
      <c r="K1065" s="585">
        <f>'[1]VARGIN TEA AC-2020-21'!$G$3689</f>
        <v>666070.90000000538</v>
      </c>
    </row>
    <row r="1066" spans="1:12">
      <c r="A1066" s="583"/>
      <c r="B1066" s="584"/>
      <c r="C1066" s="584"/>
      <c r="D1066" s="584"/>
      <c r="E1066" s="584"/>
      <c r="F1066" s="584"/>
      <c r="G1066" s="584"/>
      <c r="H1066" s="584"/>
      <c r="I1066" s="584"/>
      <c r="J1066" s="584"/>
      <c r="K1066" s="585">
        <f>K1062-K1065</f>
        <v>0</v>
      </c>
    </row>
    <row r="1067" spans="1:12">
      <c r="A1067" s="583"/>
      <c r="B1067" s="584"/>
      <c r="C1067" s="584"/>
      <c r="D1067" s="584"/>
      <c r="E1067" s="584"/>
      <c r="F1067" s="584"/>
      <c r="G1067" s="584"/>
      <c r="H1067" s="584"/>
      <c r="I1067" s="584"/>
      <c r="J1067" s="584"/>
      <c r="K1067" s="585"/>
    </row>
    <row r="1068" spans="1:12">
      <c r="A1068" s="583"/>
      <c r="B1068" s="584"/>
      <c r="C1068" s="584"/>
      <c r="D1068" s="584"/>
      <c r="E1068" s="584"/>
      <c r="F1068" s="584"/>
      <c r="G1068" s="584"/>
      <c r="H1068" s="584"/>
      <c r="I1068" s="584"/>
      <c r="J1068" s="584"/>
      <c r="K1068" s="585"/>
    </row>
    <row r="1069" spans="1:12">
      <c r="A1069" s="583"/>
      <c r="B1069" s="584"/>
      <c r="C1069" s="584"/>
      <c r="D1069" s="584"/>
      <c r="E1069" s="584"/>
      <c r="F1069" s="584"/>
      <c r="G1069" s="584"/>
      <c r="H1069" s="584"/>
      <c r="I1069" s="584"/>
      <c r="J1069" s="584"/>
      <c r="K1069" s="585"/>
    </row>
    <row r="1070" spans="1:12">
      <c r="A1070" s="583"/>
      <c r="B1070" s="584"/>
      <c r="C1070" s="584"/>
      <c r="D1070" s="584"/>
      <c r="E1070" s="584"/>
      <c r="F1070" s="584"/>
      <c r="G1070" s="584"/>
      <c r="H1070" s="584"/>
      <c r="I1070" s="584"/>
      <c r="J1070" s="584"/>
      <c r="K1070" s="585"/>
    </row>
    <row r="1071" spans="1:12">
      <c r="A1071" s="583"/>
      <c r="B1071" s="584"/>
      <c r="C1071" s="584"/>
      <c r="D1071" s="584"/>
      <c r="E1071" s="584"/>
      <c r="F1071" s="584"/>
      <c r="G1071" s="584"/>
      <c r="H1071" s="584"/>
      <c r="I1071" s="584"/>
      <c r="J1071" s="584"/>
      <c r="K1071" s="585"/>
    </row>
    <row r="1072" spans="1:12">
      <c r="A1072" s="583"/>
      <c r="B1072" s="584"/>
      <c r="C1072" s="584"/>
      <c r="D1072" s="584"/>
      <c r="E1072" s="584"/>
      <c r="F1072" s="584"/>
      <c r="G1072" s="584"/>
      <c r="H1072" s="584"/>
      <c r="I1072" s="584"/>
      <c r="J1072" s="584"/>
      <c r="K1072" s="585"/>
    </row>
    <row r="1073" spans="1:11">
      <c r="A1073" s="583"/>
      <c r="B1073" s="584"/>
      <c r="C1073" s="584"/>
      <c r="D1073" s="584"/>
      <c r="E1073" s="584"/>
      <c r="F1073" s="584"/>
      <c r="G1073" s="584"/>
      <c r="H1073" s="584"/>
      <c r="I1073" s="584"/>
      <c r="J1073" s="584"/>
      <c r="K1073" s="585"/>
    </row>
    <row r="1074" spans="1:11">
      <c r="A1074" s="583"/>
      <c r="B1074" s="584"/>
      <c r="C1074" s="584"/>
      <c r="D1074" s="584"/>
      <c r="E1074" s="584"/>
      <c r="F1074" s="584"/>
      <c r="G1074" s="584"/>
      <c r="H1074" s="584"/>
      <c r="I1074" s="584"/>
      <c r="J1074" s="584"/>
      <c r="K1074" s="585"/>
    </row>
    <row r="1075" spans="1:11">
      <c r="A1075" s="583"/>
      <c r="B1075" s="584"/>
      <c r="C1075" s="584"/>
      <c r="D1075" s="584"/>
      <c r="E1075" s="584"/>
      <c r="F1075" s="584"/>
      <c r="G1075" s="584"/>
      <c r="H1075" s="584"/>
      <c r="I1075" s="584"/>
      <c r="J1075" s="584"/>
      <c r="K1075" s="585"/>
    </row>
    <row r="1076" spans="1:11">
      <c r="A1076" s="583"/>
      <c r="B1076" s="584"/>
      <c r="C1076" s="584"/>
      <c r="D1076" s="584"/>
      <c r="E1076" s="584"/>
      <c r="F1076" s="584"/>
      <c r="G1076" s="584"/>
      <c r="H1076" s="584"/>
      <c r="I1076" s="584"/>
      <c r="J1076" s="584"/>
      <c r="K1076" s="585"/>
    </row>
    <row r="1077" spans="1:11">
      <c r="A1077" s="583"/>
      <c r="B1077" s="584"/>
      <c r="C1077" s="584"/>
      <c r="D1077" s="584"/>
      <c r="E1077" s="584"/>
      <c r="F1077" s="584"/>
      <c r="G1077" s="584"/>
      <c r="H1077" s="584"/>
      <c r="I1077" s="584"/>
      <c r="J1077" s="584"/>
      <c r="K1077" s="585"/>
    </row>
    <row r="1078" spans="1:11">
      <c r="A1078" s="583"/>
      <c r="B1078" s="584"/>
      <c r="C1078" s="584"/>
      <c r="D1078" s="584"/>
      <c r="E1078" s="584"/>
      <c r="F1078" s="584"/>
      <c r="G1078" s="584"/>
      <c r="H1078" s="584"/>
      <c r="I1078" s="584"/>
      <c r="J1078" s="584"/>
      <c r="K1078" s="585"/>
    </row>
    <row r="1079" spans="1:11">
      <c r="A1079" s="583"/>
      <c r="B1079" s="584"/>
      <c r="C1079" s="584"/>
      <c r="D1079" s="584"/>
      <c r="E1079" s="584"/>
      <c r="F1079" s="584"/>
      <c r="G1079" s="584"/>
      <c r="H1079" s="584"/>
      <c r="I1079" s="584"/>
      <c r="J1079" s="584"/>
      <c r="K1079" s="585"/>
    </row>
    <row r="1080" spans="1:11">
      <c r="A1080" s="583"/>
      <c r="B1080" s="584"/>
      <c r="C1080" s="584"/>
      <c r="D1080" s="584"/>
      <c r="E1080" s="584"/>
      <c r="F1080" s="584"/>
      <c r="G1080" s="584"/>
      <c r="H1080" s="584"/>
      <c r="I1080" s="584"/>
      <c r="J1080" s="584"/>
      <c r="K1080" s="585"/>
    </row>
    <row r="1081" spans="1:11">
      <c r="A1081" s="583"/>
      <c r="B1081" s="584"/>
      <c r="C1081" s="584"/>
      <c r="D1081" s="584"/>
      <c r="E1081" s="584"/>
      <c r="F1081" s="584"/>
      <c r="G1081" s="584"/>
      <c r="H1081" s="584"/>
      <c r="I1081" s="584"/>
      <c r="J1081" s="584"/>
      <c r="K1081" s="585"/>
    </row>
    <row r="1082" spans="1:11">
      <c r="A1082" s="583"/>
      <c r="B1082" s="584"/>
      <c r="C1082" s="584"/>
      <c r="D1082" s="584"/>
      <c r="E1082" s="584"/>
      <c r="F1082" s="584"/>
      <c r="G1082" s="584"/>
      <c r="H1082" s="584"/>
      <c r="I1082" s="584"/>
      <c r="J1082" s="584"/>
      <c r="K1082" s="585"/>
    </row>
    <row r="1083" spans="1:11">
      <c r="A1083" s="583"/>
      <c r="B1083" s="584"/>
      <c r="C1083" s="584"/>
      <c r="D1083" s="584"/>
      <c r="E1083" s="584"/>
      <c r="F1083" s="584"/>
      <c r="G1083" s="584"/>
      <c r="H1083" s="584"/>
      <c r="I1083" s="584"/>
      <c r="J1083" s="584"/>
      <c r="K1083" s="585"/>
    </row>
    <row r="1084" spans="1:11">
      <c r="A1084" s="583"/>
      <c r="B1084" s="584"/>
      <c r="C1084" s="584"/>
      <c r="D1084" s="584"/>
      <c r="E1084" s="584"/>
      <c r="F1084" s="584"/>
      <c r="G1084" s="584"/>
      <c r="H1084" s="584"/>
      <c r="I1084" s="584"/>
      <c r="J1084" s="584"/>
      <c r="K1084" s="585"/>
    </row>
    <row r="1085" spans="1:11">
      <c r="A1085" s="583"/>
      <c r="B1085" s="584"/>
      <c r="C1085" s="584"/>
      <c r="D1085" s="584"/>
      <c r="E1085" s="584"/>
      <c r="F1085" s="584"/>
      <c r="G1085" s="584"/>
      <c r="H1085" s="584"/>
      <c r="I1085" s="584"/>
      <c r="J1085" s="584"/>
      <c r="K1085" s="585"/>
    </row>
    <row r="1086" spans="1:11">
      <c r="A1086" s="583"/>
      <c r="B1086" s="584"/>
      <c r="C1086" s="584"/>
      <c r="D1086" s="584"/>
      <c r="E1086" s="584"/>
      <c r="F1086" s="584"/>
      <c r="G1086" s="584"/>
      <c r="H1086" s="584"/>
      <c r="I1086" s="584"/>
      <c r="J1086" s="584"/>
      <c r="K1086" s="585"/>
    </row>
    <row r="1087" spans="1:11">
      <c r="A1087" s="583"/>
      <c r="B1087" s="584"/>
      <c r="C1087" s="584"/>
      <c r="D1087" s="584"/>
      <c r="E1087" s="584"/>
      <c r="F1087" s="584"/>
      <c r="G1087" s="584"/>
      <c r="H1087" s="584"/>
      <c r="I1087" s="584"/>
      <c r="J1087" s="584"/>
      <c r="K1087" s="585"/>
    </row>
    <row r="1088" spans="1:11">
      <c r="A1088" s="583"/>
      <c r="B1088" s="584"/>
      <c r="C1088" s="584"/>
      <c r="D1088" s="584"/>
      <c r="E1088" s="584"/>
      <c r="F1088" s="584"/>
      <c r="G1088" s="584"/>
      <c r="H1088" s="584"/>
      <c r="I1088" s="584"/>
      <c r="J1088" s="584"/>
      <c r="K1088" s="585"/>
    </row>
    <row r="1089" spans="1:11">
      <c r="A1089" s="583"/>
      <c r="B1089" s="584"/>
      <c r="C1089" s="584"/>
      <c r="D1089" s="584"/>
      <c r="E1089" s="584"/>
      <c r="F1089" s="584"/>
      <c r="G1089" s="584"/>
      <c r="H1089" s="584"/>
      <c r="I1089" s="584"/>
      <c r="J1089" s="584"/>
      <c r="K1089" s="585"/>
    </row>
    <row r="1090" spans="1:11">
      <c r="A1090" s="583"/>
      <c r="B1090" s="584"/>
      <c r="C1090" s="584"/>
      <c r="D1090" s="584"/>
      <c r="E1090" s="584"/>
      <c r="F1090" s="584"/>
      <c r="G1090" s="584"/>
      <c r="H1090" s="584"/>
      <c r="I1090" s="584"/>
      <c r="J1090" s="584"/>
      <c r="K1090" s="585"/>
    </row>
    <row r="1091" spans="1:11">
      <c r="A1091" s="583"/>
      <c r="B1091" s="584"/>
      <c r="C1091" s="584"/>
      <c r="D1091" s="584"/>
      <c r="E1091" s="584"/>
      <c r="F1091" s="584"/>
      <c r="G1091" s="584"/>
      <c r="H1091" s="584"/>
      <c r="I1091" s="584"/>
      <c r="J1091" s="584"/>
      <c r="K1091" s="585"/>
    </row>
    <row r="1092" spans="1:11">
      <c r="A1092" s="583"/>
      <c r="B1092" s="584"/>
      <c r="C1092" s="584"/>
      <c r="D1092" s="584"/>
      <c r="E1092" s="584"/>
      <c r="F1092" s="584"/>
      <c r="G1092" s="584"/>
      <c r="H1092" s="584"/>
      <c r="I1092" s="584"/>
      <c r="J1092" s="584"/>
      <c r="K1092" s="585"/>
    </row>
    <row r="1093" spans="1:11">
      <c r="A1093" s="583"/>
      <c r="B1093" s="584"/>
      <c r="C1093" s="584"/>
      <c r="D1093" s="584"/>
      <c r="E1093" s="584"/>
      <c r="F1093" s="584"/>
      <c r="G1093" s="584"/>
      <c r="H1093" s="584"/>
      <c r="I1093" s="584"/>
      <c r="J1093" s="584"/>
      <c r="K1093" s="585"/>
    </row>
    <row r="1094" spans="1:11">
      <c r="A1094" s="583"/>
      <c r="B1094" s="584"/>
      <c r="C1094" s="584"/>
      <c r="D1094" s="584"/>
      <c r="E1094" s="584"/>
      <c r="F1094" s="584"/>
      <c r="G1094" s="584"/>
      <c r="H1094" s="584"/>
      <c r="I1094" s="584"/>
      <c r="J1094" s="584"/>
      <c r="K1094" s="585"/>
    </row>
    <row r="1095" spans="1:11">
      <c r="A1095" s="583"/>
      <c r="B1095" s="584"/>
      <c r="C1095" s="584"/>
      <c r="D1095" s="584"/>
      <c r="E1095" s="584"/>
      <c r="F1095" s="584"/>
      <c r="G1095" s="584"/>
      <c r="H1095" s="584"/>
      <c r="I1095" s="584"/>
      <c r="J1095" s="584"/>
      <c r="K1095" s="585"/>
    </row>
    <row r="1096" spans="1:11">
      <c r="A1096" s="583"/>
      <c r="B1096" s="584"/>
      <c r="C1096" s="584"/>
      <c r="D1096" s="584"/>
      <c r="E1096" s="584"/>
      <c r="F1096" s="584"/>
      <c r="G1096" s="584"/>
      <c r="H1096" s="584"/>
      <c r="I1096" s="584"/>
      <c r="J1096" s="584"/>
      <c r="K1096" s="585"/>
    </row>
    <row r="1097" spans="1:11">
      <c r="A1097" s="583"/>
      <c r="B1097" s="584"/>
      <c r="C1097" s="584"/>
      <c r="D1097" s="584"/>
      <c r="E1097" s="584"/>
      <c r="F1097" s="584"/>
      <c r="G1097" s="584"/>
      <c r="H1097" s="584"/>
      <c r="I1097" s="584"/>
      <c r="J1097" s="584"/>
      <c r="K1097" s="585"/>
    </row>
    <row r="1098" spans="1:11">
      <c r="A1098" s="583"/>
      <c r="B1098" s="584"/>
      <c r="C1098" s="584"/>
      <c r="D1098" s="584"/>
      <c r="E1098" s="584"/>
      <c r="F1098" s="584"/>
      <c r="G1098" s="584"/>
      <c r="H1098" s="584"/>
      <c r="I1098" s="584"/>
      <c r="J1098" s="584"/>
      <c r="K1098" s="585"/>
    </row>
    <row r="1099" spans="1:11">
      <c r="A1099" s="583"/>
      <c r="B1099" s="584"/>
      <c r="C1099" s="584"/>
      <c r="D1099" s="584"/>
      <c r="E1099" s="584"/>
      <c r="F1099" s="584"/>
      <c r="G1099" s="584"/>
      <c r="H1099" s="584"/>
      <c r="I1099" s="584"/>
      <c r="J1099" s="584"/>
      <c r="K1099" s="585"/>
    </row>
    <row r="1100" spans="1:11">
      <c r="A1100" s="583"/>
      <c r="B1100" s="584"/>
      <c r="C1100" s="584"/>
      <c r="D1100" s="584"/>
      <c r="E1100" s="584"/>
      <c r="F1100" s="584"/>
      <c r="G1100" s="584"/>
      <c r="H1100" s="584"/>
      <c r="I1100" s="584"/>
      <c r="J1100" s="584"/>
      <c r="K1100" s="585"/>
    </row>
    <row r="1101" spans="1:11">
      <c r="A1101" s="583"/>
      <c r="B1101" s="584"/>
      <c r="C1101" s="584"/>
      <c r="D1101" s="584"/>
      <c r="E1101" s="584"/>
      <c r="F1101" s="584"/>
      <c r="G1101" s="584"/>
      <c r="H1101" s="584"/>
      <c r="I1101" s="584"/>
      <c r="J1101" s="584"/>
      <c r="K1101" s="585"/>
    </row>
    <row r="1102" spans="1:11">
      <c r="A1102" s="583"/>
      <c r="B1102" s="584"/>
      <c r="C1102" s="584"/>
      <c r="D1102" s="584"/>
      <c r="E1102" s="584"/>
      <c r="F1102" s="584"/>
      <c r="G1102" s="584"/>
      <c r="H1102" s="584"/>
      <c r="I1102" s="584"/>
      <c r="J1102" s="584"/>
      <c r="K1102" s="585"/>
    </row>
    <row r="1103" spans="1:11">
      <c r="A1103" s="583"/>
      <c r="B1103" s="584"/>
      <c r="C1103" s="584"/>
      <c r="D1103" s="584"/>
      <c r="E1103" s="584"/>
      <c r="F1103" s="584"/>
      <c r="G1103" s="584"/>
      <c r="H1103" s="584"/>
      <c r="I1103" s="584"/>
      <c r="J1103" s="584"/>
      <c r="K1103" s="585"/>
    </row>
    <row r="1104" spans="1:11">
      <c r="A1104" s="583"/>
      <c r="B1104" s="584"/>
      <c r="C1104" s="584"/>
      <c r="D1104" s="584"/>
      <c r="E1104" s="584"/>
      <c r="F1104" s="584"/>
      <c r="G1104" s="584"/>
      <c r="H1104" s="584"/>
      <c r="I1104" s="584"/>
      <c r="J1104" s="584"/>
      <c r="K1104" s="585"/>
    </row>
    <row r="1105" spans="1:11">
      <c r="A1105" s="583"/>
      <c r="B1105" s="584"/>
      <c r="C1105" s="584"/>
      <c r="D1105" s="584"/>
      <c r="E1105" s="584"/>
      <c r="F1105" s="584"/>
      <c r="G1105" s="584"/>
      <c r="H1105" s="584"/>
      <c r="I1105" s="584"/>
      <c r="J1105" s="584"/>
      <c r="K1105" s="585"/>
    </row>
    <row r="1106" spans="1:11">
      <c r="A1106" s="583"/>
      <c r="B1106" s="584"/>
      <c r="C1106" s="584"/>
      <c r="D1106" s="584"/>
      <c r="E1106" s="584"/>
      <c r="F1106" s="584"/>
      <c r="G1106" s="584"/>
      <c r="H1106" s="584"/>
      <c r="I1106" s="584"/>
      <c r="J1106" s="584"/>
      <c r="K1106" s="585"/>
    </row>
    <row r="1107" spans="1:11">
      <c r="A1107" s="583"/>
      <c r="B1107" s="584"/>
      <c r="C1107" s="584"/>
      <c r="D1107" s="584"/>
      <c r="E1107" s="584"/>
      <c r="F1107" s="584"/>
      <c r="G1107" s="584"/>
      <c r="H1107" s="584"/>
      <c r="I1107" s="584"/>
      <c r="J1107" s="584"/>
      <c r="K1107" s="585"/>
    </row>
    <row r="1108" spans="1:11">
      <c r="A1108" s="583"/>
      <c r="B1108" s="584"/>
      <c r="C1108" s="584"/>
      <c r="D1108" s="584"/>
      <c r="E1108" s="584"/>
      <c r="F1108" s="584"/>
      <c r="G1108" s="584"/>
      <c r="H1108" s="584"/>
      <c r="I1108" s="584"/>
      <c r="J1108" s="584"/>
      <c r="K1108" s="585"/>
    </row>
    <row r="1109" spans="1:11">
      <c r="A1109" s="583"/>
      <c r="B1109" s="584"/>
      <c r="C1109" s="584"/>
      <c r="D1109" s="584"/>
      <c r="E1109" s="584"/>
      <c r="F1109" s="584"/>
      <c r="G1109" s="584"/>
      <c r="H1109" s="584"/>
      <c r="I1109" s="584"/>
      <c r="J1109" s="584"/>
      <c r="K1109" s="585"/>
    </row>
    <row r="1110" spans="1:11">
      <c r="A1110" s="583"/>
      <c r="B1110" s="584"/>
      <c r="C1110" s="584"/>
      <c r="D1110" s="584"/>
      <c r="E1110" s="584"/>
      <c r="F1110" s="584"/>
      <c r="G1110" s="584"/>
      <c r="H1110" s="584"/>
      <c r="I1110" s="584"/>
      <c r="J1110" s="584"/>
      <c r="K1110" s="585"/>
    </row>
    <row r="1111" spans="1:11">
      <c r="A1111" s="583"/>
      <c r="B1111" s="584"/>
      <c r="C1111" s="584"/>
      <c r="D1111" s="584"/>
      <c r="E1111" s="584"/>
      <c r="F1111" s="584"/>
      <c r="G1111" s="584"/>
      <c r="H1111" s="584"/>
      <c r="I1111" s="584"/>
      <c r="J1111" s="584"/>
      <c r="K1111" s="585"/>
    </row>
    <row r="1112" spans="1:11">
      <c r="A1112" s="583"/>
      <c r="B1112" s="584"/>
      <c r="C1112" s="584"/>
      <c r="D1112" s="584"/>
      <c r="E1112" s="584"/>
      <c r="F1112" s="584"/>
      <c r="G1112" s="584"/>
      <c r="H1112" s="584"/>
      <c r="I1112" s="584"/>
      <c r="J1112" s="584"/>
      <c r="K1112" s="585"/>
    </row>
    <row r="1113" spans="1:11">
      <c r="A1113" s="583"/>
      <c r="B1113" s="584"/>
      <c r="C1113" s="584"/>
      <c r="D1113" s="584"/>
      <c r="E1113" s="584"/>
      <c r="F1113" s="584"/>
      <c r="G1113" s="584"/>
      <c r="H1113" s="584"/>
      <c r="I1113" s="584"/>
      <c r="J1113" s="584"/>
      <c r="K1113" s="585"/>
    </row>
    <row r="1114" spans="1:11">
      <c r="A1114" s="583"/>
      <c r="B1114" s="584"/>
      <c r="C1114" s="584"/>
      <c r="D1114" s="584"/>
      <c r="E1114" s="584"/>
      <c r="F1114" s="584"/>
      <c r="G1114" s="584"/>
      <c r="H1114" s="584"/>
      <c r="I1114" s="584"/>
      <c r="J1114" s="584"/>
      <c r="K1114" s="585"/>
    </row>
    <row r="1115" spans="1:11">
      <c r="A1115" s="583"/>
      <c r="B1115" s="584"/>
      <c r="C1115" s="584"/>
      <c r="D1115" s="584"/>
      <c r="E1115" s="584"/>
      <c r="F1115" s="584"/>
      <c r="G1115" s="584"/>
      <c r="H1115" s="584"/>
      <c r="I1115" s="584"/>
      <c r="J1115" s="584"/>
      <c r="K1115" s="585"/>
    </row>
    <row r="1116" spans="1:11">
      <c r="A1116" s="583"/>
      <c r="B1116" s="584"/>
      <c r="C1116" s="584"/>
      <c r="D1116" s="584"/>
      <c r="E1116" s="584"/>
      <c r="F1116" s="584"/>
      <c r="G1116" s="584"/>
      <c r="H1116" s="584"/>
      <c r="I1116" s="584"/>
      <c r="J1116" s="584"/>
      <c r="K1116" s="585"/>
    </row>
    <row r="1117" spans="1:11">
      <c r="A1117" s="583"/>
      <c r="B1117" s="584"/>
      <c r="C1117" s="584"/>
      <c r="D1117" s="584"/>
      <c r="E1117" s="584"/>
      <c r="F1117" s="584"/>
      <c r="G1117" s="584"/>
      <c r="H1117" s="584"/>
      <c r="I1117" s="584"/>
      <c r="J1117" s="584"/>
      <c r="K1117" s="585"/>
    </row>
    <row r="1118" spans="1:11">
      <c r="A1118" s="583"/>
      <c r="B1118" s="584"/>
      <c r="C1118" s="584"/>
      <c r="D1118" s="584"/>
      <c r="E1118" s="584"/>
      <c r="F1118" s="584"/>
      <c r="G1118" s="584"/>
      <c r="H1118" s="584"/>
      <c r="I1118" s="584"/>
      <c r="J1118" s="584"/>
      <c r="K1118" s="585"/>
    </row>
    <row r="1119" spans="1:11">
      <c r="A1119" s="583"/>
      <c r="B1119" s="584"/>
      <c r="C1119" s="584"/>
      <c r="D1119" s="584"/>
      <c r="E1119" s="584"/>
      <c r="F1119" s="584"/>
      <c r="G1119" s="584"/>
      <c r="H1119" s="584"/>
      <c r="I1119" s="584"/>
      <c r="J1119" s="584"/>
      <c r="K1119" s="585"/>
    </row>
    <row r="1120" spans="1:11">
      <c r="A1120" s="583"/>
      <c r="B1120" s="584"/>
      <c r="C1120" s="584"/>
      <c r="D1120" s="584"/>
      <c r="E1120" s="584"/>
      <c r="F1120" s="584"/>
      <c r="G1120" s="584"/>
      <c r="H1120" s="584"/>
      <c r="I1120" s="584"/>
      <c r="J1120" s="584"/>
      <c r="K1120" s="585"/>
    </row>
    <row r="1121" spans="1:11">
      <c r="A1121" s="583"/>
      <c r="B1121" s="584"/>
      <c r="C1121" s="584"/>
      <c r="D1121" s="584"/>
      <c r="E1121" s="584"/>
      <c r="F1121" s="584"/>
      <c r="G1121" s="584"/>
      <c r="H1121" s="584"/>
      <c r="I1121" s="584"/>
      <c r="J1121" s="584"/>
      <c r="K1121" s="585"/>
    </row>
    <row r="1122" spans="1:11">
      <c r="A1122" s="583"/>
      <c r="B1122" s="584"/>
      <c r="C1122" s="584"/>
      <c r="D1122" s="584"/>
      <c r="E1122" s="584"/>
      <c r="F1122" s="584"/>
      <c r="G1122" s="584"/>
      <c r="H1122" s="584"/>
      <c r="I1122" s="584"/>
      <c r="J1122" s="584"/>
      <c r="K1122" s="585"/>
    </row>
    <row r="1123" spans="1:11">
      <c r="A1123" s="583"/>
      <c r="B1123" s="584"/>
      <c r="C1123" s="584"/>
      <c r="D1123" s="584"/>
      <c r="E1123" s="584"/>
      <c r="F1123" s="584"/>
      <c r="G1123" s="584"/>
      <c r="H1123" s="584"/>
      <c r="I1123" s="584"/>
      <c r="J1123" s="584"/>
      <c r="K1123" s="585"/>
    </row>
    <row r="1124" spans="1:11">
      <c r="A1124" s="583"/>
      <c r="B1124" s="584"/>
      <c r="C1124" s="584"/>
      <c r="D1124" s="584"/>
      <c r="E1124" s="584"/>
      <c r="F1124" s="584"/>
      <c r="G1124" s="584"/>
      <c r="H1124" s="584"/>
      <c r="I1124" s="584"/>
      <c r="J1124" s="584"/>
      <c r="K1124" s="585"/>
    </row>
    <row r="1125" spans="1:11">
      <c r="A1125" s="583"/>
      <c r="B1125" s="584"/>
      <c r="C1125" s="584"/>
      <c r="D1125" s="584"/>
      <c r="E1125" s="584"/>
      <c r="F1125" s="584"/>
      <c r="G1125" s="584"/>
      <c r="H1125" s="584"/>
      <c r="I1125" s="584"/>
      <c r="J1125" s="584"/>
      <c r="K1125" s="585"/>
    </row>
    <row r="1126" spans="1:11">
      <c r="A1126" s="583"/>
      <c r="B1126" s="584"/>
      <c r="C1126" s="584"/>
      <c r="D1126" s="584"/>
      <c r="E1126" s="584"/>
      <c r="F1126" s="584"/>
      <c r="G1126" s="584"/>
      <c r="H1126" s="584"/>
      <c r="I1126" s="584"/>
      <c r="J1126" s="584"/>
      <c r="K1126" s="585"/>
    </row>
    <row r="1127" spans="1:11">
      <c r="A1127" s="583"/>
      <c r="B1127" s="584"/>
      <c r="C1127" s="584"/>
      <c r="D1127" s="584"/>
      <c r="E1127" s="584"/>
      <c r="F1127" s="584"/>
      <c r="G1127" s="584"/>
      <c r="H1127" s="584"/>
      <c r="I1127" s="584"/>
      <c r="J1127" s="584"/>
      <c r="K1127" s="585"/>
    </row>
    <row r="1128" spans="1:11">
      <c r="A1128" s="583"/>
      <c r="B1128" s="584"/>
      <c r="C1128" s="584"/>
      <c r="D1128" s="584"/>
      <c r="E1128" s="584"/>
      <c r="F1128" s="584"/>
      <c r="G1128" s="584"/>
      <c r="H1128" s="584"/>
      <c r="I1128" s="584"/>
      <c r="J1128" s="584"/>
      <c r="K1128" s="585"/>
    </row>
    <row r="1129" spans="1:11">
      <c r="A1129" s="583"/>
      <c r="B1129" s="584"/>
      <c r="C1129" s="584"/>
      <c r="D1129" s="584"/>
      <c r="E1129" s="584"/>
      <c r="F1129" s="584"/>
      <c r="G1129" s="584"/>
      <c r="H1129" s="584"/>
      <c r="I1129" s="584"/>
      <c r="J1129" s="584"/>
      <c r="K1129" s="585"/>
    </row>
    <row r="1130" spans="1:11">
      <c r="A1130" s="583"/>
      <c r="B1130" s="584"/>
      <c r="C1130" s="584"/>
      <c r="D1130" s="584"/>
      <c r="E1130" s="584"/>
      <c r="F1130" s="584"/>
      <c r="G1130" s="584"/>
      <c r="H1130" s="584"/>
      <c r="I1130" s="584"/>
      <c r="J1130" s="584"/>
      <c r="K1130" s="585"/>
    </row>
    <row r="1131" spans="1:11">
      <c r="A1131" s="583"/>
      <c r="B1131" s="584"/>
      <c r="C1131" s="584"/>
      <c r="D1131" s="584"/>
      <c r="E1131" s="584"/>
      <c r="F1131" s="584"/>
      <c r="G1131" s="584"/>
      <c r="H1131" s="584"/>
      <c r="I1131" s="584"/>
      <c r="J1131" s="584"/>
      <c r="K1131" s="585"/>
    </row>
    <row r="1132" spans="1:11">
      <c r="A1132" s="583"/>
      <c r="B1132" s="584"/>
      <c r="C1132" s="584"/>
      <c r="D1132" s="584"/>
      <c r="E1132" s="584"/>
      <c r="F1132" s="584"/>
      <c r="G1132" s="584"/>
      <c r="H1132" s="584"/>
      <c r="I1132" s="584"/>
      <c r="J1132" s="584"/>
      <c r="K1132" s="585"/>
    </row>
    <row r="1133" spans="1:11">
      <c r="A1133" s="583"/>
      <c r="B1133" s="584"/>
      <c r="C1133" s="584"/>
      <c r="D1133" s="584"/>
      <c r="E1133" s="584"/>
      <c r="F1133" s="584"/>
      <c r="G1133" s="584"/>
      <c r="H1133" s="584"/>
      <c r="I1133" s="584"/>
      <c r="J1133" s="584"/>
      <c r="K1133" s="585"/>
    </row>
    <row r="1134" spans="1:11">
      <c r="A1134" s="583"/>
      <c r="B1134" s="584"/>
      <c r="C1134" s="584"/>
      <c r="D1134" s="584"/>
      <c r="E1134" s="584"/>
      <c r="F1134" s="584"/>
      <c r="G1134" s="584"/>
      <c r="H1134" s="584"/>
      <c r="I1134" s="584"/>
      <c r="J1134" s="584"/>
      <c r="K1134" s="585"/>
    </row>
    <row r="1135" spans="1:11">
      <c r="A1135" s="583"/>
      <c r="B1135" s="584"/>
      <c r="C1135" s="584"/>
      <c r="D1135" s="584"/>
      <c r="E1135" s="584"/>
      <c r="F1135" s="584"/>
      <c r="G1135" s="584"/>
      <c r="H1135" s="584"/>
      <c r="I1135" s="584"/>
      <c r="J1135" s="584"/>
      <c r="K1135" s="585"/>
    </row>
    <row r="1136" spans="1:11">
      <c r="A1136" s="583"/>
      <c r="B1136" s="584"/>
      <c r="C1136" s="584"/>
      <c r="D1136" s="584"/>
      <c r="E1136" s="584"/>
      <c r="F1136" s="584"/>
      <c r="G1136" s="584"/>
      <c r="H1136" s="584"/>
      <c r="I1136" s="584"/>
      <c r="J1136" s="584"/>
      <c r="K1136" s="585"/>
    </row>
    <row r="1137" spans="1:11">
      <c r="A1137" s="583"/>
      <c r="B1137" s="584"/>
      <c r="C1137" s="584"/>
      <c r="D1137" s="584"/>
      <c r="E1137" s="584"/>
      <c r="F1137" s="584"/>
      <c r="G1137" s="584"/>
      <c r="H1137" s="584"/>
      <c r="I1137" s="584"/>
      <c r="J1137" s="584"/>
      <c r="K1137" s="585"/>
    </row>
    <row r="1138" spans="1:11">
      <c r="A1138" s="583"/>
      <c r="B1138" s="584"/>
      <c r="C1138" s="584"/>
      <c r="D1138" s="584"/>
      <c r="E1138" s="584"/>
      <c r="F1138" s="584"/>
      <c r="G1138" s="584"/>
      <c r="H1138" s="584"/>
      <c r="I1138" s="584"/>
      <c r="J1138" s="584"/>
      <c r="K1138" s="585"/>
    </row>
    <row r="1139" spans="1:11">
      <c r="A1139" s="583"/>
      <c r="B1139" s="584"/>
      <c r="C1139" s="584"/>
      <c r="D1139" s="584"/>
      <c r="E1139" s="584"/>
      <c r="F1139" s="584"/>
      <c r="G1139" s="584"/>
      <c r="H1139" s="584"/>
      <c r="I1139" s="584"/>
      <c r="J1139" s="584"/>
      <c r="K1139" s="585"/>
    </row>
    <row r="1140" spans="1:11">
      <c r="A1140" s="583"/>
      <c r="B1140" s="584"/>
      <c r="C1140" s="584"/>
      <c r="D1140" s="584"/>
      <c r="E1140" s="584"/>
      <c r="F1140" s="584"/>
      <c r="G1140" s="584"/>
      <c r="H1140" s="584"/>
      <c r="I1140" s="584"/>
      <c r="J1140" s="584"/>
      <c r="K1140" s="585"/>
    </row>
    <row r="1141" spans="1:11">
      <c r="A1141" s="583"/>
      <c r="B1141" s="584"/>
      <c r="C1141" s="584"/>
      <c r="D1141" s="584"/>
      <c r="E1141" s="584"/>
      <c r="F1141" s="584"/>
      <c r="G1141" s="584"/>
      <c r="H1141" s="584"/>
      <c r="I1141" s="584"/>
      <c r="J1141" s="584"/>
      <c r="K1141" s="585"/>
    </row>
    <row r="1142" spans="1:11">
      <c r="A1142" s="583"/>
      <c r="B1142" s="584"/>
      <c r="C1142" s="584"/>
      <c r="D1142" s="584"/>
      <c r="E1142" s="584"/>
      <c r="F1142" s="584"/>
      <c r="G1142" s="584"/>
      <c r="H1142" s="584"/>
      <c r="I1142" s="584"/>
      <c r="J1142" s="584"/>
      <c r="K1142" s="585"/>
    </row>
    <row r="1143" spans="1:11">
      <c r="A1143" s="583"/>
      <c r="B1143" s="584"/>
      <c r="C1143" s="584"/>
      <c r="D1143" s="584"/>
      <c r="E1143" s="584"/>
      <c r="F1143" s="584"/>
      <c r="G1143" s="584"/>
      <c r="H1143" s="584"/>
      <c r="I1143" s="584"/>
      <c r="J1143" s="584"/>
      <c r="K1143" s="585"/>
    </row>
    <row r="1144" spans="1:11">
      <c r="A1144" s="583"/>
      <c r="B1144" s="584"/>
      <c r="C1144" s="584"/>
      <c r="D1144" s="584"/>
      <c r="E1144" s="584"/>
      <c r="F1144" s="584"/>
      <c r="G1144" s="584"/>
      <c r="H1144" s="584"/>
      <c r="I1144" s="584"/>
      <c r="J1144" s="584"/>
      <c r="K1144" s="585"/>
    </row>
    <row r="1145" spans="1:11">
      <c r="A1145" s="583"/>
      <c r="B1145" s="584"/>
      <c r="C1145" s="584"/>
      <c r="D1145" s="584"/>
      <c r="E1145" s="584"/>
      <c r="F1145" s="584"/>
      <c r="G1145" s="584"/>
      <c r="H1145" s="584"/>
      <c r="I1145" s="584"/>
      <c r="J1145" s="584"/>
      <c r="K1145" s="585"/>
    </row>
    <row r="1146" spans="1:11">
      <c r="A1146" s="583"/>
      <c r="B1146" s="584"/>
      <c r="C1146" s="584"/>
      <c r="D1146" s="584"/>
      <c r="E1146" s="584"/>
      <c r="F1146" s="584"/>
      <c r="G1146" s="584"/>
      <c r="H1146" s="584"/>
      <c r="I1146" s="584"/>
      <c r="J1146" s="584"/>
      <c r="K1146" s="585"/>
    </row>
    <row r="1147" spans="1:11">
      <c r="A1147" s="583"/>
      <c r="B1147" s="584"/>
      <c r="C1147" s="584"/>
      <c r="D1147" s="584"/>
      <c r="E1147" s="584"/>
      <c r="F1147" s="584"/>
      <c r="G1147" s="584"/>
      <c r="H1147" s="584"/>
      <c r="I1147" s="584"/>
      <c r="J1147" s="584"/>
      <c r="K1147" s="585"/>
    </row>
    <row r="1148" spans="1:11">
      <c r="A1148" s="583"/>
      <c r="B1148" s="584"/>
      <c r="C1148" s="584"/>
      <c r="D1148" s="584"/>
      <c r="E1148" s="584"/>
      <c r="F1148" s="584"/>
      <c r="G1148" s="584"/>
      <c r="H1148" s="584"/>
      <c r="I1148" s="584"/>
      <c r="J1148" s="584"/>
      <c r="K1148" s="585"/>
    </row>
    <row r="1149" spans="1:11">
      <c r="A1149" s="583"/>
      <c r="B1149" s="584"/>
      <c r="C1149" s="584"/>
      <c r="D1149" s="584"/>
      <c r="E1149" s="584"/>
      <c r="F1149" s="584"/>
      <c r="G1149" s="584"/>
      <c r="H1149" s="584"/>
      <c r="I1149" s="584"/>
      <c r="J1149" s="584"/>
      <c r="K1149" s="585"/>
    </row>
    <row r="1150" spans="1:11">
      <c r="A1150" s="583"/>
      <c r="B1150" s="584"/>
      <c r="C1150" s="584"/>
      <c r="D1150" s="584"/>
      <c r="E1150" s="584"/>
      <c r="F1150" s="584"/>
      <c r="G1150" s="584"/>
      <c r="H1150" s="584"/>
      <c r="I1150" s="584"/>
      <c r="J1150" s="584"/>
      <c r="K1150" s="585"/>
    </row>
    <row r="1151" spans="1:11">
      <c r="A1151" s="583"/>
      <c r="B1151" s="584"/>
      <c r="C1151" s="584"/>
      <c r="D1151" s="584"/>
      <c r="E1151" s="584"/>
      <c r="F1151" s="584"/>
      <c r="G1151" s="584"/>
      <c r="H1151" s="584"/>
      <c r="I1151" s="584"/>
      <c r="J1151" s="584"/>
      <c r="K1151" s="585"/>
    </row>
    <row r="1152" spans="1:11">
      <c r="A1152" s="583"/>
      <c r="B1152" s="584"/>
      <c r="C1152" s="584"/>
      <c r="D1152" s="584"/>
      <c r="E1152" s="584"/>
      <c r="F1152" s="584"/>
      <c r="G1152" s="584"/>
      <c r="H1152" s="584"/>
      <c r="I1152" s="584"/>
      <c r="J1152" s="584"/>
      <c r="K1152" s="585"/>
    </row>
    <row r="1153" spans="1:11">
      <c r="A1153" s="583"/>
      <c r="B1153" s="584"/>
      <c r="C1153" s="584"/>
      <c r="D1153" s="584"/>
      <c r="E1153" s="584"/>
      <c r="F1153" s="584"/>
      <c r="G1153" s="584"/>
      <c r="H1153" s="584"/>
      <c r="I1153" s="584"/>
      <c r="J1153" s="584"/>
      <c r="K1153" s="585"/>
    </row>
    <row r="1154" spans="1:11">
      <c r="A1154" s="583"/>
      <c r="B1154" s="584"/>
      <c r="C1154" s="584"/>
      <c r="D1154" s="584"/>
      <c r="E1154" s="584"/>
      <c r="F1154" s="584"/>
      <c r="G1154" s="584"/>
      <c r="H1154" s="584"/>
      <c r="I1154" s="584"/>
      <c r="J1154" s="584"/>
      <c r="K1154" s="585"/>
    </row>
    <row r="1155" spans="1:11">
      <c r="A1155" s="583"/>
      <c r="B1155" s="584"/>
      <c r="C1155" s="584"/>
      <c r="D1155" s="584"/>
      <c r="E1155" s="584"/>
      <c r="F1155" s="584"/>
      <c r="G1155" s="584"/>
      <c r="H1155" s="584"/>
      <c r="I1155" s="584"/>
      <c r="J1155" s="584"/>
      <c r="K1155" s="585"/>
    </row>
    <row r="1156" spans="1:11">
      <c r="A1156" s="583"/>
      <c r="B1156" s="584"/>
      <c r="C1156" s="584"/>
      <c r="D1156" s="584"/>
      <c r="E1156" s="584"/>
      <c r="F1156" s="584"/>
      <c r="G1156" s="584"/>
      <c r="H1156" s="584"/>
      <c r="I1156" s="584"/>
      <c r="J1156" s="584"/>
      <c r="K1156" s="585"/>
    </row>
    <row r="1157" spans="1:11">
      <c r="A1157" s="583"/>
      <c r="B1157" s="584"/>
      <c r="C1157" s="584"/>
      <c r="D1157" s="584"/>
      <c r="E1157" s="584"/>
      <c r="F1157" s="584"/>
      <c r="G1157" s="584"/>
      <c r="H1157" s="584"/>
      <c r="I1157" s="584"/>
      <c r="J1157" s="584"/>
      <c r="K1157" s="585"/>
    </row>
    <row r="1158" spans="1:11">
      <c r="A1158" s="583"/>
      <c r="B1158" s="584"/>
      <c r="C1158" s="584"/>
      <c r="D1158" s="584"/>
      <c r="E1158" s="584"/>
      <c r="F1158" s="584"/>
      <c r="G1158" s="584"/>
      <c r="H1158" s="584"/>
      <c r="I1158" s="584"/>
      <c r="J1158" s="584"/>
      <c r="K1158" s="585"/>
    </row>
    <row r="1159" spans="1:11">
      <c r="A1159" s="583"/>
      <c r="B1159" s="584"/>
      <c r="C1159" s="584"/>
      <c r="D1159" s="584"/>
      <c r="E1159" s="584"/>
      <c r="F1159" s="584"/>
      <c r="G1159" s="584"/>
      <c r="H1159" s="584"/>
      <c r="I1159" s="584"/>
      <c r="J1159" s="584"/>
      <c r="K1159" s="585"/>
    </row>
    <row r="1160" spans="1:11">
      <c r="A1160" s="583"/>
      <c r="B1160" s="584"/>
      <c r="C1160" s="584"/>
      <c r="D1160" s="584"/>
      <c r="E1160" s="584"/>
      <c r="F1160" s="584"/>
      <c r="G1160" s="584"/>
      <c r="H1160" s="584"/>
      <c r="I1160" s="584"/>
      <c r="J1160" s="584"/>
      <c r="K1160" s="585"/>
    </row>
    <row r="1161" spans="1:11">
      <c r="A1161" s="583"/>
      <c r="B1161" s="584"/>
      <c r="C1161" s="584"/>
      <c r="D1161" s="584"/>
      <c r="E1161" s="584"/>
      <c r="F1161" s="584"/>
      <c r="G1161" s="584"/>
      <c r="H1161" s="584"/>
      <c r="I1161" s="584"/>
      <c r="J1161" s="584"/>
      <c r="K1161" s="585"/>
    </row>
    <row r="1162" spans="1:11">
      <c r="A1162" s="583"/>
      <c r="B1162" s="584"/>
      <c r="C1162" s="584"/>
      <c r="D1162" s="584"/>
      <c r="E1162" s="584"/>
      <c r="F1162" s="584"/>
      <c r="G1162" s="584"/>
      <c r="H1162" s="584"/>
      <c r="I1162" s="584"/>
      <c r="J1162" s="584"/>
      <c r="K1162" s="585"/>
    </row>
    <row r="1163" spans="1:11">
      <c r="A1163" s="583"/>
      <c r="B1163" s="584"/>
      <c r="C1163" s="584"/>
      <c r="D1163" s="584"/>
      <c r="E1163" s="584"/>
      <c r="F1163" s="584"/>
      <c r="G1163" s="584"/>
      <c r="H1163" s="584"/>
      <c r="I1163" s="584"/>
      <c r="J1163" s="584"/>
      <c r="K1163" s="585"/>
    </row>
    <row r="1164" spans="1:11">
      <c r="A1164" s="583"/>
      <c r="B1164" s="584"/>
      <c r="C1164" s="584"/>
      <c r="D1164" s="584"/>
      <c r="E1164" s="584"/>
      <c r="F1164" s="584"/>
      <c r="G1164" s="584"/>
      <c r="H1164" s="584"/>
      <c r="I1164" s="584"/>
      <c r="J1164" s="584"/>
      <c r="K1164" s="585"/>
    </row>
    <row r="1165" spans="1:11">
      <c r="A1165" s="583"/>
      <c r="B1165" s="584"/>
      <c r="C1165" s="584"/>
      <c r="D1165" s="584"/>
      <c r="E1165" s="584"/>
      <c r="F1165" s="584"/>
      <c r="G1165" s="584"/>
      <c r="H1165" s="584"/>
      <c r="I1165" s="584"/>
      <c r="J1165" s="584"/>
      <c r="K1165" s="585"/>
    </row>
    <row r="1166" spans="1:11">
      <c r="A1166" s="583"/>
      <c r="B1166" s="584"/>
      <c r="C1166" s="584"/>
      <c r="D1166" s="584"/>
      <c r="E1166" s="584"/>
      <c r="F1166" s="584"/>
      <c r="G1166" s="584"/>
      <c r="H1166" s="584"/>
      <c r="I1166" s="584"/>
      <c r="J1166" s="584"/>
      <c r="K1166" s="585"/>
    </row>
    <row r="1167" spans="1:11">
      <c r="A1167" s="583"/>
      <c r="B1167" s="584"/>
      <c r="C1167" s="584"/>
      <c r="D1167" s="584"/>
      <c r="E1167" s="584"/>
      <c r="F1167" s="584"/>
      <c r="G1167" s="584"/>
      <c r="H1167" s="584"/>
      <c r="I1167" s="584"/>
      <c r="J1167" s="584"/>
      <c r="K1167" s="585"/>
    </row>
    <row r="1168" spans="1:11">
      <c r="A1168" s="583"/>
      <c r="B1168" s="584"/>
      <c r="C1168" s="584"/>
      <c r="D1168" s="584"/>
      <c r="E1168" s="584"/>
      <c r="F1168" s="584"/>
      <c r="G1168" s="584"/>
      <c r="H1168" s="584"/>
      <c r="I1168" s="584"/>
      <c r="J1168" s="584"/>
      <c r="K1168" s="585"/>
    </row>
    <row r="1169" spans="1:11">
      <c r="A1169" s="583"/>
      <c r="B1169" s="584"/>
      <c r="C1169" s="584"/>
      <c r="D1169" s="584"/>
      <c r="E1169" s="584"/>
      <c r="F1169" s="584"/>
      <c r="G1169" s="584"/>
      <c r="H1169" s="584"/>
      <c r="I1169" s="584"/>
      <c r="J1169" s="584"/>
      <c r="K1169" s="585"/>
    </row>
    <row r="1170" spans="1:11">
      <c r="A1170" s="583"/>
      <c r="B1170" s="584"/>
      <c r="C1170" s="584"/>
      <c r="D1170" s="584"/>
      <c r="E1170" s="584"/>
      <c r="F1170" s="584"/>
      <c r="G1170" s="584"/>
      <c r="H1170" s="584"/>
      <c r="I1170" s="584"/>
      <c r="J1170" s="584"/>
      <c r="K1170" s="585"/>
    </row>
    <row r="1171" spans="1:11">
      <c r="A1171" s="583"/>
      <c r="B1171" s="584"/>
      <c r="C1171" s="584"/>
      <c r="D1171" s="584"/>
      <c r="E1171" s="584"/>
      <c r="F1171" s="584"/>
      <c r="G1171" s="584"/>
      <c r="H1171" s="584"/>
      <c r="I1171" s="584"/>
      <c r="J1171" s="584"/>
      <c r="K1171" s="585"/>
    </row>
    <row r="1172" spans="1:11">
      <c r="A1172" s="583"/>
      <c r="B1172" s="584"/>
      <c r="C1172" s="584"/>
      <c r="D1172" s="584"/>
      <c r="E1172" s="584"/>
      <c r="F1172" s="584"/>
      <c r="G1172" s="584"/>
      <c r="H1172" s="584"/>
      <c r="I1172" s="584"/>
      <c r="J1172" s="584"/>
      <c r="K1172" s="585"/>
    </row>
    <row r="1173" spans="1:11">
      <c r="A1173" s="583"/>
      <c r="B1173" s="584"/>
      <c r="C1173" s="584"/>
      <c r="D1173" s="584"/>
      <c r="E1173" s="584"/>
      <c r="F1173" s="584"/>
      <c r="G1173" s="584"/>
      <c r="H1173" s="584"/>
      <c r="I1173" s="584"/>
      <c r="J1173" s="584"/>
    </row>
  </sheetData>
  <mergeCells count="1">
    <mergeCell ref="A1:K1"/>
  </mergeCells>
  <pageMargins left="0.45" right="0.16" top="0.45" bottom="0.16" header="0.23" footer="0.16"/>
  <pageSetup orientation="landscape" verticalDpi="0" r:id="rId1"/>
  <headerFooter>
    <oddHeader>&amp;RPage &amp;P of 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O1066"/>
  <sheetViews>
    <sheetView zoomScaleNormal="100" workbookViewId="0">
      <pane ySplit="2" topLeftCell="A692" activePane="bottomLeft" state="frozen"/>
      <selection pane="bottomLeft" activeCell="L539" sqref="L539"/>
    </sheetView>
  </sheetViews>
  <sheetFormatPr defaultRowHeight="15"/>
  <cols>
    <col min="1" max="1" width="8.7109375" style="1" bestFit="1" customWidth="1"/>
    <col min="2" max="2" width="5.140625" style="1" customWidth="1"/>
    <col min="3" max="3" width="4.42578125" style="1" bestFit="1" customWidth="1"/>
    <col min="4" max="4" width="7" style="1" bestFit="1" customWidth="1"/>
    <col min="5" max="5" width="6.85546875" style="1" bestFit="1" customWidth="1"/>
    <col min="6" max="6" width="10" style="1" bestFit="1" customWidth="1"/>
    <col min="7" max="7" width="19.140625" style="1" bestFit="1" customWidth="1"/>
    <col min="8" max="8" width="11.28515625" style="1" bestFit="1" customWidth="1"/>
    <col min="9" max="9" width="6.5703125" style="1" bestFit="1" customWidth="1"/>
    <col min="10" max="10" width="18.42578125" style="2" customWidth="1"/>
    <col min="11" max="11" width="9.85546875" customWidth="1"/>
    <col min="12" max="12" width="5.42578125" style="123" customWidth="1"/>
    <col min="13" max="13" width="9.140625" style="628" customWidth="1"/>
    <col min="14" max="14" width="5.42578125" style="139" customWidth="1"/>
    <col min="15" max="15" width="6.7109375" style="632" customWidth="1"/>
    <col min="16" max="17" width="10" customWidth="1"/>
    <col min="18" max="18" width="9.5703125" customWidth="1"/>
  </cols>
  <sheetData>
    <row r="1" spans="1:15" ht="16.5" thickBot="1">
      <c r="A1" s="728" t="s">
        <v>2027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8" t="s">
        <v>585</v>
      </c>
      <c r="M1" s="730"/>
      <c r="N1" s="729"/>
      <c r="O1" s="731"/>
    </row>
    <row r="2" spans="1:15" s="70" customFormat="1" ht="27" customHeight="1" thickBot="1">
      <c r="A2" s="124" t="s">
        <v>45</v>
      </c>
      <c r="B2" s="125" t="s">
        <v>0</v>
      </c>
      <c r="C2" s="126" t="s">
        <v>46</v>
      </c>
      <c r="D2" s="125" t="s">
        <v>1</v>
      </c>
      <c r="E2" s="126" t="s">
        <v>47</v>
      </c>
      <c r="F2" s="127" t="s">
        <v>78</v>
      </c>
      <c r="G2" s="128" t="s">
        <v>79</v>
      </c>
      <c r="H2" s="128" t="s">
        <v>2</v>
      </c>
      <c r="I2" s="128" t="s">
        <v>3</v>
      </c>
      <c r="J2" s="128" t="s">
        <v>4</v>
      </c>
      <c r="K2" s="129" t="s">
        <v>44</v>
      </c>
      <c r="L2" s="118" t="s">
        <v>603</v>
      </c>
      <c r="M2" s="626" t="s">
        <v>602</v>
      </c>
      <c r="N2" s="137" t="s">
        <v>3</v>
      </c>
      <c r="O2" s="629" t="s">
        <v>197</v>
      </c>
    </row>
    <row r="3" spans="1:15">
      <c r="A3" s="611" t="s">
        <v>1014</v>
      </c>
      <c r="B3" s="612" t="s">
        <v>9</v>
      </c>
      <c r="C3" s="612">
        <v>40</v>
      </c>
      <c r="D3" s="612" t="s">
        <v>29</v>
      </c>
      <c r="E3" s="61">
        <v>339</v>
      </c>
      <c r="F3" s="612" t="s">
        <v>1653</v>
      </c>
      <c r="G3" s="612" t="s">
        <v>1456</v>
      </c>
      <c r="H3" s="61" t="s">
        <v>15</v>
      </c>
      <c r="I3" s="61">
        <v>30</v>
      </c>
      <c r="J3" s="613" t="s">
        <v>25</v>
      </c>
      <c r="K3" s="614">
        <f>(29*38)+(1*29.4)</f>
        <v>1131.4000000000001</v>
      </c>
      <c r="L3" s="622" t="s">
        <v>2033</v>
      </c>
      <c r="M3" s="134">
        <v>1</v>
      </c>
      <c r="N3" s="135">
        <v>30</v>
      </c>
      <c r="O3" s="119">
        <f t="shared" ref="O3:O66" si="0">I3-N3</f>
        <v>0</v>
      </c>
    </row>
    <row r="4" spans="1:15">
      <c r="A4" s="590" t="s">
        <v>1164</v>
      </c>
      <c r="B4" s="11" t="s">
        <v>9</v>
      </c>
      <c r="C4" s="11">
        <v>40</v>
      </c>
      <c r="D4" s="11" t="s">
        <v>10</v>
      </c>
      <c r="E4" s="15">
        <v>996</v>
      </c>
      <c r="F4" s="11" t="s">
        <v>1747</v>
      </c>
      <c r="G4" s="11" t="s">
        <v>1456</v>
      </c>
      <c r="H4" s="15" t="s">
        <v>5</v>
      </c>
      <c r="I4" s="15">
        <v>25</v>
      </c>
      <c r="J4" s="12" t="s">
        <v>608</v>
      </c>
      <c r="K4" s="591">
        <f>(24*38)+(1*29.4)</f>
        <v>941.4</v>
      </c>
      <c r="L4" s="121" t="s">
        <v>2091</v>
      </c>
      <c r="M4" s="132" t="s">
        <v>2092</v>
      </c>
      <c r="N4" s="133">
        <f>7+8+10</f>
        <v>25</v>
      </c>
      <c r="O4" s="119">
        <f t="shared" si="0"/>
        <v>0</v>
      </c>
    </row>
    <row r="5" spans="1:15">
      <c r="A5" s="590" t="s">
        <v>1164</v>
      </c>
      <c r="B5" s="11" t="s">
        <v>9</v>
      </c>
      <c r="C5" s="11">
        <v>40</v>
      </c>
      <c r="D5" s="11" t="s">
        <v>10</v>
      </c>
      <c r="E5" s="15">
        <v>998</v>
      </c>
      <c r="F5" s="11" t="s">
        <v>1748</v>
      </c>
      <c r="G5" s="11" t="s">
        <v>1456</v>
      </c>
      <c r="H5" s="15" t="s">
        <v>143</v>
      </c>
      <c r="I5" s="15">
        <v>22</v>
      </c>
      <c r="J5" s="12" t="s">
        <v>1749</v>
      </c>
      <c r="K5" s="591">
        <f>(21*38)+(1*29.4)</f>
        <v>827.4</v>
      </c>
      <c r="L5" s="121" t="s">
        <v>2082</v>
      </c>
      <c r="M5" s="132">
        <v>1</v>
      </c>
      <c r="N5" s="133">
        <f>14+8</f>
        <v>22</v>
      </c>
      <c r="O5" s="119">
        <f t="shared" si="0"/>
        <v>0</v>
      </c>
    </row>
    <row r="6" spans="1:15">
      <c r="A6" s="590" t="s">
        <v>1164</v>
      </c>
      <c r="B6" s="11" t="s">
        <v>9</v>
      </c>
      <c r="C6" s="11">
        <v>40</v>
      </c>
      <c r="D6" s="11" t="s">
        <v>10</v>
      </c>
      <c r="E6" s="15">
        <v>999</v>
      </c>
      <c r="F6" s="11" t="s">
        <v>1750</v>
      </c>
      <c r="G6" s="11" t="s">
        <v>1456</v>
      </c>
      <c r="H6" s="15" t="s">
        <v>15</v>
      </c>
      <c r="I6" s="15">
        <v>25</v>
      </c>
      <c r="J6" s="12" t="s">
        <v>608</v>
      </c>
      <c r="K6" s="591">
        <f>(24*38)+(1*29.4)</f>
        <v>941.4</v>
      </c>
      <c r="L6" s="121" t="s">
        <v>2086</v>
      </c>
      <c r="M6" s="132" t="s">
        <v>2088</v>
      </c>
      <c r="N6" s="133">
        <f>7+8+10</f>
        <v>25</v>
      </c>
      <c r="O6" s="119">
        <f t="shared" si="0"/>
        <v>0</v>
      </c>
    </row>
    <row r="7" spans="1:15">
      <c r="A7" s="590" t="s">
        <v>1164</v>
      </c>
      <c r="B7" s="11" t="s">
        <v>9</v>
      </c>
      <c r="C7" s="11">
        <v>40</v>
      </c>
      <c r="D7" s="11" t="s">
        <v>10</v>
      </c>
      <c r="E7" s="15">
        <v>1001</v>
      </c>
      <c r="F7" s="11" t="s">
        <v>1751</v>
      </c>
      <c r="G7" s="11" t="s">
        <v>1456</v>
      </c>
      <c r="H7" s="15" t="s">
        <v>15</v>
      </c>
      <c r="I7" s="15">
        <v>15</v>
      </c>
      <c r="J7" s="12" t="s">
        <v>744</v>
      </c>
      <c r="K7" s="591">
        <f>(15*29)</f>
        <v>435</v>
      </c>
      <c r="L7" s="121" t="s">
        <v>2082</v>
      </c>
      <c r="M7" s="132">
        <v>4</v>
      </c>
      <c r="N7" s="133">
        <f>8+7</f>
        <v>15</v>
      </c>
      <c r="O7" s="119">
        <f t="shared" si="0"/>
        <v>0</v>
      </c>
    </row>
    <row r="8" spans="1:15">
      <c r="A8" s="77" t="s">
        <v>969</v>
      </c>
      <c r="B8" s="15" t="s">
        <v>150</v>
      </c>
      <c r="C8" s="15">
        <v>36</v>
      </c>
      <c r="D8" s="15" t="s">
        <v>7</v>
      </c>
      <c r="E8" s="15">
        <v>5071</v>
      </c>
      <c r="F8" s="15" t="s">
        <v>1483</v>
      </c>
      <c r="G8" s="15" t="s">
        <v>1484</v>
      </c>
      <c r="H8" s="15" t="s">
        <v>8</v>
      </c>
      <c r="I8" s="15">
        <v>17</v>
      </c>
      <c r="J8" s="18" t="s">
        <v>1485</v>
      </c>
      <c r="K8" s="589">
        <f>(17*21)</f>
        <v>357</v>
      </c>
      <c r="L8" s="121" t="s">
        <v>2055</v>
      </c>
      <c r="M8" s="132">
        <v>5</v>
      </c>
      <c r="N8" s="133">
        <v>17</v>
      </c>
      <c r="O8" s="119">
        <f t="shared" si="0"/>
        <v>0</v>
      </c>
    </row>
    <row r="9" spans="1:15">
      <c r="A9" s="590" t="s">
        <v>969</v>
      </c>
      <c r="B9" s="11" t="s">
        <v>150</v>
      </c>
      <c r="C9" s="11">
        <v>36</v>
      </c>
      <c r="D9" s="11" t="s">
        <v>7</v>
      </c>
      <c r="E9" s="11">
        <v>5073</v>
      </c>
      <c r="F9" s="11" t="s">
        <v>1486</v>
      </c>
      <c r="G9" s="11" t="s">
        <v>1484</v>
      </c>
      <c r="H9" s="11" t="s">
        <v>1340</v>
      </c>
      <c r="I9" s="11">
        <v>10</v>
      </c>
      <c r="J9" s="12" t="s">
        <v>1487</v>
      </c>
      <c r="K9" s="591">
        <f>(9*23)+(1*18.8)</f>
        <v>225.8</v>
      </c>
      <c r="L9" s="120" t="s">
        <v>2055</v>
      </c>
      <c r="M9" s="132">
        <v>6</v>
      </c>
      <c r="N9" s="133">
        <v>10</v>
      </c>
      <c r="O9" s="119">
        <f t="shared" si="0"/>
        <v>0</v>
      </c>
    </row>
    <row r="10" spans="1:15">
      <c r="A10" s="590" t="s">
        <v>1144</v>
      </c>
      <c r="B10" s="11" t="s">
        <v>150</v>
      </c>
      <c r="C10" s="11">
        <v>41</v>
      </c>
      <c r="D10" s="11" t="s">
        <v>7</v>
      </c>
      <c r="E10" s="15">
        <v>5073</v>
      </c>
      <c r="F10" s="11" t="s">
        <v>1585</v>
      </c>
      <c r="G10" s="11" t="s">
        <v>1484</v>
      </c>
      <c r="H10" s="15" t="s">
        <v>1499</v>
      </c>
      <c r="I10" s="15">
        <v>10</v>
      </c>
      <c r="J10" s="12" t="s">
        <v>1586</v>
      </c>
      <c r="K10" s="591">
        <f>(9*20)+(1*16)</f>
        <v>196</v>
      </c>
      <c r="L10" s="121" t="s">
        <v>2055</v>
      </c>
      <c r="M10" s="132">
        <v>1</v>
      </c>
      <c r="N10" s="133">
        <v>10</v>
      </c>
      <c r="O10" s="119">
        <f t="shared" si="0"/>
        <v>0</v>
      </c>
    </row>
    <row r="11" spans="1:15">
      <c r="A11" s="590" t="s">
        <v>1148</v>
      </c>
      <c r="B11" s="11" t="s">
        <v>9</v>
      </c>
      <c r="C11" s="11">
        <v>39</v>
      </c>
      <c r="D11" s="11" t="s">
        <v>16</v>
      </c>
      <c r="E11" s="15">
        <v>131</v>
      </c>
      <c r="F11" s="11" t="s">
        <v>1594</v>
      </c>
      <c r="G11" s="11" t="s">
        <v>1430</v>
      </c>
      <c r="H11" s="15" t="s">
        <v>15</v>
      </c>
      <c r="I11" s="15">
        <v>20</v>
      </c>
      <c r="J11" s="12" t="s">
        <v>157</v>
      </c>
      <c r="K11" s="591">
        <f>(20*38)</f>
        <v>760</v>
      </c>
      <c r="L11" s="120" t="s">
        <v>2055</v>
      </c>
      <c r="M11" s="132">
        <v>4</v>
      </c>
      <c r="N11" s="133">
        <f>10+10</f>
        <v>20</v>
      </c>
      <c r="O11" s="119">
        <f t="shared" si="0"/>
        <v>0</v>
      </c>
    </row>
    <row r="12" spans="1:15">
      <c r="A12" s="590" t="s">
        <v>1172</v>
      </c>
      <c r="B12" s="11" t="s">
        <v>9</v>
      </c>
      <c r="C12" s="11">
        <v>46</v>
      </c>
      <c r="D12" s="11" t="s">
        <v>16</v>
      </c>
      <c r="E12" s="15">
        <v>157</v>
      </c>
      <c r="F12" s="11" t="s">
        <v>121</v>
      </c>
      <c r="G12" s="11" t="s">
        <v>1430</v>
      </c>
      <c r="H12" s="15" t="s">
        <v>15</v>
      </c>
      <c r="I12" s="15">
        <v>10</v>
      </c>
      <c r="J12" s="12" t="s">
        <v>27</v>
      </c>
      <c r="K12" s="591">
        <f>(9*38)+(1*29.4)</f>
        <v>371.4</v>
      </c>
      <c r="L12" s="121" t="s">
        <v>2029</v>
      </c>
      <c r="M12" s="132">
        <v>4</v>
      </c>
      <c r="N12" s="133">
        <v>10</v>
      </c>
      <c r="O12" s="119">
        <f t="shared" si="0"/>
        <v>0</v>
      </c>
    </row>
    <row r="13" spans="1:15">
      <c r="A13" s="590" t="s">
        <v>1172</v>
      </c>
      <c r="B13" s="11" t="s">
        <v>9</v>
      </c>
      <c r="C13" s="11">
        <v>46</v>
      </c>
      <c r="D13" s="11" t="s">
        <v>16</v>
      </c>
      <c r="E13" s="15">
        <v>158</v>
      </c>
      <c r="F13" s="11" t="s">
        <v>1397</v>
      </c>
      <c r="G13" s="11" t="s">
        <v>1430</v>
      </c>
      <c r="H13" s="15" t="s">
        <v>15</v>
      </c>
      <c r="I13" s="15">
        <v>25</v>
      </c>
      <c r="J13" s="12" t="s">
        <v>170</v>
      </c>
      <c r="K13" s="591">
        <f>(25*38)</f>
        <v>950</v>
      </c>
      <c r="L13" s="121" t="s">
        <v>2029</v>
      </c>
      <c r="M13" s="132">
        <v>4</v>
      </c>
      <c r="N13" s="138">
        <f>5+20</f>
        <v>25</v>
      </c>
      <c r="O13" s="119">
        <f t="shared" si="0"/>
        <v>0</v>
      </c>
    </row>
    <row r="14" spans="1:15">
      <c r="A14" s="590" t="s">
        <v>1172</v>
      </c>
      <c r="B14" s="11" t="s">
        <v>9</v>
      </c>
      <c r="C14" s="11">
        <v>46</v>
      </c>
      <c r="D14" s="11" t="s">
        <v>16</v>
      </c>
      <c r="E14" s="15">
        <v>159</v>
      </c>
      <c r="F14" s="11" t="s">
        <v>509</v>
      </c>
      <c r="G14" s="11" t="s">
        <v>1430</v>
      </c>
      <c r="H14" s="15" t="s">
        <v>15</v>
      </c>
      <c r="I14" s="15">
        <v>15</v>
      </c>
      <c r="J14" s="12" t="s">
        <v>14</v>
      </c>
      <c r="K14" s="591">
        <f>(14*38)+(1*29.4)</f>
        <v>561.4</v>
      </c>
      <c r="L14" s="121" t="s">
        <v>2029</v>
      </c>
      <c r="M14" s="132">
        <v>4</v>
      </c>
      <c r="N14" s="133">
        <v>15</v>
      </c>
      <c r="O14" s="119">
        <f t="shared" si="0"/>
        <v>0</v>
      </c>
    </row>
    <row r="15" spans="1:15">
      <c r="A15" s="590" t="s">
        <v>1172</v>
      </c>
      <c r="B15" s="11" t="s">
        <v>9</v>
      </c>
      <c r="C15" s="11">
        <v>46</v>
      </c>
      <c r="D15" s="11" t="s">
        <v>16</v>
      </c>
      <c r="E15" s="15">
        <v>160</v>
      </c>
      <c r="F15" s="11" t="s">
        <v>474</v>
      </c>
      <c r="G15" s="11" t="s">
        <v>1430</v>
      </c>
      <c r="H15" s="15" t="s">
        <v>15</v>
      </c>
      <c r="I15" s="15">
        <v>15</v>
      </c>
      <c r="J15" s="12" t="s">
        <v>97</v>
      </c>
      <c r="K15" s="591">
        <f>(15*38)</f>
        <v>570</v>
      </c>
      <c r="L15" s="121" t="s">
        <v>2029</v>
      </c>
      <c r="M15" s="132">
        <v>4</v>
      </c>
      <c r="N15" s="133">
        <v>15</v>
      </c>
      <c r="O15" s="119">
        <f t="shared" si="0"/>
        <v>0</v>
      </c>
    </row>
    <row r="16" spans="1:15">
      <c r="A16" s="590" t="s">
        <v>1172</v>
      </c>
      <c r="B16" s="11" t="s">
        <v>9</v>
      </c>
      <c r="C16" s="11">
        <v>46</v>
      </c>
      <c r="D16" s="11" t="s">
        <v>16</v>
      </c>
      <c r="E16" s="15">
        <v>161</v>
      </c>
      <c r="F16" s="11" t="s">
        <v>1446</v>
      </c>
      <c r="G16" s="11" t="s">
        <v>1430</v>
      </c>
      <c r="H16" s="15" t="s">
        <v>15</v>
      </c>
      <c r="I16" s="15">
        <v>10</v>
      </c>
      <c r="J16" s="12" t="s">
        <v>27</v>
      </c>
      <c r="K16" s="591">
        <f>(9*38)+(1*29.4)</f>
        <v>371.4</v>
      </c>
      <c r="L16" s="121" t="s">
        <v>2029</v>
      </c>
      <c r="M16" s="132">
        <v>1</v>
      </c>
      <c r="N16" s="130">
        <v>10</v>
      </c>
      <c r="O16" s="119">
        <f t="shared" si="0"/>
        <v>0</v>
      </c>
    </row>
    <row r="17" spans="1:15">
      <c r="A17" s="590" t="s">
        <v>1194</v>
      </c>
      <c r="B17" s="11" t="s">
        <v>9</v>
      </c>
      <c r="C17" s="11">
        <v>47</v>
      </c>
      <c r="D17" s="11" t="s">
        <v>16</v>
      </c>
      <c r="E17" s="15">
        <v>198</v>
      </c>
      <c r="F17" s="11" t="s">
        <v>1527</v>
      </c>
      <c r="G17" s="11" t="s">
        <v>1430</v>
      </c>
      <c r="H17" s="15" t="s">
        <v>15</v>
      </c>
      <c r="I17" s="15">
        <v>17</v>
      </c>
      <c r="J17" s="12" t="s">
        <v>1455</v>
      </c>
      <c r="K17" s="591">
        <f>(17*38)</f>
        <v>646</v>
      </c>
      <c r="L17" s="121" t="s">
        <v>2055</v>
      </c>
      <c r="M17" s="136">
        <v>8</v>
      </c>
      <c r="N17" s="133">
        <v>17</v>
      </c>
      <c r="O17" s="119">
        <f t="shared" si="0"/>
        <v>0</v>
      </c>
    </row>
    <row r="18" spans="1:15">
      <c r="A18" s="590" t="s">
        <v>1194</v>
      </c>
      <c r="B18" s="11" t="s">
        <v>9</v>
      </c>
      <c r="C18" s="11">
        <v>47</v>
      </c>
      <c r="D18" s="11" t="s">
        <v>16</v>
      </c>
      <c r="E18" s="15">
        <v>204</v>
      </c>
      <c r="F18" s="11" t="s">
        <v>75</v>
      </c>
      <c r="G18" s="11" t="s">
        <v>1430</v>
      </c>
      <c r="H18" s="15" t="s">
        <v>15</v>
      </c>
      <c r="I18" s="15">
        <v>29</v>
      </c>
      <c r="J18" s="12" t="s">
        <v>1933</v>
      </c>
      <c r="K18" s="591">
        <f>(28*38)+(1*29.4)</f>
        <v>1093.4000000000001</v>
      </c>
      <c r="L18" s="121" t="s">
        <v>2082</v>
      </c>
      <c r="M18" s="136">
        <v>13</v>
      </c>
      <c r="N18" s="133">
        <f>19+10</f>
        <v>29</v>
      </c>
      <c r="O18" s="119">
        <f t="shared" si="0"/>
        <v>0</v>
      </c>
    </row>
    <row r="19" spans="1:15">
      <c r="A19" s="590" t="s">
        <v>1194</v>
      </c>
      <c r="B19" s="11" t="s">
        <v>9</v>
      </c>
      <c r="C19" s="11">
        <v>47</v>
      </c>
      <c r="D19" s="11" t="s">
        <v>16</v>
      </c>
      <c r="E19" s="15">
        <v>205</v>
      </c>
      <c r="F19" s="11" t="s">
        <v>688</v>
      </c>
      <c r="G19" s="11" t="s">
        <v>1430</v>
      </c>
      <c r="H19" s="15" t="s">
        <v>15</v>
      </c>
      <c r="I19" s="15">
        <v>35</v>
      </c>
      <c r="J19" s="12" t="s">
        <v>1934</v>
      </c>
      <c r="K19" s="591">
        <f>(35*38)</f>
        <v>1330</v>
      </c>
      <c r="L19" s="121" t="s">
        <v>2055</v>
      </c>
      <c r="M19" s="136">
        <v>1</v>
      </c>
      <c r="N19" s="133">
        <f>12+23</f>
        <v>35</v>
      </c>
      <c r="O19" s="119">
        <f t="shared" si="0"/>
        <v>0</v>
      </c>
    </row>
    <row r="20" spans="1:15">
      <c r="A20" s="590" t="s">
        <v>1194</v>
      </c>
      <c r="B20" s="11" t="s">
        <v>9</v>
      </c>
      <c r="C20" s="11">
        <v>47</v>
      </c>
      <c r="D20" s="11" t="s">
        <v>16</v>
      </c>
      <c r="E20" s="15">
        <v>206</v>
      </c>
      <c r="F20" s="11" t="s">
        <v>1426</v>
      </c>
      <c r="G20" s="11" t="s">
        <v>1430</v>
      </c>
      <c r="H20" s="15" t="s">
        <v>15</v>
      </c>
      <c r="I20" s="15">
        <v>15</v>
      </c>
      <c r="J20" s="12" t="s">
        <v>97</v>
      </c>
      <c r="K20" s="591">
        <f>(15*38)</f>
        <v>570</v>
      </c>
      <c r="L20" s="121" t="s">
        <v>2082</v>
      </c>
      <c r="M20" s="136">
        <v>12</v>
      </c>
      <c r="N20" s="133">
        <f>5+10</f>
        <v>15</v>
      </c>
      <c r="O20" s="119">
        <f t="shared" si="0"/>
        <v>0</v>
      </c>
    </row>
    <row r="21" spans="1:15">
      <c r="A21" s="590" t="s">
        <v>1194</v>
      </c>
      <c r="B21" s="11" t="s">
        <v>9</v>
      </c>
      <c r="C21" s="11">
        <v>47</v>
      </c>
      <c r="D21" s="11" t="s">
        <v>16</v>
      </c>
      <c r="E21" s="15">
        <v>207</v>
      </c>
      <c r="F21" s="11" t="s">
        <v>1470</v>
      </c>
      <c r="G21" s="11" t="s">
        <v>1430</v>
      </c>
      <c r="H21" s="15" t="s">
        <v>15</v>
      </c>
      <c r="I21" s="15">
        <v>15</v>
      </c>
      <c r="J21" s="12" t="s">
        <v>14</v>
      </c>
      <c r="K21" s="591">
        <f>(14*38)+(1*29.4)</f>
        <v>561.4</v>
      </c>
      <c r="L21" s="121" t="s">
        <v>2055</v>
      </c>
      <c r="M21" s="136">
        <v>4</v>
      </c>
      <c r="N21" s="133">
        <v>15</v>
      </c>
      <c r="O21" s="119">
        <f t="shared" si="0"/>
        <v>0</v>
      </c>
    </row>
    <row r="22" spans="1:15">
      <c r="A22" s="590" t="s">
        <v>1194</v>
      </c>
      <c r="B22" s="11" t="s">
        <v>9</v>
      </c>
      <c r="C22" s="11">
        <v>47</v>
      </c>
      <c r="D22" s="11" t="s">
        <v>16</v>
      </c>
      <c r="E22" s="15">
        <v>208</v>
      </c>
      <c r="F22" s="11" t="s">
        <v>1523</v>
      </c>
      <c r="G22" s="11" t="s">
        <v>1430</v>
      </c>
      <c r="H22" s="15" t="s">
        <v>15</v>
      </c>
      <c r="I22" s="15">
        <v>35</v>
      </c>
      <c r="J22" s="12" t="s">
        <v>1934</v>
      </c>
      <c r="K22" s="591">
        <f>(35*38)</f>
        <v>1330</v>
      </c>
      <c r="L22" s="121" t="s">
        <v>2082</v>
      </c>
      <c r="M22" s="136">
        <v>10</v>
      </c>
      <c r="N22" s="133">
        <f>19+10+6</f>
        <v>35</v>
      </c>
      <c r="O22" s="119">
        <f t="shared" si="0"/>
        <v>0</v>
      </c>
    </row>
    <row r="23" spans="1:15">
      <c r="A23" s="590" t="s">
        <v>1973</v>
      </c>
      <c r="B23" s="11" t="s">
        <v>9</v>
      </c>
      <c r="C23" s="11">
        <v>48</v>
      </c>
      <c r="D23" s="11" t="s">
        <v>10</v>
      </c>
      <c r="E23" s="15">
        <v>242</v>
      </c>
      <c r="F23" s="11" t="s">
        <v>1998</v>
      </c>
      <c r="G23" s="11" t="s">
        <v>1999</v>
      </c>
      <c r="H23" s="15" t="s">
        <v>5</v>
      </c>
      <c r="I23" s="15">
        <v>20</v>
      </c>
      <c r="J23" s="12" t="s">
        <v>17</v>
      </c>
      <c r="K23" s="591">
        <f>(19*35)+(1*26.4)</f>
        <v>691.4</v>
      </c>
      <c r="L23" s="121" t="s">
        <v>2033</v>
      </c>
      <c r="M23" s="136">
        <v>14</v>
      </c>
      <c r="N23" s="133">
        <v>20</v>
      </c>
      <c r="O23" s="119">
        <f t="shared" si="0"/>
        <v>0</v>
      </c>
    </row>
    <row r="24" spans="1:15">
      <c r="A24" s="590" t="s">
        <v>1139</v>
      </c>
      <c r="B24" s="11" t="s">
        <v>9</v>
      </c>
      <c r="C24" s="11">
        <v>38</v>
      </c>
      <c r="D24" s="11" t="s">
        <v>16</v>
      </c>
      <c r="E24" s="11">
        <v>268</v>
      </c>
      <c r="F24" s="11" t="s">
        <v>1551</v>
      </c>
      <c r="G24" s="11" t="s">
        <v>1550</v>
      </c>
      <c r="H24" s="11" t="s">
        <v>143</v>
      </c>
      <c r="I24" s="11">
        <v>15</v>
      </c>
      <c r="J24" s="12" t="s">
        <v>1349</v>
      </c>
      <c r="K24" s="591">
        <f>(14*26)+(1*20.2)</f>
        <v>384.2</v>
      </c>
      <c r="L24" s="120" t="s">
        <v>2055</v>
      </c>
      <c r="M24" s="132">
        <v>1</v>
      </c>
      <c r="N24" s="133">
        <f>10+5</f>
        <v>15</v>
      </c>
      <c r="O24" s="119">
        <f t="shared" si="0"/>
        <v>0</v>
      </c>
    </row>
    <row r="25" spans="1:15">
      <c r="A25" s="590" t="s">
        <v>993</v>
      </c>
      <c r="B25" s="11" t="s">
        <v>9</v>
      </c>
      <c r="C25" s="11" t="s">
        <v>618</v>
      </c>
      <c r="D25" s="11"/>
      <c r="E25" s="11"/>
      <c r="F25" s="11" t="s">
        <v>1568</v>
      </c>
      <c r="G25" s="11" t="s">
        <v>1550</v>
      </c>
      <c r="H25" s="11" t="s">
        <v>1518</v>
      </c>
      <c r="I25" s="11">
        <v>18</v>
      </c>
      <c r="J25" s="12" t="s">
        <v>513</v>
      </c>
      <c r="K25" s="591">
        <f>(18*26)</f>
        <v>468</v>
      </c>
      <c r="L25" s="121" t="s">
        <v>2082</v>
      </c>
      <c r="M25" s="132">
        <v>13</v>
      </c>
      <c r="N25" s="133">
        <v>18</v>
      </c>
      <c r="O25" s="119">
        <f t="shared" si="0"/>
        <v>0</v>
      </c>
    </row>
    <row r="26" spans="1:15">
      <c r="A26" s="590" t="s">
        <v>993</v>
      </c>
      <c r="B26" s="11" t="s">
        <v>9</v>
      </c>
      <c r="C26" s="11" t="s">
        <v>618</v>
      </c>
      <c r="D26" s="11"/>
      <c r="E26" s="11"/>
      <c r="F26" s="11" t="s">
        <v>1569</v>
      </c>
      <c r="G26" s="11" t="s">
        <v>1550</v>
      </c>
      <c r="H26" s="11" t="s">
        <v>5</v>
      </c>
      <c r="I26" s="11">
        <v>20</v>
      </c>
      <c r="J26" s="12" t="s">
        <v>155</v>
      </c>
      <c r="K26" s="591">
        <f>(20*26)</f>
        <v>520</v>
      </c>
      <c r="L26" s="120" t="s">
        <v>2082</v>
      </c>
      <c r="M26" s="132">
        <v>11</v>
      </c>
      <c r="N26" s="133">
        <v>20</v>
      </c>
      <c r="O26" s="119">
        <f t="shared" si="0"/>
        <v>0</v>
      </c>
    </row>
    <row r="27" spans="1:15">
      <c r="A27" s="590" t="s">
        <v>1144</v>
      </c>
      <c r="B27" s="11" t="s">
        <v>150</v>
      </c>
      <c r="C27" s="11">
        <v>43</v>
      </c>
      <c r="D27" s="11" t="s">
        <v>50</v>
      </c>
      <c r="E27" s="11">
        <v>636</v>
      </c>
      <c r="F27" s="11" t="s">
        <v>1420</v>
      </c>
      <c r="G27" s="11" t="s">
        <v>181</v>
      </c>
      <c r="H27" s="11" t="s">
        <v>5</v>
      </c>
      <c r="I27" s="11">
        <v>15</v>
      </c>
      <c r="J27" s="12" t="s">
        <v>97</v>
      </c>
      <c r="K27" s="591">
        <f>(15*38)</f>
        <v>570</v>
      </c>
      <c r="L27" s="120" t="s">
        <v>2033</v>
      </c>
      <c r="M27" s="132">
        <v>1</v>
      </c>
      <c r="N27" s="133">
        <v>15</v>
      </c>
      <c r="O27" s="119">
        <f t="shared" si="0"/>
        <v>0</v>
      </c>
    </row>
    <row r="28" spans="1:15">
      <c r="A28" s="590" t="s">
        <v>1144</v>
      </c>
      <c r="B28" s="11" t="s">
        <v>150</v>
      </c>
      <c r="C28" s="11">
        <v>43</v>
      </c>
      <c r="D28" s="11" t="s">
        <v>50</v>
      </c>
      <c r="E28" s="11">
        <v>639</v>
      </c>
      <c r="F28" s="11" t="s">
        <v>1572</v>
      </c>
      <c r="G28" s="11" t="s">
        <v>181</v>
      </c>
      <c r="H28" s="11" t="s">
        <v>15</v>
      </c>
      <c r="I28" s="11">
        <v>15</v>
      </c>
      <c r="J28" s="12" t="s">
        <v>1416</v>
      </c>
      <c r="K28" s="591">
        <f>(14*40)+(1*32.3)</f>
        <v>592.29999999999995</v>
      </c>
      <c r="L28" s="120" t="s">
        <v>2033</v>
      </c>
      <c r="M28" s="132">
        <v>1</v>
      </c>
      <c r="N28" s="133">
        <v>15</v>
      </c>
      <c r="O28" s="119">
        <f t="shared" si="0"/>
        <v>0</v>
      </c>
    </row>
    <row r="29" spans="1:15">
      <c r="A29" s="590" t="s">
        <v>1002</v>
      </c>
      <c r="B29" s="11" t="s">
        <v>150</v>
      </c>
      <c r="C29" s="11">
        <v>44</v>
      </c>
      <c r="D29" s="11" t="s">
        <v>50</v>
      </c>
      <c r="E29" s="11">
        <v>547</v>
      </c>
      <c r="F29" s="11" t="s">
        <v>443</v>
      </c>
      <c r="G29" s="11" t="s">
        <v>181</v>
      </c>
      <c r="H29" s="11" t="s">
        <v>5</v>
      </c>
      <c r="I29" s="588">
        <v>15</v>
      </c>
      <c r="J29" s="12" t="s">
        <v>626</v>
      </c>
      <c r="K29" s="591">
        <f>(14*38)+(1*30.3)</f>
        <v>562.29999999999995</v>
      </c>
      <c r="L29" s="120" t="s">
        <v>2033</v>
      </c>
      <c r="M29" s="132">
        <v>13</v>
      </c>
      <c r="N29" s="133">
        <v>15</v>
      </c>
      <c r="O29" s="119">
        <f t="shared" si="0"/>
        <v>0</v>
      </c>
    </row>
    <row r="30" spans="1:15">
      <c r="A30" s="590" t="s">
        <v>1002</v>
      </c>
      <c r="B30" s="11" t="s">
        <v>150</v>
      </c>
      <c r="C30" s="11">
        <v>44</v>
      </c>
      <c r="D30" s="11" t="s">
        <v>50</v>
      </c>
      <c r="E30" s="11">
        <v>549</v>
      </c>
      <c r="F30" s="11" t="s">
        <v>81</v>
      </c>
      <c r="G30" s="11" t="s">
        <v>181</v>
      </c>
      <c r="H30" s="11" t="s">
        <v>5</v>
      </c>
      <c r="I30" s="588">
        <v>15</v>
      </c>
      <c r="J30" s="12" t="s">
        <v>626</v>
      </c>
      <c r="K30" s="591">
        <f>(14*38)+(1*30.3)</f>
        <v>562.29999999999995</v>
      </c>
      <c r="L30" s="120" t="s">
        <v>2033</v>
      </c>
      <c r="M30" s="132">
        <v>10</v>
      </c>
      <c r="N30" s="133">
        <f>9+6</f>
        <v>15</v>
      </c>
      <c r="O30" s="119">
        <f t="shared" si="0"/>
        <v>0</v>
      </c>
    </row>
    <row r="31" spans="1:15">
      <c r="A31" s="590" t="s">
        <v>1002</v>
      </c>
      <c r="B31" s="11" t="s">
        <v>150</v>
      </c>
      <c r="C31" s="11">
        <v>44</v>
      </c>
      <c r="D31" s="11" t="s">
        <v>50</v>
      </c>
      <c r="E31" s="11">
        <v>550</v>
      </c>
      <c r="F31" s="11" t="s">
        <v>657</v>
      </c>
      <c r="G31" s="11" t="s">
        <v>181</v>
      </c>
      <c r="H31" s="11" t="s">
        <v>5</v>
      </c>
      <c r="I31" s="588">
        <v>15</v>
      </c>
      <c r="J31" s="12" t="s">
        <v>1615</v>
      </c>
      <c r="K31" s="591">
        <f>(12*38)+(3*30.3)</f>
        <v>546.9</v>
      </c>
      <c r="L31" s="120" t="s">
        <v>2033</v>
      </c>
      <c r="M31" s="132">
        <v>13</v>
      </c>
      <c r="N31" s="133">
        <f>9+6</f>
        <v>15</v>
      </c>
      <c r="O31" s="119">
        <f t="shared" si="0"/>
        <v>0</v>
      </c>
    </row>
    <row r="32" spans="1:15">
      <c r="A32" s="590" t="s">
        <v>1002</v>
      </c>
      <c r="B32" s="11" t="s">
        <v>150</v>
      </c>
      <c r="C32" s="11">
        <v>44</v>
      </c>
      <c r="D32" s="11" t="s">
        <v>50</v>
      </c>
      <c r="E32" s="11">
        <v>551</v>
      </c>
      <c r="F32" s="11" t="s">
        <v>461</v>
      </c>
      <c r="G32" s="11" t="s">
        <v>181</v>
      </c>
      <c r="H32" s="11" t="s">
        <v>5</v>
      </c>
      <c r="I32" s="588">
        <v>30</v>
      </c>
      <c r="J32" s="12" t="s">
        <v>1616</v>
      </c>
      <c r="K32" s="591">
        <f>(28*38)+(2*30.3)</f>
        <v>1124.5999999999999</v>
      </c>
      <c r="L32" s="120" t="s">
        <v>2033</v>
      </c>
      <c r="M32" s="132">
        <v>12</v>
      </c>
      <c r="N32" s="133">
        <f>10+10+10</f>
        <v>30</v>
      </c>
      <c r="O32" s="119">
        <f t="shared" si="0"/>
        <v>0</v>
      </c>
    </row>
    <row r="33" spans="1:15">
      <c r="A33" s="590" t="s">
        <v>1002</v>
      </c>
      <c r="B33" s="11" t="s">
        <v>150</v>
      </c>
      <c r="C33" s="11">
        <v>44</v>
      </c>
      <c r="D33" s="11" t="s">
        <v>50</v>
      </c>
      <c r="E33" s="11">
        <v>552</v>
      </c>
      <c r="F33" s="11" t="s">
        <v>508</v>
      </c>
      <c r="G33" s="11" t="s">
        <v>181</v>
      </c>
      <c r="H33" s="11" t="s">
        <v>15</v>
      </c>
      <c r="I33" s="588">
        <v>30</v>
      </c>
      <c r="J33" s="12" t="s">
        <v>1515</v>
      </c>
      <c r="K33" s="591">
        <f>(29*40)+(1*32.3)</f>
        <v>1192.3</v>
      </c>
      <c r="L33" s="120" t="s">
        <v>2033</v>
      </c>
      <c r="M33" s="132">
        <v>10</v>
      </c>
      <c r="N33" s="133">
        <f>27+3</f>
        <v>30</v>
      </c>
      <c r="O33" s="119">
        <f t="shared" si="0"/>
        <v>0</v>
      </c>
    </row>
    <row r="34" spans="1:15">
      <c r="A34" s="590" t="s">
        <v>1181</v>
      </c>
      <c r="B34" s="11" t="s">
        <v>150</v>
      </c>
      <c r="C34" s="11">
        <v>48</v>
      </c>
      <c r="D34" s="11" t="s">
        <v>55</v>
      </c>
      <c r="E34" s="15">
        <v>91</v>
      </c>
      <c r="F34" s="11" t="s">
        <v>1877</v>
      </c>
      <c r="G34" s="11" t="s">
        <v>1878</v>
      </c>
      <c r="H34" s="15" t="s">
        <v>5</v>
      </c>
      <c r="I34" s="15">
        <v>12</v>
      </c>
      <c r="J34" s="12" t="s">
        <v>1879</v>
      </c>
      <c r="K34" s="591">
        <f>(9*34)+(3*26.3)</f>
        <v>384.9</v>
      </c>
      <c r="L34" s="121" t="s">
        <v>2029</v>
      </c>
      <c r="M34" s="132">
        <v>1</v>
      </c>
      <c r="N34" s="133">
        <v>12</v>
      </c>
      <c r="O34" s="119">
        <f t="shared" si="0"/>
        <v>0</v>
      </c>
    </row>
    <row r="35" spans="1:15">
      <c r="A35" s="590" t="s">
        <v>1031</v>
      </c>
      <c r="B35" s="11" t="s">
        <v>9</v>
      </c>
      <c r="C35" s="11">
        <v>45</v>
      </c>
      <c r="D35" s="11" t="s">
        <v>7</v>
      </c>
      <c r="E35" s="15">
        <v>163</v>
      </c>
      <c r="F35" s="11" t="s">
        <v>499</v>
      </c>
      <c r="G35" s="11" t="s">
        <v>797</v>
      </c>
      <c r="H35" s="15" t="s">
        <v>15</v>
      </c>
      <c r="I35" s="15">
        <v>20</v>
      </c>
      <c r="J35" s="12" t="s">
        <v>17</v>
      </c>
      <c r="K35" s="591">
        <f t="shared" ref="K35:K42" si="1">(19*35)+(1*26.4)</f>
        <v>691.4</v>
      </c>
      <c r="L35" s="120" t="s">
        <v>2033</v>
      </c>
      <c r="M35" s="132">
        <v>4</v>
      </c>
      <c r="N35" s="133">
        <v>20</v>
      </c>
      <c r="O35" s="119">
        <f t="shared" si="0"/>
        <v>0</v>
      </c>
    </row>
    <row r="36" spans="1:15">
      <c r="A36" s="590" t="s">
        <v>1973</v>
      </c>
      <c r="B36" s="11" t="s">
        <v>9</v>
      </c>
      <c r="C36" s="11">
        <v>48</v>
      </c>
      <c r="D36" s="11" t="s">
        <v>7</v>
      </c>
      <c r="E36" s="15">
        <v>53</v>
      </c>
      <c r="F36" s="11" t="s">
        <v>1953</v>
      </c>
      <c r="G36" s="11" t="s">
        <v>797</v>
      </c>
      <c r="H36" s="15" t="s">
        <v>15</v>
      </c>
      <c r="I36" s="15">
        <v>20</v>
      </c>
      <c r="J36" s="12" t="s">
        <v>17</v>
      </c>
      <c r="K36" s="591">
        <f t="shared" si="1"/>
        <v>691.4</v>
      </c>
      <c r="L36" s="121" t="s">
        <v>2082</v>
      </c>
      <c r="M36" s="136">
        <v>14</v>
      </c>
      <c r="N36" s="133">
        <v>20</v>
      </c>
      <c r="O36" s="119">
        <f t="shared" si="0"/>
        <v>0</v>
      </c>
    </row>
    <row r="37" spans="1:15">
      <c r="A37" s="590" t="s">
        <v>1973</v>
      </c>
      <c r="B37" s="11" t="s">
        <v>9</v>
      </c>
      <c r="C37" s="11">
        <v>48</v>
      </c>
      <c r="D37" s="11" t="s">
        <v>7</v>
      </c>
      <c r="E37" s="15">
        <v>54</v>
      </c>
      <c r="F37" s="11" t="s">
        <v>1993</v>
      </c>
      <c r="G37" s="11" t="s">
        <v>797</v>
      </c>
      <c r="H37" s="15" t="s">
        <v>15</v>
      </c>
      <c r="I37" s="15">
        <v>20</v>
      </c>
      <c r="J37" s="12" t="s">
        <v>17</v>
      </c>
      <c r="K37" s="591">
        <f t="shared" si="1"/>
        <v>691.4</v>
      </c>
      <c r="L37" s="121" t="s">
        <v>2082</v>
      </c>
      <c r="M37" s="136">
        <v>14</v>
      </c>
      <c r="N37" s="133">
        <v>20</v>
      </c>
      <c r="O37" s="119">
        <f t="shared" si="0"/>
        <v>0</v>
      </c>
    </row>
    <row r="38" spans="1:15">
      <c r="A38" s="590" t="s">
        <v>1975</v>
      </c>
      <c r="B38" s="11" t="s">
        <v>9</v>
      </c>
      <c r="C38" s="11">
        <v>49</v>
      </c>
      <c r="D38" s="11" t="s">
        <v>7</v>
      </c>
      <c r="E38" s="15">
        <v>212</v>
      </c>
      <c r="F38" s="11" t="s">
        <v>2007</v>
      </c>
      <c r="G38" s="11" t="s">
        <v>797</v>
      </c>
      <c r="H38" s="15" t="s">
        <v>15</v>
      </c>
      <c r="I38" s="15">
        <v>20</v>
      </c>
      <c r="J38" s="12" t="s">
        <v>17</v>
      </c>
      <c r="K38" s="591">
        <f t="shared" si="1"/>
        <v>691.4</v>
      </c>
      <c r="L38" s="121" t="s">
        <v>2055</v>
      </c>
      <c r="M38" s="136">
        <v>8</v>
      </c>
      <c r="N38" s="133">
        <v>20</v>
      </c>
      <c r="O38" s="119">
        <f t="shared" si="0"/>
        <v>0</v>
      </c>
    </row>
    <row r="39" spans="1:15">
      <c r="A39" s="590" t="s">
        <v>1975</v>
      </c>
      <c r="B39" s="11" t="s">
        <v>9</v>
      </c>
      <c r="C39" s="11">
        <v>49</v>
      </c>
      <c r="D39" s="11" t="s">
        <v>7</v>
      </c>
      <c r="E39" s="15">
        <v>213</v>
      </c>
      <c r="F39" s="11" t="s">
        <v>549</v>
      </c>
      <c r="G39" s="11" t="s">
        <v>797</v>
      </c>
      <c r="H39" s="15" t="s">
        <v>15</v>
      </c>
      <c r="I39" s="15">
        <v>20</v>
      </c>
      <c r="J39" s="12" t="s">
        <v>17</v>
      </c>
      <c r="K39" s="591">
        <f t="shared" si="1"/>
        <v>691.4</v>
      </c>
      <c r="L39" s="121" t="s">
        <v>2055</v>
      </c>
      <c r="M39" s="136">
        <v>8</v>
      </c>
      <c r="N39" s="133">
        <v>20</v>
      </c>
      <c r="O39" s="119">
        <f t="shared" si="0"/>
        <v>0</v>
      </c>
    </row>
    <row r="40" spans="1:15">
      <c r="A40" s="590" t="s">
        <v>1977</v>
      </c>
      <c r="B40" s="11" t="s">
        <v>9</v>
      </c>
      <c r="C40" s="11">
        <v>48</v>
      </c>
      <c r="D40" s="11" t="s">
        <v>7</v>
      </c>
      <c r="E40" s="15">
        <v>265</v>
      </c>
      <c r="F40" s="11" t="s">
        <v>722</v>
      </c>
      <c r="G40" s="11" t="s">
        <v>797</v>
      </c>
      <c r="H40" s="15" t="s">
        <v>5</v>
      </c>
      <c r="I40" s="15">
        <v>20</v>
      </c>
      <c r="J40" s="12" t="s">
        <v>17</v>
      </c>
      <c r="K40" s="591">
        <f t="shared" si="1"/>
        <v>691.4</v>
      </c>
      <c r="L40" s="121" t="s">
        <v>2055</v>
      </c>
      <c r="M40" s="136"/>
      <c r="N40" s="133">
        <v>20</v>
      </c>
      <c r="O40" s="119">
        <f t="shared" si="0"/>
        <v>0</v>
      </c>
    </row>
    <row r="41" spans="1:15">
      <c r="A41" s="590" t="s">
        <v>1977</v>
      </c>
      <c r="B41" s="11" t="s">
        <v>9</v>
      </c>
      <c r="C41" s="11">
        <v>48</v>
      </c>
      <c r="D41" s="11" t="s">
        <v>7</v>
      </c>
      <c r="E41" s="15">
        <v>266</v>
      </c>
      <c r="F41" s="11" t="s">
        <v>445</v>
      </c>
      <c r="G41" s="11" t="s">
        <v>797</v>
      </c>
      <c r="H41" s="15" t="s">
        <v>5</v>
      </c>
      <c r="I41" s="15">
        <v>20</v>
      </c>
      <c r="J41" s="12" t="s">
        <v>17</v>
      </c>
      <c r="K41" s="591">
        <f t="shared" si="1"/>
        <v>691.4</v>
      </c>
      <c r="L41" s="121" t="s">
        <v>2055</v>
      </c>
      <c r="M41" s="136"/>
      <c r="N41" s="133">
        <v>20</v>
      </c>
      <c r="O41" s="119">
        <f t="shared" si="0"/>
        <v>0</v>
      </c>
    </row>
    <row r="42" spans="1:15">
      <c r="A42" s="590" t="s">
        <v>1009</v>
      </c>
      <c r="B42" s="11" t="s">
        <v>9</v>
      </c>
      <c r="C42" s="11">
        <v>42</v>
      </c>
      <c r="D42" s="11" t="s">
        <v>10</v>
      </c>
      <c r="E42" s="15">
        <v>240</v>
      </c>
      <c r="F42" s="11" t="s">
        <v>683</v>
      </c>
      <c r="G42" s="11" t="s">
        <v>567</v>
      </c>
      <c r="H42" s="15" t="s">
        <v>143</v>
      </c>
      <c r="I42" s="15">
        <v>20</v>
      </c>
      <c r="J42" s="12" t="s">
        <v>17</v>
      </c>
      <c r="K42" s="591">
        <f t="shared" si="1"/>
        <v>691.4</v>
      </c>
      <c r="L42" s="121" t="s">
        <v>2082</v>
      </c>
      <c r="M42" s="132">
        <v>14</v>
      </c>
      <c r="N42" s="133">
        <v>20</v>
      </c>
      <c r="O42" s="119">
        <f t="shared" si="0"/>
        <v>0</v>
      </c>
    </row>
    <row r="43" spans="1:15">
      <c r="A43" s="590" t="s">
        <v>1975</v>
      </c>
      <c r="B43" s="11" t="s">
        <v>9</v>
      </c>
      <c r="C43" s="11">
        <v>49</v>
      </c>
      <c r="D43" s="11" t="s">
        <v>7</v>
      </c>
      <c r="E43" s="15">
        <v>435</v>
      </c>
      <c r="F43" s="11" t="s">
        <v>1441</v>
      </c>
      <c r="G43" s="11" t="s">
        <v>567</v>
      </c>
      <c r="H43" s="15" t="s">
        <v>15</v>
      </c>
      <c r="I43" s="15">
        <v>15</v>
      </c>
      <c r="J43" s="12" t="s">
        <v>13</v>
      </c>
      <c r="K43" s="591">
        <f>(14*35)+(1*26.4)</f>
        <v>516.4</v>
      </c>
      <c r="L43" s="121" t="s">
        <v>2055</v>
      </c>
      <c r="M43" s="136">
        <v>2</v>
      </c>
      <c r="N43" s="133">
        <f>6+9</f>
        <v>15</v>
      </c>
      <c r="O43" s="119">
        <f t="shared" si="0"/>
        <v>0</v>
      </c>
    </row>
    <row r="44" spans="1:15">
      <c r="A44" s="590" t="s">
        <v>1975</v>
      </c>
      <c r="B44" s="11" t="s">
        <v>9</v>
      </c>
      <c r="C44" s="11">
        <v>49</v>
      </c>
      <c r="D44" s="11" t="s">
        <v>7</v>
      </c>
      <c r="E44" s="15">
        <v>437</v>
      </c>
      <c r="F44" s="11" t="s">
        <v>1943</v>
      </c>
      <c r="G44" s="11" t="s">
        <v>567</v>
      </c>
      <c r="H44" s="15" t="s">
        <v>15</v>
      </c>
      <c r="I44" s="15">
        <v>15</v>
      </c>
      <c r="J44" s="12" t="s">
        <v>13</v>
      </c>
      <c r="K44" s="591">
        <f>(14*35)+(1*26.4)</f>
        <v>516.4</v>
      </c>
      <c r="L44" s="121" t="s">
        <v>2100</v>
      </c>
      <c r="M44" s="136"/>
      <c r="N44" s="133">
        <v>15</v>
      </c>
      <c r="O44" s="119">
        <f t="shared" si="0"/>
        <v>0</v>
      </c>
    </row>
    <row r="45" spans="1:15">
      <c r="A45" s="590" t="s">
        <v>1975</v>
      </c>
      <c r="B45" s="11" t="s">
        <v>9</v>
      </c>
      <c r="C45" s="11">
        <v>49</v>
      </c>
      <c r="D45" s="11" t="s">
        <v>7</v>
      </c>
      <c r="E45" s="15">
        <v>438</v>
      </c>
      <c r="F45" s="11" t="s">
        <v>722</v>
      </c>
      <c r="G45" s="11" t="s">
        <v>567</v>
      </c>
      <c r="H45" s="15" t="s">
        <v>15</v>
      </c>
      <c r="I45" s="15">
        <v>15</v>
      </c>
      <c r="J45" s="12" t="s">
        <v>13</v>
      </c>
      <c r="K45" s="591">
        <f>(14*35)+(1*26.4)</f>
        <v>516.4</v>
      </c>
      <c r="L45" s="121" t="s">
        <v>2100</v>
      </c>
      <c r="M45" s="136"/>
      <c r="N45" s="133">
        <v>15</v>
      </c>
      <c r="O45" s="119">
        <f t="shared" si="0"/>
        <v>0</v>
      </c>
    </row>
    <row r="46" spans="1:15">
      <c r="A46" s="590" t="s">
        <v>1004</v>
      </c>
      <c r="B46" s="11" t="s">
        <v>9</v>
      </c>
      <c r="C46" s="11">
        <v>44</v>
      </c>
      <c r="D46" s="11" t="s">
        <v>16</v>
      </c>
      <c r="E46" s="15">
        <v>456</v>
      </c>
      <c r="F46" s="11" t="s">
        <v>1618</v>
      </c>
      <c r="G46" s="11" t="s">
        <v>757</v>
      </c>
      <c r="H46" s="15" t="s">
        <v>15</v>
      </c>
      <c r="I46" s="15">
        <v>15</v>
      </c>
      <c r="J46" s="12" t="s">
        <v>13</v>
      </c>
      <c r="K46" s="591">
        <f>(14*35)+(1*26.4)</f>
        <v>516.4</v>
      </c>
      <c r="L46" s="120" t="s">
        <v>2033</v>
      </c>
      <c r="M46" s="132">
        <v>1</v>
      </c>
      <c r="N46" s="133">
        <v>15</v>
      </c>
      <c r="O46" s="119">
        <f t="shared" si="0"/>
        <v>0</v>
      </c>
    </row>
    <row r="47" spans="1:15">
      <c r="A47" s="590" t="s">
        <v>1004</v>
      </c>
      <c r="B47" s="11" t="s">
        <v>9</v>
      </c>
      <c r="C47" s="11">
        <v>44</v>
      </c>
      <c r="D47" s="11" t="s">
        <v>16</v>
      </c>
      <c r="E47" s="15">
        <v>457</v>
      </c>
      <c r="F47" s="11" t="s">
        <v>1619</v>
      </c>
      <c r="G47" s="11" t="s">
        <v>757</v>
      </c>
      <c r="H47" s="15" t="s">
        <v>15</v>
      </c>
      <c r="I47" s="15">
        <v>15</v>
      </c>
      <c r="J47" s="12" t="s">
        <v>13</v>
      </c>
      <c r="K47" s="591">
        <f>(14*35)+(1*26.4)</f>
        <v>516.4</v>
      </c>
      <c r="L47" s="120" t="s">
        <v>2033</v>
      </c>
      <c r="M47" s="132">
        <v>1</v>
      </c>
      <c r="N47" s="133">
        <v>15</v>
      </c>
      <c r="O47" s="119">
        <f t="shared" si="0"/>
        <v>0</v>
      </c>
    </row>
    <row r="48" spans="1:15">
      <c r="A48" s="590" t="s">
        <v>1129</v>
      </c>
      <c r="B48" s="11" t="s">
        <v>9</v>
      </c>
      <c r="C48" s="11">
        <v>38</v>
      </c>
      <c r="D48" s="11" t="s">
        <v>16</v>
      </c>
      <c r="E48" s="11">
        <v>361</v>
      </c>
      <c r="F48" s="11" t="s">
        <v>1527</v>
      </c>
      <c r="G48" s="11" t="s">
        <v>422</v>
      </c>
      <c r="H48" s="11" t="s">
        <v>15</v>
      </c>
      <c r="I48" s="11">
        <v>20</v>
      </c>
      <c r="J48" s="12" t="s">
        <v>17</v>
      </c>
      <c r="K48" s="591">
        <f>(19*35)+(1*26.4)</f>
        <v>691.4</v>
      </c>
      <c r="L48" s="121" t="s">
        <v>2029</v>
      </c>
      <c r="M48" s="132">
        <v>4</v>
      </c>
      <c r="N48" s="133">
        <v>20</v>
      </c>
      <c r="O48" s="119">
        <f t="shared" si="0"/>
        <v>0</v>
      </c>
    </row>
    <row r="49" spans="1:15">
      <c r="A49" s="590" t="s">
        <v>1129</v>
      </c>
      <c r="B49" s="11" t="s">
        <v>9</v>
      </c>
      <c r="C49" s="11">
        <v>38</v>
      </c>
      <c r="D49" s="11" t="s">
        <v>16</v>
      </c>
      <c r="E49" s="11">
        <v>362</v>
      </c>
      <c r="F49" s="11" t="s">
        <v>1528</v>
      </c>
      <c r="G49" s="11" t="s">
        <v>422</v>
      </c>
      <c r="H49" s="11" t="s">
        <v>15</v>
      </c>
      <c r="I49" s="11">
        <v>20</v>
      </c>
      <c r="J49" s="12" t="s">
        <v>17</v>
      </c>
      <c r="K49" s="591">
        <f>(19*35)+(1*26.4)</f>
        <v>691.4</v>
      </c>
      <c r="L49" s="121" t="s">
        <v>2082</v>
      </c>
      <c r="M49" s="132">
        <v>13</v>
      </c>
      <c r="N49" s="133">
        <f>10+10</f>
        <v>20</v>
      </c>
      <c r="O49" s="119">
        <f t="shared" si="0"/>
        <v>0</v>
      </c>
    </row>
    <row r="50" spans="1:15">
      <c r="A50" s="590" t="s">
        <v>1018</v>
      </c>
      <c r="B50" s="11" t="s">
        <v>6</v>
      </c>
      <c r="C50" s="11">
        <v>47</v>
      </c>
      <c r="D50" s="11" t="s">
        <v>82</v>
      </c>
      <c r="E50" s="15">
        <v>5359</v>
      </c>
      <c r="F50" s="11" t="s">
        <v>1720</v>
      </c>
      <c r="G50" s="11" t="s">
        <v>646</v>
      </c>
      <c r="H50" s="15" t="s">
        <v>8</v>
      </c>
      <c r="I50" s="15">
        <v>20</v>
      </c>
      <c r="J50" s="12" t="s">
        <v>1721</v>
      </c>
      <c r="K50" s="591">
        <f>(19*42)+(1*35)</f>
        <v>833</v>
      </c>
      <c r="L50" s="120" t="s">
        <v>2055</v>
      </c>
      <c r="M50" s="132">
        <v>1</v>
      </c>
      <c r="N50" s="133">
        <v>20</v>
      </c>
      <c r="O50" s="119">
        <f t="shared" si="0"/>
        <v>0</v>
      </c>
    </row>
    <row r="51" spans="1:15">
      <c r="A51" s="590" t="s">
        <v>1016</v>
      </c>
      <c r="B51" s="11" t="s">
        <v>150</v>
      </c>
      <c r="C51" s="11">
        <v>45</v>
      </c>
      <c r="D51" s="11" t="s">
        <v>51</v>
      </c>
      <c r="E51" s="15">
        <v>637</v>
      </c>
      <c r="F51" s="11" t="s">
        <v>767</v>
      </c>
      <c r="G51" s="11" t="s">
        <v>1670</v>
      </c>
      <c r="H51" s="15" t="s">
        <v>15</v>
      </c>
      <c r="I51" s="15">
        <v>15</v>
      </c>
      <c r="J51" s="12" t="s">
        <v>684</v>
      </c>
      <c r="K51" s="591">
        <f>(14*33)+(1*25.3)</f>
        <v>487.3</v>
      </c>
      <c r="L51" s="121" t="s">
        <v>2055</v>
      </c>
      <c r="M51" s="132">
        <v>8</v>
      </c>
      <c r="N51" s="130">
        <v>15</v>
      </c>
      <c r="O51" s="119">
        <f t="shared" si="0"/>
        <v>0</v>
      </c>
    </row>
    <row r="52" spans="1:15">
      <c r="A52" s="590" t="s">
        <v>1186</v>
      </c>
      <c r="B52" s="11" t="s">
        <v>150</v>
      </c>
      <c r="C52" s="11">
        <v>47</v>
      </c>
      <c r="D52" s="11" t="s">
        <v>50</v>
      </c>
      <c r="E52" s="15">
        <v>103</v>
      </c>
      <c r="F52" s="11" t="s">
        <v>1470</v>
      </c>
      <c r="G52" s="11" t="s">
        <v>690</v>
      </c>
      <c r="H52" s="15" t="s">
        <v>5</v>
      </c>
      <c r="I52" s="15">
        <v>20</v>
      </c>
      <c r="J52" s="12" t="s">
        <v>633</v>
      </c>
      <c r="K52" s="591">
        <f>(19*34)+(1*29.7)</f>
        <v>675.7</v>
      </c>
      <c r="L52" s="121" t="s">
        <v>2055</v>
      </c>
      <c r="M52" s="136">
        <v>7</v>
      </c>
      <c r="N52" s="133">
        <f>10+10</f>
        <v>20</v>
      </c>
      <c r="O52" s="119">
        <f t="shared" si="0"/>
        <v>0</v>
      </c>
    </row>
    <row r="53" spans="1:15">
      <c r="A53" s="590" t="s">
        <v>1186</v>
      </c>
      <c r="B53" s="11" t="s">
        <v>150</v>
      </c>
      <c r="C53" s="11">
        <v>47</v>
      </c>
      <c r="D53" s="11" t="s">
        <v>50</v>
      </c>
      <c r="E53" s="15">
        <v>104</v>
      </c>
      <c r="F53" s="11" t="s">
        <v>736</v>
      </c>
      <c r="G53" s="11" t="s">
        <v>690</v>
      </c>
      <c r="H53" s="15" t="s">
        <v>5</v>
      </c>
      <c r="I53" s="15">
        <v>20</v>
      </c>
      <c r="J53" s="12" t="s">
        <v>633</v>
      </c>
      <c r="K53" s="591">
        <f>(19*34)+(1*29.7)</f>
        <v>675.7</v>
      </c>
      <c r="L53" s="121" t="s">
        <v>2055</v>
      </c>
      <c r="M53" s="136">
        <v>7</v>
      </c>
      <c r="N53" s="133">
        <f>10+10</f>
        <v>20</v>
      </c>
      <c r="O53" s="119">
        <f t="shared" si="0"/>
        <v>0</v>
      </c>
    </row>
    <row r="54" spans="1:15">
      <c r="A54" s="590" t="s">
        <v>1156</v>
      </c>
      <c r="B54" s="11" t="s">
        <v>9</v>
      </c>
      <c r="C54" s="11">
        <v>40</v>
      </c>
      <c r="D54" s="11" t="s">
        <v>7</v>
      </c>
      <c r="E54" s="15">
        <v>382</v>
      </c>
      <c r="F54" s="11" t="s">
        <v>501</v>
      </c>
      <c r="G54" s="11" t="s">
        <v>18</v>
      </c>
      <c r="H54" s="15" t="s">
        <v>15</v>
      </c>
      <c r="I54" s="15">
        <v>20</v>
      </c>
      <c r="J54" s="12" t="s">
        <v>157</v>
      </c>
      <c r="K54" s="591">
        <f>(20*38)</f>
        <v>760</v>
      </c>
      <c r="L54" s="121" t="s">
        <v>2033</v>
      </c>
      <c r="M54" s="132" t="s">
        <v>604</v>
      </c>
      <c r="N54" s="133">
        <f>10+10</f>
        <v>20</v>
      </c>
      <c r="O54" s="119">
        <f t="shared" si="0"/>
        <v>0</v>
      </c>
    </row>
    <row r="55" spans="1:15">
      <c r="A55" s="590" t="s">
        <v>1156</v>
      </c>
      <c r="B55" s="11" t="s">
        <v>9</v>
      </c>
      <c r="C55" s="11">
        <v>40</v>
      </c>
      <c r="D55" s="11" t="s">
        <v>7</v>
      </c>
      <c r="E55" s="15">
        <v>383</v>
      </c>
      <c r="F55" s="11" t="s">
        <v>497</v>
      </c>
      <c r="G55" s="11" t="s">
        <v>18</v>
      </c>
      <c r="H55" s="15" t="s">
        <v>15</v>
      </c>
      <c r="I55" s="15">
        <v>30</v>
      </c>
      <c r="J55" s="12" t="s">
        <v>25</v>
      </c>
      <c r="K55" s="591">
        <f>(29*38)+(1*29.4)</f>
        <v>1131.4000000000001</v>
      </c>
      <c r="L55" s="121" t="s">
        <v>2033</v>
      </c>
      <c r="M55" s="132">
        <v>4</v>
      </c>
      <c r="N55" s="133">
        <f>10+10+10</f>
        <v>30</v>
      </c>
      <c r="O55" s="119">
        <f t="shared" si="0"/>
        <v>0</v>
      </c>
    </row>
    <row r="56" spans="1:15">
      <c r="A56" s="590" t="s">
        <v>1976</v>
      </c>
      <c r="B56" s="11" t="s">
        <v>9</v>
      </c>
      <c r="C56" s="11">
        <v>49</v>
      </c>
      <c r="D56" s="11" t="s">
        <v>29</v>
      </c>
      <c r="E56" s="15">
        <v>806</v>
      </c>
      <c r="F56" s="11" t="s">
        <v>582</v>
      </c>
      <c r="G56" s="11" t="s">
        <v>1949</v>
      </c>
      <c r="H56" s="15" t="s">
        <v>15</v>
      </c>
      <c r="I56" s="15">
        <v>20</v>
      </c>
      <c r="J56" s="12" t="s">
        <v>17</v>
      </c>
      <c r="K56" s="591">
        <f>(19*35)+(1*26.4)</f>
        <v>691.4</v>
      </c>
      <c r="L56" s="121" t="s">
        <v>2029</v>
      </c>
      <c r="M56" s="136" t="s">
        <v>2032</v>
      </c>
      <c r="N56" s="133">
        <f>10+10</f>
        <v>20</v>
      </c>
      <c r="O56" s="119">
        <f t="shared" si="0"/>
        <v>0</v>
      </c>
    </row>
    <row r="57" spans="1:15">
      <c r="A57" s="77" t="s">
        <v>1129</v>
      </c>
      <c r="B57" s="15" t="s">
        <v>9</v>
      </c>
      <c r="C57" s="15">
        <v>38</v>
      </c>
      <c r="D57" s="15" t="s">
        <v>16</v>
      </c>
      <c r="E57" s="15">
        <v>493</v>
      </c>
      <c r="F57" s="15" t="s">
        <v>1522</v>
      </c>
      <c r="G57" s="15" t="s">
        <v>1395</v>
      </c>
      <c r="H57" s="15" t="s">
        <v>15</v>
      </c>
      <c r="I57" s="15">
        <v>15</v>
      </c>
      <c r="J57" s="18" t="s">
        <v>13</v>
      </c>
      <c r="K57" s="589">
        <f>(14*35)+(1*26.4)</f>
        <v>516.4</v>
      </c>
      <c r="L57" s="120" t="s">
        <v>2082</v>
      </c>
      <c r="M57" s="132">
        <v>14</v>
      </c>
      <c r="N57" s="133">
        <v>15</v>
      </c>
      <c r="O57" s="119">
        <f t="shared" si="0"/>
        <v>0</v>
      </c>
    </row>
    <row r="58" spans="1:15">
      <c r="A58" s="77" t="s">
        <v>1129</v>
      </c>
      <c r="B58" s="15" t="s">
        <v>9</v>
      </c>
      <c r="C58" s="15">
        <v>38</v>
      </c>
      <c r="D58" s="15" t="s">
        <v>16</v>
      </c>
      <c r="E58" s="15">
        <v>498</v>
      </c>
      <c r="F58" s="15" t="s">
        <v>1532</v>
      </c>
      <c r="G58" s="15" t="s">
        <v>1395</v>
      </c>
      <c r="H58" s="15" t="s">
        <v>15</v>
      </c>
      <c r="I58" s="15">
        <v>20</v>
      </c>
      <c r="J58" s="18" t="s">
        <v>17</v>
      </c>
      <c r="K58" s="589">
        <f>(19*35)+(1*26.4)</f>
        <v>691.4</v>
      </c>
      <c r="L58" s="120" t="s">
        <v>2082</v>
      </c>
      <c r="M58" s="132">
        <v>4</v>
      </c>
      <c r="N58" s="133">
        <f>9+11</f>
        <v>20</v>
      </c>
      <c r="O58" s="119">
        <f t="shared" si="0"/>
        <v>0</v>
      </c>
    </row>
    <row r="59" spans="1:15">
      <c r="A59" s="590" t="s">
        <v>1184</v>
      </c>
      <c r="B59" s="11" t="s">
        <v>150</v>
      </c>
      <c r="C59" s="11">
        <v>48</v>
      </c>
      <c r="D59" s="11" t="s">
        <v>51</v>
      </c>
      <c r="E59" s="15">
        <v>78</v>
      </c>
      <c r="F59" s="11" t="s">
        <v>1384</v>
      </c>
      <c r="G59" s="11" t="s">
        <v>1899</v>
      </c>
      <c r="H59" s="15" t="s">
        <v>15</v>
      </c>
      <c r="I59" s="15">
        <v>20</v>
      </c>
      <c r="J59" s="12" t="s">
        <v>743</v>
      </c>
      <c r="K59" s="591">
        <f>(18*28)+(2*23.7)</f>
        <v>551.4</v>
      </c>
      <c r="L59" s="121" t="s">
        <v>2090</v>
      </c>
      <c r="M59" s="136"/>
      <c r="N59" s="15">
        <v>20</v>
      </c>
      <c r="O59" s="119">
        <f t="shared" si="0"/>
        <v>0</v>
      </c>
    </row>
    <row r="60" spans="1:15">
      <c r="A60" s="590" t="s">
        <v>1139</v>
      </c>
      <c r="B60" s="11" t="s">
        <v>9</v>
      </c>
      <c r="C60" s="11">
        <v>38</v>
      </c>
      <c r="D60" s="11" t="s">
        <v>16</v>
      </c>
      <c r="E60" s="11">
        <v>227</v>
      </c>
      <c r="F60" s="11" t="s">
        <v>20</v>
      </c>
      <c r="G60" s="11" t="s">
        <v>1549</v>
      </c>
      <c r="H60" s="11" t="s">
        <v>15</v>
      </c>
      <c r="I60" s="11">
        <v>20</v>
      </c>
      <c r="J60" s="12" t="s">
        <v>1367</v>
      </c>
      <c r="K60" s="591">
        <f>(19*36)+(1*27.4)</f>
        <v>711.4</v>
      </c>
      <c r="L60" s="121" t="s">
        <v>2055</v>
      </c>
      <c r="M60" s="132">
        <v>1</v>
      </c>
      <c r="N60" s="133">
        <v>20</v>
      </c>
      <c r="O60" s="119">
        <f t="shared" si="0"/>
        <v>0</v>
      </c>
    </row>
    <row r="61" spans="1:15">
      <c r="A61" s="590" t="s">
        <v>1139</v>
      </c>
      <c r="B61" s="11" t="s">
        <v>9</v>
      </c>
      <c r="C61" s="11">
        <v>38</v>
      </c>
      <c r="D61" s="11" t="s">
        <v>16</v>
      </c>
      <c r="E61" s="11">
        <v>231</v>
      </c>
      <c r="F61" s="11" t="s">
        <v>437</v>
      </c>
      <c r="G61" s="11" t="s">
        <v>1549</v>
      </c>
      <c r="H61" s="11" t="s">
        <v>15</v>
      </c>
      <c r="I61" s="11">
        <v>20</v>
      </c>
      <c r="J61" s="12" t="s">
        <v>1367</v>
      </c>
      <c r="K61" s="591">
        <f>(19*36)+(1*27.4)</f>
        <v>711.4</v>
      </c>
      <c r="L61" s="121" t="s">
        <v>2055</v>
      </c>
      <c r="M61" s="132">
        <v>2</v>
      </c>
      <c r="N61" s="130">
        <v>20</v>
      </c>
      <c r="O61" s="119">
        <f t="shared" si="0"/>
        <v>0</v>
      </c>
    </row>
    <row r="62" spans="1:15">
      <c r="A62" s="590" t="s">
        <v>1031</v>
      </c>
      <c r="B62" s="11" t="s">
        <v>9</v>
      </c>
      <c r="C62" s="11">
        <v>45</v>
      </c>
      <c r="D62" s="11" t="s">
        <v>10</v>
      </c>
      <c r="E62" s="15">
        <v>61</v>
      </c>
      <c r="F62" s="11" t="s">
        <v>738</v>
      </c>
      <c r="G62" s="11" t="s">
        <v>1784</v>
      </c>
      <c r="H62" s="15" t="s">
        <v>5</v>
      </c>
      <c r="I62" s="15">
        <v>10</v>
      </c>
      <c r="J62" s="12" t="s">
        <v>11</v>
      </c>
      <c r="K62" s="591">
        <f>(9*35)+(1*26.4)</f>
        <v>341.4</v>
      </c>
      <c r="L62" s="120" t="s">
        <v>2033</v>
      </c>
      <c r="M62" s="132">
        <v>8</v>
      </c>
      <c r="N62" s="133">
        <v>10</v>
      </c>
      <c r="O62" s="119">
        <f t="shared" si="0"/>
        <v>0</v>
      </c>
    </row>
    <row r="63" spans="1:15">
      <c r="A63" s="590" t="s">
        <v>1031</v>
      </c>
      <c r="B63" s="11" t="s">
        <v>9</v>
      </c>
      <c r="C63" s="11">
        <v>45</v>
      </c>
      <c r="D63" s="11" t="s">
        <v>10</v>
      </c>
      <c r="E63" s="15">
        <v>62</v>
      </c>
      <c r="F63" s="11" t="s">
        <v>1381</v>
      </c>
      <c r="G63" s="11" t="s">
        <v>1784</v>
      </c>
      <c r="H63" s="15" t="s">
        <v>5</v>
      </c>
      <c r="I63" s="15">
        <v>25</v>
      </c>
      <c r="J63" s="12" t="s">
        <v>112</v>
      </c>
      <c r="K63" s="591">
        <f>(24*35)+(1*26.4)</f>
        <v>866.4</v>
      </c>
      <c r="L63" s="120" t="s">
        <v>2033</v>
      </c>
      <c r="M63" s="132">
        <v>8</v>
      </c>
      <c r="N63" s="133">
        <v>25</v>
      </c>
      <c r="O63" s="119">
        <f t="shared" si="0"/>
        <v>0</v>
      </c>
    </row>
    <row r="64" spans="1:15">
      <c r="A64" s="590" t="s">
        <v>1031</v>
      </c>
      <c r="B64" s="11" t="s">
        <v>9</v>
      </c>
      <c r="C64" s="11">
        <v>45</v>
      </c>
      <c r="D64" s="11" t="s">
        <v>10</v>
      </c>
      <c r="E64" s="15">
        <v>63</v>
      </c>
      <c r="F64" s="11" t="s">
        <v>404</v>
      </c>
      <c r="G64" s="11" t="s">
        <v>1784</v>
      </c>
      <c r="H64" s="15" t="s">
        <v>5</v>
      </c>
      <c r="I64" s="15">
        <v>25</v>
      </c>
      <c r="J64" s="12" t="s">
        <v>112</v>
      </c>
      <c r="K64" s="591">
        <f>(24*35)+(1*26.4)</f>
        <v>866.4</v>
      </c>
      <c r="L64" s="120" t="s">
        <v>2033</v>
      </c>
      <c r="M64" s="132">
        <v>7</v>
      </c>
      <c r="N64" s="133">
        <f>7+18</f>
        <v>25</v>
      </c>
      <c r="O64" s="119">
        <f t="shared" si="0"/>
        <v>0</v>
      </c>
    </row>
    <row r="65" spans="1:15">
      <c r="A65" s="590" t="s">
        <v>1031</v>
      </c>
      <c r="B65" s="11" t="s">
        <v>9</v>
      </c>
      <c r="C65" s="11">
        <v>45</v>
      </c>
      <c r="D65" s="11" t="s">
        <v>10</v>
      </c>
      <c r="E65" s="15">
        <v>65</v>
      </c>
      <c r="F65" s="11" t="s">
        <v>490</v>
      </c>
      <c r="G65" s="11" t="s">
        <v>1784</v>
      </c>
      <c r="H65" s="15" t="s">
        <v>5</v>
      </c>
      <c r="I65" s="15">
        <v>15</v>
      </c>
      <c r="J65" s="12" t="s">
        <v>13</v>
      </c>
      <c r="K65" s="591">
        <f>(14*35)+(1*26.4)</f>
        <v>516.4</v>
      </c>
      <c r="L65" s="120" t="s">
        <v>2033</v>
      </c>
      <c r="M65" s="132">
        <v>13</v>
      </c>
      <c r="N65" s="133">
        <f>8+7</f>
        <v>15</v>
      </c>
      <c r="O65" s="119">
        <f t="shared" si="0"/>
        <v>0</v>
      </c>
    </row>
    <row r="66" spans="1:15">
      <c r="A66" s="590" t="s">
        <v>1031</v>
      </c>
      <c r="B66" s="11" t="s">
        <v>9</v>
      </c>
      <c r="C66" s="11">
        <v>45</v>
      </c>
      <c r="D66" s="11" t="s">
        <v>10</v>
      </c>
      <c r="E66" s="15">
        <v>67</v>
      </c>
      <c r="F66" s="11" t="s">
        <v>1355</v>
      </c>
      <c r="G66" s="11" t="s">
        <v>1784</v>
      </c>
      <c r="H66" s="15" t="s">
        <v>5</v>
      </c>
      <c r="I66" s="15">
        <v>30</v>
      </c>
      <c r="J66" s="12" t="s">
        <v>1785</v>
      </c>
      <c r="K66" s="591">
        <f>(28*35)+(2*26.4)</f>
        <v>1032.8</v>
      </c>
      <c r="L66" s="121" t="s">
        <v>2033</v>
      </c>
      <c r="M66" s="132">
        <v>2</v>
      </c>
      <c r="N66" s="133">
        <f>20+10</f>
        <v>30</v>
      </c>
      <c r="O66" s="119">
        <f t="shared" si="0"/>
        <v>0</v>
      </c>
    </row>
    <row r="67" spans="1:15">
      <c r="A67" s="590" t="s">
        <v>1031</v>
      </c>
      <c r="B67" s="11" t="s">
        <v>9</v>
      </c>
      <c r="C67" s="11">
        <v>45</v>
      </c>
      <c r="D67" s="11" t="s">
        <v>10</v>
      </c>
      <c r="E67" s="15">
        <v>68</v>
      </c>
      <c r="F67" s="11" t="s">
        <v>1399</v>
      </c>
      <c r="G67" s="11" t="s">
        <v>1784</v>
      </c>
      <c r="H67" s="15" t="s">
        <v>5</v>
      </c>
      <c r="I67" s="15">
        <v>25</v>
      </c>
      <c r="J67" s="12" t="s">
        <v>1786</v>
      </c>
      <c r="K67" s="591">
        <f>(23*35)+(2*26.4)</f>
        <v>857.8</v>
      </c>
      <c r="L67" s="121" t="s">
        <v>2033</v>
      </c>
      <c r="M67" s="132">
        <v>6</v>
      </c>
      <c r="N67" s="138">
        <v>25</v>
      </c>
      <c r="O67" s="119">
        <f t="shared" ref="O67:O130" si="2">I67-N67</f>
        <v>0</v>
      </c>
    </row>
    <row r="68" spans="1:15">
      <c r="A68" s="590" t="s">
        <v>1031</v>
      </c>
      <c r="B68" s="11" t="s">
        <v>9</v>
      </c>
      <c r="C68" s="11">
        <v>45</v>
      </c>
      <c r="D68" s="11" t="s">
        <v>10</v>
      </c>
      <c r="E68" s="15">
        <v>69</v>
      </c>
      <c r="F68" s="11" t="s">
        <v>425</v>
      </c>
      <c r="G68" s="11" t="s">
        <v>1784</v>
      </c>
      <c r="H68" s="15" t="s">
        <v>5</v>
      </c>
      <c r="I68" s="15">
        <v>15</v>
      </c>
      <c r="J68" s="12" t="s">
        <v>35</v>
      </c>
      <c r="K68" s="591">
        <f>(13*35)+(2*26.4)</f>
        <v>507.8</v>
      </c>
      <c r="L68" s="121" t="s">
        <v>2033</v>
      </c>
      <c r="M68" s="132">
        <v>10</v>
      </c>
      <c r="N68" s="138">
        <f>8+7</f>
        <v>15</v>
      </c>
      <c r="O68" s="119">
        <f t="shared" si="2"/>
        <v>0</v>
      </c>
    </row>
    <row r="69" spans="1:15">
      <c r="A69" s="590" t="s">
        <v>1031</v>
      </c>
      <c r="B69" s="11" t="s">
        <v>9</v>
      </c>
      <c r="C69" s="11">
        <v>45</v>
      </c>
      <c r="D69" s="11" t="s">
        <v>10</v>
      </c>
      <c r="E69" s="15">
        <v>70</v>
      </c>
      <c r="F69" s="11" t="s">
        <v>1356</v>
      </c>
      <c r="G69" s="11" t="s">
        <v>1784</v>
      </c>
      <c r="H69" s="15" t="s">
        <v>5</v>
      </c>
      <c r="I69" s="15">
        <v>15</v>
      </c>
      <c r="J69" s="12" t="s">
        <v>159</v>
      </c>
      <c r="K69" s="591">
        <f>(15*35)</f>
        <v>525</v>
      </c>
      <c r="L69" s="121" t="s">
        <v>2033</v>
      </c>
      <c r="M69" s="132">
        <v>3</v>
      </c>
      <c r="N69" s="133">
        <f>8+7</f>
        <v>15</v>
      </c>
      <c r="O69" s="119">
        <f t="shared" si="2"/>
        <v>0</v>
      </c>
    </row>
    <row r="70" spans="1:15">
      <c r="A70" s="590" t="s">
        <v>1174</v>
      </c>
      <c r="B70" s="11" t="s">
        <v>9</v>
      </c>
      <c r="C70" s="11">
        <v>46</v>
      </c>
      <c r="D70" s="11" t="s">
        <v>10</v>
      </c>
      <c r="E70" s="15">
        <v>47</v>
      </c>
      <c r="F70" s="11" t="s">
        <v>667</v>
      </c>
      <c r="G70" s="11" t="s">
        <v>778</v>
      </c>
      <c r="H70" s="15" t="s">
        <v>5</v>
      </c>
      <c r="I70" s="15">
        <v>10</v>
      </c>
      <c r="J70" s="12" t="s">
        <v>11</v>
      </c>
      <c r="K70" s="591">
        <f>(9*35)+(1*26.4)</f>
        <v>341.4</v>
      </c>
      <c r="L70" s="121" t="s">
        <v>2029</v>
      </c>
      <c r="M70" s="132">
        <v>3</v>
      </c>
      <c r="N70" s="133">
        <v>10</v>
      </c>
      <c r="O70" s="119">
        <f t="shared" si="2"/>
        <v>0</v>
      </c>
    </row>
    <row r="71" spans="1:15">
      <c r="A71" s="590" t="s">
        <v>1174</v>
      </c>
      <c r="B71" s="11" t="s">
        <v>9</v>
      </c>
      <c r="C71" s="11">
        <v>46</v>
      </c>
      <c r="D71" s="11" t="s">
        <v>10</v>
      </c>
      <c r="E71" s="15">
        <v>48</v>
      </c>
      <c r="F71" s="11" t="s">
        <v>630</v>
      </c>
      <c r="G71" s="11" t="s">
        <v>778</v>
      </c>
      <c r="H71" s="15" t="s">
        <v>5</v>
      </c>
      <c r="I71" s="15">
        <v>10</v>
      </c>
      <c r="J71" s="12" t="s">
        <v>401</v>
      </c>
      <c r="K71" s="591">
        <f>(10*35)</f>
        <v>350</v>
      </c>
      <c r="L71" s="121" t="s">
        <v>2029</v>
      </c>
      <c r="M71" s="132">
        <v>3</v>
      </c>
      <c r="N71" s="133">
        <v>10</v>
      </c>
      <c r="O71" s="119">
        <f t="shared" si="2"/>
        <v>0</v>
      </c>
    </row>
    <row r="72" spans="1:15">
      <c r="A72" s="590" t="s">
        <v>1174</v>
      </c>
      <c r="B72" s="11" t="s">
        <v>9</v>
      </c>
      <c r="C72" s="11">
        <v>46</v>
      </c>
      <c r="D72" s="11" t="s">
        <v>10</v>
      </c>
      <c r="E72" s="15">
        <v>50</v>
      </c>
      <c r="F72" s="11" t="s">
        <v>726</v>
      </c>
      <c r="G72" s="11" t="s">
        <v>778</v>
      </c>
      <c r="H72" s="15" t="s">
        <v>5</v>
      </c>
      <c r="I72" s="15">
        <v>20</v>
      </c>
      <c r="J72" s="12" t="s">
        <v>142</v>
      </c>
      <c r="K72" s="591">
        <f>(20*35)</f>
        <v>700</v>
      </c>
      <c r="L72" s="121" t="s">
        <v>2033</v>
      </c>
      <c r="M72" s="120">
        <v>14</v>
      </c>
      <c r="N72" s="130">
        <v>20</v>
      </c>
      <c r="O72" s="119">
        <f t="shared" si="2"/>
        <v>0</v>
      </c>
    </row>
    <row r="73" spans="1:15">
      <c r="A73" s="590" t="s">
        <v>1174</v>
      </c>
      <c r="B73" s="11" t="s">
        <v>9</v>
      </c>
      <c r="C73" s="11">
        <v>46</v>
      </c>
      <c r="D73" s="11" t="s">
        <v>10</v>
      </c>
      <c r="E73" s="15">
        <v>51</v>
      </c>
      <c r="F73" s="11" t="s">
        <v>470</v>
      </c>
      <c r="G73" s="11" t="s">
        <v>778</v>
      </c>
      <c r="H73" s="15" t="s">
        <v>5</v>
      </c>
      <c r="I73" s="15">
        <v>15</v>
      </c>
      <c r="J73" s="12" t="s">
        <v>159</v>
      </c>
      <c r="K73" s="591">
        <f>(15*35)</f>
        <v>525</v>
      </c>
      <c r="L73" s="121" t="s">
        <v>2029</v>
      </c>
      <c r="M73" s="132" t="s">
        <v>2032</v>
      </c>
      <c r="N73" s="138">
        <f>12+3</f>
        <v>15</v>
      </c>
      <c r="O73" s="119">
        <f t="shared" si="2"/>
        <v>0</v>
      </c>
    </row>
    <row r="74" spans="1:15">
      <c r="A74" s="590" t="s">
        <v>1174</v>
      </c>
      <c r="B74" s="11" t="s">
        <v>9</v>
      </c>
      <c r="C74" s="11">
        <v>46</v>
      </c>
      <c r="D74" s="11" t="s">
        <v>10</v>
      </c>
      <c r="E74" s="15">
        <v>67</v>
      </c>
      <c r="F74" s="11" t="s">
        <v>390</v>
      </c>
      <c r="G74" s="11" t="s">
        <v>778</v>
      </c>
      <c r="H74" s="15" t="s">
        <v>15</v>
      </c>
      <c r="I74" s="15">
        <v>15</v>
      </c>
      <c r="J74" s="12" t="s">
        <v>97</v>
      </c>
      <c r="K74" s="591">
        <f>(15*38)</f>
        <v>570</v>
      </c>
      <c r="L74" s="121" t="s">
        <v>2082</v>
      </c>
      <c r="M74" s="132">
        <v>7</v>
      </c>
      <c r="N74" s="138">
        <f>9+6</f>
        <v>15</v>
      </c>
      <c r="O74" s="119">
        <f t="shared" si="2"/>
        <v>0</v>
      </c>
    </row>
    <row r="75" spans="1:15">
      <c r="A75" s="590" t="s">
        <v>1188</v>
      </c>
      <c r="B75" s="11" t="s">
        <v>9</v>
      </c>
      <c r="C75" s="11">
        <v>47</v>
      </c>
      <c r="D75" s="11" t="s">
        <v>10</v>
      </c>
      <c r="E75" s="15">
        <v>60</v>
      </c>
      <c r="F75" s="11" t="s">
        <v>120</v>
      </c>
      <c r="G75" s="11" t="s">
        <v>778</v>
      </c>
      <c r="H75" s="15" t="s">
        <v>5</v>
      </c>
      <c r="I75" s="15">
        <v>25</v>
      </c>
      <c r="J75" s="12" t="s">
        <v>1786</v>
      </c>
      <c r="K75" s="591">
        <f>(23*35)+(2*26.4)</f>
        <v>857.8</v>
      </c>
      <c r="L75" s="121" t="s">
        <v>2033</v>
      </c>
      <c r="M75" s="136">
        <v>14</v>
      </c>
      <c r="N75" s="133">
        <v>25</v>
      </c>
      <c r="O75" s="119">
        <f t="shared" si="2"/>
        <v>0</v>
      </c>
    </row>
    <row r="76" spans="1:15">
      <c r="A76" s="590" t="s">
        <v>1973</v>
      </c>
      <c r="B76" s="11" t="s">
        <v>9</v>
      </c>
      <c r="C76" s="11">
        <v>48</v>
      </c>
      <c r="D76" s="11" t="s">
        <v>10</v>
      </c>
      <c r="E76" s="15">
        <v>56</v>
      </c>
      <c r="F76" s="11" t="s">
        <v>1952</v>
      </c>
      <c r="G76" s="11" t="s">
        <v>778</v>
      </c>
      <c r="H76" s="15" t="s">
        <v>5</v>
      </c>
      <c r="I76" s="15">
        <v>15</v>
      </c>
      <c r="J76" s="12" t="s">
        <v>159</v>
      </c>
      <c r="K76" s="591">
        <f>(15*35)</f>
        <v>525</v>
      </c>
      <c r="L76" s="121" t="s">
        <v>2033</v>
      </c>
      <c r="M76" s="136" t="s">
        <v>2053</v>
      </c>
      <c r="N76" s="133">
        <f>4+11</f>
        <v>15</v>
      </c>
      <c r="O76" s="119">
        <f t="shared" si="2"/>
        <v>0</v>
      </c>
    </row>
    <row r="77" spans="1:15">
      <c r="A77" s="590" t="s">
        <v>1973</v>
      </c>
      <c r="B77" s="11" t="s">
        <v>9</v>
      </c>
      <c r="C77" s="11">
        <v>48</v>
      </c>
      <c r="D77" s="11" t="s">
        <v>10</v>
      </c>
      <c r="E77" s="15">
        <v>59</v>
      </c>
      <c r="F77" s="11" t="s">
        <v>478</v>
      </c>
      <c r="G77" s="11" t="s">
        <v>778</v>
      </c>
      <c r="H77" s="15" t="s">
        <v>5</v>
      </c>
      <c r="I77" s="15">
        <v>15</v>
      </c>
      <c r="J77" s="12" t="s">
        <v>13</v>
      </c>
      <c r="K77" s="591">
        <f>(14*35)+(1*26.4)</f>
        <v>516.4</v>
      </c>
      <c r="L77" s="121" t="s">
        <v>2033</v>
      </c>
      <c r="M77" s="136" t="s">
        <v>2050</v>
      </c>
      <c r="N77" s="133">
        <f>6+9</f>
        <v>15</v>
      </c>
      <c r="O77" s="119">
        <f t="shared" si="2"/>
        <v>0</v>
      </c>
    </row>
    <row r="78" spans="1:15">
      <c r="A78" s="590" t="s">
        <v>1170</v>
      </c>
      <c r="B78" s="11" t="s">
        <v>9</v>
      </c>
      <c r="C78" s="11">
        <v>46</v>
      </c>
      <c r="D78" s="11" t="s">
        <v>10</v>
      </c>
      <c r="E78" s="15">
        <v>46</v>
      </c>
      <c r="F78" s="11" t="s">
        <v>763</v>
      </c>
      <c r="G78" s="11" t="s">
        <v>1795</v>
      </c>
      <c r="H78" s="15" t="s">
        <v>5</v>
      </c>
      <c r="I78" s="15">
        <v>25</v>
      </c>
      <c r="J78" s="12" t="s">
        <v>112</v>
      </c>
      <c r="K78" s="591">
        <f>(24*35)+(1*26.4)</f>
        <v>866.4</v>
      </c>
      <c r="L78" s="121" t="s">
        <v>2033</v>
      </c>
      <c r="M78" s="132" t="s">
        <v>604</v>
      </c>
      <c r="N78" s="133">
        <f>5+20</f>
        <v>25</v>
      </c>
      <c r="O78" s="119">
        <f t="shared" si="2"/>
        <v>0</v>
      </c>
    </row>
    <row r="79" spans="1:15">
      <c r="A79" s="590" t="s">
        <v>1170</v>
      </c>
      <c r="B79" s="11" t="s">
        <v>9</v>
      </c>
      <c r="C79" s="11">
        <v>46</v>
      </c>
      <c r="D79" s="11" t="s">
        <v>10</v>
      </c>
      <c r="E79" s="15">
        <v>69</v>
      </c>
      <c r="F79" s="11" t="s">
        <v>720</v>
      </c>
      <c r="G79" s="11" t="s">
        <v>1795</v>
      </c>
      <c r="H79" s="15" t="s">
        <v>143</v>
      </c>
      <c r="I79" s="15">
        <v>15</v>
      </c>
      <c r="J79" s="12" t="s">
        <v>13</v>
      </c>
      <c r="K79" s="591">
        <f>(14*35)+(1*26.4)</f>
        <v>516.4</v>
      </c>
      <c r="L79" s="121" t="s">
        <v>2033</v>
      </c>
      <c r="M79" s="132" t="s">
        <v>2035</v>
      </c>
      <c r="N79" s="133">
        <f>10+5</f>
        <v>15</v>
      </c>
      <c r="O79" s="119">
        <f t="shared" si="2"/>
        <v>0</v>
      </c>
    </row>
    <row r="80" spans="1:15">
      <c r="A80" s="590" t="s">
        <v>1178</v>
      </c>
      <c r="B80" s="11" t="s">
        <v>150</v>
      </c>
      <c r="C80" s="11">
        <v>50</v>
      </c>
      <c r="D80" s="11" t="s">
        <v>144</v>
      </c>
      <c r="E80" s="15">
        <v>190</v>
      </c>
      <c r="F80" s="11" t="s">
        <v>663</v>
      </c>
      <c r="G80" s="11" t="s">
        <v>1858</v>
      </c>
      <c r="H80" s="15" t="s">
        <v>15</v>
      </c>
      <c r="I80" s="15">
        <v>20</v>
      </c>
      <c r="J80" s="12" t="s">
        <v>682</v>
      </c>
      <c r="K80" s="591">
        <f>(19*38)+(1*33.7)</f>
        <v>755.7</v>
      </c>
      <c r="L80" s="121" t="s">
        <v>2082</v>
      </c>
      <c r="M80" s="132">
        <v>9</v>
      </c>
      <c r="N80" s="133">
        <f>20</f>
        <v>20</v>
      </c>
      <c r="O80" s="119">
        <f t="shared" si="2"/>
        <v>0</v>
      </c>
    </row>
    <row r="81" spans="1:15">
      <c r="A81" s="590" t="s">
        <v>1181</v>
      </c>
      <c r="B81" s="11" t="s">
        <v>150</v>
      </c>
      <c r="C81" s="11">
        <v>46</v>
      </c>
      <c r="D81" s="11" t="s">
        <v>7</v>
      </c>
      <c r="E81" s="15">
        <v>827</v>
      </c>
      <c r="F81" s="11" t="s">
        <v>1870</v>
      </c>
      <c r="G81" s="11" t="s">
        <v>644</v>
      </c>
      <c r="H81" s="15" t="s">
        <v>15</v>
      </c>
      <c r="I81" s="15">
        <v>15</v>
      </c>
      <c r="J81" s="12" t="s">
        <v>159</v>
      </c>
      <c r="K81" s="591">
        <f>(15*35)</f>
        <v>525</v>
      </c>
      <c r="L81" s="121" t="s">
        <v>2082</v>
      </c>
      <c r="M81" s="132">
        <v>4</v>
      </c>
      <c r="N81" s="133">
        <v>15</v>
      </c>
      <c r="O81" s="119">
        <f t="shared" si="2"/>
        <v>0</v>
      </c>
    </row>
    <row r="82" spans="1:15">
      <c r="A82" s="590" t="s">
        <v>1184</v>
      </c>
      <c r="B82" s="11" t="s">
        <v>150</v>
      </c>
      <c r="C82" s="11">
        <v>48</v>
      </c>
      <c r="D82" s="11" t="s">
        <v>7</v>
      </c>
      <c r="E82" s="15">
        <v>1272</v>
      </c>
      <c r="F82" s="11" t="s">
        <v>1892</v>
      </c>
      <c r="G82" s="11" t="s">
        <v>644</v>
      </c>
      <c r="H82" s="15" t="s">
        <v>15</v>
      </c>
      <c r="I82" s="15">
        <v>15</v>
      </c>
      <c r="J82" s="12" t="s">
        <v>159</v>
      </c>
      <c r="K82" s="591">
        <f>(15*35)</f>
        <v>525</v>
      </c>
      <c r="L82" s="121" t="s">
        <v>2090</v>
      </c>
      <c r="M82" s="136"/>
      <c r="N82" s="15">
        <v>15</v>
      </c>
      <c r="O82" s="119">
        <f t="shared" si="2"/>
        <v>0</v>
      </c>
    </row>
    <row r="83" spans="1:15">
      <c r="A83" s="590" t="s">
        <v>1184</v>
      </c>
      <c r="B83" s="11" t="s">
        <v>150</v>
      </c>
      <c r="C83" s="11">
        <v>48</v>
      </c>
      <c r="D83" s="11" t="s">
        <v>7</v>
      </c>
      <c r="E83" s="15">
        <v>1273</v>
      </c>
      <c r="F83" s="11" t="s">
        <v>1893</v>
      </c>
      <c r="G83" s="11" t="s">
        <v>644</v>
      </c>
      <c r="H83" s="15" t="s">
        <v>15</v>
      </c>
      <c r="I83" s="15">
        <v>15</v>
      </c>
      <c r="J83" s="12" t="s">
        <v>159</v>
      </c>
      <c r="K83" s="591">
        <f>(15*35)</f>
        <v>525</v>
      </c>
      <c r="L83" s="121" t="s">
        <v>2090</v>
      </c>
      <c r="M83" s="136"/>
      <c r="N83" s="15">
        <v>15</v>
      </c>
      <c r="O83" s="119">
        <f t="shared" si="2"/>
        <v>0</v>
      </c>
    </row>
    <row r="84" spans="1:15">
      <c r="A84" s="590" t="s">
        <v>1184</v>
      </c>
      <c r="B84" s="11" t="s">
        <v>150</v>
      </c>
      <c r="C84" s="11">
        <v>48</v>
      </c>
      <c r="D84" s="11" t="s">
        <v>7</v>
      </c>
      <c r="E84" s="15">
        <v>1276</v>
      </c>
      <c r="F84" s="11" t="s">
        <v>1894</v>
      </c>
      <c r="G84" s="11" t="s">
        <v>644</v>
      </c>
      <c r="H84" s="15" t="s">
        <v>15</v>
      </c>
      <c r="I84" s="15">
        <v>20</v>
      </c>
      <c r="J84" s="12" t="s">
        <v>142</v>
      </c>
      <c r="K84" s="591">
        <f>(20*35)</f>
        <v>700</v>
      </c>
      <c r="L84" s="121" t="s">
        <v>2090</v>
      </c>
      <c r="M84" s="136"/>
      <c r="N84" s="15">
        <v>20</v>
      </c>
      <c r="O84" s="119">
        <f t="shared" si="2"/>
        <v>0</v>
      </c>
    </row>
    <row r="85" spans="1:15">
      <c r="A85" s="590" t="s">
        <v>1190</v>
      </c>
      <c r="B85" s="11" t="s">
        <v>150</v>
      </c>
      <c r="C85" s="11">
        <v>46</v>
      </c>
      <c r="D85" s="11" t="s">
        <v>7</v>
      </c>
      <c r="E85" s="15">
        <v>826</v>
      </c>
      <c r="F85" s="11" t="s">
        <v>1925</v>
      </c>
      <c r="G85" s="11" t="s">
        <v>644</v>
      </c>
      <c r="H85" s="15" t="s">
        <v>15</v>
      </c>
      <c r="I85" s="15">
        <v>30</v>
      </c>
      <c r="J85" s="12" t="s">
        <v>661</v>
      </c>
      <c r="K85" s="591">
        <f>(29*35)+(1*27.3)</f>
        <v>1042.3</v>
      </c>
      <c r="L85" s="121" t="s">
        <v>2055</v>
      </c>
      <c r="M85" s="136">
        <v>1</v>
      </c>
      <c r="N85" s="15">
        <v>30</v>
      </c>
      <c r="O85" s="630">
        <f t="shared" si="2"/>
        <v>0</v>
      </c>
    </row>
    <row r="86" spans="1:15">
      <c r="A86" s="77" t="s">
        <v>1129</v>
      </c>
      <c r="B86" s="15" t="s">
        <v>9</v>
      </c>
      <c r="C86" s="15">
        <v>38</v>
      </c>
      <c r="D86" s="15" t="s">
        <v>16</v>
      </c>
      <c r="E86" s="15">
        <v>442</v>
      </c>
      <c r="F86" s="15" t="s">
        <v>1531</v>
      </c>
      <c r="G86" s="15" t="s">
        <v>1345</v>
      </c>
      <c r="H86" s="15" t="s">
        <v>15</v>
      </c>
      <c r="I86" s="15">
        <v>30</v>
      </c>
      <c r="J86" s="18" t="s">
        <v>25</v>
      </c>
      <c r="K86" s="589">
        <f>(29*38)+(1*29.4)</f>
        <v>1131.4000000000001</v>
      </c>
      <c r="L86" s="120" t="s">
        <v>2033</v>
      </c>
      <c r="M86" s="132">
        <v>1</v>
      </c>
      <c r="N86" s="133">
        <f>20+10</f>
        <v>30</v>
      </c>
      <c r="O86" s="119">
        <f t="shared" si="2"/>
        <v>0</v>
      </c>
    </row>
    <row r="87" spans="1:15">
      <c r="A87" s="77" t="s">
        <v>1129</v>
      </c>
      <c r="B87" s="15" t="s">
        <v>9</v>
      </c>
      <c r="C87" s="15">
        <v>38</v>
      </c>
      <c r="D87" s="15" t="s">
        <v>16</v>
      </c>
      <c r="E87" s="15">
        <v>444</v>
      </c>
      <c r="F87" s="15" t="s">
        <v>779</v>
      </c>
      <c r="G87" s="15" t="s">
        <v>1345</v>
      </c>
      <c r="H87" s="15" t="s">
        <v>15</v>
      </c>
      <c r="I87" s="15">
        <v>30</v>
      </c>
      <c r="J87" s="18" t="s">
        <v>25</v>
      </c>
      <c r="K87" s="589">
        <f>(29*38)+(1*29.4)</f>
        <v>1131.4000000000001</v>
      </c>
      <c r="L87" s="120" t="s">
        <v>2033</v>
      </c>
      <c r="M87" s="132">
        <v>7</v>
      </c>
      <c r="N87" s="133">
        <f>20+10</f>
        <v>30</v>
      </c>
      <c r="O87" s="119">
        <f t="shared" si="2"/>
        <v>0</v>
      </c>
    </row>
    <row r="88" spans="1:15">
      <c r="A88" s="590" t="s">
        <v>976</v>
      </c>
      <c r="B88" s="11" t="s">
        <v>9</v>
      </c>
      <c r="C88" s="11">
        <v>38</v>
      </c>
      <c r="D88" s="11" t="s">
        <v>10</v>
      </c>
      <c r="E88" s="11">
        <v>437</v>
      </c>
      <c r="F88" s="11" t="s">
        <v>1451</v>
      </c>
      <c r="G88" s="11" t="s">
        <v>1345</v>
      </c>
      <c r="H88" s="11" t="s">
        <v>15</v>
      </c>
      <c r="I88" s="11">
        <v>10</v>
      </c>
      <c r="J88" s="12" t="s">
        <v>27</v>
      </c>
      <c r="K88" s="591">
        <f>(9*38)+(1*29.4)</f>
        <v>371.4</v>
      </c>
      <c r="L88" s="121" t="s">
        <v>2033</v>
      </c>
      <c r="M88" s="132">
        <v>2</v>
      </c>
      <c r="N88" s="133">
        <v>10</v>
      </c>
      <c r="O88" s="119">
        <f t="shared" si="2"/>
        <v>0</v>
      </c>
    </row>
    <row r="89" spans="1:15">
      <c r="A89" s="590" t="s">
        <v>1004</v>
      </c>
      <c r="B89" s="11" t="s">
        <v>9</v>
      </c>
      <c r="C89" s="11">
        <v>44</v>
      </c>
      <c r="D89" s="11" t="s">
        <v>10</v>
      </c>
      <c r="E89" s="15">
        <v>619</v>
      </c>
      <c r="F89" s="11" t="s">
        <v>1623</v>
      </c>
      <c r="G89" s="11" t="s">
        <v>1345</v>
      </c>
      <c r="H89" s="15" t="s">
        <v>15</v>
      </c>
      <c r="I89" s="15">
        <v>15</v>
      </c>
      <c r="J89" s="12" t="s">
        <v>38</v>
      </c>
      <c r="K89" s="591">
        <f>(13*38)+(2*29.4)</f>
        <v>552.79999999999995</v>
      </c>
      <c r="L89" s="121" t="s">
        <v>2033</v>
      </c>
      <c r="M89" s="132">
        <v>6</v>
      </c>
      <c r="N89" s="133">
        <f>7+8</f>
        <v>15</v>
      </c>
      <c r="O89" s="119">
        <f t="shared" si="2"/>
        <v>0</v>
      </c>
    </row>
    <row r="90" spans="1:15">
      <c r="A90" s="590" t="s">
        <v>1004</v>
      </c>
      <c r="B90" s="11" t="s">
        <v>9</v>
      </c>
      <c r="C90" s="11">
        <v>44</v>
      </c>
      <c r="D90" s="11" t="s">
        <v>10</v>
      </c>
      <c r="E90" s="15">
        <v>621</v>
      </c>
      <c r="F90" s="11" t="s">
        <v>1440</v>
      </c>
      <c r="G90" s="11" t="s">
        <v>1345</v>
      </c>
      <c r="H90" s="15" t="s">
        <v>15</v>
      </c>
      <c r="I90" s="15">
        <v>30</v>
      </c>
      <c r="J90" s="12" t="s">
        <v>1520</v>
      </c>
      <c r="K90" s="591">
        <f>(28*38)+(2*29.4)</f>
        <v>1122.8</v>
      </c>
      <c r="L90" s="121" t="s">
        <v>2033</v>
      </c>
      <c r="M90" s="132">
        <v>3</v>
      </c>
      <c r="N90" s="133">
        <f>20+10</f>
        <v>30</v>
      </c>
      <c r="O90" s="119">
        <f t="shared" si="2"/>
        <v>0</v>
      </c>
    </row>
    <row r="91" spans="1:15">
      <c r="A91" s="590" t="s">
        <v>1018</v>
      </c>
      <c r="B91" s="11" t="s">
        <v>6</v>
      </c>
      <c r="C91" s="11">
        <v>47</v>
      </c>
      <c r="D91" s="11" t="s">
        <v>82</v>
      </c>
      <c r="E91" s="15">
        <v>5122</v>
      </c>
      <c r="F91" s="11" t="s">
        <v>1706</v>
      </c>
      <c r="G91" s="11" t="s">
        <v>502</v>
      </c>
      <c r="H91" s="15" t="s">
        <v>1578</v>
      </c>
      <c r="I91" s="15">
        <v>20</v>
      </c>
      <c r="J91" s="12" t="s">
        <v>360</v>
      </c>
      <c r="K91" s="591">
        <f>(19*19)+(1*12)</f>
        <v>373</v>
      </c>
      <c r="L91" s="121" t="s">
        <v>2055</v>
      </c>
      <c r="M91" s="132">
        <v>2</v>
      </c>
      <c r="N91" s="133">
        <v>20</v>
      </c>
      <c r="O91" s="119">
        <f t="shared" si="2"/>
        <v>0</v>
      </c>
    </row>
    <row r="92" spans="1:15">
      <c r="A92" s="590" t="s">
        <v>1018</v>
      </c>
      <c r="B92" s="11" t="s">
        <v>6</v>
      </c>
      <c r="C92" s="11">
        <v>47</v>
      </c>
      <c r="D92" s="11" t="s">
        <v>82</v>
      </c>
      <c r="E92" s="15">
        <v>5126</v>
      </c>
      <c r="F92" s="11" t="s">
        <v>1707</v>
      </c>
      <c r="G92" s="11" t="s">
        <v>502</v>
      </c>
      <c r="H92" s="15" t="s">
        <v>8</v>
      </c>
      <c r="I92" s="15">
        <v>10</v>
      </c>
      <c r="J92" s="12" t="s">
        <v>1708</v>
      </c>
      <c r="K92" s="591">
        <f>(9*42)+(1*37.9)</f>
        <v>415.9</v>
      </c>
      <c r="L92" s="121" t="s">
        <v>2055</v>
      </c>
      <c r="M92" s="132">
        <v>1</v>
      </c>
      <c r="N92" s="133">
        <v>10</v>
      </c>
      <c r="O92" s="119">
        <f t="shared" si="2"/>
        <v>0</v>
      </c>
    </row>
    <row r="93" spans="1:15">
      <c r="A93" s="590" t="s">
        <v>1184</v>
      </c>
      <c r="B93" s="11" t="s">
        <v>150</v>
      </c>
      <c r="C93" s="11">
        <v>48</v>
      </c>
      <c r="D93" s="11" t="s">
        <v>51</v>
      </c>
      <c r="E93" s="15">
        <v>1297</v>
      </c>
      <c r="F93" s="11" t="s">
        <v>695</v>
      </c>
      <c r="G93" s="11" t="s">
        <v>479</v>
      </c>
      <c r="H93" s="15" t="s">
        <v>15</v>
      </c>
      <c r="I93" s="15">
        <v>10</v>
      </c>
      <c r="J93" s="12" t="s">
        <v>1902</v>
      </c>
      <c r="K93" s="591">
        <f>(9*36)+(1*31.7)</f>
        <v>355.7</v>
      </c>
      <c r="L93" s="121" t="s">
        <v>2090</v>
      </c>
      <c r="M93" s="136"/>
      <c r="N93" s="133">
        <v>10</v>
      </c>
      <c r="O93" s="119">
        <f t="shared" si="2"/>
        <v>0</v>
      </c>
    </row>
    <row r="94" spans="1:15">
      <c r="A94" s="590" t="s">
        <v>1178</v>
      </c>
      <c r="B94" s="11" t="s">
        <v>150</v>
      </c>
      <c r="C94" s="11">
        <v>49</v>
      </c>
      <c r="D94" s="11" t="s">
        <v>144</v>
      </c>
      <c r="E94" s="15">
        <v>21</v>
      </c>
      <c r="F94" s="11" t="s">
        <v>1842</v>
      </c>
      <c r="G94" s="11" t="s">
        <v>677</v>
      </c>
      <c r="H94" s="15" t="s">
        <v>5</v>
      </c>
      <c r="I94" s="15">
        <v>20</v>
      </c>
      <c r="J94" s="12" t="s">
        <v>698</v>
      </c>
      <c r="K94" s="591">
        <f>(19*32)+(1*27.7)</f>
        <v>635.70000000000005</v>
      </c>
      <c r="L94" s="121" t="s">
        <v>2082</v>
      </c>
      <c r="M94" s="132">
        <v>8</v>
      </c>
      <c r="N94" s="133">
        <v>20</v>
      </c>
      <c r="O94" s="119">
        <f t="shared" si="2"/>
        <v>0</v>
      </c>
    </row>
    <row r="95" spans="1:15">
      <c r="A95" s="590" t="s">
        <v>1178</v>
      </c>
      <c r="B95" s="11" t="s">
        <v>150</v>
      </c>
      <c r="C95" s="11">
        <v>49</v>
      </c>
      <c r="D95" s="11" t="s">
        <v>144</v>
      </c>
      <c r="E95" s="15">
        <v>24</v>
      </c>
      <c r="F95" s="11" t="s">
        <v>1843</v>
      </c>
      <c r="G95" s="11" t="s">
        <v>677</v>
      </c>
      <c r="H95" s="15" t="s">
        <v>15</v>
      </c>
      <c r="I95" s="15">
        <v>20</v>
      </c>
      <c r="J95" s="12" t="s">
        <v>1599</v>
      </c>
      <c r="K95" s="591">
        <f>(19*33)+(1*28.7)</f>
        <v>655.7</v>
      </c>
      <c r="L95" s="121" t="s">
        <v>2082</v>
      </c>
      <c r="M95" s="132">
        <v>7</v>
      </c>
      <c r="N95" s="133">
        <f>10+10</f>
        <v>20</v>
      </c>
      <c r="O95" s="119">
        <f t="shared" si="2"/>
        <v>0</v>
      </c>
    </row>
    <row r="96" spans="1:15">
      <c r="A96" s="590" t="s">
        <v>1178</v>
      </c>
      <c r="B96" s="11" t="s">
        <v>150</v>
      </c>
      <c r="C96" s="11">
        <v>50</v>
      </c>
      <c r="D96" s="11" t="s">
        <v>144</v>
      </c>
      <c r="E96" s="15">
        <v>2</v>
      </c>
      <c r="F96" s="11" t="s">
        <v>1857</v>
      </c>
      <c r="G96" s="11" t="s">
        <v>677</v>
      </c>
      <c r="H96" s="15" t="s">
        <v>15</v>
      </c>
      <c r="I96" s="15">
        <v>20</v>
      </c>
      <c r="J96" s="12" t="s">
        <v>1599</v>
      </c>
      <c r="K96" s="591">
        <f>(19*33)+(1*28.7)</f>
        <v>655.7</v>
      </c>
      <c r="L96" s="121" t="s">
        <v>2082</v>
      </c>
      <c r="M96" s="132">
        <v>4</v>
      </c>
      <c r="N96" s="133">
        <v>20</v>
      </c>
      <c r="O96" s="119">
        <f t="shared" si="2"/>
        <v>0</v>
      </c>
    </row>
    <row r="97" spans="1:15">
      <c r="A97" s="590" t="s">
        <v>1181</v>
      </c>
      <c r="B97" s="11" t="s">
        <v>150</v>
      </c>
      <c r="C97" s="11">
        <v>48</v>
      </c>
      <c r="D97" s="11" t="s">
        <v>144</v>
      </c>
      <c r="E97" s="15">
        <v>13</v>
      </c>
      <c r="F97" s="11" t="s">
        <v>1880</v>
      </c>
      <c r="G97" s="11" t="s">
        <v>677</v>
      </c>
      <c r="H97" s="15" t="s">
        <v>15</v>
      </c>
      <c r="I97" s="15">
        <v>20</v>
      </c>
      <c r="J97" s="12" t="s">
        <v>1599</v>
      </c>
      <c r="K97" s="591">
        <f>(19*33)+(1*28.7)</f>
        <v>655.7</v>
      </c>
      <c r="L97" s="121" t="s">
        <v>2033</v>
      </c>
      <c r="M97" s="132">
        <v>8</v>
      </c>
      <c r="N97" s="133">
        <f>10+10</f>
        <v>20</v>
      </c>
      <c r="O97" s="119">
        <f t="shared" si="2"/>
        <v>0</v>
      </c>
    </row>
    <row r="98" spans="1:15">
      <c r="A98" s="590" t="s">
        <v>1181</v>
      </c>
      <c r="B98" s="11" t="s">
        <v>150</v>
      </c>
      <c r="C98" s="11">
        <v>48</v>
      </c>
      <c r="D98" s="11" t="s">
        <v>144</v>
      </c>
      <c r="E98" s="15">
        <v>15</v>
      </c>
      <c r="F98" s="11" t="s">
        <v>1881</v>
      </c>
      <c r="G98" s="11" t="s">
        <v>677</v>
      </c>
      <c r="H98" s="15" t="s">
        <v>15</v>
      </c>
      <c r="I98" s="15">
        <v>20</v>
      </c>
      <c r="J98" s="12" t="s">
        <v>1882</v>
      </c>
      <c r="K98" s="591">
        <f>(18*33)+(2*28.7)</f>
        <v>651.4</v>
      </c>
      <c r="L98" s="121" t="s">
        <v>2033</v>
      </c>
      <c r="M98" s="132" t="s">
        <v>2040</v>
      </c>
      <c r="N98" s="133">
        <f>10+10</f>
        <v>20</v>
      </c>
      <c r="O98" s="119">
        <f t="shared" si="2"/>
        <v>0</v>
      </c>
    </row>
    <row r="99" spans="1:15">
      <c r="A99" s="590" t="s">
        <v>1156</v>
      </c>
      <c r="B99" s="11" t="s">
        <v>9</v>
      </c>
      <c r="C99" s="11">
        <v>40</v>
      </c>
      <c r="D99" s="11" t="s">
        <v>7</v>
      </c>
      <c r="E99" s="15">
        <v>681</v>
      </c>
      <c r="F99" s="11" t="s">
        <v>198</v>
      </c>
      <c r="G99" s="11" t="s">
        <v>1338</v>
      </c>
      <c r="H99" s="15" t="s">
        <v>5</v>
      </c>
      <c r="I99" s="15">
        <v>15</v>
      </c>
      <c r="J99" s="12" t="s">
        <v>159</v>
      </c>
      <c r="K99" s="591">
        <f>(15*35)</f>
        <v>525</v>
      </c>
      <c r="L99" s="121" t="s">
        <v>2033</v>
      </c>
      <c r="M99" s="132">
        <v>6</v>
      </c>
      <c r="N99" s="133">
        <v>15</v>
      </c>
      <c r="O99" s="119">
        <f t="shared" si="2"/>
        <v>0</v>
      </c>
    </row>
    <row r="100" spans="1:15">
      <c r="A100" s="590" t="s">
        <v>1014</v>
      </c>
      <c r="B100" s="11" t="s">
        <v>9</v>
      </c>
      <c r="C100" s="11">
        <v>40</v>
      </c>
      <c r="D100" s="11" t="s">
        <v>29</v>
      </c>
      <c r="E100" s="15">
        <v>122</v>
      </c>
      <c r="F100" s="11" t="s">
        <v>530</v>
      </c>
      <c r="G100" s="11" t="s">
        <v>670</v>
      </c>
      <c r="H100" s="15" t="s">
        <v>5</v>
      </c>
      <c r="I100" s="15">
        <v>20</v>
      </c>
      <c r="J100" s="12" t="s">
        <v>155</v>
      </c>
      <c r="K100" s="591">
        <f>(20*26)</f>
        <v>520</v>
      </c>
      <c r="L100" s="121" t="s">
        <v>2033</v>
      </c>
      <c r="M100" s="132">
        <v>10</v>
      </c>
      <c r="N100" s="133">
        <v>20</v>
      </c>
      <c r="O100" s="119">
        <f t="shared" si="2"/>
        <v>0</v>
      </c>
    </row>
    <row r="101" spans="1:15">
      <c r="A101" s="590" t="s">
        <v>1166</v>
      </c>
      <c r="B101" s="11" t="s">
        <v>150</v>
      </c>
      <c r="C101" s="11">
        <v>49</v>
      </c>
      <c r="D101" s="11" t="s">
        <v>7</v>
      </c>
      <c r="E101" s="15">
        <v>1472</v>
      </c>
      <c r="F101" s="11" t="s">
        <v>134</v>
      </c>
      <c r="G101" s="11" t="s">
        <v>480</v>
      </c>
      <c r="H101" s="15" t="s">
        <v>5</v>
      </c>
      <c r="I101" s="15">
        <v>15</v>
      </c>
      <c r="J101" s="12" t="s">
        <v>691</v>
      </c>
      <c r="K101" s="591">
        <f>(14*32)+(1*24.3)</f>
        <v>472.3</v>
      </c>
      <c r="L101" s="121" t="s">
        <v>2033</v>
      </c>
      <c r="M101" s="132">
        <v>1</v>
      </c>
      <c r="N101" s="133">
        <v>15</v>
      </c>
      <c r="O101" s="119">
        <f t="shared" si="2"/>
        <v>0</v>
      </c>
    </row>
    <row r="102" spans="1:15">
      <c r="A102" s="590" t="s">
        <v>1181</v>
      </c>
      <c r="B102" s="11" t="s">
        <v>150</v>
      </c>
      <c r="C102" s="11">
        <v>46</v>
      </c>
      <c r="D102" s="11" t="s">
        <v>7</v>
      </c>
      <c r="E102" s="15">
        <v>1040</v>
      </c>
      <c r="F102" s="11" t="s">
        <v>1519</v>
      </c>
      <c r="G102" s="11" t="s">
        <v>480</v>
      </c>
      <c r="H102" s="15" t="s">
        <v>15</v>
      </c>
      <c r="I102" s="15">
        <v>30</v>
      </c>
      <c r="J102" s="12" t="s">
        <v>1553</v>
      </c>
      <c r="K102" s="591">
        <f>(29*33)+(1*25.3)</f>
        <v>982.3</v>
      </c>
      <c r="L102" s="121" t="s">
        <v>2082</v>
      </c>
      <c r="M102" s="132" t="s">
        <v>2087</v>
      </c>
      <c r="N102" s="133">
        <f>10+10+10</f>
        <v>30</v>
      </c>
      <c r="O102" s="119">
        <f t="shared" si="2"/>
        <v>0</v>
      </c>
    </row>
    <row r="103" spans="1:15">
      <c r="A103" s="590" t="s">
        <v>1181</v>
      </c>
      <c r="B103" s="11" t="s">
        <v>150</v>
      </c>
      <c r="C103" s="11">
        <v>46</v>
      </c>
      <c r="D103" s="11" t="s">
        <v>7</v>
      </c>
      <c r="E103" s="15">
        <v>1041</v>
      </c>
      <c r="F103" s="11" t="s">
        <v>1421</v>
      </c>
      <c r="G103" s="11" t="s">
        <v>480</v>
      </c>
      <c r="H103" s="15" t="s">
        <v>15</v>
      </c>
      <c r="I103" s="15">
        <v>30</v>
      </c>
      <c r="J103" s="12" t="s">
        <v>1553</v>
      </c>
      <c r="K103" s="591">
        <f>(29*33)+(1*25.3)</f>
        <v>982.3</v>
      </c>
      <c r="L103" s="121" t="s">
        <v>2055</v>
      </c>
      <c r="M103" s="136" t="s">
        <v>2073</v>
      </c>
      <c r="N103" s="133">
        <f>10+10+10</f>
        <v>30</v>
      </c>
      <c r="O103" s="119">
        <f t="shared" si="2"/>
        <v>0</v>
      </c>
    </row>
    <row r="104" spans="1:15">
      <c r="A104" s="590" t="s">
        <v>1184</v>
      </c>
      <c r="B104" s="11" t="s">
        <v>150</v>
      </c>
      <c r="C104" s="11">
        <v>48</v>
      </c>
      <c r="D104" s="11" t="s">
        <v>7</v>
      </c>
      <c r="E104" s="15">
        <v>1562</v>
      </c>
      <c r="F104" s="11" t="s">
        <v>455</v>
      </c>
      <c r="G104" s="11" t="s">
        <v>480</v>
      </c>
      <c r="H104" s="15" t="s">
        <v>5</v>
      </c>
      <c r="I104" s="15">
        <v>15</v>
      </c>
      <c r="J104" s="12" t="s">
        <v>704</v>
      </c>
      <c r="K104" s="591">
        <f>(13*32)+(2*24.3)</f>
        <v>464.6</v>
      </c>
      <c r="L104" s="121" t="s">
        <v>2090</v>
      </c>
      <c r="M104" s="136"/>
      <c r="N104" s="133">
        <v>15</v>
      </c>
      <c r="O104" s="119">
        <f t="shared" si="2"/>
        <v>0</v>
      </c>
    </row>
    <row r="105" spans="1:15">
      <c r="A105" s="590" t="s">
        <v>1184</v>
      </c>
      <c r="B105" s="11" t="s">
        <v>150</v>
      </c>
      <c r="C105" s="11">
        <v>48</v>
      </c>
      <c r="D105" s="11" t="s">
        <v>7</v>
      </c>
      <c r="E105" s="15">
        <v>1570</v>
      </c>
      <c r="F105" s="11" t="s">
        <v>725</v>
      </c>
      <c r="G105" s="11" t="s">
        <v>480</v>
      </c>
      <c r="H105" s="15" t="s">
        <v>15</v>
      </c>
      <c r="I105" s="15">
        <v>15</v>
      </c>
      <c r="J105" s="12" t="s">
        <v>158</v>
      </c>
      <c r="K105" s="591">
        <f>(15*33)</f>
        <v>495</v>
      </c>
      <c r="L105" s="121" t="s">
        <v>2090</v>
      </c>
      <c r="M105" s="136"/>
      <c r="N105" s="133">
        <v>15</v>
      </c>
      <c r="O105" s="119">
        <f t="shared" si="2"/>
        <v>0</v>
      </c>
    </row>
    <row r="106" spans="1:15">
      <c r="A106" s="590" t="s">
        <v>993</v>
      </c>
      <c r="B106" s="11" t="s">
        <v>9</v>
      </c>
      <c r="C106" s="11">
        <v>39</v>
      </c>
      <c r="D106" s="11" t="s">
        <v>7</v>
      </c>
      <c r="E106" s="11">
        <v>498</v>
      </c>
      <c r="F106" s="11" t="s">
        <v>818</v>
      </c>
      <c r="G106" s="11" t="s">
        <v>1360</v>
      </c>
      <c r="H106" s="11" t="s">
        <v>15</v>
      </c>
      <c r="I106" s="11">
        <v>15</v>
      </c>
      <c r="J106" s="12" t="s">
        <v>13</v>
      </c>
      <c r="K106" s="591">
        <f>(14*35)+(1*26.4)</f>
        <v>516.4</v>
      </c>
      <c r="L106" s="121" t="s">
        <v>2033</v>
      </c>
      <c r="M106" s="132">
        <v>9</v>
      </c>
      <c r="N106" s="133">
        <v>15</v>
      </c>
      <c r="O106" s="119">
        <f t="shared" si="2"/>
        <v>0</v>
      </c>
    </row>
    <row r="107" spans="1:15">
      <c r="A107" s="590" t="s">
        <v>993</v>
      </c>
      <c r="B107" s="11" t="s">
        <v>9</v>
      </c>
      <c r="C107" s="11">
        <v>39</v>
      </c>
      <c r="D107" s="11" t="s">
        <v>7</v>
      </c>
      <c r="E107" s="11">
        <v>499</v>
      </c>
      <c r="F107" s="11" t="s">
        <v>819</v>
      </c>
      <c r="G107" s="11" t="s">
        <v>1360</v>
      </c>
      <c r="H107" s="11" t="s">
        <v>15</v>
      </c>
      <c r="I107" s="11">
        <v>30</v>
      </c>
      <c r="J107" s="12" t="s">
        <v>12</v>
      </c>
      <c r="K107" s="591">
        <f>(29*35)+(1*26.4)</f>
        <v>1041.4000000000001</v>
      </c>
      <c r="L107" s="121" t="s">
        <v>2082</v>
      </c>
      <c r="M107" s="132">
        <v>12</v>
      </c>
      <c r="N107" s="133">
        <f>10+10+10</f>
        <v>30</v>
      </c>
      <c r="O107" s="119">
        <f t="shared" si="2"/>
        <v>0</v>
      </c>
    </row>
    <row r="108" spans="1:15">
      <c r="A108" s="590" t="s">
        <v>998</v>
      </c>
      <c r="B108" s="11" t="s">
        <v>9</v>
      </c>
      <c r="C108" s="11">
        <v>39</v>
      </c>
      <c r="D108" s="11" t="s">
        <v>7</v>
      </c>
      <c r="E108" s="15">
        <v>495</v>
      </c>
      <c r="F108" s="11" t="s">
        <v>516</v>
      </c>
      <c r="G108" s="11" t="s">
        <v>777</v>
      </c>
      <c r="H108" s="15" t="s">
        <v>15</v>
      </c>
      <c r="I108" s="15">
        <v>15</v>
      </c>
      <c r="J108" s="18" t="s">
        <v>13</v>
      </c>
      <c r="K108" s="589">
        <f>(14*35)+(1*26.4)</f>
        <v>516.4</v>
      </c>
      <c r="L108" s="120" t="s">
        <v>2082</v>
      </c>
      <c r="M108" s="132">
        <v>8</v>
      </c>
      <c r="N108" s="133">
        <f>7+8</f>
        <v>15</v>
      </c>
      <c r="O108" s="119">
        <f t="shared" si="2"/>
        <v>0</v>
      </c>
    </row>
    <row r="109" spans="1:15">
      <c r="A109" s="590" t="s">
        <v>1156</v>
      </c>
      <c r="B109" s="11" t="s">
        <v>9</v>
      </c>
      <c r="C109" s="11">
        <v>40</v>
      </c>
      <c r="D109" s="11" t="s">
        <v>7</v>
      </c>
      <c r="E109" s="15">
        <v>524</v>
      </c>
      <c r="F109" s="11" t="s">
        <v>2048</v>
      </c>
      <c r="G109" s="11" t="s">
        <v>777</v>
      </c>
      <c r="H109" s="15" t="s">
        <v>15</v>
      </c>
      <c r="I109" s="15">
        <v>20</v>
      </c>
      <c r="J109" s="12" t="s">
        <v>23</v>
      </c>
      <c r="K109" s="591">
        <f>(18*35)+(2*26.4)</f>
        <v>682.8</v>
      </c>
      <c r="L109" s="121" t="s">
        <v>2033</v>
      </c>
      <c r="M109" s="132">
        <v>10</v>
      </c>
      <c r="N109" s="133">
        <f>10+10</f>
        <v>20</v>
      </c>
      <c r="O109" s="119">
        <f t="shared" si="2"/>
        <v>0</v>
      </c>
    </row>
    <row r="110" spans="1:15">
      <c r="A110" s="590" t="s">
        <v>1170</v>
      </c>
      <c r="B110" s="11" t="s">
        <v>9</v>
      </c>
      <c r="C110" s="11">
        <v>46</v>
      </c>
      <c r="D110" s="11" t="s">
        <v>7</v>
      </c>
      <c r="E110" s="15">
        <v>608</v>
      </c>
      <c r="F110" s="11" t="s">
        <v>1790</v>
      </c>
      <c r="G110" s="11" t="s">
        <v>777</v>
      </c>
      <c r="H110" s="15" t="s">
        <v>15</v>
      </c>
      <c r="I110" s="15">
        <v>30</v>
      </c>
      <c r="J110" s="12" t="s">
        <v>12</v>
      </c>
      <c r="K110" s="591">
        <f>(29*35)+(1*26.4)</f>
        <v>1041.4000000000001</v>
      </c>
      <c r="L110" s="121" t="s">
        <v>2033</v>
      </c>
      <c r="M110" s="132">
        <v>15</v>
      </c>
      <c r="N110" s="138">
        <v>30</v>
      </c>
      <c r="O110" s="119">
        <f t="shared" si="2"/>
        <v>0</v>
      </c>
    </row>
    <row r="111" spans="1:15">
      <c r="A111" s="590" t="s">
        <v>1170</v>
      </c>
      <c r="B111" s="11" t="s">
        <v>9</v>
      </c>
      <c r="C111" s="11">
        <v>46</v>
      </c>
      <c r="D111" s="11" t="s">
        <v>7</v>
      </c>
      <c r="E111" s="15">
        <v>609</v>
      </c>
      <c r="F111" s="11" t="s">
        <v>1791</v>
      </c>
      <c r="G111" s="11" t="s">
        <v>777</v>
      </c>
      <c r="H111" s="15" t="s">
        <v>15</v>
      </c>
      <c r="I111" s="15">
        <v>20</v>
      </c>
      <c r="J111" s="12" t="s">
        <v>142</v>
      </c>
      <c r="K111" s="591">
        <f>(20*35)</f>
        <v>700</v>
      </c>
      <c r="L111" s="121" t="s">
        <v>2033</v>
      </c>
      <c r="M111" s="132">
        <v>7</v>
      </c>
      <c r="N111" s="133">
        <f>10+10</f>
        <v>20</v>
      </c>
      <c r="O111" s="119">
        <f t="shared" si="2"/>
        <v>0</v>
      </c>
    </row>
    <row r="112" spans="1:15">
      <c r="A112" s="590" t="s">
        <v>1148</v>
      </c>
      <c r="B112" s="11" t="s">
        <v>9</v>
      </c>
      <c r="C112" s="11">
        <v>39</v>
      </c>
      <c r="D112" s="11" t="s">
        <v>16</v>
      </c>
      <c r="E112" s="15">
        <v>108</v>
      </c>
      <c r="F112" s="11" t="s">
        <v>188</v>
      </c>
      <c r="G112" s="11" t="s">
        <v>716</v>
      </c>
      <c r="H112" s="15" t="s">
        <v>15</v>
      </c>
      <c r="I112" s="15">
        <v>20</v>
      </c>
      <c r="J112" s="12" t="s">
        <v>41</v>
      </c>
      <c r="K112" s="591">
        <f>(18*38)+(2*29.4)</f>
        <v>742.8</v>
      </c>
      <c r="L112" s="120" t="s">
        <v>2055</v>
      </c>
      <c r="M112" s="132">
        <v>4</v>
      </c>
      <c r="N112" s="133">
        <v>20</v>
      </c>
      <c r="O112" s="119">
        <f t="shared" si="2"/>
        <v>0</v>
      </c>
    </row>
    <row r="113" spans="1:15">
      <c r="A113" s="590" t="s">
        <v>1148</v>
      </c>
      <c r="B113" s="11" t="s">
        <v>9</v>
      </c>
      <c r="C113" s="11">
        <v>39</v>
      </c>
      <c r="D113" s="11" t="s">
        <v>16</v>
      </c>
      <c r="E113" s="15">
        <v>109</v>
      </c>
      <c r="F113" s="11" t="s">
        <v>172</v>
      </c>
      <c r="G113" s="11" t="s">
        <v>716</v>
      </c>
      <c r="H113" s="15" t="s">
        <v>15</v>
      </c>
      <c r="I113" s="15">
        <v>20</v>
      </c>
      <c r="J113" s="12" t="s">
        <v>41</v>
      </c>
      <c r="K113" s="591">
        <f>(18*38)+(2*29.4)</f>
        <v>742.8</v>
      </c>
      <c r="L113" s="120" t="s">
        <v>2055</v>
      </c>
      <c r="M113" s="132">
        <v>7</v>
      </c>
      <c r="N113" s="133">
        <v>20</v>
      </c>
      <c r="O113" s="119">
        <f t="shared" si="2"/>
        <v>0</v>
      </c>
    </row>
    <row r="114" spans="1:15">
      <c r="A114" s="590" t="s">
        <v>1148</v>
      </c>
      <c r="B114" s="11" t="s">
        <v>9</v>
      </c>
      <c r="C114" s="11">
        <v>39</v>
      </c>
      <c r="D114" s="11" t="s">
        <v>16</v>
      </c>
      <c r="E114" s="15">
        <v>110</v>
      </c>
      <c r="F114" s="11" t="s">
        <v>1543</v>
      </c>
      <c r="G114" s="11" t="s">
        <v>716</v>
      </c>
      <c r="H114" s="15" t="s">
        <v>15</v>
      </c>
      <c r="I114" s="15">
        <v>20</v>
      </c>
      <c r="J114" s="12" t="s">
        <v>41</v>
      </c>
      <c r="K114" s="591">
        <f>(18*38)+(2*29.4)</f>
        <v>742.8</v>
      </c>
      <c r="L114" s="121" t="s">
        <v>2055</v>
      </c>
      <c r="M114" s="132">
        <v>7</v>
      </c>
      <c r="N114" s="133">
        <f>10+10</f>
        <v>20</v>
      </c>
      <c r="O114" s="119">
        <f t="shared" si="2"/>
        <v>0</v>
      </c>
    </row>
    <row r="115" spans="1:15">
      <c r="A115" s="590" t="s">
        <v>1004</v>
      </c>
      <c r="B115" s="11" t="s">
        <v>9</v>
      </c>
      <c r="C115" s="11">
        <v>44</v>
      </c>
      <c r="D115" s="11" t="s">
        <v>16</v>
      </c>
      <c r="E115" s="15">
        <v>178</v>
      </c>
      <c r="F115" s="11" t="s">
        <v>408</v>
      </c>
      <c r="G115" s="11" t="s">
        <v>716</v>
      </c>
      <c r="H115" s="15" t="s">
        <v>15</v>
      </c>
      <c r="I115" s="15">
        <v>20</v>
      </c>
      <c r="J115" s="12" t="s">
        <v>31</v>
      </c>
      <c r="K115" s="591">
        <f t="shared" ref="K115:K125" si="3">(19*38)+(1*29.4)</f>
        <v>751.4</v>
      </c>
      <c r="L115" s="120" t="s">
        <v>2033</v>
      </c>
      <c r="M115" s="132">
        <v>5</v>
      </c>
      <c r="N115" s="130">
        <v>20</v>
      </c>
      <c r="O115" s="119">
        <f t="shared" si="2"/>
        <v>0</v>
      </c>
    </row>
    <row r="116" spans="1:15">
      <c r="A116" s="590" t="s">
        <v>1030</v>
      </c>
      <c r="B116" s="11" t="s">
        <v>9</v>
      </c>
      <c r="C116" s="11">
        <v>45</v>
      </c>
      <c r="D116" s="11" t="s">
        <v>16</v>
      </c>
      <c r="E116" s="15">
        <v>108</v>
      </c>
      <c r="F116" s="11" t="s">
        <v>791</v>
      </c>
      <c r="G116" s="11" t="s">
        <v>716</v>
      </c>
      <c r="H116" s="15" t="s">
        <v>15</v>
      </c>
      <c r="I116" s="15">
        <v>20</v>
      </c>
      <c r="J116" s="12" t="s">
        <v>31</v>
      </c>
      <c r="K116" s="591">
        <f t="shared" si="3"/>
        <v>751.4</v>
      </c>
      <c r="L116" s="120" t="s">
        <v>2082</v>
      </c>
      <c r="M116" s="132">
        <v>4</v>
      </c>
      <c r="N116" s="133">
        <f>10+10</f>
        <v>20</v>
      </c>
      <c r="O116" s="119">
        <f t="shared" si="2"/>
        <v>0</v>
      </c>
    </row>
    <row r="117" spans="1:15">
      <c r="A117" s="590" t="s">
        <v>1030</v>
      </c>
      <c r="B117" s="11" t="s">
        <v>9</v>
      </c>
      <c r="C117" s="11">
        <v>45</v>
      </c>
      <c r="D117" s="11" t="s">
        <v>16</v>
      </c>
      <c r="E117" s="15">
        <v>109</v>
      </c>
      <c r="F117" s="11" t="s">
        <v>760</v>
      </c>
      <c r="G117" s="11" t="s">
        <v>716</v>
      </c>
      <c r="H117" s="15" t="s">
        <v>15</v>
      </c>
      <c r="I117" s="15">
        <v>20</v>
      </c>
      <c r="J117" s="12" t="s">
        <v>31</v>
      </c>
      <c r="K117" s="591">
        <f t="shared" si="3"/>
        <v>751.4</v>
      </c>
      <c r="L117" s="120" t="s">
        <v>2082</v>
      </c>
      <c r="M117" s="132">
        <v>7</v>
      </c>
      <c r="N117" s="133">
        <f>10+10</f>
        <v>20</v>
      </c>
      <c r="O117" s="119">
        <f t="shared" si="2"/>
        <v>0</v>
      </c>
    </row>
    <row r="118" spans="1:15">
      <c r="A118" s="590" t="s">
        <v>1031</v>
      </c>
      <c r="B118" s="11" t="s">
        <v>9</v>
      </c>
      <c r="C118" s="11">
        <v>45</v>
      </c>
      <c r="D118" s="11" t="s">
        <v>7</v>
      </c>
      <c r="E118" s="15">
        <v>139</v>
      </c>
      <c r="F118" s="11" t="s">
        <v>1781</v>
      </c>
      <c r="G118" s="11" t="s">
        <v>716</v>
      </c>
      <c r="H118" s="15" t="s">
        <v>15</v>
      </c>
      <c r="I118" s="15">
        <v>20</v>
      </c>
      <c r="J118" s="12" t="s">
        <v>31</v>
      </c>
      <c r="K118" s="591">
        <f t="shared" si="3"/>
        <v>751.4</v>
      </c>
      <c r="L118" s="120" t="s">
        <v>2055</v>
      </c>
      <c r="M118" s="132">
        <v>3</v>
      </c>
      <c r="N118" s="133">
        <v>20</v>
      </c>
      <c r="O118" s="119">
        <f t="shared" si="2"/>
        <v>0</v>
      </c>
    </row>
    <row r="119" spans="1:15">
      <c r="A119" s="590" t="s">
        <v>1031</v>
      </c>
      <c r="B119" s="11" t="s">
        <v>9</v>
      </c>
      <c r="C119" s="11">
        <v>45</v>
      </c>
      <c r="D119" s="11" t="s">
        <v>7</v>
      </c>
      <c r="E119" s="15">
        <v>140</v>
      </c>
      <c r="F119" s="11" t="s">
        <v>749</v>
      </c>
      <c r="G119" s="11" t="s">
        <v>716</v>
      </c>
      <c r="H119" s="15" t="s">
        <v>15</v>
      </c>
      <c r="I119" s="15">
        <v>20</v>
      </c>
      <c r="J119" s="12" t="s">
        <v>31</v>
      </c>
      <c r="K119" s="591">
        <f t="shared" si="3"/>
        <v>751.4</v>
      </c>
      <c r="L119" s="120" t="s">
        <v>2055</v>
      </c>
      <c r="M119" s="132">
        <v>3</v>
      </c>
      <c r="N119" s="133">
        <v>20</v>
      </c>
      <c r="O119" s="119">
        <f t="shared" si="2"/>
        <v>0</v>
      </c>
    </row>
    <row r="120" spans="1:15">
      <c r="A120" s="590" t="s">
        <v>1031</v>
      </c>
      <c r="B120" s="11" t="s">
        <v>9</v>
      </c>
      <c r="C120" s="11">
        <v>45</v>
      </c>
      <c r="D120" s="11" t="s">
        <v>7</v>
      </c>
      <c r="E120" s="15">
        <v>142</v>
      </c>
      <c r="F120" s="11" t="s">
        <v>200</v>
      </c>
      <c r="G120" s="11" t="s">
        <v>716</v>
      </c>
      <c r="H120" s="15" t="s">
        <v>15</v>
      </c>
      <c r="I120" s="15">
        <v>20</v>
      </c>
      <c r="J120" s="12" t="s">
        <v>31</v>
      </c>
      <c r="K120" s="591">
        <f t="shared" si="3"/>
        <v>751.4</v>
      </c>
      <c r="L120" s="120" t="s">
        <v>2055</v>
      </c>
      <c r="M120" s="132">
        <v>2</v>
      </c>
      <c r="N120" s="133">
        <f>10+10</f>
        <v>20</v>
      </c>
      <c r="O120" s="119">
        <f t="shared" si="2"/>
        <v>0</v>
      </c>
    </row>
    <row r="121" spans="1:15">
      <c r="A121" s="590" t="s">
        <v>1170</v>
      </c>
      <c r="B121" s="11" t="s">
        <v>9</v>
      </c>
      <c r="C121" s="11">
        <v>46</v>
      </c>
      <c r="D121" s="11" t="s">
        <v>7</v>
      </c>
      <c r="E121" s="15">
        <v>152</v>
      </c>
      <c r="F121" s="11" t="s">
        <v>1788</v>
      </c>
      <c r="G121" s="11" t="s">
        <v>716</v>
      </c>
      <c r="H121" s="15" t="s">
        <v>15</v>
      </c>
      <c r="I121" s="15">
        <v>20</v>
      </c>
      <c r="J121" s="12" t="s">
        <v>31</v>
      </c>
      <c r="K121" s="591">
        <f t="shared" si="3"/>
        <v>751.4</v>
      </c>
      <c r="L121" s="121" t="s">
        <v>2055</v>
      </c>
      <c r="M121" s="132">
        <v>8</v>
      </c>
      <c r="N121" s="133">
        <v>20</v>
      </c>
      <c r="O121" s="119">
        <f t="shared" si="2"/>
        <v>0</v>
      </c>
    </row>
    <row r="122" spans="1:15">
      <c r="A122" s="590" t="s">
        <v>1170</v>
      </c>
      <c r="B122" s="11" t="s">
        <v>9</v>
      </c>
      <c r="C122" s="11">
        <v>46</v>
      </c>
      <c r="D122" s="11" t="s">
        <v>7</v>
      </c>
      <c r="E122" s="15">
        <v>153</v>
      </c>
      <c r="F122" s="11" t="s">
        <v>1789</v>
      </c>
      <c r="G122" s="11" t="s">
        <v>716</v>
      </c>
      <c r="H122" s="15" t="s">
        <v>15</v>
      </c>
      <c r="I122" s="15">
        <v>20</v>
      </c>
      <c r="J122" s="12" t="s">
        <v>31</v>
      </c>
      <c r="K122" s="591">
        <f t="shared" si="3"/>
        <v>751.4</v>
      </c>
      <c r="L122" s="121" t="s">
        <v>2055</v>
      </c>
      <c r="M122" s="132">
        <v>8</v>
      </c>
      <c r="N122" s="133">
        <v>20</v>
      </c>
      <c r="O122" s="119">
        <f t="shared" si="2"/>
        <v>0</v>
      </c>
    </row>
    <row r="123" spans="1:15">
      <c r="A123" s="590" t="s">
        <v>1170</v>
      </c>
      <c r="B123" s="11" t="s">
        <v>9</v>
      </c>
      <c r="C123" s="11">
        <v>46</v>
      </c>
      <c r="D123" s="11" t="s">
        <v>7</v>
      </c>
      <c r="E123" s="15">
        <v>154</v>
      </c>
      <c r="F123" s="11" t="s">
        <v>557</v>
      </c>
      <c r="G123" s="11" t="s">
        <v>716</v>
      </c>
      <c r="H123" s="15" t="s">
        <v>15</v>
      </c>
      <c r="I123" s="15">
        <v>20</v>
      </c>
      <c r="J123" s="12" t="s">
        <v>31</v>
      </c>
      <c r="K123" s="591">
        <f t="shared" si="3"/>
        <v>751.4</v>
      </c>
      <c r="L123" s="121" t="s">
        <v>2062</v>
      </c>
      <c r="M123" s="132" t="s">
        <v>2070</v>
      </c>
      <c r="N123" s="133">
        <f>10+10</f>
        <v>20</v>
      </c>
      <c r="O123" s="119">
        <f t="shared" si="2"/>
        <v>0</v>
      </c>
    </row>
    <row r="124" spans="1:15">
      <c r="A124" s="590" t="s">
        <v>1973</v>
      </c>
      <c r="B124" s="11" t="s">
        <v>9</v>
      </c>
      <c r="C124" s="11">
        <v>48</v>
      </c>
      <c r="D124" s="11" t="s">
        <v>7</v>
      </c>
      <c r="E124" s="15">
        <v>227</v>
      </c>
      <c r="F124" s="11" t="s">
        <v>1994</v>
      </c>
      <c r="G124" s="11" t="s">
        <v>716</v>
      </c>
      <c r="H124" s="15" t="s">
        <v>15</v>
      </c>
      <c r="I124" s="15">
        <v>20</v>
      </c>
      <c r="J124" s="12" t="s">
        <v>31</v>
      </c>
      <c r="K124" s="591">
        <f t="shared" si="3"/>
        <v>751.4</v>
      </c>
      <c r="L124" s="121" t="s">
        <v>2082</v>
      </c>
      <c r="M124" s="136">
        <v>2</v>
      </c>
      <c r="N124" s="133">
        <v>20</v>
      </c>
      <c r="O124" s="119">
        <f t="shared" si="2"/>
        <v>0</v>
      </c>
    </row>
    <row r="125" spans="1:15">
      <c r="A125" s="590" t="s">
        <v>1975</v>
      </c>
      <c r="B125" s="11" t="s">
        <v>9</v>
      </c>
      <c r="C125" s="11">
        <v>49</v>
      </c>
      <c r="D125" s="11" t="s">
        <v>7</v>
      </c>
      <c r="E125" s="15">
        <v>157</v>
      </c>
      <c r="F125" s="11" t="s">
        <v>788</v>
      </c>
      <c r="G125" s="11" t="s">
        <v>716</v>
      </c>
      <c r="H125" s="15" t="s">
        <v>5</v>
      </c>
      <c r="I125" s="15">
        <v>20</v>
      </c>
      <c r="J125" s="12" t="s">
        <v>31</v>
      </c>
      <c r="K125" s="591">
        <f t="shared" si="3"/>
        <v>751.4</v>
      </c>
      <c r="L125" s="121" t="s">
        <v>2055</v>
      </c>
      <c r="M125" s="136">
        <v>8</v>
      </c>
      <c r="N125" s="133">
        <v>20</v>
      </c>
      <c r="O125" s="119">
        <f t="shared" si="2"/>
        <v>0</v>
      </c>
    </row>
    <row r="126" spans="1:15">
      <c r="A126" s="590" t="s">
        <v>976</v>
      </c>
      <c r="B126" s="11" t="s">
        <v>9</v>
      </c>
      <c r="C126" s="11">
        <v>38</v>
      </c>
      <c r="D126" s="11" t="s">
        <v>7</v>
      </c>
      <c r="E126" s="11">
        <v>719</v>
      </c>
      <c r="F126" s="11" t="s">
        <v>553</v>
      </c>
      <c r="G126" s="11" t="s">
        <v>1321</v>
      </c>
      <c r="H126" s="11" t="s">
        <v>15</v>
      </c>
      <c r="I126" s="11">
        <v>15</v>
      </c>
      <c r="J126" s="12" t="s">
        <v>156</v>
      </c>
      <c r="K126" s="591">
        <f>(15*26)</f>
        <v>390</v>
      </c>
      <c r="L126" s="120" t="s">
        <v>2033</v>
      </c>
      <c r="M126" s="132">
        <v>9</v>
      </c>
      <c r="N126" s="133">
        <f>9+6</f>
        <v>15</v>
      </c>
      <c r="O126" s="119">
        <f t="shared" si="2"/>
        <v>0</v>
      </c>
    </row>
    <row r="127" spans="1:15">
      <c r="A127" s="590" t="s">
        <v>976</v>
      </c>
      <c r="B127" s="11" t="s">
        <v>9</v>
      </c>
      <c r="C127" s="11">
        <v>38</v>
      </c>
      <c r="D127" s="11" t="s">
        <v>7</v>
      </c>
      <c r="E127" s="11">
        <v>720</v>
      </c>
      <c r="F127" s="11" t="s">
        <v>680</v>
      </c>
      <c r="G127" s="11" t="s">
        <v>1321</v>
      </c>
      <c r="H127" s="11" t="s">
        <v>15</v>
      </c>
      <c r="I127" s="11">
        <v>20</v>
      </c>
      <c r="J127" s="12" t="s">
        <v>34</v>
      </c>
      <c r="K127" s="591">
        <f>(19*26)+(1*17.4)</f>
        <v>511.4</v>
      </c>
      <c r="L127" s="120" t="s">
        <v>2082</v>
      </c>
      <c r="M127" s="132">
        <v>7</v>
      </c>
      <c r="N127" s="133">
        <f>10+10</f>
        <v>20</v>
      </c>
      <c r="O127" s="119">
        <f t="shared" si="2"/>
        <v>0</v>
      </c>
    </row>
    <row r="128" spans="1:15">
      <c r="A128" s="77" t="s">
        <v>1137</v>
      </c>
      <c r="B128" s="15" t="s">
        <v>9</v>
      </c>
      <c r="C128" s="15">
        <v>39</v>
      </c>
      <c r="D128" s="15" t="s">
        <v>10</v>
      </c>
      <c r="E128" s="15">
        <v>453</v>
      </c>
      <c r="F128" s="15" t="s">
        <v>137</v>
      </c>
      <c r="G128" s="15" t="s">
        <v>1321</v>
      </c>
      <c r="H128" s="15" t="s">
        <v>15</v>
      </c>
      <c r="I128" s="15">
        <v>20</v>
      </c>
      <c r="J128" s="18" t="s">
        <v>155</v>
      </c>
      <c r="K128" s="589">
        <f>(20*26)</f>
        <v>520</v>
      </c>
      <c r="L128" s="121" t="s">
        <v>2082</v>
      </c>
      <c r="M128" s="132">
        <v>9</v>
      </c>
      <c r="N128" s="133">
        <f>9+11</f>
        <v>20</v>
      </c>
      <c r="O128" s="119">
        <f t="shared" si="2"/>
        <v>0</v>
      </c>
    </row>
    <row r="129" spans="1:15">
      <c r="A129" s="77" t="s">
        <v>1137</v>
      </c>
      <c r="B129" s="15" t="s">
        <v>9</v>
      </c>
      <c r="C129" s="15">
        <v>39</v>
      </c>
      <c r="D129" s="15" t="s">
        <v>10</v>
      </c>
      <c r="E129" s="15">
        <v>459</v>
      </c>
      <c r="F129" s="15" t="s">
        <v>483</v>
      </c>
      <c r="G129" s="15" t="s">
        <v>1321</v>
      </c>
      <c r="H129" s="15" t="s">
        <v>15</v>
      </c>
      <c r="I129" s="15">
        <v>20</v>
      </c>
      <c r="J129" s="18" t="s">
        <v>34</v>
      </c>
      <c r="K129" s="589">
        <f>(19*26)+(1*17.4)</f>
        <v>511.4</v>
      </c>
      <c r="L129" s="121" t="s">
        <v>2082</v>
      </c>
      <c r="M129" s="132">
        <v>12</v>
      </c>
      <c r="N129" s="133">
        <f>10+10</f>
        <v>20</v>
      </c>
      <c r="O129" s="119">
        <f t="shared" si="2"/>
        <v>0</v>
      </c>
    </row>
    <row r="130" spans="1:15">
      <c r="A130" s="77" t="s">
        <v>1137</v>
      </c>
      <c r="B130" s="15" t="s">
        <v>9</v>
      </c>
      <c r="C130" s="15">
        <v>39</v>
      </c>
      <c r="D130" s="15" t="s">
        <v>10</v>
      </c>
      <c r="E130" s="15">
        <v>460</v>
      </c>
      <c r="F130" s="15" t="s">
        <v>435</v>
      </c>
      <c r="G130" s="15" t="s">
        <v>1321</v>
      </c>
      <c r="H130" s="15" t="s">
        <v>15</v>
      </c>
      <c r="I130" s="15">
        <v>15</v>
      </c>
      <c r="J130" s="18" t="s">
        <v>37</v>
      </c>
      <c r="K130" s="589">
        <f>(14*26)+(1*17.4)</f>
        <v>381.4</v>
      </c>
      <c r="L130" s="121" t="s">
        <v>2082</v>
      </c>
      <c r="M130" s="132" t="s">
        <v>2071</v>
      </c>
      <c r="N130" s="133">
        <f>8+7</f>
        <v>15</v>
      </c>
      <c r="O130" s="119">
        <f t="shared" si="2"/>
        <v>0</v>
      </c>
    </row>
    <row r="131" spans="1:15">
      <c r="A131" s="590" t="s">
        <v>1144</v>
      </c>
      <c r="B131" s="11" t="s">
        <v>150</v>
      </c>
      <c r="C131" s="11">
        <v>43</v>
      </c>
      <c r="D131" s="11" t="s">
        <v>50</v>
      </c>
      <c r="E131" s="11">
        <v>556</v>
      </c>
      <c r="F131" s="11" t="s">
        <v>140</v>
      </c>
      <c r="G131" s="11" t="s">
        <v>356</v>
      </c>
      <c r="H131" s="11" t="s">
        <v>5</v>
      </c>
      <c r="I131" s="11">
        <v>15</v>
      </c>
      <c r="J131" s="12" t="s">
        <v>624</v>
      </c>
      <c r="K131" s="591">
        <f>(14*34)+(1*26.3)</f>
        <v>502.3</v>
      </c>
      <c r="L131" s="120" t="s">
        <v>2033</v>
      </c>
      <c r="M131" s="132" t="s">
        <v>2042</v>
      </c>
      <c r="N131" s="133">
        <f>9+6</f>
        <v>15</v>
      </c>
      <c r="O131" s="119">
        <f t="shared" ref="O131:O194" si="4">I131-N131</f>
        <v>0</v>
      </c>
    </row>
    <row r="132" spans="1:15">
      <c r="A132" s="590" t="s">
        <v>1144</v>
      </c>
      <c r="B132" s="11" t="s">
        <v>150</v>
      </c>
      <c r="C132" s="11">
        <v>43</v>
      </c>
      <c r="D132" s="11" t="s">
        <v>50</v>
      </c>
      <c r="E132" s="11">
        <v>559</v>
      </c>
      <c r="F132" s="11" t="s">
        <v>1426</v>
      </c>
      <c r="G132" s="11" t="s">
        <v>356</v>
      </c>
      <c r="H132" s="11" t="s">
        <v>15</v>
      </c>
      <c r="I132" s="11">
        <v>15</v>
      </c>
      <c r="J132" s="12" t="s">
        <v>159</v>
      </c>
      <c r="K132" s="591">
        <f>(15*35)</f>
        <v>525</v>
      </c>
      <c r="L132" s="120" t="s">
        <v>2033</v>
      </c>
      <c r="M132" s="132">
        <v>10</v>
      </c>
      <c r="N132" s="133">
        <f>5+10</f>
        <v>15</v>
      </c>
      <c r="O132" s="119">
        <f t="shared" si="4"/>
        <v>0</v>
      </c>
    </row>
    <row r="133" spans="1:15">
      <c r="A133" s="590" t="s">
        <v>1144</v>
      </c>
      <c r="B133" s="11" t="s">
        <v>150</v>
      </c>
      <c r="C133" s="11">
        <v>43</v>
      </c>
      <c r="D133" s="11" t="s">
        <v>50</v>
      </c>
      <c r="E133" s="11">
        <v>563</v>
      </c>
      <c r="F133" s="11" t="s">
        <v>783</v>
      </c>
      <c r="G133" s="11" t="s">
        <v>356</v>
      </c>
      <c r="H133" s="11" t="s">
        <v>15</v>
      </c>
      <c r="I133" s="11">
        <v>15</v>
      </c>
      <c r="J133" s="12" t="s">
        <v>159</v>
      </c>
      <c r="K133" s="591">
        <f>(15*35)</f>
        <v>525</v>
      </c>
      <c r="L133" s="120" t="s">
        <v>2033</v>
      </c>
      <c r="M133" s="132">
        <v>9</v>
      </c>
      <c r="N133" s="133">
        <f>6+9</f>
        <v>15</v>
      </c>
      <c r="O133" s="119">
        <f t="shared" si="4"/>
        <v>0</v>
      </c>
    </row>
    <row r="134" spans="1:15">
      <c r="A134" s="590" t="s">
        <v>1144</v>
      </c>
      <c r="B134" s="11" t="s">
        <v>150</v>
      </c>
      <c r="C134" s="11">
        <v>43</v>
      </c>
      <c r="D134" s="11" t="s">
        <v>50</v>
      </c>
      <c r="E134" s="11">
        <v>564</v>
      </c>
      <c r="F134" s="11" t="s">
        <v>767</v>
      </c>
      <c r="G134" s="11" t="s">
        <v>356</v>
      </c>
      <c r="H134" s="11" t="s">
        <v>15</v>
      </c>
      <c r="I134" s="11">
        <v>15</v>
      </c>
      <c r="J134" s="12" t="s">
        <v>159</v>
      </c>
      <c r="K134" s="591">
        <f>(15*35)</f>
        <v>525</v>
      </c>
      <c r="L134" s="120" t="s">
        <v>2033</v>
      </c>
      <c r="M134" s="132">
        <v>12</v>
      </c>
      <c r="N134" s="133">
        <v>15</v>
      </c>
      <c r="O134" s="119">
        <f t="shared" si="4"/>
        <v>0</v>
      </c>
    </row>
    <row r="135" spans="1:15">
      <c r="A135" s="590" t="s">
        <v>1016</v>
      </c>
      <c r="B135" s="11" t="s">
        <v>150</v>
      </c>
      <c r="C135" s="11">
        <v>45</v>
      </c>
      <c r="D135" s="11" t="s">
        <v>51</v>
      </c>
      <c r="E135" s="15">
        <v>473</v>
      </c>
      <c r="F135" s="11" t="s">
        <v>491</v>
      </c>
      <c r="G135" s="11" t="s">
        <v>356</v>
      </c>
      <c r="H135" s="15" t="s">
        <v>5</v>
      </c>
      <c r="I135" s="15">
        <v>15</v>
      </c>
      <c r="J135" s="12" t="s">
        <v>624</v>
      </c>
      <c r="K135" s="591">
        <f>(14*34)+(1*26.3)</f>
        <v>502.3</v>
      </c>
      <c r="L135" s="121" t="s">
        <v>2033</v>
      </c>
      <c r="M135" s="132">
        <v>11</v>
      </c>
      <c r="N135" s="133">
        <f>8+7</f>
        <v>15</v>
      </c>
      <c r="O135" s="119">
        <f t="shared" si="4"/>
        <v>0</v>
      </c>
    </row>
    <row r="136" spans="1:15">
      <c r="A136" s="590" t="s">
        <v>1016</v>
      </c>
      <c r="B136" s="11" t="s">
        <v>150</v>
      </c>
      <c r="C136" s="11">
        <v>45</v>
      </c>
      <c r="D136" s="11" t="s">
        <v>51</v>
      </c>
      <c r="E136" s="15">
        <v>474</v>
      </c>
      <c r="F136" s="11" t="s">
        <v>173</v>
      </c>
      <c r="G136" s="11" t="s">
        <v>356</v>
      </c>
      <c r="H136" s="15" t="s">
        <v>15</v>
      </c>
      <c r="I136" s="15">
        <v>15</v>
      </c>
      <c r="J136" s="12" t="s">
        <v>159</v>
      </c>
      <c r="K136" s="591">
        <f>(15*35)</f>
        <v>525</v>
      </c>
      <c r="L136" s="121" t="s">
        <v>2033</v>
      </c>
      <c r="M136" s="132">
        <v>12</v>
      </c>
      <c r="N136" s="133">
        <f>7+8</f>
        <v>15</v>
      </c>
      <c r="O136" s="119">
        <f t="shared" si="4"/>
        <v>0</v>
      </c>
    </row>
    <row r="137" spans="1:15">
      <c r="A137" s="590" t="s">
        <v>1166</v>
      </c>
      <c r="B137" s="11" t="s">
        <v>150</v>
      </c>
      <c r="C137" s="11">
        <v>49</v>
      </c>
      <c r="D137" s="11" t="s">
        <v>7</v>
      </c>
      <c r="E137" s="15">
        <v>1797</v>
      </c>
      <c r="F137" s="11" t="s">
        <v>1465</v>
      </c>
      <c r="G137" s="11" t="s">
        <v>356</v>
      </c>
      <c r="H137" s="15" t="s">
        <v>15</v>
      </c>
      <c r="I137" s="15">
        <v>30</v>
      </c>
      <c r="J137" s="12" t="s">
        <v>661</v>
      </c>
      <c r="K137" s="591">
        <f>(29*35)+(1*27.3)</f>
        <v>1042.3</v>
      </c>
      <c r="L137" s="121" t="s">
        <v>2062</v>
      </c>
      <c r="M137" s="132" t="s">
        <v>2072</v>
      </c>
      <c r="N137" s="133">
        <v>30</v>
      </c>
      <c r="O137" s="630">
        <f t="shared" si="4"/>
        <v>0</v>
      </c>
    </row>
    <row r="138" spans="1:15">
      <c r="A138" s="590" t="s">
        <v>1166</v>
      </c>
      <c r="B138" s="11" t="s">
        <v>150</v>
      </c>
      <c r="C138" s="11">
        <v>49</v>
      </c>
      <c r="D138" s="11" t="s">
        <v>7</v>
      </c>
      <c r="E138" s="15">
        <v>1798</v>
      </c>
      <c r="F138" s="11" t="s">
        <v>558</v>
      </c>
      <c r="G138" s="11" t="s">
        <v>356</v>
      </c>
      <c r="H138" s="15" t="s">
        <v>15</v>
      </c>
      <c r="I138" s="15">
        <v>30</v>
      </c>
      <c r="J138" s="12" t="s">
        <v>661</v>
      </c>
      <c r="K138" s="591">
        <f>(29*35)+(1*27.3)</f>
        <v>1042.3</v>
      </c>
      <c r="L138" s="121" t="s">
        <v>2055</v>
      </c>
      <c r="M138" s="132">
        <v>4</v>
      </c>
      <c r="N138" s="133">
        <f>10+10+10</f>
        <v>30</v>
      </c>
      <c r="O138" s="119">
        <f t="shared" si="4"/>
        <v>0</v>
      </c>
    </row>
    <row r="139" spans="1:15">
      <c r="A139" s="590" t="s">
        <v>1176</v>
      </c>
      <c r="B139" s="11" t="s">
        <v>150</v>
      </c>
      <c r="C139" s="11">
        <v>50</v>
      </c>
      <c r="D139" s="11" t="s">
        <v>50</v>
      </c>
      <c r="E139" s="15">
        <v>304</v>
      </c>
      <c r="F139" s="11" t="s">
        <v>1753</v>
      </c>
      <c r="G139" s="11" t="s">
        <v>356</v>
      </c>
      <c r="H139" s="15" t="s">
        <v>15</v>
      </c>
      <c r="I139" s="15">
        <v>20</v>
      </c>
      <c r="J139" s="12" t="s">
        <v>142</v>
      </c>
      <c r="K139" s="591">
        <f>(20*35)</f>
        <v>700</v>
      </c>
      <c r="L139" s="121" t="s">
        <v>2029</v>
      </c>
      <c r="M139" s="132" t="s">
        <v>2032</v>
      </c>
      <c r="N139" s="133">
        <f>10+10</f>
        <v>20</v>
      </c>
      <c r="O139" s="119">
        <f t="shared" si="4"/>
        <v>0</v>
      </c>
    </row>
    <row r="140" spans="1:15">
      <c r="A140" s="590" t="s">
        <v>1176</v>
      </c>
      <c r="B140" s="11" t="s">
        <v>150</v>
      </c>
      <c r="C140" s="11">
        <v>50</v>
      </c>
      <c r="D140" s="11" t="s">
        <v>50</v>
      </c>
      <c r="E140" s="15">
        <v>307</v>
      </c>
      <c r="F140" s="11" t="s">
        <v>1827</v>
      </c>
      <c r="G140" s="11" t="s">
        <v>356</v>
      </c>
      <c r="H140" s="15" t="s">
        <v>15</v>
      </c>
      <c r="I140" s="15">
        <v>15</v>
      </c>
      <c r="J140" s="12" t="s">
        <v>659</v>
      </c>
      <c r="K140" s="591">
        <f>(13*35)+(2*27.3)</f>
        <v>509.6</v>
      </c>
      <c r="L140" s="121" t="s">
        <v>2029</v>
      </c>
      <c r="M140" s="132">
        <v>3</v>
      </c>
      <c r="N140" s="130">
        <f>8+7</f>
        <v>15</v>
      </c>
      <c r="O140" s="119">
        <f t="shared" si="4"/>
        <v>0</v>
      </c>
    </row>
    <row r="141" spans="1:15">
      <c r="A141" s="590" t="s">
        <v>1181</v>
      </c>
      <c r="B141" s="11" t="s">
        <v>150</v>
      </c>
      <c r="C141" s="11">
        <v>46</v>
      </c>
      <c r="D141" s="11" t="s">
        <v>7</v>
      </c>
      <c r="E141" s="15">
        <v>1265</v>
      </c>
      <c r="F141" s="11" t="s">
        <v>1543</v>
      </c>
      <c r="G141" s="11" t="s">
        <v>356</v>
      </c>
      <c r="H141" s="15" t="s">
        <v>5</v>
      </c>
      <c r="I141" s="15">
        <v>20</v>
      </c>
      <c r="J141" s="12" t="s">
        <v>154</v>
      </c>
      <c r="K141" s="591">
        <f>(20*34)</f>
        <v>680</v>
      </c>
      <c r="L141" s="121" t="s">
        <v>2082</v>
      </c>
      <c r="M141" s="132">
        <v>2</v>
      </c>
      <c r="N141" s="133">
        <f>10+10</f>
        <v>20</v>
      </c>
      <c r="O141" s="119">
        <f t="shared" si="4"/>
        <v>0</v>
      </c>
    </row>
    <row r="142" spans="1:15">
      <c r="A142" s="590" t="s">
        <v>1181</v>
      </c>
      <c r="B142" s="11" t="s">
        <v>150</v>
      </c>
      <c r="C142" s="11">
        <v>46</v>
      </c>
      <c r="D142" s="11" t="s">
        <v>7</v>
      </c>
      <c r="E142" s="15">
        <v>1269</v>
      </c>
      <c r="F142" s="11" t="s">
        <v>394</v>
      </c>
      <c r="G142" s="11" t="s">
        <v>356</v>
      </c>
      <c r="H142" s="15" t="s">
        <v>15</v>
      </c>
      <c r="I142" s="15">
        <v>20</v>
      </c>
      <c r="J142" s="12" t="s">
        <v>142</v>
      </c>
      <c r="K142" s="591">
        <f>(20*35)</f>
        <v>700</v>
      </c>
      <c r="L142" s="121" t="s">
        <v>2082</v>
      </c>
      <c r="M142" s="136">
        <v>1</v>
      </c>
      <c r="N142" s="133">
        <v>20</v>
      </c>
      <c r="O142" s="119">
        <f t="shared" si="4"/>
        <v>0</v>
      </c>
    </row>
    <row r="143" spans="1:15">
      <c r="A143" s="590" t="s">
        <v>1181</v>
      </c>
      <c r="B143" s="11" t="s">
        <v>150</v>
      </c>
      <c r="C143" s="11">
        <v>46</v>
      </c>
      <c r="D143" s="11" t="s">
        <v>7</v>
      </c>
      <c r="E143" s="15">
        <v>1270</v>
      </c>
      <c r="F143" s="11" t="s">
        <v>697</v>
      </c>
      <c r="G143" s="11" t="s">
        <v>356</v>
      </c>
      <c r="H143" s="15" t="s">
        <v>15</v>
      </c>
      <c r="I143" s="15">
        <v>15</v>
      </c>
      <c r="J143" s="12" t="s">
        <v>641</v>
      </c>
      <c r="K143" s="591">
        <f>(14*35)+(1*27.3)</f>
        <v>517.29999999999995</v>
      </c>
      <c r="L143" s="121" t="s">
        <v>2082</v>
      </c>
      <c r="M143" s="132">
        <v>2</v>
      </c>
      <c r="N143" s="133">
        <f>8+7</f>
        <v>15</v>
      </c>
      <c r="O143" s="119">
        <f t="shared" si="4"/>
        <v>0</v>
      </c>
    </row>
    <row r="144" spans="1:15">
      <c r="A144" s="590" t="s">
        <v>1181</v>
      </c>
      <c r="B144" s="11" t="s">
        <v>150</v>
      </c>
      <c r="C144" s="11">
        <v>46</v>
      </c>
      <c r="D144" s="11" t="s">
        <v>7</v>
      </c>
      <c r="E144" s="15">
        <v>964</v>
      </c>
      <c r="F144" s="11" t="s">
        <v>1875</v>
      </c>
      <c r="G144" s="11" t="s">
        <v>505</v>
      </c>
      <c r="H144" s="15" t="s">
        <v>15</v>
      </c>
      <c r="I144" s="15">
        <v>20</v>
      </c>
      <c r="J144" s="12" t="s">
        <v>1818</v>
      </c>
      <c r="K144" s="591">
        <f>(19*25)+(1*17.3)</f>
        <v>492.3</v>
      </c>
      <c r="L144" s="121" t="s">
        <v>2082</v>
      </c>
      <c r="M144" s="132">
        <v>6</v>
      </c>
      <c r="N144" s="133">
        <v>20</v>
      </c>
      <c r="O144" s="119">
        <f t="shared" si="4"/>
        <v>0</v>
      </c>
    </row>
    <row r="145" spans="1:15">
      <c r="A145" s="590" t="s">
        <v>1181</v>
      </c>
      <c r="B145" s="11" t="s">
        <v>150</v>
      </c>
      <c r="C145" s="11">
        <v>46</v>
      </c>
      <c r="D145" s="11" t="s">
        <v>7</v>
      </c>
      <c r="E145" s="15">
        <v>965</v>
      </c>
      <c r="F145" s="11" t="s">
        <v>1876</v>
      </c>
      <c r="G145" s="11" t="s">
        <v>505</v>
      </c>
      <c r="H145" s="15" t="s">
        <v>15</v>
      </c>
      <c r="I145" s="15">
        <v>40</v>
      </c>
      <c r="J145" s="12" t="s">
        <v>685</v>
      </c>
      <c r="K145" s="591">
        <f>(39*25)+(1*17.3)</f>
        <v>992.3</v>
      </c>
      <c r="L145" s="121" t="s">
        <v>2082</v>
      </c>
      <c r="M145" s="132">
        <v>6</v>
      </c>
      <c r="N145" s="138">
        <v>40</v>
      </c>
      <c r="O145" s="119">
        <f t="shared" si="4"/>
        <v>0</v>
      </c>
    </row>
    <row r="146" spans="1:15">
      <c r="A146" s="590" t="s">
        <v>1178</v>
      </c>
      <c r="B146" s="11" t="s">
        <v>150</v>
      </c>
      <c r="C146" s="11">
        <v>50</v>
      </c>
      <c r="D146" s="11" t="s">
        <v>7</v>
      </c>
      <c r="E146" s="15">
        <v>536</v>
      </c>
      <c r="F146" s="11" t="s">
        <v>570</v>
      </c>
      <c r="G146" s="11" t="s">
        <v>1575</v>
      </c>
      <c r="H146" s="15" t="s">
        <v>5</v>
      </c>
      <c r="I146" s="15">
        <v>20</v>
      </c>
      <c r="J146" s="12" t="s">
        <v>1862</v>
      </c>
      <c r="K146" s="591">
        <f>(19*26)+(1*21.7)</f>
        <v>515.70000000000005</v>
      </c>
      <c r="L146" s="121" t="s">
        <v>2055</v>
      </c>
      <c r="M146" s="132">
        <v>1</v>
      </c>
      <c r="N146" s="130">
        <v>20</v>
      </c>
      <c r="O146" s="119">
        <f t="shared" si="4"/>
        <v>0</v>
      </c>
    </row>
    <row r="147" spans="1:15">
      <c r="A147" s="590" t="s">
        <v>1178</v>
      </c>
      <c r="B147" s="11" t="s">
        <v>150</v>
      </c>
      <c r="C147" s="11">
        <v>50</v>
      </c>
      <c r="D147" s="11" t="s">
        <v>7</v>
      </c>
      <c r="E147" s="15">
        <v>543</v>
      </c>
      <c r="F147" s="11" t="s">
        <v>1649</v>
      </c>
      <c r="G147" s="11" t="s">
        <v>1575</v>
      </c>
      <c r="H147" s="15" t="s">
        <v>15</v>
      </c>
      <c r="I147" s="15">
        <v>20</v>
      </c>
      <c r="J147" s="12" t="s">
        <v>1514</v>
      </c>
      <c r="K147" s="591">
        <f>(19*28)+(1*23.7)</f>
        <v>555.70000000000005</v>
      </c>
      <c r="L147" s="121" t="s">
        <v>2055</v>
      </c>
      <c r="M147" s="132">
        <v>1</v>
      </c>
      <c r="N147" s="133">
        <v>20</v>
      </c>
      <c r="O147" s="119">
        <f t="shared" si="4"/>
        <v>0</v>
      </c>
    </row>
    <row r="148" spans="1:15">
      <c r="A148" s="590" t="s">
        <v>1139</v>
      </c>
      <c r="B148" s="11" t="s">
        <v>9</v>
      </c>
      <c r="C148" s="11">
        <v>38</v>
      </c>
      <c r="D148" s="11" t="s">
        <v>16</v>
      </c>
      <c r="E148" s="11">
        <v>49</v>
      </c>
      <c r="F148" s="11" t="s">
        <v>1523</v>
      </c>
      <c r="G148" s="11" t="s">
        <v>28</v>
      </c>
      <c r="H148" s="11" t="s">
        <v>5</v>
      </c>
      <c r="I148" s="11">
        <v>15</v>
      </c>
      <c r="J148" s="12" t="s">
        <v>1548</v>
      </c>
      <c r="K148" s="591">
        <f>(14*38)+(29.4)</f>
        <v>561.4</v>
      </c>
      <c r="L148" s="121" t="s">
        <v>2055</v>
      </c>
      <c r="M148" s="132">
        <v>2</v>
      </c>
      <c r="N148" s="133">
        <f>5+10</f>
        <v>15</v>
      </c>
      <c r="O148" s="119">
        <f t="shared" si="4"/>
        <v>0</v>
      </c>
    </row>
    <row r="149" spans="1:15">
      <c r="A149" s="590" t="s">
        <v>986</v>
      </c>
      <c r="B149" s="11" t="s">
        <v>9</v>
      </c>
      <c r="C149" s="11">
        <v>39</v>
      </c>
      <c r="D149" s="11" t="s">
        <v>10</v>
      </c>
      <c r="E149" s="11">
        <v>87</v>
      </c>
      <c r="F149" s="11" t="s">
        <v>96</v>
      </c>
      <c r="G149" s="11" t="s">
        <v>28</v>
      </c>
      <c r="H149" s="11" t="s">
        <v>5</v>
      </c>
      <c r="I149" s="11">
        <v>20</v>
      </c>
      <c r="J149" s="12" t="s">
        <v>157</v>
      </c>
      <c r="K149" s="591">
        <f>(20*38)</f>
        <v>760</v>
      </c>
      <c r="L149" s="121" t="s">
        <v>2082</v>
      </c>
      <c r="M149" s="132">
        <v>12</v>
      </c>
      <c r="N149" s="133">
        <v>20</v>
      </c>
      <c r="O149" s="119">
        <f t="shared" si="4"/>
        <v>0</v>
      </c>
    </row>
    <row r="150" spans="1:15">
      <c r="A150" s="590" t="s">
        <v>1148</v>
      </c>
      <c r="B150" s="11" t="s">
        <v>9</v>
      </c>
      <c r="C150" s="11">
        <v>39</v>
      </c>
      <c r="D150" s="11" t="s">
        <v>16</v>
      </c>
      <c r="E150" s="15">
        <v>59</v>
      </c>
      <c r="F150" s="11" t="s">
        <v>75</v>
      </c>
      <c r="G150" s="11" t="s">
        <v>28</v>
      </c>
      <c r="H150" s="15" t="s">
        <v>5</v>
      </c>
      <c r="I150" s="15">
        <v>25</v>
      </c>
      <c r="J150" s="12" t="s">
        <v>170</v>
      </c>
      <c r="K150" s="591">
        <f>(25*38)</f>
        <v>950</v>
      </c>
      <c r="L150" s="121" t="s">
        <v>2055</v>
      </c>
      <c r="M150" s="132">
        <v>6</v>
      </c>
      <c r="N150" s="130">
        <f>15+10</f>
        <v>25</v>
      </c>
      <c r="O150" s="119">
        <f t="shared" si="4"/>
        <v>0</v>
      </c>
    </row>
    <row r="151" spans="1:15">
      <c r="A151" s="590" t="s">
        <v>1148</v>
      </c>
      <c r="B151" s="11" t="s">
        <v>9</v>
      </c>
      <c r="C151" s="11">
        <v>39</v>
      </c>
      <c r="D151" s="11" t="s">
        <v>16</v>
      </c>
      <c r="E151" s="15">
        <v>61</v>
      </c>
      <c r="F151" s="11" t="s">
        <v>160</v>
      </c>
      <c r="G151" s="11" t="s">
        <v>28</v>
      </c>
      <c r="H151" s="15" t="s">
        <v>5</v>
      </c>
      <c r="I151" s="15">
        <v>25</v>
      </c>
      <c r="J151" s="12" t="s">
        <v>170</v>
      </c>
      <c r="K151" s="591">
        <f>(25*38)</f>
        <v>950</v>
      </c>
      <c r="L151" s="120" t="s">
        <v>2055</v>
      </c>
      <c r="M151" s="132">
        <v>3</v>
      </c>
      <c r="N151" s="133">
        <f>8+8+9</f>
        <v>25</v>
      </c>
      <c r="O151" s="119">
        <f t="shared" si="4"/>
        <v>0</v>
      </c>
    </row>
    <row r="152" spans="1:15">
      <c r="A152" s="590" t="s">
        <v>1148</v>
      </c>
      <c r="B152" s="11" t="s">
        <v>9</v>
      </c>
      <c r="C152" s="11">
        <v>39</v>
      </c>
      <c r="D152" s="11" t="s">
        <v>16</v>
      </c>
      <c r="E152" s="15">
        <v>72</v>
      </c>
      <c r="F152" s="11" t="s">
        <v>450</v>
      </c>
      <c r="G152" s="11" t="s">
        <v>28</v>
      </c>
      <c r="H152" s="15" t="s">
        <v>1518</v>
      </c>
      <c r="I152" s="15">
        <v>15</v>
      </c>
      <c r="J152" s="12" t="s">
        <v>14</v>
      </c>
      <c r="K152" s="591">
        <f>(14*38)+(1*29.4)</f>
        <v>561.4</v>
      </c>
      <c r="L152" s="121" t="s">
        <v>2082</v>
      </c>
      <c r="M152" s="132">
        <v>6</v>
      </c>
      <c r="N152" s="133">
        <f>8+7</f>
        <v>15</v>
      </c>
      <c r="O152" s="119">
        <f t="shared" si="4"/>
        <v>0</v>
      </c>
    </row>
    <row r="153" spans="1:15">
      <c r="A153" s="590" t="s">
        <v>1164</v>
      </c>
      <c r="B153" s="11" t="s">
        <v>9</v>
      </c>
      <c r="C153" s="11">
        <v>40</v>
      </c>
      <c r="D153" s="11" t="s">
        <v>10</v>
      </c>
      <c r="E153" s="15">
        <v>115</v>
      </c>
      <c r="F153" s="11" t="s">
        <v>1746</v>
      </c>
      <c r="G153" s="11" t="s">
        <v>28</v>
      </c>
      <c r="H153" s="15" t="s">
        <v>5</v>
      </c>
      <c r="I153" s="15">
        <v>15</v>
      </c>
      <c r="J153" s="12" t="s">
        <v>14</v>
      </c>
      <c r="K153" s="591">
        <f>(14*38)+(1*29.4)</f>
        <v>561.4</v>
      </c>
      <c r="L153" s="121" t="s">
        <v>2082</v>
      </c>
      <c r="M153" s="132">
        <v>8</v>
      </c>
      <c r="N153" s="133">
        <f>7+8</f>
        <v>15</v>
      </c>
      <c r="O153" s="119">
        <f t="shared" si="4"/>
        <v>0</v>
      </c>
    </row>
    <row r="154" spans="1:15">
      <c r="A154" s="590" t="s">
        <v>1164</v>
      </c>
      <c r="B154" s="11" t="s">
        <v>9</v>
      </c>
      <c r="C154" s="11">
        <v>40</v>
      </c>
      <c r="D154" s="11" t="s">
        <v>10</v>
      </c>
      <c r="E154" s="15">
        <v>116</v>
      </c>
      <c r="F154" s="11" t="s">
        <v>177</v>
      </c>
      <c r="G154" s="11" t="s">
        <v>28</v>
      </c>
      <c r="H154" s="15" t="s">
        <v>5</v>
      </c>
      <c r="I154" s="15">
        <v>15</v>
      </c>
      <c r="J154" s="12" t="s">
        <v>97</v>
      </c>
      <c r="K154" s="591">
        <f>(15*38)</f>
        <v>570</v>
      </c>
      <c r="L154" s="121" t="s">
        <v>2082</v>
      </c>
      <c r="M154" s="132">
        <v>2</v>
      </c>
      <c r="N154" s="133">
        <v>15</v>
      </c>
      <c r="O154" s="119">
        <f t="shared" si="4"/>
        <v>0</v>
      </c>
    </row>
    <row r="155" spans="1:15">
      <c r="A155" s="590" t="s">
        <v>1030</v>
      </c>
      <c r="B155" s="11" t="s">
        <v>9</v>
      </c>
      <c r="C155" s="11">
        <v>45</v>
      </c>
      <c r="D155" s="11" t="s">
        <v>10</v>
      </c>
      <c r="E155" s="15">
        <v>164</v>
      </c>
      <c r="F155" s="11" t="s">
        <v>1536</v>
      </c>
      <c r="G155" s="11" t="s">
        <v>28</v>
      </c>
      <c r="H155" s="15" t="s">
        <v>15</v>
      </c>
      <c r="I155" s="15">
        <v>15</v>
      </c>
      <c r="J155" s="12" t="s">
        <v>97</v>
      </c>
      <c r="K155" s="591">
        <f>(15*38)</f>
        <v>570</v>
      </c>
      <c r="L155" s="121" t="s">
        <v>2082</v>
      </c>
      <c r="M155" s="132">
        <v>8</v>
      </c>
      <c r="N155" s="130">
        <v>15</v>
      </c>
      <c r="O155" s="119">
        <f t="shared" si="4"/>
        <v>0</v>
      </c>
    </row>
    <row r="156" spans="1:15">
      <c r="A156" s="590" t="s">
        <v>1030</v>
      </c>
      <c r="B156" s="11" t="s">
        <v>9</v>
      </c>
      <c r="C156" s="11">
        <v>45</v>
      </c>
      <c r="D156" s="11" t="s">
        <v>10</v>
      </c>
      <c r="E156" s="15">
        <v>166</v>
      </c>
      <c r="F156" s="11" t="s">
        <v>554</v>
      </c>
      <c r="G156" s="11" t="s">
        <v>28</v>
      </c>
      <c r="H156" s="15" t="s">
        <v>15</v>
      </c>
      <c r="I156" s="15">
        <v>15</v>
      </c>
      <c r="J156" s="12" t="s">
        <v>97</v>
      </c>
      <c r="K156" s="591">
        <f>(15*38)</f>
        <v>570</v>
      </c>
      <c r="L156" s="121" t="s">
        <v>2082</v>
      </c>
      <c r="M156" s="132">
        <v>9</v>
      </c>
      <c r="N156" s="133">
        <v>15</v>
      </c>
      <c r="O156" s="119">
        <f t="shared" si="4"/>
        <v>0</v>
      </c>
    </row>
    <row r="157" spans="1:15">
      <c r="A157" s="590" t="s">
        <v>1030</v>
      </c>
      <c r="B157" s="11" t="s">
        <v>9</v>
      </c>
      <c r="C157" s="11">
        <v>45</v>
      </c>
      <c r="D157" s="11" t="s">
        <v>16</v>
      </c>
      <c r="E157" s="15">
        <v>43</v>
      </c>
      <c r="F157" s="11" t="s">
        <v>1439</v>
      </c>
      <c r="G157" s="11" t="s">
        <v>28</v>
      </c>
      <c r="H157" s="15" t="s">
        <v>5</v>
      </c>
      <c r="I157" s="15">
        <v>20</v>
      </c>
      <c r="J157" s="12" t="s">
        <v>157</v>
      </c>
      <c r="K157" s="591">
        <f>(20*38)</f>
        <v>760</v>
      </c>
      <c r="L157" s="121" t="s">
        <v>2082</v>
      </c>
      <c r="M157" s="132">
        <v>6</v>
      </c>
      <c r="N157" s="133">
        <v>20</v>
      </c>
      <c r="O157" s="630">
        <f t="shared" si="4"/>
        <v>0</v>
      </c>
    </row>
    <row r="158" spans="1:15">
      <c r="A158" s="590" t="s">
        <v>1030</v>
      </c>
      <c r="B158" s="11" t="s">
        <v>9</v>
      </c>
      <c r="C158" s="11">
        <v>45</v>
      </c>
      <c r="D158" s="11" t="s">
        <v>16</v>
      </c>
      <c r="E158" s="15">
        <v>50</v>
      </c>
      <c r="F158" s="11" t="s">
        <v>164</v>
      </c>
      <c r="G158" s="11" t="s">
        <v>28</v>
      </c>
      <c r="H158" s="15" t="s">
        <v>143</v>
      </c>
      <c r="I158" s="15">
        <v>15</v>
      </c>
      <c r="J158" s="12" t="s">
        <v>14</v>
      </c>
      <c r="K158" s="591">
        <f>(14*38)+(1*29.4)</f>
        <v>561.4</v>
      </c>
      <c r="L158" s="120" t="s">
        <v>2082</v>
      </c>
      <c r="M158" s="132">
        <v>10</v>
      </c>
      <c r="N158" s="133">
        <v>15</v>
      </c>
      <c r="O158" s="119">
        <f t="shared" si="4"/>
        <v>0</v>
      </c>
    </row>
    <row r="159" spans="1:15">
      <c r="A159" s="590" t="s">
        <v>1174</v>
      </c>
      <c r="B159" s="11" t="s">
        <v>9</v>
      </c>
      <c r="C159" s="11">
        <v>46</v>
      </c>
      <c r="D159" s="11" t="s">
        <v>10</v>
      </c>
      <c r="E159" s="15">
        <v>138</v>
      </c>
      <c r="F159" s="11" t="s">
        <v>67</v>
      </c>
      <c r="G159" s="11" t="s">
        <v>28</v>
      </c>
      <c r="H159" s="15" t="s">
        <v>15</v>
      </c>
      <c r="I159" s="15">
        <v>20</v>
      </c>
      <c r="J159" s="12" t="s">
        <v>157</v>
      </c>
      <c r="K159" s="591">
        <f>(20*38)</f>
        <v>760</v>
      </c>
      <c r="L159" s="121" t="s">
        <v>2082</v>
      </c>
      <c r="M159" s="132">
        <v>1</v>
      </c>
      <c r="N159" s="133">
        <f>10+10</f>
        <v>20</v>
      </c>
      <c r="O159" s="119">
        <f t="shared" si="4"/>
        <v>0</v>
      </c>
    </row>
    <row r="160" spans="1:15">
      <c r="A160" s="590" t="s">
        <v>1174</v>
      </c>
      <c r="B160" s="11" t="s">
        <v>9</v>
      </c>
      <c r="C160" s="11">
        <v>46</v>
      </c>
      <c r="D160" s="11" t="s">
        <v>10</v>
      </c>
      <c r="E160" s="15">
        <v>139</v>
      </c>
      <c r="F160" s="11" t="s">
        <v>779</v>
      </c>
      <c r="G160" s="11" t="s">
        <v>28</v>
      </c>
      <c r="H160" s="15" t="s">
        <v>15</v>
      </c>
      <c r="I160" s="15">
        <v>15</v>
      </c>
      <c r="J160" s="12" t="s">
        <v>14</v>
      </c>
      <c r="K160" s="591">
        <f>(14*38)+(1*29.4)</f>
        <v>561.4</v>
      </c>
      <c r="L160" s="121" t="s">
        <v>2033</v>
      </c>
      <c r="M160" s="132">
        <v>11</v>
      </c>
      <c r="N160" s="133">
        <v>15</v>
      </c>
      <c r="O160" s="119">
        <f t="shared" si="4"/>
        <v>0</v>
      </c>
    </row>
    <row r="161" spans="1:15">
      <c r="A161" s="590" t="s">
        <v>1194</v>
      </c>
      <c r="B161" s="11" t="s">
        <v>9</v>
      </c>
      <c r="C161" s="11">
        <v>47</v>
      </c>
      <c r="D161" s="11" t="s">
        <v>16</v>
      </c>
      <c r="E161" s="15">
        <v>80</v>
      </c>
      <c r="F161" s="11" t="s">
        <v>1932</v>
      </c>
      <c r="G161" s="11" t="s">
        <v>28</v>
      </c>
      <c r="H161" s="15" t="s">
        <v>15</v>
      </c>
      <c r="I161" s="15">
        <v>15</v>
      </c>
      <c r="J161" s="12" t="s">
        <v>38</v>
      </c>
      <c r="K161" s="591">
        <f>(13*38)+(2*29.4)</f>
        <v>552.79999999999995</v>
      </c>
      <c r="L161" s="121" t="s">
        <v>2055</v>
      </c>
      <c r="M161" s="136">
        <v>4</v>
      </c>
      <c r="N161" s="133">
        <v>15</v>
      </c>
      <c r="O161" s="119">
        <f t="shared" si="4"/>
        <v>0</v>
      </c>
    </row>
    <row r="162" spans="1:15">
      <c r="A162" s="590" t="s">
        <v>1977</v>
      </c>
      <c r="B162" s="11" t="s">
        <v>9</v>
      </c>
      <c r="C162" s="11">
        <v>47</v>
      </c>
      <c r="D162" s="11" t="s">
        <v>10</v>
      </c>
      <c r="E162" s="15">
        <v>152</v>
      </c>
      <c r="F162" s="11" t="s">
        <v>1801</v>
      </c>
      <c r="G162" s="11" t="s">
        <v>28</v>
      </c>
      <c r="H162" s="15" t="s">
        <v>15</v>
      </c>
      <c r="I162" s="15">
        <v>15</v>
      </c>
      <c r="J162" s="12" t="s">
        <v>14</v>
      </c>
      <c r="K162" s="591">
        <f>(14*38)+(1*29.4)</f>
        <v>561.4</v>
      </c>
      <c r="L162" s="121" t="s">
        <v>2055</v>
      </c>
      <c r="M162" s="136"/>
      <c r="N162" s="133">
        <v>15</v>
      </c>
      <c r="O162" s="119">
        <f t="shared" si="4"/>
        <v>0</v>
      </c>
    </row>
    <row r="163" spans="1:15">
      <c r="A163" s="77" t="s">
        <v>969</v>
      </c>
      <c r="B163" s="15" t="s">
        <v>150</v>
      </c>
      <c r="C163" s="15">
        <v>36</v>
      </c>
      <c r="D163" s="15" t="s">
        <v>7</v>
      </c>
      <c r="E163" s="15">
        <v>5099</v>
      </c>
      <c r="F163" s="15" t="s">
        <v>1490</v>
      </c>
      <c r="G163" s="15" t="s">
        <v>1491</v>
      </c>
      <c r="H163" s="15" t="s">
        <v>1492</v>
      </c>
      <c r="I163" s="15">
        <v>10</v>
      </c>
      <c r="J163" s="18" t="s">
        <v>1493</v>
      </c>
      <c r="K163" s="589">
        <f>(9*23)+(1*20.5)</f>
        <v>227.5</v>
      </c>
      <c r="L163" s="120" t="s">
        <v>2055</v>
      </c>
      <c r="M163" s="132">
        <v>6</v>
      </c>
      <c r="N163" s="133">
        <v>10</v>
      </c>
      <c r="O163" s="119">
        <f t="shared" si="4"/>
        <v>0</v>
      </c>
    </row>
    <row r="164" spans="1:15">
      <c r="A164" s="590" t="s">
        <v>1018</v>
      </c>
      <c r="B164" s="11" t="s">
        <v>6</v>
      </c>
      <c r="C164" s="11">
        <v>47</v>
      </c>
      <c r="D164" s="11" t="s">
        <v>82</v>
      </c>
      <c r="E164" s="15">
        <v>5394</v>
      </c>
      <c r="F164" s="11" t="s">
        <v>1722</v>
      </c>
      <c r="G164" s="11" t="s">
        <v>149</v>
      </c>
      <c r="H164" s="15" t="s">
        <v>1578</v>
      </c>
      <c r="I164" s="15">
        <v>10</v>
      </c>
      <c r="J164" s="12" t="s">
        <v>1723</v>
      </c>
      <c r="K164" s="591">
        <f>(9*19)+(1*14.9)</f>
        <v>185.9</v>
      </c>
      <c r="L164" s="120" t="s">
        <v>2055</v>
      </c>
      <c r="M164" s="132">
        <v>1</v>
      </c>
      <c r="N164" s="133">
        <v>10</v>
      </c>
      <c r="O164" s="119">
        <f t="shared" si="4"/>
        <v>0</v>
      </c>
    </row>
    <row r="165" spans="1:15">
      <c r="A165" s="590" t="s">
        <v>1184</v>
      </c>
      <c r="B165" s="11" t="s">
        <v>150</v>
      </c>
      <c r="C165" s="11">
        <v>48</v>
      </c>
      <c r="D165" s="11" t="s">
        <v>7</v>
      </c>
      <c r="E165" s="15">
        <v>1552</v>
      </c>
      <c r="F165" s="11" t="s">
        <v>1895</v>
      </c>
      <c r="G165" s="11" t="s">
        <v>1597</v>
      </c>
      <c r="H165" s="15" t="s">
        <v>5</v>
      </c>
      <c r="I165" s="15">
        <v>20</v>
      </c>
      <c r="J165" s="12" t="s">
        <v>1885</v>
      </c>
      <c r="K165" s="591">
        <f>(18*26)+(2*21.7)</f>
        <v>511.4</v>
      </c>
      <c r="L165" s="121" t="s">
        <v>2090</v>
      </c>
      <c r="M165" s="136"/>
      <c r="N165" s="133">
        <v>20</v>
      </c>
      <c r="O165" s="119">
        <f t="shared" si="4"/>
        <v>0</v>
      </c>
    </row>
    <row r="166" spans="1:15">
      <c r="A166" s="590" t="s">
        <v>1184</v>
      </c>
      <c r="B166" s="11" t="s">
        <v>150</v>
      </c>
      <c r="C166" s="11">
        <v>48</v>
      </c>
      <c r="D166" s="11" t="s">
        <v>7</v>
      </c>
      <c r="E166" s="15">
        <v>1553</v>
      </c>
      <c r="F166" s="11" t="s">
        <v>1896</v>
      </c>
      <c r="G166" s="11" t="s">
        <v>1597</v>
      </c>
      <c r="H166" s="15" t="s">
        <v>15</v>
      </c>
      <c r="I166" s="15">
        <v>20</v>
      </c>
      <c r="J166" s="12" t="s">
        <v>1885</v>
      </c>
      <c r="K166" s="591">
        <f>(18*26)+(2*21.7)</f>
        <v>511.4</v>
      </c>
      <c r="L166" s="121" t="s">
        <v>2090</v>
      </c>
      <c r="M166" s="136"/>
      <c r="N166" s="133">
        <v>20</v>
      </c>
      <c r="O166" s="119">
        <f t="shared" si="4"/>
        <v>0</v>
      </c>
    </row>
    <row r="167" spans="1:15">
      <c r="A167" s="77" t="s">
        <v>969</v>
      </c>
      <c r="B167" s="15" t="s">
        <v>150</v>
      </c>
      <c r="C167" s="15">
        <v>36</v>
      </c>
      <c r="D167" s="15" t="s">
        <v>50</v>
      </c>
      <c r="E167" s="15">
        <v>5034</v>
      </c>
      <c r="F167" s="15" t="s">
        <v>1407</v>
      </c>
      <c r="G167" s="15" t="s">
        <v>84</v>
      </c>
      <c r="H167" s="15" t="s">
        <v>1339</v>
      </c>
      <c r="I167" s="15">
        <v>5</v>
      </c>
      <c r="J167" s="18" t="s">
        <v>1501</v>
      </c>
      <c r="K167" s="589">
        <f>(2*43)+(1*40.6)+(2*40.8)</f>
        <v>208.2</v>
      </c>
      <c r="L167" s="121" t="s">
        <v>2055</v>
      </c>
      <c r="M167" s="132">
        <v>1</v>
      </c>
      <c r="N167" s="133">
        <v>5</v>
      </c>
      <c r="O167" s="119">
        <f t="shared" si="4"/>
        <v>0</v>
      </c>
    </row>
    <row r="168" spans="1:15">
      <c r="A168" s="77" t="s">
        <v>969</v>
      </c>
      <c r="B168" s="15" t="s">
        <v>150</v>
      </c>
      <c r="C168" s="15">
        <v>36</v>
      </c>
      <c r="D168" s="15" t="s">
        <v>50</v>
      </c>
      <c r="E168" s="15">
        <v>5035</v>
      </c>
      <c r="F168" s="15" t="s">
        <v>1502</v>
      </c>
      <c r="G168" s="15" t="s">
        <v>84</v>
      </c>
      <c r="H168" s="15" t="s">
        <v>1339</v>
      </c>
      <c r="I168" s="15">
        <v>10</v>
      </c>
      <c r="J168" s="18" t="s">
        <v>1503</v>
      </c>
      <c r="K168" s="589">
        <f>(7*43)+(1*40.6)+(2*40.8)</f>
        <v>423.20000000000005</v>
      </c>
      <c r="L168" s="121" t="s">
        <v>2055</v>
      </c>
      <c r="M168" s="132">
        <v>1</v>
      </c>
      <c r="N168" s="133">
        <v>10</v>
      </c>
      <c r="O168" s="119">
        <f t="shared" si="4"/>
        <v>0</v>
      </c>
    </row>
    <row r="169" spans="1:15">
      <c r="A169" s="77" t="s">
        <v>969</v>
      </c>
      <c r="B169" s="15" t="s">
        <v>150</v>
      </c>
      <c r="C169" s="15">
        <v>36</v>
      </c>
      <c r="D169" s="15" t="s">
        <v>50</v>
      </c>
      <c r="E169" s="15">
        <v>5037</v>
      </c>
      <c r="F169" s="15" t="s">
        <v>1504</v>
      </c>
      <c r="G169" s="15" t="s">
        <v>84</v>
      </c>
      <c r="H169" s="15" t="s">
        <v>1499</v>
      </c>
      <c r="I169" s="15">
        <v>5</v>
      </c>
      <c r="J169" s="18" t="s">
        <v>1505</v>
      </c>
      <c r="K169" s="589">
        <f>(2*45)+(1*42.6)+(2*42.8)</f>
        <v>218.2</v>
      </c>
      <c r="L169" s="120" t="s">
        <v>2055</v>
      </c>
      <c r="M169" s="132">
        <v>1</v>
      </c>
      <c r="N169" s="133">
        <v>5</v>
      </c>
      <c r="O169" s="119">
        <f t="shared" si="4"/>
        <v>0</v>
      </c>
    </row>
    <row r="170" spans="1:15">
      <c r="A170" s="77" t="s">
        <v>969</v>
      </c>
      <c r="B170" s="15" t="s">
        <v>150</v>
      </c>
      <c r="C170" s="15">
        <v>36</v>
      </c>
      <c r="D170" s="15" t="s">
        <v>50</v>
      </c>
      <c r="E170" s="15">
        <v>5039</v>
      </c>
      <c r="F170" s="15" t="s">
        <v>1506</v>
      </c>
      <c r="G170" s="15" t="s">
        <v>84</v>
      </c>
      <c r="H170" s="15" t="s">
        <v>1499</v>
      </c>
      <c r="I170" s="15">
        <v>15</v>
      </c>
      <c r="J170" s="18" t="s">
        <v>1507</v>
      </c>
      <c r="K170" s="589">
        <f>(12*46)+(1*43.6)+(2*43.8)</f>
        <v>683.2</v>
      </c>
      <c r="L170" s="120" t="s">
        <v>2055</v>
      </c>
      <c r="M170" s="132">
        <v>1</v>
      </c>
      <c r="N170" s="133">
        <v>15</v>
      </c>
      <c r="O170" s="119">
        <f t="shared" si="4"/>
        <v>0</v>
      </c>
    </row>
    <row r="171" spans="1:15">
      <c r="A171" s="590" t="s">
        <v>1139</v>
      </c>
      <c r="B171" s="11" t="s">
        <v>9</v>
      </c>
      <c r="C171" s="11">
        <v>38</v>
      </c>
      <c r="D171" s="11" t="s">
        <v>16</v>
      </c>
      <c r="E171" s="11">
        <v>177</v>
      </c>
      <c r="F171" s="11" t="s">
        <v>442</v>
      </c>
      <c r="G171" s="11" t="s">
        <v>1377</v>
      </c>
      <c r="H171" s="11" t="s">
        <v>5</v>
      </c>
      <c r="I171" s="11">
        <v>20</v>
      </c>
      <c r="J171" s="12" t="s">
        <v>31</v>
      </c>
      <c r="K171" s="591">
        <f>(19*38)+(1*29.4)</f>
        <v>751.4</v>
      </c>
      <c r="L171" s="121" t="s">
        <v>2055</v>
      </c>
      <c r="M171" s="132">
        <v>5</v>
      </c>
      <c r="N171" s="133">
        <v>20</v>
      </c>
      <c r="O171" s="119">
        <f t="shared" si="4"/>
        <v>0</v>
      </c>
    </row>
    <row r="172" spans="1:15">
      <c r="A172" s="590" t="s">
        <v>1148</v>
      </c>
      <c r="B172" s="11" t="s">
        <v>9</v>
      </c>
      <c r="C172" s="11">
        <v>39</v>
      </c>
      <c r="D172" s="11" t="s">
        <v>16</v>
      </c>
      <c r="E172" s="15">
        <v>154</v>
      </c>
      <c r="F172" s="11" t="s">
        <v>1595</v>
      </c>
      <c r="G172" s="11" t="s">
        <v>1377</v>
      </c>
      <c r="H172" s="15" t="s">
        <v>1518</v>
      </c>
      <c r="I172" s="15">
        <v>20</v>
      </c>
      <c r="J172" s="12" t="s">
        <v>31</v>
      </c>
      <c r="K172" s="591">
        <f>(19*38)+(1*29.4)</f>
        <v>751.4</v>
      </c>
      <c r="L172" s="121" t="s">
        <v>2055</v>
      </c>
      <c r="M172" s="132">
        <v>5</v>
      </c>
      <c r="N172" s="133">
        <f>10+10</f>
        <v>20</v>
      </c>
      <c r="O172" s="119">
        <f t="shared" si="4"/>
        <v>0</v>
      </c>
    </row>
    <row r="173" spans="1:15">
      <c r="A173" s="590" t="s">
        <v>1973</v>
      </c>
      <c r="B173" s="11" t="s">
        <v>9</v>
      </c>
      <c r="C173" s="11">
        <v>48</v>
      </c>
      <c r="D173" s="11" t="s">
        <v>16</v>
      </c>
      <c r="E173" s="15">
        <v>218</v>
      </c>
      <c r="F173" s="11" t="s">
        <v>1557</v>
      </c>
      <c r="G173" s="11" t="s">
        <v>1377</v>
      </c>
      <c r="H173" s="15" t="s">
        <v>5</v>
      </c>
      <c r="I173" s="15">
        <v>15</v>
      </c>
      <c r="J173" s="12" t="s">
        <v>14</v>
      </c>
      <c r="K173" s="591">
        <f>(14*38)+(1*29.4)</f>
        <v>561.4</v>
      </c>
      <c r="L173" s="121" t="s">
        <v>2082</v>
      </c>
      <c r="M173" s="136">
        <v>2</v>
      </c>
      <c r="N173" s="133">
        <v>15</v>
      </c>
      <c r="O173" s="119">
        <f t="shared" si="4"/>
        <v>0</v>
      </c>
    </row>
    <row r="174" spans="1:15">
      <c r="A174" s="590" t="s">
        <v>1174</v>
      </c>
      <c r="B174" s="11" t="s">
        <v>9</v>
      </c>
      <c r="C174" s="11">
        <v>46</v>
      </c>
      <c r="D174" s="11" t="s">
        <v>10</v>
      </c>
      <c r="E174" s="15">
        <v>123</v>
      </c>
      <c r="F174" s="11" t="s">
        <v>146</v>
      </c>
      <c r="G174" s="11" t="s">
        <v>770</v>
      </c>
      <c r="H174" s="15" t="s">
        <v>5</v>
      </c>
      <c r="I174" s="15">
        <v>30</v>
      </c>
      <c r="J174" s="12" t="s">
        <v>728</v>
      </c>
      <c r="K174" s="591">
        <f>(30*34)</f>
        <v>1020</v>
      </c>
      <c r="L174" s="121" t="s">
        <v>2055</v>
      </c>
      <c r="M174" s="132">
        <v>5</v>
      </c>
      <c r="N174" s="133">
        <f>10+9+11</f>
        <v>30</v>
      </c>
      <c r="O174" s="119">
        <f t="shared" si="4"/>
        <v>0</v>
      </c>
    </row>
    <row r="175" spans="1:15">
      <c r="A175" s="590" t="s">
        <v>1174</v>
      </c>
      <c r="B175" s="11" t="s">
        <v>9</v>
      </c>
      <c r="C175" s="11">
        <v>46</v>
      </c>
      <c r="D175" s="11" t="s">
        <v>10</v>
      </c>
      <c r="E175" s="15">
        <v>129</v>
      </c>
      <c r="F175" s="11" t="s">
        <v>146</v>
      </c>
      <c r="G175" s="11" t="s">
        <v>770</v>
      </c>
      <c r="H175" s="15" t="s">
        <v>143</v>
      </c>
      <c r="I175" s="15">
        <v>15</v>
      </c>
      <c r="J175" s="12" t="s">
        <v>127</v>
      </c>
      <c r="K175" s="591">
        <f>(14*34)+(1*25.4)</f>
        <v>501.4</v>
      </c>
      <c r="L175" s="121" t="s">
        <v>2055</v>
      </c>
      <c r="M175" s="132">
        <v>7</v>
      </c>
      <c r="N175" s="133">
        <f>8+7</f>
        <v>15</v>
      </c>
      <c r="O175" s="119">
        <f t="shared" si="4"/>
        <v>0</v>
      </c>
    </row>
    <row r="176" spans="1:15">
      <c r="A176" s="590" t="s">
        <v>1975</v>
      </c>
      <c r="B176" s="11" t="s">
        <v>9</v>
      </c>
      <c r="C176" s="11">
        <v>49</v>
      </c>
      <c r="D176" s="11" t="s">
        <v>10</v>
      </c>
      <c r="E176" s="15">
        <v>142</v>
      </c>
      <c r="F176" s="11" t="s">
        <v>395</v>
      </c>
      <c r="G176" s="11" t="s">
        <v>770</v>
      </c>
      <c r="H176" s="15" t="s">
        <v>15</v>
      </c>
      <c r="I176" s="15">
        <v>20</v>
      </c>
      <c r="J176" s="12" t="s">
        <v>492</v>
      </c>
      <c r="K176" s="591">
        <f>(20*36)</f>
        <v>720</v>
      </c>
      <c r="L176" s="121" t="s">
        <v>2033</v>
      </c>
      <c r="M176" s="136">
        <v>5</v>
      </c>
      <c r="N176" s="133">
        <v>20</v>
      </c>
      <c r="O176" s="119">
        <f t="shared" si="4"/>
        <v>0</v>
      </c>
    </row>
    <row r="177" spans="1:15">
      <c r="A177" s="590" t="s">
        <v>976</v>
      </c>
      <c r="B177" s="11" t="s">
        <v>9</v>
      </c>
      <c r="C177" s="11">
        <v>38</v>
      </c>
      <c r="D177" s="11" t="s">
        <v>10</v>
      </c>
      <c r="E177" s="11">
        <v>569</v>
      </c>
      <c r="F177" s="11" t="s">
        <v>1359</v>
      </c>
      <c r="G177" s="11" t="s">
        <v>36</v>
      </c>
      <c r="H177" s="11" t="s">
        <v>5</v>
      </c>
      <c r="I177" s="11">
        <v>20</v>
      </c>
      <c r="J177" s="12" t="s">
        <v>34</v>
      </c>
      <c r="K177" s="591">
        <f>(19*26)+(1*17.4)</f>
        <v>511.4</v>
      </c>
      <c r="L177" s="121" t="s">
        <v>2033</v>
      </c>
      <c r="M177" s="132">
        <v>6</v>
      </c>
      <c r="N177" s="133">
        <f>10+10</f>
        <v>20</v>
      </c>
      <c r="O177" s="119">
        <f t="shared" si="4"/>
        <v>0</v>
      </c>
    </row>
    <row r="178" spans="1:15">
      <c r="A178" s="77" t="s">
        <v>1137</v>
      </c>
      <c r="B178" s="15" t="s">
        <v>9</v>
      </c>
      <c r="C178" s="15">
        <v>39</v>
      </c>
      <c r="D178" s="15" t="s">
        <v>10</v>
      </c>
      <c r="E178" s="15">
        <v>597</v>
      </c>
      <c r="F178" s="15" t="s">
        <v>86</v>
      </c>
      <c r="G178" s="15" t="s">
        <v>36</v>
      </c>
      <c r="H178" s="15" t="s">
        <v>15</v>
      </c>
      <c r="I178" s="15">
        <v>20</v>
      </c>
      <c r="J178" s="18" t="s">
        <v>34</v>
      </c>
      <c r="K178" s="589">
        <f>(19*26)+(1*17.4)</f>
        <v>511.4</v>
      </c>
      <c r="L178" s="121" t="s">
        <v>2082</v>
      </c>
      <c r="M178" s="132">
        <v>4</v>
      </c>
      <c r="N178" s="133">
        <v>20</v>
      </c>
      <c r="O178" s="119">
        <f t="shared" si="4"/>
        <v>0</v>
      </c>
    </row>
    <row r="179" spans="1:15">
      <c r="A179" s="590" t="s">
        <v>1146</v>
      </c>
      <c r="B179" s="11" t="s">
        <v>9</v>
      </c>
      <c r="C179" s="11">
        <v>39</v>
      </c>
      <c r="D179" s="11" t="s">
        <v>16</v>
      </c>
      <c r="E179" s="15">
        <v>9</v>
      </c>
      <c r="F179" s="11" t="s">
        <v>454</v>
      </c>
      <c r="G179" s="11" t="s">
        <v>36</v>
      </c>
      <c r="H179" s="15" t="s">
        <v>5</v>
      </c>
      <c r="I179" s="15">
        <v>20</v>
      </c>
      <c r="J179" s="12" t="s">
        <v>34</v>
      </c>
      <c r="K179" s="591">
        <f>(19*26)+(1*17.4)</f>
        <v>511.4</v>
      </c>
      <c r="L179" s="121" t="s">
        <v>2082</v>
      </c>
      <c r="M179" s="132">
        <v>11</v>
      </c>
      <c r="N179" s="133">
        <f>9+11</f>
        <v>20</v>
      </c>
      <c r="O179" s="119">
        <f t="shared" si="4"/>
        <v>0</v>
      </c>
    </row>
    <row r="180" spans="1:15">
      <c r="A180" s="590" t="s">
        <v>1146</v>
      </c>
      <c r="B180" s="11" t="s">
        <v>9</v>
      </c>
      <c r="C180" s="11">
        <v>39</v>
      </c>
      <c r="D180" s="11" t="s">
        <v>16</v>
      </c>
      <c r="E180" s="15">
        <v>10</v>
      </c>
      <c r="F180" s="11" t="s">
        <v>781</v>
      </c>
      <c r="G180" s="11" t="s">
        <v>36</v>
      </c>
      <c r="H180" s="15" t="s">
        <v>5</v>
      </c>
      <c r="I180" s="15">
        <v>20</v>
      </c>
      <c r="J180" s="12" t="s">
        <v>34</v>
      </c>
      <c r="K180" s="591">
        <f>(19*26)+(1*17.4)</f>
        <v>511.4</v>
      </c>
      <c r="L180" s="121" t="s">
        <v>2082</v>
      </c>
      <c r="M180" s="132" t="s">
        <v>2085</v>
      </c>
      <c r="N180" s="133">
        <f>10+10</f>
        <v>20</v>
      </c>
      <c r="O180" s="119">
        <f t="shared" si="4"/>
        <v>0</v>
      </c>
    </row>
    <row r="181" spans="1:15">
      <c r="A181" s="590" t="s">
        <v>1009</v>
      </c>
      <c r="B181" s="11" t="s">
        <v>9</v>
      </c>
      <c r="C181" s="11">
        <v>42</v>
      </c>
      <c r="D181" s="11" t="s">
        <v>26</v>
      </c>
      <c r="E181" s="15">
        <v>16</v>
      </c>
      <c r="F181" s="11" t="s">
        <v>780</v>
      </c>
      <c r="G181" s="11" t="s">
        <v>36</v>
      </c>
      <c r="H181" s="15" t="s">
        <v>15</v>
      </c>
      <c r="I181" s="15">
        <v>20</v>
      </c>
      <c r="J181" s="12" t="s">
        <v>85</v>
      </c>
      <c r="K181" s="591">
        <f>(18*26)+(2*17.4)</f>
        <v>502.8</v>
      </c>
      <c r="L181" s="121" t="s">
        <v>2082</v>
      </c>
      <c r="M181" s="132">
        <v>7</v>
      </c>
      <c r="N181" s="133">
        <f>10+10</f>
        <v>20</v>
      </c>
      <c r="O181" s="119">
        <f t="shared" si="4"/>
        <v>0</v>
      </c>
    </row>
    <row r="182" spans="1:15">
      <c r="A182" s="590" t="s">
        <v>1009</v>
      </c>
      <c r="B182" s="11" t="s">
        <v>9</v>
      </c>
      <c r="C182" s="11">
        <v>42</v>
      </c>
      <c r="D182" s="11" t="s">
        <v>26</v>
      </c>
      <c r="E182" s="15">
        <v>18</v>
      </c>
      <c r="F182" s="11" t="s">
        <v>414</v>
      </c>
      <c r="G182" s="11" t="s">
        <v>36</v>
      </c>
      <c r="H182" s="15" t="s">
        <v>15</v>
      </c>
      <c r="I182" s="15">
        <v>20</v>
      </c>
      <c r="J182" s="12" t="s">
        <v>85</v>
      </c>
      <c r="K182" s="591">
        <f>(18*26)+(2*17.4)</f>
        <v>502.8</v>
      </c>
      <c r="L182" s="121" t="s">
        <v>2099</v>
      </c>
      <c r="M182" s="132">
        <v>14</v>
      </c>
      <c r="N182" s="133">
        <f>10+10</f>
        <v>20</v>
      </c>
      <c r="O182" s="119">
        <f t="shared" si="4"/>
        <v>0</v>
      </c>
    </row>
    <row r="183" spans="1:15">
      <c r="A183" s="590" t="s">
        <v>1009</v>
      </c>
      <c r="B183" s="11" t="s">
        <v>9</v>
      </c>
      <c r="C183" s="11">
        <v>42</v>
      </c>
      <c r="D183" s="11" t="s">
        <v>26</v>
      </c>
      <c r="E183" s="15">
        <v>35</v>
      </c>
      <c r="F183" s="11" t="s">
        <v>1401</v>
      </c>
      <c r="G183" s="11" t="s">
        <v>36</v>
      </c>
      <c r="H183" s="15" t="s">
        <v>1324</v>
      </c>
      <c r="I183" s="15">
        <v>20</v>
      </c>
      <c r="J183" s="12" t="s">
        <v>85</v>
      </c>
      <c r="K183" s="591">
        <f>(18*26)+(2*17.4)</f>
        <v>502.8</v>
      </c>
      <c r="L183" s="121" t="s">
        <v>2082</v>
      </c>
      <c r="M183" s="132">
        <v>8</v>
      </c>
      <c r="N183" s="133">
        <f>10+10</f>
        <v>20</v>
      </c>
      <c r="O183" s="119">
        <f t="shared" si="4"/>
        <v>0</v>
      </c>
    </row>
    <row r="184" spans="1:15">
      <c r="A184" s="590" t="s">
        <v>1009</v>
      </c>
      <c r="B184" s="11" t="s">
        <v>9</v>
      </c>
      <c r="C184" s="11">
        <v>42</v>
      </c>
      <c r="D184" s="11" t="s">
        <v>26</v>
      </c>
      <c r="E184" s="15">
        <v>38</v>
      </c>
      <c r="F184" s="11" t="s">
        <v>1644</v>
      </c>
      <c r="G184" s="11" t="s">
        <v>36</v>
      </c>
      <c r="H184" s="15" t="s">
        <v>1324</v>
      </c>
      <c r="I184" s="15">
        <v>20</v>
      </c>
      <c r="J184" s="12" t="s">
        <v>34</v>
      </c>
      <c r="K184" s="591">
        <f t="shared" ref="K184:K189" si="5">(19*26)+(1*17.4)</f>
        <v>511.4</v>
      </c>
      <c r="L184" s="121" t="s">
        <v>2033</v>
      </c>
      <c r="M184" s="132">
        <v>5</v>
      </c>
      <c r="N184" s="133">
        <f>11+9</f>
        <v>20</v>
      </c>
      <c r="O184" s="119">
        <f t="shared" si="4"/>
        <v>0</v>
      </c>
    </row>
    <row r="185" spans="1:15">
      <c r="A185" s="590" t="s">
        <v>1009</v>
      </c>
      <c r="B185" s="11" t="s">
        <v>9</v>
      </c>
      <c r="C185" s="11">
        <v>42</v>
      </c>
      <c r="D185" s="11" t="s">
        <v>26</v>
      </c>
      <c r="E185" s="15">
        <v>41</v>
      </c>
      <c r="F185" s="11" t="s">
        <v>1533</v>
      </c>
      <c r="G185" s="11" t="s">
        <v>36</v>
      </c>
      <c r="H185" s="15" t="s">
        <v>1324</v>
      </c>
      <c r="I185" s="15">
        <v>20</v>
      </c>
      <c r="J185" s="12" t="s">
        <v>34</v>
      </c>
      <c r="K185" s="591">
        <f t="shared" si="5"/>
        <v>511.4</v>
      </c>
      <c r="L185" s="121" t="s">
        <v>2033</v>
      </c>
      <c r="M185" s="132" t="s">
        <v>604</v>
      </c>
      <c r="N185" s="133">
        <f>10+10</f>
        <v>20</v>
      </c>
      <c r="O185" s="119">
        <f t="shared" si="4"/>
        <v>0</v>
      </c>
    </row>
    <row r="186" spans="1:15">
      <c r="A186" s="590" t="s">
        <v>1009</v>
      </c>
      <c r="B186" s="11" t="s">
        <v>9</v>
      </c>
      <c r="C186" s="11">
        <v>42</v>
      </c>
      <c r="D186" s="11" t="s">
        <v>10</v>
      </c>
      <c r="E186" s="15">
        <v>687</v>
      </c>
      <c r="F186" s="11" t="s">
        <v>133</v>
      </c>
      <c r="G186" s="11" t="s">
        <v>36</v>
      </c>
      <c r="H186" s="15" t="s">
        <v>5</v>
      </c>
      <c r="I186" s="15">
        <v>20</v>
      </c>
      <c r="J186" s="12" t="s">
        <v>34</v>
      </c>
      <c r="K186" s="591">
        <f t="shared" si="5"/>
        <v>511.4</v>
      </c>
      <c r="L186" s="121" t="s">
        <v>2033</v>
      </c>
      <c r="M186" s="132" t="s">
        <v>2049</v>
      </c>
      <c r="N186" s="133">
        <f>11+9</f>
        <v>20</v>
      </c>
      <c r="O186" s="119">
        <f t="shared" si="4"/>
        <v>0</v>
      </c>
    </row>
    <row r="187" spans="1:15">
      <c r="A187" s="590" t="s">
        <v>1009</v>
      </c>
      <c r="B187" s="11" t="s">
        <v>9</v>
      </c>
      <c r="C187" s="11">
        <v>42</v>
      </c>
      <c r="D187" s="11" t="s">
        <v>10</v>
      </c>
      <c r="E187" s="15">
        <v>689</v>
      </c>
      <c r="F187" s="11" t="s">
        <v>208</v>
      </c>
      <c r="G187" s="11" t="s">
        <v>36</v>
      </c>
      <c r="H187" s="15" t="s">
        <v>15</v>
      </c>
      <c r="I187" s="15">
        <v>20</v>
      </c>
      <c r="J187" s="12" t="s">
        <v>34</v>
      </c>
      <c r="K187" s="591">
        <f t="shared" si="5"/>
        <v>511.4</v>
      </c>
      <c r="L187" s="121" t="s">
        <v>2033</v>
      </c>
      <c r="M187" s="132" t="s">
        <v>2037</v>
      </c>
      <c r="N187" s="133">
        <f>10+10</f>
        <v>20</v>
      </c>
      <c r="O187" s="119">
        <f t="shared" si="4"/>
        <v>0</v>
      </c>
    </row>
    <row r="188" spans="1:15">
      <c r="A188" s="590" t="s">
        <v>1188</v>
      </c>
      <c r="B188" s="11" t="s">
        <v>9</v>
      </c>
      <c r="C188" s="11">
        <v>47</v>
      </c>
      <c r="D188" s="11" t="s">
        <v>26</v>
      </c>
      <c r="E188" s="15">
        <v>11</v>
      </c>
      <c r="F188" s="11" t="s">
        <v>552</v>
      </c>
      <c r="G188" s="11" t="s">
        <v>36</v>
      </c>
      <c r="H188" s="15"/>
      <c r="I188" s="15">
        <v>20</v>
      </c>
      <c r="J188" s="12" t="s">
        <v>34</v>
      </c>
      <c r="K188" s="591">
        <f t="shared" si="5"/>
        <v>511.4</v>
      </c>
      <c r="L188" s="121" t="s">
        <v>2033</v>
      </c>
      <c r="M188" s="136">
        <v>9</v>
      </c>
      <c r="N188" s="133">
        <v>20</v>
      </c>
      <c r="O188" s="119">
        <f t="shared" si="4"/>
        <v>0</v>
      </c>
    </row>
    <row r="189" spans="1:15">
      <c r="A189" s="590" t="s">
        <v>1188</v>
      </c>
      <c r="B189" s="11" t="s">
        <v>9</v>
      </c>
      <c r="C189" s="11">
        <v>47</v>
      </c>
      <c r="D189" s="11" t="s">
        <v>26</v>
      </c>
      <c r="E189" s="15">
        <v>13</v>
      </c>
      <c r="F189" s="11" t="s">
        <v>510</v>
      </c>
      <c r="G189" s="11" t="s">
        <v>36</v>
      </c>
      <c r="H189" s="15" t="s">
        <v>15</v>
      </c>
      <c r="I189" s="15">
        <v>20</v>
      </c>
      <c r="J189" s="12" t="s">
        <v>34</v>
      </c>
      <c r="K189" s="591">
        <f t="shared" si="5"/>
        <v>511.4</v>
      </c>
      <c r="L189" s="121" t="s">
        <v>2033</v>
      </c>
      <c r="M189" s="136">
        <v>9</v>
      </c>
      <c r="N189" s="133">
        <v>20</v>
      </c>
      <c r="O189" s="119">
        <f t="shared" si="4"/>
        <v>0</v>
      </c>
    </row>
    <row r="190" spans="1:15">
      <c r="A190" s="590" t="s">
        <v>1181</v>
      </c>
      <c r="B190" s="11" t="s">
        <v>150</v>
      </c>
      <c r="C190" s="11">
        <v>46</v>
      </c>
      <c r="D190" s="11" t="s">
        <v>7</v>
      </c>
      <c r="E190" s="15">
        <v>1004</v>
      </c>
      <c r="F190" s="11" t="s">
        <v>1459</v>
      </c>
      <c r="G190" s="11" t="s">
        <v>1411</v>
      </c>
      <c r="H190" s="15" t="s">
        <v>5</v>
      </c>
      <c r="I190" s="15">
        <v>20</v>
      </c>
      <c r="J190" s="12" t="s">
        <v>682</v>
      </c>
      <c r="K190" s="591">
        <f>(19*38)+(1*33.7)</f>
        <v>755.7</v>
      </c>
      <c r="L190" s="121" t="s">
        <v>2082</v>
      </c>
      <c r="M190" s="132" t="s">
        <v>2093</v>
      </c>
      <c r="N190" s="133">
        <f>8+7+5</f>
        <v>20</v>
      </c>
      <c r="O190" s="119">
        <f t="shared" si="4"/>
        <v>0</v>
      </c>
    </row>
    <row r="191" spans="1:15">
      <c r="A191" s="590" t="s">
        <v>1181</v>
      </c>
      <c r="B191" s="11" t="s">
        <v>150</v>
      </c>
      <c r="C191" s="11">
        <v>46</v>
      </c>
      <c r="D191" s="11" t="s">
        <v>7</v>
      </c>
      <c r="E191" s="15">
        <v>1007</v>
      </c>
      <c r="F191" s="11" t="s">
        <v>1400</v>
      </c>
      <c r="G191" s="11" t="s">
        <v>1411</v>
      </c>
      <c r="H191" s="15" t="s">
        <v>15</v>
      </c>
      <c r="I191" s="15">
        <v>20</v>
      </c>
      <c r="J191" s="12" t="s">
        <v>700</v>
      </c>
      <c r="K191" s="591">
        <f>(19*40)+(1*35.7)</f>
        <v>795.7</v>
      </c>
      <c r="L191" s="121" t="s">
        <v>2082</v>
      </c>
      <c r="M191" s="132">
        <v>14</v>
      </c>
      <c r="N191" s="133">
        <v>20</v>
      </c>
      <c r="O191" s="119">
        <f t="shared" si="4"/>
        <v>0</v>
      </c>
    </row>
    <row r="192" spans="1:15">
      <c r="A192" s="590" t="s">
        <v>1170</v>
      </c>
      <c r="B192" s="11" t="s">
        <v>9</v>
      </c>
      <c r="C192" s="11">
        <v>46</v>
      </c>
      <c r="D192" s="11" t="s">
        <v>7</v>
      </c>
      <c r="E192" s="15">
        <v>66</v>
      </c>
      <c r="F192" s="11" t="s">
        <v>720</v>
      </c>
      <c r="G192" s="11" t="s">
        <v>752</v>
      </c>
      <c r="H192" s="15" t="s">
        <v>5</v>
      </c>
      <c r="I192" s="15">
        <v>20</v>
      </c>
      <c r="J192" s="12" t="s">
        <v>31</v>
      </c>
      <c r="K192" s="591">
        <f>(19*38)+(1*29.4)</f>
        <v>751.4</v>
      </c>
      <c r="L192" s="121" t="s">
        <v>2033</v>
      </c>
      <c r="M192" s="132">
        <v>5</v>
      </c>
      <c r="N192" s="133">
        <f>10+10</f>
        <v>20</v>
      </c>
      <c r="O192" s="119">
        <f t="shared" si="4"/>
        <v>0</v>
      </c>
    </row>
    <row r="193" spans="1:15">
      <c r="A193" s="590" t="s">
        <v>1170</v>
      </c>
      <c r="B193" s="11" t="s">
        <v>9</v>
      </c>
      <c r="C193" s="11">
        <v>46</v>
      </c>
      <c r="D193" s="11" t="s">
        <v>7</v>
      </c>
      <c r="E193" s="15">
        <v>67</v>
      </c>
      <c r="F193" s="11" t="s">
        <v>393</v>
      </c>
      <c r="G193" s="11" t="s">
        <v>752</v>
      </c>
      <c r="H193" s="15" t="s">
        <v>5</v>
      </c>
      <c r="I193" s="15">
        <v>20</v>
      </c>
      <c r="J193" s="12" t="s">
        <v>41</v>
      </c>
      <c r="K193" s="591">
        <f>(18*38)+(2*29.4)</f>
        <v>742.8</v>
      </c>
      <c r="L193" s="121" t="s">
        <v>2033</v>
      </c>
      <c r="M193" s="132">
        <v>3</v>
      </c>
      <c r="N193" s="133">
        <v>20</v>
      </c>
      <c r="O193" s="119">
        <f t="shared" si="4"/>
        <v>0</v>
      </c>
    </row>
    <row r="194" spans="1:15">
      <c r="A194" s="590" t="s">
        <v>1170</v>
      </c>
      <c r="B194" s="11" t="s">
        <v>9</v>
      </c>
      <c r="C194" s="11">
        <v>46</v>
      </c>
      <c r="D194" s="11" t="s">
        <v>7</v>
      </c>
      <c r="E194" s="15">
        <v>74</v>
      </c>
      <c r="F194" s="11" t="s">
        <v>94</v>
      </c>
      <c r="G194" s="11" t="s">
        <v>752</v>
      </c>
      <c r="H194" s="15" t="s">
        <v>143</v>
      </c>
      <c r="I194" s="15">
        <v>15</v>
      </c>
      <c r="J194" s="12" t="s">
        <v>1319</v>
      </c>
      <c r="K194" s="591">
        <f>(14*38)+(1*32.2)</f>
        <v>564.20000000000005</v>
      </c>
      <c r="L194" s="121" t="s">
        <v>2033</v>
      </c>
      <c r="M194" s="132">
        <v>4</v>
      </c>
      <c r="N194" s="133">
        <v>15</v>
      </c>
      <c r="O194" s="119">
        <f t="shared" si="4"/>
        <v>0</v>
      </c>
    </row>
    <row r="195" spans="1:15">
      <c r="A195" s="77" t="s">
        <v>1114</v>
      </c>
      <c r="B195" s="15" t="s">
        <v>9</v>
      </c>
      <c r="C195" s="15">
        <v>36</v>
      </c>
      <c r="D195" s="15" t="s">
        <v>10</v>
      </c>
      <c r="E195" s="15">
        <v>221</v>
      </c>
      <c r="F195" s="15" t="s">
        <v>1370</v>
      </c>
      <c r="G195" s="15" t="s">
        <v>1390</v>
      </c>
      <c r="H195" s="15" t="s">
        <v>5</v>
      </c>
      <c r="I195" s="15">
        <v>20</v>
      </c>
      <c r="J195" s="18" t="s">
        <v>31</v>
      </c>
      <c r="K195" s="589">
        <f>(19*38)+(1*29.4)</f>
        <v>751.4</v>
      </c>
      <c r="L195" s="121" t="s">
        <v>2029</v>
      </c>
      <c r="M195" s="132" t="s">
        <v>604</v>
      </c>
      <c r="N195" s="133">
        <f>10+10</f>
        <v>20</v>
      </c>
      <c r="O195" s="119">
        <f t="shared" ref="O195:O258" si="6">I195-N195</f>
        <v>0</v>
      </c>
    </row>
    <row r="196" spans="1:15">
      <c r="A196" s="590" t="s">
        <v>986</v>
      </c>
      <c r="B196" s="11" t="s">
        <v>9</v>
      </c>
      <c r="C196" s="11">
        <v>39</v>
      </c>
      <c r="D196" s="11" t="s">
        <v>10</v>
      </c>
      <c r="E196" s="11">
        <v>213</v>
      </c>
      <c r="F196" s="11" t="s">
        <v>427</v>
      </c>
      <c r="G196" s="11" t="s">
        <v>1390</v>
      </c>
      <c r="H196" s="11" t="s">
        <v>15</v>
      </c>
      <c r="I196" s="11">
        <v>10</v>
      </c>
      <c r="J196" s="12" t="s">
        <v>27</v>
      </c>
      <c r="K196" s="591">
        <f>(9*38)+(1*29.4)</f>
        <v>371.4</v>
      </c>
      <c r="L196" s="121" t="s">
        <v>2033</v>
      </c>
      <c r="M196" s="132">
        <v>10</v>
      </c>
      <c r="N196" s="133">
        <v>10</v>
      </c>
      <c r="O196" s="119">
        <f t="shared" si="6"/>
        <v>0</v>
      </c>
    </row>
    <row r="197" spans="1:15">
      <c r="A197" s="590" t="s">
        <v>1009</v>
      </c>
      <c r="B197" s="11" t="s">
        <v>9</v>
      </c>
      <c r="C197" s="11">
        <v>42</v>
      </c>
      <c r="D197" s="11" t="s">
        <v>10</v>
      </c>
      <c r="E197" s="15">
        <v>281</v>
      </c>
      <c r="F197" s="11" t="s">
        <v>407</v>
      </c>
      <c r="G197" s="11" t="s">
        <v>1390</v>
      </c>
      <c r="H197" s="15" t="s">
        <v>15</v>
      </c>
      <c r="I197" s="15">
        <v>20</v>
      </c>
      <c r="J197" s="12" t="s">
        <v>31</v>
      </c>
      <c r="K197" s="591">
        <f>(19*38)+(1*29.4)</f>
        <v>751.4</v>
      </c>
      <c r="L197" s="121" t="s">
        <v>2082</v>
      </c>
      <c r="M197" s="132">
        <v>7</v>
      </c>
      <c r="N197" s="130">
        <v>20</v>
      </c>
      <c r="O197" s="119">
        <f t="shared" si="6"/>
        <v>0</v>
      </c>
    </row>
    <row r="198" spans="1:15">
      <c r="A198" s="590" t="s">
        <v>1166</v>
      </c>
      <c r="B198" s="11" t="s">
        <v>150</v>
      </c>
      <c r="C198" s="11">
        <v>49</v>
      </c>
      <c r="D198" s="11" t="s">
        <v>51</v>
      </c>
      <c r="E198" s="15">
        <v>185</v>
      </c>
      <c r="F198" s="11" t="s">
        <v>2102</v>
      </c>
      <c r="G198" s="11" t="s">
        <v>503</v>
      </c>
      <c r="H198" s="15" t="s">
        <v>15</v>
      </c>
      <c r="I198" s="15">
        <v>20</v>
      </c>
      <c r="J198" s="12" t="s">
        <v>642</v>
      </c>
      <c r="K198" s="591">
        <f t="shared" ref="K198:K203" si="7">(19*35)+(1*30.7)</f>
        <v>695.7</v>
      </c>
      <c r="L198" s="121" t="s">
        <v>2033</v>
      </c>
      <c r="M198" s="132">
        <v>5</v>
      </c>
      <c r="N198" s="133">
        <v>20</v>
      </c>
      <c r="O198" s="630">
        <f t="shared" si="6"/>
        <v>0</v>
      </c>
    </row>
    <row r="199" spans="1:15">
      <c r="A199" s="590" t="s">
        <v>1181</v>
      </c>
      <c r="B199" s="11" t="s">
        <v>150</v>
      </c>
      <c r="C199" s="11">
        <v>46</v>
      </c>
      <c r="D199" s="11" t="s">
        <v>144</v>
      </c>
      <c r="E199" s="15">
        <v>24</v>
      </c>
      <c r="F199" s="11" t="s">
        <v>1800</v>
      </c>
      <c r="G199" s="11" t="s">
        <v>503</v>
      </c>
      <c r="H199" s="15" t="s">
        <v>15</v>
      </c>
      <c r="I199" s="15">
        <v>20</v>
      </c>
      <c r="J199" s="12" t="s">
        <v>642</v>
      </c>
      <c r="K199" s="591">
        <f t="shared" si="7"/>
        <v>695.7</v>
      </c>
      <c r="L199" s="121" t="s">
        <v>2055</v>
      </c>
      <c r="M199" s="132">
        <v>1</v>
      </c>
      <c r="N199" s="133">
        <f>10+10</f>
        <v>20</v>
      </c>
      <c r="O199" s="119">
        <f t="shared" si="6"/>
        <v>0</v>
      </c>
    </row>
    <row r="200" spans="1:15">
      <c r="A200" s="590" t="s">
        <v>1181</v>
      </c>
      <c r="B200" s="11" t="s">
        <v>150</v>
      </c>
      <c r="C200" s="11">
        <v>46</v>
      </c>
      <c r="D200" s="11" t="s">
        <v>144</v>
      </c>
      <c r="E200" s="15">
        <v>25</v>
      </c>
      <c r="F200" s="11" t="s">
        <v>574</v>
      </c>
      <c r="G200" s="11" t="s">
        <v>503</v>
      </c>
      <c r="H200" s="15" t="s">
        <v>15</v>
      </c>
      <c r="I200" s="15">
        <v>20</v>
      </c>
      <c r="J200" s="12" t="s">
        <v>642</v>
      </c>
      <c r="K200" s="591">
        <f t="shared" si="7"/>
        <v>695.7</v>
      </c>
      <c r="L200" s="121" t="s">
        <v>2055</v>
      </c>
      <c r="M200" s="132">
        <v>5</v>
      </c>
      <c r="N200" s="130">
        <v>20</v>
      </c>
      <c r="O200" s="119">
        <f t="shared" si="6"/>
        <v>0</v>
      </c>
    </row>
    <row r="201" spans="1:15">
      <c r="A201" s="590" t="s">
        <v>1184</v>
      </c>
      <c r="B201" s="11" t="s">
        <v>150</v>
      </c>
      <c r="C201" s="11">
        <v>48</v>
      </c>
      <c r="D201" s="11" t="s">
        <v>51</v>
      </c>
      <c r="E201" s="15">
        <v>172</v>
      </c>
      <c r="F201" s="11" t="s">
        <v>96</v>
      </c>
      <c r="G201" s="11" t="s">
        <v>503</v>
      </c>
      <c r="H201" s="15" t="s">
        <v>15</v>
      </c>
      <c r="I201" s="15">
        <v>20</v>
      </c>
      <c r="J201" s="12" t="s">
        <v>642</v>
      </c>
      <c r="K201" s="591">
        <f t="shared" si="7"/>
        <v>695.7</v>
      </c>
      <c r="L201" s="121" t="s">
        <v>2090</v>
      </c>
      <c r="M201" s="136"/>
      <c r="N201" s="133">
        <v>20</v>
      </c>
      <c r="O201" s="119">
        <f t="shared" si="6"/>
        <v>0</v>
      </c>
    </row>
    <row r="202" spans="1:15">
      <c r="A202" s="590" t="s">
        <v>1184</v>
      </c>
      <c r="B202" s="11" t="s">
        <v>150</v>
      </c>
      <c r="C202" s="11">
        <v>48</v>
      </c>
      <c r="D202" s="11" t="s">
        <v>51</v>
      </c>
      <c r="E202" s="15">
        <v>173</v>
      </c>
      <c r="F202" s="11" t="s">
        <v>733</v>
      </c>
      <c r="G202" s="11" t="s">
        <v>503</v>
      </c>
      <c r="H202" s="15" t="s">
        <v>15</v>
      </c>
      <c r="I202" s="15">
        <v>20</v>
      </c>
      <c r="J202" s="12" t="s">
        <v>642</v>
      </c>
      <c r="K202" s="591">
        <f t="shared" si="7"/>
        <v>695.7</v>
      </c>
      <c r="L202" s="121" t="s">
        <v>2090</v>
      </c>
      <c r="M202" s="136"/>
      <c r="N202" s="133">
        <v>20</v>
      </c>
      <c r="O202" s="119">
        <f t="shared" si="6"/>
        <v>0</v>
      </c>
    </row>
    <row r="203" spans="1:15">
      <c r="A203" s="590" t="s">
        <v>1184</v>
      </c>
      <c r="B203" s="11" t="s">
        <v>150</v>
      </c>
      <c r="C203" s="11">
        <v>48</v>
      </c>
      <c r="D203" s="11" t="s">
        <v>51</v>
      </c>
      <c r="E203" s="15">
        <v>176</v>
      </c>
      <c r="F203" s="11" t="s">
        <v>1746</v>
      </c>
      <c r="G203" s="11" t="s">
        <v>503</v>
      </c>
      <c r="H203" s="15" t="s">
        <v>15</v>
      </c>
      <c r="I203" s="15">
        <v>20</v>
      </c>
      <c r="J203" s="12" t="s">
        <v>642</v>
      </c>
      <c r="K203" s="591">
        <f t="shared" si="7"/>
        <v>695.7</v>
      </c>
      <c r="L203" s="121" t="s">
        <v>2090</v>
      </c>
      <c r="M203" s="136"/>
      <c r="N203" s="133">
        <v>20</v>
      </c>
      <c r="O203" s="119">
        <f t="shared" si="6"/>
        <v>0</v>
      </c>
    </row>
    <row r="204" spans="1:15">
      <c r="A204" s="77" t="s">
        <v>1121</v>
      </c>
      <c r="B204" s="15" t="s">
        <v>9</v>
      </c>
      <c r="C204" s="15">
        <v>36</v>
      </c>
      <c r="D204" s="15" t="s">
        <v>10</v>
      </c>
      <c r="E204" s="15">
        <v>57</v>
      </c>
      <c r="F204" s="15" t="s">
        <v>1471</v>
      </c>
      <c r="G204" s="15" t="s">
        <v>761</v>
      </c>
      <c r="H204" s="15" t="s">
        <v>143</v>
      </c>
      <c r="I204" s="15">
        <v>20</v>
      </c>
      <c r="J204" s="18" t="s">
        <v>31</v>
      </c>
      <c r="K204" s="589">
        <f>(19*38)+(1*29.4)</f>
        <v>751.4</v>
      </c>
      <c r="L204" s="121" t="s">
        <v>2082</v>
      </c>
      <c r="M204" s="120">
        <v>14</v>
      </c>
      <c r="N204" s="130">
        <f>10+10</f>
        <v>20</v>
      </c>
      <c r="O204" s="119">
        <f t="shared" si="6"/>
        <v>0</v>
      </c>
    </row>
    <row r="205" spans="1:15">
      <c r="A205" s="77" t="s">
        <v>976</v>
      </c>
      <c r="B205" s="15" t="s">
        <v>9</v>
      </c>
      <c r="C205" s="15">
        <v>38</v>
      </c>
      <c r="D205" s="15" t="s">
        <v>10</v>
      </c>
      <c r="E205" s="15">
        <v>61</v>
      </c>
      <c r="F205" s="15" t="s">
        <v>1541</v>
      </c>
      <c r="G205" s="15" t="s">
        <v>761</v>
      </c>
      <c r="H205" s="15" t="s">
        <v>5</v>
      </c>
      <c r="I205" s="15">
        <v>15</v>
      </c>
      <c r="J205" s="18" t="s">
        <v>14</v>
      </c>
      <c r="K205" s="589">
        <f>(14*38)+(1*29.4)</f>
        <v>561.4</v>
      </c>
      <c r="L205" s="120" t="s">
        <v>2033</v>
      </c>
      <c r="M205" s="132">
        <v>10</v>
      </c>
      <c r="N205" s="133">
        <f>8+7</f>
        <v>15</v>
      </c>
      <c r="O205" s="119">
        <f t="shared" si="6"/>
        <v>0</v>
      </c>
    </row>
    <row r="206" spans="1:15">
      <c r="A206" s="590" t="s">
        <v>1156</v>
      </c>
      <c r="B206" s="11" t="s">
        <v>9</v>
      </c>
      <c r="C206" s="11">
        <v>40</v>
      </c>
      <c r="D206" s="11" t="s">
        <v>7</v>
      </c>
      <c r="E206" s="15">
        <v>43</v>
      </c>
      <c r="F206" s="11" t="s">
        <v>1634</v>
      </c>
      <c r="G206" s="11" t="s">
        <v>761</v>
      </c>
      <c r="H206" s="15" t="s">
        <v>143</v>
      </c>
      <c r="I206" s="15">
        <v>20</v>
      </c>
      <c r="J206" s="12" t="s">
        <v>31</v>
      </c>
      <c r="K206" s="591">
        <f>(19*38)+(1*29.4)</f>
        <v>751.4</v>
      </c>
      <c r="L206" s="121" t="s">
        <v>2033</v>
      </c>
      <c r="M206" s="132">
        <v>6</v>
      </c>
      <c r="N206" s="133">
        <f>10+10</f>
        <v>20</v>
      </c>
      <c r="O206" s="119">
        <f t="shared" si="6"/>
        <v>0</v>
      </c>
    </row>
    <row r="207" spans="1:15">
      <c r="A207" s="590" t="s">
        <v>1164</v>
      </c>
      <c r="B207" s="11" t="s">
        <v>9</v>
      </c>
      <c r="C207" s="11">
        <v>40</v>
      </c>
      <c r="D207" s="11" t="s">
        <v>10</v>
      </c>
      <c r="E207" s="15">
        <v>70</v>
      </c>
      <c r="F207" s="11" t="s">
        <v>762</v>
      </c>
      <c r="G207" s="11" t="s">
        <v>761</v>
      </c>
      <c r="H207" s="15" t="s">
        <v>5</v>
      </c>
      <c r="I207" s="15">
        <v>30</v>
      </c>
      <c r="J207" s="12" t="s">
        <v>25</v>
      </c>
      <c r="K207" s="591">
        <f>(29*38)+(1*29.4)</f>
        <v>1131.4000000000001</v>
      </c>
      <c r="L207" s="121" t="s">
        <v>2082</v>
      </c>
      <c r="M207" s="132">
        <v>7</v>
      </c>
      <c r="N207" s="133">
        <f>10+20</f>
        <v>30</v>
      </c>
      <c r="O207" s="119">
        <f t="shared" si="6"/>
        <v>0</v>
      </c>
    </row>
    <row r="208" spans="1:15">
      <c r="A208" s="590" t="s">
        <v>1164</v>
      </c>
      <c r="B208" s="11" t="s">
        <v>9</v>
      </c>
      <c r="C208" s="11">
        <v>40</v>
      </c>
      <c r="D208" s="11" t="s">
        <v>10</v>
      </c>
      <c r="E208" s="15">
        <v>72</v>
      </c>
      <c r="F208" s="11" t="s">
        <v>1745</v>
      </c>
      <c r="G208" s="11" t="s">
        <v>761</v>
      </c>
      <c r="H208" s="15" t="s">
        <v>5</v>
      </c>
      <c r="I208" s="15">
        <v>15</v>
      </c>
      <c r="J208" s="12" t="s">
        <v>14</v>
      </c>
      <c r="K208" s="591">
        <f>(14*38)+(1*29.4)</f>
        <v>561.4</v>
      </c>
      <c r="L208" s="121" t="s">
        <v>2082</v>
      </c>
      <c r="M208" s="132" t="s">
        <v>2049</v>
      </c>
      <c r="N208" s="133">
        <f>9+6</f>
        <v>15</v>
      </c>
      <c r="O208" s="119">
        <f t="shared" si="6"/>
        <v>0</v>
      </c>
    </row>
    <row r="209" spans="1:15">
      <c r="A209" s="590" t="s">
        <v>1164</v>
      </c>
      <c r="B209" s="11" t="s">
        <v>9</v>
      </c>
      <c r="C209" s="11">
        <v>40</v>
      </c>
      <c r="D209" s="11" t="s">
        <v>10</v>
      </c>
      <c r="E209" s="15">
        <v>81</v>
      </c>
      <c r="F209" s="11" t="s">
        <v>211</v>
      </c>
      <c r="G209" s="11" t="s">
        <v>761</v>
      </c>
      <c r="H209" s="15" t="s">
        <v>143</v>
      </c>
      <c r="I209" s="15">
        <v>20</v>
      </c>
      <c r="J209" s="12" t="s">
        <v>31</v>
      </c>
      <c r="K209" s="591">
        <f>(19*38)+(1*29.4)</f>
        <v>751.4</v>
      </c>
      <c r="L209" s="121" t="s">
        <v>2082</v>
      </c>
      <c r="M209" s="132">
        <v>12</v>
      </c>
      <c r="N209" s="133">
        <f>10+10</f>
        <v>20</v>
      </c>
      <c r="O209" s="119">
        <f t="shared" si="6"/>
        <v>0</v>
      </c>
    </row>
    <row r="210" spans="1:15">
      <c r="A210" s="590" t="s">
        <v>1164</v>
      </c>
      <c r="B210" s="11" t="s">
        <v>9</v>
      </c>
      <c r="C210" s="11">
        <v>40</v>
      </c>
      <c r="D210" s="11" t="s">
        <v>10</v>
      </c>
      <c r="E210" s="15">
        <v>84</v>
      </c>
      <c r="F210" s="11" t="s">
        <v>1559</v>
      </c>
      <c r="G210" s="11" t="s">
        <v>761</v>
      </c>
      <c r="H210" s="15" t="s">
        <v>143</v>
      </c>
      <c r="I210" s="15">
        <v>20</v>
      </c>
      <c r="J210" s="12" t="s">
        <v>31</v>
      </c>
      <c r="K210" s="591">
        <f>(19*38)+(1*29.4)</f>
        <v>751.4</v>
      </c>
      <c r="L210" s="121" t="s">
        <v>2082</v>
      </c>
      <c r="M210" s="132">
        <v>10</v>
      </c>
      <c r="N210" s="133">
        <f>5+10+5</f>
        <v>20</v>
      </c>
      <c r="O210" s="119">
        <f t="shared" si="6"/>
        <v>0</v>
      </c>
    </row>
    <row r="211" spans="1:15">
      <c r="A211" s="590" t="s">
        <v>1170</v>
      </c>
      <c r="B211" s="11" t="s">
        <v>9</v>
      </c>
      <c r="C211" s="11">
        <v>46</v>
      </c>
      <c r="D211" s="11" t="s">
        <v>7</v>
      </c>
      <c r="E211" s="15">
        <v>145</v>
      </c>
      <c r="F211" s="11" t="s">
        <v>1787</v>
      </c>
      <c r="G211" s="11" t="s">
        <v>761</v>
      </c>
      <c r="H211" s="15" t="s">
        <v>15</v>
      </c>
      <c r="I211" s="15">
        <v>15</v>
      </c>
      <c r="J211" s="12" t="s">
        <v>397</v>
      </c>
      <c r="K211" s="591">
        <f>(12*38)+(3*29.4)</f>
        <v>544.20000000000005</v>
      </c>
      <c r="L211" s="121" t="s">
        <v>2033</v>
      </c>
      <c r="M211" s="132">
        <v>11</v>
      </c>
      <c r="N211" s="138">
        <v>15</v>
      </c>
      <c r="O211" s="119">
        <f t="shared" si="6"/>
        <v>0</v>
      </c>
    </row>
    <row r="212" spans="1:15">
      <c r="A212" s="590" t="s">
        <v>1170</v>
      </c>
      <c r="B212" s="11" t="s">
        <v>9</v>
      </c>
      <c r="C212" s="11">
        <v>46</v>
      </c>
      <c r="D212" s="11" t="s">
        <v>7</v>
      </c>
      <c r="E212" s="15">
        <v>146</v>
      </c>
      <c r="F212" s="11" t="s">
        <v>768</v>
      </c>
      <c r="G212" s="11" t="s">
        <v>761</v>
      </c>
      <c r="H212" s="15" t="s">
        <v>15</v>
      </c>
      <c r="I212" s="15">
        <v>15</v>
      </c>
      <c r="J212" s="12" t="s">
        <v>397</v>
      </c>
      <c r="K212" s="591">
        <f>(12*38)+(3*29.4)</f>
        <v>544.20000000000005</v>
      </c>
      <c r="L212" s="121" t="s">
        <v>2033</v>
      </c>
      <c r="M212" s="132">
        <v>8</v>
      </c>
      <c r="N212" s="133">
        <f>7+8</f>
        <v>15</v>
      </c>
      <c r="O212" s="119">
        <f t="shared" si="6"/>
        <v>0</v>
      </c>
    </row>
    <row r="213" spans="1:15">
      <c r="A213" s="590" t="s">
        <v>1174</v>
      </c>
      <c r="B213" s="11" t="s">
        <v>9</v>
      </c>
      <c r="C213" s="11">
        <v>47</v>
      </c>
      <c r="D213" s="11" t="s">
        <v>10</v>
      </c>
      <c r="E213" s="15">
        <v>67</v>
      </c>
      <c r="F213" s="11" t="s">
        <v>1806</v>
      </c>
      <c r="G213" s="11" t="s">
        <v>761</v>
      </c>
      <c r="H213" s="15" t="s">
        <v>5</v>
      </c>
      <c r="I213" s="15">
        <v>23</v>
      </c>
      <c r="J213" s="12" t="s">
        <v>1799</v>
      </c>
      <c r="K213" s="591">
        <f>(23*38)</f>
        <v>874</v>
      </c>
      <c r="L213" s="121" t="s">
        <v>2055</v>
      </c>
      <c r="M213" s="132">
        <v>8</v>
      </c>
      <c r="N213" s="133">
        <v>23</v>
      </c>
      <c r="O213" s="119">
        <f t="shared" si="6"/>
        <v>0</v>
      </c>
    </row>
    <row r="214" spans="1:15">
      <c r="A214" s="590" t="s">
        <v>1174</v>
      </c>
      <c r="B214" s="11" t="s">
        <v>9</v>
      </c>
      <c r="C214" s="11">
        <v>47</v>
      </c>
      <c r="D214" s="11" t="s">
        <v>10</v>
      </c>
      <c r="E214" s="15">
        <v>68</v>
      </c>
      <c r="F214" s="11" t="s">
        <v>493</v>
      </c>
      <c r="G214" s="11" t="s">
        <v>761</v>
      </c>
      <c r="H214" s="15" t="s">
        <v>5</v>
      </c>
      <c r="I214" s="15">
        <v>15</v>
      </c>
      <c r="J214" s="12" t="s">
        <v>38</v>
      </c>
      <c r="K214" s="591">
        <f>(13*38)+(2*29.4)</f>
        <v>552.79999999999995</v>
      </c>
      <c r="L214" s="121" t="s">
        <v>2055</v>
      </c>
      <c r="M214" s="132">
        <v>3</v>
      </c>
      <c r="N214" s="133">
        <f>8+7</f>
        <v>15</v>
      </c>
      <c r="O214" s="119">
        <f t="shared" si="6"/>
        <v>0</v>
      </c>
    </row>
    <row r="215" spans="1:15">
      <c r="A215" s="590" t="s">
        <v>1174</v>
      </c>
      <c r="B215" s="11" t="s">
        <v>9</v>
      </c>
      <c r="C215" s="11">
        <v>47</v>
      </c>
      <c r="D215" s="11" t="s">
        <v>10</v>
      </c>
      <c r="E215" s="15">
        <v>69</v>
      </c>
      <c r="F215" s="11" t="s">
        <v>1807</v>
      </c>
      <c r="G215" s="11" t="s">
        <v>761</v>
      </c>
      <c r="H215" s="15" t="s">
        <v>15</v>
      </c>
      <c r="I215" s="15">
        <v>15</v>
      </c>
      <c r="J215" s="12" t="s">
        <v>14</v>
      </c>
      <c r="K215" s="591">
        <f>(14*38)+(1*29.4)</f>
        <v>561.4</v>
      </c>
      <c r="L215" s="121" t="s">
        <v>2055</v>
      </c>
      <c r="M215" s="132">
        <v>3</v>
      </c>
      <c r="N215" s="133">
        <f>7+8</f>
        <v>15</v>
      </c>
      <c r="O215" s="119">
        <f t="shared" si="6"/>
        <v>0</v>
      </c>
    </row>
    <row r="216" spans="1:15">
      <c r="A216" s="590" t="s">
        <v>1174</v>
      </c>
      <c r="B216" s="11" t="s">
        <v>9</v>
      </c>
      <c r="C216" s="11">
        <v>47</v>
      </c>
      <c r="D216" s="11" t="s">
        <v>10</v>
      </c>
      <c r="E216" s="15">
        <v>73</v>
      </c>
      <c r="F216" s="11" t="s">
        <v>1808</v>
      </c>
      <c r="G216" s="11" t="s">
        <v>761</v>
      </c>
      <c r="H216" s="15" t="s">
        <v>15</v>
      </c>
      <c r="I216" s="15">
        <v>15</v>
      </c>
      <c r="J216" s="12" t="s">
        <v>14</v>
      </c>
      <c r="K216" s="591">
        <f>(14*38)+(1*29.4)</f>
        <v>561.4</v>
      </c>
      <c r="L216" s="121" t="s">
        <v>2055</v>
      </c>
      <c r="M216" s="132">
        <v>8</v>
      </c>
      <c r="N216" s="133">
        <v>15</v>
      </c>
      <c r="O216" s="119">
        <f t="shared" si="6"/>
        <v>0</v>
      </c>
    </row>
    <row r="217" spans="1:15">
      <c r="A217" s="590" t="s">
        <v>1174</v>
      </c>
      <c r="B217" s="11" t="s">
        <v>9</v>
      </c>
      <c r="C217" s="11">
        <v>47</v>
      </c>
      <c r="D217" s="11" t="s">
        <v>10</v>
      </c>
      <c r="E217" s="15">
        <v>74</v>
      </c>
      <c r="F217" s="11" t="s">
        <v>391</v>
      </c>
      <c r="G217" s="11" t="s">
        <v>761</v>
      </c>
      <c r="H217" s="15" t="s">
        <v>15</v>
      </c>
      <c r="I217" s="15">
        <v>15</v>
      </c>
      <c r="J217" s="12" t="s">
        <v>38</v>
      </c>
      <c r="K217" s="591">
        <f>(13*38)+(2*29.4)</f>
        <v>552.79999999999995</v>
      </c>
      <c r="L217" s="121" t="s">
        <v>2055</v>
      </c>
      <c r="M217" s="132">
        <v>7</v>
      </c>
      <c r="N217" s="133">
        <v>15</v>
      </c>
      <c r="O217" s="119">
        <f t="shared" si="6"/>
        <v>0</v>
      </c>
    </row>
    <row r="218" spans="1:15">
      <c r="A218" s="590" t="s">
        <v>1188</v>
      </c>
      <c r="B218" s="11" t="s">
        <v>9</v>
      </c>
      <c r="C218" s="11">
        <v>47</v>
      </c>
      <c r="D218" s="11" t="s">
        <v>7</v>
      </c>
      <c r="E218" s="15">
        <v>168</v>
      </c>
      <c r="F218" s="11" t="s">
        <v>1920</v>
      </c>
      <c r="G218" s="11" t="s">
        <v>761</v>
      </c>
      <c r="H218" s="15" t="s">
        <v>15</v>
      </c>
      <c r="I218" s="15">
        <v>15</v>
      </c>
      <c r="J218" s="12" t="s">
        <v>38</v>
      </c>
      <c r="K218" s="591">
        <f>(13*38)+(2*29.4)</f>
        <v>552.79999999999995</v>
      </c>
      <c r="L218" s="121" t="s">
        <v>2033</v>
      </c>
      <c r="M218" s="136">
        <v>11</v>
      </c>
      <c r="N218" s="133">
        <v>15</v>
      </c>
      <c r="O218" s="119">
        <f t="shared" si="6"/>
        <v>0</v>
      </c>
    </row>
    <row r="219" spans="1:15">
      <c r="A219" s="590" t="s">
        <v>1188</v>
      </c>
      <c r="B219" s="11" t="s">
        <v>9</v>
      </c>
      <c r="C219" s="11">
        <v>47</v>
      </c>
      <c r="D219" s="11" t="s">
        <v>7</v>
      </c>
      <c r="E219" s="15">
        <v>174</v>
      </c>
      <c r="F219" s="11" t="s">
        <v>1921</v>
      </c>
      <c r="G219" s="11" t="s">
        <v>761</v>
      </c>
      <c r="H219" s="15" t="s">
        <v>15</v>
      </c>
      <c r="I219" s="15">
        <v>15</v>
      </c>
      <c r="J219" s="12" t="s">
        <v>397</v>
      </c>
      <c r="K219" s="591">
        <f>(12*38)+(3*29.4)</f>
        <v>544.20000000000005</v>
      </c>
      <c r="L219" s="121" t="s">
        <v>2082</v>
      </c>
      <c r="M219" s="136">
        <v>11</v>
      </c>
      <c r="N219" s="133">
        <v>15</v>
      </c>
      <c r="O219" s="119">
        <f t="shared" si="6"/>
        <v>0</v>
      </c>
    </row>
    <row r="220" spans="1:15">
      <c r="A220" s="590" t="s">
        <v>1166</v>
      </c>
      <c r="B220" s="11" t="s">
        <v>150</v>
      </c>
      <c r="C220" s="11">
        <v>49</v>
      </c>
      <c r="D220" s="11" t="s">
        <v>7</v>
      </c>
      <c r="E220" s="15">
        <v>945</v>
      </c>
      <c r="F220" s="11" t="s">
        <v>352</v>
      </c>
      <c r="G220" s="11" t="s">
        <v>709</v>
      </c>
      <c r="H220" s="15" t="s">
        <v>15</v>
      </c>
      <c r="I220" s="15">
        <v>30</v>
      </c>
      <c r="J220" s="12" t="s">
        <v>1762</v>
      </c>
      <c r="K220" s="591">
        <f>(29*25)+(1*17.3)</f>
        <v>742.3</v>
      </c>
      <c r="L220" s="121" t="s">
        <v>2055</v>
      </c>
      <c r="M220" s="132">
        <v>8</v>
      </c>
      <c r="N220" s="133">
        <v>30</v>
      </c>
      <c r="O220" s="119">
        <f t="shared" si="6"/>
        <v>0</v>
      </c>
    </row>
    <row r="221" spans="1:15">
      <c r="A221" s="590" t="s">
        <v>1176</v>
      </c>
      <c r="B221" s="11" t="s">
        <v>150</v>
      </c>
      <c r="C221" s="11">
        <v>50</v>
      </c>
      <c r="D221" s="11" t="s">
        <v>7</v>
      </c>
      <c r="E221" s="15">
        <v>890</v>
      </c>
      <c r="F221" s="11" t="s">
        <v>195</v>
      </c>
      <c r="G221" s="11" t="s">
        <v>709</v>
      </c>
      <c r="H221" s="15" t="s">
        <v>15</v>
      </c>
      <c r="I221" s="15">
        <v>30</v>
      </c>
      <c r="J221" s="12" t="s">
        <v>1762</v>
      </c>
      <c r="K221" s="591">
        <f>(29*25)+(1*17.3)</f>
        <v>742.3</v>
      </c>
      <c r="L221" s="121" t="s">
        <v>2055</v>
      </c>
      <c r="M221" s="132">
        <v>1</v>
      </c>
      <c r="N221" s="133">
        <v>30</v>
      </c>
      <c r="O221" s="119">
        <f t="shared" si="6"/>
        <v>0</v>
      </c>
    </row>
    <row r="222" spans="1:15">
      <c r="A222" s="590" t="s">
        <v>1186</v>
      </c>
      <c r="B222" s="11" t="s">
        <v>150</v>
      </c>
      <c r="C222" s="11">
        <v>47</v>
      </c>
      <c r="D222" s="11" t="s">
        <v>7</v>
      </c>
      <c r="E222" s="15">
        <v>1184</v>
      </c>
      <c r="F222" s="11" t="s">
        <v>583</v>
      </c>
      <c r="G222" s="11" t="s">
        <v>709</v>
      </c>
      <c r="H222" s="15" t="s">
        <v>15</v>
      </c>
      <c r="I222" s="15">
        <v>15</v>
      </c>
      <c r="J222" s="12" t="s">
        <v>1758</v>
      </c>
      <c r="K222" s="591">
        <f>(15*25)</f>
        <v>375</v>
      </c>
      <c r="L222" s="121" t="s">
        <v>2055</v>
      </c>
      <c r="M222" s="136">
        <v>1</v>
      </c>
      <c r="N222" s="133">
        <v>15</v>
      </c>
      <c r="O222" s="119">
        <f t="shared" si="6"/>
        <v>0</v>
      </c>
    </row>
    <row r="223" spans="1:15">
      <c r="A223" s="77" t="s">
        <v>1129</v>
      </c>
      <c r="B223" s="15" t="s">
        <v>9</v>
      </c>
      <c r="C223" s="15">
        <v>38</v>
      </c>
      <c r="D223" s="15" t="s">
        <v>16</v>
      </c>
      <c r="E223" s="15">
        <v>428</v>
      </c>
      <c r="F223" s="15" t="s">
        <v>1391</v>
      </c>
      <c r="G223" s="15" t="s">
        <v>42</v>
      </c>
      <c r="H223" s="15" t="s">
        <v>5</v>
      </c>
      <c r="I223" s="15">
        <v>20</v>
      </c>
      <c r="J223" s="18" t="s">
        <v>1530</v>
      </c>
      <c r="K223" s="589">
        <f>(18*37)+(2*28.4)</f>
        <v>722.8</v>
      </c>
      <c r="L223" s="120" t="s">
        <v>2029</v>
      </c>
      <c r="M223" s="132">
        <v>4</v>
      </c>
      <c r="N223" s="133">
        <v>20</v>
      </c>
      <c r="O223" s="119">
        <f t="shared" si="6"/>
        <v>0</v>
      </c>
    </row>
    <row r="224" spans="1:15" ht="14.45" customHeight="1">
      <c r="A224" s="590" t="s">
        <v>998</v>
      </c>
      <c r="B224" s="11" t="s">
        <v>9</v>
      </c>
      <c r="C224" s="11">
        <v>39</v>
      </c>
      <c r="D224" s="11" t="s">
        <v>7</v>
      </c>
      <c r="E224" s="15">
        <v>389</v>
      </c>
      <c r="F224" s="11" t="s">
        <v>672</v>
      </c>
      <c r="G224" s="11" t="s">
        <v>42</v>
      </c>
      <c r="H224" s="15" t="s">
        <v>15</v>
      </c>
      <c r="I224" s="15">
        <v>30</v>
      </c>
      <c r="J224" s="12" t="s">
        <v>25</v>
      </c>
      <c r="K224" s="591">
        <f>(29*38)+(1*29.4)</f>
        <v>1131.4000000000001</v>
      </c>
      <c r="L224" s="120" t="s">
        <v>2082</v>
      </c>
      <c r="M224" s="132">
        <v>3</v>
      </c>
      <c r="N224" s="133">
        <f>11+19</f>
        <v>30</v>
      </c>
      <c r="O224" s="119">
        <f t="shared" si="6"/>
        <v>0</v>
      </c>
    </row>
    <row r="225" spans="1:15" ht="14.45" customHeight="1">
      <c r="A225" s="590" t="s">
        <v>998</v>
      </c>
      <c r="B225" s="11" t="s">
        <v>9</v>
      </c>
      <c r="C225" s="11">
        <v>39</v>
      </c>
      <c r="D225" s="11" t="s">
        <v>7</v>
      </c>
      <c r="E225" s="15">
        <v>390</v>
      </c>
      <c r="F225" s="11" t="s">
        <v>1540</v>
      </c>
      <c r="G225" s="11" t="s">
        <v>42</v>
      </c>
      <c r="H225" s="15" t="s">
        <v>15</v>
      </c>
      <c r="I225" s="15">
        <v>15</v>
      </c>
      <c r="J225" s="12" t="s">
        <v>14</v>
      </c>
      <c r="K225" s="591">
        <f>(14*38)+(1*29.4)</f>
        <v>561.4</v>
      </c>
      <c r="L225" s="120" t="s">
        <v>2082</v>
      </c>
      <c r="M225" s="132">
        <v>12</v>
      </c>
      <c r="N225" s="133">
        <f>9+6</f>
        <v>15</v>
      </c>
      <c r="O225" s="119">
        <f t="shared" si="6"/>
        <v>0</v>
      </c>
    </row>
    <row r="226" spans="1:15" ht="14.45" customHeight="1">
      <c r="A226" s="590" t="s">
        <v>998</v>
      </c>
      <c r="B226" s="11" t="s">
        <v>9</v>
      </c>
      <c r="C226" s="11">
        <v>39</v>
      </c>
      <c r="D226" s="11" t="s">
        <v>7</v>
      </c>
      <c r="E226" s="15">
        <v>391</v>
      </c>
      <c r="F226" s="11" t="s">
        <v>147</v>
      </c>
      <c r="G226" s="11" t="s">
        <v>42</v>
      </c>
      <c r="H226" s="15" t="s">
        <v>15</v>
      </c>
      <c r="I226" s="15">
        <v>15</v>
      </c>
      <c r="J226" s="12" t="s">
        <v>14</v>
      </c>
      <c r="K226" s="591">
        <f>(14*38)+(1*29.4)</f>
        <v>561.4</v>
      </c>
      <c r="L226" s="120" t="s">
        <v>2082</v>
      </c>
      <c r="M226" s="132">
        <v>12</v>
      </c>
      <c r="N226" s="133">
        <v>15</v>
      </c>
      <c r="O226" s="119">
        <f t="shared" si="6"/>
        <v>0</v>
      </c>
    </row>
    <row r="227" spans="1:15" ht="14.45" customHeight="1">
      <c r="A227" s="590" t="s">
        <v>998</v>
      </c>
      <c r="B227" s="11" t="s">
        <v>9</v>
      </c>
      <c r="C227" s="11">
        <v>39</v>
      </c>
      <c r="D227" s="11" t="s">
        <v>7</v>
      </c>
      <c r="E227" s="15">
        <v>392</v>
      </c>
      <c r="F227" s="11" t="s">
        <v>1457</v>
      </c>
      <c r="G227" s="11" t="s">
        <v>42</v>
      </c>
      <c r="H227" s="15" t="s">
        <v>15</v>
      </c>
      <c r="I227" s="15">
        <v>20</v>
      </c>
      <c r="J227" s="12" t="s">
        <v>31</v>
      </c>
      <c r="K227" s="591">
        <f>(19*38)+(1*29.4)</f>
        <v>751.4</v>
      </c>
      <c r="L227" s="120" t="s">
        <v>2082</v>
      </c>
      <c r="M227" s="132">
        <v>9</v>
      </c>
      <c r="N227" s="133">
        <f>11+9</f>
        <v>20</v>
      </c>
      <c r="O227" s="119">
        <f t="shared" si="6"/>
        <v>0</v>
      </c>
    </row>
    <row r="228" spans="1:15" ht="14.45" customHeight="1">
      <c r="A228" s="590" t="s">
        <v>998</v>
      </c>
      <c r="B228" s="11" t="s">
        <v>9</v>
      </c>
      <c r="C228" s="11">
        <v>39</v>
      </c>
      <c r="D228" s="11" t="s">
        <v>7</v>
      </c>
      <c r="E228" s="15">
        <v>393</v>
      </c>
      <c r="F228" s="11" t="s">
        <v>686</v>
      </c>
      <c r="G228" s="11" t="s">
        <v>42</v>
      </c>
      <c r="H228" s="15" t="s">
        <v>1518</v>
      </c>
      <c r="I228" s="15">
        <v>15</v>
      </c>
      <c r="J228" s="12" t="s">
        <v>1606</v>
      </c>
      <c r="K228" s="591">
        <f>(14*33)+(1*27.2)</f>
        <v>489.2</v>
      </c>
      <c r="L228" s="120" t="s">
        <v>2082</v>
      </c>
      <c r="M228" s="132">
        <v>8</v>
      </c>
      <c r="N228" s="133">
        <f>6+9</f>
        <v>15</v>
      </c>
      <c r="O228" s="119">
        <f t="shared" si="6"/>
        <v>0</v>
      </c>
    </row>
    <row r="229" spans="1:15" ht="14.45" customHeight="1">
      <c r="A229" s="590" t="s">
        <v>1188</v>
      </c>
      <c r="B229" s="11" t="s">
        <v>9</v>
      </c>
      <c r="C229" s="11">
        <v>47</v>
      </c>
      <c r="D229" s="11" t="s">
        <v>7</v>
      </c>
      <c r="E229" s="15">
        <v>587</v>
      </c>
      <c r="F229" s="11" t="s">
        <v>201</v>
      </c>
      <c r="G229" s="11" t="s">
        <v>42</v>
      </c>
      <c r="H229" s="15" t="s">
        <v>15</v>
      </c>
      <c r="I229" s="15">
        <v>15</v>
      </c>
      <c r="J229" s="12" t="s">
        <v>38</v>
      </c>
      <c r="K229" s="591">
        <f>(13*38)+(2*29.4)</f>
        <v>552.79999999999995</v>
      </c>
      <c r="L229" s="121" t="s">
        <v>2033</v>
      </c>
      <c r="M229" s="136">
        <v>14</v>
      </c>
      <c r="N229" s="133">
        <f>9+6</f>
        <v>15</v>
      </c>
      <c r="O229" s="119">
        <f t="shared" si="6"/>
        <v>0</v>
      </c>
    </row>
    <row r="230" spans="1:15" ht="14.45" customHeight="1">
      <c r="A230" s="590" t="s">
        <v>1975</v>
      </c>
      <c r="B230" s="11" t="s">
        <v>9</v>
      </c>
      <c r="C230" s="11">
        <v>49</v>
      </c>
      <c r="D230" s="11" t="s">
        <v>7</v>
      </c>
      <c r="E230" s="15">
        <v>587</v>
      </c>
      <c r="F230" s="11" t="s">
        <v>1963</v>
      </c>
      <c r="G230" s="11" t="s">
        <v>42</v>
      </c>
      <c r="H230" s="15" t="s">
        <v>15</v>
      </c>
      <c r="I230" s="15">
        <v>35</v>
      </c>
      <c r="J230" s="12" t="s">
        <v>1958</v>
      </c>
      <c r="K230" s="591">
        <f>(34*38)+(1*29.4)</f>
        <v>1321.4</v>
      </c>
      <c r="L230" s="121" t="s">
        <v>2055</v>
      </c>
      <c r="M230" s="136">
        <v>8</v>
      </c>
      <c r="N230" s="133">
        <v>35</v>
      </c>
      <c r="O230" s="119">
        <f t="shared" si="6"/>
        <v>0</v>
      </c>
    </row>
    <row r="231" spans="1:15" ht="14.45" customHeight="1">
      <c r="A231" s="590" t="s">
        <v>1146</v>
      </c>
      <c r="B231" s="11" t="s">
        <v>9</v>
      </c>
      <c r="C231" s="11">
        <v>39</v>
      </c>
      <c r="D231" s="11" t="s">
        <v>16</v>
      </c>
      <c r="E231" s="15">
        <v>400</v>
      </c>
      <c r="F231" s="11" t="s">
        <v>721</v>
      </c>
      <c r="G231" s="11" t="s">
        <v>42</v>
      </c>
      <c r="H231" s="15" t="s">
        <v>15</v>
      </c>
      <c r="I231" s="15">
        <v>25</v>
      </c>
      <c r="J231" s="12" t="s">
        <v>170</v>
      </c>
      <c r="K231" s="591">
        <f>(25*38)</f>
        <v>950</v>
      </c>
      <c r="L231" s="121" t="s">
        <v>2082</v>
      </c>
      <c r="M231" s="132">
        <v>15</v>
      </c>
      <c r="N231" s="133">
        <v>25</v>
      </c>
      <c r="O231" s="119">
        <f t="shared" si="6"/>
        <v>0</v>
      </c>
    </row>
    <row r="232" spans="1:15" ht="14.45" customHeight="1">
      <c r="A232" s="590" t="s">
        <v>1146</v>
      </c>
      <c r="B232" s="11" t="s">
        <v>9</v>
      </c>
      <c r="C232" s="11">
        <v>39</v>
      </c>
      <c r="D232" s="11" t="s">
        <v>16</v>
      </c>
      <c r="E232" s="15">
        <v>404</v>
      </c>
      <c r="F232" s="11" t="s">
        <v>732</v>
      </c>
      <c r="G232" s="11" t="s">
        <v>42</v>
      </c>
      <c r="H232" s="15" t="s">
        <v>15</v>
      </c>
      <c r="I232" s="15">
        <v>20</v>
      </c>
      <c r="J232" s="12" t="s">
        <v>31</v>
      </c>
      <c r="K232" s="591">
        <f>+(19*38)+(1*29.4)</f>
        <v>751.4</v>
      </c>
      <c r="L232" s="121" t="s">
        <v>2082</v>
      </c>
      <c r="M232" s="132">
        <v>15</v>
      </c>
      <c r="N232" s="133">
        <v>20</v>
      </c>
      <c r="O232" s="119">
        <f t="shared" si="6"/>
        <v>0</v>
      </c>
    </row>
    <row r="233" spans="1:15" ht="14.45" customHeight="1">
      <c r="A233" s="590" t="s">
        <v>1188</v>
      </c>
      <c r="B233" s="11" t="s">
        <v>9</v>
      </c>
      <c r="C233" s="11">
        <v>47</v>
      </c>
      <c r="D233" s="11" t="s">
        <v>7</v>
      </c>
      <c r="E233" s="15">
        <v>299</v>
      </c>
      <c r="F233" s="11" t="s">
        <v>590</v>
      </c>
      <c r="G233" s="11" t="s">
        <v>1922</v>
      </c>
      <c r="H233" s="15" t="s">
        <v>15</v>
      </c>
      <c r="I233" s="15">
        <v>20</v>
      </c>
      <c r="J233" s="12" t="s">
        <v>31</v>
      </c>
      <c r="K233" s="591">
        <f>(19*38)+(1*29.4)</f>
        <v>751.4</v>
      </c>
      <c r="L233" s="121" t="s">
        <v>2033</v>
      </c>
      <c r="M233" s="136" t="s">
        <v>2038</v>
      </c>
      <c r="N233" s="133">
        <f>10+10</f>
        <v>20</v>
      </c>
      <c r="O233" s="119">
        <f t="shared" si="6"/>
        <v>0</v>
      </c>
    </row>
    <row r="234" spans="1:15" ht="14.45" customHeight="1">
      <c r="A234" s="590" t="s">
        <v>1188</v>
      </c>
      <c r="B234" s="11" t="s">
        <v>9</v>
      </c>
      <c r="C234" s="11">
        <v>47</v>
      </c>
      <c r="D234" s="11" t="s">
        <v>7</v>
      </c>
      <c r="E234" s="15">
        <v>301</v>
      </c>
      <c r="F234" s="11" t="s">
        <v>164</v>
      </c>
      <c r="G234" s="11" t="s">
        <v>1922</v>
      </c>
      <c r="H234" s="15" t="s">
        <v>15</v>
      </c>
      <c r="I234" s="15">
        <v>20</v>
      </c>
      <c r="J234" s="12" t="s">
        <v>31</v>
      </c>
      <c r="K234" s="591">
        <f>(19*38)+(1*29.4)</f>
        <v>751.4</v>
      </c>
      <c r="L234" s="121" t="s">
        <v>2033</v>
      </c>
      <c r="M234" s="136">
        <v>8</v>
      </c>
      <c r="N234" s="133">
        <f>10+10</f>
        <v>20</v>
      </c>
      <c r="O234" s="119">
        <f t="shared" si="6"/>
        <v>0</v>
      </c>
    </row>
    <row r="235" spans="1:15" ht="14.45" customHeight="1">
      <c r="A235" s="590" t="s">
        <v>1188</v>
      </c>
      <c r="B235" s="11" t="s">
        <v>9</v>
      </c>
      <c r="C235" s="11">
        <v>47</v>
      </c>
      <c r="D235" s="11" t="s">
        <v>7</v>
      </c>
      <c r="E235" s="15">
        <v>317</v>
      </c>
      <c r="F235" s="11" t="s">
        <v>697</v>
      </c>
      <c r="G235" s="11" t="s">
        <v>1922</v>
      </c>
      <c r="H235" s="15" t="s">
        <v>15</v>
      </c>
      <c r="I235" s="15">
        <v>10</v>
      </c>
      <c r="J235" s="12" t="s">
        <v>447</v>
      </c>
      <c r="K235" s="591">
        <f>(8*38)+(2*29.4)</f>
        <v>362.8</v>
      </c>
      <c r="L235" s="121" t="s">
        <v>2033</v>
      </c>
      <c r="M235" s="136">
        <v>9</v>
      </c>
      <c r="N235" s="133">
        <v>10</v>
      </c>
      <c r="O235" s="119">
        <f t="shared" si="6"/>
        <v>0</v>
      </c>
    </row>
    <row r="236" spans="1:15" ht="14.45" customHeight="1">
      <c r="A236" s="590" t="s">
        <v>1188</v>
      </c>
      <c r="B236" s="11" t="s">
        <v>9</v>
      </c>
      <c r="C236" s="11">
        <v>47</v>
      </c>
      <c r="D236" s="11" t="s">
        <v>7</v>
      </c>
      <c r="E236" s="15">
        <v>318</v>
      </c>
      <c r="F236" s="11" t="s">
        <v>699</v>
      </c>
      <c r="G236" s="11" t="s">
        <v>1922</v>
      </c>
      <c r="H236" s="15" t="s">
        <v>15</v>
      </c>
      <c r="I236" s="15">
        <v>15</v>
      </c>
      <c r="J236" s="12" t="s">
        <v>38</v>
      </c>
      <c r="K236" s="591">
        <f>(13*38)+(2*29.4)</f>
        <v>552.79999999999995</v>
      </c>
      <c r="L236" s="121" t="s">
        <v>2033</v>
      </c>
      <c r="M236" s="136">
        <v>9</v>
      </c>
      <c r="N236" s="133">
        <v>15</v>
      </c>
      <c r="O236" s="119">
        <f t="shared" si="6"/>
        <v>0</v>
      </c>
    </row>
    <row r="237" spans="1:15" ht="14.45" customHeight="1">
      <c r="A237" s="590" t="s">
        <v>1031</v>
      </c>
      <c r="B237" s="11" t="s">
        <v>9</v>
      </c>
      <c r="C237" s="11">
        <v>45</v>
      </c>
      <c r="D237" s="11" t="s">
        <v>7</v>
      </c>
      <c r="E237" s="15">
        <v>205</v>
      </c>
      <c r="F237" s="11" t="s">
        <v>714</v>
      </c>
      <c r="G237" s="11" t="s">
        <v>1782</v>
      </c>
      <c r="H237" s="15" t="s">
        <v>15</v>
      </c>
      <c r="I237" s="15">
        <v>30</v>
      </c>
      <c r="J237" s="12" t="s">
        <v>1520</v>
      </c>
      <c r="K237" s="591">
        <f>(28*38)+(2*29.4)</f>
        <v>1122.8</v>
      </c>
      <c r="L237" s="120" t="s">
        <v>2033</v>
      </c>
      <c r="M237" s="132" t="s">
        <v>2035</v>
      </c>
      <c r="N237" s="133">
        <f>10+20</f>
        <v>30</v>
      </c>
      <c r="O237" s="119">
        <f t="shared" si="6"/>
        <v>0</v>
      </c>
    </row>
    <row r="238" spans="1:15" ht="14.45" customHeight="1">
      <c r="A238" s="590" t="s">
        <v>1031</v>
      </c>
      <c r="B238" s="11" t="s">
        <v>9</v>
      </c>
      <c r="C238" s="11">
        <v>45</v>
      </c>
      <c r="D238" s="11" t="s">
        <v>7</v>
      </c>
      <c r="E238" s="15">
        <v>206</v>
      </c>
      <c r="F238" s="11" t="s">
        <v>719</v>
      </c>
      <c r="G238" s="11" t="s">
        <v>1782</v>
      </c>
      <c r="H238" s="15" t="s">
        <v>15</v>
      </c>
      <c r="I238" s="15">
        <v>30</v>
      </c>
      <c r="J238" s="12" t="s">
        <v>1520</v>
      </c>
      <c r="K238" s="591">
        <f>(28*38)+(2*29.4)</f>
        <v>1122.8</v>
      </c>
      <c r="L238" s="120" t="s">
        <v>2062</v>
      </c>
      <c r="M238" s="132" t="s">
        <v>2076</v>
      </c>
      <c r="N238" s="133">
        <f>12+18</f>
        <v>30</v>
      </c>
      <c r="O238" s="119">
        <f t="shared" si="6"/>
        <v>0</v>
      </c>
    </row>
    <row r="239" spans="1:15" ht="14.45" customHeight="1">
      <c r="A239" s="590" t="s">
        <v>1181</v>
      </c>
      <c r="B239" s="11" t="s">
        <v>150</v>
      </c>
      <c r="C239" s="11">
        <v>48</v>
      </c>
      <c r="D239" s="11" t="s">
        <v>693</v>
      </c>
      <c r="E239" s="15">
        <v>144</v>
      </c>
      <c r="F239" s="11" t="s">
        <v>389</v>
      </c>
      <c r="G239" s="11" t="s">
        <v>1883</v>
      </c>
      <c r="H239" s="15" t="s">
        <v>15</v>
      </c>
      <c r="I239" s="15">
        <v>20</v>
      </c>
      <c r="J239" s="12" t="s">
        <v>698</v>
      </c>
      <c r="K239" s="591">
        <f>(19*32)+(1*27.7)</f>
        <v>635.70000000000005</v>
      </c>
      <c r="L239" s="121" t="s">
        <v>2033</v>
      </c>
      <c r="M239" s="132">
        <v>10</v>
      </c>
      <c r="N239" s="133">
        <f>10+10</f>
        <v>20</v>
      </c>
      <c r="O239" s="119">
        <f t="shared" si="6"/>
        <v>0</v>
      </c>
    </row>
    <row r="240" spans="1:15" ht="14.45" customHeight="1">
      <c r="A240" s="590" t="s">
        <v>1184</v>
      </c>
      <c r="B240" s="11" t="s">
        <v>150</v>
      </c>
      <c r="C240" s="11">
        <v>48</v>
      </c>
      <c r="D240" s="11" t="s">
        <v>693</v>
      </c>
      <c r="E240" s="15">
        <v>147</v>
      </c>
      <c r="F240" s="11" t="s">
        <v>742</v>
      </c>
      <c r="G240" s="11" t="s">
        <v>1883</v>
      </c>
      <c r="H240" s="15" t="s">
        <v>15</v>
      </c>
      <c r="I240" s="15">
        <v>20</v>
      </c>
      <c r="J240" s="12" t="s">
        <v>698</v>
      </c>
      <c r="K240" s="591">
        <f>(19*32)+(1*27.7)</f>
        <v>635.70000000000005</v>
      </c>
      <c r="L240" s="121" t="s">
        <v>2090</v>
      </c>
      <c r="M240" s="132"/>
      <c r="N240" s="133">
        <v>20</v>
      </c>
      <c r="O240" s="119">
        <f t="shared" si="6"/>
        <v>0</v>
      </c>
    </row>
    <row r="241" spans="1:15" ht="14.45" customHeight="1">
      <c r="A241" s="590" t="s">
        <v>1009</v>
      </c>
      <c r="B241" s="11" t="s">
        <v>9</v>
      </c>
      <c r="C241" s="11">
        <v>42</v>
      </c>
      <c r="D241" s="11" t="s">
        <v>16</v>
      </c>
      <c r="E241" s="15">
        <v>389</v>
      </c>
      <c r="F241" s="11" t="s">
        <v>1461</v>
      </c>
      <c r="G241" s="11" t="s">
        <v>171</v>
      </c>
      <c r="H241" s="15" t="s">
        <v>15</v>
      </c>
      <c r="I241" s="15">
        <v>15</v>
      </c>
      <c r="J241" s="12" t="s">
        <v>35</v>
      </c>
      <c r="K241" s="591">
        <f>(13*35)+(2*26.4)</f>
        <v>507.8</v>
      </c>
      <c r="L241" s="121" t="s">
        <v>2029</v>
      </c>
      <c r="M241" s="132" t="s">
        <v>604</v>
      </c>
      <c r="N241" s="133">
        <f>8+7</f>
        <v>15</v>
      </c>
      <c r="O241" s="119">
        <f t="shared" si="6"/>
        <v>0</v>
      </c>
    </row>
    <row r="242" spans="1:15" ht="14.45" customHeight="1">
      <c r="A242" s="590" t="s">
        <v>1178</v>
      </c>
      <c r="B242" s="11" t="s">
        <v>150</v>
      </c>
      <c r="C242" s="11">
        <v>49</v>
      </c>
      <c r="D242" s="11" t="s">
        <v>7</v>
      </c>
      <c r="E242" s="15">
        <v>372</v>
      </c>
      <c r="F242" s="11" t="s">
        <v>1419</v>
      </c>
      <c r="G242" s="11" t="s">
        <v>1850</v>
      </c>
      <c r="H242" s="15" t="s">
        <v>15</v>
      </c>
      <c r="I242" s="15">
        <v>20</v>
      </c>
      <c r="J242" s="12" t="s">
        <v>458</v>
      </c>
      <c r="K242" s="591">
        <f>(20*28)</f>
        <v>560</v>
      </c>
      <c r="L242" s="121" t="s">
        <v>2055</v>
      </c>
      <c r="M242" s="132">
        <v>1</v>
      </c>
      <c r="N242" s="133">
        <v>20</v>
      </c>
      <c r="O242" s="119">
        <f t="shared" si="6"/>
        <v>0</v>
      </c>
    </row>
    <row r="243" spans="1:15" ht="14.45" customHeight="1">
      <c r="A243" s="590" t="s">
        <v>1005</v>
      </c>
      <c r="B243" s="11" t="s">
        <v>150</v>
      </c>
      <c r="C243" s="11">
        <v>44</v>
      </c>
      <c r="D243" s="11" t="s">
        <v>51</v>
      </c>
      <c r="E243" s="11">
        <v>701</v>
      </c>
      <c r="F243" s="11" t="s">
        <v>548</v>
      </c>
      <c r="G243" s="11" t="s">
        <v>1632</v>
      </c>
      <c r="H243" s="11" t="s">
        <v>15</v>
      </c>
      <c r="I243" s="11">
        <v>20</v>
      </c>
      <c r="J243" s="12" t="s">
        <v>743</v>
      </c>
      <c r="K243" s="591">
        <f>(18*28)+(2*23.7)</f>
        <v>551.4</v>
      </c>
      <c r="L243" s="121" t="s">
        <v>2055</v>
      </c>
      <c r="M243" s="132">
        <v>8</v>
      </c>
      <c r="N243" s="133">
        <v>20</v>
      </c>
      <c r="O243" s="119">
        <f t="shared" si="6"/>
        <v>0</v>
      </c>
    </row>
    <row r="244" spans="1:15" ht="14.45" customHeight="1">
      <c r="A244" s="590" t="s">
        <v>1166</v>
      </c>
      <c r="B244" s="11" t="s">
        <v>150</v>
      </c>
      <c r="C244" s="11">
        <v>49</v>
      </c>
      <c r="D244" s="11" t="s">
        <v>51</v>
      </c>
      <c r="E244" s="15">
        <v>25</v>
      </c>
      <c r="F244" s="11" t="s">
        <v>1763</v>
      </c>
      <c r="G244" s="11" t="s">
        <v>1632</v>
      </c>
      <c r="H244" s="15" t="s">
        <v>5</v>
      </c>
      <c r="I244" s="15">
        <v>20</v>
      </c>
      <c r="J244" s="12" t="s">
        <v>1764</v>
      </c>
      <c r="K244" s="591">
        <f>(16*25)+(4*20.7)</f>
        <v>482.8</v>
      </c>
      <c r="L244" s="121" t="s">
        <v>2033</v>
      </c>
      <c r="M244" s="132">
        <v>14</v>
      </c>
      <c r="N244" s="133">
        <v>20</v>
      </c>
      <c r="O244" s="119">
        <f t="shared" si="6"/>
        <v>0</v>
      </c>
    </row>
    <row r="245" spans="1:15" ht="14.45" customHeight="1">
      <c r="A245" s="590" t="s">
        <v>1166</v>
      </c>
      <c r="B245" s="11" t="s">
        <v>150</v>
      </c>
      <c r="C245" s="11">
        <v>49</v>
      </c>
      <c r="D245" s="11" t="s">
        <v>51</v>
      </c>
      <c r="E245" s="15">
        <v>32</v>
      </c>
      <c r="F245" s="11" t="s">
        <v>564</v>
      </c>
      <c r="G245" s="11" t="s">
        <v>1632</v>
      </c>
      <c r="H245" s="15" t="s">
        <v>15</v>
      </c>
      <c r="I245" s="15">
        <v>20</v>
      </c>
      <c r="J245" s="12" t="s">
        <v>1765</v>
      </c>
      <c r="K245" s="591">
        <f>(18*29)+(2*24.7)</f>
        <v>571.4</v>
      </c>
      <c r="L245" s="121" t="s">
        <v>2033</v>
      </c>
      <c r="M245" s="132">
        <v>1</v>
      </c>
      <c r="N245" s="138">
        <v>20</v>
      </c>
      <c r="O245" s="119">
        <f t="shared" si="6"/>
        <v>0</v>
      </c>
    </row>
    <row r="246" spans="1:15">
      <c r="A246" s="590" t="s">
        <v>1184</v>
      </c>
      <c r="B246" s="11" t="s">
        <v>150</v>
      </c>
      <c r="C246" s="11">
        <v>48</v>
      </c>
      <c r="D246" s="11" t="s">
        <v>51</v>
      </c>
      <c r="E246" s="15">
        <v>28</v>
      </c>
      <c r="F246" s="11" t="s">
        <v>1316</v>
      </c>
      <c r="G246" s="11" t="s">
        <v>1632</v>
      </c>
      <c r="H246" s="15" t="s">
        <v>15</v>
      </c>
      <c r="I246" s="15">
        <v>20</v>
      </c>
      <c r="J246" s="12" t="s">
        <v>1765</v>
      </c>
      <c r="K246" s="591">
        <f>(18*29)+(2*24.7)</f>
        <v>571.4</v>
      </c>
      <c r="L246" s="121" t="s">
        <v>2090</v>
      </c>
      <c r="M246" s="136"/>
      <c r="N246" s="133">
        <v>20</v>
      </c>
      <c r="O246" s="119">
        <f t="shared" si="6"/>
        <v>0</v>
      </c>
    </row>
    <row r="247" spans="1:15">
      <c r="A247" s="590" t="s">
        <v>1184</v>
      </c>
      <c r="B247" s="11" t="s">
        <v>150</v>
      </c>
      <c r="C247" s="11">
        <v>48</v>
      </c>
      <c r="D247" s="11" t="s">
        <v>51</v>
      </c>
      <c r="E247" s="15">
        <v>31</v>
      </c>
      <c r="F247" s="11" t="s">
        <v>1898</v>
      </c>
      <c r="G247" s="11" t="s">
        <v>1632</v>
      </c>
      <c r="H247" s="15" t="s">
        <v>15</v>
      </c>
      <c r="I247" s="15">
        <v>20</v>
      </c>
      <c r="J247" s="12" t="s">
        <v>1765</v>
      </c>
      <c r="K247" s="591">
        <f>(18*29)+(2*24.7)</f>
        <v>571.4</v>
      </c>
      <c r="L247" s="121" t="s">
        <v>2090</v>
      </c>
      <c r="M247" s="136"/>
      <c r="N247" s="133">
        <v>20</v>
      </c>
      <c r="O247" s="119">
        <f t="shared" si="6"/>
        <v>0</v>
      </c>
    </row>
    <row r="248" spans="1:15">
      <c r="A248" s="590" t="s">
        <v>1016</v>
      </c>
      <c r="B248" s="11" t="s">
        <v>150</v>
      </c>
      <c r="C248" s="11">
        <v>45</v>
      </c>
      <c r="D248" s="11" t="s">
        <v>51</v>
      </c>
      <c r="E248" s="15">
        <v>368</v>
      </c>
      <c r="F248" s="11" t="s">
        <v>636</v>
      </c>
      <c r="G248" s="11" t="s">
        <v>1556</v>
      </c>
      <c r="H248" s="15" t="s">
        <v>15</v>
      </c>
      <c r="I248" s="15">
        <v>15</v>
      </c>
      <c r="J248" s="12" t="s">
        <v>159</v>
      </c>
      <c r="K248" s="591">
        <f>(15*35)</f>
        <v>525</v>
      </c>
      <c r="L248" s="121" t="s">
        <v>2055</v>
      </c>
      <c r="M248" s="132">
        <v>8</v>
      </c>
      <c r="N248" s="133">
        <f>7+8</f>
        <v>15</v>
      </c>
      <c r="O248" s="119">
        <f t="shared" si="6"/>
        <v>0</v>
      </c>
    </row>
    <row r="249" spans="1:15">
      <c r="A249" s="590" t="s">
        <v>1181</v>
      </c>
      <c r="B249" s="11" t="s">
        <v>150</v>
      </c>
      <c r="C249" s="11">
        <v>47</v>
      </c>
      <c r="D249" s="11" t="s">
        <v>496</v>
      </c>
      <c r="E249" s="15">
        <v>295</v>
      </c>
      <c r="F249" s="11" t="s">
        <v>632</v>
      </c>
      <c r="G249" s="11" t="s">
        <v>1556</v>
      </c>
      <c r="H249" s="15" t="s">
        <v>15</v>
      </c>
      <c r="I249" s="15">
        <v>15</v>
      </c>
      <c r="J249" s="12" t="s">
        <v>659</v>
      </c>
      <c r="K249" s="591">
        <f>(13*35)+(2*27.3)</f>
        <v>509.6</v>
      </c>
      <c r="L249" s="121" t="s">
        <v>2029</v>
      </c>
      <c r="M249" s="132">
        <v>1</v>
      </c>
      <c r="N249" s="133">
        <f>8+7</f>
        <v>15</v>
      </c>
      <c r="O249" s="119">
        <f t="shared" si="6"/>
        <v>0</v>
      </c>
    </row>
    <row r="250" spans="1:15">
      <c r="A250" s="590" t="s">
        <v>1178</v>
      </c>
      <c r="B250" s="11" t="s">
        <v>150</v>
      </c>
      <c r="C250" s="11">
        <v>46</v>
      </c>
      <c r="D250" s="11" t="s">
        <v>50</v>
      </c>
      <c r="E250" s="15">
        <v>300</v>
      </c>
      <c r="F250" s="11" t="s">
        <v>1460</v>
      </c>
      <c r="G250" s="11" t="s">
        <v>1838</v>
      </c>
      <c r="H250" s="15" t="s">
        <v>15</v>
      </c>
      <c r="I250" s="15">
        <v>15</v>
      </c>
      <c r="J250" s="12" t="s">
        <v>159</v>
      </c>
      <c r="K250" s="591">
        <f>(15*35)</f>
        <v>525</v>
      </c>
      <c r="L250" s="121" t="s">
        <v>2055</v>
      </c>
      <c r="M250" s="132">
        <v>3</v>
      </c>
      <c r="N250" s="133">
        <f>7+8</f>
        <v>15</v>
      </c>
      <c r="O250" s="119">
        <f t="shared" si="6"/>
        <v>0</v>
      </c>
    </row>
    <row r="251" spans="1:15">
      <c r="A251" s="590" t="s">
        <v>1178</v>
      </c>
      <c r="B251" s="11" t="s">
        <v>150</v>
      </c>
      <c r="C251" s="11">
        <v>46</v>
      </c>
      <c r="D251" s="11" t="s">
        <v>50</v>
      </c>
      <c r="E251" s="15">
        <v>301</v>
      </c>
      <c r="F251" s="11" t="s">
        <v>1450</v>
      </c>
      <c r="G251" s="11" t="s">
        <v>1838</v>
      </c>
      <c r="H251" s="15" t="s">
        <v>15</v>
      </c>
      <c r="I251" s="15">
        <v>15</v>
      </c>
      <c r="J251" s="12" t="s">
        <v>159</v>
      </c>
      <c r="K251" s="591">
        <f>(15*35)</f>
        <v>525</v>
      </c>
      <c r="L251" s="121" t="s">
        <v>2055</v>
      </c>
      <c r="M251" s="132">
        <v>5</v>
      </c>
      <c r="N251" s="133">
        <f>7+8</f>
        <v>15</v>
      </c>
      <c r="O251" s="119">
        <f t="shared" si="6"/>
        <v>0</v>
      </c>
    </row>
    <row r="252" spans="1:15">
      <c r="A252" s="590" t="s">
        <v>1009</v>
      </c>
      <c r="B252" s="11" t="s">
        <v>9</v>
      </c>
      <c r="C252" s="11">
        <v>42</v>
      </c>
      <c r="D252" s="11" t="s">
        <v>29</v>
      </c>
      <c r="E252" s="15">
        <v>215</v>
      </c>
      <c r="F252" s="11" t="s">
        <v>133</v>
      </c>
      <c r="G252" s="11" t="s">
        <v>125</v>
      </c>
      <c r="H252" s="15" t="s">
        <v>5</v>
      </c>
      <c r="I252" s="15">
        <v>10</v>
      </c>
      <c r="J252" s="12" t="s">
        <v>11</v>
      </c>
      <c r="K252" s="591">
        <f>(9*35)+(1*26.4)</f>
        <v>341.4</v>
      </c>
      <c r="L252" s="121" t="s">
        <v>2082</v>
      </c>
      <c r="M252" s="132">
        <v>1</v>
      </c>
      <c r="N252" s="133">
        <v>10</v>
      </c>
      <c r="O252" s="119">
        <f t="shared" si="6"/>
        <v>0</v>
      </c>
    </row>
    <row r="253" spans="1:15">
      <c r="A253" s="590" t="s">
        <v>1009</v>
      </c>
      <c r="B253" s="11" t="s">
        <v>9</v>
      </c>
      <c r="C253" s="11">
        <v>42</v>
      </c>
      <c r="D253" s="11" t="s">
        <v>29</v>
      </c>
      <c r="E253" s="15">
        <v>216</v>
      </c>
      <c r="F253" s="11" t="s">
        <v>96</v>
      </c>
      <c r="G253" s="11" t="s">
        <v>125</v>
      </c>
      <c r="H253" s="15" t="s">
        <v>5</v>
      </c>
      <c r="I253" s="15">
        <v>15</v>
      </c>
      <c r="J253" s="12" t="s">
        <v>13</v>
      </c>
      <c r="K253" s="591">
        <f>(14*35)+(1*26.4)</f>
        <v>516.4</v>
      </c>
      <c r="L253" s="121" t="s">
        <v>2033</v>
      </c>
      <c r="M253" s="132">
        <v>2</v>
      </c>
      <c r="N253" s="133">
        <f>8+7</f>
        <v>15</v>
      </c>
      <c r="O253" s="119">
        <f t="shared" si="6"/>
        <v>0</v>
      </c>
    </row>
    <row r="254" spans="1:15">
      <c r="A254" s="590" t="s">
        <v>1009</v>
      </c>
      <c r="B254" s="11" t="s">
        <v>9</v>
      </c>
      <c r="C254" s="11">
        <v>42</v>
      </c>
      <c r="D254" s="11" t="s">
        <v>29</v>
      </c>
      <c r="E254" s="15">
        <v>221</v>
      </c>
      <c r="F254" s="11" t="s">
        <v>574</v>
      </c>
      <c r="G254" s="11" t="s">
        <v>125</v>
      </c>
      <c r="H254" s="15" t="s">
        <v>15</v>
      </c>
      <c r="I254" s="15">
        <v>15</v>
      </c>
      <c r="J254" s="12" t="s">
        <v>13</v>
      </c>
      <c r="K254" s="591">
        <f>(14*35)+(1*26.4)</f>
        <v>516.4</v>
      </c>
      <c r="L254" s="121" t="s">
        <v>2082</v>
      </c>
      <c r="M254" s="132">
        <v>4</v>
      </c>
      <c r="N254" s="133">
        <v>15</v>
      </c>
      <c r="O254" s="119">
        <f t="shared" si="6"/>
        <v>0</v>
      </c>
    </row>
    <row r="255" spans="1:15">
      <c r="A255" s="590" t="s">
        <v>1164</v>
      </c>
      <c r="B255" s="11" t="s">
        <v>9</v>
      </c>
      <c r="C255" s="11">
        <v>40</v>
      </c>
      <c r="D255" s="11" t="s">
        <v>33</v>
      </c>
      <c r="E255" s="15">
        <v>73</v>
      </c>
      <c r="F255" s="11" t="s">
        <v>1426</v>
      </c>
      <c r="G255" s="11" t="s">
        <v>125</v>
      </c>
      <c r="H255" s="15" t="s">
        <v>15</v>
      </c>
      <c r="I255" s="15">
        <v>15</v>
      </c>
      <c r="J255" s="12" t="s">
        <v>13</v>
      </c>
      <c r="K255" s="591">
        <f>(14*35)+(1*26.4)</f>
        <v>516.4</v>
      </c>
      <c r="L255" s="121" t="s">
        <v>2055</v>
      </c>
      <c r="M255" s="132">
        <v>6</v>
      </c>
      <c r="N255" s="133">
        <v>15</v>
      </c>
      <c r="O255" s="119">
        <f t="shared" si="6"/>
        <v>0</v>
      </c>
    </row>
    <row r="256" spans="1:15">
      <c r="A256" s="590" t="s">
        <v>956</v>
      </c>
      <c r="B256" s="11" t="s">
        <v>150</v>
      </c>
      <c r="C256" s="11">
        <v>33</v>
      </c>
      <c r="D256" s="11" t="s">
        <v>51</v>
      </c>
      <c r="E256" s="11">
        <v>5266</v>
      </c>
      <c r="F256" s="11" t="s">
        <v>1434</v>
      </c>
      <c r="G256" s="11" t="s">
        <v>1435</v>
      </c>
      <c r="H256" s="11" t="s">
        <v>351</v>
      </c>
      <c r="I256" s="11">
        <v>20</v>
      </c>
      <c r="J256" s="12" t="s">
        <v>1436</v>
      </c>
      <c r="K256" s="591">
        <f>(18*19)+(2*16.6)</f>
        <v>375.2</v>
      </c>
      <c r="L256" s="121" t="s">
        <v>2055</v>
      </c>
      <c r="M256" s="132">
        <v>4</v>
      </c>
      <c r="N256" s="133">
        <v>20</v>
      </c>
      <c r="O256" s="119">
        <f t="shared" si="6"/>
        <v>0</v>
      </c>
    </row>
    <row r="257" spans="1:15">
      <c r="A257" s="590" t="s">
        <v>956</v>
      </c>
      <c r="B257" s="11" t="s">
        <v>150</v>
      </c>
      <c r="C257" s="11">
        <v>33</v>
      </c>
      <c r="D257" s="11" t="s">
        <v>51</v>
      </c>
      <c r="E257" s="11">
        <v>5271</v>
      </c>
      <c r="F257" s="11" t="s">
        <v>1437</v>
      </c>
      <c r="G257" s="11" t="s">
        <v>1435</v>
      </c>
      <c r="H257" s="11" t="s">
        <v>8</v>
      </c>
      <c r="I257" s="11">
        <v>10</v>
      </c>
      <c r="J257" s="12" t="s">
        <v>1433</v>
      </c>
      <c r="K257" s="591">
        <v>180</v>
      </c>
      <c r="L257" s="120" t="s">
        <v>2055</v>
      </c>
      <c r="M257" s="132">
        <v>1</v>
      </c>
      <c r="N257" s="133">
        <v>10</v>
      </c>
      <c r="O257" s="119">
        <f t="shared" si="6"/>
        <v>0</v>
      </c>
    </row>
    <row r="258" spans="1:15">
      <c r="A258" s="77" t="s">
        <v>970</v>
      </c>
      <c r="B258" s="15" t="s">
        <v>9</v>
      </c>
      <c r="C258" s="15">
        <v>37</v>
      </c>
      <c r="D258" s="15" t="s">
        <v>7</v>
      </c>
      <c r="E258" s="15">
        <v>158</v>
      </c>
      <c r="F258" s="15" t="s">
        <v>1351</v>
      </c>
      <c r="G258" s="15" t="s">
        <v>1510</v>
      </c>
      <c r="H258" s="15" t="s">
        <v>5</v>
      </c>
      <c r="I258" s="15">
        <v>15</v>
      </c>
      <c r="J258" s="18" t="s">
        <v>38</v>
      </c>
      <c r="K258" s="589">
        <f>(13*38)+(2*29.4)</f>
        <v>552.79999999999995</v>
      </c>
      <c r="L258" s="120" t="s">
        <v>2082</v>
      </c>
      <c r="M258" s="132">
        <v>2</v>
      </c>
      <c r="N258" s="133">
        <v>15</v>
      </c>
      <c r="O258" s="119">
        <f t="shared" si="6"/>
        <v>0</v>
      </c>
    </row>
    <row r="259" spans="1:15">
      <c r="A259" s="77" t="s">
        <v>976</v>
      </c>
      <c r="B259" s="15" t="s">
        <v>9</v>
      </c>
      <c r="C259" s="15">
        <v>38</v>
      </c>
      <c r="D259" s="15" t="s">
        <v>10</v>
      </c>
      <c r="E259" s="15">
        <v>19</v>
      </c>
      <c r="F259" s="15" t="s">
        <v>782</v>
      </c>
      <c r="G259" s="15" t="s">
        <v>1376</v>
      </c>
      <c r="H259" s="15" t="s">
        <v>5</v>
      </c>
      <c r="I259" s="15">
        <v>15</v>
      </c>
      <c r="J259" s="18" t="s">
        <v>14</v>
      </c>
      <c r="K259" s="589">
        <f>(14*38)+(1*29.4)</f>
        <v>561.4</v>
      </c>
      <c r="L259" s="120" t="s">
        <v>2033</v>
      </c>
      <c r="M259" s="132" t="s">
        <v>2050</v>
      </c>
      <c r="N259" s="133">
        <f>8+7</f>
        <v>15</v>
      </c>
      <c r="O259" s="119">
        <f t="shared" ref="O259:O322" si="8">I259-N259</f>
        <v>0</v>
      </c>
    </row>
    <row r="260" spans="1:15">
      <c r="A260" s="590" t="s">
        <v>1016</v>
      </c>
      <c r="B260" s="11" t="s">
        <v>150</v>
      </c>
      <c r="C260" s="11">
        <v>45</v>
      </c>
      <c r="D260" s="11" t="s">
        <v>51</v>
      </c>
      <c r="E260" s="15">
        <v>340</v>
      </c>
      <c r="F260" s="11" t="s">
        <v>1662</v>
      </c>
      <c r="G260" s="11" t="s">
        <v>515</v>
      </c>
      <c r="H260" s="15" t="s">
        <v>15</v>
      </c>
      <c r="I260" s="15">
        <v>20</v>
      </c>
      <c r="J260" s="12" t="s">
        <v>1667</v>
      </c>
      <c r="K260" s="591">
        <f>(19*38)+(1*30.3)</f>
        <v>752.3</v>
      </c>
      <c r="L260" s="121" t="s">
        <v>2033</v>
      </c>
      <c r="M260" s="132" t="s">
        <v>2039</v>
      </c>
      <c r="N260" s="133">
        <f>7+7+6</f>
        <v>20</v>
      </c>
      <c r="O260" s="119">
        <f t="shared" si="8"/>
        <v>0</v>
      </c>
    </row>
    <row r="261" spans="1:15">
      <c r="A261" s="590" t="s">
        <v>1176</v>
      </c>
      <c r="B261" s="11" t="s">
        <v>150</v>
      </c>
      <c r="C261" s="11">
        <v>50</v>
      </c>
      <c r="D261" s="11" t="s">
        <v>51</v>
      </c>
      <c r="E261" s="15">
        <v>435</v>
      </c>
      <c r="F261" s="11" t="s">
        <v>1471</v>
      </c>
      <c r="G261" s="11" t="s">
        <v>515</v>
      </c>
      <c r="H261" s="15" t="s">
        <v>15</v>
      </c>
      <c r="I261" s="15">
        <v>15</v>
      </c>
      <c r="J261" s="12" t="s">
        <v>625</v>
      </c>
      <c r="K261" s="591">
        <f>(14*37)+(1*29.3)</f>
        <v>547.29999999999995</v>
      </c>
      <c r="L261" s="121" t="s">
        <v>2029</v>
      </c>
      <c r="M261" s="132">
        <v>3</v>
      </c>
      <c r="N261" s="133">
        <f>6+9</f>
        <v>15</v>
      </c>
      <c r="O261" s="119">
        <f t="shared" si="8"/>
        <v>0</v>
      </c>
    </row>
    <row r="262" spans="1:15">
      <c r="A262" s="590" t="s">
        <v>1176</v>
      </c>
      <c r="B262" s="11" t="s">
        <v>150</v>
      </c>
      <c r="C262" s="11">
        <v>50</v>
      </c>
      <c r="D262" s="11" t="s">
        <v>51</v>
      </c>
      <c r="E262" s="15">
        <v>437</v>
      </c>
      <c r="F262" s="11" t="s">
        <v>578</v>
      </c>
      <c r="G262" s="11" t="s">
        <v>515</v>
      </c>
      <c r="H262" s="15" t="s">
        <v>15</v>
      </c>
      <c r="I262" s="15">
        <v>20</v>
      </c>
      <c r="J262" s="12" t="s">
        <v>1654</v>
      </c>
      <c r="K262" s="591">
        <f>(19*37)+(1*29.3)</f>
        <v>732.3</v>
      </c>
      <c r="L262" s="121" t="s">
        <v>2029</v>
      </c>
      <c r="M262" s="132">
        <v>1</v>
      </c>
      <c r="N262" s="133">
        <v>20</v>
      </c>
      <c r="O262" s="119">
        <f t="shared" si="8"/>
        <v>0</v>
      </c>
    </row>
    <row r="263" spans="1:15" ht="14.45" customHeight="1">
      <c r="A263" s="590" t="s">
        <v>1176</v>
      </c>
      <c r="B263" s="11" t="s">
        <v>150</v>
      </c>
      <c r="C263" s="11">
        <v>50</v>
      </c>
      <c r="D263" s="11" t="s">
        <v>51</v>
      </c>
      <c r="E263" s="15">
        <v>439</v>
      </c>
      <c r="F263" s="11" t="s">
        <v>758</v>
      </c>
      <c r="G263" s="11" t="s">
        <v>515</v>
      </c>
      <c r="H263" s="15" t="s">
        <v>15</v>
      </c>
      <c r="I263" s="15">
        <v>20</v>
      </c>
      <c r="J263" s="12" t="s">
        <v>1654</v>
      </c>
      <c r="K263" s="591">
        <f>(19*37)+(1*29.3)</f>
        <v>732.3</v>
      </c>
      <c r="L263" s="121" t="s">
        <v>2029</v>
      </c>
      <c r="M263" s="132">
        <v>3</v>
      </c>
      <c r="N263" s="133">
        <v>20</v>
      </c>
      <c r="O263" s="119">
        <f t="shared" si="8"/>
        <v>0</v>
      </c>
    </row>
    <row r="264" spans="1:15" ht="14.45" customHeight="1">
      <c r="A264" s="590" t="s">
        <v>1178</v>
      </c>
      <c r="B264" s="11" t="s">
        <v>150</v>
      </c>
      <c r="C264" s="11">
        <v>46</v>
      </c>
      <c r="D264" s="11" t="s">
        <v>51</v>
      </c>
      <c r="E264" s="15">
        <v>370</v>
      </c>
      <c r="F264" s="11" t="s">
        <v>583</v>
      </c>
      <c r="G264" s="11" t="s">
        <v>515</v>
      </c>
      <c r="H264" s="15" t="s">
        <v>15</v>
      </c>
      <c r="I264" s="15">
        <v>20</v>
      </c>
      <c r="J264" s="12" t="s">
        <v>1667</v>
      </c>
      <c r="K264" s="591">
        <f>(19*38)+(1*30.3)</f>
        <v>752.3</v>
      </c>
      <c r="L264" s="121" t="s">
        <v>2033</v>
      </c>
      <c r="M264" s="132" t="s">
        <v>2052</v>
      </c>
      <c r="N264" s="133">
        <f>10+10</f>
        <v>20</v>
      </c>
      <c r="O264" s="119">
        <f t="shared" si="8"/>
        <v>0</v>
      </c>
    </row>
    <row r="265" spans="1:15" ht="14.45" customHeight="1">
      <c r="A265" s="590" t="s">
        <v>1178</v>
      </c>
      <c r="B265" s="11" t="s">
        <v>150</v>
      </c>
      <c r="C265" s="11">
        <v>46</v>
      </c>
      <c r="D265" s="11" t="s">
        <v>51</v>
      </c>
      <c r="E265" s="15">
        <v>376</v>
      </c>
      <c r="F265" s="11" t="s">
        <v>173</v>
      </c>
      <c r="G265" s="11" t="s">
        <v>515</v>
      </c>
      <c r="H265" s="15" t="s">
        <v>15</v>
      </c>
      <c r="I265" s="15">
        <v>20</v>
      </c>
      <c r="J265" s="12" t="s">
        <v>1667</v>
      </c>
      <c r="K265" s="591">
        <f>(19*38)+(1*30.3)</f>
        <v>752.3</v>
      </c>
      <c r="L265" s="121" t="s">
        <v>2033</v>
      </c>
      <c r="M265" s="132" t="s">
        <v>2050</v>
      </c>
      <c r="N265" s="133">
        <f>10+10</f>
        <v>20</v>
      </c>
      <c r="O265" s="119">
        <f t="shared" si="8"/>
        <v>0</v>
      </c>
    </row>
    <row r="266" spans="1:15" ht="14.45" customHeight="1">
      <c r="A266" s="590" t="s">
        <v>1178</v>
      </c>
      <c r="B266" s="11" t="s">
        <v>150</v>
      </c>
      <c r="C266" s="11">
        <v>49</v>
      </c>
      <c r="D266" s="11" t="s">
        <v>7</v>
      </c>
      <c r="E266" s="15">
        <v>720</v>
      </c>
      <c r="F266" s="11" t="s">
        <v>208</v>
      </c>
      <c r="G266" s="11" t="s">
        <v>515</v>
      </c>
      <c r="H266" s="15" t="s">
        <v>15</v>
      </c>
      <c r="I266" s="15">
        <v>20</v>
      </c>
      <c r="J266" s="12" t="s">
        <v>696</v>
      </c>
      <c r="K266" s="591">
        <f>(18*35)+(2*30.7)</f>
        <v>691.4</v>
      </c>
      <c r="L266" s="121" t="s">
        <v>2055</v>
      </c>
      <c r="M266" s="132">
        <v>1</v>
      </c>
      <c r="N266" s="133">
        <v>20</v>
      </c>
      <c r="O266" s="119">
        <f t="shared" si="8"/>
        <v>0</v>
      </c>
    </row>
    <row r="267" spans="1:15" ht="14.45" customHeight="1">
      <c r="A267" s="590" t="s">
        <v>1166</v>
      </c>
      <c r="B267" s="11" t="s">
        <v>150</v>
      </c>
      <c r="C267" s="11">
        <v>49</v>
      </c>
      <c r="D267" s="11" t="s">
        <v>7</v>
      </c>
      <c r="E267" s="15">
        <v>783</v>
      </c>
      <c r="F267" s="11" t="s">
        <v>1756</v>
      </c>
      <c r="G267" s="11" t="s">
        <v>1757</v>
      </c>
      <c r="H267" s="15" t="s">
        <v>15</v>
      </c>
      <c r="I267" s="15">
        <v>15</v>
      </c>
      <c r="J267" s="12" t="s">
        <v>1758</v>
      </c>
      <c r="K267" s="591">
        <f>(15*25)</f>
        <v>375</v>
      </c>
      <c r="L267" s="121" t="s">
        <v>2033</v>
      </c>
      <c r="M267" s="132">
        <v>1</v>
      </c>
      <c r="N267" s="133">
        <v>15</v>
      </c>
      <c r="O267" s="119">
        <f t="shared" si="8"/>
        <v>0</v>
      </c>
    </row>
    <row r="268" spans="1:15" ht="14.45" customHeight="1">
      <c r="A268" s="590" t="s">
        <v>1166</v>
      </c>
      <c r="B268" s="11" t="s">
        <v>150</v>
      </c>
      <c r="C268" s="11">
        <v>49</v>
      </c>
      <c r="D268" s="11" t="s">
        <v>7</v>
      </c>
      <c r="E268" s="15">
        <v>784</v>
      </c>
      <c r="F268" s="11" t="s">
        <v>787</v>
      </c>
      <c r="G268" s="11" t="s">
        <v>1757</v>
      </c>
      <c r="H268" s="15" t="s">
        <v>15</v>
      </c>
      <c r="I268" s="15">
        <v>15</v>
      </c>
      <c r="J268" s="12" t="s">
        <v>1758</v>
      </c>
      <c r="K268" s="591">
        <f>(15*25)</f>
        <v>375</v>
      </c>
      <c r="L268" s="121" t="s">
        <v>2055</v>
      </c>
      <c r="M268" s="132">
        <v>8</v>
      </c>
      <c r="N268" s="133">
        <v>15</v>
      </c>
      <c r="O268" s="119">
        <f t="shared" si="8"/>
        <v>0</v>
      </c>
    </row>
    <row r="269" spans="1:15" ht="14.45" customHeight="1">
      <c r="A269" s="590" t="s">
        <v>1166</v>
      </c>
      <c r="B269" s="11" t="s">
        <v>150</v>
      </c>
      <c r="C269" s="11">
        <v>49</v>
      </c>
      <c r="D269" s="11" t="s">
        <v>7</v>
      </c>
      <c r="E269" s="15">
        <v>785</v>
      </c>
      <c r="F269" s="11" t="s">
        <v>1759</v>
      </c>
      <c r="G269" s="11" t="s">
        <v>1757</v>
      </c>
      <c r="H269" s="15" t="s">
        <v>15</v>
      </c>
      <c r="I269" s="15">
        <v>15</v>
      </c>
      <c r="J269" s="12" t="s">
        <v>1758</v>
      </c>
      <c r="K269" s="591">
        <f>(15*25)</f>
        <v>375</v>
      </c>
      <c r="L269" s="121" t="s">
        <v>2033</v>
      </c>
      <c r="M269" s="132">
        <v>1</v>
      </c>
      <c r="N269" s="133">
        <v>15</v>
      </c>
      <c r="O269" s="119">
        <f t="shared" si="8"/>
        <v>0</v>
      </c>
    </row>
    <row r="270" spans="1:15" ht="14.45" customHeight="1">
      <c r="A270" s="590" t="s">
        <v>1166</v>
      </c>
      <c r="B270" s="11" t="s">
        <v>150</v>
      </c>
      <c r="C270" s="11">
        <v>49</v>
      </c>
      <c r="D270" s="11" t="s">
        <v>7</v>
      </c>
      <c r="E270" s="15">
        <v>786</v>
      </c>
      <c r="F270" s="11" t="s">
        <v>1760</v>
      </c>
      <c r="G270" s="11" t="s">
        <v>1757</v>
      </c>
      <c r="H270" s="15" t="s">
        <v>15</v>
      </c>
      <c r="I270" s="15">
        <v>15</v>
      </c>
      <c r="J270" s="12" t="s">
        <v>1761</v>
      </c>
      <c r="K270" s="591">
        <f>(12*25)+(3*17.3)</f>
        <v>351.9</v>
      </c>
      <c r="L270" s="121" t="s">
        <v>2033</v>
      </c>
      <c r="M270" s="132">
        <v>1</v>
      </c>
      <c r="N270" s="133">
        <v>15</v>
      </c>
      <c r="O270" s="119">
        <f t="shared" si="8"/>
        <v>0</v>
      </c>
    </row>
    <row r="271" spans="1:15" ht="14.45" customHeight="1">
      <c r="A271" s="590" t="s">
        <v>1178</v>
      </c>
      <c r="B271" s="11" t="s">
        <v>150</v>
      </c>
      <c r="C271" s="11">
        <v>50</v>
      </c>
      <c r="D271" s="11" t="s">
        <v>55</v>
      </c>
      <c r="E271" s="15">
        <v>37</v>
      </c>
      <c r="F271" s="11" t="s">
        <v>1855</v>
      </c>
      <c r="G271" s="11" t="s">
        <v>1757</v>
      </c>
      <c r="H271" s="15" t="s">
        <v>15</v>
      </c>
      <c r="I271" s="15">
        <v>15</v>
      </c>
      <c r="J271" s="12" t="s">
        <v>1758</v>
      </c>
      <c r="K271" s="591">
        <f>(15*25)</f>
        <v>375</v>
      </c>
      <c r="L271" s="121" t="s">
        <v>2055</v>
      </c>
      <c r="M271" s="132">
        <v>1</v>
      </c>
      <c r="N271" s="133">
        <v>15</v>
      </c>
      <c r="O271" s="119">
        <f t="shared" si="8"/>
        <v>0</v>
      </c>
    </row>
    <row r="272" spans="1:15" ht="14.45" customHeight="1">
      <c r="A272" s="590" t="s">
        <v>1176</v>
      </c>
      <c r="B272" s="11" t="s">
        <v>150</v>
      </c>
      <c r="C272" s="11">
        <v>50</v>
      </c>
      <c r="D272" s="11" t="s">
        <v>51</v>
      </c>
      <c r="E272" s="15">
        <v>348</v>
      </c>
      <c r="F272" s="11" t="s">
        <v>1816</v>
      </c>
      <c r="G272" s="11" t="s">
        <v>1817</v>
      </c>
      <c r="H272" s="15" t="s">
        <v>15</v>
      </c>
      <c r="I272" s="15">
        <v>20</v>
      </c>
      <c r="J272" s="12" t="s">
        <v>1818</v>
      </c>
      <c r="K272" s="591">
        <f>(19*25)+(1*17.3)</f>
        <v>492.3</v>
      </c>
      <c r="L272" s="121" t="s">
        <v>2082</v>
      </c>
      <c r="M272" s="132">
        <v>15</v>
      </c>
      <c r="N272" s="138">
        <v>20</v>
      </c>
      <c r="O272" s="630">
        <f t="shared" si="8"/>
        <v>0</v>
      </c>
    </row>
    <row r="273" spans="1:15" ht="14.45" customHeight="1">
      <c r="A273" s="590" t="s">
        <v>1176</v>
      </c>
      <c r="B273" s="11" t="s">
        <v>150</v>
      </c>
      <c r="C273" s="11">
        <v>50</v>
      </c>
      <c r="D273" s="11" t="s">
        <v>51</v>
      </c>
      <c r="E273" s="15">
        <v>349</v>
      </c>
      <c r="F273" s="11" t="s">
        <v>1819</v>
      </c>
      <c r="G273" s="11" t="s">
        <v>1817</v>
      </c>
      <c r="H273" s="15" t="s">
        <v>15</v>
      </c>
      <c r="I273" s="15">
        <v>20</v>
      </c>
      <c r="J273" s="12" t="s">
        <v>1820</v>
      </c>
      <c r="K273" s="591">
        <f>(19*26)+(1*18.3)</f>
        <v>512.29999999999995</v>
      </c>
      <c r="L273" s="121" t="s">
        <v>2082</v>
      </c>
      <c r="M273" s="132">
        <v>15</v>
      </c>
      <c r="N273" s="133">
        <v>20</v>
      </c>
      <c r="O273" s="630">
        <f t="shared" si="8"/>
        <v>0</v>
      </c>
    </row>
    <row r="274" spans="1:15" ht="14.45" customHeight="1">
      <c r="A274" s="590" t="s">
        <v>1176</v>
      </c>
      <c r="B274" s="11" t="s">
        <v>150</v>
      </c>
      <c r="C274" s="11">
        <v>50</v>
      </c>
      <c r="D274" s="11" t="s">
        <v>51</v>
      </c>
      <c r="E274" s="15">
        <v>351</v>
      </c>
      <c r="F274" s="11" t="s">
        <v>1821</v>
      </c>
      <c r="G274" s="11" t="s">
        <v>1817</v>
      </c>
      <c r="H274" s="15" t="s">
        <v>15</v>
      </c>
      <c r="I274" s="15">
        <v>20</v>
      </c>
      <c r="J274" s="12" t="s">
        <v>1818</v>
      </c>
      <c r="K274" s="591">
        <f>(19*25)+(1*17.3)</f>
        <v>492.3</v>
      </c>
      <c r="L274" s="121" t="s">
        <v>2082</v>
      </c>
      <c r="M274" s="132">
        <v>15</v>
      </c>
      <c r="N274" s="133">
        <v>20</v>
      </c>
      <c r="O274" s="630">
        <f t="shared" si="8"/>
        <v>0</v>
      </c>
    </row>
    <row r="275" spans="1:15" ht="14.45" customHeight="1">
      <c r="A275" s="590" t="s">
        <v>1176</v>
      </c>
      <c r="B275" s="11" t="s">
        <v>150</v>
      </c>
      <c r="C275" s="11">
        <v>50</v>
      </c>
      <c r="D275" s="11" t="s">
        <v>51</v>
      </c>
      <c r="E275" s="15">
        <v>352</v>
      </c>
      <c r="F275" s="11" t="s">
        <v>1822</v>
      </c>
      <c r="G275" s="11" t="s">
        <v>1817</v>
      </c>
      <c r="H275" s="15" t="s">
        <v>15</v>
      </c>
      <c r="I275" s="15">
        <v>20</v>
      </c>
      <c r="J275" s="12" t="s">
        <v>155</v>
      </c>
      <c r="K275" s="591">
        <f>(20*26)</f>
        <v>520</v>
      </c>
      <c r="L275" s="121" t="s">
        <v>2082</v>
      </c>
      <c r="M275" s="132">
        <v>15</v>
      </c>
      <c r="N275" s="138">
        <v>20</v>
      </c>
      <c r="O275" s="630">
        <f t="shared" si="8"/>
        <v>0</v>
      </c>
    </row>
    <row r="276" spans="1:15" ht="14.45" customHeight="1">
      <c r="A276" s="590" t="s">
        <v>1176</v>
      </c>
      <c r="B276" s="11" t="s">
        <v>150</v>
      </c>
      <c r="C276" s="11">
        <v>50</v>
      </c>
      <c r="D276" s="11" t="s">
        <v>51</v>
      </c>
      <c r="E276" s="15">
        <v>353</v>
      </c>
      <c r="F276" s="11" t="s">
        <v>1823</v>
      </c>
      <c r="G276" s="11" t="s">
        <v>1817</v>
      </c>
      <c r="H276" s="15" t="s">
        <v>15</v>
      </c>
      <c r="I276" s="15">
        <v>28</v>
      </c>
      <c r="J276" s="12" t="s">
        <v>1824</v>
      </c>
      <c r="K276" s="591">
        <f>(28*25)</f>
        <v>700</v>
      </c>
      <c r="L276" s="121" t="s">
        <v>2082</v>
      </c>
      <c r="M276" s="132">
        <v>15</v>
      </c>
      <c r="N276" s="133">
        <v>28</v>
      </c>
      <c r="O276" s="630">
        <f t="shared" si="8"/>
        <v>0</v>
      </c>
    </row>
    <row r="277" spans="1:15" ht="14.45" customHeight="1">
      <c r="A277" s="590" t="s">
        <v>1016</v>
      </c>
      <c r="B277" s="11" t="s">
        <v>150</v>
      </c>
      <c r="C277" s="11">
        <v>45</v>
      </c>
      <c r="D277" s="11" t="s">
        <v>7</v>
      </c>
      <c r="E277" s="15">
        <v>1056</v>
      </c>
      <c r="F277" s="11" t="s">
        <v>1660</v>
      </c>
      <c r="G277" s="11" t="s">
        <v>481</v>
      </c>
      <c r="H277" s="15" t="s">
        <v>15</v>
      </c>
      <c r="I277" s="15">
        <v>20</v>
      </c>
      <c r="J277" s="12" t="s">
        <v>633</v>
      </c>
      <c r="K277" s="591">
        <f>(19*34)+(1*29.7)</f>
        <v>675.7</v>
      </c>
      <c r="L277" s="121" t="s">
        <v>2055</v>
      </c>
      <c r="M277" s="132">
        <v>6</v>
      </c>
      <c r="N277" s="138">
        <v>20</v>
      </c>
      <c r="O277" s="119">
        <f t="shared" si="8"/>
        <v>0</v>
      </c>
    </row>
    <row r="278" spans="1:15" ht="14.45" customHeight="1">
      <c r="A278" s="590" t="s">
        <v>1016</v>
      </c>
      <c r="B278" s="11" t="s">
        <v>150</v>
      </c>
      <c r="C278" s="11">
        <v>45</v>
      </c>
      <c r="D278" s="11" t="s">
        <v>7</v>
      </c>
      <c r="E278" s="15">
        <v>1057</v>
      </c>
      <c r="F278" s="11" t="s">
        <v>1661</v>
      </c>
      <c r="G278" s="11" t="s">
        <v>481</v>
      </c>
      <c r="H278" s="15" t="s">
        <v>15</v>
      </c>
      <c r="I278" s="15">
        <v>20</v>
      </c>
      <c r="J278" s="12" t="s">
        <v>633</v>
      </c>
      <c r="K278" s="591">
        <f>(19*34)+(1*29.7)</f>
        <v>675.7</v>
      </c>
      <c r="L278" s="121" t="s">
        <v>2055</v>
      </c>
      <c r="M278" s="132">
        <v>6</v>
      </c>
      <c r="N278" s="133">
        <f>10+10</f>
        <v>20</v>
      </c>
      <c r="O278" s="119">
        <f t="shared" si="8"/>
        <v>0</v>
      </c>
    </row>
    <row r="279" spans="1:15" ht="14.45" customHeight="1">
      <c r="A279" s="590" t="s">
        <v>1005</v>
      </c>
      <c r="B279" s="11" t="s">
        <v>150</v>
      </c>
      <c r="C279" s="11">
        <v>44</v>
      </c>
      <c r="D279" s="11" t="s">
        <v>7</v>
      </c>
      <c r="E279" s="15">
        <v>1142</v>
      </c>
      <c r="F279" s="11" t="s">
        <v>1628</v>
      </c>
      <c r="G279" s="11" t="s">
        <v>1544</v>
      </c>
      <c r="H279" s="15" t="s">
        <v>15</v>
      </c>
      <c r="I279" s="15">
        <v>20</v>
      </c>
      <c r="J279" s="12" t="s">
        <v>1514</v>
      </c>
      <c r="K279" s="591">
        <f>(19*28)+(1*23.7)</f>
        <v>555.70000000000005</v>
      </c>
      <c r="L279" s="121" t="s">
        <v>2055</v>
      </c>
      <c r="M279" s="132" t="s">
        <v>2077</v>
      </c>
      <c r="N279" s="133">
        <f>7+13</f>
        <v>20</v>
      </c>
      <c r="O279" s="119">
        <f t="shared" si="8"/>
        <v>0</v>
      </c>
    </row>
    <row r="280" spans="1:15" ht="14.45" customHeight="1">
      <c r="A280" s="590" t="s">
        <v>1005</v>
      </c>
      <c r="B280" s="11" t="s">
        <v>150</v>
      </c>
      <c r="C280" s="11">
        <v>44</v>
      </c>
      <c r="D280" s="11" t="s">
        <v>7</v>
      </c>
      <c r="E280" s="15">
        <v>1143</v>
      </c>
      <c r="F280" s="11" t="s">
        <v>1629</v>
      </c>
      <c r="G280" s="11" t="s">
        <v>1544</v>
      </c>
      <c r="H280" s="15" t="s">
        <v>15</v>
      </c>
      <c r="I280" s="15">
        <v>20</v>
      </c>
      <c r="J280" s="12" t="s">
        <v>1514</v>
      </c>
      <c r="K280" s="591">
        <f>(19*28)+(1*23.7)</f>
        <v>555.70000000000005</v>
      </c>
      <c r="L280" s="121" t="s">
        <v>2055</v>
      </c>
      <c r="M280" s="132" t="s">
        <v>2077</v>
      </c>
      <c r="N280" s="133">
        <f>9+11</f>
        <v>20</v>
      </c>
      <c r="O280" s="119">
        <f t="shared" si="8"/>
        <v>0</v>
      </c>
    </row>
    <row r="281" spans="1:15" ht="14.45" customHeight="1">
      <c r="A281" s="590" t="s">
        <v>1181</v>
      </c>
      <c r="B281" s="11" t="s">
        <v>150</v>
      </c>
      <c r="C281" s="11">
        <v>46</v>
      </c>
      <c r="D281" s="11" t="s">
        <v>7</v>
      </c>
      <c r="E281" s="15">
        <v>882</v>
      </c>
      <c r="F281" s="11" t="s">
        <v>1572</v>
      </c>
      <c r="G281" s="11" t="s">
        <v>451</v>
      </c>
      <c r="H281" s="15" t="s">
        <v>15</v>
      </c>
      <c r="I281" s="15">
        <v>13</v>
      </c>
      <c r="J281" s="12" t="s">
        <v>494</v>
      </c>
      <c r="K281" s="591">
        <f>(13*40)</f>
        <v>520</v>
      </c>
      <c r="L281" s="121" t="s">
        <v>2055</v>
      </c>
      <c r="M281" s="132">
        <v>4</v>
      </c>
      <c r="N281" s="133">
        <v>13</v>
      </c>
      <c r="O281" s="119">
        <f t="shared" si="8"/>
        <v>0</v>
      </c>
    </row>
    <row r="282" spans="1:15" ht="14.45" customHeight="1">
      <c r="A282" s="590" t="s">
        <v>1181</v>
      </c>
      <c r="B282" s="11" t="s">
        <v>150</v>
      </c>
      <c r="C282" s="11">
        <v>46</v>
      </c>
      <c r="D282" s="11" t="s">
        <v>7</v>
      </c>
      <c r="E282" s="15">
        <v>883</v>
      </c>
      <c r="F282" s="11" t="s">
        <v>514</v>
      </c>
      <c r="G282" s="11" t="s">
        <v>451</v>
      </c>
      <c r="H282" s="15" t="s">
        <v>15</v>
      </c>
      <c r="I282" s="15">
        <v>20</v>
      </c>
      <c r="J282" s="12" t="s">
        <v>700</v>
      </c>
      <c r="K282" s="591">
        <f>(19*40)+(1*35.7)</f>
        <v>795.7</v>
      </c>
      <c r="L282" s="121" t="s">
        <v>2055</v>
      </c>
      <c r="M282" s="132">
        <v>4</v>
      </c>
      <c r="N282" s="133">
        <v>20</v>
      </c>
      <c r="O282" s="119">
        <f t="shared" si="8"/>
        <v>0</v>
      </c>
    </row>
    <row r="283" spans="1:15" ht="14.45" customHeight="1">
      <c r="A283" s="590" t="s">
        <v>1184</v>
      </c>
      <c r="B283" s="11" t="s">
        <v>150</v>
      </c>
      <c r="C283" s="11">
        <v>48</v>
      </c>
      <c r="D283" s="11" t="s">
        <v>7</v>
      </c>
      <c r="E283" s="15">
        <v>1340</v>
      </c>
      <c r="F283" s="11" t="s">
        <v>537</v>
      </c>
      <c r="G283" s="11" t="s">
        <v>451</v>
      </c>
      <c r="H283" s="15" t="s">
        <v>15</v>
      </c>
      <c r="I283" s="15">
        <v>20</v>
      </c>
      <c r="J283" s="12" t="s">
        <v>1630</v>
      </c>
      <c r="K283" s="591">
        <f>(20*40)</f>
        <v>800</v>
      </c>
      <c r="L283" s="121" t="s">
        <v>2090</v>
      </c>
      <c r="M283" s="136"/>
      <c r="N283" s="133">
        <v>20</v>
      </c>
      <c r="O283" s="119">
        <f t="shared" si="8"/>
        <v>0</v>
      </c>
    </row>
    <row r="284" spans="1:15" ht="14.45" customHeight="1">
      <c r="A284" s="590" t="s">
        <v>1184</v>
      </c>
      <c r="B284" s="11" t="s">
        <v>150</v>
      </c>
      <c r="C284" s="11">
        <v>48</v>
      </c>
      <c r="D284" s="11" t="s">
        <v>7</v>
      </c>
      <c r="E284" s="15">
        <v>1343</v>
      </c>
      <c r="F284" s="11" t="s">
        <v>667</v>
      </c>
      <c r="G284" s="11" t="s">
        <v>451</v>
      </c>
      <c r="H284" s="15" t="s">
        <v>15</v>
      </c>
      <c r="I284" s="15">
        <v>12</v>
      </c>
      <c r="J284" s="12" t="s">
        <v>1414</v>
      </c>
      <c r="K284" s="591">
        <f>(10*40)+(2*32.3)</f>
        <v>464.6</v>
      </c>
      <c r="L284" s="121" t="s">
        <v>2090</v>
      </c>
      <c r="M284" s="136"/>
      <c r="N284" s="133">
        <v>12</v>
      </c>
      <c r="O284" s="119">
        <f t="shared" si="8"/>
        <v>0</v>
      </c>
    </row>
    <row r="285" spans="1:15" ht="14.45" customHeight="1">
      <c r="A285" s="590" t="s">
        <v>1186</v>
      </c>
      <c r="B285" s="11" t="s">
        <v>150</v>
      </c>
      <c r="C285" s="11">
        <v>47</v>
      </c>
      <c r="D285" s="11" t="s">
        <v>7</v>
      </c>
      <c r="E285" s="15">
        <v>1512</v>
      </c>
      <c r="F285" s="11" t="s">
        <v>582</v>
      </c>
      <c r="G285" s="11" t="s">
        <v>451</v>
      </c>
      <c r="H285" s="15" t="s">
        <v>15</v>
      </c>
      <c r="I285" s="15">
        <v>20</v>
      </c>
      <c r="J285" s="12" t="s">
        <v>1630</v>
      </c>
      <c r="K285" s="591">
        <f>(20*40)</f>
        <v>800</v>
      </c>
      <c r="L285" s="121" t="s">
        <v>2055</v>
      </c>
      <c r="M285" s="136">
        <v>8</v>
      </c>
      <c r="N285" s="133">
        <v>20</v>
      </c>
      <c r="O285" s="119">
        <f t="shared" si="8"/>
        <v>0</v>
      </c>
    </row>
    <row r="286" spans="1:15" ht="14.45" customHeight="1">
      <c r="A286" s="590" t="s">
        <v>1186</v>
      </c>
      <c r="B286" s="11" t="s">
        <v>150</v>
      </c>
      <c r="C286" s="11">
        <v>47</v>
      </c>
      <c r="D286" s="11" t="s">
        <v>7</v>
      </c>
      <c r="E286" s="15">
        <v>1514</v>
      </c>
      <c r="F286" s="11" t="s">
        <v>135</v>
      </c>
      <c r="G286" s="11" t="s">
        <v>451</v>
      </c>
      <c r="H286" s="15" t="s">
        <v>15</v>
      </c>
      <c r="I286" s="15">
        <v>15</v>
      </c>
      <c r="J286" s="12" t="s">
        <v>1416</v>
      </c>
      <c r="K286" s="591">
        <f>(14*40)+(1*32.3)</f>
        <v>592.29999999999995</v>
      </c>
      <c r="L286" s="121" t="s">
        <v>2055</v>
      </c>
      <c r="M286" s="136">
        <v>2</v>
      </c>
      <c r="N286" s="133">
        <v>15</v>
      </c>
      <c r="O286" s="119">
        <f t="shared" si="8"/>
        <v>0</v>
      </c>
    </row>
    <row r="287" spans="1:15" ht="14.45" customHeight="1">
      <c r="A287" s="590" t="s">
        <v>1164</v>
      </c>
      <c r="B287" s="11" t="s">
        <v>9</v>
      </c>
      <c r="C287" s="11">
        <v>40</v>
      </c>
      <c r="D287" s="11" t="s">
        <v>10</v>
      </c>
      <c r="E287" s="15">
        <v>834</v>
      </c>
      <c r="F287" s="11" t="s">
        <v>420</v>
      </c>
      <c r="G287" s="11" t="s">
        <v>1348</v>
      </c>
      <c r="H287" s="15" t="s">
        <v>5</v>
      </c>
      <c r="I287" s="15">
        <v>15</v>
      </c>
      <c r="J287" s="12" t="s">
        <v>159</v>
      </c>
      <c r="K287" s="591">
        <f>(15*35)</f>
        <v>525</v>
      </c>
      <c r="L287" s="121" t="s">
        <v>2082</v>
      </c>
      <c r="M287" s="132">
        <v>1</v>
      </c>
      <c r="N287" s="133">
        <f>8+7</f>
        <v>15</v>
      </c>
      <c r="O287" s="119">
        <f t="shared" si="8"/>
        <v>0</v>
      </c>
    </row>
    <row r="288" spans="1:15" ht="14.45" customHeight="1">
      <c r="A288" s="590" t="s">
        <v>1188</v>
      </c>
      <c r="B288" s="11" t="s">
        <v>9</v>
      </c>
      <c r="C288" s="11">
        <v>47</v>
      </c>
      <c r="D288" s="11" t="s">
        <v>7</v>
      </c>
      <c r="E288" s="15">
        <v>265</v>
      </c>
      <c r="F288" s="11" t="s">
        <v>1332</v>
      </c>
      <c r="G288" s="11" t="s">
        <v>1379</v>
      </c>
      <c r="H288" s="15" t="s">
        <v>15</v>
      </c>
      <c r="I288" s="15">
        <v>20</v>
      </c>
      <c r="J288" s="12" t="s">
        <v>168</v>
      </c>
      <c r="K288" s="591">
        <f>(20*37)</f>
        <v>740</v>
      </c>
      <c r="L288" s="121" t="s">
        <v>2033</v>
      </c>
      <c r="M288" s="136">
        <v>9</v>
      </c>
      <c r="N288" s="133">
        <v>20</v>
      </c>
      <c r="O288" s="119">
        <f t="shared" si="8"/>
        <v>0</v>
      </c>
    </row>
    <row r="289" spans="1:15" ht="14.45" customHeight="1">
      <c r="A289" s="590" t="s">
        <v>1170</v>
      </c>
      <c r="B289" s="11" t="s">
        <v>9</v>
      </c>
      <c r="C289" s="11">
        <v>46</v>
      </c>
      <c r="D289" s="11" t="s">
        <v>7</v>
      </c>
      <c r="E289" s="15">
        <v>691</v>
      </c>
      <c r="F289" s="11" t="s">
        <v>695</v>
      </c>
      <c r="G289" s="11" t="s">
        <v>1792</v>
      </c>
      <c r="H289" s="15" t="s">
        <v>5</v>
      </c>
      <c r="I289" s="15">
        <v>20</v>
      </c>
      <c r="J289" s="12" t="s">
        <v>31</v>
      </c>
      <c r="K289" s="591">
        <f>(19*38)+(1*29.4)</f>
        <v>751.4</v>
      </c>
      <c r="L289" s="121" t="s">
        <v>2055</v>
      </c>
      <c r="M289" s="132">
        <v>4</v>
      </c>
      <c r="N289" s="133">
        <f>10+10</f>
        <v>20</v>
      </c>
      <c r="O289" s="119">
        <f t="shared" si="8"/>
        <v>0</v>
      </c>
    </row>
    <row r="290" spans="1:15" ht="14.45" customHeight="1">
      <c r="A290" s="590" t="s">
        <v>1170</v>
      </c>
      <c r="B290" s="11" t="s">
        <v>9</v>
      </c>
      <c r="C290" s="11">
        <v>46</v>
      </c>
      <c r="D290" s="11" t="s">
        <v>7</v>
      </c>
      <c r="E290" s="15">
        <v>692</v>
      </c>
      <c r="F290" s="11" t="s">
        <v>751</v>
      </c>
      <c r="G290" s="11" t="s">
        <v>1792</v>
      </c>
      <c r="H290" s="15" t="s">
        <v>5</v>
      </c>
      <c r="I290" s="15">
        <v>20</v>
      </c>
      <c r="J290" s="12" t="s">
        <v>31</v>
      </c>
      <c r="K290" s="591">
        <f>(19*38)+(1*29.4)</f>
        <v>751.4</v>
      </c>
      <c r="L290" s="121" t="s">
        <v>2033</v>
      </c>
      <c r="M290" s="132">
        <v>10</v>
      </c>
      <c r="N290" s="133">
        <f>10+10</f>
        <v>20</v>
      </c>
      <c r="O290" s="119">
        <f t="shared" si="8"/>
        <v>0</v>
      </c>
    </row>
    <row r="291" spans="1:15" ht="14.45" customHeight="1">
      <c r="A291" s="590" t="s">
        <v>1170</v>
      </c>
      <c r="B291" s="11" t="s">
        <v>9</v>
      </c>
      <c r="C291" s="11">
        <v>46</v>
      </c>
      <c r="D291" s="11" t="s">
        <v>7</v>
      </c>
      <c r="E291" s="15">
        <v>693</v>
      </c>
      <c r="F291" s="11" t="s">
        <v>722</v>
      </c>
      <c r="G291" s="11" t="s">
        <v>1792</v>
      </c>
      <c r="H291" s="15" t="s">
        <v>15</v>
      </c>
      <c r="I291" s="15">
        <v>15</v>
      </c>
      <c r="J291" s="12" t="s">
        <v>14</v>
      </c>
      <c r="K291" s="591">
        <f>(14*38)+(1*29.4)</f>
        <v>561.4</v>
      </c>
      <c r="L291" s="121" t="s">
        <v>2055</v>
      </c>
      <c r="M291" s="132">
        <v>7</v>
      </c>
      <c r="N291" s="130">
        <v>15</v>
      </c>
      <c r="O291" s="119">
        <f t="shared" si="8"/>
        <v>0</v>
      </c>
    </row>
    <row r="292" spans="1:15">
      <c r="A292" s="590" t="s">
        <v>1170</v>
      </c>
      <c r="B292" s="11" t="s">
        <v>9</v>
      </c>
      <c r="C292" s="11">
        <v>46</v>
      </c>
      <c r="D292" s="11" t="s">
        <v>7</v>
      </c>
      <c r="E292" s="15">
        <v>694</v>
      </c>
      <c r="F292" s="11" t="s">
        <v>751</v>
      </c>
      <c r="G292" s="11" t="s">
        <v>1792</v>
      </c>
      <c r="H292" s="15" t="s">
        <v>15</v>
      </c>
      <c r="I292" s="15">
        <v>10</v>
      </c>
      <c r="J292" s="12" t="s">
        <v>27</v>
      </c>
      <c r="K292" s="591">
        <f>(9*38)+(1*29.4)</f>
        <v>371.4</v>
      </c>
      <c r="L292" s="121" t="s">
        <v>2055</v>
      </c>
      <c r="M292" s="132">
        <v>8</v>
      </c>
      <c r="N292" s="133">
        <v>10</v>
      </c>
      <c r="O292" s="119">
        <f t="shared" si="8"/>
        <v>0</v>
      </c>
    </row>
    <row r="293" spans="1:15">
      <c r="A293" s="590" t="s">
        <v>1146</v>
      </c>
      <c r="B293" s="11" t="s">
        <v>9</v>
      </c>
      <c r="C293" s="11">
        <v>39</v>
      </c>
      <c r="D293" s="11" t="s">
        <v>16</v>
      </c>
      <c r="E293" s="15">
        <v>365</v>
      </c>
      <c r="F293" s="11" t="s">
        <v>781</v>
      </c>
      <c r="G293" s="11" t="s">
        <v>152</v>
      </c>
      <c r="H293" s="15" t="s">
        <v>15</v>
      </c>
      <c r="I293" s="15">
        <v>20</v>
      </c>
      <c r="J293" s="12" t="s">
        <v>31</v>
      </c>
      <c r="K293" s="591">
        <f>+(19*38)+(1*29.4)</f>
        <v>751.4</v>
      </c>
      <c r="L293" s="121" t="s">
        <v>2034</v>
      </c>
      <c r="M293" s="132">
        <v>12</v>
      </c>
      <c r="N293" s="133">
        <v>20</v>
      </c>
      <c r="O293" s="119">
        <f t="shared" si="8"/>
        <v>0</v>
      </c>
    </row>
    <row r="294" spans="1:15">
      <c r="A294" s="590" t="s">
        <v>1146</v>
      </c>
      <c r="B294" s="11" t="s">
        <v>9</v>
      </c>
      <c r="C294" s="11">
        <v>39</v>
      </c>
      <c r="D294" s="11" t="s">
        <v>16</v>
      </c>
      <c r="E294" s="15">
        <v>367</v>
      </c>
      <c r="F294" s="11" t="s">
        <v>1564</v>
      </c>
      <c r="G294" s="11" t="s">
        <v>152</v>
      </c>
      <c r="H294" s="15" t="s">
        <v>15</v>
      </c>
      <c r="I294" s="15">
        <v>20</v>
      </c>
      <c r="J294" s="12" t="s">
        <v>31</v>
      </c>
      <c r="K294" s="591">
        <f>+(19*38)+(1*29.4)</f>
        <v>751.4</v>
      </c>
      <c r="L294" s="121" t="s">
        <v>2033</v>
      </c>
      <c r="M294" s="132" t="s">
        <v>2049</v>
      </c>
      <c r="N294" s="133">
        <f>5+10+5</f>
        <v>20</v>
      </c>
      <c r="O294" s="119">
        <f t="shared" si="8"/>
        <v>0</v>
      </c>
    </row>
    <row r="295" spans="1:15">
      <c r="A295" s="590" t="s">
        <v>1156</v>
      </c>
      <c r="B295" s="11" t="s">
        <v>9</v>
      </c>
      <c r="C295" s="11">
        <v>40</v>
      </c>
      <c r="D295" s="11" t="s">
        <v>7</v>
      </c>
      <c r="E295" s="15">
        <v>590</v>
      </c>
      <c r="F295" s="11" t="s">
        <v>509</v>
      </c>
      <c r="G295" s="11" t="s">
        <v>152</v>
      </c>
      <c r="H295" s="15" t="s">
        <v>15</v>
      </c>
      <c r="I295" s="15">
        <v>20</v>
      </c>
      <c r="J295" s="12" t="s">
        <v>31</v>
      </c>
      <c r="K295" s="591">
        <f>(19*38)+(1*29.4)</f>
        <v>751.4</v>
      </c>
      <c r="L295" s="121" t="s">
        <v>2033</v>
      </c>
      <c r="M295" s="132">
        <v>8</v>
      </c>
      <c r="N295" s="133">
        <f>10+10</f>
        <v>20</v>
      </c>
      <c r="O295" s="119">
        <f t="shared" si="8"/>
        <v>0</v>
      </c>
    </row>
    <row r="296" spans="1:15">
      <c r="A296" s="590" t="s">
        <v>1156</v>
      </c>
      <c r="B296" s="11" t="s">
        <v>9</v>
      </c>
      <c r="C296" s="11">
        <v>40</v>
      </c>
      <c r="D296" s="11" t="s">
        <v>7</v>
      </c>
      <c r="E296" s="15">
        <v>591</v>
      </c>
      <c r="F296" s="11" t="s">
        <v>446</v>
      </c>
      <c r="G296" s="11" t="s">
        <v>152</v>
      </c>
      <c r="H296" s="15" t="s">
        <v>15</v>
      </c>
      <c r="I296" s="15">
        <v>20</v>
      </c>
      <c r="J296" s="12" t="s">
        <v>31</v>
      </c>
      <c r="K296" s="591">
        <f>(19*38)+(1*29.4)</f>
        <v>751.4</v>
      </c>
      <c r="L296" s="121" t="s">
        <v>2033</v>
      </c>
      <c r="M296" s="132">
        <v>7</v>
      </c>
      <c r="N296" s="133">
        <f>10+10</f>
        <v>20</v>
      </c>
      <c r="O296" s="119">
        <f t="shared" si="8"/>
        <v>0</v>
      </c>
    </row>
    <row r="297" spans="1:15">
      <c r="A297" s="590" t="s">
        <v>1009</v>
      </c>
      <c r="B297" s="11" t="s">
        <v>9</v>
      </c>
      <c r="C297" s="11">
        <v>42</v>
      </c>
      <c r="D297" s="11" t="s">
        <v>16</v>
      </c>
      <c r="E297" s="15">
        <v>454</v>
      </c>
      <c r="F297" s="11" t="s">
        <v>686</v>
      </c>
      <c r="G297" s="11" t="s">
        <v>152</v>
      </c>
      <c r="H297" s="15" t="s">
        <v>5</v>
      </c>
      <c r="I297" s="15">
        <v>15</v>
      </c>
      <c r="J297" s="12" t="s">
        <v>97</v>
      </c>
      <c r="K297" s="591">
        <f>(15*38)</f>
        <v>570</v>
      </c>
      <c r="L297" s="121" t="s">
        <v>2082</v>
      </c>
      <c r="M297" s="132">
        <v>7</v>
      </c>
      <c r="N297" s="133">
        <f>8+7</f>
        <v>15</v>
      </c>
      <c r="O297" s="119">
        <f t="shared" si="8"/>
        <v>0</v>
      </c>
    </row>
    <row r="298" spans="1:15">
      <c r="A298" s="590" t="s">
        <v>1023</v>
      </c>
      <c r="B298" s="11" t="s">
        <v>9</v>
      </c>
      <c r="C298" s="11">
        <v>40</v>
      </c>
      <c r="D298" s="11" t="s">
        <v>16</v>
      </c>
      <c r="E298" s="15">
        <v>435</v>
      </c>
      <c r="F298" s="11" t="s">
        <v>1401</v>
      </c>
      <c r="G298" s="11" t="s">
        <v>152</v>
      </c>
      <c r="H298" s="15" t="s">
        <v>15</v>
      </c>
      <c r="I298" s="15">
        <v>20</v>
      </c>
      <c r="J298" s="12" t="s">
        <v>31</v>
      </c>
      <c r="K298" s="591">
        <f>(19*38)+(1*29.4)</f>
        <v>751.4</v>
      </c>
      <c r="L298" s="121" t="s">
        <v>2033</v>
      </c>
      <c r="M298" s="132">
        <v>11</v>
      </c>
      <c r="N298" s="133">
        <f>10+10</f>
        <v>20</v>
      </c>
      <c r="O298" s="119">
        <f t="shared" si="8"/>
        <v>0</v>
      </c>
    </row>
    <row r="299" spans="1:15">
      <c r="A299" s="590" t="s">
        <v>1023</v>
      </c>
      <c r="B299" s="11" t="s">
        <v>9</v>
      </c>
      <c r="C299" s="11">
        <v>40</v>
      </c>
      <c r="D299" s="11" t="s">
        <v>16</v>
      </c>
      <c r="E299" s="15">
        <v>436</v>
      </c>
      <c r="F299" s="11" t="s">
        <v>662</v>
      </c>
      <c r="G299" s="11" t="s">
        <v>152</v>
      </c>
      <c r="H299" s="15" t="s">
        <v>15</v>
      </c>
      <c r="I299" s="15">
        <v>10</v>
      </c>
      <c r="J299" s="12" t="s">
        <v>27</v>
      </c>
      <c r="K299" s="591">
        <f>(9*38)+(1*29.4)</f>
        <v>371.4</v>
      </c>
      <c r="L299" s="121" t="s">
        <v>2055</v>
      </c>
      <c r="M299" s="132">
        <v>5</v>
      </c>
      <c r="N299" s="133">
        <v>10</v>
      </c>
      <c r="O299" s="119">
        <f t="shared" si="8"/>
        <v>0</v>
      </c>
    </row>
    <row r="300" spans="1:15">
      <c r="A300" s="590" t="s">
        <v>1192</v>
      </c>
      <c r="B300" s="11" t="s">
        <v>9</v>
      </c>
      <c r="C300" s="11">
        <v>49</v>
      </c>
      <c r="D300" s="11" t="s">
        <v>16</v>
      </c>
      <c r="E300" s="15">
        <v>612</v>
      </c>
      <c r="F300" s="11" t="s">
        <v>195</v>
      </c>
      <c r="G300" s="11" t="s">
        <v>152</v>
      </c>
      <c r="H300" s="15" t="s">
        <v>15</v>
      </c>
      <c r="I300" s="15">
        <v>20</v>
      </c>
      <c r="J300" s="12" t="s">
        <v>31</v>
      </c>
      <c r="K300" s="591">
        <f>(19*38)+(1*29.4)</f>
        <v>751.4</v>
      </c>
      <c r="L300" s="121" t="s">
        <v>2082</v>
      </c>
      <c r="M300" s="136">
        <v>8</v>
      </c>
      <c r="N300" s="133">
        <v>20</v>
      </c>
      <c r="O300" s="119">
        <f t="shared" si="8"/>
        <v>0</v>
      </c>
    </row>
    <row r="301" spans="1:15">
      <c r="A301" s="590" t="s">
        <v>1023</v>
      </c>
      <c r="B301" s="11" t="s">
        <v>9</v>
      </c>
      <c r="C301" s="11">
        <v>40</v>
      </c>
      <c r="D301" s="11" t="s">
        <v>16</v>
      </c>
      <c r="E301" s="15">
        <v>625</v>
      </c>
      <c r="F301" s="11" t="s">
        <v>1393</v>
      </c>
      <c r="G301" s="11" t="s">
        <v>1744</v>
      </c>
      <c r="H301" s="15" t="s">
        <v>5</v>
      </c>
      <c r="I301" s="15">
        <v>20</v>
      </c>
      <c r="J301" s="12" t="s">
        <v>31</v>
      </c>
      <c r="K301" s="591">
        <f>(19*38)+(1*29.4)</f>
        <v>751.4</v>
      </c>
      <c r="L301" s="121" t="s">
        <v>2033</v>
      </c>
      <c r="M301" s="132" t="s">
        <v>604</v>
      </c>
      <c r="N301" s="133">
        <f>10+10</f>
        <v>20</v>
      </c>
      <c r="O301" s="119">
        <f t="shared" si="8"/>
        <v>0</v>
      </c>
    </row>
    <row r="302" spans="1:15">
      <c r="A302" s="590" t="s">
        <v>1014</v>
      </c>
      <c r="B302" s="11" t="s">
        <v>9</v>
      </c>
      <c r="C302" s="11">
        <v>40</v>
      </c>
      <c r="D302" s="11" t="s">
        <v>7</v>
      </c>
      <c r="E302" s="15">
        <v>1058</v>
      </c>
      <c r="F302" s="11" t="s">
        <v>776</v>
      </c>
      <c r="G302" s="11" t="s">
        <v>1424</v>
      </c>
      <c r="H302" s="15" t="s">
        <v>5</v>
      </c>
      <c r="I302" s="15">
        <v>20</v>
      </c>
      <c r="J302" s="12" t="s">
        <v>17</v>
      </c>
      <c r="K302" s="591">
        <f>(19*35)+(1*26.4)</f>
        <v>691.4</v>
      </c>
      <c r="L302" s="121" t="s">
        <v>2033</v>
      </c>
      <c r="M302" s="132">
        <v>3</v>
      </c>
      <c r="N302" s="133">
        <f>10+10</f>
        <v>20</v>
      </c>
      <c r="O302" s="119">
        <f t="shared" si="8"/>
        <v>0</v>
      </c>
    </row>
    <row r="303" spans="1:15">
      <c r="A303" s="590" t="s">
        <v>1014</v>
      </c>
      <c r="B303" s="11" t="s">
        <v>9</v>
      </c>
      <c r="C303" s="11">
        <v>40</v>
      </c>
      <c r="D303" s="11" t="s">
        <v>7</v>
      </c>
      <c r="E303" s="15">
        <v>1059</v>
      </c>
      <c r="F303" s="11" t="s">
        <v>88</v>
      </c>
      <c r="G303" s="11" t="s">
        <v>1424</v>
      </c>
      <c r="H303" s="15" t="s">
        <v>5</v>
      </c>
      <c r="I303" s="15">
        <v>20</v>
      </c>
      <c r="J303" s="12" t="s">
        <v>17</v>
      </c>
      <c r="K303" s="591">
        <f>(19*35)+(1*26.4)</f>
        <v>691.4</v>
      </c>
      <c r="L303" s="121" t="s">
        <v>2033</v>
      </c>
      <c r="M303" s="132">
        <v>1</v>
      </c>
      <c r="N303" s="133">
        <v>20</v>
      </c>
      <c r="O303" s="119">
        <f t="shared" si="8"/>
        <v>0</v>
      </c>
    </row>
    <row r="304" spans="1:15">
      <c r="A304" s="590" t="s">
        <v>1014</v>
      </c>
      <c r="B304" s="11" t="s">
        <v>9</v>
      </c>
      <c r="C304" s="11">
        <v>40</v>
      </c>
      <c r="D304" s="11" t="s">
        <v>7</v>
      </c>
      <c r="E304" s="15">
        <v>1064</v>
      </c>
      <c r="F304" s="11" t="s">
        <v>461</v>
      </c>
      <c r="G304" s="11" t="s">
        <v>1424</v>
      </c>
      <c r="H304" s="15" t="s">
        <v>15</v>
      </c>
      <c r="I304" s="15">
        <v>15</v>
      </c>
      <c r="J304" s="12" t="s">
        <v>13</v>
      </c>
      <c r="K304" s="591">
        <f>(14*35)+(1*26.4)</f>
        <v>516.4</v>
      </c>
      <c r="L304" s="121" t="s">
        <v>2033</v>
      </c>
      <c r="M304" s="132">
        <v>3</v>
      </c>
      <c r="N304" s="133">
        <f>5+10</f>
        <v>15</v>
      </c>
      <c r="O304" s="119">
        <f t="shared" si="8"/>
        <v>0</v>
      </c>
    </row>
    <row r="305" spans="1:15">
      <c r="A305" s="590" t="s">
        <v>1014</v>
      </c>
      <c r="B305" s="11" t="s">
        <v>9</v>
      </c>
      <c r="C305" s="11">
        <v>40</v>
      </c>
      <c r="D305" s="11" t="s">
        <v>7</v>
      </c>
      <c r="E305" s="15">
        <v>1065</v>
      </c>
      <c r="F305" s="11" t="s">
        <v>43</v>
      </c>
      <c r="G305" s="11" t="s">
        <v>1424</v>
      </c>
      <c r="H305" s="15" t="s">
        <v>15</v>
      </c>
      <c r="I305" s="15">
        <v>15</v>
      </c>
      <c r="J305" s="12" t="s">
        <v>159</v>
      </c>
      <c r="K305" s="591">
        <f>(15*35)</f>
        <v>525</v>
      </c>
      <c r="L305" s="121" t="s">
        <v>2033</v>
      </c>
      <c r="M305" s="132">
        <v>2</v>
      </c>
      <c r="N305" s="133">
        <f>5+10</f>
        <v>15</v>
      </c>
      <c r="O305" s="119">
        <f t="shared" si="8"/>
        <v>0</v>
      </c>
    </row>
    <row r="306" spans="1:15">
      <c r="A306" s="590" t="s">
        <v>1014</v>
      </c>
      <c r="B306" s="11" t="s">
        <v>9</v>
      </c>
      <c r="C306" s="11">
        <v>40</v>
      </c>
      <c r="D306" s="11" t="s">
        <v>7</v>
      </c>
      <c r="E306" s="15">
        <v>1068</v>
      </c>
      <c r="F306" s="11" t="s">
        <v>439</v>
      </c>
      <c r="G306" s="11" t="s">
        <v>1424</v>
      </c>
      <c r="H306" s="15" t="s">
        <v>15</v>
      </c>
      <c r="I306" s="15">
        <v>15</v>
      </c>
      <c r="J306" s="12" t="s">
        <v>13</v>
      </c>
      <c r="K306" s="591">
        <f>(14*35)+(1*26.4)</f>
        <v>516.4</v>
      </c>
      <c r="L306" s="121" t="s">
        <v>2033</v>
      </c>
      <c r="M306" s="132">
        <v>1</v>
      </c>
      <c r="N306" s="133">
        <v>15</v>
      </c>
      <c r="O306" s="119">
        <f t="shared" si="8"/>
        <v>0</v>
      </c>
    </row>
    <row r="307" spans="1:15">
      <c r="A307" s="590" t="s">
        <v>1014</v>
      </c>
      <c r="B307" s="11" t="s">
        <v>9</v>
      </c>
      <c r="C307" s="11">
        <v>40</v>
      </c>
      <c r="D307" s="11" t="s">
        <v>7</v>
      </c>
      <c r="E307" s="15">
        <v>1071</v>
      </c>
      <c r="F307" s="11" t="s">
        <v>404</v>
      </c>
      <c r="G307" s="11" t="s">
        <v>1424</v>
      </c>
      <c r="H307" s="15" t="s">
        <v>143</v>
      </c>
      <c r="I307" s="15">
        <v>15</v>
      </c>
      <c r="J307" s="12" t="s">
        <v>111</v>
      </c>
      <c r="K307" s="591">
        <f>(14*35)+(1*29.2)</f>
        <v>519.20000000000005</v>
      </c>
      <c r="L307" s="121" t="s">
        <v>2034</v>
      </c>
      <c r="M307" s="132">
        <v>1</v>
      </c>
      <c r="N307" s="133">
        <v>15</v>
      </c>
      <c r="O307" s="119">
        <f t="shared" si="8"/>
        <v>0</v>
      </c>
    </row>
    <row r="308" spans="1:15">
      <c r="A308" s="590" t="s">
        <v>1156</v>
      </c>
      <c r="B308" s="11" t="s">
        <v>9</v>
      </c>
      <c r="C308" s="11">
        <v>40</v>
      </c>
      <c r="D308" s="11" t="s">
        <v>7</v>
      </c>
      <c r="E308" s="15">
        <v>738</v>
      </c>
      <c r="F308" s="11" t="s">
        <v>1391</v>
      </c>
      <c r="G308" s="11" t="s">
        <v>426</v>
      </c>
      <c r="H308" s="15" t="s">
        <v>5</v>
      </c>
      <c r="I308" s="15">
        <v>20</v>
      </c>
      <c r="J308" s="12" t="s">
        <v>17</v>
      </c>
      <c r="K308" s="591">
        <f>(19*35)+(1*26.4)</f>
        <v>691.4</v>
      </c>
      <c r="L308" s="121" t="s">
        <v>2033</v>
      </c>
      <c r="M308" s="132">
        <v>5</v>
      </c>
      <c r="N308" s="133">
        <v>20</v>
      </c>
      <c r="O308" s="119">
        <f t="shared" si="8"/>
        <v>0</v>
      </c>
    </row>
    <row r="309" spans="1:15">
      <c r="A309" s="590" t="s">
        <v>1156</v>
      </c>
      <c r="B309" s="11" t="s">
        <v>9</v>
      </c>
      <c r="C309" s="11">
        <v>40</v>
      </c>
      <c r="D309" s="11" t="s">
        <v>7</v>
      </c>
      <c r="E309" s="15">
        <v>742</v>
      </c>
      <c r="F309" s="11" t="s">
        <v>453</v>
      </c>
      <c r="G309" s="11" t="s">
        <v>426</v>
      </c>
      <c r="H309" s="15" t="s">
        <v>15</v>
      </c>
      <c r="I309" s="15">
        <v>20</v>
      </c>
      <c r="J309" s="12" t="s">
        <v>17</v>
      </c>
      <c r="K309" s="591">
        <f>(19*35)+(1*26.4)</f>
        <v>691.4</v>
      </c>
      <c r="L309" s="121" t="s">
        <v>2033</v>
      </c>
      <c r="M309" s="132">
        <v>9</v>
      </c>
      <c r="N309" s="133">
        <v>20</v>
      </c>
      <c r="O309" s="119">
        <f t="shared" si="8"/>
        <v>0</v>
      </c>
    </row>
    <row r="310" spans="1:15">
      <c r="A310" s="590" t="s">
        <v>1170</v>
      </c>
      <c r="B310" s="11" t="s">
        <v>9</v>
      </c>
      <c r="C310" s="11">
        <v>46</v>
      </c>
      <c r="D310" s="11" t="s">
        <v>7</v>
      </c>
      <c r="E310" s="15">
        <v>919</v>
      </c>
      <c r="F310" s="11" t="s">
        <v>660</v>
      </c>
      <c r="G310" s="11" t="s">
        <v>426</v>
      </c>
      <c r="H310" s="15" t="s">
        <v>15</v>
      </c>
      <c r="I310" s="15">
        <v>20</v>
      </c>
      <c r="J310" s="12" t="s">
        <v>17</v>
      </c>
      <c r="K310" s="591">
        <f>(19*35)+(1*26.4)</f>
        <v>691.4</v>
      </c>
      <c r="L310" s="121" t="s">
        <v>2033</v>
      </c>
      <c r="M310" s="132">
        <v>7</v>
      </c>
      <c r="N310" s="130">
        <f>10+10</f>
        <v>20</v>
      </c>
      <c r="O310" s="119">
        <f t="shared" si="8"/>
        <v>0</v>
      </c>
    </row>
    <row r="311" spans="1:15">
      <c r="A311" s="590" t="s">
        <v>1170</v>
      </c>
      <c r="B311" s="11" t="s">
        <v>9</v>
      </c>
      <c r="C311" s="11">
        <v>46</v>
      </c>
      <c r="D311" s="11" t="s">
        <v>7</v>
      </c>
      <c r="E311" s="15">
        <v>921</v>
      </c>
      <c r="F311" s="11" t="s">
        <v>1401</v>
      </c>
      <c r="G311" s="11" t="s">
        <v>426</v>
      </c>
      <c r="H311" s="15" t="s">
        <v>15</v>
      </c>
      <c r="I311" s="15">
        <v>15</v>
      </c>
      <c r="J311" s="12" t="s">
        <v>13</v>
      </c>
      <c r="K311" s="591">
        <f>(14*35)+(1*26.4)</f>
        <v>516.4</v>
      </c>
      <c r="L311" s="121" t="s">
        <v>2033</v>
      </c>
      <c r="M311" s="132" t="s">
        <v>2103</v>
      </c>
      <c r="N311" s="138">
        <f>8+7</f>
        <v>15</v>
      </c>
      <c r="O311" s="630">
        <f t="shared" si="8"/>
        <v>0</v>
      </c>
    </row>
    <row r="312" spans="1:15">
      <c r="A312" s="590" t="s">
        <v>1184</v>
      </c>
      <c r="B312" s="11" t="s">
        <v>150</v>
      </c>
      <c r="C312" s="11">
        <v>48</v>
      </c>
      <c r="D312" s="11" t="s">
        <v>7</v>
      </c>
      <c r="E312" s="15">
        <v>1729</v>
      </c>
      <c r="F312" s="11" t="s">
        <v>440</v>
      </c>
      <c r="G312" s="11" t="s">
        <v>1897</v>
      </c>
      <c r="H312" s="15" t="s">
        <v>5</v>
      </c>
      <c r="I312" s="15">
        <v>20</v>
      </c>
      <c r="J312" s="12" t="s">
        <v>633</v>
      </c>
      <c r="K312" s="591">
        <f>(19*34)+(1*29.7)</f>
        <v>675.7</v>
      </c>
      <c r="L312" s="121" t="s">
        <v>2090</v>
      </c>
      <c r="M312" s="136"/>
      <c r="N312" s="133">
        <v>20</v>
      </c>
      <c r="O312" s="119">
        <f t="shared" si="8"/>
        <v>0</v>
      </c>
    </row>
    <row r="313" spans="1:15">
      <c r="A313" s="590" t="s">
        <v>1005</v>
      </c>
      <c r="B313" s="11" t="s">
        <v>150</v>
      </c>
      <c r="C313" s="11">
        <v>44</v>
      </c>
      <c r="D313" s="11" t="s">
        <v>7</v>
      </c>
      <c r="E313" s="11">
        <v>1463</v>
      </c>
      <c r="F313" s="11" t="s">
        <v>444</v>
      </c>
      <c r="G313" s="11" t="s">
        <v>1631</v>
      </c>
      <c r="H313" s="11" t="s">
        <v>15</v>
      </c>
      <c r="I313" s="11">
        <v>12</v>
      </c>
      <c r="J313" s="12" t="s">
        <v>1432</v>
      </c>
      <c r="K313" s="591">
        <f>(11*36)+(1*28.3)</f>
        <v>424.3</v>
      </c>
      <c r="L313" s="121" t="s">
        <v>2055</v>
      </c>
      <c r="M313" s="132">
        <v>4</v>
      </c>
      <c r="N313" s="138">
        <v>12</v>
      </c>
      <c r="O313" s="119">
        <f t="shared" si="8"/>
        <v>0</v>
      </c>
    </row>
    <row r="314" spans="1:15">
      <c r="A314" s="590" t="s">
        <v>1181</v>
      </c>
      <c r="B314" s="11" t="s">
        <v>150</v>
      </c>
      <c r="C314" s="11">
        <v>46</v>
      </c>
      <c r="D314" s="11" t="s">
        <v>7</v>
      </c>
      <c r="E314" s="15">
        <v>1090</v>
      </c>
      <c r="F314" s="11" t="s">
        <v>423</v>
      </c>
      <c r="G314" s="11" t="s">
        <v>1555</v>
      </c>
      <c r="H314" s="15" t="s">
        <v>5</v>
      </c>
      <c r="I314" s="15">
        <v>20</v>
      </c>
      <c r="J314" s="12" t="s">
        <v>633</v>
      </c>
      <c r="K314" s="591">
        <f>(19*34)+(1*29.7)</f>
        <v>675.7</v>
      </c>
      <c r="L314" s="121" t="s">
        <v>2082</v>
      </c>
      <c r="M314" s="132">
        <v>11</v>
      </c>
      <c r="N314" s="133">
        <v>20</v>
      </c>
      <c r="O314" s="119">
        <f t="shared" si="8"/>
        <v>0</v>
      </c>
    </row>
    <row r="315" spans="1:15">
      <c r="A315" s="590" t="s">
        <v>1186</v>
      </c>
      <c r="B315" s="11" t="s">
        <v>150</v>
      </c>
      <c r="C315" s="11">
        <v>47</v>
      </c>
      <c r="D315" s="11" t="s">
        <v>7</v>
      </c>
      <c r="E315" s="15">
        <v>1903</v>
      </c>
      <c r="F315" s="11" t="s">
        <v>103</v>
      </c>
      <c r="G315" s="11" t="s">
        <v>1555</v>
      </c>
      <c r="H315" s="15" t="s">
        <v>5</v>
      </c>
      <c r="I315" s="15">
        <v>13</v>
      </c>
      <c r="J315" s="12" t="s">
        <v>512</v>
      </c>
      <c r="K315" s="591">
        <f>(13*34)</f>
        <v>442</v>
      </c>
      <c r="L315" s="121" t="s">
        <v>2055</v>
      </c>
      <c r="M315" s="136">
        <v>6</v>
      </c>
      <c r="N315" s="133">
        <f>10+3</f>
        <v>13</v>
      </c>
      <c r="O315" s="119">
        <f t="shared" si="8"/>
        <v>0</v>
      </c>
    </row>
    <row r="316" spans="1:15">
      <c r="A316" s="590" t="s">
        <v>1131</v>
      </c>
      <c r="B316" s="11" t="s">
        <v>9</v>
      </c>
      <c r="C316" s="11">
        <v>38</v>
      </c>
      <c r="D316" s="11" t="s">
        <v>33</v>
      </c>
      <c r="E316" s="11">
        <v>14</v>
      </c>
      <c r="F316" s="11" t="s">
        <v>1534</v>
      </c>
      <c r="G316" s="11" t="s">
        <v>731</v>
      </c>
      <c r="H316" s="11" t="s">
        <v>5</v>
      </c>
      <c r="I316" s="11">
        <v>20</v>
      </c>
      <c r="J316" s="12" t="s">
        <v>17</v>
      </c>
      <c r="K316" s="591">
        <f>(19*35)+(1*26.4)</f>
        <v>691.4</v>
      </c>
      <c r="L316" s="120" t="s">
        <v>2033</v>
      </c>
      <c r="M316" s="132">
        <v>5</v>
      </c>
      <c r="N316" s="130">
        <f>10+10</f>
        <v>20</v>
      </c>
      <c r="O316" s="119">
        <f t="shared" si="8"/>
        <v>0</v>
      </c>
    </row>
    <row r="317" spans="1:15">
      <c r="A317" s="590" t="s">
        <v>1031</v>
      </c>
      <c r="B317" s="11" t="s">
        <v>9</v>
      </c>
      <c r="C317" s="11">
        <v>45</v>
      </c>
      <c r="D317" s="11" t="s">
        <v>7</v>
      </c>
      <c r="E317" s="15">
        <v>88</v>
      </c>
      <c r="F317" s="11" t="s">
        <v>686</v>
      </c>
      <c r="G317" s="11" t="s">
        <v>441</v>
      </c>
      <c r="H317" s="15" t="s">
        <v>15</v>
      </c>
      <c r="I317" s="15">
        <v>25</v>
      </c>
      <c r="J317" s="12" t="s">
        <v>608</v>
      </c>
      <c r="K317" s="591">
        <f>(24*38)+(1*29.4)</f>
        <v>941.4</v>
      </c>
      <c r="L317" s="120" t="s">
        <v>2055</v>
      </c>
      <c r="M317" s="132">
        <v>5</v>
      </c>
      <c r="N317" s="133">
        <f>8+8+9</f>
        <v>25</v>
      </c>
      <c r="O317" s="119">
        <f t="shared" si="8"/>
        <v>0</v>
      </c>
    </row>
    <row r="318" spans="1:15">
      <c r="A318" s="590" t="s">
        <v>1031</v>
      </c>
      <c r="B318" s="11" t="s">
        <v>9</v>
      </c>
      <c r="C318" s="11">
        <v>45</v>
      </c>
      <c r="D318" s="11" t="s">
        <v>7</v>
      </c>
      <c r="E318" s="15">
        <v>90</v>
      </c>
      <c r="F318" s="11" t="s">
        <v>140</v>
      </c>
      <c r="G318" s="11" t="s">
        <v>441</v>
      </c>
      <c r="H318" s="15" t="s">
        <v>15</v>
      </c>
      <c r="I318" s="15">
        <v>10</v>
      </c>
      <c r="J318" s="12" t="s">
        <v>27</v>
      </c>
      <c r="K318" s="591">
        <f>(9*38)+(1*29.4)</f>
        <v>371.4</v>
      </c>
      <c r="L318" s="120" t="s">
        <v>2055</v>
      </c>
      <c r="M318" s="132">
        <v>8</v>
      </c>
      <c r="N318" s="133">
        <v>10</v>
      </c>
      <c r="O318" s="119">
        <f t="shared" si="8"/>
        <v>0</v>
      </c>
    </row>
    <row r="319" spans="1:15">
      <c r="A319" s="590" t="s">
        <v>1031</v>
      </c>
      <c r="B319" s="11" t="s">
        <v>9</v>
      </c>
      <c r="C319" s="11">
        <v>45</v>
      </c>
      <c r="D319" s="11" t="s">
        <v>7</v>
      </c>
      <c r="E319" s="15">
        <v>91</v>
      </c>
      <c r="F319" s="11" t="s">
        <v>198</v>
      </c>
      <c r="G319" s="11" t="s">
        <v>441</v>
      </c>
      <c r="H319" s="15" t="s">
        <v>15</v>
      </c>
      <c r="I319" s="15">
        <v>25</v>
      </c>
      <c r="J319" s="12" t="s">
        <v>170</v>
      </c>
      <c r="K319" s="591">
        <f>(25*38)</f>
        <v>950</v>
      </c>
      <c r="L319" s="120" t="s">
        <v>2055</v>
      </c>
      <c r="M319" s="132">
        <v>6</v>
      </c>
      <c r="N319" s="133">
        <f>9+8+8</f>
        <v>25</v>
      </c>
      <c r="O319" s="119">
        <f t="shared" si="8"/>
        <v>0</v>
      </c>
    </row>
    <row r="320" spans="1:15">
      <c r="A320" s="590" t="s">
        <v>1170</v>
      </c>
      <c r="B320" s="11" t="s">
        <v>9</v>
      </c>
      <c r="C320" s="11">
        <v>46</v>
      </c>
      <c r="D320" s="11" t="s">
        <v>7</v>
      </c>
      <c r="E320" s="15">
        <v>83</v>
      </c>
      <c r="F320" s="11" t="s">
        <v>1644</v>
      </c>
      <c r="G320" s="11" t="s">
        <v>441</v>
      </c>
      <c r="H320" s="15" t="s">
        <v>15</v>
      </c>
      <c r="I320" s="15">
        <v>10</v>
      </c>
      <c r="J320" s="12" t="s">
        <v>27</v>
      </c>
      <c r="K320" s="591">
        <f>(9*38)+(1*29.4)</f>
        <v>371.4</v>
      </c>
      <c r="L320" s="121" t="s">
        <v>2045</v>
      </c>
      <c r="M320" s="132">
        <v>9</v>
      </c>
      <c r="N320" s="133">
        <v>10</v>
      </c>
      <c r="O320" s="119">
        <f t="shared" si="8"/>
        <v>0</v>
      </c>
    </row>
    <row r="321" spans="1:15">
      <c r="A321" s="590" t="s">
        <v>1170</v>
      </c>
      <c r="B321" s="11" t="s">
        <v>9</v>
      </c>
      <c r="C321" s="11">
        <v>46</v>
      </c>
      <c r="D321" s="11" t="s">
        <v>7</v>
      </c>
      <c r="E321" s="15">
        <v>84</v>
      </c>
      <c r="F321" s="11" t="s">
        <v>191</v>
      </c>
      <c r="G321" s="11" t="s">
        <v>441</v>
      </c>
      <c r="H321" s="15" t="s">
        <v>15</v>
      </c>
      <c r="I321" s="15">
        <v>15</v>
      </c>
      <c r="J321" s="12" t="s">
        <v>97</v>
      </c>
      <c r="K321" s="591">
        <f>(15*38)</f>
        <v>570</v>
      </c>
      <c r="L321" s="121" t="s">
        <v>2055</v>
      </c>
      <c r="M321" s="136">
        <v>7</v>
      </c>
      <c r="N321" s="133">
        <f>7+8</f>
        <v>15</v>
      </c>
      <c r="O321" s="119">
        <f t="shared" si="8"/>
        <v>0</v>
      </c>
    </row>
    <row r="322" spans="1:15">
      <c r="A322" s="590" t="s">
        <v>1170</v>
      </c>
      <c r="B322" s="11" t="s">
        <v>9</v>
      </c>
      <c r="C322" s="11">
        <v>46</v>
      </c>
      <c r="D322" s="11" t="s">
        <v>7</v>
      </c>
      <c r="E322" s="15">
        <v>85</v>
      </c>
      <c r="F322" s="11" t="s">
        <v>551</v>
      </c>
      <c r="G322" s="11" t="s">
        <v>441</v>
      </c>
      <c r="H322" s="15" t="s">
        <v>15</v>
      </c>
      <c r="I322" s="15">
        <v>20</v>
      </c>
      <c r="J322" s="12" t="s">
        <v>157</v>
      </c>
      <c r="K322" s="591">
        <f>(20*38)</f>
        <v>760</v>
      </c>
      <c r="L322" s="121" t="s">
        <v>2033</v>
      </c>
      <c r="M322" s="132">
        <v>9</v>
      </c>
      <c r="N322" s="133">
        <f>10+10</f>
        <v>20</v>
      </c>
      <c r="O322" s="119">
        <f t="shared" si="8"/>
        <v>0</v>
      </c>
    </row>
    <row r="323" spans="1:15">
      <c r="A323" s="590" t="s">
        <v>1170</v>
      </c>
      <c r="B323" s="11" t="s">
        <v>9</v>
      </c>
      <c r="C323" s="11">
        <v>46</v>
      </c>
      <c r="D323" s="11" t="s">
        <v>7</v>
      </c>
      <c r="E323" s="15">
        <v>91</v>
      </c>
      <c r="F323" s="11" t="s">
        <v>683</v>
      </c>
      <c r="G323" s="11" t="s">
        <v>441</v>
      </c>
      <c r="H323" s="15" t="s">
        <v>15</v>
      </c>
      <c r="I323" s="15">
        <v>15</v>
      </c>
      <c r="J323" s="12" t="s">
        <v>38</v>
      </c>
      <c r="K323" s="591">
        <f>(13*38)+(2*29.4)</f>
        <v>552.79999999999995</v>
      </c>
      <c r="L323" s="121" t="s">
        <v>2033</v>
      </c>
      <c r="M323" s="132" t="s">
        <v>2053</v>
      </c>
      <c r="N323" s="133">
        <f>8+7</f>
        <v>15</v>
      </c>
      <c r="O323" s="119">
        <f t="shared" ref="O323:O386" si="9">I323-N323</f>
        <v>0</v>
      </c>
    </row>
    <row r="324" spans="1:15">
      <c r="A324" s="590" t="s">
        <v>1188</v>
      </c>
      <c r="B324" s="11" t="s">
        <v>9</v>
      </c>
      <c r="C324" s="11">
        <v>47</v>
      </c>
      <c r="D324" s="11" t="s">
        <v>7</v>
      </c>
      <c r="E324" s="15">
        <v>132</v>
      </c>
      <c r="F324" s="11" t="s">
        <v>1459</v>
      </c>
      <c r="G324" s="11" t="s">
        <v>441</v>
      </c>
      <c r="H324" s="15" t="s">
        <v>15</v>
      </c>
      <c r="I324" s="15">
        <v>30</v>
      </c>
      <c r="J324" s="12" t="s">
        <v>1520</v>
      </c>
      <c r="K324" s="591">
        <f>(28*38)+(2*29.4)</f>
        <v>1122.8</v>
      </c>
      <c r="L324" s="121" t="s">
        <v>2082</v>
      </c>
      <c r="M324" s="136">
        <v>11</v>
      </c>
      <c r="N324" s="133">
        <v>30</v>
      </c>
      <c r="O324" s="119">
        <f t="shared" si="9"/>
        <v>0</v>
      </c>
    </row>
    <row r="325" spans="1:15">
      <c r="A325" s="590" t="s">
        <v>1188</v>
      </c>
      <c r="B325" s="11" t="s">
        <v>9</v>
      </c>
      <c r="C325" s="11">
        <v>47</v>
      </c>
      <c r="D325" s="11" t="s">
        <v>7</v>
      </c>
      <c r="E325" s="15">
        <v>133</v>
      </c>
      <c r="F325" s="11" t="s">
        <v>1566</v>
      </c>
      <c r="G325" s="11" t="s">
        <v>441</v>
      </c>
      <c r="H325" s="15" t="s">
        <v>15</v>
      </c>
      <c r="I325" s="15">
        <v>15</v>
      </c>
      <c r="J325" s="12" t="s">
        <v>38</v>
      </c>
      <c r="K325" s="591">
        <f>(13*38)+(2*29.4)</f>
        <v>552.79999999999995</v>
      </c>
      <c r="L325" s="121" t="s">
        <v>2082</v>
      </c>
      <c r="M325" s="136">
        <v>12</v>
      </c>
      <c r="N325" s="133">
        <v>15</v>
      </c>
      <c r="O325" s="119">
        <f t="shared" si="9"/>
        <v>0</v>
      </c>
    </row>
    <row r="326" spans="1:15">
      <c r="A326" s="590" t="s">
        <v>1973</v>
      </c>
      <c r="B326" s="11" t="s">
        <v>9</v>
      </c>
      <c r="C326" s="11">
        <v>48</v>
      </c>
      <c r="D326" s="11" t="s">
        <v>7</v>
      </c>
      <c r="E326" s="15">
        <v>135</v>
      </c>
      <c r="F326" s="11" t="s">
        <v>1954</v>
      </c>
      <c r="G326" s="11" t="s">
        <v>441</v>
      </c>
      <c r="H326" s="15" t="s">
        <v>15</v>
      </c>
      <c r="I326" s="15">
        <v>20</v>
      </c>
      <c r="J326" s="12" t="s">
        <v>157</v>
      </c>
      <c r="K326" s="591">
        <f>(20*38)</f>
        <v>760</v>
      </c>
      <c r="L326" s="121" t="s">
        <v>2082</v>
      </c>
      <c r="M326" s="136">
        <v>1</v>
      </c>
      <c r="N326" s="133">
        <v>20</v>
      </c>
      <c r="O326" s="119">
        <f t="shared" si="9"/>
        <v>0</v>
      </c>
    </row>
    <row r="327" spans="1:15">
      <c r="A327" s="590" t="s">
        <v>1973</v>
      </c>
      <c r="B327" s="11" t="s">
        <v>9</v>
      </c>
      <c r="C327" s="11">
        <v>48</v>
      </c>
      <c r="D327" s="11" t="s">
        <v>7</v>
      </c>
      <c r="E327" s="15">
        <v>124</v>
      </c>
      <c r="F327" s="11" t="s">
        <v>1528</v>
      </c>
      <c r="G327" s="11" t="s">
        <v>441</v>
      </c>
      <c r="H327" s="15" t="s">
        <v>15</v>
      </c>
      <c r="I327" s="15">
        <v>15</v>
      </c>
      <c r="J327" s="12" t="s">
        <v>14</v>
      </c>
      <c r="K327" s="591">
        <f>(14*38)+(1*29.4)</f>
        <v>561.4</v>
      </c>
      <c r="L327" s="121" t="s">
        <v>2082</v>
      </c>
      <c r="M327" s="136">
        <v>10</v>
      </c>
      <c r="N327" s="133">
        <v>15</v>
      </c>
      <c r="O327" s="119">
        <f t="shared" si="9"/>
        <v>0</v>
      </c>
    </row>
    <row r="328" spans="1:15">
      <c r="A328" s="590" t="s">
        <v>1973</v>
      </c>
      <c r="B328" s="11" t="s">
        <v>9</v>
      </c>
      <c r="C328" s="11">
        <v>48</v>
      </c>
      <c r="D328" s="11" t="s">
        <v>7</v>
      </c>
      <c r="E328" s="15">
        <v>125</v>
      </c>
      <c r="F328" s="11" t="s">
        <v>1441</v>
      </c>
      <c r="G328" s="11" t="s">
        <v>441</v>
      </c>
      <c r="H328" s="15" t="s">
        <v>15</v>
      </c>
      <c r="I328" s="15">
        <v>20</v>
      </c>
      <c r="J328" s="12" t="s">
        <v>157</v>
      </c>
      <c r="K328" s="591">
        <f>(20*38)</f>
        <v>760</v>
      </c>
      <c r="L328" s="121" t="s">
        <v>2082</v>
      </c>
      <c r="M328" s="136">
        <v>10</v>
      </c>
      <c r="N328" s="133">
        <v>20</v>
      </c>
      <c r="O328" s="119">
        <f t="shared" si="9"/>
        <v>0</v>
      </c>
    </row>
    <row r="329" spans="1:15">
      <c r="A329" s="590" t="s">
        <v>1973</v>
      </c>
      <c r="B329" s="11" t="s">
        <v>9</v>
      </c>
      <c r="C329" s="11">
        <v>48</v>
      </c>
      <c r="D329" s="11" t="s">
        <v>7</v>
      </c>
      <c r="E329" s="15">
        <v>126</v>
      </c>
      <c r="F329" s="11" t="s">
        <v>1997</v>
      </c>
      <c r="G329" s="11" t="s">
        <v>441</v>
      </c>
      <c r="H329" s="15" t="s">
        <v>15</v>
      </c>
      <c r="I329" s="15">
        <v>15</v>
      </c>
      <c r="J329" s="12" t="s">
        <v>14</v>
      </c>
      <c r="K329" s="591">
        <f>(14*38)+(1*29.4)</f>
        <v>561.4</v>
      </c>
      <c r="L329" s="121" t="s">
        <v>2082</v>
      </c>
      <c r="M329" s="136">
        <v>10</v>
      </c>
      <c r="N329" s="133">
        <v>15</v>
      </c>
      <c r="O329" s="119">
        <f t="shared" si="9"/>
        <v>0</v>
      </c>
    </row>
    <row r="330" spans="1:15">
      <c r="A330" s="590" t="s">
        <v>1973</v>
      </c>
      <c r="B330" s="11" t="s">
        <v>9</v>
      </c>
      <c r="C330" s="11">
        <v>48</v>
      </c>
      <c r="D330" s="11" t="s">
        <v>7</v>
      </c>
      <c r="E330" s="15">
        <v>127</v>
      </c>
      <c r="F330" s="11" t="s">
        <v>473</v>
      </c>
      <c r="G330" s="11" t="s">
        <v>441</v>
      </c>
      <c r="H330" s="15" t="s">
        <v>15</v>
      </c>
      <c r="I330" s="15">
        <v>25</v>
      </c>
      <c r="J330" s="12" t="s">
        <v>170</v>
      </c>
      <c r="K330" s="591">
        <f>(25*38)</f>
        <v>950</v>
      </c>
      <c r="L330" s="121" t="s">
        <v>2082</v>
      </c>
      <c r="M330" s="136">
        <v>11</v>
      </c>
      <c r="N330" s="133">
        <v>25</v>
      </c>
      <c r="O330" s="119">
        <f t="shared" si="9"/>
        <v>0</v>
      </c>
    </row>
    <row r="331" spans="1:15">
      <c r="A331" s="590" t="s">
        <v>1973</v>
      </c>
      <c r="B331" s="11" t="s">
        <v>9</v>
      </c>
      <c r="C331" s="11">
        <v>48</v>
      </c>
      <c r="D331" s="11" t="s">
        <v>7</v>
      </c>
      <c r="E331" s="15">
        <v>132</v>
      </c>
      <c r="F331" s="11" t="s">
        <v>366</v>
      </c>
      <c r="G331" s="11" t="s">
        <v>441</v>
      </c>
      <c r="H331" s="15" t="s">
        <v>15</v>
      </c>
      <c r="I331" s="15">
        <v>15</v>
      </c>
      <c r="J331" s="12" t="s">
        <v>14</v>
      </c>
      <c r="K331" s="591">
        <f>(14*38)+(1*29.4)</f>
        <v>561.4</v>
      </c>
      <c r="L331" s="121" t="s">
        <v>2082</v>
      </c>
      <c r="M331" s="136" t="s">
        <v>2104</v>
      </c>
      <c r="N331" s="133">
        <v>15</v>
      </c>
      <c r="O331" s="630">
        <f t="shared" si="9"/>
        <v>0</v>
      </c>
    </row>
    <row r="332" spans="1:15">
      <c r="A332" s="590" t="s">
        <v>1973</v>
      </c>
      <c r="B332" s="11" t="s">
        <v>9</v>
      </c>
      <c r="C332" s="11">
        <v>48</v>
      </c>
      <c r="D332" s="11" t="s">
        <v>7</v>
      </c>
      <c r="E332" s="15">
        <v>133</v>
      </c>
      <c r="F332" s="11" t="s">
        <v>173</v>
      </c>
      <c r="G332" s="11" t="s">
        <v>441</v>
      </c>
      <c r="H332" s="15" t="s">
        <v>15</v>
      </c>
      <c r="I332" s="15">
        <v>15</v>
      </c>
      <c r="J332" s="12" t="s">
        <v>14</v>
      </c>
      <c r="K332" s="591">
        <f>(14*38)+(1*29.4)</f>
        <v>561.4</v>
      </c>
      <c r="L332" s="121" t="s">
        <v>2082</v>
      </c>
      <c r="M332" s="136">
        <v>10</v>
      </c>
      <c r="N332" s="133">
        <v>15</v>
      </c>
      <c r="O332" s="119">
        <f t="shared" si="9"/>
        <v>0</v>
      </c>
    </row>
    <row r="333" spans="1:15">
      <c r="A333" s="590" t="s">
        <v>1973</v>
      </c>
      <c r="B333" s="11" t="s">
        <v>9</v>
      </c>
      <c r="C333" s="11">
        <v>48</v>
      </c>
      <c r="D333" s="11" t="s">
        <v>7</v>
      </c>
      <c r="E333" s="15">
        <v>137</v>
      </c>
      <c r="F333" s="11" t="s">
        <v>1965</v>
      </c>
      <c r="G333" s="11" t="s">
        <v>441</v>
      </c>
      <c r="H333" s="15" t="s">
        <v>15</v>
      </c>
      <c r="I333" s="15">
        <v>15</v>
      </c>
      <c r="J333" s="12" t="s">
        <v>14</v>
      </c>
      <c r="K333" s="591">
        <f>(14*38)+(1*29.4)</f>
        <v>561.4</v>
      </c>
      <c r="L333" s="121" t="s">
        <v>2082</v>
      </c>
      <c r="M333" s="136">
        <v>10</v>
      </c>
      <c r="N333" s="133">
        <v>15</v>
      </c>
      <c r="O333" s="119">
        <f t="shared" si="9"/>
        <v>0</v>
      </c>
    </row>
    <row r="334" spans="1:15">
      <c r="A334" s="590" t="s">
        <v>1975</v>
      </c>
      <c r="B334" s="11" t="s">
        <v>9</v>
      </c>
      <c r="C334" s="11">
        <v>49</v>
      </c>
      <c r="D334" s="11" t="s">
        <v>7</v>
      </c>
      <c r="E334" s="15">
        <v>102</v>
      </c>
      <c r="F334" s="11" t="s">
        <v>1931</v>
      </c>
      <c r="G334" s="11" t="s">
        <v>441</v>
      </c>
      <c r="H334" s="15" t="s">
        <v>15</v>
      </c>
      <c r="I334" s="15">
        <v>25</v>
      </c>
      <c r="J334" s="12" t="s">
        <v>608</v>
      </c>
      <c r="K334" s="591">
        <f>(24*38)+(1*29.4)</f>
        <v>941.4</v>
      </c>
      <c r="L334" s="121" t="s">
        <v>2082</v>
      </c>
      <c r="M334" s="136">
        <v>10</v>
      </c>
      <c r="N334" s="133">
        <v>25</v>
      </c>
      <c r="O334" s="119">
        <f t="shared" si="9"/>
        <v>0</v>
      </c>
    </row>
    <row r="335" spans="1:15">
      <c r="A335" s="590" t="s">
        <v>1975</v>
      </c>
      <c r="B335" s="11" t="s">
        <v>9</v>
      </c>
      <c r="C335" s="11">
        <v>49</v>
      </c>
      <c r="D335" s="11" t="s">
        <v>7</v>
      </c>
      <c r="E335" s="15">
        <v>103</v>
      </c>
      <c r="F335" s="11" t="s">
        <v>526</v>
      </c>
      <c r="G335" s="11" t="s">
        <v>441</v>
      </c>
      <c r="H335" s="15" t="s">
        <v>15</v>
      </c>
      <c r="I335" s="15">
        <v>15</v>
      </c>
      <c r="J335" s="12" t="s">
        <v>97</v>
      </c>
      <c r="K335" s="591">
        <f>(15*38)</f>
        <v>570</v>
      </c>
      <c r="L335" s="121" t="s">
        <v>2055</v>
      </c>
      <c r="M335" s="136">
        <v>7</v>
      </c>
      <c r="N335" s="133">
        <v>15</v>
      </c>
      <c r="O335" s="119">
        <f t="shared" si="9"/>
        <v>0</v>
      </c>
    </row>
    <row r="336" spans="1:15">
      <c r="A336" s="590" t="s">
        <v>1975</v>
      </c>
      <c r="B336" s="11" t="s">
        <v>9</v>
      </c>
      <c r="C336" s="11">
        <v>49</v>
      </c>
      <c r="D336" s="11" t="s">
        <v>7</v>
      </c>
      <c r="E336" s="15">
        <v>104</v>
      </c>
      <c r="F336" s="11" t="s">
        <v>435</v>
      </c>
      <c r="G336" s="11" t="s">
        <v>441</v>
      </c>
      <c r="H336" s="15" t="s">
        <v>15</v>
      </c>
      <c r="I336" s="15">
        <v>15</v>
      </c>
      <c r="J336" s="12" t="s">
        <v>14</v>
      </c>
      <c r="K336" s="591">
        <f>(14*38)+(1*29.4)</f>
        <v>561.4</v>
      </c>
      <c r="L336" s="121" t="s">
        <v>2055</v>
      </c>
      <c r="M336" s="136">
        <v>1</v>
      </c>
      <c r="N336" s="133">
        <v>15</v>
      </c>
      <c r="O336" s="119">
        <f t="shared" si="9"/>
        <v>0</v>
      </c>
    </row>
    <row r="337" spans="1:15">
      <c r="A337" s="590" t="s">
        <v>1975</v>
      </c>
      <c r="B337" s="11" t="s">
        <v>9</v>
      </c>
      <c r="C337" s="11">
        <v>49</v>
      </c>
      <c r="D337" s="11" t="s">
        <v>7</v>
      </c>
      <c r="E337" s="15">
        <v>105</v>
      </c>
      <c r="F337" s="11" t="s">
        <v>2006</v>
      </c>
      <c r="G337" s="11" t="s">
        <v>441</v>
      </c>
      <c r="H337" s="15" t="s">
        <v>15</v>
      </c>
      <c r="I337" s="15">
        <v>15</v>
      </c>
      <c r="J337" s="12" t="s">
        <v>14</v>
      </c>
      <c r="K337" s="591">
        <f>(14*38)+(1*29.4)</f>
        <v>561.4</v>
      </c>
      <c r="L337" s="121" t="s">
        <v>2055</v>
      </c>
      <c r="M337" s="136" t="s">
        <v>2069</v>
      </c>
      <c r="N337" s="133">
        <f>8+7</f>
        <v>15</v>
      </c>
      <c r="O337" s="119">
        <f t="shared" si="9"/>
        <v>0</v>
      </c>
    </row>
    <row r="338" spans="1:15">
      <c r="A338" s="590" t="s">
        <v>1977</v>
      </c>
      <c r="B338" s="11" t="s">
        <v>9</v>
      </c>
      <c r="C338" s="11">
        <v>48</v>
      </c>
      <c r="D338" s="11" t="s">
        <v>7</v>
      </c>
      <c r="E338" s="15">
        <v>138</v>
      </c>
      <c r="F338" s="11" t="s">
        <v>209</v>
      </c>
      <c r="G338" s="11" t="s">
        <v>441</v>
      </c>
      <c r="H338" s="15" t="s">
        <v>15</v>
      </c>
      <c r="I338" s="15">
        <v>15</v>
      </c>
      <c r="J338" s="12" t="s">
        <v>14</v>
      </c>
      <c r="K338" s="591">
        <f>(14*38)+(1*29.4)</f>
        <v>561.4</v>
      </c>
      <c r="L338" s="121" t="s">
        <v>2055</v>
      </c>
      <c r="M338" s="136"/>
      <c r="N338" s="133">
        <v>15</v>
      </c>
      <c r="O338" s="119">
        <f t="shared" si="9"/>
        <v>0</v>
      </c>
    </row>
    <row r="339" spans="1:15">
      <c r="A339" s="590" t="s">
        <v>1002</v>
      </c>
      <c r="B339" s="11" t="s">
        <v>150</v>
      </c>
      <c r="C339" s="11">
        <v>44</v>
      </c>
      <c r="D339" s="11" t="s">
        <v>50</v>
      </c>
      <c r="E339" s="11">
        <v>519</v>
      </c>
      <c r="F339" s="11" t="s">
        <v>1404</v>
      </c>
      <c r="G339" s="11" t="s">
        <v>1464</v>
      </c>
      <c r="H339" s="11" t="s">
        <v>5</v>
      </c>
      <c r="I339" s="588">
        <v>30</v>
      </c>
      <c r="J339" s="12" t="s">
        <v>629</v>
      </c>
      <c r="K339" s="591">
        <f>(28*36)+(2*28.3)</f>
        <v>1064.5999999999999</v>
      </c>
      <c r="L339" s="120" t="s">
        <v>2033</v>
      </c>
      <c r="M339" s="132">
        <v>13</v>
      </c>
      <c r="N339" s="133">
        <v>30</v>
      </c>
      <c r="O339" s="119">
        <f t="shared" si="9"/>
        <v>0</v>
      </c>
    </row>
    <row r="340" spans="1:15">
      <c r="A340" s="590" t="s">
        <v>1002</v>
      </c>
      <c r="B340" s="11" t="s">
        <v>150</v>
      </c>
      <c r="C340" s="11">
        <v>44</v>
      </c>
      <c r="D340" s="11" t="s">
        <v>50</v>
      </c>
      <c r="E340" s="11">
        <v>521</v>
      </c>
      <c r="F340" s="11" t="s">
        <v>1614</v>
      </c>
      <c r="G340" s="11" t="s">
        <v>1464</v>
      </c>
      <c r="H340" s="11" t="s">
        <v>15</v>
      </c>
      <c r="I340" s="588">
        <v>15</v>
      </c>
      <c r="J340" s="12" t="s">
        <v>638</v>
      </c>
      <c r="K340" s="591">
        <f>(13*36)+(2*28.3)</f>
        <v>524.6</v>
      </c>
      <c r="L340" s="120" t="s">
        <v>2033</v>
      </c>
      <c r="M340" s="132">
        <v>7</v>
      </c>
      <c r="N340" s="133">
        <v>15</v>
      </c>
      <c r="O340" s="119">
        <f t="shared" si="9"/>
        <v>0</v>
      </c>
    </row>
    <row r="341" spans="1:15">
      <c r="A341" s="590" t="s">
        <v>1166</v>
      </c>
      <c r="B341" s="11" t="s">
        <v>150</v>
      </c>
      <c r="C341" s="11">
        <v>49</v>
      </c>
      <c r="D341" s="11" t="s">
        <v>50</v>
      </c>
      <c r="E341" s="15">
        <v>313</v>
      </c>
      <c r="F341" s="11" t="s">
        <v>131</v>
      </c>
      <c r="G341" s="11" t="s">
        <v>1777</v>
      </c>
      <c r="H341" s="15" t="s">
        <v>15</v>
      </c>
      <c r="I341" s="15">
        <v>15</v>
      </c>
      <c r="J341" s="12" t="s">
        <v>712</v>
      </c>
      <c r="K341" s="591">
        <f>(14*30)+(1*22.3)</f>
        <v>442.3</v>
      </c>
      <c r="L341" s="121" t="s">
        <v>2033</v>
      </c>
      <c r="M341" s="132">
        <v>1</v>
      </c>
      <c r="N341" s="133">
        <v>15</v>
      </c>
      <c r="O341" s="119">
        <f t="shared" si="9"/>
        <v>0</v>
      </c>
    </row>
    <row r="342" spans="1:15">
      <c r="A342" s="590" t="s">
        <v>1166</v>
      </c>
      <c r="B342" s="11" t="s">
        <v>150</v>
      </c>
      <c r="C342" s="11">
        <v>49</v>
      </c>
      <c r="D342" s="11" t="s">
        <v>50</v>
      </c>
      <c r="E342" s="15">
        <v>314</v>
      </c>
      <c r="F342" s="11" t="s">
        <v>723</v>
      </c>
      <c r="G342" s="11" t="s">
        <v>1777</v>
      </c>
      <c r="H342" s="15" t="s">
        <v>15</v>
      </c>
      <c r="I342" s="15">
        <v>15</v>
      </c>
      <c r="J342" s="12" t="s">
        <v>712</v>
      </c>
      <c r="K342" s="591">
        <f>(14*30)+(1*22.3)</f>
        <v>442.3</v>
      </c>
      <c r="L342" s="121" t="s">
        <v>2033</v>
      </c>
      <c r="M342" s="132">
        <v>1</v>
      </c>
      <c r="N342" s="133">
        <v>15</v>
      </c>
      <c r="O342" s="119">
        <f t="shared" si="9"/>
        <v>0</v>
      </c>
    </row>
    <row r="343" spans="1:15">
      <c r="A343" s="590" t="s">
        <v>1166</v>
      </c>
      <c r="B343" s="11" t="s">
        <v>150</v>
      </c>
      <c r="C343" s="11">
        <v>49</v>
      </c>
      <c r="D343" s="11" t="s">
        <v>50</v>
      </c>
      <c r="E343" s="15">
        <v>318</v>
      </c>
      <c r="F343" s="11" t="s">
        <v>746</v>
      </c>
      <c r="G343" s="11" t="s">
        <v>1777</v>
      </c>
      <c r="H343" s="15" t="s">
        <v>15</v>
      </c>
      <c r="I343" s="15">
        <v>15</v>
      </c>
      <c r="J343" s="12" t="s">
        <v>355</v>
      </c>
      <c r="K343" s="591">
        <f>(15*28)</f>
        <v>420</v>
      </c>
      <c r="L343" s="121" t="s">
        <v>2033</v>
      </c>
      <c r="M343" s="132">
        <v>1</v>
      </c>
      <c r="N343" s="130">
        <v>15</v>
      </c>
      <c r="O343" s="119">
        <f t="shared" si="9"/>
        <v>0</v>
      </c>
    </row>
    <row r="344" spans="1:15">
      <c r="A344" s="590" t="s">
        <v>1144</v>
      </c>
      <c r="B344" s="11" t="s">
        <v>150</v>
      </c>
      <c r="C344" s="11">
        <v>43</v>
      </c>
      <c r="D344" s="11" t="s">
        <v>50</v>
      </c>
      <c r="E344" s="11">
        <v>406</v>
      </c>
      <c r="F344" s="11" t="s">
        <v>423</v>
      </c>
      <c r="G344" s="11" t="s">
        <v>705</v>
      </c>
      <c r="H344" s="11" t="s">
        <v>5</v>
      </c>
      <c r="I344" s="11">
        <v>30</v>
      </c>
      <c r="J344" s="12" t="s">
        <v>1570</v>
      </c>
      <c r="K344" s="591">
        <f>(28*34)+(2*26.3)</f>
        <v>1004.6</v>
      </c>
      <c r="L344" s="120" t="s">
        <v>2033</v>
      </c>
      <c r="M344" s="132">
        <v>11</v>
      </c>
      <c r="N344" s="133">
        <v>30</v>
      </c>
      <c r="O344" s="119">
        <f t="shared" si="9"/>
        <v>0</v>
      </c>
    </row>
    <row r="345" spans="1:15">
      <c r="A345" s="590" t="s">
        <v>1178</v>
      </c>
      <c r="B345" s="11" t="s">
        <v>150</v>
      </c>
      <c r="C345" s="11">
        <v>49</v>
      </c>
      <c r="D345" s="11" t="s">
        <v>55</v>
      </c>
      <c r="E345" s="15">
        <v>97</v>
      </c>
      <c r="F345" s="11" t="s">
        <v>478</v>
      </c>
      <c r="G345" s="11" t="s">
        <v>705</v>
      </c>
      <c r="H345" s="15" t="s">
        <v>15</v>
      </c>
      <c r="I345" s="15">
        <v>15</v>
      </c>
      <c r="J345" s="12" t="s">
        <v>159</v>
      </c>
      <c r="K345" s="591">
        <f>(15*35)</f>
        <v>525</v>
      </c>
      <c r="L345" s="121" t="s">
        <v>2033</v>
      </c>
      <c r="M345" s="132" t="s">
        <v>2098</v>
      </c>
      <c r="N345" s="133">
        <f>8+7</f>
        <v>15</v>
      </c>
      <c r="O345" s="119">
        <f t="shared" si="9"/>
        <v>0</v>
      </c>
    </row>
    <row r="346" spans="1:15">
      <c r="A346" s="590" t="s">
        <v>1178</v>
      </c>
      <c r="B346" s="11" t="s">
        <v>150</v>
      </c>
      <c r="C346" s="11">
        <v>49</v>
      </c>
      <c r="D346" s="11" t="s">
        <v>55</v>
      </c>
      <c r="E346" s="15">
        <v>98</v>
      </c>
      <c r="F346" s="11" t="s">
        <v>596</v>
      </c>
      <c r="G346" s="11" t="s">
        <v>705</v>
      </c>
      <c r="H346" s="15" t="s">
        <v>15</v>
      </c>
      <c r="I346" s="15">
        <v>15</v>
      </c>
      <c r="J346" s="12" t="s">
        <v>159</v>
      </c>
      <c r="K346" s="591">
        <f>(15*35)</f>
        <v>525</v>
      </c>
      <c r="L346" s="121" t="s">
        <v>2082</v>
      </c>
      <c r="M346" s="132" t="s">
        <v>2073</v>
      </c>
      <c r="N346" s="133">
        <f>9+6</f>
        <v>15</v>
      </c>
      <c r="O346" s="119">
        <f t="shared" si="9"/>
        <v>0</v>
      </c>
    </row>
    <row r="347" spans="1:15">
      <c r="A347" s="590" t="s">
        <v>1178</v>
      </c>
      <c r="B347" s="11" t="s">
        <v>150</v>
      </c>
      <c r="C347" s="11">
        <v>49</v>
      </c>
      <c r="D347" s="11" t="s">
        <v>55</v>
      </c>
      <c r="E347" s="15">
        <v>100</v>
      </c>
      <c r="F347" s="11" t="s">
        <v>368</v>
      </c>
      <c r="G347" s="11" t="s">
        <v>705</v>
      </c>
      <c r="H347" s="15" t="s">
        <v>15</v>
      </c>
      <c r="I347" s="15">
        <v>20</v>
      </c>
      <c r="J347" s="12" t="s">
        <v>142</v>
      </c>
      <c r="K347" s="591">
        <f>(20*35)</f>
        <v>700</v>
      </c>
      <c r="L347" s="121" t="s">
        <v>2082</v>
      </c>
      <c r="M347" s="132">
        <v>15</v>
      </c>
      <c r="N347" s="133">
        <v>20</v>
      </c>
      <c r="O347" s="119">
        <f t="shared" si="9"/>
        <v>0</v>
      </c>
    </row>
    <row r="348" spans="1:15">
      <c r="A348" s="590" t="s">
        <v>1178</v>
      </c>
      <c r="B348" s="11" t="s">
        <v>150</v>
      </c>
      <c r="C348" s="11">
        <v>50</v>
      </c>
      <c r="D348" s="11" t="s">
        <v>55</v>
      </c>
      <c r="E348" s="15">
        <v>55</v>
      </c>
      <c r="F348" s="11" t="s">
        <v>1856</v>
      </c>
      <c r="G348" s="11" t="s">
        <v>705</v>
      </c>
      <c r="H348" s="15" t="s">
        <v>15</v>
      </c>
      <c r="I348" s="15">
        <v>25</v>
      </c>
      <c r="J348" s="12" t="s">
        <v>436</v>
      </c>
      <c r="K348" s="591">
        <f>(25*35)</f>
        <v>875</v>
      </c>
      <c r="L348" s="121" t="s">
        <v>2082</v>
      </c>
      <c r="M348" s="132">
        <v>15</v>
      </c>
      <c r="N348" s="133">
        <f>15+10</f>
        <v>25</v>
      </c>
      <c r="O348" s="119">
        <f t="shared" si="9"/>
        <v>0</v>
      </c>
    </row>
    <row r="349" spans="1:15">
      <c r="A349" s="590" t="s">
        <v>1178</v>
      </c>
      <c r="B349" s="11" t="s">
        <v>150</v>
      </c>
      <c r="C349" s="11">
        <v>50</v>
      </c>
      <c r="D349" s="11" t="s">
        <v>55</v>
      </c>
      <c r="E349" s="15">
        <v>57</v>
      </c>
      <c r="F349" s="11" t="s">
        <v>160</v>
      </c>
      <c r="G349" s="11" t="s">
        <v>705</v>
      </c>
      <c r="H349" s="15" t="s">
        <v>15</v>
      </c>
      <c r="I349" s="15">
        <v>15</v>
      </c>
      <c r="J349" s="12" t="s">
        <v>159</v>
      </c>
      <c r="K349" s="591">
        <f>(15*35)</f>
        <v>525</v>
      </c>
      <c r="L349" s="121" t="s">
        <v>2082</v>
      </c>
      <c r="M349" s="132">
        <v>2</v>
      </c>
      <c r="N349" s="133">
        <v>15</v>
      </c>
      <c r="O349" s="119">
        <f t="shared" si="9"/>
        <v>0</v>
      </c>
    </row>
    <row r="350" spans="1:15">
      <c r="A350" s="590" t="s">
        <v>1131</v>
      </c>
      <c r="B350" s="11" t="s">
        <v>9</v>
      </c>
      <c r="C350" s="11">
        <v>38</v>
      </c>
      <c r="D350" s="11" t="s">
        <v>7</v>
      </c>
      <c r="E350" s="11">
        <v>687</v>
      </c>
      <c r="F350" s="11" t="s">
        <v>1421</v>
      </c>
      <c r="G350" s="11" t="s">
        <v>448</v>
      </c>
      <c r="H350" s="11" t="s">
        <v>15</v>
      </c>
      <c r="I350" s="11">
        <v>15</v>
      </c>
      <c r="J350" s="12" t="s">
        <v>14</v>
      </c>
      <c r="K350" s="591">
        <f>(14*35)+(1*26.4)</f>
        <v>516.4</v>
      </c>
      <c r="L350" s="120" t="s">
        <v>2062</v>
      </c>
      <c r="M350" s="132" t="s">
        <v>2065</v>
      </c>
      <c r="N350" s="133">
        <f>10+5</f>
        <v>15</v>
      </c>
      <c r="O350" s="119">
        <f t="shared" si="9"/>
        <v>0</v>
      </c>
    </row>
    <row r="351" spans="1:15">
      <c r="A351" s="590" t="s">
        <v>1009</v>
      </c>
      <c r="B351" s="11" t="s">
        <v>9</v>
      </c>
      <c r="C351" s="11">
        <v>42</v>
      </c>
      <c r="D351" s="11" t="s">
        <v>16</v>
      </c>
      <c r="E351" s="15">
        <v>537</v>
      </c>
      <c r="F351" s="11" t="s">
        <v>1642</v>
      </c>
      <c r="G351" s="11" t="s">
        <v>448</v>
      </c>
      <c r="H351" s="15" t="s">
        <v>15</v>
      </c>
      <c r="I351" s="15">
        <v>15</v>
      </c>
      <c r="J351" s="12" t="s">
        <v>13</v>
      </c>
      <c r="K351" s="591">
        <f>(14*35)+(1*26.4)</f>
        <v>516.4</v>
      </c>
      <c r="L351" s="121" t="s">
        <v>2082</v>
      </c>
      <c r="M351" s="132">
        <v>2</v>
      </c>
      <c r="N351" s="133">
        <f>7+8</f>
        <v>15</v>
      </c>
      <c r="O351" s="119">
        <f t="shared" si="9"/>
        <v>0</v>
      </c>
    </row>
    <row r="352" spans="1:15">
      <c r="A352" s="590" t="s">
        <v>1009</v>
      </c>
      <c r="B352" s="11" t="s">
        <v>9</v>
      </c>
      <c r="C352" s="11">
        <v>42</v>
      </c>
      <c r="D352" s="11" t="s">
        <v>16</v>
      </c>
      <c r="E352" s="15">
        <v>538</v>
      </c>
      <c r="F352" s="11" t="s">
        <v>1643</v>
      </c>
      <c r="G352" s="11" t="s">
        <v>448</v>
      </c>
      <c r="H352" s="15" t="s">
        <v>15</v>
      </c>
      <c r="I352" s="15">
        <v>20</v>
      </c>
      <c r="J352" s="12" t="s">
        <v>142</v>
      </c>
      <c r="K352" s="591">
        <f>(20*35)</f>
        <v>700</v>
      </c>
      <c r="L352" s="121" t="s">
        <v>2033</v>
      </c>
      <c r="M352" s="132">
        <v>3</v>
      </c>
      <c r="N352" s="133">
        <f>10+10</f>
        <v>20</v>
      </c>
      <c r="O352" s="119">
        <f t="shared" si="9"/>
        <v>0</v>
      </c>
    </row>
    <row r="353" spans="1:15">
      <c r="A353" s="590" t="s">
        <v>1009</v>
      </c>
      <c r="B353" s="11" t="s">
        <v>9</v>
      </c>
      <c r="C353" s="11">
        <v>42</v>
      </c>
      <c r="D353" s="11" t="s">
        <v>26</v>
      </c>
      <c r="E353" s="15">
        <v>149</v>
      </c>
      <c r="F353" s="11" t="s">
        <v>183</v>
      </c>
      <c r="G353" s="11" t="s">
        <v>448</v>
      </c>
      <c r="H353" s="15" t="s">
        <v>15</v>
      </c>
      <c r="I353" s="15">
        <v>15</v>
      </c>
      <c r="J353" s="12" t="s">
        <v>159</v>
      </c>
      <c r="K353" s="591">
        <f>(15*35)</f>
        <v>525</v>
      </c>
      <c r="L353" s="121" t="s">
        <v>2033</v>
      </c>
      <c r="M353" s="132">
        <v>3</v>
      </c>
      <c r="N353" s="133">
        <f>10+5</f>
        <v>15</v>
      </c>
      <c r="O353" s="119">
        <f t="shared" si="9"/>
        <v>0</v>
      </c>
    </row>
    <row r="354" spans="1:15">
      <c r="A354" s="590" t="s">
        <v>1014</v>
      </c>
      <c r="B354" s="11" t="s">
        <v>9</v>
      </c>
      <c r="C354" s="11">
        <v>40</v>
      </c>
      <c r="D354" s="11" t="s">
        <v>26</v>
      </c>
      <c r="E354" s="15">
        <v>144</v>
      </c>
      <c r="F354" s="11" t="s">
        <v>1546</v>
      </c>
      <c r="G354" s="11" t="s">
        <v>448</v>
      </c>
      <c r="H354" s="15" t="s">
        <v>15</v>
      </c>
      <c r="I354" s="15">
        <v>20</v>
      </c>
      <c r="J354" s="12" t="s">
        <v>142</v>
      </c>
      <c r="K354" s="591">
        <f>(20*35)</f>
        <v>700</v>
      </c>
      <c r="L354" s="121" t="s">
        <v>2029</v>
      </c>
      <c r="M354" s="132">
        <v>4</v>
      </c>
      <c r="N354" s="133">
        <v>20</v>
      </c>
      <c r="O354" s="119">
        <f t="shared" si="9"/>
        <v>0</v>
      </c>
    </row>
    <row r="355" spans="1:15">
      <c r="A355" s="590" t="s">
        <v>1002</v>
      </c>
      <c r="B355" s="11" t="s">
        <v>150</v>
      </c>
      <c r="C355" s="11">
        <v>44</v>
      </c>
      <c r="D355" s="11" t="s">
        <v>50</v>
      </c>
      <c r="E355" s="11">
        <v>499</v>
      </c>
      <c r="F355" s="11" t="s">
        <v>1330</v>
      </c>
      <c r="G355" s="11" t="s">
        <v>634</v>
      </c>
      <c r="H355" s="11" t="s">
        <v>15</v>
      </c>
      <c r="I355" s="588">
        <v>20</v>
      </c>
      <c r="J355" s="12" t="s">
        <v>1612</v>
      </c>
      <c r="K355" s="591">
        <f>(19*42)+(1*37.7)</f>
        <v>835.7</v>
      </c>
      <c r="L355" s="120" t="s">
        <v>2033</v>
      </c>
      <c r="M355" s="132">
        <v>14</v>
      </c>
      <c r="N355" s="133">
        <f>4+16</f>
        <v>20</v>
      </c>
      <c r="O355" s="119">
        <f t="shared" si="9"/>
        <v>0</v>
      </c>
    </row>
    <row r="356" spans="1:15">
      <c r="A356" s="590" t="s">
        <v>1002</v>
      </c>
      <c r="B356" s="11" t="s">
        <v>150</v>
      </c>
      <c r="C356" s="11">
        <v>44</v>
      </c>
      <c r="D356" s="11" t="s">
        <v>50</v>
      </c>
      <c r="E356" s="11">
        <v>500</v>
      </c>
      <c r="F356" s="11" t="s">
        <v>1372</v>
      </c>
      <c r="G356" s="11" t="s">
        <v>634</v>
      </c>
      <c r="H356" s="11" t="s">
        <v>15</v>
      </c>
      <c r="I356" s="588">
        <v>20</v>
      </c>
      <c r="J356" s="12" t="s">
        <v>1612</v>
      </c>
      <c r="K356" s="591">
        <f>(19*42)+(1*37.7)</f>
        <v>835.7</v>
      </c>
      <c r="L356" s="120" t="s">
        <v>2033</v>
      </c>
      <c r="M356" s="132">
        <v>4</v>
      </c>
      <c r="N356" s="133">
        <v>20</v>
      </c>
      <c r="O356" s="119">
        <f t="shared" si="9"/>
        <v>0</v>
      </c>
    </row>
    <row r="357" spans="1:15">
      <c r="A357" s="590" t="s">
        <v>1002</v>
      </c>
      <c r="B357" s="11" t="s">
        <v>150</v>
      </c>
      <c r="C357" s="11">
        <v>44</v>
      </c>
      <c r="D357" s="11" t="s">
        <v>50</v>
      </c>
      <c r="E357" s="11">
        <v>501</v>
      </c>
      <c r="F357" s="11" t="s">
        <v>1386</v>
      </c>
      <c r="G357" s="11" t="s">
        <v>634</v>
      </c>
      <c r="H357" s="11" t="s">
        <v>15</v>
      </c>
      <c r="I357" s="588">
        <v>20</v>
      </c>
      <c r="J357" s="12" t="s">
        <v>1613</v>
      </c>
      <c r="K357" s="591">
        <f>(17*43)+(3*38.7)</f>
        <v>847.1</v>
      </c>
      <c r="L357" s="120" t="s">
        <v>2033</v>
      </c>
      <c r="M357" s="132">
        <v>11</v>
      </c>
      <c r="N357" s="133">
        <f>10+10</f>
        <v>20</v>
      </c>
      <c r="O357" s="119">
        <f t="shared" si="9"/>
        <v>0</v>
      </c>
    </row>
    <row r="358" spans="1:15">
      <c r="A358" s="590" t="s">
        <v>1002</v>
      </c>
      <c r="B358" s="11" t="s">
        <v>150</v>
      </c>
      <c r="C358" s="11">
        <v>44</v>
      </c>
      <c r="D358" s="11" t="s">
        <v>50</v>
      </c>
      <c r="E358" s="11">
        <v>502</v>
      </c>
      <c r="F358" s="11" t="s">
        <v>1337</v>
      </c>
      <c r="G358" s="11" t="s">
        <v>634</v>
      </c>
      <c r="H358" s="11" t="s">
        <v>15</v>
      </c>
      <c r="I358" s="588">
        <v>20</v>
      </c>
      <c r="J358" s="12" t="s">
        <v>1609</v>
      </c>
      <c r="K358" s="591">
        <f>(18*43)+(2*38.7)</f>
        <v>851.4</v>
      </c>
      <c r="L358" s="120" t="s">
        <v>2033</v>
      </c>
      <c r="M358" s="132">
        <v>6</v>
      </c>
      <c r="N358" s="133">
        <v>20</v>
      </c>
      <c r="O358" s="119">
        <f t="shared" si="9"/>
        <v>0</v>
      </c>
    </row>
    <row r="359" spans="1:15">
      <c r="A359" s="590" t="s">
        <v>1016</v>
      </c>
      <c r="B359" s="11" t="s">
        <v>150</v>
      </c>
      <c r="C359" s="11">
        <v>45</v>
      </c>
      <c r="D359" s="11" t="s">
        <v>51</v>
      </c>
      <c r="E359" s="15">
        <v>487</v>
      </c>
      <c r="F359" s="11" t="s">
        <v>1392</v>
      </c>
      <c r="G359" s="11" t="s">
        <v>634</v>
      </c>
      <c r="H359" s="15" t="s">
        <v>5</v>
      </c>
      <c r="I359" s="15">
        <v>20</v>
      </c>
      <c r="J359" s="12" t="s">
        <v>1417</v>
      </c>
      <c r="K359" s="591">
        <f>(18*40)+(2*35.7)</f>
        <v>791.4</v>
      </c>
      <c r="L359" s="121" t="s">
        <v>2055</v>
      </c>
      <c r="M359" s="132" t="s">
        <v>2067</v>
      </c>
      <c r="N359" s="133">
        <f>13+7</f>
        <v>20</v>
      </c>
      <c r="O359" s="119">
        <f t="shared" si="9"/>
        <v>0</v>
      </c>
    </row>
    <row r="360" spans="1:15">
      <c r="A360" s="590" t="s">
        <v>1016</v>
      </c>
      <c r="B360" s="11" t="s">
        <v>150</v>
      </c>
      <c r="C360" s="11">
        <v>45</v>
      </c>
      <c r="D360" s="11" t="s">
        <v>51</v>
      </c>
      <c r="E360" s="15">
        <v>489</v>
      </c>
      <c r="F360" s="11" t="s">
        <v>392</v>
      </c>
      <c r="G360" s="11" t="s">
        <v>634</v>
      </c>
      <c r="H360" s="15" t="s">
        <v>15</v>
      </c>
      <c r="I360" s="15">
        <v>20</v>
      </c>
      <c r="J360" s="12" t="s">
        <v>1680</v>
      </c>
      <c r="K360" s="591">
        <f>(18*42)+(2*37.7)</f>
        <v>831.4</v>
      </c>
      <c r="L360" s="121" t="s">
        <v>2033</v>
      </c>
      <c r="M360" s="132">
        <v>10</v>
      </c>
      <c r="N360" s="133">
        <f>7+7+6</f>
        <v>20</v>
      </c>
      <c r="O360" s="119">
        <f t="shared" si="9"/>
        <v>0</v>
      </c>
    </row>
    <row r="361" spans="1:15">
      <c r="A361" s="77" t="s">
        <v>1126</v>
      </c>
      <c r="B361" s="15" t="s">
        <v>9</v>
      </c>
      <c r="C361" s="15">
        <v>37</v>
      </c>
      <c r="D361" s="15" t="s">
        <v>384</v>
      </c>
      <c r="E361" s="15">
        <v>15</v>
      </c>
      <c r="F361" s="15" t="s">
        <v>73</v>
      </c>
      <c r="G361" s="15" t="s">
        <v>724</v>
      </c>
      <c r="H361" s="15" t="s">
        <v>15</v>
      </c>
      <c r="I361" s="15">
        <v>15</v>
      </c>
      <c r="J361" s="18" t="s">
        <v>14</v>
      </c>
      <c r="K361" s="589">
        <f>(14*38)+(1*29.4)</f>
        <v>561.4</v>
      </c>
      <c r="L361" s="121" t="s">
        <v>2082</v>
      </c>
      <c r="M361" s="132">
        <v>4</v>
      </c>
      <c r="N361" s="133">
        <v>15</v>
      </c>
      <c r="O361" s="119">
        <f t="shared" si="9"/>
        <v>0</v>
      </c>
    </row>
    <row r="362" spans="1:15">
      <c r="A362" s="590" t="s">
        <v>1131</v>
      </c>
      <c r="B362" s="11" t="s">
        <v>9</v>
      </c>
      <c r="C362" s="11">
        <v>38</v>
      </c>
      <c r="D362" s="11" t="s">
        <v>7</v>
      </c>
      <c r="E362" s="11">
        <v>588</v>
      </c>
      <c r="F362" s="11" t="s">
        <v>1382</v>
      </c>
      <c r="G362" s="11" t="s">
        <v>724</v>
      </c>
      <c r="H362" s="11" t="s">
        <v>15</v>
      </c>
      <c r="I362" s="11">
        <v>15</v>
      </c>
      <c r="J362" s="12" t="s">
        <v>14</v>
      </c>
      <c r="K362" s="591">
        <f>(14*38)+(1*29.4)</f>
        <v>561.4</v>
      </c>
      <c r="L362" s="120" t="s">
        <v>2033</v>
      </c>
      <c r="M362" s="132">
        <v>13</v>
      </c>
      <c r="N362" s="133">
        <v>15</v>
      </c>
      <c r="O362" s="119">
        <f t="shared" si="9"/>
        <v>0</v>
      </c>
    </row>
    <row r="363" spans="1:15">
      <c r="A363" s="590" t="s">
        <v>976</v>
      </c>
      <c r="B363" s="11" t="s">
        <v>9</v>
      </c>
      <c r="C363" s="11">
        <v>38</v>
      </c>
      <c r="D363" s="11" t="s">
        <v>10</v>
      </c>
      <c r="E363" s="11">
        <v>457</v>
      </c>
      <c r="F363" s="11" t="s">
        <v>490</v>
      </c>
      <c r="G363" s="11" t="s">
        <v>724</v>
      </c>
      <c r="H363" s="11" t="s">
        <v>15</v>
      </c>
      <c r="I363" s="11">
        <v>20</v>
      </c>
      <c r="J363" s="12" t="s">
        <v>157</v>
      </c>
      <c r="K363" s="591">
        <f>(20*38)</f>
        <v>760</v>
      </c>
      <c r="L363" s="121" t="s">
        <v>2033</v>
      </c>
      <c r="M363" s="132">
        <v>13</v>
      </c>
      <c r="N363" s="133">
        <v>20</v>
      </c>
      <c r="O363" s="119">
        <f t="shared" si="9"/>
        <v>0</v>
      </c>
    </row>
    <row r="364" spans="1:15">
      <c r="A364" s="77" t="s">
        <v>1137</v>
      </c>
      <c r="B364" s="15" t="s">
        <v>9</v>
      </c>
      <c r="C364" s="15">
        <v>39</v>
      </c>
      <c r="D364" s="15" t="s">
        <v>10</v>
      </c>
      <c r="E364" s="15">
        <v>431</v>
      </c>
      <c r="F364" s="15" t="s">
        <v>579</v>
      </c>
      <c r="G364" s="15" t="s">
        <v>724</v>
      </c>
      <c r="H364" s="15" t="s">
        <v>15</v>
      </c>
      <c r="I364" s="15">
        <v>30</v>
      </c>
      <c r="J364" s="18" t="s">
        <v>25</v>
      </c>
      <c r="K364" s="589">
        <f>(29*38)+(1*29.4)</f>
        <v>1131.4000000000001</v>
      </c>
      <c r="L364" s="121" t="s">
        <v>2082</v>
      </c>
      <c r="M364" s="132">
        <v>9</v>
      </c>
      <c r="N364" s="133">
        <f>10+10+10</f>
        <v>30</v>
      </c>
      <c r="O364" s="119">
        <f t="shared" si="9"/>
        <v>0</v>
      </c>
    </row>
    <row r="365" spans="1:15">
      <c r="A365" s="77" t="s">
        <v>1137</v>
      </c>
      <c r="B365" s="15" t="s">
        <v>9</v>
      </c>
      <c r="C365" s="15">
        <v>39</v>
      </c>
      <c r="D365" s="15" t="s">
        <v>10</v>
      </c>
      <c r="E365" s="15">
        <v>432</v>
      </c>
      <c r="F365" s="15" t="s">
        <v>139</v>
      </c>
      <c r="G365" s="15" t="s">
        <v>724</v>
      </c>
      <c r="H365" s="15" t="s">
        <v>1324</v>
      </c>
      <c r="I365" s="15">
        <v>20</v>
      </c>
      <c r="J365" s="18" t="s">
        <v>157</v>
      </c>
      <c r="K365" s="589">
        <f>(20*38)</f>
        <v>760</v>
      </c>
      <c r="L365" s="121" t="s">
        <v>2082</v>
      </c>
      <c r="M365" s="132">
        <v>13</v>
      </c>
      <c r="N365" s="133">
        <v>20</v>
      </c>
      <c r="O365" s="119">
        <f t="shared" si="9"/>
        <v>0</v>
      </c>
    </row>
    <row r="366" spans="1:15">
      <c r="A366" s="77" t="s">
        <v>1137</v>
      </c>
      <c r="B366" s="15" t="s">
        <v>9</v>
      </c>
      <c r="C366" s="15">
        <v>39</v>
      </c>
      <c r="D366" s="15" t="s">
        <v>10</v>
      </c>
      <c r="E366" s="15">
        <v>433</v>
      </c>
      <c r="F366" s="15" t="s">
        <v>1420</v>
      </c>
      <c r="G366" s="15" t="s">
        <v>724</v>
      </c>
      <c r="H366" s="15" t="s">
        <v>15</v>
      </c>
      <c r="I366" s="15">
        <v>20</v>
      </c>
      <c r="J366" s="18" t="s">
        <v>157</v>
      </c>
      <c r="K366" s="589">
        <f>(20*38)</f>
        <v>760</v>
      </c>
      <c r="L366" s="121" t="s">
        <v>2082</v>
      </c>
      <c r="M366" s="132" t="s">
        <v>2096</v>
      </c>
      <c r="N366" s="133">
        <f>10+10</f>
        <v>20</v>
      </c>
      <c r="O366" s="119">
        <f t="shared" si="9"/>
        <v>0</v>
      </c>
    </row>
    <row r="367" spans="1:15">
      <c r="A367" s="590" t="s">
        <v>986</v>
      </c>
      <c r="B367" s="11" t="s">
        <v>9</v>
      </c>
      <c r="C367" s="11">
        <v>39</v>
      </c>
      <c r="D367" s="11" t="s">
        <v>10</v>
      </c>
      <c r="E367" s="11">
        <v>429</v>
      </c>
      <c r="F367" s="11" t="s">
        <v>390</v>
      </c>
      <c r="G367" s="11" t="s">
        <v>724</v>
      </c>
      <c r="H367" s="11" t="s">
        <v>5</v>
      </c>
      <c r="I367" s="11">
        <v>20</v>
      </c>
      <c r="J367" s="12" t="s">
        <v>157</v>
      </c>
      <c r="K367" s="591">
        <f>(20*38)</f>
        <v>760</v>
      </c>
      <c r="L367" s="121" t="s">
        <v>2082</v>
      </c>
      <c r="M367" s="132">
        <v>11</v>
      </c>
      <c r="N367" s="133">
        <v>20</v>
      </c>
      <c r="O367" s="119">
        <f t="shared" si="9"/>
        <v>0</v>
      </c>
    </row>
    <row r="368" spans="1:15">
      <c r="A368" s="590" t="s">
        <v>993</v>
      </c>
      <c r="B368" s="11" t="s">
        <v>9</v>
      </c>
      <c r="C368" s="11">
        <v>39</v>
      </c>
      <c r="D368" s="11" t="s">
        <v>7</v>
      </c>
      <c r="E368" s="11">
        <v>607</v>
      </c>
      <c r="F368" s="11" t="s">
        <v>586</v>
      </c>
      <c r="G368" s="11" t="s">
        <v>724</v>
      </c>
      <c r="H368" s="11" t="s">
        <v>5</v>
      </c>
      <c r="I368" s="11">
        <v>15</v>
      </c>
      <c r="J368" s="12" t="s">
        <v>14</v>
      </c>
      <c r="K368" s="591">
        <f>(14*38)+(1*29.4)</f>
        <v>561.4</v>
      </c>
      <c r="L368" s="121" t="s">
        <v>2082</v>
      </c>
      <c r="M368" s="132" t="s">
        <v>2073</v>
      </c>
      <c r="N368" s="133">
        <f>6+9</f>
        <v>15</v>
      </c>
      <c r="O368" s="119">
        <f t="shared" si="9"/>
        <v>0</v>
      </c>
    </row>
    <row r="369" spans="1:15">
      <c r="A369" s="590" t="s">
        <v>993</v>
      </c>
      <c r="B369" s="11" t="s">
        <v>9</v>
      </c>
      <c r="C369" s="11">
        <v>39</v>
      </c>
      <c r="D369" s="11" t="s">
        <v>7</v>
      </c>
      <c r="E369" s="11">
        <v>609</v>
      </c>
      <c r="F369" s="11" t="s">
        <v>668</v>
      </c>
      <c r="G369" s="11" t="s">
        <v>724</v>
      </c>
      <c r="H369" s="11" t="s">
        <v>15</v>
      </c>
      <c r="I369" s="11">
        <v>15</v>
      </c>
      <c r="J369" s="12" t="s">
        <v>14</v>
      </c>
      <c r="K369" s="591">
        <f>(14*38)+(1*29.4)</f>
        <v>561.4</v>
      </c>
      <c r="L369" s="121" t="s">
        <v>2082</v>
      </c>
      <c r="M369" s="132" t="s">
        <v>2053</v>
      </c>
      <c r="N369" s="130">
        <f>7+8</f>
        <v>15</v>
      </c>
      <c r="O369" s="119">
        <f t="shared" si="9"/>
        <v>0</v>
      </c>
    </row>
    <row r="370" spans="1:15">
      <c r="A370" s="590" t="s">
        <v>993</v>
      </c>
      <c r="B370" s="11" t="s">
        <v>9</v>
      </c>
      <c r="C370" s="11">
        <v>39</v>
      </c>
      <c r="D370" s="11" t="s">
        <v>7</v>
      </c>
      <c r="E370" s="11">
        <v>610</v>
      </c>
      <c r="F370" s="11" t="s">
        <v>364</v>
      </c>
      <c r="G370" s="11" t="s">
        <v>724</v>
      </c>
      <c r="H370" s="11" t="s">
        <v>15</v>
      </c>
      <c r="I370" s="11">
        <v>15</v>
      </c>
      <c r="J370" s="12" t="s">
        <v>14</v>
      </c>
      <c r="K370" s="591">
        <f>(14*38)+(1*29.4)</f>
        <v>561.4</v>
      </c>
      <c r="L370" s="121" t="s">
        <v>2082</v>
      </c>
      <c r="M370" s="132">
        <v>12</v>
      </c>
      <c r="N370" s="133">
        <f>7+8</f>
        <v>15</v>
      </c>
      <c r="O370" s="119">
        <f t="shared" si="9"/>
        <v>0</v>
      </c>
    </row>
    <row r="371" spans="1:15">
      <c r="A371" s="590" t="s">
        <v>993</v>
      </c>
      <c r="B371" s="11" t="s">
        <v>9</v>
      </c>
      <c r="C371" s="11">
        <v>39</v>
      </c>
      <c r="D371" s="11" t="s">
        <v>7</v>
      </c>
      <c r="E371" s="11">
        <v>611</v>
      </c>
      <c r="F371" s="11" t="s">
        <v>793</v>
      </c>
      <c r="G371" s="11" t="s">
        <v>724</v>
      </c>
      <c r="H371" s="11" t="s">
        <v>15</v>
      </c>
      <c r="I371" s="11">
        <v>15</v>
      </c>
      <c r="J371" s="12" t="s">
        <v>14</v>
      </c>
      <c r="K371" s="591">
        <f>(14*38)+(1*29.4)</f>
        <v>561.4</v>
      </c>
      <c r="L371" s="121" t="s">
        <v>2082</v>
      </c>
      <c r="M371" s="132">
        <v>9</v>
      </c>
      <c r="N371" s="133">
        <f>8+7</f>
        <v>15</v>
      </c>
      <c r="O371" s="119">
        <f t="shared" si="9"/>
        <v>0</v>
      </c>
    </row>
    <row r="372" spans="1:15">
      <c r="A372" s="590" t="s">
        <v>993</v>
      </c>
      <c r="B372" s="11" t="s">
        <v>9</v>
      </c>
      <c r="C372" s="11">
        <v>39</v>
      </c>
      <c r="D372" s="11" t="s">
        <v>7</v>
      </c>
      <c r="E372" s="11">
        <v>614</v>
      </c>
      <c r="F372" s="11" t="s">
        <v>186</v>
      </c>
      <c r="G372" s="11" t="s">
        <v>724</v>
      </c>
      <c r="H372" s="11" t="s">
        <v>1518</v>
      </c>
      <c r="I372" s="11">
        <v>15</v>
      </c>
      <c r="J372" s="12" t="s">
        <v>14</v>
      </c>
      <c r="K372" s="591">
        <f>(14*38)+(1*29.4)</f>
        <v>561.4</v>
      </c>
      <c r="L372" s="121" t="s">
        <v>2082</v>
      </c>
      <c r="M372" s="132">
        <v>14</v>
      </c>
      <c r="N372" s="133">
        <v>15</v>
      </c>
      <c r="O372" s="119">
        <f t="shared" si="9"/>
        <v>0</v>
      </c>
    </row>
    <row r="373" spans="1:15">
      <c r="A373" s="590" t="s">
        <v>1004</v>
      </c>
      <c r="B373" s="11" t="s">
        <v>9</v>
      </c>
      <c r="C373" s="11">
        <v>44</v>
      </c>
      <c r="D373" s="11" t="s">
        <v>10</v>
      </c>
      <c r="E373" s="15">
        <v>665</v>
      </c>
      <c r="F373" s="11" t="s">
        <v>534</v>
      </c>
      <c r="G373" s="11" t="s">
        <v>724</v>
      </c>
      <c r="H373" s="15" t="s">
        <v>15</v>
      </c>
      <c r="I373" s="15">
        <v>20</v>
      </c>
      <c r="J373" s="12" t="s">
        <v>157</v>
      </c>
      <c r="K373" s="591">
        <f>(20*38)</f>
        <v>760</v>
      </c>
      <c r="L373" s="121" t="s">
        <v>2033</v>
      </c>
      <c r="M373" s="132">
        <v>8</v>
      </c>
      <c r="N373" s="133">
        <f>10+10</f>
        <v>20</v>
      </c>
      <c r="O373" s="119">
        <f t="shared" si="9"/>
        <v>0</v>
      </c>
    </row>
    <row r="374" spans="1:15">
      <c r="A374" s="590" t="s">
        <v>1004</v>
      </c>
      <c r="B374" s="11" t="s">
        <v>9</v>
      </c>
      <c r="C374" s="11">
        <v>44</v>
      </c>
      <c r="D374" s="11" t="s">
        <v>10</v>
      </c>
      <c r="E374" s="15">
        <v>666</v>
      </c>
      <c r="F374" s="11" t="s">
        <v>1317</v>
      </c>
      <c r="G374" s="11" t="s">
        <v>724</v>
      </c>
      <c r="H374" s="15" t="s">
        <v>15</v>
      </c>
      <c r="I374" s="15">
        <v>15</v>
      </c>
      <c r="J374" s="12" t="s">
        <v>38</v>
      </c>
      <c r="K374" s="591">
        <f>(13*38)+(2*29.4)</f>
        <v>552.79999999999995</v>
      </c>
      <c r="L374" s="121" t="s">
        <v>2033</v>
      </c>
      <c r="M374" s="132">
        <v>7</v>
      </c>
      <c r="N374" s="133">
        <f>9+6</f>
        <v>15</v>
      </c>
      <c r="O374" s="119">
        <f t="shared" si="9"/>
        <v>0</v>
      </c>
    </row>
    <row r="375" spans="1:15">
      <c r="A375" s="590" t="s">
        <v>1009</v>
      </c>
      <c r="B375" s="11" t="s">
        <v>9</v>
      </c>
      <c r="C375" s="11">
        <v>42</v>
      </c>
      <c r="D375" s="11" t="s">
        <v>10</v>
      </c>
      <c r="E375" s="15">
        <v>560</v>
      </c>
      <c r="F375" s="11" t="s">
        <v>1567</v>
      </c>
      <c r="G375" s="11" t="s">
        <v>724</v>
      </c>
      <c r="H375" s="15" t="s">
        <v>15</v>
      </c>
      <c r="I375" s="15">
        <v>15</v>
      </c>
      <c r="J375" s="12" t="s">
        <v>14</v>
      </c>
      <c r="K375" s="591">
        <f>(14*38)+(1*29.4)</f>
        <v>561.4</v>
      </c>
      <c r="L375" s="121" t="s">
        <v>2029</v>
      </c>
      <c r="M375" s="132">
        <v>4</v>
      </c>
      <c r="N375" s="133">
        <v>15</v>
      </c>
      <c r="O375" s="119">
        <f t="shared" si="9"/>
        <v>0</v>
      </c>
    </row>
    <row r="376" spans="1:15">
      <c r="A376" s="590" t="s">
        <v>1164</v>
      </c>
      <c r="B376" s="11" t="s">
        <v>9</v>
      </c>
      <c r="C376" s="11">
        <v>40</v>
      </c>
      <c r="D376" s="11" t="s">
        <v>10</v>
      </c>
      <c r="E376" s="15">
        <v>458</v>
      </c>
      <c r="F376" s="11" t="s">
        <v>780</v>
      </c>
      <c r="G376" s="11" t="s">
        <v>724</v>
      </c>
      <c r="H376" s="15" t="s">
        <v>143</v>
      </c>
      <c r="I376" s="15">
        <v>15</v>
      </c>
      <c r="J376" s="12" t="s">
        <v>14</v>
      </c>
      <c r="K376" s="591">
        <f>(14*38)+(1*29.4)</f>
        <v>561.4</v>
      </c>
      <c r="L376" s="121" t="s">
        <v>2082</v>
      </c>
      <c r="M376" s="132" t="s">
        <v>2058</v>
      </c>
      <c r="N376" s="133">
        <f>7+8</f>
        <v>15</v>
      </c>
      <c r="O376" s="119">
        <f t="shared" si="9"/>
        <v>0</v>
      </c>
    </row>
    <row r="377" spans="1:15">
      <c r="A377" s="590" t="s">
        <v>1188</v>
      </c>
      <c r="B377" s="11" t="s">
        <v>9</v>
      </c>
      <c r="C377" s="11">
        <v>47</v>
      </c>
      <c r="D377" s="11" t="s">
        <v>384</v>
      </c>
      <c r="E377" s="15">
        <v>11</v>
      </c>
      <c r="F377" s="11" t="s">
        <v>137</v>
      </c>
      <c r="G377" s="11" t="s">
        <v>724</v>
      </c>
      <c r="H377" s="15" t="s">
        <v>15</v>
      </c>
      <c r="I377" s="15">
        <v>15</v>
      </c>
      <c r="J377" s="12" t="s">
        <v>14</v>
      </c>
      <c r="K377" s="591">
        <f>(14*38)+(1*29.4)</f>
        <v>561.4</v>
      </c>
      <c r="L377" s="121" t="s">
        <v>2082</v>
      </c>
      <c r="M377" s="136">
        <v>13</v>
      </c>
      <c r="N377" s="133">
        <f>8+7</f>
        <v>15</v>
      </c>
      <c r="O377" s="119">
        <f t="shared" si="9"/>
        <v>0</v>
      </c>
    </row>
    <row r="378" spans="1:15">
      <c r="A378" s="590" t="s">
        <v>1178</v>
      </c>
      <c r="B378" s="11" t="s">
        <v>150</v>
      </c>
      <c r="C378" s="11">
        <v>46</v>
      </c>
      <c r="D378" s="11" t="s">
        <v>51</v>
      </c>
      <c r="E378" s="15">
        <v>177</v>
      </c>
      <c r="F378" s="11" t="s">
        <v>1828</v>
      </c>
      <c r="G378" s="11" t="s">
        <v>1829</v>
      </c>
      <c r="H378" s="15" t="s">
        <v>15</v>
      </c>
      <c r="I378" s="15">
        <v>20</v>
      </c>
      <c r="J378" s="12" t="s">
        <v>642</v>
      </c>
      <c r="K378" s="591">
        <f>(19*35)+(1*30.7)</f>
        <v>695.7</v>
      </c>
      <c r="L378" s="121" t="s">
        <v>2060</v>
      </c>
      <c r="M378" s="132" t="s">
        <v>2080</v>
      </c>
      <c r="N378" s="133">
        <f>7+10+3</f>
        <v>20</v>
      </c>
      <c r="O378" s="119">
        <f t="shared" si="9"/>
        <v>0</v>
      </c>
    </row>
    <row r="379" spans="1:15">
      <c r="A379" s="590" t="s">
        <v>1178</v>
      </c>
      <c r="B379" s="11" t="s">
        <v>150</v>
      </c>
      <c r="C379" s="11">
        <v>46</v>
      </c>
      <c r="D379" s="11" t="s">
        <v>51</v>
      </c>
      <c r="E379" s="15">
        <v>178</v>
      </c>
      <c r="F379" s="11" t="s">
        <v>1830</v>
      </c>
      <c r="G379" s="11" t="s">
        <v>1829</v>
      </c>
      <c r="H379" s="15" t="s">
        <v>15</v>
      </c>
      <c r="I379" s="15">
        <v>20</v>
      </c>
      <c r="J379" s="12" t="s">
        <v>642</v>
      </c>
      <c r="K379" s="591">
        <f>(19*35)+(1*30.7)</f>
        <v>695.7</v>
      </c>
      <c r="L379" s="121" t="s">
        <v>2060</v>
      </c>
      <c r="M379" s="132" t="s">
        <v>2079</v>
      </c>
      <c r="N379" s="130">
        <f>7+6+7</f>
        <v>20</v>
      </c>
      <c r="O379" s="119">
        <f t="shared" si="9"/>
        <v>0</v>
      </c>
    </row>
    <row r="380" spans="1:15">
      <c r="A380" s="590" t="s">
        <v>1018</v>
      </c>
      <c r="B380" s="11" t="s">
        <v>6</v>
      </c>
      <c r="C380" s="11">
        <v>47</v>
      </c>
      <c r="D380" s="11" t="s">
        <v>82</v>
      </c>
      <c r="E380" s="15">
        <v>5071</v>
      </c>
      <c r="F380" s="11" t="s">
        <v>1703</v>
      </c>
      <c r="G380" s="11" t="s">
        <v>1704</v>
      </c>
      <c r="H380" s="15" t="s">
        <v>1578</v>
      </c>
      <c r="I380" s="15">
        <v>20</v>
      </c>
      <c r="J380" s="12" t="s">
        <v>360</v>
      </c>
      <c r="K380" s="591">
        <f>(19*19)+(1*12)</f>
        <v>373</v>
      </c>
      <c r="L380" s="121" t="s">
        <v>2055</v>
      </c>
      <c r="M380" s="132">
        <v>1</v>
      </c>
      <c r="N380" s="133">
        <v>20</v>
      </c>
      <c r="O380" s="119">
        <f t="shared" si="9"/>
        <v>0</v>
      </c>
    </row>
    <row r="381" spans="1:15">
      <c r="A381" s="590" t="s">
        <v>1016</v>
      </c>
      <c r="B381" s="11" t="s">
        <v>150</v>
      </c>
      <c r="C381" s="11">
        <v>45</v>
      </c>
      <c r="D381" s="11" t="s">
        <v>51</v>
      </c>
      <c r="E381" s="15">
        <v>465</v>
      </c>
      <c r="F381" s="11" t="s">
        <v>202</v>
      </c>
      <c r="G381" s="11" t="s">
        <v>117</v>
      </c>
      <c r="H381" s="15" t="s">
        <v>5</v>
      </c>
      <c r="I381" s="15">
        <v>20</v>
      </c>
      <c r="J381" s="12" t="s">
        <v>708</v>
      </c>
      <c r="K381" s="591">
        <f>(18*38)+(2*33.7)</f>
        <v>751.4</v>
      </c>
      <c r="L381" s="121" t="s">
        <v>2055</v>
      </c>
      <c r="M381" s="132">
        <v>5</v>
      </c>
      <c r="N381" s="133">
        <f>10+10</f>
        <v>20</v>
      </c>
      <c r="O381" s="119">
        <f t="shared" si="9"/>
        <v>0</v>
      </c>
    </row>
    <row r="382" spans="1:15">
      <c r="A382" s="590" t="s">
        <v>1178</v>
      </c>
      <c r="B382" s="11" t="s">
        <v>150</v>
      </c>
      <c r="C382" s="11">
        <v>46</v>
      </c>
      <c r="D382" s="11" t="s">
        <v>51</v>
      </c>
      <c r="E382" s="15">
        <v>612</v>
      </c>
      <c r="F382" s="11" t="s">
        <v>740</v>
      </c>
      <c r="G382" s="11" t="s">
        <v>117</v>
      </c>
      <c r="H382" s="15" t="s">
        <v>15</v>
      </c>
      <c r="I382" s="15">
        <v>20</v>
      </c>
      <c r="J382" s="12" t="s">
        <v>1415</v>
      </c>
      <c r="K382" s="591">
        <f>(19*44)+(1*39.7)</f>
        <v>875.7</v>
      </c>
      <c r="L382" s="121" t="s">
        <v>2060</v>
      </c>
      <c r="M382" s="132" t="s">
        <v>2066</v>
      </c>
      <c r="N382" s="133">
        <f>10+10</f>
        <v>20</v>
      </c>
      <c r="O382" s="119">
        <f t="shared" si="9"/>
        <v>0</v>
      </c>
    </row>
    <row r="383" spans="1:15">
      <c r="A383" s="590" t="s">
        <v>1178</v>
      </c>
      <c r="B383" s="11" t="s">
        <v>150</v>
      </c>
      <c r="C383" s="11">
        <v>46</v>
      </c>
      <c r="D383" s="11" t="s">
        <v>51</v>
      </c>
      <c r="E383" s="15">
        <v>613</v>
      </c>
      <c r="F383" s="11" t="s">
        <v>1833</v>
      </c>
      <c r="G383" s="11" t="s">
        <v>117</v>
      </c>
      <c r="H383" s="15" t="s">
        <v>15</v>
      </c>
      <c r="I383" s="15">
        <v>20</v>
      </c>
      <c r="J383" s="12" t="s">
        <v>643</v>
      </c>
      <c r="K383" s="591">
        <f>(19*39)+(1*34.7)</f>
        <v>775.7</v>
      </c>
      <c r="L383" s="121" t="s">
        <v>2060</v>
      </c>
      <c r="M383" s="132" t="s">
        <v>2078</v>
      </c>
      <c r="N383" s="133">
        <f>12+8</f>
        <v>20</v>
      </c>
      <c r="O383" s="119">
        <f t="shared" si="9"/>
        <v>0</v>
      </c>
    </row>
    <row r="384" spans="1:15">
      <c r="A384" s="590" t="s">
        <v>1178</v>
      </c>
      <c r="B384" s="11" t="s">
        <v>150</v>
      </c>
      <c r="C384" s="11">
        <v>46</v>
      </c>
      <c r="D384" s="11" t="s">
        <v>50</v>
      </c>
      <c r="E384" s="15">
        <v>349</v>
      </c>
      <c r="F384" s="11" t="s">
        <v>580</v>
      </c>
      <c r="G384" s="11" t="s">
        <v>117</v>
      </c>
      <c r="H384" s="15" t="s">
        <v>5</v>
      </c>
      <c r="I384" s="15">
        <v>20</v>
      </c>
      <c r="J384" s="12" t="s">
        <v>692</v>
      </c>
      <c r="K384" s="591">
        <f>(19*37)+(1*32.7)</f>
        <v>735.7</v>
      </c>
      <c r="L384" s="121" t="s">
        <v>2060</v>
      </c>
      <c r="M384" s="132" t="s">
        <v>2075</v>
      </c>
      <c r="N384" s="133">
        <f>7+10+3</f>
        <v>20</v>
      </c>
      <c r="O384" s="119">
        <f t="shared" si="9"/>
        <v>0</v>
      </c>
    </row>
    <row r="385" spans="1:15">
      <c r="A385" s="590" t="s">
        <v>1178</v>
      </c>
      <c r="B385" s="11" t="s">
        <v>150</v>
      </c>
      <c r="C385" s="11">
        <v>46</v>
      </c>
      <c r="D385" s="11" t="s">
        <v>50</v>
      </c>
      <c r="E385" s="15">
        <v>350</v>
      </c>
      <c r="F385" s="11" t="s">
        <v>1839</v>
      </c>
      <c r="G385" s="11" t="s">
        <v>117</v>
      </c>
      <c r="H385" s="15" t="s">
        <v>15</v>
      </c>
      <c r="I385" s="15">
        <v>20</v>
      </c>
      <c r="J385" s="12" t="s">
        <v>643</v>
      </c>
      <c r="K385" s="591">
        <f>(19*39)+(1*34.7)</f>
        <v>775.7</v>
      </c>
      <c r="L385" s="121" t="s">
        <v>2060</v>
      </c>
      <c r="M385" s="132" t="s">
        <v>2076</v>
      </c>
      <c r="N385" s="133">
        <f>12+6+2</f>
        <v>20</v>
      </c>
      <c r="O385" s="119">
        <f t="shared" si="9"/>
        <v>0</v>
      </c>
    </row>
    <row r="386" spans="1:15">
      <c r="A386" s="590" t="s">
        <v>1178</v>
      </c>
      <c r="B386" s="11" t="s">
        <v>150</v>
      </c>
      <c r="C386" s="11">
        <v>46</v>
      </c>
      <c r="D386" s="11" t="s">
        <v>50</v>
      </c>
      <c r="E386" s="15">
        <v>352</v>
      </c>
      <c r="F386" s="11" t="s">
        <v>1840</v>
      </c>
      <c r="G386" s="11" t="s">
        <v>117</v>
      </c>
      <c r="H386" s="15" t="s">
        <v>15</v>
      </c>
      <c r="I386" s="15">
        <v>20</v>
      </c>
      <c r="J386" s="12" t="s">
        <v>643</v>
      </c>
      <c r="K386" s="591">
        <f>(19*39)+(1*34.7)</f>
        <v>775.7</v>
      </c>
      <c r="L386" s="121" t="s">
        <v>2060</v>
      </c>
      <c r="M386" s="132" t="s">
        <v>2061</v>
      </c>
      <c r="N386" s="133">
        <f>10+10</f>
        <v>20</v>
      </c>
      <c r="O386" s="119">
        <f t="shared" si="9"/>
        <v>0</v>
      </c>
    </row>
    <row r="387" spans="1:15">
      <c r="A387" s="590" t="s">
        <v>976</v>
      </c>
      <c r="B387" s="11" t="s">
        <v>9</v>
      </c>
      <c r="C387" s="11">
        <v>38</v>
      </c>
      <c r="D387" s="11" t="s">
        <v>10</v>
      </c>
      <c r="E387" s="11">
        <v>390</v>
      </c>
      <c r="F387" s="11" t="s">
        <v>189</v>
      </c>
      <c r="G387" s="11" t="s">
        <v>178</v>
      </c>
      <c r="H387" s="11" t="s">
        <v>15</v>
      </c>
      <c r="I387" s="11">
        <v>15</v>
      </c>
      <c r="J387" s="12" t="s">
        <v>14</v>
      </c>
      <c r="K387" s="591">
        <f>(14*38)+(1*29.4)</f>
        <v>561.4</v>
      </c>
      <c r="L387" s="121" t="s">
        <v>2033</v>
      </c>
      <c r="M387" s="132">
        <v>3</v>
      </c>
      <c r="N387" s="133">
        <v>15</v>
      </c>
      <c r="O387" s="119">
        <f t="shared" ref="O387:O450" si="10">I387-N387</f>
        <v>0</v>
      </c>
    </row>
    <row r="388" spans="1:15">
      <c r="A388" s="590" t="s">
        <v>986</v>
      </c>
      <c r="B388" s="11" t="s">
        <v>9</v>
      </c>
      <c r="C388" s="11">
        <v>39</v>
      </c>
      <c r="D388" s="11" t="s">
        <v>10</v>
      </c>
      <c r="E388" s="11">
        <v>330</v>
      </c>
      <c r="F388" s="11" t="s">
        <v>509</v>
      </c>
      <c r="G388" s="11" t="s">
        <v>178</v>
      </c>
      <c r="H388" s="11" t="s">
        <v>15</v>
      </c>
      <c r="I388" s="11">
        <v>15</v>
      </c>
      <c r="J388" s="12" t="s">
        <v>14</v>
      </c>
      <c r="K388" s="591">
        <f>(14*38)+(1*29.4)</f>
        <v>561.4</v>
      </c>
      <c r="L388" s="121" t="s">
        <v>2082</v>
      </c>
      <c r="M388" s="132">
        <v>11</v>
      </c>
      <c r="N388" s="133">
        <f>6+9</f>
        <v>15</v>
      </c>
      <c r="O388" s="119">
        <f t="shared" si="10"/>
        <v>0</v>
      </c>
    </row>
    <row r="389" spans="1:15">
      <c r="A389" s="590" t="s">
        <v>986</v>
      </c>
      <c r="B389" s="11" t="s">
        <v>9</v>
      </c>
      <c r="C389" s="11">
        <v>39</v>
      </c>
      <c r="D389" s="11" t="s">
        <v>10</v>
      </c>
      <c r="E389" s="11">
        <v>332</v>
      </c>
      <c r="F389" s="11" t="s">
        <v>1394</v>
      </c>
      <c r="G389" s="11" t="s">
        <v>178</v>
      </c>
      <c r="H389" s="11" t="s">
        <v>15</v>
      </c>
      <c r="I389" s="11">
        <v>15</v>
      </c>
      <c r="J389" s="12" t="s">
        <v>14</v>
      </c>
      <c r="K389" s="591">
        <f>(14*38)+(1*29.4)</f>
        <v>561.4</v>
      </c>
      <c r="L389" s="121" t="s">
        <v>2082</v>
      </c>
      <c r="M389" s="132">
        <v>8</v>
      </c>
      <c r="N389" s="133">
        <f>7+8</f>
        <v>15</v>
      </c>
      <c r="O389" s="119">
        <f t="shared" si="10"/>
        <v>0</v>
      </c>
    </row>
    <row r="390" spans="1:15">
      <c r="A390" s="590" t="s">
        <v>1176</v>
      </c>
      <c r="B390" s="11" t="s">
        <v>150</v>
      </c>
      <c r="C390" s="11">
        <v>50</v>
      </c>
      <c r="D390" s="11" t="s">
        <v>50</v>
      </c>
      <c r="E390" s="15">
        <v>176</v>
      </c>
      <c r="F390" s="11" t="s">
        <v>1369</v>
      </c>
      <c r="G390" s="11" t="s">
        <v>1825</v>
      </c>
      <c r="H390" s="15" t="s">
        <v>5</v>
      </c>
      <c r="I390" s="15">
        <v>7</v>
      </c>
      <c r="J390" s="12" t="s">
        <v>1826</v>
      </c>
      <c r="K390" s="591">
        <f>(5*31)+(2*26.7)</f>
        <v>208.4</v>
      </c>
      <c r="L390" s="121" t="s">
        <v>2033</v>
      </c>
      <c r="M390" s="132">
        <v>1</v>
      </c>
      <c r="N390" s="133">
        <v>7</v>
      </c>
      <c r="O390" s="119">
        <f t="shared" si="10"/>
        <v>0</v>
      </c>
    </row>
    <row r="391" spans="1:15">
      <c r="A391" s="77" t="s">
        <v>969</v>
      </c>
      <c r="B391" s="15" t="s">
        <v>150</v>
      </c>
      <c r="C391" s="15">
        <v>36</v>
      </c>
      <c r="D391" s="15" t="s">
        <v>50</v>
      </c>
      <c r="E391" s="15">
        <v>5048</v>
      </c>
      <c r="F391" s="15" t="s">
        <v>1508</v>
      </c>
      <c r="G391" s="15" t="s">
        <v>1366</v>
      </c>
      <c r="H391" s="15" t="s">
        <v>1340</v>
      </c>
      <c r="I391" s="15">
        <v>8</v>
      </c>
      <c r="J391" s="18" t="s">
        <v>1509</v>
      </c>
      <c r="K391" s="589">
        <f>(7*19)+(1*16.8)</f>
        <v>149.80000000000001</v>
      </c>
      <c r="L391" s="120" t="s">
        <v>2055</v>
      </c>
      <c r="M391" s="132">
        <v>3</v>
      </c>
      <c r="N391" s="133">
        <v>8</v>
      </c>
      <c r="O391" s="119">
        <f t="shared" si="10"/>
        <v>0</v>
      </c>
    </row>
    <row r="392" spans="1:15">
      <c r="A392" s="590" t="s">
        <v>1002</v>
      </c>
      <c r="B392" s="11" t="s">
        <v>150</v>
      </c>
      <c r="C392" s="11">
        <v>44</v>
      </c>
      <c r="D392" s="11" t="s">
        <v>53</v>
      </c>
      <c r="E392" s="11">
        <v>157</v>
      </c>
      <c r="F392" s="11" t="s">
        <v>1396</v>
      </c>
      <c r="G392" s="11" t="s">
        <v>1617</v>
      </c>
      <c r="H392" s="11" t="s">
        <v>15</v>
      </c>
      <c r="I392" s="588">
        <v>20</v>
      </c>
      <c r="J392" s="12" t="s">
        <v>628</v>
      </c>
      <c r="K392" s="591">
        <f>(18*36)+(2*31.7)</f>
        <v>711.4</v>
      </c>
      <c r="L392" s="120" t="s">
        <v>2033</v>
      </c>
      <c r="M392" s="132">
        <v>11</v>
      </c>
      <c r="N392" s="133">
        <v>20</v>
      </c>
      <c r="O392" s="119">
        <f t="shared" si="10"/>
        <v>0</v>
      </c>
    </row>
    <row r="393" spans="1:15">
      <c r="A393" s="590" t="s">
        <v>1178</v>
      </c>
      <c r="B393" s="11" t="s">
        <v>150</v>
      </c>
      <c r="C393" s="11">
        <v>49</v>
      </c>
      <c r="D393" s="11" t="s">
        <v>55</v>
      </c>
      <c r="E393" s="15">
        <v>125</v>
      </c>
      <c r="F393" s="11" t="s">
        <v>1841</v>
      </c>
      <c r="G393" s="11" t="s">
        <v>1617</v>
      </c>
      <c r="H393" s="15" t="s">
        <v>15</v>
      </c>
      <c r="I393" s="15">
        <v>20</v>
      </c>
      <c r="J393" s="12" t="s">
        <v>694</v>
      </c>
      <c r="K393" s="591">
        <f>(17*36)+(3*31.7)</f>
        <v>707.1</v>
      </c>
      <c r="L393" s="121" t="s">
        <v>2082</v>
      </c>
      <c r="M393" s="132">
        <v>1</v>
      </c>
      <c r="N393" s="133">
        <v>20</v>
      </c>
      <c r="O393" s="119">
        <f t="shared" si="10"/>
        <v>0</v>
      </c>
    </row>
    <row r="394" spans="1:15">
      <c r="A394" s="590" t="s">
        <v>1181</v>
      </c>
      <c r="B394" s="11" t="s">
        <v>150</v>
      </c>
      <c r="C394" s="11">
        <v>47</v>
      </c>
      <c r="D394" s="11" t="s">
        <v>496</v>
      </c>
      <c r="E394" s="15">
        <v>112</v>
      </c>
      <c r="F394" s="11" t="s">
        <v>118</v>
      </c>
      <c r="G394" s="11" t="s">
        <v>1886</v>
      </c>
      <c r="H394" s="15" t="s">
        <v>5</v>
      </c>
      <c r="I394" s="15">
        <v>13</v>
      </c>
      <c r="J394" s="12" t="s">
        <v>512</v>
      </c>
      <c r="K394" s="591">
        <f>(13*34)</f>
        <v>442</v>
      </c>
      <c r="L394" s="121" t="s">
        <v>2029</v>
      </c>
      <c r="M394" s="132">
        <v>1</v>
      </c>
      <c r="N394" s="133">
        <f>7+6</f>
        <v>13</v>
      </c>
      <c r="O394" s="119">
        <f t="shared" si="10"/>
        <v>0</v>
      </c>
    </row>
    <row r="395" spans="1:15">
      <c r="A395" s="590" t="s">
        <v>1181</v>
      </c>
      <c r="B395" s="11" t="s">
        <v>150</v>
      </c>
      <c r="C395" s="11">
        <v>47</v>
      </c>
      <c r="D395" s="11" t="s">
        <v>496</v>
      </c>
      <c r="E395" s="15">
        <v>115</v>
      </c>
      <c r="F395" s="11" t="s">
        <v>1363</v>
      </c>
      <c r="G395" s="11" t="s">
        <v>1886</v>
      </c>
      <c r="H395" s="15" t="s">
        <v>5</v>
      </c>
      <c r="I395" s="15">
        <v>15</v>
      </c>
      <c r="J395" s="12" t="s">
        <v>635</v>
      </c>
      <c r="K395" s="591">
        <f>(13*34)+(2*26.3)</f>
        <v>494.6</v>
      </c>
      <c r="L395" s="121" t="s">
        <v>2033</v>
      </c>
      <c r="M395" s="132" t="s">
        <v>2051</v>
      </c>
      <c r="N395" s="133">
        <f>11+4</f>
        <v>15</v>
      </c>
      <c r="O395" s="119">
        <f t="shared" si="10"/>
        <v>0</v>
      </c>
    </row>
    <row r="396" spans="1:15">
      <c r="A396" s="590" t="s">
        <v>1181</v>
      </c>
      <c r="B396" s="11" t="s">
        <v>150</v>
      </c>
      <c r="C396" s="11">
        <v>47</v>
      </c>
      <c r="D396" s="11" t="s">
        <v>496</v>
      </c>
      <c r="E396" s="15">
        <v>116</v>
      </c>
      <c r="F396" s="11" t="s">
        <v>1354</v>
      </c>
      <c r="G396" s="11" t="s">
        <v>1886</v>
      </c>
      <c r="H396" s="15" t="s">
        <v>15</v>
      </c>
      <c r="I396" s="15">
        <v>15</v>
      </c>
      <c r="J396" s="12" t="s">
        <v>640</v>
      </c>
      <c r="K396" s="591">
        <f>(14*36)+(1*28.3)</f>
        <v>532.29999999999995</v>
      </c>
      <c r="L396" s="121" t="s">
        <v>2029</v>
      </c>
      <c r="M396" s="132">
        <v>2</v>
      </c>
      <c r="N396" s="133">
        <f>7+8</f>
        <v>15</v>
      </c>
      <c r="O396" s="119">
        <f t="shared" si="10"/>
        <v>0</v>
      </c>
    </row>
    <row r="397" spans="1:15">
      <c r="A397" s="590" t="s">
        <v>1181</v>
      </c>
      <c r="B397" s="11" t="s">
        <v>150</v>
      </c>
      <c r="C397" s="11">
        <v>47</v>
      </c>
      <c r="D397" s="11" t="s">
        <v>496</v>
      </c>
      <c r="E397" s="15">
        <v>120</v>
      </c>
      <c r="F397" s="11" t="s">
        <v>1362</v>
      </c>
      <c r="G397" s="11" t="s">
        <v>1886</v>
      </c>
      <c r="H397" s="15" t="s">
        <v>15</v>
      </c>
      <c r="I397" s="15">
        <v>15</v>
      </c>
      <c r="J397" s="12" t="s">
        <v>169</v>
      </c>
      <c r="K397" s="591">
        <f>(15*36)</f>
        <v>540</v>
      </c>
      <c r="L397" s="121" t="s">
        <v>2033</v>
      </c>
      <c r="M397" s="132">
        <v>1</v>
      </c>
      <c r="N397" s="133">
        <v>15</v>
      </c>
      <c r="O397" s="119">
        <f t="shared" si="10"/>
        <v>0</v>
      </c>
    </row>
    <row r="398" spans="1:15">
      <c r="A398" s="590" t="s">
        <v>1030</v>
      </c>
      <c r="B398" s="11" t="s">
        <v>9</v>
      </c>
      <c r="C398" s="11">
        <v>45</v>
      </c>
      <c r="D398" s="11" t="s">
        <v>10</v>
      </c>
      <c r="E398" s="15">
        <v>264</v>
      </c>
      <c r="F398" s="11" t="s">
        <v>182</v>
      </c>
      <c r="G398" s="11" t="s">
        <v>21</v>
      </c>
      <c r="H398" s="15" t="s">
        <v>5</v>
      </c>
      <c r="I398" s="15">
        <v>15</v>
      </c>
      <c r="J398" s="12" t="s">
        <v>1779</v>
      </c>
      <c r="K398" s="591">
        <f>(13*37)+(2*28.4)</f>
        <v>537.79999999999995</v>
      </c>
      <c r="L398" s="121" t="s">
        <v>2082</v>
      </c>
      <c r="M398" s="132">
        <v>8</v>
      </c>
      <c r="N398" s="133">
        <f>7+8</f>
        <v>15</v>
      </c>
      <c r="O398" s="119">
        <f t="shared" si="10"/>
        <v>0</v>
      </c>
    </row>
    <row r="399" spans="1:15">
      <c r="A399" s="590" t="s">
        <v>1172</v>
      </c>
      <c r="B399" s="11" t="s">
        <v>9</v>
      </c>
      <c r="C399" s="11">
        <v>46</v>
      </c>
      <c r="D399" s="11" t="s">
        <v>16</v>
      </c>
      <c r="E399" s="15">
        <v>6</v>
      </c>
      <c r="F399" s="11" t="s">
        <v>1796</v>
      </c>
      <c r="G399" s="11" t="s">
        <v>21</v>
      </c>
      <c r="H399" s="15" t="s">
        <v>5</v>
      </c>
      <c r="I399" s="15">
        <v>15</v>
      </c>
      <c r="J399" s="12" t="s">
        <v>22</v>
      </c>
      <c r="K399" s="591">
        <f>(14*37)+(1*28.4)</f>
        <v>546.4</v>
      </c>
      <c r="L399" s="121" t="s">
        <v>2029</v>
      </c>
      <c r="M399" s="132">
        <v>4</v>
      </c>
      <c r="N399" s="133">
        <v>15</v>
      </c>
      <c r="O399" s="119">
        <f t="shared" si="10"/>
        <v>0</v>
      </c>
    </row>
    <row r="400" spans="1:15">
      <c r="A400" s="590" t="s">
        <v>1172</v>
      </c>
      <c r="B400" s="11" t="s">
        <v>9</v>
      </c>
      <c r="C400" s="11">
        <v>46</v>
      </c>
      <c r="D400" s="11" t="s">
        <v>16</v>
      </c>
      <c r="E400" s="15">
        <v>9</v>
      </c>
      <c r="F400" s="11" t="s">
        <v>1797</v>
      </c>
      <c r="G400" s="11" t="s">
        <v>21</v>
      </c>
      <c r="H400" s="15" t="s">
        <v>5</v>
      </c>
      <c r="I400" s="15">
        <v>25</v>
      </c>
      <c r="J400" s="12" t="s">
        <v>52</v>
      </c>
      <c r="K400" s="591">
        <f>(24*37)+(1*28.4)</f>
        <v>916.4</v>
      </c>
      <c r="L400" s="121" t="s">
        <v>2029</v>
      </c>
      <c r="M400" s="132">
        <v>3</v>
      </c>
      <c r="N400" s="133">
        <v>25</v>
      </c>
      <c r="O400" s="119">
        <f t="shared" si="10"/>
        <v>0</v>
      </c>
    </row>
    <row r="401" spans="1:15">
      <c r="A401" s="590" t="s">
        <v>1174</v>
      </c>
      <c r="B401" s="11" t="s">
        <v>9</v>
      </c>
      <c r="C401" s="11">
        <v>46</v>
      </c>
      <c r="D401" s="11" t="s">
        <v>10</v>
      </c>
      <c r="E401" s="15">
        <v>201</v>
      </c>
      <c r="F401" s="11" t="s">
        <v>789</v>
      </c>
      <c r="G401" s="11" t="s">
        <v>21</v>
      </c>
      <c r="H401" s="15" t="s">
        <v>5</v>
      </c>
      <c r="I401" s="15">
        <v>20</v>
      </c>
      <c r="J401" s="12" t="s">
        <v>168</v>
      </c>
      <c r="K401" s="591">
        <f>(20*37)</f>
        <v>740</v>
      </c>
      <c r="L401" s="121" t="s">
        <v>2033</v>
      </c>
      <c r="M401" s="132">
        <v>14</v>
      </c>
      <c r="N401" s="133">
        <v>20</v>
      </c>
      <c r="O401" s="119">
        <f t="shared" si="10"/>
        <v>0</v>
      </c>
    </row>
    <row r="402" spans="1:15">
      <c r="A402" s="590" t="s">
        <v>1194</v>
      </c>
      <c r="B402" s="11" t="s">
        <v>9</v>
      </c>
      <c r="C402" s="11">
        <v>47</v>
      </c>
      <c r="D402" s="11" t="s">
        <v>16</v>
      </c>
      <c r="E402" s="15">
        <v>7</v>
      </c>
      <c r="F402" s="11" t="s">
        <v>788</v>
      </c>
      <c r="G402" s="11" t="s">
        <v>21</v>
      </c>
      <c r="H402" s="15" t="s">
        <v>5</v>
      </c>
      <c r="I402" s="15">
        <v>25</v>
      </c>
      <c r="J402" s="12" t="s">
        <v>52</v>
      </c>
      <c r="K402" s="591">
        <f>(24*37)+(1*28.4)</f>
        <v>916.4</v>
      </c>
      <c r="L402" s="121" t="s">
        <v>2055</v>
      </c>
      <c r="M402" s="136">
        <v>8</v>
      </c>
      <c r="N402" s="133">
        <f>16+9</f>
        <v>25</v>
      </c>
      <c r="O402" s="119">
        <f t="shared" si="10"/>
        <v>0</v>
      </c>
    </row>
    <row r="403" spans="1:15">
      <c r="A403" s="590" t="s">
        <v>1973</v>
      </c>
      <c r="B403" s="11" t="s">
        <v>9</v>
      </c>
      <c r="C403" s="11">
        <v>48</v>
      </c>
      <c r="D403" s="11" t="s">
        <v>16</v>
      </c>
      <c r="E403" s="15">
        <v>16</v>
      </c>
      <c r="F403" s="11" t="s">
        <v>1951</v>
      </c>
      <c r="G403" s="11" t="s">
        <v>21</v>
      </c>
      <c r="H403" s="15" t="s">
        <v>143</v>
      </c>
      <c r="I403" s="15">
        <v>10</v>
      </c>
      <c r="J403" s="12" t="s">
        <v>1957</v>
      </c>
      <c r="K403" s="591">
        <f>(9*37)+(1*31.2)</f>
        <v>364.2</v>
      </c>
      <c r="L403" s="121" t="s">
        <v>2082</v>
      </c>
      <c r="M403" s="136">
        <v>7</v>
      </c>
      <c r="N403" s="133">
        <v>10</v>
      </c>
      <c r="O403" s="119">
        <f t="shared" si="10"/>
        <v>0</v>
      </c>
    </row>
    <row r="404" spans="1:15">
      <c r="A404" s="590" t="s">
        <v>1009</v>
      </c>
      <c r="B404" s="11" t="s">
        <v>9</v>
      </c>
      <c r="C404" s="11">
        <v>42</v>
      </c>
      <c r="D404" s="11" t="s">
        <v>16</v>
      </c>
      <c r="E404" s="15">
        <v>328</v>
      </c>
      <c r="F404" s="11" t="s">
        <v>1352</v>
      </c>
      <c r="G404" s="11" t="s">
        <v>1318</v>
      </c>
      <c r="H404" s="15" t="s">
        <v>5</v>
      </c>
      <c r="I404" s="15">
        <v>20</v>
      </c>
      <c r="J404" s="12" t="s">
        <v>31</v>
      </c>
      <c r="K404" s="591">
        <f>(19*38)+(1*29.4)</f>
        <v>751.4</v>
      </c>
      <c r="L404" s="121" t="s">
        <v>2033</v>
      </c>
      <c r="M404" s="132">
        <v>5</v>
      </c>
      <c r="N404" s="133">
        <f>10+10</f>
        <v>20</v>
      </c>
      <c r="O404" s="119">
        <f t="shared" si="10"/>
        <v>0</v>
      </c>
    </row>
    <row r="405" spans="1:15">
      <c r="A405" s="590" t="s">
        <v>1176</v>
      </c>
      <c r="B405" s="11" t="s">
        <v>150</v>
      </c>
      <c r="C405" s="11">
        <v>50</v>
      </c>
      <c r="D405" s="11" t="s">
        <v>7</v>
      </c>
      <c r="E405" s="15">
        <v>670</v>
      </c>
      <c r="F405" s="11" t="s">
        <v>1809</v>
      </c>
      <c r="G405" s="11" t="s">
        <v>517</v>
      </c>
      <c r="H405" s="15" t="s">
        <v>15</v>
      </c>
      <c r="I405" s="15">
        <v>30</v>
      </c>
      <c r="J405" s="12" t="s">
        <v>1810</v>
      </c>
      <c r="K405" s="591">
        <f>(30*25)</f>
        <v>750</v>
      </c>
      <c r="L405" s="121" t="s">
        <v>2082</v>
      </c>
      <c r="M405" s="132">
        <v>15</v>
      </c>
      <c r="N405" s="133">
        <v>30</v>
      </c>
      <c r="O405" s="119">
        <f t="shared" si="10"/>
        <v>0</v>
      </c>
    </row>
    <row r="406" spans="1:15">
      <c r="A406" s="590" t="s">
        <v>1178</v>
      </c>
      <c r="B406" s="11" t="s">
        <v>150</v>
      </c>
      <c r="C406" s="11">
        <v>50</v>
      </c>
      <c r="D406" s="11" t="s">
        <v>7</v>
      </c>
      <c r="E406" s="15">
        <v>667</v>
      </c>
      <c r="F406" s="11" t="s">
        <v>1865</v>
      </c>
      <c r="G406" s="11" t="s">
        <v>517</v>
      </c>
      <c r="H406" s="15" t="s">
        <v>15</v>
      </c>
      <c r="I406" s="15">
        <v>30</v>
      </c>
      <c r="J406" s="12" t="s">
        <v>1810</v>
      </c>
      <c r="K406" s="591">
        <f>(30*25)</f>
        <v>750</v>
      </c>
      <c r="L406" s="121" t="s">
        <v>2055</v>
      </c>
      <c r="M406" s="132">
        <v>1</v>
      </c>
      <c r="N406" s="138">
        <v>30</v>
      </c>
      <c r="O406" s="119">
        <f t="shared" si="10"/>
        <v>0</v>
      </c>
    </row>
    <row r="407" spans="1:15">
      <c r="A407" s="590" t="s">
        <v>1181</v>
      </c>
      <c r="B407" s="11" t="s">
        <v>150</v>
      </c>
      <c r="C407" s="11">
        <v>46</v>
      </c>
      <c r="D407" s="11" t="s">
        <v>7</v>
      </c>
      <c r="E407" s="15">
        <v>508</v>
      </c>
      <c r="F407" s="11" t="s">
        <v>1867</v>
      </c>
      <c r="G407" s="11" t="s">
        <v>517</v>
      </c>
      <c r="H407" s="15" t="s">
        <v>15</v>
      </c>
      <c r="I407" s="15">
        <v>20</v>
      </c>
      <c r="J407" s="12" t="s">
        <v>1868</v>
      </c>
      <c r="K407" s="591">
        <f>(20*25)</f>
        <v>500</v>
      </c>
      <c r="L407" s="121" t="s">
        <v>2055</v>
      </c>
      <c r="M407" s="132">
        <v>5</v>
      </c>
      <c r="N407" s="133">
        <v>20</v>
      </c>
      <c r="O407" s="119">
        <f t="shared" si="10"/>
        <v>0</v>
      </c>
    </row>
    <row r="408" spans="1:15">
      <c r="A408" s="590" t="s">
        <v>1186</v>
      </c>
      <c r="B408" s="11" t="s">
        <v>150</v>
      </c>
      <c r="C408" s="11">
        <v>47</v>
      </c>
      <c r="D408" s="11" t="s">
        <v>7</v>
      </c>
      <c r="E408" s="15">
        <v>820</v>
      </c>
      <c r="F408" s="11" t="s">
        <v>1909</v>
      </c>
      <c r="G408" s="11" t="s">
        <v>517</v>
      </c>
      <c r="H408" s="15" t="s">
        <v>15</v>
      </c>
      <c r="I408" s="15">
        <v>25</v>
      </c>
      <c r="J408" s="12" t="s">
        <v>1910</v>
      </c>
      <c r="K408" s="591">
        <f>(25*25)</f>
        <v>625</v>
      </c>
      <c r="L408" s="121" t="s">
        <v>2055</v>
      </c>
      <c r="M408" s="136">
        <v>1</v>
      </c>
      <c r="N408" s="133">
        <v>25</v>
      </c>
      <c r="O408" s="119">
        <f t="shared" si="10"/>
        <v>0</v>
      </c>
    </row>
    <row r="409" spans="1:15">
      <c r="A409" s="590" t="s">
        <v>1156</v>
      </c>
      <c r="B409" s="11" t="s">
        <v>9</v>
      </c>
      <c r="C409" s="11">
        <v>40</v>
      </c>
      <c r="D409" s="11" t="s">
        <v>7</v>
      </c>
      <c r="E409" s="15">
        <v>768</v>
      </c>
      <c r="F409" s="11" t="s">
        <v>1427</v>
      </c>
      <c r="G409" s="11" t="s">
        <v>359</v>
      </c>
      <c r="H409" s="15" t="s">
        <v>15</v>
      </c>
      <c r="I409" s="15">
        <v>25</v>
      </c>
      <c r="J409" s="12" t="s">
        <v>112</v>
      </c>
      <c r="K409" s="591">
        <f>(24*35)+(1*26.4)</f>
        <v>866.4</v>
      </c>
      <c r="L409" s="121" t="s">
        <v>2033</v>
      </c>
      <c r="M409" s="132">
        <v>8</v>
      </c>
      <c r="N409" s="133">
        <v>25</v>
      </c>
      <c r="O409" s="119">
        <f t="shared" si="10"/>
        <v>0</v>
      </c>
    </row>
    <row r="410" spans="1:15">
      <c r="A410" s="590" t="s">
        <v>1156</v>
      </c>
      <c r="B410" s="11" t="s">
        <v>9</v>
      </c>
      <c r="C410" s="11">
        <v>40</v>
      </c>
      <c r="D410" s="11" t="s">
        <v>7</v>
      </c>
      <c r="E410" s="15">
        <v>769</v>
      </c>
      <c r="F410" s="11" t="s">
        <v>637</v>
      </c>
      <c r="G410" s="11" t="s">
        <v>359</v>
      </c>
      <c r="H410" s="15" t="s">
        <v>15</v>
      </c>
      <c r="I410" s="15">
        <v>20</v>
      </c>
      <c r="J410" s="12" t="s">
        <v>142</v>
      </c>
      <c r="K410" s="591">
        <f>(20*35)</f>
        <v>700</v>
      </c>
      <c r="L410" s="121" t="s">
        <v>2033</v>
      </c>
      <c r="M410" s="132">
        <v>10</v>
      </c>
      <c r="N410" s="133">
        <f>10+10</f>
        <v>20</v>
      </c>
      <c r="O410" s="119">
        <f t="shared" si="10"/>
        <v>0</v>
      </c>
    </row>
    <row r="411" spans="1:15">
      <c r="A411" s="590" t="s">
        <v>1005</v>
      </c>
      <c r="B411" s="11" t="s">
        <v>150</v>
      </c>
      <c r="C411" s="11">
        <v>44</v>
      </c>
      <c r="D411" s="11" t="s">
        <v>7</v>
      </c>
      <c r="E411" s="15">
        <v>722</v>
      </c>
      <c r="F411" s="11" t="s">
        <v>687</v>
      </c>
      <c r="G411" s="11" t="s">
        <v>529</v>
      </c>
      <c r="H411" s="15" t="s">
        <v>15</v>
      </c>
      <c r="I411" s="15">
        <v>20</v>
      </c>
      <c r="J411" s="12" t="s">
        <v>142</v>
      </c>
      <c r="K411" s="591">
        <f>(20*35)</f>
        <v>700</v>
      </c>
      <c r="L411" s="121" t="s">
        <v>2082</v>
      </c>
      <c r="M411" s="132">
        <v>15</v>
      </c>
      <c r="N411" s="133">
        <v>20</v>
      </c>
      <c r="O411" s="119">
        <f t="shared" si="10"/>
        <v>0</v>
      </c>
    </row>
    <row r="412" spans="1:15">
      <c r="A412" s="590" t="s">
        <v>1018</v>
      </c>
      <c r="B412" s="11" t="s">
        <v>6</v>
      </c>
      <c r="C412" s="11">
        <v>47</v>
      </c>
      <c r="D412" s="11" t="s">
        <v>82</v>
      </c>
      <c r="E412" s="15">
        <v>6770</v>
      </c>
      <c r="F412" s="11" t="s">
        <v>1729</v>
      </c>
      <c r="G412" s="11" t="s">
        <v>1730</v>
      </c>
      <c r="H412" s="15" t="s">
        <v>1578</v>
      </c>
      <c r="I412" s="15">
        <v>20</v>
      </c>
      <c r="J412" s="12" t="s">
        <v>1731</v>
      </c>
      <c r="K412" s="591">
        <f>(19*45)+(1*38)</f>
        <v>893</v>
      </c>
      <c r="L412" s="120" t="s">
        <v>2082</v>
      </c>
      <c r="M412" s="132">
        <v>14</v>
      </c>
      <c r="N412" s="133">
        <v>20</v>
      </c>
      <c r="O412" s="119">
        <f t="shared" si="10"/>
        <v>0</v>
      </c>
    </row>
    <row r="413" spans="1:15">
      <c r="A413" s="590" t="s">
        <v>998</v>
      </c>
      <c r="B413" s="11" t="s">
        <v>150</v>
      </c>
      <c r="C413" s="11">
        <v>44</v>
      </c>
      <c r="D413" s="11" t="s">
        <v>7</v>
      </c>
      <c r="E413" s="15">
        <v>726</v>
      </c>
      <c r="F413" s="11" t="s">
        <v>476</v>
      </c>
      <c r="G413" s="11" t="s">
        <v>1603</v>
      </c>
      <c r="H413" s="15" t="s">
        <v>15</v>
      </c>
      <c r="I413" s="15">
        <v>30</v>
      </c>
      <c r="J413" s="12" t="s">
        <v>1604</v>
      </c>
      <c r="K413" s="591">
        <f>(28*35)+(2*27.3)</f>
        <v>1034.5999999999999</v>
      </c>
      <c r="L413" s="121" t="s">
        <v>2033</v>
      </c>
      <c r="M413" s="132">
        <v>15</v>
      </c>
      <c r="N413" s="133">
        <v>30</v>
      </c>
      <c r="O413" s="119">
        <f t="shared" si="10"/>
        <v>0</v>
      </c>
    </row>
    <row r="414" spans="1:15">
      <c r="A414" s="590" t="s">
        <v>1186</v>
      </c>
      <c r="B414" s="11" t="s">
        <v>150</v>
      </c>
      <c r="C414" s="11">
        <v>47</v>
      </c>
      <c r="D414" s="11" t="s">
        <v>7</v>
      </c>
      <c r="E414" s="15">
        <v>1033</v>
      </c>
      <c r="F414" s="11" t="s">
        <v>1911</v>
      </c>
      <c r="G414" s="11" t="s">
        <v>1912</v>
      </c>
      <c r="H414" s="15" t="s">
        <v>15</v>
      </c>
      <c r="I414" s="15">
        <v>20</v>
      </c>
      <c r="J414" s="12" t="s">
        <v>142</v>
      </c>
      <c r="K414" s="591">
        <f>(20*35)</f>
        <v>700</v>
      </c>
      <c r="L414" s="121" t="s">
        <v>2055</v>
      </c>
      <c r="M414" s="136">
        <v>3</v>
      </c>
      <c r="N414" s="133">
        <f>9+11</f>
        <v>20</v>
      </c>
      <c r="O414" s="119">
        <f t="shared" si="10"/>
        <v>0</v>
      </c>
    </row>
    <row r="415" spans="1:15">
      <c r="A415" s="590" t="s">
        <v>1186</v>
      </c>
      <c r="B415" s="11" t="s">
        <v>150</v>
      </c>
      <c r="C415" s="11">
        <v>47</v>
      </c>
      <c r="D415" s="11" t="s">
        <v>7</v>
      </c>
      <c r="E415" s="15">
        <v>1036</v>
      </c>
      <c r="F415" s="11" t="s">
        <v>1913</v>
      </c>
      <c r="G415" s="11" t="s">
        <v>1912</v>
      </c>
      <c r="H415" s="15" t="s">
        <v>15</v>
      </c>
      <c r="I415" s="15">
        <v>20</v>
      </c>
      <c r="J415" s="12" t="s">
        <v>1914</v>
      </c>
      <c r="K415" s="591">
        <f>(19*35)+(1*27.3)</f>
        <v>692.3</v>
      </c>
      <c r="L415" s="121" t="s">
        <v>2055</v>
      </c>
      <c r="M415" s="136">
        <v>2</v>
      </c>
      <c r="N415" s="133">
        <v>20</v>
      </c>
      <c r="O415" s="119">
        <f t="shared" si="10"/>
        <v>0</v>
      </c>
    </row>
    <row r="416" spans="1:15">
      <c r="A416" s="590" t="s">
        <v>1016</v>
      </c>
      <c r="B416" s="11" t="s">
        <v>6</v>
      </c>
      <c r="C416" s="11" t="s">
        <v>618</v>
      </c>
      <c r="D416" s="11"/>
      <c r="E416" s="15"/>
      <c r="F416" s="11" t="s">
        <v>1681</v>
      </c>
      <c r="G416" s="11" t="s">
        <v>621</v>
      </c>
      <c r="H416" s="15" t="s">
        <v>619</v>
      </c>
      <c r="I416" s="15">
        <v>15</v>
      </c>
      <c r="J416" s="12" t="s">
        <v>1682</v>
      </c>
      <c r="K416" s="591">
        <f>(14*24)+(1*20.4)</f>
        <v>356.4</v>
      </c>
      <c r="L416" s="121" t="s">
        <v>2055</v>
      </c>
      <c r="M416" s="132">
        <v>3</v>
      </c>
      <c r="N416" s="15">
        <v>15</v>
      </c>
      <c r="O416" s="119">
        <f t="shared" si="10"/>
        <v>0</v>
      </c>
    </row>
    <row r="417" spans="1:15">
      <c r="A417" s="590" t="s">
        <v>1016</v>
      </c>
      <c r="B417" s="11" t="s">
        <v>6</v>
      </c>
      <c r="C417" s="11" t="s">
        <v>618</v>
      </c>
      <c r="D417" s="11"/>
      <c r="E417" s="15"/>
      <c r="F417" s="11" t="s">
        <v>1683</v>
      </c>
      <c r="G417" s="11" t="s">
        <v>621</v>
      </c>
      <c r="H417" s="15" t="s">
        <v>619</v>
      </c>
      <c r="I417" s="15">
        <v>10</v>
      </c>
      <c r="J417" s="12" t="s">
        <v>1684</v>
      </c>
      <c r="K417" s="591">
        <f>(9*24)+(1*20.4)</f>
        <v>236.4</v>
      </c>
      <c r="L417" s="121" t="s">
        <v>2055</v>
      </c>
      <c r="M417" s="132">
        <v>3</v>
      </c>
      <c r="N417" s="15">
        <v>10</v>
      </c>
      <c r="O417" s="119">
        <f t="shared" si="10"/>
        <v>0</v>
      </c>
    </row>
    <row r="418" spans="1:15">
      <c r="A418" s="590" t="s">
        <v>1016</v>
      </c>
      <c r="B418" s="11" t="s">
        <v>6</v>
      </c>
      <c r="C418" s="11" t="s">
        <v>618</v>
      </c>
      <c r="D418" s="11"/>
      <c r="E418" s="15"/>
      <c r="F418" s="11" t="s">
        <v>1685</v>
      </c>
      <c r="G418" s="11" t="s">
        <v>621</v>
      </c>
      <c r="H418" s="15" t="s">
        <v>619</v>
      </c>
      <c r="I418" s="15">
        <v>15</v>
      </c>
      <c r="J418" s="12" t="s">
        <v>1682</v>
      </c>
      <c r="K418" s="591">
        <f>(14*24)+(1*20.4)</f>
        <v>356.4</v>
      </c>
      <c r="L418" s="121" t="s">
        <v>2055</v>
      </c>
      <c r="M418" s="132">
        <v>3</v>
      </c>
      <c r="N418" s="15">
        <v>15</v>
      </c>
      <c r="O418" s="119">
        <f t="shared" si="10"/>
        <v>0</v>
      </c>
    </row>
    <row r="419" spans="1:15">
      <c r="A419" s="590" t="s">
        <v>1016</v>
      </c>
      <c r="B419" s="11" t="s">
        <v>6</v>
      </c>
      <c r="C419" s="11" t="s">
        <v>618</v>
      </c>
      <c r="D419" s="11"/>
      <c r="E419" s="15"/>
      <c r="F419" s="11" t="s">
        <v>1686</v>
      </c>
      <c r="G419" s="11" t="s">
        <v>621</v>
      </c>
      <c r="H419" s="15" t="s">
        <v>619</v>
      </c>
      <c r="I419" s="15">
        <v>10</v>
      </c>
      <c r="J419" s="12" t="s">
        <v>1684</v>
      </c>
      <c r="K419" s="591">
        <f>(9*24)+(1*20.4)</f>
        <v>236.4</v>
      </c>
      <c r="L419" s="121" t="s">
        <v>2055</v>
      </c>
      <c r="M419" s="132">
        <v>3</v>
      </c>
      <c r="N419" s="15">
        <v>10</v>
      </c>
      <c r="O419" s="119">
        <f t="shared" si="10"/>
        <v>0</v>
      </c>
    </row>
    <row r="420" spans="1:15">
      <c r="A420" s="590" t="s">
        <v>1016</v>
      </c>
      <c r="B420" s="11" t="s">
        <v>6</v>
      </c>
      <c r="C420" s="11" t="s">
        <v>618</v>
      </c>
      <c r="D420" s="11"/>
      <c r="E420" s="15"/>
      <c r="F420" s="11" t="s">
        <v>1687</v>
      </c>
      <c r="G420" s="11" t="s">
        <v>621</v>
      </c>
      <c r="H420" s="15" t="s">
        <v>619</v>
      </c>
      <c r="I420" s="15">
        <v>15</v>
      </c>
      <c r="J420" s="12" t="s">
        <v>1682</v>
      </c>
      <c r="K420" s="591">
        <f>(14*24)+(1*20.4)</f>
        <v>356.4</v>
      </c>
      <c r="L420" s="121" t="s">
        <v>2055</v>
      </c>
      <c r="M420" s="132">
        <v>3</v>
      </c>
      <c r="N420" s="15">
        <v>15</v>
      </c>
      <c r="O420" s="119">
        <f t="shared" si="10"/>
        <v>0</v>
      </c>
    </row>
    <row r="421" spans="1:15">
      <c r="A421" s="590" t="s">
        <v>1016</v>
      </c>
      <c r="B421" s="11" t="s">
        <v>6</v>
      </c>
      <c r="C421" s="11" t="s">
        <v>618</v>
      </c>
      <c r="D421" s="11"/>
      <c r="E421" s="15"/>
      <c r="F421" s="11" t="s">
        <v>1688</v>
      </c>
      <c r="G421" s="11" t="s">
        <v>621</v>
      </c>
      <c r="H421" s="15" t="s">
        <v>619</v>
      </c>
      <c r="I421" s="15">
        <v>10</v>
      </c>
      <c r="J421" s="12" t="s">
        <v>1684</v>
      </c>
      <c r="K421" s="591">
        <f>(9*24)+(1*20.4)</f>
        <v>236.4</v>
      </c>
      <c r="L421" s="121" t="s">
        <v>2055</v>
      </c>
      <c r="M421" s="132">
        <v>3</v>
      </c>
      <c r="N421" s="15">
        <v>10</v>
      </c>
      <c r="O421" s="119">
        <f t="shared" si="10"/>
        <v>0</v>
      </c>
    </row>
    <row r="422" spans="1:15">
      <c r="A422" s="590" t="s">
        <v>1016</v>
      </c>
      <c r="B422" s="11" t="s">
        <v>6</v>
      </c>
      <c r="C422" s="11" t="s">
        <v>618</v>
      </c>
      <c r="D422" s="11"/>
      <c r="E422" s="15"/>
      <c r="F422" s="11" t="s">
        <v>1689</v>
      </c>
      <c r="G422" s="11" t="s">
        <v>621</v>
      </c>
      <c r="H422" s="15" t="s">
        <v>619</v>
      </c>
      <c r="I422" s="15">
        <v>15</v>
      </c>
      <c r="J422" s="12" t="s">
        <v>1682</v>
      </c>
      <c r="K422" s="591">
        <f>(14*24)+(1*20.4)</f>
        <v>356.4</v>
      </c>
      <c r="L422" s="121" t="s">
        <v>2055</v>
      </c>
      <c r="M422" s="132">
        <v>3</v>
      </c>
      <c r="N422" s="15">
        <v>15</v>
      </c>
      <c r="O422" s="119">
        <f t="shared" si="10"/>
        <v>0</v>
      </c>
    </row>
    <row r="423" spans="1:15">
      <c r="A423" s="590" t="s">
        <v>1016</v>
      </c>
      <c r="B423" s="11" t="s">
        <v>6</v>
      </c>
      <c r="C423" s="11" t="s">
        <v>618</v>
      </c>
      <c r="D423" s="11"/>
      <c r="E423" s="15"/>
      <c r="F423" s="11" t="s">
        <v>1690</v>
      </c>
      <c r="G423" s="11" t="s">
        <v>621</v>
      </c>
      <c r="H423" s="15" t="s">
        <v>619</v>
      </c>
      <c r="I423" s="15">
        <v>10</v>
      </c>
      <c r="J423" s="12" t="s">
        <v>1684</v>
      </c>
      <c r="K423" s="591">
        <f>(9*24)+(1*20.4)</f>
        <v>236.4</v>
      </c>
      <c r="L423" s="121" t="s">
        <v>2055</v>
      </c>
      <c r="M423" s="132">
        <v>3</v>
      </c>
      <c r="N423" s="15">
        <v>10</v>
      </c>
      <c r="O423" s="119">
        <f t="shared" si="10"/>
        <v>0</v>
      </c>
    </row>
    <row r="424" spans="1:15">
      <c r="A424" s="590" t="s">
        <v>1016</v>
      </c>
      <c r="B424" s="11" t="s">
        <v>6</v>
      </c>
      <c r="C424" s="11" t="s">
        <v>618</v>
      </c>
      <c r="D424" s="11"/>
      <c r="E424" s="15"/>
      <c r="F424" s="11" t="s">
        <v>1691</v>
      </c>
      <c r="G424" s="11" t="s">
        <v>621</v>
      </c>
      <c r="H424" s="15" t="s">
        <v>619</v>
      </c>
      <c r="I424" s="15">
        <v>10</v>
      </c>
      <c r="J424" s="12" t="s">
        <v>1692</v>
      </c>
      <c r="K424" s="591">
        <f t="shared" ref="K424:K431" si="11">(9*21)+(1*17.4)</f>
        <v>206.4</v>
      </c>
      <c r="L424" s="120" t="s">
        <v>2055</v>
      </c>
      <c r="M424" s="132">
        <v>2</v>
      </c>
      <c r="N424" s="133">
        <v>10</v>
      </c>
      <c r="O424" s="119">
        <f t="shared" si="10"/>
        <v>0</v>
      </c>
    </row>
    <row r="425" spans="1:15">
      <c r="A425" s="590" t="s">
        <v>1016</v>
      </c>
      <c r="B425" s="11" t="s">
        <v>6</v>
      </c>
      <c r="C425" s="11" t="s">
        <v>618</v>
      </c>
      <c r="D425" s="11"/>
      <c r="E425" s="15"/>
      <c r="F425" s="11" t="s">
        <v>1693</v>
      </c>
      <c r="G425" s="11" t="s">
        <v>621</v>
      </c>
      <c r="H425" s="15" t="s">
        <v>619</v>
      </c>
      <c r="I425" s="15">
        <v>10</v>
      </c>
      <c r="J425" s="12" t="s">
        <v>1692</v>
      </c>
      <c r="K425" s="591">
        <f t="shared" si="11"/>
        <v>206.4</v>
      </c>
      <c r="L425" s="121" t="s">
        <v>2055</v>
      </c>
      <c r="M425" s="132">
        <v>1</v>
      </c>
      <c r="N425" s="133">
        <v>10</v>
      </c>
      <c r="O425" s="119">
        <f t="shared" si="10"/>
        <v>0</v>
      </c>
    </row>
    <row r="426" spans="1:15">
      <c r="A426" s="590" t="s">
        <v>1016</v>
      </c>
      <c r="B426" s="11" t="s">
        <v>6</v>
      </c>
      <c r="C426" s="11" t="s">
        <v>618</v>
      </c>
      <c r="D426" s="11"/>
      <c r="E426" s="15"/>
      <c r="F426" s="11" t="s">
        <v>1694</v>
      </c>
      <c r="G426" s="11" t="s">
        <v>621</v>
      </c>
      <c r="H426" s="15" t="s">
        <v>619</v>
      </c>
      <c r="I426" s="15">
        <v>10</v>
      </c>
      <c r="J426" s="12" t="s">
        <v>1692</v>
      </c>
      <c r="K426" s="591">
        <f t="shared" si="11"/>
        <v>206.4</v>
      </c>
      <c r="L426" s="121" t="s">
        <v>2055</v>
      </c>
      <c r="M426" s="132">
        <v>1</v>
      </c>
      <c r="N426" s="133">
        <v>10</v>
      </c>
      <c r="O426" s="119">
        <f t="shared" si="10"/>
        <v>0</v>
      </c>
    </row>
    <row r="427" spans="1:15">
      <c r="A427" s="590" t="s">
        <v>1016</v>
      </c>
      <c r="B427" s="11" t="s">
        <v>6</v>
      </c>
      <c r="C427" s="11" t="s">
        <v>618</v>
      </c>
      <c r="D427" s="11"/>
      <c r="E427" s="15"/>
      <c r="F427" s="11" t="s">
        <v>1695</v>
      </c>
      <c r="G427" s="11" t="s">
        <v>621</v>
      </c>
      <c r="H427" s="15" t="s">
        <v>619</v>
      </c>
      <c r="I427" s="15">
        <v>10</v>
      </c>
      <c r="J427" s="12" t="s">
        <v>1692</v>
      </c>
      <c r="K427" s="591">
        <f t="shared" si="11"/>
        <v>206.4</v>
      </c>
      <c r="L427" s="121" t="s">
        <v>2055</v>
      </c>
      <c r="M427" s="132">
        <v>1</v>
      </c>
      <c r="N427" s="133">
        <v>10</v>
      </c>
      <c r="O427" s="119">
        <f t="shared" si="10"/>
        <v>0</v>
      </c>
    </row>
    <row r="428" spans="1:15">
      <c r="A428" s="590" t="s">
        <v>1016</v>
      </c>
      <c r="B428" s="11" t="s">
        <v>6</v>
      </c>
      <c r="C428" s="11" t="s">
        <v>618</v>
      </c>
      <c r="D428" s="11"/>
      <c r="E428" s="15"/>
      <c r="F428" s="11" t="s">
        <v>1696</v>
      </c>
      <c r="G428" s="11" t="s">
        <v>621</v>
      </c>
      <c r="H428" s="15" t="s">
        <v>619</v>
      </c>
      <c r="I428" s="15">
        <v>10</v>
      </c>
      <c r="J428" s="12" t="s">
        <v>1692</v>
      </c>
      <c r="K428" s="591">
        <f t="shared" si="11"/>
        <v>206.4</v>
      </c>
      <c r="L428" s="120" t="s">
        <v>2055</v>
      </c>
      <c r="M428" s="132">
        <v>2</v>
      </c>
      <c r="N428" s="133">
        <v>10</v>
      </c>
      <c r="O428" s="119">
        <f t="shared" si="10"/>
        <v>0</v>
      </c>
    </row>
    <row r="429" spans="1:15">
      <c r="A429" s="590" t="s">
        <v>1016</v>
      </c>
      <c r="B429" s="11" t="s">
        <v>6</v>
      </c>
      <c r="C429" s="11" t="s">
        <v>618</v>
      </c>
      <c r="D429" s="11"/>
      <c r="E429" s="15"/>
      <c r="F429" s="11" t="s">
        <v>1697</v>
      </c>
      <c r="G429" s="11" t="s">
        <v>621</v>
      </c>
      <c r="H429" s="15" t="s">
        <v>619</v>
      </c>
      <c r="I429" s="15">
        <v>10</v>
      </c>
      <c r="J429" s="12" t="s">
        <v>1692</v>
      </c>
      <c r="K429" s="591">
        <f t="shared" si="11"/>
        <v>206.4</v>
      </c>
      <c r="L429" s="121" t="s">
        <v>2055</v>
      </c>
      <c r="M429" s="132">
        <v>1</v>
      </c>
      <c r="N429" s="133">
        <v>10</v>
      </c>
      <c r="O429" s="119">
        <f t="shared" si="10"/>
        <v>0</v>
      </c>
    </row>
    <row r="430" spans="1:15">
      <c r="A430" s="590" t="s">
        <v>1016</v>
      </c>
      <c r="B430" s="11" t="s">
        <v>6</v>
      </c>
      <c r="C430" s="11" t="s">
        <v>618</v>
      </c>
      <c r="D430" s="11"/>
      <c r="E430" s="15"/>
      <c r="F430" s="11" t="s">
        <v>1698</v>
      </c>
      <c r="G430" s="11" t="s">
        <v>621</v>
      </c>
      <c r="H430" s="15" t="s">
        <v>619</v>
      </c>
      <c r="I430" s="15">
        <v>10</v>
      </c>
      <c r="J430" s="12" t="s">
        <v>1692</v>
      </c>
      <c r="K430" s="591">
        <f t="shared" si="11"/>
        <v>206.4</v>
      </c>
      <c r="L430" s="121" t="s">
        <v>2055</v>
      </c>
      <c r="M430" s="132">
        <v>1</v>
      </c>
      <c r="N430" s="133">
        <v>10</v>
      </c>
      <c r="O430" s="119">
        <f t="shared" si="10"/>
        <v>0</v>
      </c>
    </row>
    <row r="431" spans="1:15">
      <c r="A431" s="590" t="s">
        <v>1016</v>
      </c>
      <c r="B431" s="11" t="s">
        <v>6</v>
      </c>
      <c r="C431" s="11" t="s">
        <v>618</v>
      </c>
      <c r="D431" s="11"/>
      <c r="E431" s="15"/>
      <c r="F431" s="11" t="s">
        <v>1699</v>
      </c>
      <c r="G431" s="11" t="s">
        <v>621</v>
      </c>
      <c r="H431" s="15" t="s">
        <v>619</v>
      </c>
      <c r="I431" s="15">
        <v>10</v>
      </c>
      <c r="J431" s="12" t="s">
        <v>1692</v>
      </c>
      <c r="K431" s="591">
        <f t="shared" si="11"/>
        <v>206.4</v>
      </c>
      <c r="L431" s="121" t="s">
        <v>2055</v>
      </c>
      <c r="M431" s="132">
        <v>1</v>
      </c>
      <c r="N431" s="133">
        <v>10</v>
      </c>
      <c r="O431" s="119">
        <f t="shared" si="10"/>
        <v>0</v>
      </c>
    </row>
    <row r="432" spans="1:15">
      <c r="A432" s="590" t="s">
        <v>1016</v>
      </c>
      <c r="B432" s="11" t="s">
        <v>150</v>
      </c>
      <c r="C432" s="11">
        <v>45</v>
      </c>
      <c r="D432" s="11" t="s">
        <v>51</v>
      </c>
      <c r="E432" s="15">
        <v>362</v>
      </c>
      <c r="F432" s="11" t="s">
        <v>1668</v>
      </c>
      <c r="G432" s="11" t="s">
        <v>1406</v>
      </c>
      <c r="H432" s="15" t="s">
        <v>15</v>
      </c>
      <c r="I432" s="15">
        <v>20</v>
      </c>
      <c r="J432" s="12" t="s">
        <v>1669</v>
      </c>
      <c r="K432" s="591">
        <f>(19*24)+(1*19.7)</f>
        <v>475.7</v>
      </c>
      <c r="L432" s="121" t="s">
        <v>2033</v>
      </c>
      <c r="M432" s="132">
        <v>14</v>
      </c>
      <c r="N432" s="133">
        <v>20</v>
      </c>
      <c r="O432" s="119">
        <f t="shared" si="10"/>
        <v>0</v>
      </c>
    </row>
    <row r="433" spans="1:15">
      <c r="A433" s="590" t="s">
        <v>1156</v>
      </c>
      <c r="B433" s="11" t="s">
        <v>9</v>
      </c>
      <c r="C433" s="11">
        <v>40</v>
      </c>
      <c r="D433" s="11" t="s">
        <v>7</v>
      </c>
      <c r="E433" s="15">
        <v>82</v>
      </c>
      <c r="F433" s="11" t="s">
        <v>667</v>
      </c>
      <c r="G433" s="11" t="s">
        <v>764</v>
      </c>
      <c r="H433" s="15" t="s">
        <v>5</v>
      </c>
      <c r="I433" s="15">
        <v>20</v>
      </c>
      <c r="J433" s="12" t="s">
        <v>31</v>
      </c>
      <c r="K433" s="591">
        <f>(19*38)+(1*29.4)</f>
        <v>751.4</v>
      </c>
      <c r="L433" s="623" t="s">
        <v>2033</v>
      </c>
      <c r="M433" s="132">
        <v>10</v>
      </c>
      <c r="N433" s="133">
        <f>10+10</f>
        <v>20</v>
      </c>
      <c r="O433" s="119">
        <f t="shared" si="10"/>
        <v>0</v>
      </c>
    </row>
    <row r="434" spans="1:15">
      <c r="A434" s="590" t="s">
        <v>1156</v>
      </c>
      <c r="B434" s="11" t="s">
        <v>9</v>
      </c>
      <c r="C434" s="11">
        <v>40</v>
      </c>
      <c r="D434" s="11" t="s">
        <v>7</v>
      </c>
      <c r="E434" s="15">
        <v>83</v>
      </c>
      <c r="F434" s="11" t="s">
        <v>470</v>
      </c>
      <c r="G434" s="11" t="s">
        <v>764</v>
      </c>
      <c r="H434" s="15" t="s">
        <v>5</v>
      </c>
      <c r="I434" s="15">
        <v>10</v>
      </c>
      <c r="J434" s="12" t="s">
        <v>1635</v>
      </c>
      <c r="K434" s="591">
        <f>(9*38)+(1*29.4)</f>
        <v>371.4</v>
      </c>
      <c r="L434" s="121" t="s">
        <v>2033</v>
      </c>
      <c r="M434" s="132">
        <v>10</v>
      </c>
      <c r="N434" s="130">
        <v>10</v>
      </c>
      <c r="O434" s="119">
        <f t="shared" si="10"/>
        <v>0</v>
      </c>
    </row>
    <row r="435" spans="1:15">
      <c r="A435" s="590" t="s">
        <v>1973</v>
      </c>
      <c r="B435" s="11" t="s">
        <v>9</v>
      </c>
      <c r="C435" s="11">
        <v>48</v>
      </c>
      <c r="D435" s="11" t="s">
        <v>7</v>
      </c>
      <c r="E435" s="15">
        <v>80</v>
      </c>
      <c r="F435" s="11" t="s">
        <v>1459</v>
      </c>
      <c r="G435" s="11" t="s">
        <v>764</v>
      </c>
      <c r="H435" s="15" t="s">
        <v>5</v>
      </c>
      <c r="I435" s="15">
        <v>20</v>
      </c>
      <c r="J435" s="12" t="s">
        <v>41</v>
      </c>
      <c r="K435" s="591">
        <f>(18*38)+(2*29.4)</f>
        <v>742.8</v>
      </c>
      <c r="L435" s="121" t="s">
        <v>2082</v>
      </c>
      <c r="M435" s="136" t="s">
        <v>2083</v>
      </c>
      <c r="N435" s="133">
        <f>10+10</f>
        <v>20</v>
      </c>
      <c r="O435" s="119">
        <f t="shared" si="10"/>
        <v>0</v>
      </c>
    </row>
    <row r="436" spans="1:15">
      <c r="A436" s="590" t="s">
        <v>1973</v>
      </c>
      <c r="B436" s="11" t="s">
        <v>9</v>
      </c>
      <c r="C436" s="11">
        <v>48</v>
      </c>
      <c r="D436" s="11" t="s">
        <v>7</v>
      </c>
      <c r="E436" s="15">
        <v>91</v>
      </c>
      <c r="F436" s="11" t="s">
        <v>649</v>
      </c>
      <c r="G436" s="11" t="s">
        <v>764</v>
      </c>
      <c r="H436" s="15" t="s">
        <v>15</v>
      </c>
      <c r="I436" s="15">
        <v>20</v>
      </c>
      <c r="J436" s="12" t="s">
        <v>1950</v>
      </c>
      <c r="K436" s="591">
        <f>(17*38)+(3*29.4)</f>
        <v>734.2</v>
      </c>
      <c r="L436" s="121" t="s">
        <v>2082</v>
      </c>
      <c r="M436" s="136">
        <v>3</v>
      </c>
      <c r="N436" s="133">
        <f>10+10</f>
        <v>20</v>
      </c>
      <c r="O436" s="119">
        <f t="shared" si="10"/>
        <v>0</v>
      </c>
    </row>
    <row r="437" spans="1:15">
      <c r="A437" s="590" t="s">
        <v>1975</v>
      </c>
      <c r="B437" s="11" t="s">
        <v>9</v>
      </c>
      <c r="C437" s="11">
        <v>49</v>
      </c>
      <c r="D437" s="11" t="s">
        <v>7</v>
      </c>
      <c r="E437" s="15">
        <v>61</v>
      </c>
      <c r="F437" s="11" t="s">
        <v>464</v>
      </c>
      <c r="G437" s="11" t="s">
        <v>764</v>
      </c>
      <c r="H437" s="15" t="s">
        <v>15</v>
      </c>
      <c r="I437" s="15">
        <v>15</v>
      </c>
      <c r="J437" s="12" t="s">
        <v>14</v>
      </c>
      <c r="K437" s="591">
        <f>(14*38)+(1*29.4)</f>
        <v>561.4</v>
      </c>
      <c r="L437" s="121" t="s">
        <v>2082</v>
      </c>
      <c r="M437" s="136">
        <v>13</v>
      </c>
      <c r="N437" s="133">
        <f>7+8</f>
        <v>15</v>
      </c>
      <c r="O437" s="119">
        <f t="shared" si="10"/>
        <v>0</v>
      </c>
    </row>
    <row r="438" spans="1:15">
      <c r="A438" s="590" t="s">
        <v>1975</v>
      </c>
      <c r="B438" s="11" t="s">
        <v>9</v>
      </c>
      <c r="C438" s="11">
        <v>49</v>
      </c>
      <c r="D438" s="11" t="s">
        <v>7</v>
      </c>
      <c r="E438" s="15">
        <v>68</v>
      </c>
      <c r="F438" s="11" t="s">
        <v>1962</v>
      </c>
      <c r="G438" s="11" t="s">
        <v>764</v>
      </c>
      <c r="H438" s="15" t="s">
        <v>15</v>
      </c>
      <c r="I438" s="15">
        <v>15</v>
      </c>
      <c r="J438" s="12" t="s">
        <v>14</v>
      </c>
      <c r="K438" s="591">
        <f>(14*38)+(1*29.4)</f>
        <v>561.4</v>
      </c>
      <c r="L438" s="121" t="s">
        <v>2055</v>
      </c>
      <c r="M438" s="136">
        <v>1</v>
      </c>
      <c r="N438" s="133">
        <f>6+9</f>
        <v>15</v>
      </c>
      <c r="O438" s="119">
        <f t="shared" si="10"/>
        <v>0</v>
      </c>
    </row>
    <row r="439" spans="1:15">
      <c r="A439" s="590" t="s">
        <v>1977</v>
      </c>
      <c r="B439" s="11" t="s">
        <v>9</v>
      </c>
      <c r="C439" s="11">
        <v>48</v>
      </c>
      <c r="D439" s="11" t="s">
        <v>7</v>
      </c>
      <c r="E439" s="15">
        <v>92</v>
      </c>
      <c r="F439" s="11" t="s">
        <v>206</v>
      </c>
      <c r="G439" s="11" t="s">
        <v>764</v>
      </c>
      <c r="H439" s="15" t="s">
        <v>15</v>
      </c>
      <c r="I439" s="15">
        <v>14</v>
      </c>
      <c r="J439" s="12" t="s">
        <v>2025</v>
      </c>
      <c r="K439" s="591">
        <f>(11*38)+(3*29.4)</f>
        <v>506.2</v>
      </c>
      <c r="L439" s="121" t="s">
        <v>2055</v>
      </c>
      <c r="M439" s="136"/>
      <c r="N439" s="133">
        <v>14</v>
      </c>
      <c r="O439" s="119">
        <f t="shared" si="10"/>
        <v>0</v>
      </c>
    </row>
    <row r="440" spans="1:15">
      <c r="A440" s="590" t="s">
        <v>976</v>
      </c>
      <c r="B440" s="11" t="s">
        <v>9</v>
      </c>
      <c r="C440" s="11">
        <v>38</v>
      </c>
      <c r="D440" s="11" t="s">
        <v>10</v>
      </c>
      <c r="E440" s="11">
        <v>258</v>
      </c>
      <c r="F440" s="11" t="s">
        <v>1542</v>
      </c>
      <c r="G440" s="11" t="s">
        <v>747</v>
      </c>
      <c r="H440" s="11" t="s">
        <v>5</v>
      </c>
      <c r="I440" s="11">
        <v>15</v>
      </c>
      <c r="J440" s="12" t="s">
        <v>97</v>
      </c>
      <c r="K440" s="591">
        <f>(15*38)</f>
        <v>570</v>
      </c>
      <c r="L440" s="121" t="s">
        <v>2034</v>
      </c>
      <c r="M440" s="132">
        <v>7</v>
      </c>
      <c r="N440" s="138">
        <f>6+9</f>
        <v>15</v>
      </c>
      <c r="O440" s="119">
        <f t="shared" si="10"/>
        <v>0</v>
      </c>
    </row>
    <row r="441" spans="1:15">
      <c r="A441" s="590" t="s">
        <v>1148</v>
      </c>
      <c r="B441" s="11" t="s">
        <v>9</v>
      </c>
      <c r="C441" s="11">
        <v>39</v>
      </c>
      <c r="D441" s="11" t="s">
        <v>16</v>
      </c>
      <c r="E441" s="15">
        <v>164</v>
      </c>
      <c r="F441" s="11" t="s">
        <v>1445</v>
      </c>
      <c r="G441" s="11" t="s">
        <v>747</v>
      </c>
      <c r="H441" s="15" t="s">
        <v>15</v>
      </c>
      <c r="I441" s="15">
        <v>15</v>
      </c>
      <c r="J441" s="12" t="s">
        <v>14</v>
      </c>
      <c r="K441" s="591">
        <f>(14*38)+(1*29.4)</f>
        <v>561.4</v>
      </c>
      <c r="L441" s="120" t="s">
        <v>2082</v>
      </c>
      <c r="M441" s="132">
        <v>12</v>
      </c>
      <c r="N441" s="130">
        <f>8+7</f>
        <v>15</v>
      </c>
      <c r="O441" s="119">
        <f t="shared" si="10"/>
        <v>0</v>
      </c>
    </row>
    <row r="442" spans="1:15">
      <c r="A442" s="590" t="s">
        <v>1148</v>
      </c>
      <c r="B442" s="11" t="s">
        <v>9</v>
      </c>
      <c r="C442" s="11">
        <v>39</v>
      </c>
      <c r="D442" s="11" t="s">
        <v>16</v>
      </c>
      <c r="E442" s="15">
        <v>165</v>
      </c>
      <c r="F442" s="11" t="s">
        <v>442</v>
      </c>
      <c r="G442" s="11" t="s">
        <v>747</v>
      </c>
      <c r="H442" s="15" t="s">
        <v>15</v>
      </c>
      <c r="I442" s="15">
        <v>20</v>
      </c>
      <c r="J442" s="12" t="s">
        <v>157</v>
      </c>
      <c r="K442" s="591">
        <f>(20*38)</f>
        <v>760</v>
      </c>
      <c r="L442" s="121" t="s">
        <v>2055</v>
      </c>
      <c r="M442" s="132">
        <v>7</v>
      </c>
      <c r="N442" s="133">
        <v>20</v>
      </c>
      <c r="O442" s="119">
        <f t="shared" si="10"/>
        <v>0</v>
      </c>
    </row>
    <row r="443" spans="1:15">
      <c r="A443" s="590" t="s">
        <v>1164</v>
      </c>
      <c r="B443" s="11" t="s">
        <v>9</v>
      </c>
      <c r="C443" s="11">
        <v>40</v>
      </c>
      <c r="D443" s="11" t="s">
        <v>10</v>
      </c>
      <c r="E443" s="15">
        <v>254</v>
      </c>
      <c r="F443" s="11" t="s">
        <v>560</v>
      </c>
      <c r="G443" s="11" t="s">
        <v>747</v>
      </c>
      <c r="H443" s="15" t="s">
        <v>5</v>
      </c>
      <c r="I443" s="15">
        <v>20</v>
      </c>
      <c r="J443" s="12" t="s">
        <v>31</v>
      </c>
      <c r="K443" s="591">
        <f>(19*38)+(1*29.4)</f>
        <v>751.4</v>
      </c>
      <c r="L443" s="121" t="s">
        <v>2101</v>
      </c>
      <c r="M443" s="132">
        <v>6</v>
      </c>
      <c r="N443" s="133">
        <f>10+10</f>
        <v>20</v>
      </c>
      <c r="O443" s="119">
        <f t="shared" si="10"/>
        <v>0</v>
      </c>
    </row>
    <row r="444" spans="1:15">
      <c r="A444" s="590" t="s">
        <v>1172</v>
      </c>
      <c r="B444" s="11" t="s">
        <v>9</v>
      </c>
      <c r="C444" s="11">
        <v>46</v>
      </c>
      <c r="D444" s="11" t="s">
        <v>16</v>
      </c>
      <c r="E444" s="15">
        <v>198</v>
      </c>
      <c r="F444" s="11" t="s">
        <v>180</v>
      </c>
      <c r="G444" s="11" t="s">
        <v>747</v>
      </c>
      <c r="H444" s="15" t="s">
        <v>15</v>
      </c>
      <c r="I444" s="15">
        <v>15</v>
      </c>
      <c r="J444" s="12" t="s">
        <v>14</v>
      </c>
      <c r="K444" s="591">
        <f>(14*38)+(1*29.4)</f>
        <v>561.4</v>
      </c>
      <c r="L444" s="121" t="s">
        <v>2082</v>
      </c>
      <c r="M444" s="132">
        <v>10</v>
      </c>
      <c r="N444" s="133">
        <v>15</v>
      </c>
      <c r="O444" s="119">
        <f t="shared" si="10"/>
        <v>0</v>
      </c>
    </row>
    <row r="445" spans="1:15">
      <c r="A445" s="590" t="s">
        <v>1172</v>
      </c>
      <c r="B445" s="11" t="s">
        <v>9</v>
      </c>
      <c r="C445" s="11">
        <v>46</v>
      </c>
      <c r="D445" s="11" t="s">
        <v>16</v>
      </c>
      <c r="E445" s="15">
        <v>199</v>
      </c>
      <c r="F445" s="11" t="s">
        <v>362</v>
      </c>
      <c r="G445" s="11" t="s">
        <v>747</v>
      </c>
      <c r="H445" s="15" t="s">
        <v>15</v>
      </c>
      <c r="I445" s="15">
        <v>25</v>
      </c>
      <c r="J445" s="12" t="s">
        <v>170</v>
      </c>
      <c r="K445" s="591">
        <f>(25*38)</f>
        <v>950</v>
      </c>
      <c r="L445" s="121" t="s">
        <v>2029</v>
      </c>
      <c r="M445" s="132">
        <v>2</v>
      </c>
      <c r="N445" s="133">
        <f>10+15</f>
        <v>25</v>
      </c>
      <c r="O445" s="119">
        <f t="shared" si="10"/>
        <v>0</v>
      </c>
    </row>
    <row r="446" spans="1:15">
      <c r="A446" s="590" t="s">
        <v>1172</v>
      </c>
      <c r="B446" s="11" t="s">
        <v>9</v>
      </c>
      <c r="C446" s="11">
        <v>46</v>
      </c>
      <c r="D446" s="11" t="s">
        <v>16</v>
      </c>
      <c r="E446" s="15">
        <v>200</v>
      </c>
      <c r="F446" s="11" t="s">
        <v>138</v>
      </c>
      <c r="G446" s="11" t="s">
        <v>747</v>
      </c>
      <c r="H446" s="15" t="s">
        <v>15</v>
      </c>
      <c r="I446" s="15">
        <v>20</v>
      </c>
      <c r="J446" s="12" t="s">
        <v>157</v>
      </c>
      <c r="K446" s="591">
        <f>(20*38)</f>
        <v>760</v>
      </c>
      <c r="L446" s="121" t="s">
        <v>2082</v>
      </c>
      <c r="M446" s="132">
        <v>6</v>
      </c>
      <c r="N446" s="133">
        <v>20</v>
      </c>
      <c r="O446" s="119">
        <f t="shared" si="10"/>
        <v>0</v>
      </c>
    </row>
    <row r="447" spans="1:15">
      <c r="A447" s="590" t="s">
        <v>1174</v>
      </c>
      <c r="B447" s="11" t="s">
        <v>9</v>
      </c>
      <c r="C447" s="11">
        <v>47</v>
      </c>
      <c r="D447" s="11" t="s">
        <v>10</v>
      </c>
      <c r="E447" s="15">
        <v>310</v>
      </c>
      <c r="F447" s="11" t="s">
        <v>521</v>
      </c>
      <c r="G447" s="11" t="s">
        <v>747</v>
      </c>
      <c r="H447" s="15" t="s">
        <v>15</v>
      </c>
      <c r="I447" s="15">
        <v>20</v>
      </c>
      <c r="J447" s="12" t="s">
        <v>157</v>
      </c>
      <c r="K447" s="591">
        <f>(20*38)</f>
        <v>760</v>
      </c>
      <c r="L447" s="121" t="s">
        <v>2055</v>
      </c>
      <c r="M447" s="132">
        <v>3</v>
      </c>
      <c r="N447" s="133">
        <v>20</v>
      </c>
      <c r="O447" s="630">
        <f t="shared" si="10"/>
        <v>0</v>
      </c>
    </row>
    <row r="448" spans="1:15">
      <c r="A448" s="590" t="s">
        <v>1014</v>
      </c>
      <c r="B448" s="11" t="s">
        <v>9</v>
      </c>
      <c r="C448" s="11">
        <v>40</v>
      </c>
      <c r="D448" s="11" t="s">
        <v>29</v>
      </c>
      <c r="E448" s="15">
        <v>216</v>
      </c>
      <c r="F448" s="11" t="s">
        <v>1652</v>
      </c>
      <c r="G448" s="11" t="s">
        <v>466</v>
      </c>
      <c r="H448" s="15" t="s">
        <v>15</v>
      </c>
      <c r="I448" s="15">
        <v>20</v>
      </c>
      <c r="J448" s="12" t="s">
        <v>34</v>
      </c>
      <c r="K448" s="591">
        <f>(19*26)+(1*17.4)</f>
        <v>511.4</v>
      </c>
      <c r="L448" s="121" t="s">
        <v>2033</v>
      </c>
      <c r="M448" s="132">
        <v>15</v>
      </c>
      <c r="N448" s="138">
        <v>20</v>
      </c>
      <c r="O448" s="119">
        <f t="shared" si="10"/>
        <v>0</v>
      </c>
    </row>
    <row r="449" spans="1:15">
      <c r="A449" s="590" t="s">
        <v>1014</v>
      </c>
      <c r="B449" s="11" t="s">
        <v>9</v>
      </c>
      <c r="C449" s="11">
        <v>40</v>
      </c>
      <c r="D449" s="11" t="s">
        <v>29</v>
      </c>
      <c r="E449" s="15">
        <v>220</v>
      </c>
      <c r="F449" s="11" t="s">
        <v>1364</v>
      </c>
      <c r="G449" s="11" t="s">
        <v>466</v>
      </c>
      <c r="H449" s="15" t="s">
        <v>15</v>
      </c>
      <c r="I449" s="15">
        <v>20</v>
      </c>
      <c r="J449" s="12" t="s">
        <v>34</v>
      </c>
      <c r="K449" s="591">
        <f>(19*26)+(1*17.4)</f>
        <v>511.4</v>
      </c>
      <c r="L449" s="121" t="s">
        <v>2033</v>
      </c>
      <c r="M449" s="132">
        <v>15</v>
      </c>
      <c r="N449" s="133">
        <v>20</v>
      </c>
      <c r="O449" s="119">
        <f t="shared" si="10"/>
        <v>0</v>
      </c>
    </row>
    <row r="450" spans="1:15">
      <c r="A450" s="590" t="s">
        <v>1164</v>
      </c>
      <c r="B450" s="11" t="s">
        <v>9</v>
      </c>
      <c r="C450" s="11">
        <v>40</v>
      </c>
      <c r="D450" s="11" t="s">
        <v>10</v>
      </c>
      <c r="E450" s="15">
        <v>941</v>
      </c>
      <c r="F450" s="11" t="s">
        <v>1463</v>
      </c>
      <c r="G450" s="11" t="s">
        <v>676</v>
      </c>
      <c r="H450" s="15" t="s">
        <v>15</v>
      </c>
      <c r="I450" s="15">
        <v>20</v>
      </c>
      <c r="J450" s="12" t="s">
        <v>34</v>
      </c>
      <c r="K450" s="591">
        <f>(19*26)+(1*17.4)</f>
        <v>511.4</v>
      </c>
      <c r="L450" s="121" t="s">
        <v>2100</v>
      </c>
      <c r="M450" s="132"/>
      <c r="N450" s="133">
        <f>10+10</f>
        <v>20</v>
      </c>
      <c r="O450" s="119">
        <f t="shared" si="10"/>
        <v>0</v>
      </c>
    </row>
    <row r="451" spans="1:15">
      <c r="A451" s="590" t="s">
        <v>976</v>
      </c>
      <c r="B451" s="11" t="s">
        <v>9</v>
      </c>
      <c r="C451" s="11">
        <v>38</v>
      </c>
      <c r="D451" s="11" t="s">
        <v>10</v>
      </c>
      <c r="E451" s="11">
        <v>292</v>
      </c>
      <c r="F451" s="11" t="s">
        <v>1543</v>
      </c>
      <c r="G451" s="11" t="s">
        <v>774</v>
      </c>
      <c r="H451" s="11" t="s">
        <v>15</v>
      </c>
      <c r="I451" s="11">
        <v>15</v>
      </c>
      <c r="J451" s="12" t="s">
        <v>37</v>
      </c>
      <c r="K451" s="591">
        <f>(14*26)+(1*17.4)</f>
        <v>381.4</v>
      </c>
      <c r="L451" s="121" t="s">
        <v>2082</v>
      </c>
      <c r="M451" s="132">
        <v>8</v>
      </c>
      <c r="N451" s="133">
        <f>8+7</f>
        <v>15</v>
      </c>
      <c r="O451" s="119">
        <f t="shared" ref="O451:O514" si="12">I451-N451</f>
        <v>0</v>
      </c>
    </row>
    <row r="452" spans="1:15">
      <c r="A452" s="590" t="s">
        <v>976</v>
      </c>
      <c r="B452" s="11" t="s">
        <v>9</v>
      </c>
      <c r="C452" s="11">
        <v>38</v>
      </c>
      <c r="D452" s="11" t="s">
        <v>10</v>
      </c>
      <c r="E452" s="11">
        <v>296</v>
      </c>
      <c r="F452" s="11" t="s">
        <v>556</v>
      </c>
      <c r="G452" s="11" t="s">
        <v>774</v>
      </c>
      <c r="H452" s="11" t="s">
        <v>15</v>
      </c>
      <c r="I452" s="11">
        <v>15</v>
      </c>
      <c r="J452" s="12" t="s">
        <v>156</v>
      </c>
      <c r="K452" s="591">
        <f>(15*26)</f>
        <v>390</v>
      </c>
      <c r="L452" s="121" t="s">
        <v>2082</v>
      </c>
      <c r="M452" s="132">
        <v>4</v>
      </c>
      <c r="N452" s="133">
        <f>7+8</f>
        <v>15</v>
      </c>
      <c r="O452" s="119">
        <f t="shared" si="12"/>
        <v>0</v>
      </c>
    </row>
    <row r="453" spans="1:15">
      <c r="A453" s="590" t="s">
        <v>986</v>
      </c>
      <c r="B453" s="11" t="s">
        <v>9</v>
      </c>
      <c r="C453" s="11">
        <v>39</v>
      </c>
      <c r="D453" s="11" t="s">
        <v>10</v>
      </c>
      <c r="E453" s="11">
        <v>239</v>
      </c>
      <c r="F453" s="11" t="s">
        <v>766</v>
      </c>
      <c r="G453" s="11" t="s">
        <v>774</v>
      </c>
      <c r="H453" s="11" t="s">
        <v>15</v>
      </c>
      <c r="I453" s="11">
        <v>15</v>
      </c>
      <c r="J453" s="12" t="s">
        <v>37</v>
      </c>
      <c r="K453" s="591">
        <f>(14*26)+(1*17.4)</f>
        <v>381.4</v>
      </c>
      <c r="L453" s="121" t="s">
        <v>2082</v>
      </c>
      <c r="M453" s="132">
        <v>4</v>
      </c>
      <c r="N453" s="133">
        <v>15</v>
      </c>
      <c r="O453" s="119">
        <f t="shared" si="12"/>
        <v>0</v>
      </c>
    </row>
    <row r="454" spans="1:15">
      <c r="A454" s="590" t="s">
        <v>986</v>
      </c>
      <c r="B454" s="11" t="s">
        <v>9</v>
      </c>
      <c r="C454" s="11">
        <v>39</v>
      </c>
      <c r="D454" s="11" t="s">
        <v>10</v>
      </c>
      <c r="E454" s="11">
        <v>243</v>
      </c>
      <c r="F454" s="11" t="s">
        <v>745</v>
      </c>
      <c r="G454" s="11" t="s">
        <v>774</v>
      </c>
      <c r="H454" s="11" t="s">
        <v>15</v>
      </c>
      <c r="I454" s="11">
        <v>13</v>
      </c>
      <c r="J454" s="12" t="s">
        <v>1429</v>
      </c>
      <c r="K454" s="591">
        <f>(13*26)</f>
        <v>338</v>
      </c>
      <c r="L454" s="121" t="s">
        <v>2082</v>
      </c>
      <c r="M454" s="132">
        <v>13</v>
      </c>
      <c r="N454" s="133">
        <v>13</v>
      </c>
      <c r="O454" s="119">
        <f t="shared" si="12"/>
        <v>0</v>
      </c>
    </row>
    <row r="455" spans="1:15">
      <c r="A455" s="77" t="s">
        <v>970</v>
      </c>
      <c r="B455" s="15" t="s">
        <v>9</v>
      </c>
      <c r="C455" s="15">
        <v>37</v>
      </c>
      <c r="D455" s="15" t="s">
        <v>7</v>
      </c>
      <c r="E455" s="15">
        <v>243</v>
      </c>
      <c r="F455" s="15" t="s">
        <v>1511</v>
      </c>
      <c r="G455" s="15" t="s">
        <v>1512</v>
      </c>
      <c r="H455" s="15" t="s">
        <v>143</v>
      </c>
      <c r="I455" s="15">
        <v>20</v>
      </c>
      <c r="J455" s="18" t="s">
        <v>31</v>
      </c>
      <c r="K455" s="589">
        <f>(19*38)+(1*29.4)</f>
        <v>751.4</v>
      </c>
      <c r="L455" s="121" t="s">
        <v>2082</v>
      </c>
      <c r="M455" s="132">
        <v>14</v>
      </c>
      <c r="N455" s="133">
        <v>20</v>
      </c>
      <c r="O455" s="119">
        <f t="shared" si="12"/>
        <v>0</v>
      </c>
    </row>
    <row r="456" spans="1:15">
      <c r="A456" s="590" t="s">
        <v>1192</v>
      </c>
      <c r="B456" s="11" t="s">
        <v>9</v>
      </c>
      <c r="C456" s="11">
        <v>49</v>
      </c>
      <c r="D456" s="11" t="s">
        <v>7</v>
      </c>
      <c r="E456" s="15">
        <v>250</v>
      </c>
      <c r="F456" s="11" t="s">
        <v>737</v>
      </c>
      <c r="G456" s="11" t="s">
        <v>1512</v>
      </c>
      <c r="H456" s="15" t="s">
        <v>5</v>
      </c>
      <c r="I456" s="15">
        <v>20</v>
      </c>
      <c r="J456" s="12" t="s">
        <v>31</v>
      </c>
      <c r="K456" s="591">
        <f>(19*38)+(1*29.4)</f>
        <v>751.4</v>
      </c>
      <c r="L456" s="121" t="s">
        <v>2082</v>
      </c>
      <c r="M456" s="136">
        <v>3</v>
      </c>
      <c r="N456" s="133">
        <f>10+10</f>
        <v>20</v>
      </c>
      <c r="O456" s="119">
        <f t="shared" si="12"/>
        <v>0</v>
      </c>
    </row>
    <row r="457" spans="1:15">
      <c r="A457" s="590" t="s">
        <v>1192</v>
      </c>
      <c r="B457" s="11" t="s">
        <v>9</v>
      </c>
      <c r="C457" s="11">
        <v>49</v>
      </c>
      <c r="D457" s="11" t="s">
        <v>7</v>
      </c>
      <c r="E457" s="15">
        <v>251</v>
      </c>
      <c r="F457" s="11" t="s">
        <v>459</v>
      </c>
      <c r="G457" s="11" t="s">
        <v>1512</v>
      </c>
      <c r="H457" s="15" t="s">
        <v>5</v>
      </c>
      <c r="I457" s="15">
        <v>20</v>
      </c>
      <c r="J457" s="12" t="s">
        <v>31</v>
      </c>
      <c r="K457" s="591">
        <f>(19*38)+(1*29.4)</f>
        <v>751.4</v>
      </c>
      <c r="L457" s="121" t="s">
        <v>2082</v>
      </c>
      <c r="M457" s="136">
        <v>6</v>
      </c>
      <c r="N457" s="133">
        <v>20</v>
      </c>
      <c r="O457" s="119">
        <f t="shared" si="12"/>
        <v>0</v>
      </c>
    </row>
    <row r="458" spans="1:15">
      <c r="A458" s="590" t="s">
        <v>1192</v>
      </c>
      <c r="B458" s="11" t="s">
        <v>9</v>
      </c>
      <c r="C458" s="11">
        <v>49</v>
      </c>
      <c r="D458" s="11" t="s">
        <v>7</v>
      </c>
      <c r="E458" s="15">
        <v>270</v>
      </c>
      <c r="F458" s="11" t="s">
        <v>754</v>
      </c>
      <c r="G458" s="11" t="s">
        <v>1512</v>
      </c>
      <c r="H458" s="15" t="s">
        <v>15</v>
      </c>
      <c r="I458" s="15">
        <v>10</v>
      </c>
      <c r="J458" s="12" t="s">
        <v>1905</v>
      </c>
      <c r="K458" s="591">
        <f>(10*38)</f>
        <v>380</v>
      </c>
      <c r="L458" s="121" t="s">
        <v>2082</v>
      </c>
      <c r="M458" s="136">
        <v>7</v>
      </c>
      <c r="N458" s="133">
        <v>10</v>
      </c>
      <c r="O458" s="119">
        <f t="shared" si="12"/>
        <v>0</v>
      </c>
    </row>
    <row r="459" spans="1:15">
      <c r="A459" s="590" t="s">
        <v>1192</v>
      </c>
      <c r="B459" s="11" t="s">
        <v>9</v>
      </c>
      <c r="C459" s="11">
        <v>49</v>
      </c>
      <c r="D459" s="11" t="s">
        <v>7</v>
      </c>
      <c r="E459" s="15">
        <v>271</v>
      </c>
      <c r="F459" s="11" t="s">
        <v>1381</v>
      </c>
      <c r="G459" s="11" t="s">
        <v>1512</v>
      </c>
      <c r="H459" s="15" t="s">
        <v>15</v>
      </c>
      <c r="I459" s="15">
        <v>15</v>
      </c>
      <c r="J459" s="12" t="s">
        <v>14</v>
      </c>
      <c r="K459" s="591">
        <f>(14*38)+(1*29.4)</f>
        <v>561.4</v>
      </c>
      <c r="L459" s="121" t="s">
        <v>2082</v>
      </c>
      <c r="M459" s="136">
        <v>4</v>
      </c>
      <c r="N459" s="133">
        <f>9+6</f>
        <v>15</v>
      </c>
      <c r="O459" s="119">
        <f t="shared" si="12"/>
        <v>0</v>
      </c>
    </row>
    <row r="460" spans="1:15">
      <c r="A460" s="590" t="s">
        <v>1975</v>
      </c>
      <c r="B460" s="11" t="s">
        <v>9</v>
      </c>
      <c r="C460" s="11">
        <v>49</v>
      </c>
      <c r="D460" s="11" t="s">
        <v>7</v>
      </c>
      <c r="E460" s="15">
        <v>249</v>
      </c>
      <c r="F460" s="11" t="s">
        <v>654</v>
      </c>
      <c r="G460" s="11" t="s">
        <v>1512</v>
      </c>
      <c r="H460" s="15" t="s">
        <v>5</v>
      </c>
      <c r="I460" s="15">
        <v>20</v>
      </c>
      <c r="J460" s="12" t="s">
        <v>31</v>
      </c>
      <c r="K460" s="591">
        <f>(19*38)+(1*29.4)</f>
        <v>751.4</v>
      </c>
      <c r="L460" s="121" t="s">
        <v>2055</v>
      </c>
      <c r="M460" s="136">
        <v>2</v>
      </c>
      <c r="N460" s="133">
        <v>20</v>
      </c>
      <c r="O460" s="119">
        <f t="shared" si="12"/>
        <v>0</v>
      </c>
    </row>
    <row r="461" spans="1:15">
      <c r="A461" s="590" t="s">
        <v>1977</v>
      </c>
      <c r="B461" s="11" t="s">
        <v>9</v>
      </c>
      <c r="C461" s="11">
        <v>48</v>
      </c>
      <c r="D461" s="11" t="s">
        <v>7</v>
      </c>
      <c r="E461" s="15">
        <v>294</v>
      </c>
      <c r="F461" s="11" t="s">
        <v>20</v>
      </c>
      <c r="G461" s="11" t="s">
        <v>1512</v>
      </c>
      <c r="H461" s="15" t="s">
        <v>5</v>
      </c>
      <c r="I461" s="15">
        <v>20</v>
      </c>
      <c r="J461" s="12" t="s">
        <v>31</v>
      </c>
      <c r="K461" s="591">
        <f>(19*38)+(1*29.4)</f>
        <v>751.4</v>
      </c>
      <c r="L461" s="121" t="s">
        <v>2055</v>
      </c>
      <c r="M461" s="136"/>
      <c r="N461" s="133">
        <v>20</v>
      </c>
      <c r="O461" s="119">
        <f t="shared" si="12"/>
        <v>0</v>
      </c>
    </row>
    <row r="462" spans="1:15">
      <c r="A462" s="590" t="s">
        <v>1977</v>
      </c>
      <c r="B462" s="11" t="s">
        <v>9</v>
      </c>
      <c r="C462" s="11">
        <v>48</v>
      </c>
      <c r="D462" s="11" t="s">
        <v>7</v>
      </c>
      <c r="E462" s="15">
        <v>298</v>
      </c>
      <c r="F462" s="11" t="s">
        <v>138</v>
      </c>
      <c r="G462" s="11" t="s">
        <v>1512</v>
      </c>
      <c r="H462" s="15" t="s">
        <v>5</v>
      </c>
      <c r="I462" s="15">
        <v>15</v>
      </c>
      <c r="J462" s="12" t="s">
        <v>14</v>
      </c>
      <c r="K462" s="591">
        <f>(14*38)+(1*29.4)</f>
        <v>561.4</v>
      </c>
      <c r="L462" s="121" t="s">
        <v>2055</v>
      </c>
      <c r="M462" s="136"/>
      <c r="N462" s="132">
        <v>15</v>
      </c>
      <c r="O462" s="119">
        <f t="shared" si="12"/>
        <v>0</v>
      </c>
    </row>
    <row r="463" spans="1:15">
      <c r="A463" s="590" t="s">
        <v>1144</v>
      </c>
      <c r="B463" s="11" t="s">
        <v>150</v>
      </c>
      <c r="C463" s="11">
        <v>43</v>
      </c>
      <c r="D463" s="11" t="s">
        <v>50</v>
      </c>
      <c r="E463" s="11">
        <v>490</v>
      </c>
      <c r="F463" s="11" t="s">
        <v>1326</v>
      </c>
      <c r="G463" s="11" t="s">
        <v>1517</v>
      </c>
      <c r="H463" s="11" t="s">
        <v>15</v>
      </c>
      <c r="I463" s="11">
        <v>21</v>
      </c>
      <c r="J463" s="12" t="s">
        <v>1571</v>
      </c>
      <c r="K463" s="591">
        <f>(19*36)+(2*28.3)</f>
        <v>740.6</v>
      </c>
      <c r="L463" s="120" t="s">
        <v>2033</v>
      </c>
      <c r="M463" s="132">
        <v>14</v>
      </c>
      <c r="N463" s="133">
        <v>21</v>
      </c>
      <c r="O463" s="119">
        <f t="shared" si="12"/>
        <v>0</v>
      </c>
    </row>
    <row r="464" spans="1:15">
      <c r="A464" s="77" t="s">
        <v>1129</v>
      </c>
      <c r="B464" s="15" t="s">
        <v>9</v>
      </c>
      <c r="C464" s="15">
        <v>38</v>
      </c>
      <c r="D464" s="15" t="s">
        <v>26</v>
      </c>
      <c r="E464" s="15">
        <v>105</v>
      </c>
      <c r="F464" s="15" t="s">
        <v>1447</v>
      </c>
      <c r="G464" s="15" t="s">
        <v>550</v>
      </c>
      <c r="H464" s="15" t="s">
        <v>5</v>
      </c>
      <c r="I464" s="15">
        <v>20</v>
      </c>
      <c r="J464" s="18" t="s">
        <v>31</v>
      </c>
      <c r="K464" s="589">
        <f>(19*38)+(1*29.4)</f>
        <v>751.4</v>
      </c>
      <c r="L464" s="120" t="s">
        <v>2029</v>
      </c>
      <c r="M464" s="132">
        <v>4</v>
      </c>
      <c r="N464" s="133">
        <v>20</v>
      </c>
      <c r="O464" s="119">
        <f t="shared" si="12"/>
        <v>0</v>
      </c>
    </row>
    <row r="465" spans="1:15">
      <c r="A465" s="77" t="s">
        <v>1129</v>
      </c>
      <c r="B465" s="15" t="s">
        <v>9</v>
      </c>
      <c r="C465" s="15">
        <v>38</v>
      </c>
      <c r="D465" s="15" t="s">
        <v>26</v>
      </c>
      <c r="E465" s="15">
        <v>107</v>
      </c>
      <c r="F465" s="15" t="s">
        <v>689</v>
      </c>
      <c r="G465" s="15" t="s">
        <v>550</v>
      </c>
      <c r="H465" s="15" t="s">
        <v>15</v>
      </c>
      <c r="I465" s="15">
        <v>20</v>
      </c>
      <c r="J465" s="18" t="s">
        <v>31</v>
      </c>
      <c r="K465" s="589">
        <f>(19*38)+(1*29.4)</f>
        <v>751.4</v>
      </c>
      <c r="L465" s="120" t="s">
        <v>2082</v>
      </c>
      <c r="M465" s="132">
        <v>2</v>
      </c>
      <c r="N465" s="133">
        <f>10+10</f>
        <v>20</v>
      </c>
      <c r="O465" s="119">
        <f t="shared" si="12"/>
        <v>0</v>
      </c>
    </row>
    <row r="466" spans="1:15">
      <c r="A466" s="590" t="s">
        <v>1131</v>
      </c>
      <c r="B466" s="11" t="s">
        <v>9</v>
      </c>
      <c r="C466" s="11">
        <v>38</v>
      </c>
      <c r="D466" s="11" t="s">
        <v>7</v>
      </c>
      <c r="E466" s="11">
        <v>708</v>
      </c>
      <c r="F466" s="11" t="s">
        <v>735</v>
      </c>
      <c r="G466" s="11" t="s">
        <v>1535</v>
      </c>
      <c r="H466" s="11" t="s">
        <v>5</v>
      </c>
      <c r="I466" s="11">
        <v>20</v>
      </c>
      <c r="J466" s="12" t="s">
        <v>31</v>
      </c>
      <c r="K466" s="591">
        <f>(19*38)+(1*29.4)</f>
        <v>751.4</v>
      </c>
      <c r="L466" s="120" t="s">
        <v>2033</v>
      </c>
      <c r="M466" s="132">
        <v>6</v>
      </c>
      <c r="N466" s="133">
        <v>20</v>
      </c>
      <c r="O466" s="119">
        <f t="shared" si="12"/>
        <v>0</v>
      </c>
    </row>
    <row r="467" spans="1:15">
      <c r="A467" s="590" t="s">
        <v>976</v>
      </c>
      <c r="B467" s="11" t="s">
        <v>9</v>
      </c>
      <c r="C467" s="11">
        <v>38</v>
      </c>
      <c r="D467" s="11" t="s">
        <v>7</v>
      </c>
      <c r="E467" s="11">
        <v>711</v>
      </c>
      <c r="F467" s="11" t="s">
        <v>1454</v>
      </c>
      <c r="G467" s="11" t="s">
        <v>1535</v>
      </c>
      <c r="H467" s="11" t="s">
        <v>15</v>
      </c>
      <c r="I467" s="11">
        <v>20</v>
      </c>
      <c r="J467" s="12" t="s">
        <v>31</v>
      </c>
      <c r="K467" s="591">
        <f>(19*38)+(1*29.4)</f>
        <v>751.4</v>
      </c>
      <c r="L467" s="120" t="s">
        <v>2082</v>
      </c>
      <c r="M467" s="132">
        <v>11</v>
      </c>
      <c r="N467" s="133">
        <v>20</v>
      </c>
      <c r="O467" s="119">
        <f t="shared" si="12"/>
        <v>0</v>
      </c>
    </row>
    <row r="468" spans="1:15">
      <c r="A468" s="590" t="s">
        <v>1014</v>
      </c>
      <c r="B468" s="11" t="s">
        <v>9</v>
      </c>
      <c r="C468" s="11">
        <v>40</v>
      </c>
      <c r="D468" s="11" t="s">
        <v>29</v>
      </c>
      <c r="E468" s="15">
        <v>255</v>
      </c>
      <c r="F468" s="11" t="s">
        <v>100</v>
      </c>
      <c r="G468" s="11" t="s">
        <v>363</v>
      </c>
      <c r="H468" s="15" t="s">
        <v>15</v>
      </c>
      <c r="I468" s="15">
        <v>15</v>
      </c>
      <c r="J468" s="12" t="s">
        <v>156</v>
      </c>
      <c r="K468" s="591">
        <f>(15*26)</f>
        <v>390</v>
      </c>
      <c r="L468" s="121" t="s">
        <v>2029</v>
      </c>
      <c r="M468" s="132">
        <v>2</v>
      </c>
      <c r="N468" s="133">
        <v>15</v>
      </c>
      <c r="O468" s="119">
        <f t="shared" si="12"/>
        <v>0</v>
      </c>
    </row>
    <row r="469" spans="1:15">
      <c r="A469" s="590" t="s">
        <v>1004</v>
      </c>
      <c r="B469" s="11" t="s">
        <v>9</v>
      </c>
      <c r="C469" s="11">
        <v>44</v>
      </c>
      <c r="D469" s="11" t="s">
        <v>10</v>
      </c>
      <c r="E469" s="15">
        <v>1067</v>
      </c>
      <c r="F469" s="11" t="s">
        <v>1625</v>
      </c>
      <c r="G469" s="11" t="s">
        <v>465</v>
      </c>
      <c r="H469" s="15" t="s">
        <v>15</v>
      </c>
      <c r="I469" s="15">
        <v>20</v>
      </c>
      <c r="J469" s="12" t="s">
        <v>17</v>
      </c>
      <c r="K469" s="591">
        <f t="shared" ref="K469:K480" si="13">(19*35)+(1*26.4)</f>
        <v>691.4</v>
      </c>
      <c r="L469" s="121" t="s">
        <v>2033</v>
      </c>
      <c r="M469" s="132">
        <v>6</v>
      </c>
      <c r="N469" s="133">
        <f>10+10</f>
        <v>20</v>
      </c>
      <c r="O469" s="119">
        <f t="shared" si="12"/>
        <v>0</v>
      </c>
    </row>
    <row r="470" spans="1:15">
      <c r="A470" s="590" t="s">
        <v>986</v>
      </c>
      <c r="B470" s="11" t="s">
        <v>9</v>
      </c>
      <c r="C470" s="11">
        <v>39</v>
      </c>
      <c r="D470" s="11" t="s">
        <v>10</v>
      </c>
      <c r="E470" s="11">
        <v>262</v>
      </c>
      <c r="F470" s="11" t="s">
        <v>1559</v>
      </c>
      <c r="G470" s="11" t="s">
        <v>179</v>
      </c>
      <c r="H470" s="11" t="s">
        <v>15</v>
      </c>
      <c r="I470" s="11">
        <v>20</v>
      </c>
      <c r="J470" s="12" t="s">
        <v>17</v>
      </c>
      <c r="K470" s="591">
        <f t="shared" si="13"/>
        <v>691.4</v>
      </c>
      <c r="L470" s="120" t="s">
        <v>2055</v>
      </c>
      <c r="M470" s="132">
        <v>2</v>
      </c>
      <c r="N470" s="133">
        <v>20</v>
      </c>
      <c r="O470" s="119">
        <f t="shared" si="12"/>
        <v>0</v>
      </c>
    </row>
    <row r="471" spans="1:15">
      <c r="A471" s="590" t="s">
        <v>986</v>
      </c>
      <c r="B471" s="11" t="s">
        <v>9</v>
      </c>
      <c r="C471" s="11">
        <v>39</v>
      </c>
      <c r="D471" s="11" t="s">
        <v>10</v>
      </c>
      <c r="E471" s="11">
        <v>267</v>
      </c>
      <c r="F471" s="11" t="s">
        <v>756</v>
      </c>
      <c r="G471" s="11" t="s">
        <v>179</v>
      </c>
      <c r="H471" s="11" t="s">
        <v>15</v>
      </c>
      <c r="I471" s="11">
        <v>20</v>
      </c>
      <c r="J471" s="12" t="s">
        <v>17</v>
      </c>
      <c r="K471" s="591">
        <f t="shared" si="13"/>
        <v>691.4</v>
      </c>
      <c r="L471" s="121" t="s">
        <v>2055</v>
      </c>
      <c r="M471" s="120">
        <v>2</v>
      </c>
      <c r="N471" s="130">
        <v>20</v>
      </c>
      <c r="O471" s="119">
        <f t="shared" si="12"/>
        <v>0</v>
      </c>
    </row>
    <row r="472" spans="1:15">
      <c r="A472" s="590" t="s">
        <v>1174</v>
      </c>
      <c r="B472" s="11" t="s">
        <v>9</v>
      </c>
      <c r="C472" s="11">
        <v>46</v>
      </c>
      <c r="D472" s="11" t="s">
        <v>10</v>
      </c>
      <c r="E472" s="15">
        <v>362</v>
      </c>
      <c r="F472" s="11" t="s">
        <v>588</v>
      </c>
      <c r="G472" s="11" t="s">
        <v>179</v>
      </c>
      <c r="H472" s="15" t="s">
        <v>15</v>
      </c>
      <c r="I472" s="15">
        <v>20</v>
      </c>
      <c r="J472" s="12" t="s">
        <v>17</v>
      </c>
      <c r="K472" s="591">
        <f t="shared" si="13"/>
        <v>691.4</v>
      </c>
      <c r="L472" s="121" t="s">
        <v>2033</v>
      </c>
      <c r="M472" s="132">
        <v>5</v>
      </c>
      <c r="N472" s="133">
        <f>10+10</f>
        <v>20</v>
      </c>
      <c r="O472" s="119">
        <f t="shared" si="12"/>
        <v>0</v>
      </c>
    </row>
    <row r="473" spans="1:15">
      <c r="A473" s="590" t="s">
        <v>1174</v>
      </c>
      <c r="B473" s="11" t="s">
        <v>9</v>
      </c>
      <c r="C473" s="11">
        <v>46</v>
      </c>
      <c r="D473" s="11" t="s">
        <v>10</v>
      </c>
      <c r="E473" s="15">
        <v>363</v>
      </c>
      <c r="F473" s="11" t="s">
        <v>412</v>
      </c>
      <c r="G473" s="11" t="s">
        <v>179</v>
      </c>
      <c r="H473" s="15" t="s">
        <v>15</v>
      </c>
      <c r="I473" s="15">
        <v>20</v>
      </c>
      <c r="J473" s="12" t="s">
        <v>17</v>
      </c>
      <c r="K473" s="591">
        <f t="shared" si="13"/>
        <v>691.4</v>
      </c>
      <c r="L473" s="121" t="s">
        <v>2029</v>
      </c>
      <c r="M473" s="132">
        <v>4</v>
      </c>
      <c r="N473" s="133">
        <v>20</v>
      </c>
      <c r="O473" s="119">
        <f t="shared" si="12"/>
        <v>0</v>
      </c>
    </row>
    <row r="474" spans="1:15">
      <c r="A474" s="590" t="s">
        <v>1174</v>
      </c>
      <c r="B474" s="11" t="s">
        <v>9</v>
      </c>
      <c r="C474" s="11">
        <v>46</v>
      </c>
      <c r="D474" s="11" t="s">
        <v>10</v>
      </c>
      <c r="E474" s="15">
        <v>364</v>
      </c>
      <c r="F474" s="11" t="s">
        <v>792</v>
      </c>
      <c r="G474" s="11" t="s">
        <v>179</v>
      </c>
      <c r="H474" s="15" t="s">
        <v>15</v>
      </c>
      <c r="I474" s="15">
        <v>20</v>
      </c>
      <c r="J474" s="12" t="s">
        <v>17</v>
      </c>
      <c r="K474" s="591">
        <f t="shared" si="13"/>
        <v>691.4</v>
      </c>
      <c r="L474" s="121" t="s">
        <v>2029</v>
      </c>
      <c r="M474" s="132" t="s">
        <v>2032</v>
      </c>
      <c r="N474" s="133">
        <f>10+10</f>
        <v>20</v>
      </c>
      <c r="O474" s="119">
        <f t="shared" si="12"/>
        <v>0</v>
      </c>
    </row>
    <row r="475" spans="1:15">
      <c r="A475" s="590" t="s">
        <v>1174</v>
      </c>
      <c r="B475" s="11" t="s">
        <v>9</v>
      </c>
      <c r="C475" s="11">
        <v>46</v>
      </c>
      <c r="D475" s="11" t="s">
        <v>10</v>
      </c>
      <c r="E475" s="15">
        <v>365</v>
      </c>
      <c r="F475" s="11" t="s">
        <v>566</v>
      </c>
      <c r="G475" s="11" t="s">
        <v>179</v>
      </c>
      <c r="H475" s="15" t="s">
        <v>15</v>
      </c>
      <c r="I475" s="15">
        <v>20</v>
      </c>
      <c r="J475" s="12" t="s">
        <v>17</v>
      </c>
      <c r="K475" s="591">
        <f t="shared" si="13"/>
        <v>691.4</v>
      </c>
      <c r="L475" s="121" t="s">
        <v>2029</v>
      </c>
      <c r="M475" s="132">
        <v>2</v>
      </c>
      <c r="N475" s="133">
        <v>20</v>
      </c>
      <c r="O475" s="119">
        <f t="shared" si="12"/>
        <v>0</v>
      </c>
    </row>
    <row r="476" spans="1:15">
      <c r="A476" s="590" t="s">
        <v>1975</v>
      </c>
      <c r="B476" s="11" t="s">
        <v>9</v>
      </c>
      <c r="C476" s="11">
        <v>49</v>
      </c>
      <c r="D476" s="11" t="s">
        <v>10</v>
      </c>
      <c r="E476" s="15">
        <v>361</v>
      </c>
      <c r="F476" s="11" t="s">
        <v>2014</v>
      </c>
      <c r="G476" s="11" t="s">
        <v>179</v>
      </c>
      <c r="H476" s="15" t="s">
        <v>15</v>
      </c>
      <c r="I476" s="15">
        <v>20</v>
      </c>
      <c r="J476" s="12" t="s">
        <v>17</v>
      </c>
      <c r="K476" s="591">
        <f t="shared" si="13"/>
        <v>691.4</v>
      </c>
      <c r="L476" s="121" t="s">
        <v>2033</v>
      </c>
      <c r="M476" s="132">
        <v>3</v>
      </c>
      <c r="N476" s="133">
        <v>20</v>
      </c>
      <c r="O476" s="119">
        <f t="shared" si="12"/>
        <v>0</v>
      </c>
    </row>
    <row r="477" spans="1:15">
      <c r="A477" s="590" t="s">
        <v>1975</v>
      </c>
      <c r="B477" s="11" t="s">
        <v>9</v>
      </c>
      <c r="C477" s="11">
        <v>49</v>
      </c>
      <c r="D477" s="11" t="s">
        <v>10</v>
      </c>
      <c r="E477" s="15">
        <v>362</v>
      </c>
      <c r="F477" s="11" t="s">
        <v>398</v>
      </c>
      <c r="G477" s="11" t="s">
        <v>179</v>
      </c>
      <c r="H477" s="15" t="s">
        <v>15</v>
      </c>
      <c r="I477" s="15">
        <v>20</v>
      </c>
      <c r="J477" s="12" t="s">
        <v>17</v>
      </c>
      <c r="K477" s="591">
        <f t="shared" si="13"/>
        <v>691.4</v>
      </c>
      <c r="L477" s="121" t="s">
        <v>2033</v>
      </c>
      <c r="M477" s="132">
        <v>3</v>
      </c>
      <c r="N477" s="133">
        <v>20</v>
      </c>
      <c r="O477" s="119">
        <f t="shared" si="12"/>
        <v>0</v>
      </c>
    </row>
    <row r="478" spans="1:15">
      <c r="A478" s="590" t="s">
        <v>1975</v>
      </c>
      <c r="B478" s="11" t="s">
        <v>9</v>
      </c>
      <c r="C478" s="11">
        <v>49</v>
      </c>
      <c r="D478" s="11" t="s">
        <v>10</v>
      </c>
      <c r="E478" s="15">
        <v>376</v>
      </c>
      <c r="F478" s="11" t="s">
        <v>2015</v>
      </c>
      <c r="G478" s="11" t="s">
        <v>179</v>
      </c>
      <c r="H478" s="15" t="s">
        <v>15</v>
      </c>
      <c r="I478" s="15">
        <v>20</v>
      </c>
      <c r="J478" s="12" t="s">
        <v>17</v>
      </c>
      <c r="K478" s="591">
        <f t="shared" si="13"/>
        <v>691.4</v>
      </c>
      <c r="L478" s="121" t="s">
        <v>2033</v>
      </c>
      <c r="M478" s="132">
        <v>3</v>
      </c>
      <c r="N478" s="133">
        <v>20</v>
      </c>
      <c r="O478" s="119">
        <f t="shared" si="12"/>
        <v>0</v>
      </c>
    </row>
    <row r="479" spans="1:15">
      <c r="A479" s="590" t="s">
        <v>1975</v>
      </c>
      <c r="B479" s="11" t="s">
        <v>9</v>
      </c>
      <c r="C479" s="11">
        <v>49</v>
      </c>
      <c r="D479" s="11" t="s">
        <v>10</v>
      </c>
      <c r="E479" s="15">
        <v>377</v>
      </c>
      <c r="F479" s="11" t="s">
        <v>2016</v>
      </c>
      <c r="G479" s="11" t="s">
        <v>179</v>
      </c>
      <c r="H479" s="15" t="s">
        <v>15</v>
      </c>
      <c r="I479" s="15">
        <v>20</v>
      </c>
      <c r="J479" s="12" t="s">
        <v>17</v>
      </c>
      <c r="K479" s="591">
        <f t="shared" si="13"/>
        <v>691.4</v>
      </c>
      <c r="L479" s="121" t="s">
        <v>2033</v>
      </c>
      <c r="M479" s="132">
        <v>3</v>
      </c>
      <c r="N479" s="133">
        <v>20</v>
      </c>
      <c r="O479" s="119">
        <f t="shared" si="12"/>
        <v>0</v>
      </c>
    </row>
    <row r="480" spans="1:15">
      <c r="A480" s="590" t="s">
        <v>1975</v>
      </c>
      <c r="B480" s="11" t="s">
        <v>9</v>
      </c>
      <c r="C480" s="11">
        <v>49</v>
      </c>
      <c r="D480" s="11" t="s">
        <v>10</v>
      </c>
      <c r="E480" s="15">
        <v>378</v>
      </c>
      <c r="F480" s="11" t="s">
        <v>2017</v>
      </c>
      <c r="G480" s="11" t="s">
        <v>179</v>
      </c>
      <c r="H480" s="15" t="s">
        <v>15</v>
      </c>
      <c r="I480" s="15">
        <v>20</v>
      </c>
      <c r="J480" s="12" t="s">
        <v>17</v>
      </c>
      <c r="K480" s="591">
        <f t="shared" si="13"/>
        <v>691.4</v>
      </c>
      <c r="L480" s="121" t="s">
        <v>2033</v>
      </c>
      <c r="M480" s="132">
        <v>3</v>
      </c>
      <c r="N480" s="133">
        <v>20</v>
      </c>
      <c r="O480" s="119">
        <f t="shared" si="12"/>
        <v>0</v>
      </c>
    </row>
    <row r="481" spans="1:15">
      <c r="A481" s="590" t="s">
        <v>1031</v>
      </c>
      <c r="B481" s="11" t="s">
        <v>9</v>
      </c>
      <c r="C481" s="11">
        <v>45</v>
      </c>
      <c r="D481" s="11" t="s">
        <v>10</v>
      </c>
      <c r="E481" s="15">
        <v>33</v>
      </c>
      <c r="F481" s="11" t="s">
        <v>482</v>
      </c>
      <c r="G481" s="11" t="s">
        <v>820</v>
      </c>
      <c r="H481" s="15" t="s">
        <v>5</v>
      </c>
      <c r="I481" s="15">
        <v>10</v>
      </c>
      <c r="J481" s="12" t="s">
        <v>755</v>
      </c>
      <c r="K481" s="591">
        <f>(9*36)+(1*27.4)</f>
        <v>351.4</v>
      </c>
      <c r="L481" s="120" t="s">
        <v>2055</v>
      </c>
      <c r="M481" s="132">
        <v>1</v>
      </c>
      <c r="N481" s="138">
        <v>10</v>
      </c>
      <c r="O481" s="119">
        <f t="shared" si="12"/>
        <v>0</v>
      </c>
    </row>
    <row r="482" spans="1:15">
      <c r="A482" s="590" t="s">
        <v>1031</v>
      </c>
      <c r="B482" s="11" t="s">
        <v>9</v>
      </c>
      <c r="C482" s="11">
        <v>45</v>
      </c>
      <c r="D482" s="11" t="s">
        <v>10</v>
      </c>
      <c r="E482" s="15">
        <v>36</v>
      </c>
      <c r="F482" s="11" t="s">
        <v>1335</v>
      </c>
      <c r="G482" s="11" t="s">
        <v>820</v>
      </c>
      <c r="H482" s="15" t="s">
        <v>5</v>
      </c>
      <c r="I482" s="15">
        <v>20</v>
      </c>
      <c r="J482" s="12" t="s">
        <v>1403</v>
      </c>
      <c r="K482" s="591">
        <f>(18*36)+(2*27.4)</f>
        <v>702.8</v>
      </c>
      <c r="L482" s="120" t="s">
        <v>2055</v>
      </c>
      <c r="M482" s="132">
        <v>1</v>
      </c>
      <c r="N482" s="133">
        <v>20</v>
      </c>
      <c r="O482" s="119">
        <f t="shared" si="12"/>
        <v>0</v>
      </c>
    </row>
    <row r="483" spans="1:15">
      <c r="A483" s="590" t="s">
        <v>1174</v>
      </c>
      <c r="B483" s="11" t="s">
        <v>9</v>
      </c>
      <c r="C483" s="11">
        <v>46</v>
      </c>
      <c r="D483" s="11" t="s">
        <v>10</v>
      </c>
      <c r="E483" s="15">
        <v>11</v>
      </c>
      <c r="F483" s="11" t="s">
        <v>76</v>
      </c>
      <c r="G483" s="11" t="s">
        <v>820</v>
      </c>
      <c r="H483" s="15" t="s">
        <v>5</v>
      </c>
      <c r="I483" s="15">
        <v>20</v>
      </c>
      <c r="J483" s="12" t="s">
        <v>492</v>
      </c>
      <c r="K483" s="591">
        <f>(20*36)</f>
        <v>720</v>
      </c>
      <c r="L483" s="121" t="s">
        <v>2055</v>
      </c>
      <c r="M483" s="132">
        <v>4</v>
      </c>
      <c r="N483" s="133">
        <v>20</v>
      </c>
      <c r="O483" s="119">
        <f t="shared" si="12"/>
        <v>0</v>
      </c>
    </row>
    <row r="484" spans="1:15">
      <c r="A484" s="590" t="s">
        <v>998</v>
      </c>
      <c r="B484" s="11" t="s">
        <v>150</v>
      </c>
      <c r="C484" s="11">
        <v>44</v>
      </c>
      <c r="D484" s="11" t="s">
        <v>7</v>
      </c>
      <c r="E484" s="15">
        <v>950</v>
      </c>
      <c r="F484" s="11" t="s">
        <v>1443</v>
      </c>
      <c r="G484" s="11" t="s">
        <v>1576</v>
      </c>
      <c r="H484" s="15" t="s">
        <v>5</v>
      </c>
      <c r="I484" s="15">
        <v>20</v>
      </c>
      <c r="J484" s="12" t="s">
        <v>155</v>
      </c>
      <c r="K484" s="591">
        <f>(20*26)</f>
        <v>520</v>
      </c>
      <c r="L484" s="121" t="s">
        <v>2033</v>
      </c>
      <c r="M484" s="132">
        <v>15</v>
      </c>
      <c r="N484" s="133">
        <v>20</v>
      </c>
      <c r="O484" s="119">
        <f t="shared" si="12"/>
        <v>0</v>
      </c>
    </row>
    <row r="485" spans="1:15">
      <c r="A485" s="590" t="s">
        <v>1005</v>
      </c>
      <c r="B485" s="11" t="s">
        <v>150</v>
      </c>
      <c r="C485" s="11">
        <v>44</v>
      </c>
      <c r="D485" s="11" t="s">
        <v>7</v>
      </c>
      <c r="E485" s="15">
        <v>952</v>
      </c>
      <c r="F485" s="11" t="s">
        <v>759</v>
      </c>
      <c r="G485" s="11" t="s">
        <v>1576</v>
      </c>
      <c r="H485" s="15" t="s">
        <v>5</v>
      </c>
      <c r="I485" s="15">
        <v>15</v>
      </c>
      <c r="J485" s="12" t="s">
        <v>710</v>
      </c>
      <c r="K485" s="591">
        <f>(14*26)+(1*18.3)</f>
        <v>382.3</v>
      </c>
      <c r="L485" s="121" t="s">
        <v>2082</v>
      </c>
      <c r="M485" s="120">
        <v>15</v>
      </c>
      <c r="N485" s="130">
        <v>15</v>
      </c>
      <c r="O485" s="630">
        <f t="shared" si="12"/>
        <v>0</v>
      </c>
    </row>
    <row r="486" spans="1:15">
      <c r="A486" s="590" t="s">
        <v>1005</v>
      </c>
      <c r="B486" s="11" t="s">
        <v>150</v>
      </c>
      <c r="C486" s="11">
        <v>44</v>
      </c>
      <c r="D486" s="11" t="s">
        <v>7</v>
      </c>
      <c r="E486" s="15">
        <v>958</v>
      </c>
      <c r="F486" s="11" t="s">
        <v>1562</v>
      </c>
      <c r="G486" s="11" t="s">
        <v>1576</v>
      </c>
      <c r="H486" s="15" t="s">
        <v>5</v>
      </c>
      <c r="I486" s="15">
        <v>20</v>
      </c>
      <c r="J486" s="12" t="s">
        <v>1626</v>
      </c>
      <c r="K486" s="591">
        <f>(18*24)+(2*19.7)</f>
        <v>471.4</v>
      </c>
      <c r="L486" s="121" t="s">
        <v>2082</v>
      </c>
      <c r="M486" s="132">
        <v>15</v>
      </c>
      <c r="N486" s="133">
        <v>20</v>
      </c>
      <c r="O486" s="630">
        <f t="shared" si="12"/>
        <v>0</v>
      </c>
    </row>
    <row r="487" spans="1:15">
      <c r="A487" s="590" t="s">
        <v>1016</v>
      </c>
      <c r="B487" s="11" t="s">
        <v>150</v>
      </c>
      <c r="C487" s="11">
        <v>45</v>
      </c>
      <c r="D487" s="11" t="s">
        <v>7</v>
      </c>
      <c r="E487" s="15">
        <v>1021</v>
      </c>
      <c r="F487" s="11" t="s">
        <v>1659</v>
      </c>
      <c r="G487" s="11" t="s">
        <v>1576</v>
      </c>
      <c r="H487" s="15" t="s">
        <v>15</v>
      </c>
      <c r="I487" s="15">
        <v>20</v>
      </c>
      <c r="J487" s="12" t="s">
        <v>1514</v>
      </c>
      <c r="K487" s="591">
        <f>(19*28)+(1*23.7)</f>
        <v>555.70000000000005</v>
      </c>
      <c r="L487" s="121" t="s">
        <v>2082</v>
      </c>
      <c r="M487" s="132">
        <v>14</v>
      </c>
      <c r="N487" s="133">
        <v>20</v>
      </c>
      <c r="O487" s="119">
        <f t="shared" si="12"/>
        <v>0</v>
      </c>
    </row>
    <row r="488" spans="1:15">
      <c r="A488" s="590" t="s">
        <v>1016</v>
      </c>
      <c r="B488" s="11" t="s">
        <v>150</v>
      </c>
      <c r="C488" s="11">
        <v>45</v>
      </c>
      <c r="D488" s="11" t="s">
        <v>7</v>
      </c>
      <c r="E488" s="15">
        <v>1022</v>
      </c>
      <c r="F488" s="11" t="s">
        <v>563</v>
      </c>
      <c r="G488" s="11" t="s">
        <v>1576</v>
      </c>
      <c r="H488" s="15" t="s">
        <v>15</v>
      </c>
      <c r="I488" s="15">
        <v>20</v>
      </c>
      <c r="J488" s="12" t="s">
        <v>1514</v>
      </c>
      <c r="K488" s="591">
        <f>(19*28)+(1*23.7)</f>
        <v>555.70000000000005</v>
      </c>
      <c r="L488" s="121" t="s">
        <v>2033</v>
      </c>
      <c r="M488" s="132">
        <v>15</v>
      </c>
      <c r="N488" s="133">
        <v>20</v>
      </c>
      <c r="O488" s="119">
        <f t="shared" si="12"/>
        <v>0</v>
      </c>
    </row>
    <row r="489" spans="1:15">
      <c r="A489" s="590" t="s">
        <v>1016</v>
      </c>
      <c r="B489" s="11" t="s">
        <v>150</v>
      </c>
      <c r="C489" s="11">
        <v>45</v>
      </c>
      <c r="D489" s="11" t="s">
        <v>7</v>
      </c>
      <c r="E489" s="15">
        <v>1465</v>
      </c>
      <c r="F489" s="11" t="s">
        <v>1452</v>
      </c>
      <c r="G489" s="11" t="s">
        <v>1576</v>
      </c>
      <c r="H489" s="15" t="s">
        <v>5</v>
      </c>
      <c r="I489" s="15">
        <v>20</v>
      </c>
      <c r="J489" s="12" t="s">
        <v>698</v>
      </c>
      <c r="K489" s="591">
        <f>(19*32)+(1*27.7)</f>
        <v>635.70000000000005</v>
      </c>
      <c r="L489" s="121" t="s">
        <v>2055</v>
      </c>
      <c r="M489" s="132">
        <v>6</v>
      </c>
      <c r="N489" s="133">
        <v>20</v>
      </c>
      <c r="O489" s="119">
        <f t="shared" si="12"/>
        <v>0</v>
      </c>
    </row>
    <row r="490" spans="1:15">
      <c r="A490" s="590" t="s">
        <v>1016</v>
      </c>
      <c r="B490" s="11" t="s">
        <v>150</v>
      </c>
      <c r="C490" s="11">
        <v>45</v>
      </c>
      <c r="D490" s="11" t="s">
        <v>7</v>
      </c>
      <c r="E490" s="15">
        <v>1470</v>
      </c>
      <c r="F490" s="11" t="s">
        <v>775</v>
      </c>
      <c r="G490" s="11" t="s">
        <v>1576</v>
      </c>
      <c r="H490" s="15" t="s">
        <v>15</v>
      </c>
      <c r="I490" s="15">
        <v>20</v>
      </c>
      <c r="J490" s="12" t="s">
        <v>633</v>
      </c>
      <c r="K490" s="591">
        <f>(19*34)+(1*29.7)</f>
        <v>675.7</v>
      </c>
      <c r="L490" s="121" t="s">
        <v>2033</v>
      </c>
      <c r="M490" s="132" t="s">
        <v>2050</v>
      </c>
      <c r="N490" s="133">
        <f>10+10</f>
        <v>20</v>
      </c>
      <c r="O490" s="119">
        <f t="shared" si="12"/>
        <v>0</v>
      </c>
    </row>
    <row r="491" spans="1:15">
      <c r="A491" s="590" t="s">
        <v>1176</v>
      </c>
      <c r="B491" s="11" t="s">
        <v>150</v>
      </c>
      <c r="C491" s="11">
        <v>50</v>
      </c>
      <c r="D491" s="11" t="s">
        <v>7</v>
      </c>
      <c r="E491" s="15">
        <v>907</v>
      </c>
      <c r="F491" s="11" t="s">
        <v>1806</v>
      </c>
      <c r="G491" s="11" t="s">
        <v>1576</v>
      </c>
      <c r="H491" s="15" t="s">
        <v>5</v>
      </c>
      <c r="I491" s="15">
        <v>15</v>
      </c>
      <c r="J491" s="12" t="s">
        <v>1811</v>
      </c>
      <c r="K491" s="591">
        <f>(13*26)+(2*18.3)</f>
        <v>374.6</v>
      </c>
      <c r="L491" s="121" t="s">
        <v>2055</v>
      </c>
      <c r="M491" s="132">
        <v>3</v>
      </c>
      <c r="N491" s="133">
        <v>15</v>
      </c>
      <c r="O491" s="119">
        <f t="shared" si="12"/>
        <v>0</v>
      </c>
    </row>
    <row r="492" spans="1:15">
      <c r="A492" s="590" t="s">
        <v>1184</v>
      </c>
      <c r="B492" s="11" t="s">
        <v>150</v>
      </c>
      <c r="C492" s="11">
        <v>48</v>
      </c>
      <c r="D492" s="11" t="s">
        <v>7</v>
      </c>
      <c r="E492" s="15">
        <v>1528</v>
      </c>
      <c r="F492" s="11" t="s">
        <v>792</v>
      </c>
      <c r="G492" s="11" t="s">
        <v>1576</v>
      </c>
      <c r="H492" s="15" t="s">
        <v>15</v>
      </c>
      <c r="I492" s="15">
        <v>15</v>
      </c>
      <c r="J492" s="12" t="s">
        <v>624</v>
      </c>
      <c r="K492" s="591">
        <f>(14*34)+(1*26.3)</f>
        <v>502.3</v>
      </c>
      <c r="L492" s="121" t="s">
        <v>2090</v>
      </c>
      <c r="M492" s="136"/>
      <c r="N492" s="133">
        <v>15</v>
      </c>
      <c r="O492" s="119">
        <f t="shared" si="12"/>
        <v>0</v>
      </c>
    </row>
    <row r="493" spans="1:15">
      <c r="A493" s="590" t="s">
        <v>1186</v>
      </c>
      <c r="B493" s="11" t="s">
        <v>150</v>
      </c>
      <c r="C493" s="11">
        <v>47</v>
      </c>
      <c r="D493" s="11" t="s">
        <v>7</v>
      </c>
      <c r="E493" s="15">
        <v>1205</v>
      </c>
      <c r="F493" s="11" t="s">
        <v>748</v>
      </c>
      <c r="G493" s="11" t="s">
        <v>1576</v>
      </c>
      <c r="H493" s="15" t="s">
        <v>15</v>
      </c>
      <c r="I493" s="15">
        <v>30</v>
      </c>
      <c r="J493" s="12" t="s">
        <v>1915</v>
      </c>
      <c r="K493" s="591">
        <f>(30*28)</f>
        <v>840</v>
      </c>
      <c r="L493" s="121" t="s">
        <v>2055</v>
      </c>
      <c r="M493" s="136">
        <v>1</v>
      </c>
      <c r="N493" s="133">
        <v>30</v>
      </c>
      <c r="O493" s="119">
        <f t="shared" si="12"/>
        <v>0</v>
      </c>
    </row>
    <row r="494" spans="1:15">
      <c r="A494" s="590" t="s">
        <v>1184</v>
      </c>
      <c r="B494" s="11" t="s">
        <v>150</v>
      </c>
      <c r="C494" s="11">
        <v>48</v>
      </c>
      <c r="D494" s="11" t="s">
        <v>51</v>
      </c>
      <c r="E494" s="15">
        <v>448</v>
      </c>
      <c r="F494" s="11" t="s">
        <v>1329</v>
      </c>
      <c r="G494" s="11" t="s">
        <v>535</v>
      </c>
      <c r="H494" s="15" t="s">
        <v>15</v>
      </c>
      <c r="I494" s="15">
        <v>15</v>
      </c>
      <c r="J494" s="12" t="s">
        <v>1410</v>
      </c>
      <c r="K494" s="591">
        <f>(12*35)+(3*30.7)</f>
        <v>512.1</v>
      </c>
      <c r="L494" s="121" t="s">
        <v>2090</v>
      </c>
      <c r="M494" s="136"/>
      <c r="N494" s="133">
        <v>15</v>
      </c>
      <c r="O494" s="119">
        <f t="shared" si="12"/>
        <v>0</v>
      </c>
    </row>
    <row r="495" spans="1:15">
      <c r="A495" s="590" t="s">
        <v>1184</v>
      </c>
      <c r="B495" s="11" t="s">
        <v>150</v>
      </c>
      <c r="C495" s="11">
        <v>48</v>
      </c>
      <c r="D495" s="11" t="s">
        <v>51</v>
      </c>
      <c r="E495" s="15">
        <v>449</v>
      </c>
      <c r="F495" s="11" t="s">
        <v>413</v>
      </c>
      <c r="G495" s="11" t="s">
        <v>535</v>
      </c>
      <c r="H495" s="15" t="s">
        <v>15</v>
      </c>
      <c r="I495" s="15">
        <v>10</v>
      </c>
      <c r="J495" s="12" t="s">
        <v>1901</v>
      </c>
      <c r="K495" s="591">
        <f>(9*35)+(1*30.7)</f>
        <v>345.7</v>
      </c>
      <c r="L495" s="121" t="s">
        <v>2090</v>
      </c>
      <c r="M495" s="136"/>
      <c r="N495" s="133">
        <v>10</v>
      </c>
      <c r="O495" s="119">
        <f t="shared" si="12"/>
        <v>0</v>
      </c>
    </row>
    <row r="496" spans="1:15">
      <c r="A496" s="77" t="s">
        <v>969</v>
      </c>
      <c r="B496" s="15" t="s">
        <v>150</v>
      </c>
      <c r="C496" s="15">
        <v>36</v>
      </c>
      <c r="D496" s="15" t="s">
        <v>51</v>
      </c>
      <c r="E496" s="15">
        <v>5003</v>
      </c>
      <c r="F496" s="15" t="s">
        <v>1494</v>
      </c>
      <c r="G496" s="15" t="s">
        <v>1423</v>
      </c>
      <c r="H496" s="15" t="s">
        <v>1339</v>
      </c>
      <c r="I496" s="15">
        <v>15</v>
      </c>
      <c r="J496" s="18" t="s">
        <v>1495</v>
      </c>
      <c r="K496" s="589">
        <f>(12*17)+(3*14.6)</f>
        <v>247.8</v>
      </c>
      <c r="L496" s="120" t="s">
        <v>2055</v>
      </c>
      <c r="M496" s="132">
        <v>5</v>
      </c>
      <c r="N496" s="133">
        <v>15</v>
      </c>
      <c r="O496" s="119">
        <f t="shared" si="12"/>
        <v>0</v>
      </c>
    </row>
    <row r="497" spans="1:15">
      <c r="A497" s="590" t="s">
        <v>1016</v>
      </c>
      <c r="B497" s="11" t="s">
        <v>150</v>
      </c>
      <c r="C497" s="11">
        <v>45</v>
      </c>
      <c r="D497" s="11" t="s">
        <v>7</v>
      </c>
      <c r="E497" s="15">
        <v>770</v>
      </c>
      <c r="F497" s="11" t="s">
        <v>1657</v>
      </c>
      <c r="G497" s="11" t="s">
        <v>1423</v>
      </c>
      <c r="H497" s="15" t="s">
        <v>15</v>
      </c>
      <c r="I497" s="15">
        <v>20</v>
      </c>
      <c r="J497" s="12" t="s">
        <v>1658</v>
      </c>
      <c r="K497" s="591">
        <f>(18*33)+(1*24.4)+(1*28.7)</f>
        <v>647.1</v>
      </c>
      <c r="L497" s="121" t="s">
        <v>2033</v>
      </c>
      <c r="M497" s="132">
        <v>7</v>
      </c>
      <c r="N497" s="133">
        <v>20</v>
      </c>
      <c r="O497" s="119">
        <f t="shared" si="12"/>
        <v>0</v>
      </c>
    </row>
    <row r="498" spans="1:15">
      <c r="A498" s="590" t="s">
        <v>1172</v>
      </c>
      <c r="B498" s="11" t="s">
        <v>9</v>
      </c>
      <c r="C498" s="11">
        <v>46</v>
      </c>
      <c r="D498" s="11" t="s">
        <v>16</v>
      </c>
      <c r="E498" s="15">
        <v>353</v>
      </c>
      <c r="F498" s="11" t="s">
        <v>1444</v>
      </c>
      <c r="G498" s="11" t="s">
        <v>417</v>
      </c>
      <c r="H498" s="15" t="s">
        <v>15</v>
      </c>
      <c r="I498" s="15">
        <v>20</v>
      </c>
      <c r="J498" s="12" t="s">
        <v>17</v>
      </c>
      <c r="K498" s="591">
        <f>(19*35)+(1*26.4)</f>
        <v>691.4</v>
      </c>
      <c r="L498" s="121" t="s">
        <v>2029</v>
      </c>
      <c r="M498" s="132">
        <v>4</v>
      </c>
      <c r="N498" s="133">
        <f>10+10</f>
        <v>20</v>
      </c>
      <c r="O498" s="119">
        <f t="shared" si="12"/>
        <v>0</v>
      </c>
    </row>
    <row r="499" spans="1:15">
      <c r="A499" s="590" t="s">
        <v>993</v>
      </c>
      <c r="B499" s="11" t="s">
        <v>9</v>
      </c>
      <c r="C499" s="11">
        <v>39</v>
      </c>
      <c r="D499" s="11" t="s">
        <v>29</v>
      </c>
      <c r="E499" s="11">
        <v>50</v>
      </c>
      <c r="F499" s="11" t="s">
        <v>1469</v>
      </c>
      <c r="G499" s="11" t="s">
        <v>418</v>
      </c>
      <c r="H499" s="11" t="s">
        <v>15</v>
      </c>
      <c r="I499" s="11">
        <v>20</v>
      </c>
      <c r="J499" s="12" t="s">
        <v>17</v>
      </c>
      <c r="K499" s="591">
        <f>(19*35)+(1*26.4)</f>
        <v>691.4</v>
      </c>
      <c r="L499" s="121" t="s">
        <v>2033</v>
      </c>
      <c r="M499" s="132">
        <v>8</v>
      </c>
      <c r="N499" s="133">
        <f>11+9</f>
        <v>20</v>
      </c>
      <c r="O499" s="119">
        <f t="shared" si="12"/>
        <v>0</v>
      </c>
    </row>
    <row r="500" spans="1:15">
      <c r="A500" s="590" t="s">
        <v>1146</v>
      </c>
      <c r="B500" s="11" t="s">
        <v>9</v>
      </c>
      <c r="C500" s="11">
        <v>39</v>
      </c>
      <c r="D500" s="11" t="s">
        <v>16</v>
      </c>
      <c r="E500" s="15">
        <v>333</v>
      </c>
      <c r="F500" s="11" t="s">
        <v>1391</v>
      </c>
      <c r="G500" s="11" t="s">
        <v>418</v>
      </c>
      <c r="H500" s="15" t="s">
        <v>15</v>
      </c>
      <c r="I500" s="15">
        <v>20</v>
      </c>
      <c r="J500" s="12" t="s">
        <v>17</v>
      </c>
      <c r="K500" s="591">
        <f>(19*35)+(1*26.4)</f>
        <v>691.4</v>
      </c>
      <c r="L500" s="121" t="s">
        <v>2082</v>
      </c>
      <c r="M500" s="132">
        <v>15</v>
      </c>
      <c r="N500" s="133">
        <v>20</v>
      </c>
      <c r="O500" s="119">
        <f t="shared" si="12"/>
        <v>0</v>
      </c>
    </row>
    <row r="501" spans="1:15">
      <c r="A501" s="590" t="s">
        <v>1146</v>
      </c>
      <c r="B501" s="11" t="s">
        <v>9</v>
      </c>
      <c r="C501" s="11">
        <v>39</v>
      </c>
      <c r="D501" s="11" t="s">
        <v>16</v>
      </c>
      <c r="E501" s="15">
        <v>334</v>
      </c>
      <c r="F501" s="11" t="s">
        <v>430</v>
      </c>
      <c r="G501" s="11" t="s">
        <v>418</v>
      </c>
      <c r="H501" s="15" t="s">
        <v>15</v>
      </c>
      <c r="I501" s="15">
        <v>20</v>
      </c>
      <c r="J501" s="12" t="s">
        <v>17</v>
      </c>
      <c r="K501" s="591">
        <f>(19*35)+(1*26.4)</f>
        <v>691.4</v>
      </c>
      <c r="L501" s="121" t="s">
        <v>2082</v>
      </c>
      <c r="M501" s="132">
        <v>15</v>
      </c>
      <c r="N501" s="138">
        <v>20</v>
      </c>
      <c r="O501" s="119">
        <f t="shared" si="12"/>
        <v>0</v>
      </c>
    </row>
    <row r="502" spans="1:15">
      <c r="A502" s="590" t="s">
        <v>998</v>
      </c>
      <c r="B502" s="11" t="s">
        <v>9</v>
      </c>
      <c r="C502" s="11">
        <v>39</v>
      </c>
      <c r="D502" s="11" t="s">
        <v>7</v>
      </c>
      <c r="E502" s="15">
        <v>452</v>
      </c>
      <c r="F502" s="11" t="s">
        <v>555</v>
      </c>
      <c r="G502" s="11" t="s">
        <v>418</v>
      </c>
      <c r="H502" s="15" t="s">
        <v>15</v>
      </c>
      <c r="I502" s="15">
        <v>20</v>
      </c>
      <c r="J502" s="12" t="s">
        <v>17</v>
      </c>
      <c r="K502" s="591">
        <f>(19*35)+(1*26.4)</f>
        <v>691.4</v>
      </c>
      <c r="L502" s="120" t="s">
        <v>2082</v>
      </c>
      <c r="M502" s="132">
        <v>13</v>
      </c>
      <c r="N502" s="133">
        <v>20</v>
      </c>
      <c r="O502" s="119">
        <f t="shared" si="12"/>
        <v>0</v>
      </c>
    </row>
    <row r="503" spans="1:15">
      <c r="A503" s="590" t="s">
        <v>1018</v>
      </c>
      <c r="B503" s="11" t="s">
        <v>6</v>
      </c>
      <c r="C503" s="11">
        <v>47</v>
      </c>
      <c r="D503" s="11" t="s">
        <v>82</v>
      </c>
      <c r="E503" s="15">
        <v>5091</v>
      </c>
      <c r="F503" s="11" t="s">
        <v>1705</v>
      </c>
      <c r="G503" s="11" t="s">
        <v>645</v>
      </c>
      <c r="H503" s="15" t="s">
        <v>1578</v>
      </c>
      <c r="I503" s="15">
        <v>20</v>
      </c>
      <c r="J503" s="12" t="s">
        <v>360</v>
      </c>
      <c r="K503" s="591">
        <f>(19*19)+(1*12)</f>
        <v>373</v>
      </c>
      <c r="L503" s="121" t="s">
        <v>2055</v>
      </c>
      <c r="M503" s="132">
        <v>3</v>
      </c>
      <c r="N503" s="133">
        <v>20</v>
      </c>
      <c r="O503" s="119">
        <f t="shared" si="12"/>
        <v>0</v>
      </c>
    </row>
    <row r="504" spans="1:15">
      <c r="A504" s="590" t="s">
        <v>1005</v>
      </c>
      <c r="B504" s="11" t="s">
        <v>150</v>
      </c>
      <c r="C504" s="11">
        <v>44</v>
      </c>
      <c r="D504" s="11" t="s">
        <v>7</v>
      </c>
      <c r="E504" s="15">
        <v>1133</v>
      </c>
      <c r="F504" s="11" t="s">
        <v>520</v>
      </c>
      <c r="G504" s="11" t="s">
        <v>1627</v>
      </c>
      <c r="H504" s="15" t="s">
        <v>15</v>
      </c>
      <c r="I504" s="15">
        <v>20</v>
      </c>
      <c r="J504" s="12" t="s">
        <v>1412</v>
      </c>
      <c r="K504" s="591">
        <f>(19*31)+(1*26.7)</f>
        <v>615.70000000000005</v>
      </c>
      <c r="L504" s="121" t="s">
        <v>2094</v>
      </c>
      <c r="M504" s="132" t="s">
        <v>2095</v>
      </c>
      <c r="N504" s="133">
        <f>11+9</f>
        <v>20</v>
      </c>
      <c r="O504" s="119">
        <f t="shared" si="12"/>
        <v>0</v>
      </c>
    </row>
    <row r="505" spans="1:15">
      <c r="A505" s="590" t="s">
        <v>1186</v>
      </c>
      <c r="B505" s="11" t="s">
        <v>150</v>
      </c>
      <c r="C505" s="11">
        <v>47</v>
      </c>
      <c r="D505" s="11" t="s">
        <v>7</v>
      </c>
      <c r="E505" s="15">
        <v>1489</v>
      </c>
      <c r="F505" s="11" t="s">
        <v>457</v>
      </c>
      <c r="G505" s="11" t="s">
        <v>1627</v>
      </c>
      <c r="H505" s="15" t="s">
        <v>15</v>
      </c>
      <c r="I505" s="15">
        <v>20</v>
      </c>
      <c r="J505" s="12" t="s">
        <v>652</v>
      </c>
      <c r="K505" s="591">
        <f>(19*30)+(1*25.7)</f>
        <v>595.70000000000005</v>
      </c>
      <c r="L505" s="121" t="s">
        <v>2055</v>
      </c>
      <c r="M505" s="136">
        <v>1</v>
      </c>
      <c r="N505" s="133">
        <v>20</v>
      </c>
      <c r="O505" s="119">
        <f t="shared" si="12"/>
        <v>0</v>
      </c>
    </row>
    <row r="506" spans="1:15">
      <c r="A506" s="590" t="s">
        <v>1190</v>
      </c>
      <c r="B506" s="11" t="s">
        <v>150</v>
      </c>
      <c r="C506" s="11">
        <v>46</v>
      </c>
      <c r="D506" s="11" t="s">
        <v>7</v>
      </c>
      <c r="E506" s="15">
        <v>836</v>
      </c>
      <c r="F506" s="11" t="s">
        <v>102</v>
      </c>
      <c r="G506" s="11" t="s">
        <v>1627</v>
      </c>
      <c r="H506" s="15" t="s">
        <v>5</v>
      </c>
      <c r="I506" s="15">
        <v>20</v>
      </c>
      <c r="J506" s="12" t="s">
        <v>652</v>
      </c>
      <c r="K506" s="591">
        <f>(19*30)+(1*25.7)</f>
        <v>595.70000000000005</v>
      </c>
      <c r="L506" s="121" t="s">
        <v>2055</v>
      </c>
      <c r="M506" s="136" t="s">
        <v>2068</v>
      </c>
      <c r="N506" s="133">
        <f>10+10</f>
        <v>20</v>
      </c>
      <c r="O506" s="119">
        <f t="shared" si="12"/>
        <v>0</v>
      </c>
    </row>
    <row r="507" spans="1:15">
      <c r="A507" s="590" t="s">
        <v>1190</v>
      </c>
      <c r="B507" s="11" t="s">
        <v>150</v>
      </c>
      <c r="C507" s="11">
        <v>46</v>
      </c>
      <c r="D507" s="11" t="s">
        <v>7</v>
      </c>
      <c r="E507" s="15">
        <v>845</v>
      </c>
      <c r="F507" s="11" t="s">
        <v>444</v>
      </c>
      <c r="G507" s="11" t="s">
        <v>1627</v>
      </c>
      <c r="H507" s="15" t="s">
        <v>15</v>
      </c>
      <c r="I507" s="15">
        <v>20</v>
      </c>
      <c r="J507" s="12" t="s">
        <v>652</v>
      </c>
      <c r="K507" s="591">
        <f>(19*30)+(1*25.7)</f>
        <v>595.70000000000005</v>
      </c>
      <c r="L507" s="121" t="s">
        <v>2055</v>
      </c>
      <c r="M507" s="136">
        <v>1</v>
      </c>
      <c r="N507" s="133">
        <v>20</v>
      </c>
      <c r="O507" s="119">
        <f t="shared" si="12"/>
        <v>0</v>
      </c>
    </row>
    <row r="508" spans="1:15">
      <c r="A508" s="590" t="s">
        <v>1178</v>
      </c>
      <c r="B508" s="11" t="s">
        <v>150</v>
      </c>
      <c r="C508" s="11">
        <v>49</v>
      </c>
      <c r="D508" s="11" t="s">
        <v>7</v>
      </c>
      <c r="E508" s="15">
        <v>450</v>
      </c>
      <c r="F508" s="11" t="s">
        <v>1851</v>
      </c>
      <c r="G508" s="11" t="s">
        <v>504</v>
      </c>
      <c r="H508" s="15" t="s">
        <v>15</v>
      </c>
      <c r="I508" s="15">
        <v>20</v>
      </c>
      <c r="J508" s="12" t="s">
        <v>682</v>
      </c>
      <c r="K508" s="591">
        <f>(19*38)+(1*33.7)</f>
        <v>755.7</v>
      </c>
      <c r="L508" s="121" t="s">
        <v>2082</v>
      </c>
      <c r="M508" s="132">
        <v>8</v>
      </c>
      <c r="N508" s="133">
        <f>20</f>
        <v>20</v>
      </c>
      <c r="O508" s="119">
        <f t="shared" si="12"/>
        <v>0</v>
      </c>
    </row>
    <row r="509" spans="1:15">
      <c r="A509" s="590" t="s">
        <v>1178</v>
      </c>
      <c r="B509" s="11" t="s">
        <v>150</v>
      </c>
      <c r="C509" s="11">
        <v>50</v>
      </c>
      <c r="D509" s="11" t="s">
        <v>7</v>
      </c>
      <c r="E509" s="15">
        <v>522</v>
      </c>
      <c r="F509" s="11" t="s">
        <v>575</v>
      </c>
      <c r="G509" s="11" t="s">
        <v>504</v>
      </c>
      <c r="H509" s="15" t="s">
        <v>15</v>
      </c>
      <c r="I509" s="15">
        <v>20</v>
      </c>
      <c r="J509" s="12" t="s">
        <v>682</v>
      </c>
      <c r="K509" s="591">
        <f>(19*38)+(1*33.7)</f>
        <v>755.7</v>
      </c>
      <c r="L509" s="121" t="s">
        <v>2082</v>
      </c>
      <c r="M509" s="132">
        <v>9</v>
      </c>
      <c r="N509" s="133">
        <v>20</v>
      </c>
      <c r="O509" s="119">
        <f t="shared" si="12"/>
        <v>0</v>
      </c>
    </row>
    <row r="510" spans="1:15">
      <c r="A510" s="590" t="s">
        <v>1186</v>
      </c>
      <c r="B510" s="11" t="s">
        <v>150</v>
      </c>
      <c r="C510" s="11">
        <v>47</v>
      </c>
      <c r="D510" s="11" t="s">
        <v>7</v>
      </c>
      <c r="E510" s="15">
        <v>630</v>
      </c>
      <c r="F510" s="11" t="s">
        <v>1906</v>
      </c>
      <c r="G510" s="11" t="s">
        <v>504</v>
      </c>
      <c r="H510" s="15" t="s">
        <v>15</v>
      </c>
      <c r="I510" s="15">
        <v>20</v>
      </c>
      <c r="J510" s="12" t="s">
        <v>682</v>
      </c>
      <c r="K510" s="591">
        <f>(19*38)+(1*33.7)</f>
        <v>755.7</v>
      </c>
      <c r="L510" s="121" t="s">
        <v>2055</v>
      </c>
      <c r="M510" s="136">
        <v>4</v>
      </c>
      <c r="N510" s="133">
        <f>10+10</f>
        <v>20</v>
      </c>
      <c r="O510" s="119">
        <f t="shared" si="12"/>
        <v>0</v>
      </c>
    </row>
    <row r="511" spans="1:15">
      <c r="A511" s="590" t="s">
        <v>1002</v>
      </c>
      <c r="B511" s="11" t="s">
        <v>150</v>
      </c>
      <c r="C511" s="11">
        <v>44</v>
      </c>
      <c r="D511" s="11" t="s">
        <v>51</v>
      </c>
      <c r="E511" s="11">
        <v>825</v>
      </c>
      <c r="F511" s="11" t="s">
        <v>514</v>
      </c>
      <c r="G511" s="11" t="s">
        <v>658</v>
      </c>
      <c r="H511" s="11" t="s">
        <v>15</v>
      </c>
      <c r="I511" s="588">
        <v>15</v>
      </c>
      <c r="J511" s="12" t="s">
        <v>659</v>
      </c>
      <c r="K511" s="591">
        <f>(13*35)+(2*27.3)</f>
        <v>509.6</v>
      </c>
      <c r="L511" s="120" t="s">
        <v>2033</v>
      </c>
      <c r="M511" s="132">
        <v>9</v>
      </c>
      <c r="N511" s="133">
        <f>6+9</f>
        <v>15</v>
      </c>
      <c r="O511" s="119">
        <f t="shared" si="12"/>
        <v>0</v>
      </c>
    </row>
    <row r="512" spans="1:15">
      <c r="A512" s="590" t="s">
        <v>1005</v>
      </c>
      <c r="B512" s="11" t="s">
        <v>150</v>
      </c>
      <c r="C512" s="11">
        <v>44</v>
      </c>
      <c r="D512" s="11" t="s">
        <v>51</v>
      </c>
      <c r="E512" s="11">
        <v>231</v>
      </c>
      <c r="F512" s="11" t="s">
        <v>1425</v>
      </c>
      <c r="G512" s="11" t="s">
        <v>658</v>
      </c>
      <c r="H512" s="11" t="s">
        <v>15</v>
      </c>
      <c r="I512" s="11">
        <v>15</v>
      </c>
      <c r="J512" s="12" t="s">
        <v>159</v>
      </c>
      <c r="K512" s="591">
        <f>(15*35)</f>
        <v>525</v>
      </c>
      <c r="L512" s="121" t="s">
        <v>2055</v>
      </c>
      <c r="M512" s="132">
        <v>7</v>
      </c>
      <c r="N512" s="133">
        <f>7+8</f>
        <v>15</v>
      </c>
      <c r="O512" s="119">
        <f t="shared" si="12"/>
        <v>0</v>
      </c>
    </row>
    <row r="513" spans="1:15">
      <c r="A513" s="590" t="s">
        <v>1166</v>
      </c>
      <c r="B513" s="11" t="s">
        <v>150</v>
      </c>
      <c r="C513" s="11">
        <v>49</v>
      </c>
      <c r="D513" s="11" t="s">
        <v>51</v>
      </c>
      <c r="E513" s="15">
        <v>159</v>
      </c>
      <c r="F513" s="11" t="s">
        <v>688</v>
      </c>
      <c r="G513" s="11" t="s">
        <v>658</v>
      </c>
      <c r="H513" s="15" t="s">
        <v>15</v>
      </c>
      <c r="I513" s="15">
        <v>15</v>
      </c>
      <c r="J513" s="12" t="s">
        <v>659</v>
      </c>
      <c r="K513" s="591">
        <f>(13*35)+(2*27.3)</f>
        <v>509.6</v>
      </c>
      <c r="L513" s="121" t="s">
        <v>2029</v>
      </c>
      <c r="M513" s="132">
        <v>1</v>
      </c>
      <c r="N513" s="133">
        <f>6+9</f>
        <v>15</v>
      </c>
      <c r="O513" s="119">
        <f t="shared" si="12"/>
        <v>0</v>
      </c>
    </row>
    <row r="514" spans="1:15">
      <c r="A514" s="590" t="s">
        <v>1166</v>
      </c>
      <c r="B514" s="11" t="s">
        <v>150</v>
      </c>
      <c r="C514" s="11">
        <v>49</v>
      </c>
      <c r="D514" s="11" t="s">
        <v>51</v>
      </c>
      <c r="E514" s="15">
        <v>160</v>
      </c>
      <c r="F514" s="11" t="s">
        <v>1454</v>
      </c>
      <c r="G514" s="11" t="s">
        <v>658</v>
      </c>
      <c r="H514" s="15" t="s">
        <v>15</v>
      </c>
      <c r="I514" s="15">
        <v>15</v>
      </c>
      <c r="J514" s="12" t="s">
        <v>659</v>
      </c>
      <c r="K514" s="591">
        <f>(13*35)+(2*27.3)</f>
        <v>509.6</v>
      </c>
      <c r="L514" s="121" t="s">
        <v>2033</v>
      </c>
      <c r="M514" s="132">
        <v>2</v>
      </c>
      <c r="N514" s="133">
        <v>15</v>
      </c>
      <c r="O514" s="119">
        <f t="shared" si="12"/>
        <v>0</v>
      </c>
    </row>
    <row r="515" spans="1:15">
      <c r="A515" s="590" t="s">
        <v>1166</v>
      </c>
      <c r="B515" s="11" t="s">
        <v>150</v>
      </c>
      <c r="C515" s="11">
        <v>49</v>
      </c>
      <c r="D515" s="11" t="s">
        <v>51</v>
      </c>
      <c r="E515" s="15">
        <v>163</v>
      </c>
      <c r="F515" s="11" t="s">
        <v>751</v>
      </c>
      <c r="G515" s="11" t="s">
        <v>658</v>
      </c>
      <c r="H515" s="15" t="s">
        <v>15</v>
      </c>
      <c r="I515" s="15">
        <v>15</v>
      </c>
      <c r="J515" s="12" t="s">
        <v>641</v>
      </c>
      <c r="K515" s="591">
        <f>(14*35)+(1*27.3)</f>
        <v>517.29999999999995</v>
      </c>
      <c r="L515" s="121" t="s">
        <v>2033</v>
      </c>
      <c r="M515" s="132">
        <v>1</v>
      </c>
      <c r="N515" s="133">
        <v>15</v>
      </c>
      <c r="O515" s="119">
        <f t="shared" ref="O515:O578" si="14">I515-N515</f>
        <v>0</v>
      </c>
    </row>
    <row r="516" spans="1:15">
      <c r="A516" s="590" t="s">
        <v>1176</v>
      </c>
      <c r="B516" s="11" t="s">
        <v>150</v>
      </c>
      <c r="C516" s="11">
        <v>50</v>
      </c>
      <c r="D516" s="11" t="s">
        <v>51</v>
      </c>
      <c r="E516" s="15">
        <v>83</v>
      </c>
      <c r="F516" s="11" t="s">
        <v>1447</v>
      </c>
      <c r="G516" s="11" t="s">
        <v>658</v>
      </c>
      <c r="H516" s="15" t="s">
        <v>15</v>
      </c>
      <c r="I516" s="15">
        <v>15</v>
      </c>
      <c r="J516" s="12" t="s">
        <v>659</v>
      </c>
      <c r="K516" s="591">
        <f>(13*35)+(2*27.3)</f>
        <v>509.6</v>
      </c>
      <c r="L516" s="121" t="s">
        <v>2033</v>
      </c>
      <c r="M516" s="132" t="s">
        <v>2036</v>
      </c>
      <c r="N516" s="133">
        <f>5+10</f>
        <v>15</v>
      </c>
      <c r="O516" s="119">
        <f t="shared" si="14"/>
        <v>0</v>
      </c>
    </row>
    <row r="517" spans="1:15">
      <c r="A517" s="590" t="s">
        <v>1176</v>
      </c>
      <c r="B517" s="11" t="s">
        <v>150</v>
      </c>
      <c r="C517" s="11">
        <v>50</v>
      </c>
      <c r="D517" s="11" t="s">
        <v>51</v>
      </c>
      <c r="E517" s="15">
        <v>84</v>
      </c>
      <c r="F517" s="11" t="s">
        <v>499</v>
      </c>
      <c r="G517" s="11" t="s">
        <v>658</v>
      </c>
      <c r="H517" s="15" t="s">
        <v>15</v>
      </c>
      <c r="I517" s="15">
        <v>15</v>
      </c>
      <c r="J517" s="12" t="s">
        <v>659</v>
      </c>
      <c r="K517" s="591">
        <f>(13*35)+(2*27.3)</f>
        <v>509.6</v>
      </c>
      <c r="L517" s="121" t="s">
        <v>2033</v>
      </c>
      <c r="M517" s="132" t="s">
        <v>2044</v>
      </c>
      <c r="N517" s="133">
        <f>5+10</f>
        <v>15</v>
      </c>
      <c r="O517" s="119">
        <f t="shared" si="14"/>
        <v>0</v>
      </c>
    </row>
    <row r="518" spans="1:15">
      <c r="A518" s="590" t="s">
        <v>1176</v>
      </c>
      <c r="B518" s="11" t="s">
        <v>150</v>
      </c>
      <c r="C518" s="11">
        <v>50</v>
      </c>
      <c r="D518" s="11" t="s">
        <v>51</v>
      </c>
      <c r="E518" s="15">
        <v>85</v>
      </c>
      <c r="F518" s="11" t="s">
        <v>368</v>
      </c>
      <c r="G518" s="11" t="s">
        <v>658</v>
      </c>
      <c r="H518" s="15" t="s">
        <v>15</v>
      </c>
      <c r="I518" s="15">
        <v>30</v>
      </c>
      <c r="J518" s="12" t="s">
        <v>1604</v>
      </c>
      <c r="K518" s="591">
        <f>(28*35)+(2*27.3)</f>
        <v>1034.5999999999999</v>
      </c>
      <c r="L518" s="121" t="s">
        <v>2033</v>
      </c>
      <c r="M518" s="132">
        <v>14</v>
      </c>
      <c r="N518" s="133">
        <f>8+22</f>
        <v>30</v>
      </c>
      <c r="O518" s="119">
        <f t="shared" si="14"/>
        <v>0</v>
      </c>
    </row>
    <row r="519" spans="1:15">
      <c r="A519" s="590" t="s">
        <v>1176</v>
      </c>
      <c r="B519" s="11" t="s">
        <v>150</v>
      </c>
      <c r="C519" s="11">
        <v>50</v>
      </c>
      <c r="D519" s="11" t="s">
        <v>51</v>
      </c>
      <c r="E519" s="15">
        <v>88</v>
      </c>
      <c r="F519" s="11" t="s">
        <v>464</v>
      </c>
      <c r="G519" s="11" t="s">
        <v>658</v>
      </c>
      <c r="H519" s="15" t="s">
        <v>15</v>
      </c>
      <c r="I519" s="15">
        <v>15</v>
      </c>
      <c r="J519" s="12" t="s">
        <v>659</v>
      </c>
      <c r="K519" s="591">
        <f>(13*35)+(2*27.3)</f>
        <v>509.6</v>
      </c>
      <c r="L519" s="121" t="s">
        <v>2033</v>
      </c>
      <c r="M519" s="132">
        <v>12</v>
      </c>
      <c r="N519" s="133">
        <v>15</v>
      </c>
      <c r="O519" s="119">
        <f t="shared" si="14"/>
        <v>0</v>
      </c>
    </row>
    <row r="520" spans="1:15">
      <c r="A520" s="590" t="s">
        <v>1176</v>
      </c>
      <c r="B520" s="11" t="s">
        <v>150</v>
      </c>
      <c r="C520" s="11">
        <v>50</v>
      </c>
      <c r="D520" s="11" t="s">
        <v>51</v>
      </c>
      <c r="E520" s="15">
        <v>89</v>
      </c>
      <c r="F520" s="11" t="s">
        <v>1519</v>
      </c>
      <c r="G520" s="11" t="s">
        <v>658</v>
      </c>
      <c r="H520" s="15" t="s">
        <v>15</v>
      </c>
      <c r="I520" s="15">
        <v>20</v>
      </c>
      <c r="J520" s="12" t="s">
        <v>696</v>
      </c>
      <c r="K520" s="591">
        <f>(18*35)+(2*30.7)</f>
        <v>691.4</v>
      </c>
      <c r="L520" s="121" t="s">
        <v>2033</v>
      </c>
      <c r="M520" s="132">
        <v>5</v>
      </c>
      <c r="N520" s="133">
        <f>10+10</f>
        <v>20</v>
      </c>
      <c r="O520" s="119">
        <f t="shared" si="14"/>
        <v>0</v>
      </c>
    </row>
    <row r="521" spans="1:15">
      <c r="A521" s="590" t="s">
        <v>1176</v>
      </c>
      <c r="B521" s="11" t="s">
        <v>150</v>
      </c>
      <c r="C521" s="11">
        <v>50</v>
      </c>
      <c r="D521" s="11" t="s">
        <v>51</v>
      </c>
      <c r="E521" s="15">
        <v>90</v>
      </c>
      <c r="F521" s="11" t="s">
        <v>141</v>
      </c>
      <c r="G521" s="11" t="s">
        <v>658</v>
      </c>
      <c r="H521" s="15" t="s">
        <v>15</v>
      </c>
      <c r="I521" s="15">
        <v>15</v>
      </c>
      <c r="J521" s="12" t="s">
        <v>159</v>
      </c>
      <c r="K521" s="591">
        <f>(15*35)</f>
        <v>525</v>
      </c>
      <c r="L521" s="121" t="s">
        <v>2033</v>
      </c>
      <c r="M521" s="132">
        <v>4</v>
      </c>
      <c r="N521" s="133">
        <f>7+8</f>
        <v>15</v>
      </c>
      <c r="O521" s="119">
        <f t="shared" si="14"/>
        <v>0</v>
      </c>
    </row>
    <row r="522" spans="1:15">
      <c r="A522" s="590" t="s">
        <v>1176</v>
      </c>
      <c r="B522" s="11" t="s">
        <v>150</v>
      </c>
      <c r="C522" s="11">
        <v>50</v>
      </c>
      <c r="D522" s="11" t="s">
        <v>51</v>
      </c>
      <c r="E522" s="15">
        <v>95</v>
      </c>
      <c r="F522" s="11" t="s">
        <v>352</v>
      </c>
      <c r="G522" s="11" t="s">
        <v>658</v>
      </c>
      <c r="H522" s="15" t="s">
        <v>15</v>
      </c>
      <c r="I522" s="15">
        <v>15</v>
      </c>
      <c r="J522" s="12" t="s">
        <v>159</v>
      </c>
      <c r="K522" s="591">
        <f>(15*35)</f>
        <v>525</v>
      </c>
      <c r="L522" s="121" t="s">
        <v>2029</v>
      </c>
      <c r="M522" s="132">
        <v>4</v>
      </c>
      <c r="N522" s="133">
        <v>15</v>
      </c>
      <c r="O522" s="119">
        <f t="shared" si="14"/>
        <v>0</v>
      </c>
    </row>
    <row r="523" spans="1:15">
      <c r="A523" s="590" t="s">
        <v>1184</v>
      </c>
      <c r="B523" s="11" t="s">
        <v>150</v>
      </c>
      <c r="C523" s="11">
        <v>48</v>
      </c>
      <c r="D523" s="11" t="s">
        <v>51</v>
      </c>
      <c r="E523" s="15">
        <v>141</v>
      </c>
      <c r="F523" s="11" t="s">
        <v>491</v>
      </c>
      <c r="G523" s="11" t="s">
        <v>658</v>
      </c>
      <c r="H523" s="15" t="s">
        <v>15</v>
      </c>
      <c r="I523" s="15">
        <v>15</v>
      </c>
      <c r="J523" s="12" t="s">
        <v>641</v>
      </c>
      <c r="K523" s="591">
        <f>(14*35)+(1*27.3)</f>
        <v>517.29999999999995</v>
      </c>
      <c r="L523" s="121" t="s">
        <v>2090</v>
      </c>
      <c r="M523" s="136"/>
      <c r="N523" s="133">
        <v>15</v>
      </c>
      <c r="O523" s="119">
        <f t="shared" si="14"/>
        <v>0</v>
      </c>
    </row>
    <row r="524" spans="1:15">
      <c r="A524" s="590" t="s">
        <v>1186</v>
      </c>
      <c r="B524" s="11" t="s">
        <v>150</v>
      </c>
      <c r="C524" s="11">
        <v>47</v>
      </c>
      <c r="D524" s="11" t="s">
        <v>51</v>
      </c>
      <c r="E524" s="15">
        <v>113</v>
      </c>
      <c r="F524" s="11" t="s">
        <v>596</v>
      </c>
      <c r="G524" s="11" t="s">
        <v>658</v>
      </c>
      <c r="H524" s="15" t="s">
        <v>15</v>
      </c>
      <c r="I524" s="15">
        <v>15</v>
      </c>
      <c r="J524" s="12" t="s">
        <v>659</v>
      </c>
      <c r="K524" s="591">
        <f>(13*35)+(2*27.3)</f>
        <v>509.6</v>
      </c>
      <c r="L524" s="121" t="s">
        <v>2055</v>
      </c>
      <c r="M524" s="136">
        <v>5</v>
      </c>
      <c r="N524" s="133">
        <f>13+2</f>
        <v>15</v>
      </c>
      <c r="O524" s="119">
        <f t="shared" si="14"/>
        <v>0</v>
      </c>
    </row>
    <row r="525" spans="1:15">
      <c r="A525" s="590" t="s">
        <v>1186</v>
      </c>
      <c r="B525" s="11" t="s">
        <v>150</v>
      </c>
      <c r="C525" s="11">
        <v>47</v>
      </c>
      <c r="D525" s="11" t="s">
        <v>51</v>
      </c>
      <c r="E525" s="15">
        <v>114</v>
      </c>
      <c r="F525" s="11" t="s">
        <v>1397</v>
      </c>
      <c r="G525" s="11" t="s">
        <v>658</v>
      </c>
      <c r="H525" s="15" t="s">
        <v>15</v>
      </c>
      <c r="I525" s="15">
        <v>20</v>
      </c>
      <c r="J525" s="12" t="s">
        <v>142</v>
      </c>
      <c r="K525" s="591">
        <f>(20*35)</f>
        <v>700</v>
      </c>
      <c r="L525" s="121" t="s">
        <v>2100</v>
      </c>
      <c r="M525" s="136"/>
      <c r="N525" s="133">
        <v>20</v>
      </c>
      <c r="O525" s="119">
        <f t="shared" si="14"/>
        <v>0</v>
      </c>
    </row>
    <row r="526" spans="1:15">
      <c r="A526" s="590" t="s">
        <v>1186</v>
      </c>
      <c r="B526" s="11" t="s">
        <v>150</v>
      </c>
      <c r="C526" s="11">
        <v>47</v>
      </c>
      <c r="D526" s="11" t="s">
        <v>51</v>
      </c>
      <c r="E526" s="15">
        <v>116</v>
      </c>
      <c r="F526" s="11" t="s">
        <v>790</v>
      </c>
      <c r="G526" s="11" t="s">
        <v>658</v>
      </c>
      <c r="H526" s="15" t="s">
        <v>15</v>
      </c>
      <c r="I526" s="15">
        <v>15</v>
      </c>
      <c r="J526" s="12" t="s">
        <v>159</v>
      </c>
      <c r="K526" s="591">
        <f>(15*35)</f>
        <v>525</v>
      </c>
      <c r="L526" s="121" t="s">
        <v>2055</v>
      </c>
      <c r="M526" s="136">
        <v>6</v>
      </c>
      <c r="N526" s="133">
        <f>8+7</f>
        <v>15</v>
      </c>
      <c r="O526" s="119">
        <f t="shared" si="14"/>
        <v>0</v>
      </c>
    </row>
    <row r="527" spans="1:15">
      <c r="A527" s="590" t="s">
        <v>1166</v>
      </c>
      <c r="B527" s="11" t="s">
        <v>150</v>
      </c>
      <c r="C527" s="11">
        <v>49</v>
      </c>
      <c r="D527" s="11" t="s">
        <v>51</v>
      </c>
      <c r="E527" s="15">
        <v>55</v>
      </c>
      <c r="F527" s="11" t="s">
        <v>400</v>
      </c>
      <c r="G527" s="11" t="s">
        <v>367</v>
      </c>
      <c r="H527" s="15" t="s">
        <v>15</v>
      </c>
      <c r="I527" s="15">
        <v>20</v>
      </c>
      <c r="J527" s="12" t="s">
        <v>1514</v>
      </c>
      <c r="K527" s="591">
        <f>(19*28)+(1*23.7)</f>
        <v>555.70000000000005</v>
      </c>
      <c r="L527" s="121" t="s">
        <v>2033</v>
      </c>
      <c r="M527" s="132">
        <v>14</v>
      </c>
      <c r="N527" s="133">
        <v>20</v>
      </c>
      <c r="O527" s="119">
        <f t="shared" si="14"/>
        <v>0</v>
      </c>
    </row>
    <row r="528" spans="1:15">
      <c r="A528" s="590" t="s">
        <v>1176</v>
      </c>
      <c r="B528" s="11" t="s">
        <v>150</v>
      </c>
      <c r="C528" s="11">
        <v>50</v>
      </c>
      <c r="D528" s="11" t="s">
        <v>53</v>
      </c>
      <c r="E528" s="15">
        <v>22</v>
      </c>
      <c r="F528" s="11" t="s">
        <v>1359</v>
      </c>
      <c r="G528" s="11" t="s">
        <v>185</v>
      </c>
      <c r="H528" s="15" t="s">
        <v>5</v>
      </c>
      <c r="I528" s="15">
        <v>20</v>
      </c>
      <c r="J528" s="12" t="s">
        <v>682</v>
      </c>
      <c r="K528" s="591">
        <f>(19*38)+(1*33.7)</f>
        <v>755.7</v>
      </c>
      <c r="L528" s="121" t="s">
        <v>2029</v>
      </c>
      <c r="M528" s="132">
        <v>3</v>
      </c>
      <c r="N528" s="130">
        <f>10+10</f>
        <v>20</v>
      </c>
      <c r="O528" s="119">
        <f t="shared" si="14"/>
        <v>0</v>
      </c>
    </row>
    <row r="529" spans="1:15">
      <c r="A529" s="590" t="s">
        <v>1176</v>
      </c>
      <c r="B529" s="11" t="s">
        <v>150</v>
      </c>
      <c r="C529" s="11">
        <v>50</v>
      </c>
      <c r="D529" s="11" t="s">
        <v>53</v>
      </c>
      <c r="E529" s="15">
        <v>24</v>
      </c>
      <c r="F529" s="11" t="s">
        <v>102</v>
      </c>
      <c r="G529" s="11" t="s">
        <v>185</v>
      </c>
      <c r="H529" s="15" t="s">
        <v>15</v>
      </c>
      <c r="I529" s="15">
        <v>20</v>
      </c>
      <c r="J529" s="12" t="s">
        <v>1417</v>
      </c>
      <c r="K529" s="591">
        <f>(18*40)+(2*35.7)</f>
        <v>791.4</v>
      </c>
      <c r="L529" s="121" t="s">
        <v>2029</v>
      </c>
      <c r="M529" s="132">
        <v>4</v>
      </c>
      <c r="N529" s="133">
        <v>20</v>
      </c>
      <c r="O529" s="630">
        <f t="shared" si="14"/>
        <v>0</v>
      </c>
    </row>
    <row r="530" spans="1:15">
      <c r="A530" s="590" t="s">
        <v>1184</v>
      </c>
      <c r="B530" s="11" t="s">
        <v>150</v>
      </c>
      <c r="C530" s="11">
        <v>48</v>
      </c>
      <c r="D530" s="11" t="s">
        <v>53</v>
      </c>
      <c r="E530" s="15">
        <v>46</v>
      </c>
      <c r="F530" s="11" t="s">
        <v>437</v>
      </c>
      <c r="G530" s="11" t="s">
        <v>185</v>
      </c>
      <c r="H530" s="15" t="s">
        <v>15</v>
      </c>
      <c r="I530" s="15">
        <v>20</v>
      </c>
      <c r="J530" s="12" t="s">
        <v>700</v>
      </c>
      <c r="K530" s="591">
        <f>(19*40)+(1*35.7)</f>
        <v>795.7</v>
      </c>
      <c r="L530" s="121" t="s">
        <v>2090</v>
      </c>
      <c r="M530" s="136"/>
      <c r="N530" s="133">
        <v>20</v>
      </c>
      <c r="O530" s="119">
        <f t="shared" si="14"/>
        <v>0</v>
      </c>
    </row>
    <row r="531" spans="1:15">
      <c r="A531" s="590" t="s">
        <v>1139</v>
      </c>
      <c r="B531" s="11" t="s">
        <v>9</v>
      </c>
      <c r="C531" s="11">
        <v>38</v>
      </c>
      <c r="D531" s="11" t="s">
        <v>16</v>
      </c>
      <c r="E531" s="11">
        <v>127</v>
      </c>
      <c r="F531" s="11" t="s">
        <v>1516</v>
      </c>
      <c r="G531" s="11" t="s">
        <v>717</v>
      </c>
      <c r="H531" s="11" t="s">
        <v>143</v>
      </c>
      <c r="I531" s="11">
        <v>15</v>
      </c>
      <c r="J531" s="12" t="s">
        <v>14</v>
      </c>
      <c r="K531" s="591">
        <f>(14*38)+(1*29.4)</f>
        <v>561.4</v>
      </c>
      <c r="L531" s="121" t="s">
        <v>2055</v>
      </c>
      <c r="M531" s="132" t="s">
        <v>2074</v>
      </c>
      <c r="N531" s="133">
        <f>11+4</f>
        <v>15</v>
      </c>
      <c r="O531" s="119">
        <f t="shared" si="14"/>
        <v>0</v>
      </c>
    </row>
    <row r="532" spans="1:15">
      <c r="A532" s="590" t="s">
        <v>1148</v>
      </c>
      <c r="B532" s="11" t="s">
        <v>9</v>
      </c>
      <c r="C532" s="11">
        <v>39</v>
      </c>
      <c r="D532" s="11" t="s">
        <v>16</v>
      </c>
      <c r="E532" s="15">
        <v>119</v>
      </c>
      <c r="F532" s="11" t="s">
        <v>1592</v>
      </c>
      <c r="G532" s="11" t="s">
        <v>717</v>
      </c>
      <c r="H532" s="15" t="s">
        <v>1518</v>
      </c>
      <c r="I532" s="15">
        <v>25</v>
      </c>
      <c r="J532" s="12" t="s">
        <v>170</v>
      </c>
      <c r="K532" s="591">
        <f>(25*38)</f>
        <v>950</v>
      </c>
      <c r="L532" s="121" t="s">
        <v>2055</v>
      </c>
      <c r="M532" s="132">
        <v>5</v>
      </c>
      <c r="N532" s="133">
        <v>25</v>
      </c>
      <c r="O532" s="119">
        <f t="shared" si="14"/>
        <v>0</v>
      </c>
    </row>
    <row r="533" spans="1:15">
      <c r="A533" s="590" t="s">
        <v>1170</v>
      </c>
      <c r="B533" s="11" t="s">
        <v>9</v>
      </c>
      <c r="C533" s="11">
        <v>46</v>
      </c>
      <c r="D533" s="11" t="s">
        <v>16</v>
      </c>
      <c r="E533" s="15">
        <v>116</v>
      </c>
      <c r="F533" s="11" t="s">
        <v>1449</v>
      </c>
      <c r="G533" s="11" t="s">
        <v>717</v>
      </c>
      <c r="H533" s="15" t="s">
        <v>15</v>
      </c>
      <c r="I533" s="15">
        <v>15</v>
      </c>
      <c r="J533" s="12" t="s">
        <v>14</v>
      </c>
      <c r="K533" s="591">
        <f>(14*38)+(1*29.4)</f>
        <v>561.4</v>
      </c>
      <c r="L533" s="120" t="s">
        <v>2033</v>
      </c>
      <c r="M533" s="132" t="s">
        <v>2050</v>
      </c>
      <c r="N533" s="133">
        <f>5+10</f>
        <v>15</v>
      </c>
      <c r="O533" s="119">
        <f t="shared" si="14"/>
        <v>0</v>
      </c>
    </row>
    <row r="534" spans="1:15">
      <c r="A534" s="590" t="s">
        <v>1170</v>
      </c>
      <c r="B534" s="11" t="s">
        <v>9</v>
      </c>
      <c r="C534" s="11">
        <v>46</v>
      </c>
      <c r="D534" s="11" t="s">
        <v>16</v>
      </c>
      <c r="E534" s="15">
        <v>118</v>
      </c>
      <c r="F534" s="11" t="s">
        <v>1327</v>
      </c>
      <c r="G534" s="11" t="s">
        <v>717</v>
      </c>
      <c r="H534" s="15" t="s">
        <v>15</v>
      </c>
      <c r="I534" s="15">
        <v>25</v>
      </c>
      <c r="J534" s="12" t="s">
        <v>170</v>
      </c>
      <c r="K534" s="591">
        <f>(25*38)</f>
        <v>950</v>
      </c>
      <c r="L534" s="121" t="s">
        <v>2033</v>
      </c>
      <c r="M534" s="132">
        <v>15</v>
      </c>
      <c r="N534" s="133">
        <v>25</v>
      </c>
      <c r="O534" s="119">
        <f t="shared" si="14"/>
        <v>0</v>
      </c>
    </row>
    <row r="535" spans="1:15">
      <c r="A535" s="590" t="s">
        <v>1172</v>
      </c>
      <c r="B535" s="11" t="s">
        <v>9</v>
      </c>
      <c r="C535" s="11">
        <v>46</v>
      </c>
      <c r="D535" s="11" t="s">
        <v>16</v>
      </c>
      <c r="E535" s="15">
        <v>110</v>
      </c>
      <c r="F535" s="11" t="s">
        <v>627</v>
      </c>
      <c r="G535" s="11" t="s">
        <v>717</v>
      </c>
      <c r="H535" s="15" t="s">
        <v>5</v>
      </c>
      <c r="I535" s="15">
        <v>15</v>
      </c>
      <c r="J535" s="12" t="s">
        <v>14</v>
      </c>
      <c r="K535" s="591">
        <f>(14*38)+(1*29.4)</f>
        <v>561.4</v>
      </c>
      <c r="L535" s="121" t="s">
        <v>2029</v>
      </c>
      <c r="M535" s="132">
        <v>4</v>
      </c>
      <c r="N535" s="133">
        <v>15</v>
      </c>
      <c r="O535" s="119">
        <f t="shared" si="14"/>
        <v>0</v>
      </c>
    </row>
    <row r="536" spans="1:15">
      <c r="A536" s="590" t="s">
        <v>1192</v>
      </c>
      <c r="B536" s="11" t="s">
        <v>9</v>
      </c>
      <c r="C536" s="11">
        <v>49</v>
      </c>
      <c r="D536" s="11" t="s">
        <v>16</v>
      </c>
      <c r="E536" s="15">
        <v>117</v>
      </c>
      <c r="F536" s="11" t="s">
        <v>1926</v>
      </c>
      <c r="G536" s="11" t="s">
        <v>717</v>
      </c>
      <c r="H536" s="15" t="s">
        <v>5</v>
      </c>
      <c r="I536" s="15">
        <v>30</v>
      </c>
      <c r="J536" s="12" t="s">
        <v>419</v>
      </c>
      <c r="K536" s="591">
        <f>(30*38)</f>
        <v>1140</v>
      </c>
      <c r="L536" s="121" t="s">
        <v>2082</v>
      </c>
      <c r="M536" s="136">
        <v>15</v>
      </c>
      <c r="N536" s="133">
        <f>10+20</f>
        <v>30</v>
      </c>
      <c r="O536" s="119">
        <f t="shared" si="14"/>
        <v>0</v>
      </c>
    </row>
    <row r="537" spans="1:15">
      <c r="A537" s="590" t="s">
        <v>1192</v>
      </c>
      <c r="B537" s="11" t="s">
        <v>9</v>
      </c>
      <c r="C537" s="11">
        <v>49</v>
      </c>
      <c r="D537" s="11" t="s">
        <v>16</v>
      </c>
      <c r="E537" s="15">
        <v>119</v>
      </c>
      <c r="F537" s="11" t="s">
        <v>1328</v>
      </c>
      <c r="G537" s="11" t="s">
        <v>717</v>
      </c>
      <c r="H537" s="15" t="s">
        <v>5</v>
      </c>
      <c r="I537" s="15">
        <v>20</v>
      </c>
      <c r="J537" s="12" t="s">
        <v>31</v>
      </c>
      <c r="K537" s="591">
        <f>(19*38)+(1*29.4)</f>
        <v>751.4</v>
      </c>
      <c r="L537" s="121" t="s">
        <v>2082</v>
      </c>
      <c r="M537" s="136">
        <v>9</v>
      </c>
      <c r="N537" s="133">
        <f>11+9</f>
        <v>20</v>
      </c>
      <c r="O537" s="119">
        <f t="shared" si="14"/>
        <v>0</v>
      </c>
    </row>
    <row r="538" spans="1:15">
      <c r="A538" s="590" t="s">
        <v>1192</v>
      </c>
      <c r="B538" s="11" t="s">
        <v>9</v>
      </c>
      <c r="C538" s="11">
        <v>49</v>
      </c>
      <c r="D538" s="11" t="s">
        <v>16</v>
      </c>
      <c r="E538" s="15">
        <v>126</v>
      </c>
      <c r="F538" s="11" t="s">
        <v>703</v>
      </c>
      <c r="G538" s="11" t="s">
        <v>717</v>
      </c>
      <c r="H538" s="15" t="s">
        <v>15</v>
      </c>
      <c r="I538" s="15">
        <v>20</v>
      </c>
      <c r="J538" s="12" t="s">
        <v>157</v>
      </c>
      <c r="K538" s="591">
        <f>(20*38)</f>
        <v>760</v>
      </c>
      <c r="L538" s="121" t="s">
        <v>2082</v>
      </c>
      <c r="M538" s="136">
        <v>9</v>
      </c>
      <c r="N538" s="133">
        <f>10+10</f>
        <v>20</v>
      </c>
      <c r="O538" s="119">
        <f t="shared" si="14"/>
        <v>0</v>
      </c>
    </row>
    <row r="539" spans="1:15">
      <c r="A539" s="590" t="s">
        <v>1192</v>
      </c>
      <c r="B539" s="11" t="s">
        <v>9</v>
      </c>
      <c r="C539" s="11">
        <v>49</v>
      </c>
      <c r="D539" s="11" t="s">
        <v>16</v>
      </c>
      <c r="E539" s="15">
        <v>128</v>
      </c>
      <c r="F539" s="11" t="s">
        <v>1328</v>
      </c>
      <c r="G539" s="11" t="s">
        <v>717</v>
      </c>
      <c r="H539" s="15" t="s">
        <v>15</v>
      </c>
      <c r="I539" s="15">
        <v>20</v>
      </c>
      <c r="J539" s="12" t="s">
        <v>31</v>
      </c>
      <c r="K539" s="591">
        <f>(19*38)+(1*29.4)</f>
        <v>751.4</v>
      </c>
      <c r="L539" s="121" t="s">
        <v>2082</v>
      </c>
      <c r="M539" s="136" t="s">
        <v>2049</v>
      </c>
      <c r="N539" s="133">
        <f>10+10</f>
        <v>20</v>
      </c>
      <c r="O539" s="119">
        <f t="shared" si="14"/>
        <v>0</v>
      </c>
    </row>
    <row r="540" spans="1:15">
      <c r="A540" s="590" t="s">
        <v>1170</v>
      </c>
      <c r="B540" s="11" t="s">
        <v>9</v>
      </c>
      <c r="C540" s="11">
        <v>46</v>
      </c>
      <c r="D540" s="11" t="s">
        <v>10</v>
      </c>
      <c r="E540" s="15">
        <v>7</v>
      </c>
      <c r="F540" s="11" t="s">
        <v>543</v>
      </c>
      <c r="G540" s="11" t="s">
        <v>1794</v>
      </c>
      <c r="H540" s="15" t="s">
        <v>15</v>
      </c>
      <c r="I540" s="15">
        <v>15</v>
      </c>
      <c r="J540" s="12" t="s">
        <v>14</v>
      </c>
      <c r="K540" s="591">
        <f>(14*38)+(1*29.4)</f>
        <v>561.4</v>
      </c>
      <c r="L540" s="121" t="s">
        <v>2033</v>
      </c>
      <c r="M540" s="132">
        <v>14</v>
      </c>
      <c r="N540" s="133">
        <f>9+6</f>
        <v>15</v>
      </c>
      <c r="O540" s="119">
        <f t="shared" si="14"/>
        <v>0</v>
      </c>
    </row>
    <row r="541" spans="1:15">
      <c r="A541" s="590" t="s">
        <v>1973</v>
      </c>
      <c r="B541" s="11" t="s">
        <v>9</v>
      </c>
      <c r="C541" s="11">
        <v>48</v>
      </c>
      <c r="D541" s="11" t="s">
        <v>7</v>
      </c>
      <c r="E541" s="15">
        <v>20</v>
      </c>
      <c r="F541" s="11" t="s">
        <v>1947</v>
      </c>
      <c r="G541" s="11" t="s">
        <v>1794</v>
      </c>
      <c r="H541" s="15" t="s">
        <v>15</v>
      </c>
      <c r="I541" s="15">
        <v>18</v>
      </c>
      <c r="J541" s="12" t="s">
        <v>1992</v>
      </c>
      <c r="K541" s="591">
        <f>(18*38)</f>
        <v>684</v>
      </c>
      <c r="L541" s="121" t="s">
        <v>2082</v>
      </c>
      <c r="M541" s="136">
        <v>7</v>
      </c>
      <c r="N541" s="133">
        <f>9+9</f>
        <v>18</v>
      </c>
      <c r="O541" s="119">
        <f t="shared" si="14"/>
        <v>0</v>
      </c>
    </row>
    <row r="542" spans="1:15">
      <c r="A542" s="590" t="s">
        <v>1184</v>
      </c>
      <c r="B542" s="11" t="s">
        <v>150</v>
      </c>
      <c r="C542" s="11">
        <v>48</v>
      </c>
      <c r="D542" s="11" t="s">
        <v>50</v>
      </c>
      <c r="E542" s="15">
        <v>251</v>
      </c>
      <c r="F542" s="11" t="s">
        <v>766</v>
      </c>
      <c r="G542" s="11" t="s">
        <v>1903</v>
      </c>
      <c r="H542" s="15" t="s">
        <v>5</v>
      </c>
      <c r="I542" s="15">
        <v>15</v>
      </c>
      <c r="J542" s="12" t="s">
        <v>163</v>
      </c>
      <c r="K542" s="591">
        <f>(15*37)</f>
        <v>555</v>
      </c>
      <c r="L542" s="121" t="s">
        <v>2090</v>
      </c>
      <c r="M542" s="136"/>
      <c r="N542" s="133">
        <v>15</v>
      </c>
      <c r="O542" s="119">
        <f t="shared" si="14"/>
        <v>0</v>
      </c>
    </row>
    <row r="543" spans="1:15">
      <c r="A543" s="590" t="s">
        <v>1184</v>
      </c>
      <c r="B543" s="11" t="s">
        <v>150</v>
      </c>
      <c r="C543" s="11">
        <v>48</v>
      </c>
      <c r="D543" s="11" t="s">
        <v>50</v>
      </c>
      <c r="E543" s="15">
        <v>252</v>
      </c>
      <c r="F543" s="11" t="s">
        <v>184</v>
      </c>
      <c r="G543" s="11" t="s">
        <v>1903</v>
      </c>
      <c r="H543" s="15" t="s">
        <v>5</v>
      </c>
      <c r="I543" s="15">
        <v>20</v>
      </c>
      <c r="J543" s="12" t="s">
        <v>692</v>
      </c>
      <c r="K543" s="591">
        <f>(19*37)+(1*32.7)</f>
        <v>735.7</v>
      </c>
      <c r="L543" s="121" t="s">
        <v>2090</v>
      </c>
      <c r="M543" s="136"/>
      <c r="N543" s="133">
        <v>20</v>
      </c>
      <c r="O543" s="119">
        <f t="shared" si="14"/>
        <v>0</v>
      </c>
    </row>
    <row r="544" spans="1:15">
      <c r="A544" s="590" t="s">
        <v>1184</v>
      </c>
      <c r="B544" s="11" t="s">
        <v>150</v>
      </c>
      <c r="C544" s="11">
        <v>48</v>
      </c>
      <c r="D544" s="11" t="s">
        <v>50</v>
      </c>
      <c r="E544" s="15">
        <v>258</v>
      </c>
      <c r="F544" s="11" t="s">
        <v>525</v>
      </c>
      <c r="G544" s="11" t="s">
        <v>1903</v>
      </c>
      <c r="H544" s="15" t="s">
        <v>15</v>
      </c>
      <c r="I544" s="15">
        <v>10</v>
      </c>
      <c r="J544" s="12" t="s">
        <v>1904</v>
      </c>
      <c r="K544" s="591">
        <f>(9*37)+(1*32.7)</f>
        <v>365.7</v>
      </c>
      <c r="L544" s="121" t="s">
        <v>2090</v>
      </c>
      <c r="M544" s="136"/>
      <c r="N544" s="133">
        <v>10</v>
      </c>
      <c r="O544" s="119">
        <f t="shared" si="14"/>
        <v>0</v>
      </c>
    </row>
    <row r="545" spans="1:15">
      <c r="A545" s="590" t="s">
        <v>1166</v>
      </c>
      <c r="B545" s="11" t="s">
        <v>150</v>
      </c>
      <c r="C545" s="11">
        <v>49</v>
      </c>
      <c r="D545" s="11" t="s">
        <v>51</v>
      </c>
      <c r="E545" s="15">
        <v>312</v>
      </c>
      <c r="F545" s="11" t="s">
        <v>1443</v>
      </c>
      <c r="G545" s="11" t="s">
        <v>1770</v>
      </c>
      <c r="H545" s="15" t="s">
        <v>15</v>
      </c>
      <c r="I545" s="15">
        <v>20</v>
      </c>
      <c r="J545" s="12" t="s">
        <v>1771</v>
      </c>
      <c r="K545" s="591">
        <f>(17*26)+(3*21.7)</f>
        <v>507.1</v>
      </c>
      <c r="L545" s="121" t="s">
        <v>2033</v>
      </c>
      <c r="M545" s="132">
        <v>1</v>
      </c>
      <c r="N545" s="133">
        <v>20</v>
      </c>
      <c r="O545" s="119">
        <f t="shared" si="14"/>
        <v>0</v>
      </c>
    </row>
    <row r="546" spans="1:15">
      <c r="A546" s="590" t="s">
        <v>993</v>
      </c>
      <c r="B546" s="11" t="s">
        <v>9</v>
      </c>
      <c r="C546" s="11">
        <v>39</v>
      </c>
      <c r="D546" s="11" t="s">
        <v>29</v>
      </c>
      <c r="E546" s="11">
        <v>98</v>
      </c>
      <c r="F546" s="11" t="s">
        <v>1562</v>
      </c>
      <c r="G546" s="11" t="s">
        <v>1563</v>
      </c>
      <c r="H546" s="11" t="s">
        <v>15</v>
      </c>
      <c r="I546" s="11">
        <v>25</v>
      </c>
      <c r="J546" s="12" t="s">
        <v>175</v>
      </c>
      <c r="K546" s="591">
        <f>(25*26)</f>
        <v>650</v>
      </c>
      <c r="L546" s="120" t="s">
        <v>2033</v>
      </c>
      <c r="M546" s="132">
        <v>10</v>
      </c>
      <c r="N546" s="133">
        <v>25</v>
      </c>
      <c r="O546" s="119">
        <f t="shared" si="14"/>
        <v>0</v>
      </c>
    </row>
    <row r="547" spans="1:15">
      <c r="A547" s="590" t="s">
        <v>993</v>
      </c>
      <c r="B547" s="11" t="s">
        <v>9</v>
      </c>
      <c r="C547" s="11">
        <v>39</v>
      </c>
      <c r="D547" s="11" t="s">
        <v>29</v>
      </c>
      <c r="E547" s="11">
        <v>100</v>
      </c>
      <c r="F547" s="11" t="s">
        <v>388</v>
      </c>
      <c r="G547" s="11" t="s">
        <v>1563</v>
      </c>
      <c r="H547" s="11" t="s">
        <v>15</v>
      </c>
      <c r="I547" s="11">
        <v>20</v>
      </c>
      <c r="J547" s="12" t="s">
        <v>34</v>
      </c>
      <c r="K547" s="591">
        <f>(19*26)+(1*17.4)</f>
        <v>511.4</v>
      </c>
      <c r="L547" s="120" t="s">
        <v>2033</v>
      </c>
      <c r="M547" s="132">
        <v>8</v>
      </c>
      <c r="N547" s="133">
        <v>20</v>
      </c>
      <c r="O547" s="119">
        <f t="shared" si="14"/>
        <v>0</v>
      </c>
    </row>
    <row r="548" spans="1:15">
      <c r="A548" s="590" t="s">
        <v>986</v>
      </c>
      <c r="B548" s="11" t="s">
        <v>9</v>
      </c>
      <c r="C548" s="11">
        <v>39</v>
      </c>
      <c r="D548" s="11" t="s">
        <v>10</v>
      </c>
      <c r="E548" s="11">
        <v>361</v>
      </c>
      <c r="F548" s="11" t="s">
        <v>758</v>
      </c>
      <c r="G548" s="11" t="s">
        <v>99</v>
      </c>
      <c r="H548" s="11" t="s">
        <v>15</v>
      </c>
      <c r="I548" s="11">
        <v>15</v>
      </c>
      <c r="J548" s="12" t="s">
        <v>37</v>
      </c>
      <c r="K548" s="591">
        <f>(14*26)+(1*17.4)</f>
        <v>381.4</v>
      </c>
      <c r="L548" s="120" t="s">
        <v>2082</v>
      </c>
      <c r="M548" s="132">
        <v>4</v>
      </c>
      <c r="N548" s="133">
        <v>15</v>
      </c>
      <c r="O548" s="119">
        <f t="shared" si="14"/>
        <v>0</v>
      </c>
    </row>
    <row r="549" spans="1:15">
      <c r="A549" s="590" t="s">
        <v>986</v>
      </c>
      <c r="B549" s="11" t="s">
        <v>9</v>
      </c>
      <c r="C549" s="11">
        <v>39</v>
      </c>
      <c r="D549" s="11" t="s">
        <v>10</v>
      </c>
      <c r="E549" s="11">
        <v>362</v>
      </c>
      <c r="F549" s="11" t="s">
        <v>727</v>
      </c>
      <c r="G549" s="11" t="s">
        <v>99</v>
      </c>
      <c r="H549" s="11" t="s">
        <v>15</v>
      </c>
      <c r="I549" s="11">
        <v>20</v>
      </c>
      <c r="J549" s="12" t="s">
        <v>34</v>
      </c>
      <c r="K549" s="591">
        <f>(19*26)+(1*17.4)</f>
        <v>511.4</v>
      </c>
      <c r="L549" s="120" t="s">
        <v>2082</v>
      </c>
      <c r="M549" s="132">
        <v>9</v>
      </c>
      <c r="N549" s="133">
        <v>20</v>
      </c>
      <c r="O549" s="119">
        <f t="shared" si="14"/>
        <v>0</v>
      </c>
    </row>
    <row r="550" spans="1:15">
      <c r="A550" s="590" t="s">
        <v>986</v>
      </c>
      <c r="B550" s="11" t="s">
        <v>9</v>
      </c>
      <c r="C550" s="11">
        <v>39</v>
      </c>
      <c r="D550" s="11" t="s">
        <v>10</v>
      </c>
      <c r="E550" s="11">
        <v>363</v>
      </c>
      <c r="F550" s="11" t="s">
        <v>1560</v>
      </c>
      <c r="G550" s="11" t="s">
        <v>99</v>
      </c>
      <c r="H550" s="11" t="s">
        <v>15</v>
      </c>
      <c r="I550" s="11">
        <v>40</v>
      </c>
      <c r="J550" s="12" t="s">
        <v>406</v>
      </c>
      <c r="K550" s="591">
        <f>(39*26)+(1*17.4)</f>
        <v>1031.4000000000001</v>
      </c>
      <c r="L550" s="121" t="s">
        <v>2082</v>
      </c>
      <c r="M550" s="132">
        <v>14</v>
      </c>
      <c r="N550" s="133">
        <f>10+20+10</f>
        <v>40</v>
      </c>
      <c r="O550" s="119">
        <f t="shared" si="14"/>
        <v>0</v>
      </c>
    </row>
    <row r="551" spans="1:15">
      <c r="A551" s="590" t="s">
        <v>1009</v>
      </c>
      <c r="B551" s="11" t="s">
        <v>9</v>
      </c>
      <c r="C551" s="11">
        <v>42</v>
      </c>
      <c r="D551" s="11" t="s">
        <v>10</v>
      </c>
      <c r="E551" s="15">
        <v>466</v>
      </c>
      <c r="F551" s="11" t="s">
        <v>1649</v>
      </c>
      <c r="G551" s="11" t="s">
        <v>99</v>
      </c>
      <c r="H551" s="15" t="s">
        <v>5</v>
      </c>
      <c r="I551" s="15">
        <v>10</v>
      </c>
      <c r="J551" s="12" t="s">
        <v>126</v>
      </c>
      <c r="K551" s="591">
        <f>(9*26)+(1*17.4)</f>
        <v>251.4</v>
      </c>
      <c r="L551" s="121" t="s">
        <v>2082</v>
      </c>
      <c r="M551" s="132">
        <v>13</v>
      </c>
      <c r="N551" s="133">
        <v>10</v>
      </c>
      <c r="O551" s="119">
        <f t="shared" si="14"/>
        <v>0</v>
      </c>
    </row>
    <row r="552" spans="1:15">
      <c r="A552" s="590" t="s">
        <v>1009</v>
      </c>
      <c r="B552" s="11" t="s">
        <v>9</v>
      </c>
      <c r="C552" s="11">
        <v>42</v>
      </c>
      <c r="D552" s="11" t="s">
        <v>10</v>
      </c>
      <c r="E552" s="15">
        <v>468</v>
      </c>
      <c r="F552" s="11" t="s">
        <v>769</v>
      </c>
      <c r="G552" s="11" t="s">
        <v>99</v>
      </c>
      <c r="H552" s="15" t="s">
        <v>5</v>
      </c>
      <c r="I552" s="15">
        <v>25</v>
      </c>
      <c r="J552" s="12" t="s">
        <v>175</v>
      </c>
      <c r="K552" s="591">
        <f>(25*26)</f>
        <v>650</v>
      </c>
      <c r="L552" s="121" t="s">
        <v>2082</v>
      </c>
      <c r="M552" s="132">
        <v>7</v>
      </c>
      <c r="N552" s="138">
        <f>18+7</f>
        <v>25</v>
      </c>
      <c r="O552" s="119">
        <f t="shared" si="14"/>
        <v>0</v>
      </c>
    </row>
    <row r="553" spans="1:15" ht="14.45" customHeight="1">
      <c r="A553" s="590" t="s">
        <v>1014</v>
      </c>
      <c r="B553" s="11" t="s">
        <v>9</v>
      </c>
      <c r="C553" s="11">
        <v>40</v>
      </c>
      <c r="D553" s="11" t="s">
        <v>29</v>
      </c>
      <c r="E553" s="15">
        <v>153</v>
      </c>
      <c r="F553" s="11" t="s">
        <v>1651</v>
      </c>
      <c r="G553" s="11" t="s">
        <v>99</v>
      </c>
      <c r="H553" s="15" t="s">
        <v>5</v>
      </c>
      <c r="I553" s="15">
        <v>15</v>
      </c>
      <c r="J553" s="12" t="s">
        <v>37</v>
      </c>
      <c r="K553" s="591">
        <f>(14*26)+(1*17.4)</f>
        <v>381.4</v>
      </c>
      <c r="L553" s="121" t="s">
        <v>2029</v>
      </c>
      <c r="M553" s="132">
        <v>1</v>
      </c>
      <c r="N553" s="133">
        <f>4+11</f>
        <v>15</v>
      </c>
      <c r="O553" s="119">
        <f t="shared" si="14"/>
        <v>0</v>
      </c>
    </row>
    <row r="554" spans="1:15" ht="14.45" customHeight="1">
      <c r="A554" s="590" t="s">
        <v>1014</v>
      </c>
      <c r="B554" s="11" t="s">
        <v>9</v>
      </c>
      <c r="C554" s="11">
        <v>40</v>
      </c>
      <c r="D554" s="11" t="s">
        <v>29</v>
      </c>
      <c r="E554" s="15">
        <v>157</v>
      </c>
      <c r="F554" s="11" t="s">
        <v>165</v>
      </c>
      <c r="G554" s="11" t="s">
        <v>99</v>
      </c>
      <c r="H554" s="15" t="s">
        <v>15</v>
      </c>
      <c r="I554" s="15">
        <v>20</v>
      </c>
      <c r="J554" s="12" t="s">
        <v>34</v>
      </c>
      <c r="K554" s="591">
        <f>(19*26)+(1*17.4)</f>
        <v>511.4</v>
      </c>
      <c r="L554" s="121" t="s">
        <v>2033</v>
      </c>
      <c r="M554" s="132">
        <v>5</v>
      </c>
      <c r="N554" s="130">
        <f>9+11</f>
        <v>20</v>
      </c>
      <c r="O554" s="119">
        <f t="shared" si="14"/>
        <v>0</v>
      </c>
    </row>
    <row r="555" spans="1:15" ht="14.45" customHeight="1">
      <c r="A555" s="590" t="s">
        <v>1164</v>
      </c>
      <c r="B555" s="11" t="s">
        <v>9</v>
      </c>
      <c r="C555" s="11">
        <v>40</v>
      </c>
      <c r="D555" s="11" t="s">
        <v>10</v>
      </c>
      <c r="E555" s="15">
        <v>396</v>
      </c>
      <c r="F555" s="11" t="s">
        <v>67</v>
      </c>
      <c r="G555" s="11" t="s">
        <v>99</v>
      </c>
      <c r="H555" s="15" t="s">
        <v>15</v>
      </c>
      <c r="I555" s="15">
        <v>15</v>
      </c>
      <c r="J555" s="12" t="s">
        <v>37</v>
      </c>
      <c r="K555" s="591">
        <f>(14*26)+(1*17.4)</f>
        <v>381.4</v>
      </c>
      <c r="L555" s="121" t="s">
        <v>2033</v>
      </c>
      <c r="M555" s="132">
        <v>3</v>
      </c>
      <c r="N555" s="130">
        <f>6+9</f>
        <v>15</v>
      </c>
      <c r="O555" s="119">
        <f t="shared" si="14"/>
        <v>0</v>
      </c>
    </row>
    <row r="556" spans="1:15" ht="14.45" customHeight="1">
      <c r="A556" s="590" t="s">
        <v>1188</v>
      </c>
      <c r="B556" s="11" t="s">
        <v>9</v>
      </c>
      <c r="C556" s="11">
        <v>47</v>
      </c>
      <c r="D556" s="11" t="s">
        <v>7</v>
      </c>
      <c r="E556" s="15">
        <v>669</v>
      </c>
      <c r="F556" s="11" t="s">
        <v>1923</v>
      </c>
      <c r="G556" s="11" t="s">
        <v>99</v>
      </c>
      <c r="H556" s="15" t="s">
        <v>15</v>
      </c>
      <c r="I556" s="15">
        <v>20</v>
      </c>
      <c r="J556" s="12" t="s">
        <v>155</v>
      </c>
      <c r="K556" s="591">
        <f>(20*26)</f>
        <v>520</v>
      </c>
      <c r="L556" s="121" t="s">
        <v>2033</v>
      </c>
      <c r="M556" s="136">
        <v>10</v>
      </c>
      <c r="N556" s="133">
        <f>10+10</f>
        <v>20</v>
      </c>
      <c r="O556" s="119">
        <f t="shared" si="14"/>
        <v>0</v>
      </c>
    </row>
    <row r="557" spans="1:15" ht="14.45" customHeight="1">
      <c r="A557" s="590" t="s">
        <v>1973</v>
      </c>
      <c r="B557" s="11" t="s">
        <v>9</v>
      </c>
      <c r="C557" s="11">
        <v>48</v>
      </c>
      <c r="D557" s="11" t="s">
        <v>29</v>
      </c>
      <c r="E557" s="15">
        <v>132</v>
      </c>
      <c r="F557" s="11" t="s">
        <v>1996</v>
      </c>
      <c r="G557" s="11" t="s">
        <v>99</v>
      </c>
      <c r="H557" s="15" t="s">
        <v>15</v>
      </c>
      <c r="I557" s="15">
        <v>25</v>
      </c>
      <c r="J557" s="12" t="s">
        <v>175</v>
      </c>
      <c r="K557" s="591">
        <f>(25*26)</f>
        <v>650</v>
      </c>
      <c r="L557" s="121" t="s">
        <v>2082</v>
      </c>
      <c r="M557" s="136">
        <v>2</v>
      </c>
      <c r="N557" s="133">
        <f>9+9+7</f>
        <v>25</v>
      </c>
      <c r="O557" s="119">
        <f t="shared" si="14"/>
        <v>0</v>
      </c>
    </row>
    <row r="558" spans="1:15" ht="14.45" customHeight="1">
      <c r="A558" s="590" t="s">
        <v>1976</v>
      </c>
      <c r="B558" s="11" t="s">
        <v>9</v>
      </c>
      <c r="C558" s="11">
        <v>49</v>
      </c>
      <c r="D558" s="11" t="s">
        <v>29</v>
      </c>
      <c r="E558" s="15">
        <v>169</v>
      </c>
      <c r="F558" s="11" t="s">
        <v>1938</v>
      </c>
      <c r="G558" s="11" t="s">
        <v>99</v>
      </c>
      <c r="H558" s="15" t="s">
        <v>15</v>
      </c>
      <c r="I558" s="15">
        <v>15</v>
      </c>
      <c r="J558" s="12" t="s">
        <v>37</v>
      </c>
      <c r="K558" s="591">
        <f>(14*26)+(1*17.4)</f>
        <v>381.4</v>
      </c>
      <c r="L558" s="121" t="s">
        <v>2033</v>
      </c>
      <c r="M558" s="136">
        <v>3</v>
      </c>
      <c r="N558" s="133">
        <v>15</v>
      </c>
      <c r="O558" s="119">
        <f t="shared" si="14"/>
        <v>0</v>
      </c>
    </row>
    <row r="559" spans="1:15" ht="14.45" customHeight="1">
      <c r="A559" s="590" t="s">
        <v>1976</v>
      </c>
      <c r="B559" s="11" t="s">
        <v>9</v>
      </c>
      <c r="C559" s="11">
        <v>49</v>
      </c>
      <c r="D559" s="11" t="s">
        <v>29</v>
      </c>
      <c r="E559" s="15">
        <v>167</v>
      </c>
      <c r="F559" s="11" t="s">
        <v>1806</v>
      </c>
      <c r="G559" s="11" t="s">
        <v>99</v>
      </c>
      <c r="H559" s="15" t="s">
        <v>15</v>
      </c>
      <c r="I559" s="15">
        <v>20</v>
      </c>
      <c r="J559" s="12" t="s">
        <v>155</v>
      </c>
      <c r="K559" s="591">
        <f>(20*26)</f>
        <v>520</v>
      </c>
      <c r="L559" s="121" t="s">
        <v>2029</v>
      </c>
      <c r="M559" s="136">
        <v>2</v>
      </c>
      <c r="N559" s="133">
        <v>20</v>
      </c>
      <c r="O559" s="119">
        <f t="shared" si="14"/>
        <v>0</v>
      </c>
    </row>
    <row r="560" spans="1:15" ht="14.45" customHeight="1">
      <c r="A560" s="590" t="s">
        <v>1976</v>
      </c>
      <c r="B560" s="11" t="s">
        <v>9</v>
      </c>
      <c r="C560" s="11">
        <v>49</v>
      </c>
      <c r="D560" s="11" t="s">
        <v>29</v>
      </c>
      <c r="E560" s="15">
        <v>168</v>
      </c>
      <c r="F560" s="11" t="s">
        <v>2022</v>
      </c>
      <c r="G560" s="11" t="s">
        <v>99</v>
      </c>
      <c r="H560" s="15" t="s">
        <v>15</v>
      </c>
      <c r="I560" s="15">
        <v>25</v>
      </c>
      <c r="J560" s="12" t="s">
        <v>175</v>
      </c>
      <c r="K560" s="591">
        <f>(25*26)</f>
        <v>650</v>
      </c>
      <c r="L560" s="121" t="s">
        <v>2033</v>
      </c>
      <c r="M560" s="136">
        <v>1</v>
      </c>
      <c r="N560" s="133">
        <v>25</v>
      </c>
      <c r="O560" s="119">
        <f t="shared" si="14"/>
        <v>0</v>
      </c>
    </row>
    <row r="561" spans="1:15" ht="14.45" customHeight="1">
      <c r="A561" s="590" t="s">
        <v>1977</v>
      </c>
      <c r="B561" s="11" t="s">
        <v>9</v>
      </c>
      <c r="C561" s="11">
        <v>48</v>
      </c>
      <c r="D561" s="11" t="s">
        <v>29</v>
      </c>
      <c r="E561" s="15">
        <v>133</v>
      </c>
      <c r="F561" s="11" t="s">
        <v>2026</v>
      </c>
      <c r="G561" s="11" t="s">
        <v>99</v>
      </c>
      <c r="H561" s="15" t="s">
        <v>15</v>
      </c>
      <c r="I561" s="15">
        <v>25</v>
      </c>
      <c r="J561" s="12" t="s">
        <v>175</v>
      </c>
      <c r="K561" s="591">
        <f>(25*26)</f>
        <v>650</v>
      </c>
      <c r="L561" s="121" t="s">
        <v>2055</v>
      </c>
      <c r="M561" s="136"/>
      <c r="N561" s="133">
        <v>25</v>
      </c>
      <c r="O561" s="119">
        <f t="shared" si="14"/>
        <v>0</v>
      </c>
    </row>
    <row r="562" spans="1:15" ht="14.45" customHeight="1">
      <c r="A562" s="590" t="s">
        <v>1977</v>
      </c>
      <c r="B562" s="11" t="s">
        <v>9</v>
      </c>
      <c r="C562" s="11">
        <v>48</v>
      </c>
      <c r="D562" s="11" t="s">
        <v>29</v>
      </c>
      <c r="E562" s="15">
        <v>134</v>
      </c>
      <c r="F562" s="11" t="s">
        <v>100</v>
      </c>
      <c r="G562" s="11" t="s">
        <v>99</v>
      </c>
      <c r="H562" s="15" t="s">
        <v>15</v>
      </c>
      <c r="I562" s="15">
        <v>20</v>
      </c>
      <c r="J562" s="12" t="s">
        <v>155</v>
      </c>
      <c r="K562" s="591">
        <f>(20*26)</f>
        <v>520</v>
      </c>
      <c r="L562" s="121" t="s">
        <v>2055</v>
      </c>
      <c r="M562" s="136"/>
      <c r="N562" s="133">
        <v>20</v>
      </c>
      <c r="O562" s="119">
        <f t="shared" si="14"/>
        <v>0</v>
      </c>
    </row>
    <row r="563" spans="1:15" ht="14.45" customHeight="1">
      <c r="A563" s="590" t="s">
        <v>1977</v>
      </c>
      <c r="B563" s="11" t="s">
        <v>9</v>
      </c>
      <c r="C563" s="11">
        <v>48</v>
      </c>
      <c r="D563" s="11" t="s">
        <v>29</v>
      </c>
      <c r="E563" s="15">
        <v>135</v>
      </c>
      <c r="F563" s="11" t="s">
        <v>1946</v>
      </c>
      <c r="G563" s="11" t="s">
        <v>99</v>
      </c>
      <c r="H563" s="15" t="s">
        <v>15</v>
      </c>
      <c r="I563" s="15">
        <v>17</v>
      </c>
      <c r="J563" s="12" t="s">
        <v>487</v>
      </c>
      <c r="K563" s="591">
        <f>(17*26)</f>
        <v>442</v>
      </c>
      <c r="L563" s="121" t="s">
        <v>2055</v>
      </c>
      <c r="M563" s="136"/>
      <c r="N563" s="133">
        <v>17</v>
      </c>
      <c r="O563" s="119">
        <f t="shared" si="14"/>
        <v>0</v>
      </c>
    </row>
    <row r="564" spans="1:15" ht="14.45" customHeight="1">
      <c r="A564" s="590" t="s">
        <v>1178</v>
      </c>
      <c r="B564" s="11" t="s">
        <v>150</v>
      </c>
      <c r="C564" s="11">
        <v>49</v>
      </c>
      <c r="D564" s="11" t="s">
        <v>7</v>
      </c>
      <c r="E564" s="15">
        <v>203</v>
      </c>
      <c r="F564" s="11" t="s">
        <v>598</v>
      </c>
      <c r="G564" s="11" t="s">
        <v>1849</v>
      </c>
      <c r="H564" s="15" t="s">
        <v>5</v>
      </c>
      <c r="I564" s="15">
        <v>20</v>
      </c>
      <c r="J564" s="12" t="s">
        <v>628</v>
      </c>
      <c r="K564" s="591">
        <f>(18*36)+(2*31.7)</f>
        <v>711.4</v>
      </c>
      <c r="L564" s="121" t="s">
        <v>2082</v>
      </c>
      <c r="M564" s="132">
        <v>6</v>
      </c>
      <c r="N564" s="133">
        <v>20</v>
      </c>
      <c r="O564" s="119">
        <f t="shared" si="14"/>
        <v>0</v>
      </c>
    </row>
    <row r="565" spans="1:15" ht="14.45" customHeight="1">
      <c r="A565" s="590" t="s">
        <v>1178</v>
      </c>
      <c r="B565" s="11" t="s">
        <v>150</v>
      </c>
      <c r="C565" s="11">
        <v>49</v>
      </c>
      <c r="D565" s="11" t="s">
        <v>7</v>
      </c>
      <c r="E565" s="15">
        <v>73</v>
      </c>
      <c r="F565" s="11" t="s">
        <v>1844</v>
      </c>
      <c r="G565" s="11" t="s">
        <v>1845</v>
      </c>
      <c r="H565" s="15" t="s">
        <v>15</v>
      </c>
      <c r="I565" s="15">
        <v>30</v>
      </c>
      <c r="J565" s="12" t="s">
        <v>1846</v>
      </c>
      <c r="K565" s="591">
        <f>(29*28)+(1*20.3)</f>
        <v>832.3</v>
      </c>
      <c r="L565" s="121" t="s">
        <v>2055</v>
      </c>
      <c r="M565" s="132">
        <v>1</v>
      </c>
      <c r="N565" s="133">
        <v>30</v>
      </c>
      <c r="O565" s="119">
        <f t="shared" si="14"/>
        <v>0</v>
      </c>
    </row>
    <row r="566" spans="1:15" ht="14.45" customHeight="1">
      <c r="A566" s="590" t="s">
        <v>1178</v>
      </c>
      <c r="B566" s="11" t="s">
        <v>150</v>
      </c>
      <c r="C566" s="11">
        <v>49</v>
      </c>
      <c r="D566" s="11" t="s">
        <v>7</v>
      </c>
      <c r="E566" s="15">
        <v>75</v>
      </c>
      <c r="F566" s="11" t="s">
        <v>1847</v>
      </c>
      <c r="G566" s="11" t="s">
        <v>1845</v>
      </c>
      <c r="H566" s="15" t="s">
        <v>15</v>
      </c>
      <c r="I566" s="15">
        <v>15</v>
      </c>
      <c r="J566" s="12" t="s">
        <v>741</v>
      </c>
      <c r="K566" s="591">
        <f>(14*28)+(1*20.3)</f>
        <v>412.3</v>
      </c>
      <c r="L566" s="121" t="s">
        <v>2055</v>
      </c>
      <c r="M566" s="132">
        <v>1</v>
      </c>
      <c r="N566" s="133">
        <v>15</v>
      </c>
      <c r="O566" s="119">
        <f t="shared" si="14"/>
        <v>0</v>
      </c>
    </row>
    <row r="567" spans="1:15" ht="14.45" customHeight="1">
      <c r="A567" s="590" t="s">
        <v>1178</v>
      </c>
      <c r="B567" s="11" t="s">
        <v>150</v>
      </c>
      <c r="C567" s="11">
        <v>49</v>
      </c>
      <c r="D567" s="11" t="s">
        <v>7</v>
      </c>
      <c r="E567" s="15">
        <v>76</v>
      </c>
      <c r="F567" s="11" t="s">
        <v>1848</v>
      </c>
      <c r="G567" s="11" t="s">
        <v>1845</v>
      </c>
      <c r="H567" s="15" t="s">
        <v>15</v>
      </c>
      <c r="I567" s="15">
        <v>15</v>
      </c>
      <c r="J567" s="12" t="s">
        <v>741</v>
      </c>
      <c r="K567" s="591">
        <f>(14*28)+(1*20.3)</f>
        <v>412.3</v>
      </c>
      <c r="L567" s="121" t="s">
        <v>2055</v>
      </c>
      <c r="M567" s="132">
        <v>1</v>
      </c>
      <c r="N567" s="133">
        <v>15</v>
      </c>
      <c r="O567" s="119">
        <f t="shared" si="14"/>
        <v>0</v>
      </c>
    </row>
    <row r="568" spans="1:15" ht="14.45" customHeight="1">
      <c r="A568" s="590" t="s">
        <v>1178</v>
      </c>
      <c r="B568" s="11" t="s">
        <v>150</v>
      </c>
      <c r="C568" s="11">
        <v>50</v>
      </c>
      <c r="D568" s="11" t="s">
        <v>7</v>
      </c>
      <c r="E568" s="15">
        <v>66</v>
      </c>
      <c r="F568" s="11" t="s">
        <v>1860</v>
      </c>
      <c r="G568" s="11" t="s">
        <v>1845</v>
      </c>
      <c r="H568" s="15" t="s">
        <v>15</v>
      </c>
      <c r="I568" s="15">
        <v>15</v>
      </c>
      <c r="J568" s="12" t="s">
        <v>1861</v>
      </c>
      <c r="K568" s="591">
        <f>(13*28)+(2*20.3)</f>
        <v>404.6</v>
      </c>
      <c r="L568" s="121" t="s">
        <v>2055</v>
      </c>
      <c r="M568" s="132">
        <v>1</v>
      </c>
      <c r="N568" s="133">
        <v>15</v>
      </c>
      <c r="O568" s="119">
        <f t="shared" si="14"/>
        <v>0</v>
      </c>
    </row>
    <row r="569" spans="1:15" ht="14.45" customHeight="1">
      <c r="A569" s="590" t="s">
        <v>1016</v>
      </c>
      <c r="B569" s="11" t="s">
        <v>150</v>
      </c>
      <c r="C569" s="11">
        <v>45</v>
      </c>
      <c r="D569" s="11" t="s">
        <v>7</v>
      </c>
      <c r="E569" s="15">
        <v>525</v>
      </c>
      <c r="F569" s="11" t="s">
        <v>353</v>
      </c>
      <c r="G569" s="11" t="s">
        <v>524</v>
      </c>
      <c r="H569" s="15" t="s">
        <v>15</v>
      </c>
      <c r="I569" s="15">
        <v>20</v>
      </c>
      <c r="J569" s="12" t="s">
        <v>168</v>
      </c>
      <c r="K569" s="591">
        <f>(20*37)</f>
        <v>740</v>
      </c>
      <c r="L569" s="121" t="s">
        <v>2081</v>
      </c>
      <c r="M569" s="132"/>
      <c r="N569" s="133">
        <v>20</v>
      </c>
      <c r="O569" s="119">
        <f t="shared" si="14"/>
        <v>0</v>
      </c>
    </row>
    <row r="570" spans="1:15" ht="14.45" customHeight="1">
      <c r="A570" s="590" t="s">
        <v>1016</v>
      </c>
      <c r="B570" s="11" t="s">
        <v>150</v>
      </c>
      <c r="C570" s="11">
        <v>45</v>
      </c>
      <c r="D570" s="11" t="s">
        <v>7</v>
      </c>
      <c r="E570" s="15">
        <v>526</v>
      </c>
      <c r="F570" s="11" t="s">
        <v>498</v>
      </c>
      <c r="G570" s="11" t="s">
        <v>524</v>
      </c>
      <c r="H570" s="15" t="s">
        <v>15</v>
      </c>
      <c r="I570" s="15">
        <v>20</v>
      </c>
      <c r="J570" s="12" t="s">
        <v>1654</v>
      </c>
      <c r="K570" s="591">
        <f>(19*37)+(1*29.3)</f>
        <v>732.3</v>
      </c>
      <c r="L570" s="121" t="s">
        <v>2081</v>
      </c>
      <c r="M570" s="132"/>
      <c r="N570" s="133">
        <v>20</v>
      </c>
      <c r="O570" s="119">
        <f t="shared" si="14"/>
        <v>0</v>
      </c>
    </row>
    <row r="571" spans="1:15" ht="14.45" customHeight="1">
      <c r="A571" s="590" t="s">
        <v>1004</v>
      </c>
      <c r="B571" s="11" t="s">
        <v>9</v>
      </c>
      <c r="C571" s="11">
        <v>44</v>
      </c>
      <c r="D571" s="11" t="s">
        <v>10</v>
      </c>
      <c r="E571" s="15">
        <v>1062</v>
      </c>
      <c r="F571" s="11" t="s">
        <v>423</v>
      </c>
      <c r="G571" s="11" t="s">
        <v>49</v>
      </c>
      <c r="H571" s="15" t="s">
        <v>15</v>
      </c>
      <c r="I571" s="15">
        <v>20</v>
      </c>
      <c r="J571" s="12" t="s">
        <v>1624</v>
      </c>
      <c r="K571" s="591">
        <f>(18*30)+(2*21.4)</f>
        <v>582.79999999999995</v>
      </c>
      <c r="L571" s="121" t="s">
        <v>2033</v>
      </c>
      <c r="M571" s="132">
        <v>6</v>
      </c>
      <c r="N571" s="133">
        <f>10+10</f>
        <v>20</v>
      </c>
      <c r="O571" s="119">
        <f t="shared" si="14"/>
        <v>0</v>
      </c>
    </row>
    <row r="572" spans="1:15" ht="14.45" customHeight="1">
      <c r="A572" s="590" t="s">
        <v>1156</v>
      </c>
      <c r="B572" s="11" t="s">
        <v>9</v>
      </c>
      <c r="C572" s="11">
        <v>40</v>
      </c>
      <c r="D572" s="11" t="s">
        <v>7</v>
      </c>
      <c r="E572" s="15">
        <v>867</v>
      </c>
      <c r="F572" s="11" t="s">
        <v>577</v>
      </c>
      <c r="G572" s="11" t="s">
        <v>49</v>
      </c>
      <c r="H572" s="15" t="s">
        <v>5</v>
      </c>
      <c r="I572" s="15">
        <v>25</v>
      </c>
      <c r="J572" s="12" t="s">
        <v>545</v>
      </c>
      <c r="K572" s="591">
        <f>(24*30)+(1*21.4)</f>
        <v>741.4</v>
      </c>
      <c r="L572" s="121" t="s">
        <v>2033</v>
      </c>
      <c r="M572" s="132">
        <v>14</v>
      </c>
      <c r="N572" s="133">
        <f>9+8+8</f>
        <v>25</v>
      </c>
      <c r="O572" s="119">
        <f t="shared" si="14"/>
        <v>0</v>
      </c>
    </row>
    <row r="573" spans="1:15" ht="14.45" customHeight="1">
      <c r="A573" s="590" t="s">
        <v>1178</v>
      </c>
      <c r="B573" s="11" t="s">
        <v>150</v>
      </c>
      <c r="C573" s="11">
        <v>46</v>
      </c>
      <c r="D573" s="11" t="s">
        <v>50</v>
      </c>
      <c r="E573" s="15">
        <v>10</v>
      </c>
      <c r="F573" s="11" t="s">
        <v>1834</v>
      </c>
      <c r="G573" s="11" t="s">
        <v>701</v>
      </c>
      <c r="H573" s="15" t="s">
        <v>5</v>
      </c>
      <c r="I573" s="15">
        <v>15</v>
      </c>
      <c r="J573" s="12" t="s">
        <v>169</v>
      </c>
      <c r="K573" s="591">
        <f>(15*36)</f>
        <v>540</v>
      </c>
      <c r="L573" s="121" t="s">
        <v>2029</v>
      </c>
      <c r="M573" s="132">
        <v>4</v>
      </c>
      <c r="N573" s="133">
        <v>15</v>
      </c>
      <c r="O573" s="119">
        <f t="shared" si="14"/>
        <v>0</v>
      </c>
    </row>
    <row r="574" spans="1:15" ht="14.45" customHeight="1">
      <c r="A574" s="590" t="s">
        <v>1186</v>
      </c>
      <c r="B574" s="11" t="s">
        <v>150</v>
      </c>
      <c r="C574" s="11">
        <v>47</v>
      </c>
      <c r="D574" s="11" t="s">
        <v>50</v>
      </c>
      <c r="E574" s="15">
        <v>11</v>
      </c>
      <c r="F574" s="11" t="s">
        <v>1917</v>
      </c>
      <c r="G574" s="11" t="s">
        <v>701</v>
      </c>
      <c r="H574" s="15" t="s">
        <v>15</v>
      </c>
      <c r="I574" s="15">
        <v>30</v>
      </c>
      <c r="J574" s="12" t="s">
        <v>623</v>
      </c>
      <c r="K574" s="591">
        <f>(29*37)+(1*29.3)</f>
        <v>1102.3</v>
      </c>
      <c r="L574" s="121" t="s">
        <v>2055</v>
      </c>
      <c r="M574" s="136" t="s">
        <v>2071</v>
      </c>
      <c r="N574" s="133">
        <f>10+20</f>
        <v>30</v>
      </c>
      <c r="O574" s="119">
        <f t="shared" si="14"/>
        <v>0</v>
      </c>
    </row>
    <row r="575" spans="1:15" ht="14.45" customHeight="1">
      <c r="A575" s="590" t="s">
        <v>1186</v>
      </c>
      <c r="B575" s="11" t="s">
        <v>150</v>
      </c>
      <c r="C575" s="11">
        <v>47</v>
      </c>
      <c r="D575" s="11" t="s">
        <v>50</v>
      </c>
      <c r="E575" s="15">
        <v>12</v>
      </c>
      <c r="F575" s="11" t="s">
        <v>1918</v>
      </c>
      <c r="G575" s="11" t="s">
        <v>701</v>
      </c>
      <c r="H575" s="15" t="s">
        <v>15</v>
      </c>
      <c r="I575" s="15">
        <v>25</v>
      </c>
      <c r="J575" s="12" t="s">
        <v>1413</v>
      </c>
      <c r="K575" s="591">
        <f>(24*37)+(1*29.3)</f>
        <v>917.3</v>
      </c>
      <c r="L575" s="121" t="s">
        <v>2055</v>
      </c>
      <c r="M575" s="136">
        <v>7</v>
      </c>
      <c r="N575" s="133">
        <v>25</v>
      </c>
      <c r="O575" s="119">
        <f t="shared" si="14"/>
        <v>0</v>
      </c>
    </row>
    <row r="576" spans="1:15" ht="14.45" customHeight="1">
      <c r="A576" s="590" t="s">
        <v>1186</v>
      </c>
      <c r="B576" s="11" t="s">
        <v>150</v>
      </c>
      <c r="C576" s="11">
        <v>47</v>
      </c>
      <c r="D576" s="11" t="s">
        <v>50</v>
      </c>
      <c r="E576" s="15">
        <v>15</v>
      </c>
      <c r="F576" s="11" t="s">
        <v>1919</v>
      </c>
      <c r="G576" s="11" t="s">
        <v>701</v>
      </c>
      <c r="H576" s="15" t="s">
        <v>15</v>
      </c>
      <c r="I576" s="15">
        <v>25</v>
      </c>
      <c r="J576" s="12" t="s">
        <v>1413</v>
      </c>
      <c r="K576" s="591">
        <f>(24*37)+(1*29.3)</f>
        <v>917.3</v>
      </c>
      <c r="L576" s="121" t="s">
        <v>2055</v>
      </c>
      <c r="M576" s="136">
        <v>6</v>
      </c>
      <c r="N576" s="133">
        <v>25</v>
      </c>
      <c r="O576" s="119">
        <f t="shared" si="14"/>
        <v>0</v>
      </c>
    </row>
    <row r="577" spans="1:15" ht="14.45" customHeight="1">
      <c r="A577" s="590" t="s">
        <v>1181</v>
      </c>
      <c r="B577" s="11" t="s">
        <v>150</v>
      </c>
      <c r="C577" s="11">
        <v>47</v>
      </c>
      <c r="D577" s="11" t="s">
        <v>496</v>
      </c>
      <c r="E577" s="15">
        <v>353</v>
      </c>
      <c r="F577" s="11" t="s">
        <v>1889</v>
      </c>
      <c r="G577" s="11" t="s">
        <v>1409</v>
      </c>
      <c r="H577" s="15" t="s">
        <v>15</v>
      </c>
      <c r="I577" s="15">
        <v>12</v>
      </c>
      <c r="J577" s="12" t="s">
        <v>1414</v>
      </c>
      <c r="K577" s="591">
        <f>(10*40)+(2*32.3)</f>
        <v>464.6</v>
      </c>
      <c r="L577" s="121" t="s">
        <v>2029</v>
      </c>
      <c r="M577" s="132">
        <v>2</v>
      </c>
      <c r="N577" s="133">
        <v>12</v>
      </c>
      <c r="O577" s="119">
        <f t="shared" si="14"/>
        <v>0</v>
      </c>
    </row>
    <row r="578" spans="1:15" ht="14.45" customHeight="1">
      <c r="A578" s="590" t="s">
        <v>1004</v>
      </c>
      <c r="B578" s="11" t="s">
        <v>9</v>
      </c>
      <c r="C578" s="11">
        <v>44</v>
      </c>
      <c r="D578" s="11" t="s">
        <v>10</v>
      </c>
      <c r="E578" s="15">
        <v>652</v>
      </c>
      <c r="F578" s="11" t="s">
        <v>1516</v>
      </c>
      <c r="G578" s="11" t="s">
        <v>196</v>
      </c>
      <c r="H578" s="15" t="s">
        <v>5</v>
      </c>
      <c r="I578" s="15">
        <v>20</v>
      </c>
      <c r="J578" s="12" t="s">
        <v>31</v>
      </c>
      <c r="K578" s="591">
        <f>(19*38)+(1*29.4)</f>
        <v>751.4</v>
      </c>
      <c r="L578" s="121" t="s">
        <v>2033</v>
      </c>
      <c r="M578" s="132">
        <v>5</v>
      </c>
      <c r="N578" s="133">
        <f>10+10</f>
        <v>20</v>
      </c>
      <c r="O578" s="119">
        <f t="shared" si="14"/>
        <v>0</v>
      </c>
    </row>
    <row r="579" spans="1:15">
      <c r="A579" s="590" t="s">
        <v>1004</v>
      </c>
      <c r="B579" s="11" t="s">
        <v>9</v>
      </c>
      <c r="C579" s="11">
        <v>44</v>
      </c>
      <c r="D579" s="11" t="s">
        <v>10</v>
      </c>
      <c r="E579" s="15">
        <v>653</v>
      </c>
      <c r="F579" s="11" t="s">
        <v>1389</v>
      </c>
      <c r="G579" s="11" t="s">
        <v>196</v>
      </c>
      <c r="H579" s="15" t="s">
        <v>5</v>
      </c>
      <c r="I579" s="15">
        <v>20</v>
      </c>
      <c r="J579" s="12" t="s">
        <v>41</v>
      </c>
      <c r="K579" s="591">
        <f>(18*38)+(2*29.4)</f>
        <v>742.8</v>
      </c>
      <c r="L579" s="121" t="s">
        <v>2033</v>
      </c>
      <c r="M579" s="132">
        <v>6</v>
      </c>
      <c r="N579" s="133">
        <f>10+10</f>
        <v>20</v>
      </c>
      <c r="O579" s="119">
        <f t="shared" ref="O579:O642" si="15">I579-N579</f>
        <v>0</v>
      </c>
    </row>
    <row r="580" spans="1:15">
      <c r="A580" s="590" t="s">
        <v>1004</v>
      </c>
      <c r="B580" s="11" t="s">
        <v>9</v>
      </c>
      <c r="C580" s="11">
        <v>44</v>
      </c>
      <c r="D580" s="11" t="s">
        <v>10</v>
      </c>
      <c r="E580" s="15">
        <v>656</v>
      </c>
      <c r="F580" s="11" t="s">
        <v>357</v>
      </c>
      <c r="G580" s="11" t="s">
        <v>196</v>
      </c>
      <c r="H580" s="15" t="s">
        <v>15</v>
      </c>
      <c r="I580" s="15">
        <v>20</v>
      </c>
      <c r="J580" s="12" t="s">
        <v>31</v>
      </c>
      <c r="K580" s="591">
        <f>(19*38)+(1*29.4)</f>
        <v>751.4</v>
      </c>
      <c r="L580" s="121" t="s">
        <v>2033</v>
      </c>
      <c r="M580" s="132">
        <v>13</v>
      </c>
      <c r="N580" s="133">
        <v>20</v>
      </c>
      <c r="O580" s="119">
        <f t="shared" si="15"/>
        <v>0</v>
      </c>
    </row>
    <row r="581" spans="1:15">
      <c r="A581" s="77" t="s">
        <v>969</v>
      </c>
      <c r="B581" s="15" t="s">
        <v>150</v>
      </c>
      <c r="C581" s="15">
        <v>36</v>
      </c>
      <c r="D581" s="15" t="s">
        <v>7</v>
      </c>
      <c r="E581" s="15">
        <v>5076</v>
      </c>
      <c r="F581" s="15" t="s">
        <v>1488</v>
      </c>
      <c r="G581" s="15" t="s">
        <v>1341</v>
      </c>
      <c r="H581" s="15" t="s">
        <v>8</v>
      </c>
      <c r="I581" s="15">
        <v>15</v>
      </c>
      <c r="J581" s="18" t="s">
        <v>1489</v>
      </c>
      <c r="K581" s="589">
        <f>(14*18)+(1*15.5)</f>
        <v>267.5</v>
      </c>
      <c r="L581" s="120" t="s">
        <v>2055</v>
      </c>
      <c r="M581" s="132">
        <v>5</v>
      </c>
      <c r="N581" s="133">
        <v>15</v>
      </c>
      <c r="O581" s="119">
        <f t="shared" si="15"/>
        <v>0</v>
      </c>
    </row>
    <row r="582" spans="1:15">
      <c r="A582" s="590" t="s">
        <v>1144</v>
      </c>
      <c r="B582" s="11" t="s">
        <v>150</v>
      </c>
      <c r="C582" s="11">
        <v>41</v>
      </c>
      <c r="D582" s="11" t="s">
        <v>7</v>
      </c>
      <c r="E582" s="15">
        <v>5052</v>
      </c>
      <c r="F582" s="11" t="s">
        <v>1581</v>
      </c>
      <c r="G582" s="11" t="s">
        <v>1341</v>
      </c>
      <c r="H582" s="15" t="s">
        <v>1342</v>
      </c>
      <c r="I582" s="15">
        <v>10</v>
      </c>
      <c r="J582" s="12" t="s">
        <v>1582</v>
      </c>
      <c r="K582" s="591">
        <f>(9*20)+(1*17.4)</f>
        <v>197.4</v>
      </c>
      <c r="L582" s="121" t="s">
        <v>2055</v>
      </c>
      <c r="M582" s="132">
        <v>1</v>
      </c>
      <c r="N582" s="133">
        <v>10</v>
      </c>
      <c r="O582" s="119">
        <f t="shared" si="15"/>
        <v>0</v>
      </c>
    </row>
    <row r="583" spans="1:15">
      <c r="A583" s="590" t="s">
        <v>1144</v>
      </c>
      <c r="B583" s="11" t="s">
        <v>150</v>
      </c>
      <c r="C583" s="11">
        <v>41</v>
      </c>
      <c r="D583" s="11" t="s">
        <v>7</v>
      </c>
      <c r="E583" s="15">
        <v>5064</v>
      </c>
      <c r="F583" s="11" t="s">
        <v>1583</v>
      </c>
      <c r="G583" s="11" t="s">
        <v>1341</v>
      </c>
      <c r="H583" s="15" t="s">
        <v>1499</v>
      </c>
      <c r="I583" s="15">
        <v>20</v>
      </c>
      <c r="J583" s="12" t="s">
        <v>1584</v>
      </c>
      <c r="K583" s="591">
        <f>(19*25)+(1*22.4)</f>
        <v>497.4</v>
      </c>
      <c r="L583" s="120" t="s">
        <v>2055</v>
      </c>
      <c r="M583" s="132">
        <v>1</v>
      </c>
      <c r="N583" s="133">
        <v>20</v>
      </c>
      <c r="O583" s="119">
        <f t="shared" si="15"/>
        <v>0</v>
      </c>
    </row>
    <row r="584" spans="1:15">
      <c r="A584" s="590" t="s">
        <v>1170</v>
      </c>
      <c r="B584" s="11" t="s">
        <v>9</v>
      </c>
      <c r="C584" s="11">
        <v>46</v>
      </c>
      <c r="D584" s="11" t="s">
        <v>7</v>
      </c>
      <c r="E584" s="15">
        <v>710</v>
      </c>
      <c r="F584" s="11" t="s">
        <v>101</v>
      </c>
      <c r="G584" s="11" t="s">
        <v>1793</v>
      </c>
      <c r="H584" s="15" t="s">
        <v>15</v>
      </c>
      <c r="I584" s="15">
        <v>15</v>
      </c>
      <c r="J584" s="12" t="s">
        <v>159</v>
      </c>
      <c r="K584" s="591">
        <f>(15*35)</f>
        <v>525</v>
      </c>
      <c r="L584" s="121" t="s">
        <v>2033</v>
      </c>
      <c r="M584" s="132" t="s">
        <v>2035</v>
      </c>
      <c r="N584" s="133">
        <f>8+7</f>
        <v>15</v>
      </c>
      <c r="O584" s="119">
        <f t="shared" si="15"/>
        <v>0</v>
      </c>
    </row>
    <row r="585" spans="1:15">
      <c r="A585" s="590" t="s">
        <v>1170</v>
      </c>
      <c r="B585" s="11" t="s">
        <v>9</v>
      </c>
      <c r="C585" s="11">
        <v>46</v>
      </c>
      <c r="D585" s="11" t="s">
        <v>7</v>
      </c>
      <c r="E585" s="15">
        <v>712</v>
      </c>
      <c r="F585" s="11" t="s">
        <v>95</v>
      </c>
      <c r="G585" s="11" t="s">
        <v>1793</v>
      </c>
      <c r="H585" s="15" t="s">
        <v>15</v>
      </c>
      <c r="I585" s="15">
        <v>15</v>
      </c>
      <c r="J585" s="12" t="s">
        <v>159</v>
      </c>
      <c r="K585" s="591">
        <f>(15*35)</f>
        <v>525</v>
      </c>
      <c r="L585" s="121" t="s">
        <v>2033</v>
      </c>
      <c r="M585" s="132">
        <v>6</v>
      </c>
      <c r="N585" s="133">
        <v>15</v>
      </c>
      <c r="O585" s="119">
        <f t="shared" si="15"/>
        <v>0</v>
      </c>
    </row>
    <row r="586" spans="1:15">
      <c r="A586" s="77" t="s">
        <v>1137</v>
      </c>
      <c r="B586" s="15" t="s">
        <v>9</v>
      </c>
      <c r="C586" s="15">
        <v>39</v>
      </c>
      <c r="D586" s="15" t="s">
        <v>10</v>
      </c>
      <c r="E586" s="15">
        <v>582</v>
      </c>
      <c r="F586" s="15" t="s">
        <v>681</v>
      </c>
      <c r="G586" s="15" t="s">
        <v>153</v>
      </c>
      <c r="H586" s="15" t="s">
        <v>15</v>
      </c>
      <c r="I586" s="15">
        <v>30</v>
      </c>
      <c r="J586" s="18" t="s">
        <v>12</v>
      </c>
      <c r="K586" s="589">
        <f>(29*35)+(1*26.4)</f>
        <v>1041.4000000000001</v>
      </c>
      <c r="L586" s="121" t="s">
        <v>2082</v>
      </c>
      <c r="M586" s="132">
        <v>9</v>
      </c>
      <c r="N586" s="133">
        <v>30</v>
      </c>
      <c r="O586" s="119">
        <f t="shared" si="15"/>
        <v>0</v>
      </c>
    </row>
    <row r="587" spans="1:15">
      <c r="A587" s="77" t="s">
        <v>1137</v>
      </c>
      <c r="B587" s="15" t="s">
        <v>9</v>
      </c>
      <c r="C587" s="15">
        <v>39</v>
      </c>
      <c r="D587" s="15" t="s">
        <v>10</v>
      </c>
      <c r="E587" s="15">
        <v>584</v>
      </c>
      <c r="F587" s="15" t="s">
        <v>713</v>
      </c>
      <c r="G587" s="15" t="s">
        <v>153</v>
      </c>
      <c r="H587" s="15" t="s">
        <v>143</v>
      </c>
      <c r="I587" s="15">
        <v>15</v>
      </c>
      <c r="J587" s="18" t="s">
        <v>13</v>
      </c>
      <c r="K587" s="589">
        <f>(14*35)+(1*26.4)</f>
        <v>516.4</v>
      </c>
      <c r="L587" s="121" t="s">
        <v>2055</v>
      </c>
      <c r="M587" s="132" t="s">
        <v>2064</v>
      </c>
      <c r="N587" s="133">
        <f>10+5</f>
        <v>15</v>
      </c>
      <c r="O587" s="119">
        <f t="shared" si="15"/>
        <v>0</v>
      </c>
    </row>
    <row r="588" spans="1:15">
      <c r="A588" s="590" t="s">
        <v>1156</v>
      </c>
      <c r="B588" s="11" t="s">
        <v>9</v>
      </c>
      <c r="C588" s="11">
        <v>40</v>
      </c>
      <c r="D588" s="11" t="s">
        <v>7</v>
      </c>
      <c r="E588" s="15">
        <v>600</v>
      </c>
      <c r="F588" s="11" t="s">
        <v>584</v>
      </c>
      <c r="G588" s="11" t="s">
        <v>153</v>
      </c>
      <c r="H588" s="15" t="s">
        <v>5</v>
      </c>
      <c r="I588" s="15">
        <v>20</v>
      </c>
      <c r="J588" s="12" t="s">
        <v>17</v>
      </c>
      <c r="K588" s="591">
        <f>(19*35)+(1*26.4)</f>
        <v>691.4</v>
      </c>
      <c r="L588" s="121" t="s">
        <v>2033</v>
      </c>
      <c r="M588" s="132">
        <v>6</v>
      </c>
      <c r="N588" s="133">
        <v>20</v>
      </c>
      <c r="O588" s="119">
        <f t="shared" si="15"/>
        <v>0</v>
      </c>
    </row>
    <row r="589" spans="1:15">
      <c r="A589" s="590" t="s">
        <v>1156</v>
      </c>
      <c r="B589" s="11" t="s">
        <v>9</v>
      </c>
      <c r="C589" s="11">
        <v>40</v>
      </c>
      <c r="D589" s="11" t="s">
        <v>7</v>
      </c>
      <c r="E589" s="15">
        <v>603</v>
      </c>
      <c r="F589" s="11" t="s">
        <v>683</v>
      </c>
      <c r="G589" s="11" t="s">
        <v>153</v>
      </c>
      <c r="H589" s="15" t="s">
        <v>15</v>
      </c>
      <c r="I589" s="15">
        <v>20</v>
      </c>
      <c r="J589" s="12" t="s">
        <v>23</v>
      </c>
      <c r="K589" s="591">
        <f>(18*35)+(2*26.4)</f>
        <v>682.8</v>
      </c>
      <c r="L589" s="121" t="s">
        <v>2033</v>
      </c>
      <c r="M589" s="132">
        <v>10</v>
      </c>
      <c r="N589" s="133">
        <v>20</v>
      </c>
      <c r="O589" s="119">
        <f t="shared" si="15"/>
        <v>0</v>
      </c>
    </row>
    <row r="590" spans="1:15">
      <c r="A590" s="590" t="s">
        <v>1973</v>
      </c>
      <c r="B590" s="11" t="s">
        <v>9</v>
      </c>
      <c r="C590" s="11">
        <v>48</v>
      </c>
      <c r="D590" s="11" t="s">
        <v>26</v>
      </c>
      <c r="E590" s="15">
        <v>105</v>
      </c>
      <c r="F590" s="11" t="s">
        <v>1961</v>
      </c>
      <c r="G590" s="11" t="s">
        <v>153</v>
      </c>
      <c r="H590" s="15" t="s">
        <v>15</v>
      </c>
      <c r="I590" s="15">
        <v>20</v>
      </c>
      <c r="J590" s="12" t="s">
        <v>17</v>
      </c>
      <c r="K590" s="591">
        <f>(19*35)+(1*26.4)</f>
        <v>691.4</v>
      </c>
      <c r="L590" s="121" t="s">
        <v>2082</v>
      </c>
      <c r="M590" s="136">
        <v>2</v>
      </c>
      <c r="N590" s="133">
        <f>10+10</f>
        <v>20</v>
      </c>
      <c r="O590" s="119">
        <f t="shared" si="15"/>
        <v>0</v>
      </c>
    </row>
    <row r="591" spans="1:15" ht="14.45" customHeight="1">
      <c r="A591" s="590" t="s">
        <v>1973</v>
      </c>
      <c r="B591" s="11" t="s">
        <v>9</v>
      </c>
      <c r="C591" s="11">
        <v>48</v>
      </c>
      <c r="D591" s="11" t="s">
        <v>10</v>
      </c>
      <c r="E591" s="15">
        <v>901</v>
      </c>
      <c r="F591" s="11" t="s">
        <v>2005</v>
      </c>
      <c r="G591" s="11" t="s">
        <v>153</v>
      </c>
      <c r="H591" s="15" t="s">
        <v>15</v>
      </c>
      <c r="I591" s="15">
        <v>15</v>
      </c>
      <c r="J591" s="12" t="s">
        <v>13</v>
      </c>
      <c r="K591" s="591">
        <f>(14*35)+(1*26.4)</f>
        <v>516.4</v>
      </c>
      <c r="L591" s="121" t="s">
        <v>2082</v>
      </c>
      <c r="M591" s="136">
        <v>13</v>
      </c>
      <c r="N591" s="133">
        <f>5+10</f>
        <v>15</v>
      </c>
      <c r="O591" s="119">
        <f t="shared" si="15"/>
        <v>0</v>
      </c>
    </row>
    <row r="592" spans="1:15" ht="14.45" customHeight="1">
      <c r="A592" s="590" t="s">
        <v>1973</v>
      </c>
      <c r="B592" s="11" t="s">
        <v>9</v>
      </c>
      <c r="C592" s="11">
        <v>48</v>
      </c>
      <c r="D592" s="11" t="s">
        <v>10</v>
      </c>
      <c r="E592" s="15">
        <v>902</v>
      </c>
      <c r="F592" s="11" t="s">
        <v>558</v>
      </c>
      <c r="G592" s="11" t="s">
        <v>153</v>
      </c>
      <c r="H592" s="15" t="s">
        <v>15</v>
      </c>
      <c r="I592" s="15">
        <v>15</v>
      </c>
      <c r="J592" s="12" t="s">
        <v>13</v>
      </c>
      <c r="K592" s="591">
        <f>(14*35)+(1*26.4)</f>
        <v>516.4</v>
      </c>
      <c r="L592" s="121" t="s">
        <v>2082</v>
      </c>
      <c r="M592" s="136">
        <v>12</v>
      </c>
      <c r="N592" s="133">
        <f>10+5</f>
        <v>15</v>
      </c>
      <c r="O592" s="119">
        <f t="shared" si="15"/>
        <v>0</v>
      </c>
    </row>
    <row r="593" spans="1:15" ht="14.45" customHeight="1">
      <c r="A593" s="590" t="s">
        <v>1973</v>
      </c>
      <c r="B593" s="11" t="s">
        <v>9</v>
      </c>
      <c r="C593" s="11">
        <v>48</v>
      </c>
      <c r="D593" s="11" t="s">
        <v>10</v>
      </c>
      <c r="E593" s="15">
        <v>906</v>
      </c>
      <c r="F593" s="11" t="s">
        <v>758</v>
      </c>
      <c r="G593" s="11" t="s">
        <v>153</v>
      </c>
      <c r="H593" s="15" t="s">
        <v>15</v>
      </c>
      <c r="I593" s="15">
        <v>20</v>
      </c>
      <c r="J593" s="12" t="s">
        <v>17</v>
      </c>
      <c r="K593" s="591">
        <f>(19*35)+(1*26.4)</f>
        <v>691.4</v>
      </c>
      <c r="L593" s="121" t="s">
        <v>2082</v>
      </c>
      <c r="M593" s="136">
        <v>9</v>
      </c>
      <c r="N593" s="133">
        <f>11+9</f>
        <v>20</v>
      </c>
      <c r="O593" s="119">
        <f t="shared" si="15"/>
        <v>0</v>
      </c>
    </row>
    <row r="594" spans="1:15" ht="14.45" customHeight="1">
      <c r="A594" s="590" t="s">
        <v>1976</v>
      </c>
      <c r="B594" s="11" t="s">
        <v>9</v>
      </c>
      <c r="C594" s="11">
        <v>49</v>
      </c>
      <c r="D594" s="11" t="s">
        <v>7</v>
      </c>
      <c r="E594" s="15">
        <v>869</v>
      </c>
      <c r="F594" s="11" t="s">
        <v>727</v>
      </c>
      <c r="G594" s="11" t="s">
        <v>153</v>
      </c>
      <c r="H594" s="15" t="s">
        <v>5</v>
      </c>
      <c r="I594" s="15">
        <v>15</v>
      </c>
      <c r="J594" s="12" t="s">
        <v>13</v>
      </c>
      <c r="K594" s="591">
        <f>(14*35)+(1*26.4)</f>
        <v>516.4</v>
      </c>
      <c r="L594" s="121" t="s">
        <v>2033</v>
      </c>
      <c r="M594" s="136">
        <v>4</v>
      </c>
      <c r="N594" s="133">
        <v>15</v>
      </c>
      <c r="O594" s="119">
        <f t="shared" si="15"/>
        <v>0</v>
      </c>
    </row>
    <row r="595" spans="1:15" ht="14.45" customHeight="1">
      <c r="A595" s="590" t="s">
        <v>1976</v>
      </c>
      <c r="B595" s="11" t="s">
        <v>9</v>
      </c>
      <c r="C595" s="11">
        <v>49</v>
      </c>
      <c r="D595" s="11" t="s">
        <v>10</v>
      </c>
      <c r="E595" s="15">
        <v>839</v>
      </c>
      <c r="F595" s="11" t="s">
        <v>74</v>
      </c>
      <c r="G595" s="11" t="s">
        <v>153</v>
      </c>
      <c r="H595" s="15" t="s">
        <v>15</v>
      </c>
      <c r="I595" s="15">
        <v>20</v>
      </c>
      <c r="J595" s="12" t="s">
        <v>142</v>
      </c>
      <c r="K595" s="591">
        <f>(20*35)</f>
        <v>700</v>
      </c>
      <c r="L595" s="121" t="s">
        <v>2029</v>
      </c>
      <c r="M595" s="136">
        <v>4</v>
      </c>
      <c r="N595" s="133">
        <v>20</v>
      </c>
      <c r="O595" s="119">
        <f t="shared" si="15"/>
        <v>0</v>
      </c>
    </row>
    <row r="596" spans="1:15" ht="14.45" customHeight="1">
      <c r="A596" s="590" t="s">
        <v>1976</v>
      </c>
      <c r="B596" s="11" t="s">
        <v>9</v>
      </c>
      <c r="C596" s="11">
        <v>49</v>
      </c>
      <c r="D596" s="11" t="s">
        <v>29</v>
      </c>
      <c r="E596" s="15">
        <v>835</v>
      </c>
      <c r="F596" s="11" t="s">
        <v>569</v>
      </c>
      <c r="G596" s="11" t="s">
        <v>153</v>
      </c>
      <c r="H596" s="15" t="s">
        <v>5</v>
      </c>
      <c r="I596" s="15">
        <v>15</v>
      </c>
      <c r="J596" s="12" t="s">
        <v>159</v>
      </c>
      <c r="K596" s="591">
        <f>(15*35)</f>
        <v>525</v>
      </c>
      <c r="L596" s="121" t="s">
        <v>2033</v>
      </c>
      <c r="M596" s="136">
        <v>1</v>
      </c>
      <c r="N596" s="133">
        <f>6+9</f>
        <v>15</v>
      </c>
      <c r="O596" s="119">
        <f t="shared" si="15"/>
        <v>0</v>
      </c>
    </row>
    <row r="597" spans="1:15" ht="14.45" customHeight="1">
      <c r="A597" s="590" t="s">
        <v>1976</v>
      </c>
      <c r="B597" s="11" t="s">
        <v>9</v>
      </c>
      <c r="C597" s="11">
        <v>49</v>
      </c>
      <c r="D597" s="11" t="s">
        <v>29</v>
      </c>
      <c r="E597" s="15">
        <v>838</v>
      </c>
      <c r="F597" s="11" t="s">
        <v>164</v>
      </c>
      <c r="G597" s="11" t="s">
        <v>153</v>
      </c>
      <c r="H597" s="15" t="s">
        <v>15</v>
      </c>
      <c r="I597" s="15">
        <v>20</v>
      </c>
      <c r="J597" s="12" t="s">
        <v>17</v>
      </c>
      <c r="K597" s="591">
        <f>(19*35)+(1*26.4)</f>
        <v>691.4</v>
      </c>
      <c r="L597" s="121" t="s">
        <v>2033</v>
      </c>
      <c r="M597" s="136">
        <v>4</v>
      </c>
      <c r="N597" s="133">
        <v>20</v>
      </c>
      <c r="O597" s="630">
        <f t="shared" si="15"/>
        <v>0</v>
      </c>
    </row>
    <row r="598" spans="1:15" ht="14.45" customHeight="1">
      <c r="A598" s="590" t="s">
        <v>1016</v>
      </c>
      <c r="B598" s="11" t="s">
        <v>150</v>
      </c>
      <c r="C598" s="11">
        <v>45</v>
      </c>
      <c r="D598" s="11" t="s">
        <v>7</v>
      </c>
      <c r="E598" s="15">
        <v>1512</v>
      </c>
      <c r="F598" s="11" t="s">
        <v>1662</v>
      </c>
      <c r="G598" s="11" t="s">
        <v>432</v>
      </c>
      <c r="H598" s="15" t="s">
        <v>15</v>
      </c>
      <c r="I598" s="15">
        <v>20</v>
      </c>
      <c r="J598" s="12" t="s">
        <v>1663</v>
      </c>
      <c r="K598" s="591">
        <f>(17*26)+(3*18.3)</f>
        <v>496.9</v>
      </c>
      <c r="L598" s="121" t="s">
        <v>2033</v>
      </c>
      <c r="M598" s="132">
        <v>14</v>
      </c>
      <c r="N598" s="138">
        <v>20</v>
      </c>
      <c r="O598" s="119">
        <f t="shared" si="15"/>
        <v>0</v>
      </c>
    </row>
    <row r="599" spans="1:15" ht="14.45" customHeight="1">
      <c r="A599" s="590" t="s">
        <v>1181</v>
      </c>
      <c r="B599" s="11" t="s">
        <v>150</v>
      </c>
      <c r="C599" s="11">
        <v>46</v>
      </c>
      <c r="D599" s="11" t="s">
        <v>7</v>
      </c>
      <c r="E599" s="15">
        <v>956</v>
      </c>
      <c r="F599" s="11" t="s">
        <v>1873</v>
      </c>
      <c r="G599" s="11" t="s">
        <v>432</v>
      </c>
      <c r="H599" s="15" t="s">
        <v>15</v>
      </c>
      <c r="I599" s="15">
        <v>20</v>
      </c>
      <c r="J599" s="12" t="s">
        <v>1820</v>
      </c>
      <c r="K599" s="591">
        <f>(19*26)+(1*18.3)</f>
        <v>512.29999999999995</v>
      </c>
      <c r="L599" s="121" t="s">
        <v>2055</v>
      </c>
      <c r="M599" s="132">
        <v>1</v>
      </c>
      <c r="N599" s="133">
        <f>10+10</f>
        <v>20</v>
      </c>
      <c r="O599" s="119">
        <f t="shared" si="15"/>
        <v>0</v>
      </c>
    </row>
    <row r="600" spans="1:15" ht="14.45" customHeight="1">
      <c r="A600" s="590" t="s">
        <v>1181</v>
      </c>
      <c r="B600" s="11" t="s">
        <v>150</v>
      </c>
      <c r="C600" s="11">
        <v>46</v>
      </c>
      <c r="D600" s="11" t="s">
        <v>7</v>
      </c>
      <c r="E600" s="15">
        <v>957</v>
      </c>
      <c r="F600" s="11" t="s">
        <v>1874</v>
      </c>
      <c r="G600" s="11" t="s">
        <v>432</v>
      </c>
      <c r="H600" s="15" t="s">
        <v>15</v>
      </c>
      <c r="I600" s="15">
        <v>30</v>
      </c>
      <c r="J600" s="12" t="s">
        <v>622</v>
      </c>
      <c r="K600" s="591">
        <f>(30*26)</f>
        <v>780</v>
      </c>
      <c r="L600" s="121" t="s">
        <v>2082</v>
      </c>
      <c r="M600" s="132">
        <v>6</v>
      </c>
      <c r="N600" s="133">
        <v>30</v>
      </c>
      <c r="O600" s="119">
        <f t="shared" si="15"/>
        <v>0</v>
      </c>
    </row>
    <row r="601" spans="1:15" ht="14.45" customHeight="1">
      <c r="A601" s="590" t="s">
        <v>1014</v>
      </c>
      <c r="B601" s="11" t="s">
        <v>9</v>
      </c>
      <c r="C601" s="11">
        <v>40</v>
      </c>
      <c r="D601" s="11" t="s">
        <v>29</v>
      </c>
      <c r="E601" s="15">
        <v>173</v>
      </c>
      <c r="F601" s="11" t="s">
        <v>639</v>
      </c>
      <c r="G601" s="11" t="s">
        <v>1468</v>
      </c>
      <c r="H601" s="15" t="s">
        <v>15</v>
      </c>
      <c r="I601" s="15">
        <v>20</v>
      </c>
      <c r="J601" s="12" t="s">
        <v>23</v>
      </c>
      <c r="K601" s="591">
        <f>(18*35)+(2*26.4)</f>
        <v>682.8</v>
      </c>
      <c r="L601" s="121" t="s">
        <v>2081</v>
      </c>
      <c r="M601" s="132"/>
      <c r="N601" s="133">
        <v>20</v>
      </c>
      <c r="O601" s="119">
        <f t="shared" si="15"/>
        <v>0</v>
      </c>
    </row>
    <row r="602" spans="1:15" ht="14.45" customHeight="1">
      <c r="A602" s="590" t="s">
        <v>1014</v>
      </c>
      <c r="B602" s="11" t="s">
        <v>9</v>
      </c>
      <c r="C602" s="11">
        <v>40</v>
      </c>
      <c r="D602" s="11" t="s">
        <v>29</v>
      </c>
      <c r="E602" s="15">
        <v>175</v>
      </c>
      <c r="F602" s="11" t="s">
        <v>520</v>
      </c>
      <c r="G602" s="11" t="s">
        <v>1468</v>
      </c>
      <c r="H602" s="15" t="s">
        <v>15</v>
      </c>
      <c r="I602" s="15">
        <v>25</v>
      </c>
      <c r="J602" s="12" t="s">
        <v>112</v>
      </c>
      <c r="K602" s="591">
        <f>(24*35)+(1*26.4)</f>
        <v>866.4</v>
      </c>
      <c r="L602" s="121" t="s">
        <v>2081</v>
      </c>
      <c r="M602" s="132"/>
      <c r="N602" s="133">
        <v>25</v>
      </c>
      <c r="O602" s="119">
        <f t="shared" si="15"/>
        <v>0</v>
      </c>
    </row>
    <row r="603" spans="1:15" ht="14.45" customHeight="1">
      <c r="A603" s="590" t="s">
        <v>998</v>
      </c>
      <c r="B603" s="11" t="s">
        <v>9</v>
      </c>
      <c r="C603" s="11">
        <v>39</v>
      </c>
      <c r="D603" s="11" t="s">
        <v>7</v>
      </c>
      <c r="E603" s="15">
        <v>580</v>
      </c>
      <c r="F603" s="11" t="s">
        <v>438</v>
      </c>
      <c r="G603" s="11" t="s">
        <v>193</v>
      </c>
      <c r="H603" s="15" t="s">
        <v>15</v>
      </c>
      <c r="I603" s="15">
        <v>30</v>
      </c>
      <c r="J603" s="12" t="s">
        <v>109</v>
      </c>
      <c r="K603" s="591">
        <f>(29*26)+(1*17.4)</f>
        <v>771.4</v>
      </c>
      <c r="L603" s="120" t="s">
        <v>2082</v>
      </c>
      <c r="M603" s="132">
        <v>13</v>
      </c>
      <c r="N603" s="133">
        <f>11+11+8</f>
        <v>30</v>
      </c>
      <c r="O603" s="119">
        <f t="shared" si="15"/>
        <v>0</v>
      </c>
    </row>
    <row r="604" spans="1:15" ht="14.45" customHeight="1">
      <c r="A604" s="590" t="s">
        <v>1156</v>
      </c>
      <c r="B604" s="11" t="s">
        <v>9</v>
      </c>
      <c r="C604" s="11">
        <v>40</v>
      </c>
      <c r="D604" s="11" t="s">
        <v>7</v>
      </c>
      <c r="E604" s="15">
        <v>122</v>
      </c>
      <c r="F604" s="11" t="s">
        <v>1636</v>
      </c>
      <c r="G604" s="11" t="s">
        <v>207</v>
      </c>
      <c r="H604" s="15" t="s">
        <v>5</v>
      </c>
      <c r="I604" s="15">
        <v>20</v>
      </c>
      <c r="J604" s="12" t="s">
        <v>1637</v>
      </c>
      <c r="K604" s="591">
        <f>(19*40)+(1*31.4)</f>
        <v>791.4</v>
      </c>
      <c r="L604" s="121" t="s">
        <v>2082</v>
      </c>
      <c r="M604" s="132">
        <v>4</v>
      </c>
      <c r="N604" s="133">
        <f>10+10</f>
        <v>20</v>
      </c>
      <c r="O604" s="119">
        <f t="shared" si="15"/>
        <v>0</v>
      </c>
    </row>
    <row r="605" spans="1:15" ht="14.45" customHeight="1">
      <c r="A605" s="590" t="s">
        <v>1156</v>
      </c>
      <c r="B605" s="11" t="s">
        <v>9</v>
      </c>
      <c r="C605" s="11">
        <v>40</v>
      </c>
      <c r="D605" s="11" t="s">
        <v>7</v>
      </c>
      <c r="E605" s="15">
        <v>124</v>
      </c>
      <c r="F605" s="11" t="s">
        <v>1638</v>
      </c>
      <c r="G605" s="11" t="s">
        <v>207</v>
      </c>
      <c r="H605" s="15" t="s">
        <v>5</v>
      </c>
      <c r="I605" s="15">
        <v>20</v>
      </c>
      <c r="J605" s="12" t="s">
        <v>1637</v>
      </c>
      <c r="K605" s="591">
        <f>(19*40)+(1*31.4)</f>
        <v>791.4</v>
      </c>
      <c r="L605" s="121" t="s">
        <v>2082</v>
      </c>
      <c r="M605" s="132">
        <v>4</v>
      </c>
      <c r="N605" s="133">
        <v>20</v>
      </c>
      <c r="O605" s="119">
        <f t="shared" si="15"/>
        <v>0</v>
      </c>
    </row>
    <row r="606" spans="1:15" ht="14.45" customHeight="1">
      <c r="A606" s="590" t="s">
        <v>1131</v>
      </c>
      <c r="B606" s="11" t="s">
        <v>9</v>
      </c>
      <c r="C606" s="11">
        <v>38</v>
      </c>
      <c r="D606" s="11" t="s">
        <v>7</v>
      </c>
      <c r="E606" s="11">
        <v>255</v>
      </c>
      <c r="F606" s="11" t="s">
        <v>637</v>
      </c>
      <c r="G606" s="11" t="s">
        <v>39</v>
      </c>
      <c r="H606" s="11" t="s">
        <v>15</v>
      </c>
      <c r="I606" s="11">
        <v>25</v>
      </c>
      <c r="J606" s="12" t="s">
        <v>436</v>
      </c>
      <c r="K606" s="591">
        <f>(25*35)</f>
        <v>875</v>
      </c>
      <c r="L606" s="120" t="s">
        <v>2029</v>
      </c>
      <c r="M606" s="132" t="s">
        <v>2030</v>
      </c>
      <c r="N606" s="133">
        <f>11+10+4</f>
        <v>25</v>
      </c>
      <c r="O606" s="119">
        <f t="shared" si="15"/>
        <v>0</v>
      </c>
    </row>
    <row r="607" spans="1:15" ht="14.45" customHeight="1">
      <c r="A607" s="590" t="s">
        <v>976</v>
      </c>
      <c r="B607" s="11" t="s">
        <v>9</v>
      </c>
      <c r="C607" s="11">
        <v>38</v>
      </c>
      <c r="D607" s="11" t="s">
        <v>10</v>
      </c>
      <c r="E607" s="11">
        <v>91</v>
      </c>
      <c r="F607" s="11" t="s">
        <v>1427</v>
      </c>
      <c r="G607" s="11" t="s">
        <v>39</v>
      </c>
      <c r="H607" s="11" t="s">
        <v>15</v>
      </c>
      <c r="I607" s="11">
        <v>15</v>
      </c>
      <c r="J607" s="12" t="s">
        <v>13</v>
      </c>
      <c r="K607" s="591">
        <f>(14*35)+(1*26.4)</f>
        <v>516.4</v>
      </c>
      <c r="L607" s="120" t="s">
        <v>2033</v>
      </c>
      <c r="M607" s="132">
        <v>10</v>
      </c>
      <c r="N607" s="133">
        <v>15</v>
      </c>
      <c r="O607" s="119">
        <f t="shared" si="15"/>
        <v>0</v>
      </c>
    </row>
    <row r="608" spans="1:15" ht="14.45" customHeight="1">
      <c r="A608" s="590" t="s">
        <v>986</v>
      </c>
      <c r="B608" s="11" t="s">
        <v>9</v>
      </c>
      <c r="C608" s="11">
        <v>39</v>
      </c>
      <c r="D608" s="11" t="s">
        <v>10</v>
      </c>
      <c r="E608" s="11">
        <v>74</v>
      </c>
      <c r="F608" s="11" t="s">
        <v>1513</v>
      </c>
      <c r="G608" s="11" t="s">
        <v>39</v>
      </c>
      <c r="H608" s="11" t="s">
        <v>143</v>
      </c>
      <c r="I608" s="11">
        <v>20</v>
      </c>
      <c r="J608" s="12" t="s">
        <v>17</v>
      </c>
      <c r="K608" s="591">
        <f>(19*35)+(1*26.4)</f>
        <v>691.4</v>
      </c>
      <c r="L608" s="120" t="s">
        <v>2033</v>
      </c>
      <c r="M608" s="132" t="s">
        <v>2050</v>
      </c>
      <c r="N608" s="133">
        <f>9+11</f>
        <v>20</v>
      </c>
      <c r="O608" s="119">
        <f t="shared" si="15"/>
        <v>0</v>
      </c>
    </row>
    <row r="609" spans="1:15" ht="14.45" customHeight="1">
      <c r="A609" s="590" t="s">
        <v>986</v>
      </c>
      <c r="B609" s="11" t="s">
        <v>9</v>
      </c>
      <c r="C609" s="11">
        <v>39</v>
      </c>
      <c r="D609" s="11" t="s">
        <v>10</v>
      </c>
      <c r="E609" s="11">
        <v>75</v>
      </c>
      <c r="F609" s="11" t="s">
        <v>120</v>
      </c>
      <c r="G609" s="11" t="s">
        <v>39</v>
      </c>
      <c r="H609" s="11" t="s">
        <v>143</v>
      </c>
      <c r="I609" s="11">
        <v>20</v>
      </c>
      <c r="J609" s="12" t="s">
        <v>17</v>
      </c>
      <c r="K609" s="591">
        <f>(19*35)+(1*26.4)</f>
        <v>691.4</v>
      </c>
      <c r="L609" s="120" t="s">
        <v>2033</v>
      </c>
      <c r="M609" s="132">
        <v>9</v>
      </c>
      <c r="N609" s="133">
        <f>10+10</f>
        <v>20</v>
      </c>
      <c r="O609" s="119">
        <f t="shared" si="15"/>
        <v>0</v>
      </c>
    </row>
    <row r="610" spans="1:15" ht="14.45" customHeight="1">
      <c r="A610" s="590" t="s">
        <v>998</v>
      </c>
      <c r="B610" s="11" t="s">
        <v>9</v>
      </c>
      <c r="C610" s="11">
        <v>39</v>
      </c>
      <c r="D610" s="11" t="s">
        <v>7</v>
      </c>
      <c r="E610" s="15">
        <v>264</v>
      </c>
      <c r="F610" s="11" t="s">
        <v>1605</v>
      </c>
      <c r="G610" s="11" t="s">
        <v>39</v>
      </c>
      <c r="H610" s="15" t="s">
        <v>15</v>
      </c>
      <c r="I610" s="15">
        <v>15</v>
      </c>
      <c r="J610" s="12" t="s">
        <v>159</v>
      </c>
      <c r="K610" s="591">
        <f>(15*35)</f>
        <v>525</v>
      </c>
      <c r="L610" s="121" t="s">
        <v>2082</v>
      </c>
      <c r="M610" s="132">
        <v>7</v>
      </c>
      <c r="N610" s="133">
        <f>10+5</f>
        <v>15</v>
      </c>
      <c r="O610" s="119">
        <f t="shared" si="15"/>
        <v>0</v>
      </c>
    </row>
    <row r="611" spans="1:15" ht="14.45" customHeight="1">
      <c r="A611" s="590" t="s">
        <v>998</v>
      </c>
      <c r="B611" s="11" t="s">
        <v>9</v>
      </c>
      <c r="C611" s="11">
        <v>39</v>
      </c>
      <c r="D611" s="11" t="s">
        <v>7</v>
      </c>
      <c r="E611" s="15">
        <v>267</v>
      </c>
      <c r="F611" s="11" t="s">
        <v>468</v>
      </c>
      <c r="G611" s="11" t="s">
        <v>39</v>
      </c>
      <c r="H611" s="15" t="s">
        <v>15</v>
      </c>
      <c r="I611" s="15">
        <v>20</v>
      </c>
      <c r="J611" s="12" t="s">
        <v>142</v>
      </c>
      <c r="K611" s="591">
        <f>(20*35)</f>
        <v>700</v>
      </c>
      <c r="L611" s="120" t="s">
        <v>2082</v>
      </c>
      <c r="M611" s="132">
        <v>11</v>
      </c>
      <c r="N611" s="130">
        <f>10+10</f>
        <v>20</v>
      </c>
      <c r="O611" s="119">
        <f t="shared" si="15"/>
        <v>0</v>
      </c>
    </row>
    <row r="612" spans="1:15" ht="14.45" customHeight="1">
      <c r="A612" s="590" t="s">
        <v>998</v>
      </c>
      <c r="B612" s="11" t="s">
        <v>9</v>
      </c>
      <c r="C612" s="11">
        <v>39</v>
      </c>
      <c r="D612" s="11" t="s">
        <v>7</v>
      </c>
      <c r="E612" s="15">
        <v>268</v>
      </c>
      <c r="F612" s="11" t="s">
        <v>521</v>
      </c>
      <c r="G612" s="11" t="s">
        <v>39</v>
      </c>
      <c r="H612" s="15" t="s">
        <v>15</v>
      </c>
      <c r="I612" s="15">
        <v>15</v>
      </c>
      <c r="J612" s="12" t="s">
        <v>13</v>
      </c>
      <c r="K612" s="591">
        <f>(14*35)+(1*26.4)</f>
        <v>516.4</v>
      </c>
      <c r="L612" s="120" t="s">
        <v>2082</v>
      </c>
      <c r="M612" s="132">
        <v>8</v>
      </c>
      <c r="N612" s="133">
        <f>5+10</f>
        <v>15</v>
      </c>
      <c r="O612" s="119">
        <f t="shared" si="15"/>
        <v>0</v>
      </c>
    </row>
    <row r="613" spans="1:15" ht="14.45" customHeight="1">
      <c r="A613" s="590" t="s">
        <v>998</v>
      </c>
      <c r="B613" s="11" t="s">
        <v>9</v>
      </c>
      <c r="C613" s="11">
        <v>39</v>
      </c>
      <c r="D613" s="11" t="s">
        <v>7</v>
      </c>
      <c r="E613" s="15">
        <v>269</v>
      </c>
      <c r="F613" s="11" t="s">
        <v>43</v>
      </c>
      <c r="G613" s="11" t="s">
        <v>39</v>
      </c>
      <c r="H613" s="15" t="s">
        <v>15</v>
      </c>
      <c r="I613" s="15">
        <v>15</v>
      </c>
      <c r="J613" s="12" t="s">
        <v>13</v>
      </c>
      <c r="K613" s="591">
        <f>(14*35)+(1*26.4)</f>
        <v>516.4</v>
      </c>
      <c r="L613" s="120" t="s">
        <v>2082</v>
      </c>
      <c r="M613" s="132">
        <v>9</v>
      </c>
      <c r="N613" s="133">
        <f>5+10</f>
        <v>15</v>
      </c>
      <c r="O613" s="119">
        <f t="shared" si="15"/>
        <v>0</v>
      </c>
    </row>
    <row r="614" spans="1:15" ht="14.45" customHeight="1">
      <c r="A614" s="590" t="s">
        <v>1004</v>
      </c>
      <c r="B614" s="11" t="s">
        <v>9</v>
      </c>
      <c r="C614" s="11">
        <v>44</v>
      </c>
      <c r="D614" s="11" t="s">
        <v>7</v>
      </c>
      <c r="E614" s="15">
        <v>367</v>
      </c>
      <c r="F614" s="11" t="s">
        <v>453</v>
      </c>
      <c r="G614" s="11" t="s">
        <v>39</v>
      </c>
      <c r="H614" s="15" t="s">
        <v>15</v>
      </c>
      <c r="I614" s="15">
        <v>15</v>
      </c>
      <c r="J614" s="12" t="s">
        <v>35</v>
      </c>
      <c r="K614" s="591">
        <f>(13*35)+(2*26.4)</f>
        <v>507.8</v>
      </c>
      <c r="L614" s="120" t="s">
        <v>2033</v>
      </c>
      <c r="M614" s="132">
        <v>4</v>
      </c>
      <c r="N614" s="133">
        <f>7+8</f>
        <v>15</v>
      </c>
      <c r="O614" s="119">
        <f t="shared" si="15"/>
        <v>0</v>
      </c>
    </row>
    <row r="615" spans="1:15" ht="14.45" customHeight="1">
      <c r="A615" s="590" t="s">
        <v>1004</v>
      </c>
      <c r="B615" s="11" t="s">
        <v>9</v>
      </c>
      <c r="C615" s="11">
        <v>44</v>
      </c>
      <c r="D615" s="11" t="s">
        <v>7</v>
      </c>
      <c r="E615" s="15">
        <v>370</v>
      </c>
      <c r="F615" s="11" t="s">
        <v>785</v>
      </c>
      <c r="G615" s="11" t="s">
        <v>39</v>
      </c>
      <c r="H615" s="15" t="s">
        <v>15</v>
      </c>
      <c r="I615" s="15">
        <v>15</v>
      </c>
      <c r="J615" s="12" t="s">
        <v>159</v>
      </c>
      <c r="K615" s="591">
        <f>(15*35)</f>
        <v>525</v>
      </c>
      <c r="L615" s="120" t="s">
        <v>2033</v>
      </c>
      <c r="M615" s="132">
        <v>4</v>
      </c>
      <c r="N615" s="133">
        <v>15</v>
      </c>
      <c r="O615" s="119">
        <f t="shared" si="15"/>
        <v>0</v>
      </c>
    </row>
    <row r="616" spans="1:15" ht="14.45" customHeight="1">
      <c r="A616" s="590" t="s">
        <v>1004</v>
      </c>
      <c r="B616" s="11" t="s">
        <v>9</v>
      </c>
      <c r="C616" s="11">
        <v>44</v>
      </c>
      <c r="D616" s="11" t="s">
        <v>10</v>
      </c>
      <c r="E616" s="15">
        <v>147</v>
      </c>
      <c r="F616" s="11" t="s">
        <v>123</v>
      </c>
      <c r="G616" s="11" t="s">
        <v>39</v>
      </c>
      <c r="H616" s="15" t="s">
        <v>15</v>
      </c>
      <c r="I616" s="15">
        <v>20</v>
      </c>
      <c r="J616" s="12" t="s">
        <v>17</v>
      </c>
      <c r="K616" s="591">
        <f>(19*35)+(1*26.4)</f>
        <v>691.4</v>
      </c>
      <c r="L616" s="121" t="s">
        <v>2029</v>
      </c>
      <c r="M616" s="132">
        <v>1</v>
      </c>
      <c r="N616" s="138">
        <f>10+10</f>
        <v>20</v>
      </c>
      <c r="O616" s="119">
        <f t="shared" si="15"/>
        <v>0</v>
      </c>
    </row>
    <row r="617" spans="1:15" ht="14.45" customHeight="1">
      <c r="A617" s="590" t="s">
        <v>1004</v>
      </c>
      <c r="B617" s="11" t="s">
        <v>9</v>
      </c>
      <c r="C617" s="11">
        <v>44</v>
      </c>
      <c r="D617" s="11" t="s">
        <v>10</v>
      </c>
      <c r="E617" s="15">
        <v>150</v>
      </c>
      <c r="F617" s="11" t="s">
        <v>596</v>
      </c>
      <c r="G617" s="11" t="s">
        <v>39</v>
      </c>
      <c r="H617" s="15" t="s">
        <v>15</v>
      </c>
      <c r="I617" s="15">
        <v>30</v>
      </c>
      <c r="J617" s="12" t="s">
        <v>12</v>
      </c>
      <c r="K617" s="591">
        <f>(29*35)+(1*26.4)</f>
        <v>1041.4000000000001</v>
      </c>
      <c r="L617" s="121" t="s">
        <v>2033</v>
      </c>
      <c r="M617" s="132">
        <v>1</v>
      </c>
      <c r="N617" s="133">
        <v>30</v>
      </c>
      <c r="O617" s="119">
        <f t="shared" si="15"/>
        <v>0</v>
      </c>
    </row>
    <row r="618" spans="1:15" ht="14.45" customHeight="1">
      <c r="A618" s="590" t="s">
        <v>1004</v>
      </c>
      <c r="B618" s="11" t="s">
        <v>9</v>
      </c>
      <c r="C618" s="11">
        <v>44</v>
      </c>
      <c r="D618" s="11" t="s">
        <v>10</v>
      </c>
      <c r="E618" s="15">
        <v>153</v>
      </c>
      <c r="F618" s="11" t="s">
        <v>507</v>
      </c>
      <c r="G618" s="11" t="s">
        <v>39</v>
      </c>
      <c r="H618" s="15" t="s">
        <v>15</v>
      </c>
      <c r="I618" s="15">
        <v>20</v>
      </c>
      <c r="J618" s="12" t="s">
        <v>17</v>
      </c>
      <c r="K618" s="591">
        <f>(19*35)+(1*26.4)</f>
        <v>691.4</v>
      </c>
      <c r="L618" s="121" t="s">
        <v>2033</v>
      </c>
      <c r="M618" s="132">
        <v>3</v>
      </c>
      <c r="N618" s="133">
        <v>20</v>
      </c>
      <c r="O618" s="119">
        <f t="shared" si="15"/>
        <v>0</v>
      </c>
    </row>
    <row r="619" spans="1:15" ht="14.45" customHeight="1">
      <c r="A619" s="590" t="s">
        <v>1004</v>
      </c>
      <c r="B619" s="11" t="s">
        <v>9</v>
      </c>
      <c r="C619" s="11">
        <v>44</v>
      </c>
      <c r="D619" s="11" t="s">
        <v>10</v>
      </c>
      <c r="E619" s="15">
        <v>154</v>
      </c>
      <c r="F619" s="11" t="s">
        <v>1545</v>
      </c>
      <c r="G619" s="11" t="s">
        <v>39</v>
      </c>
      <c r="H619" s="15" t="s">
        <v>15</v>
      </c>
      <c r="I619" s="15">
        <v>20</v>
      </c>
      <c r="J619" s="12" t="s">
        <v>142</v>
      </c>
      <c r="K619" s="591">
        <f>(20*35)</f>
        <v>700</v>
      </c>
      <c r="L619" s="121" t="s">
        <v>2029</v>
      </c>
      <c r="M619" s="132">
        <v>1</v>
      </c>
      <c r="N619" s="138">
        <v>20</v>
      </c>
      <c r="O619" s="119">
        <f t="shared" si="15"/>
        <v>0</v>
      </c>
    </row>
    <row r="620" spans="1:15" ht="14.45" customHeight="1">
      <c r="A620" s="590" t="s">
        <v>1156</v>
      </c>
      <c r="B620" s="11" t="s">
        <v>9</v>
      </c>
      <c r="C620" s="11">
        <v>40</v>
      </c>
      <c r="D620" s="11" t="s">
        <v>7</v>
      </c>
      <c r="E620" s="15">
        <v>267</v>
      </c>
      <c r="F620" s="11" t="s">
        <v>654</v>
      </c>
      <c r="G620" s="11" t="s">
        <v>39</v>
      </c>
      <c r="H620" s="15" t="s">
        <v>143</v>
      </c>
      <c r="I620" s="15">
        <v>20</v>
      </c>
      <c r="J620" s="12" t="s">
        <v>17</v>
      </c>
      <c r="K620" s="591">
        <f>(19*35)+(1*26.4)</f>
        <v>691.4</v>
      </c>
      <c r="L620" s="121" t="s">
        <v>2082</v>
      </c>
      <c r="M620" s="132" t="s">
        <v>2066</v>
      </c>
      <c r="N620" s="133">
        <f>10+10</f>
        <v>20</v>
      </c>
      <c r="O620" s="119">
        <f t="shared" si="15"/>
        <v>0</v>
      </c>
    </row>
    <row r="621" spans="1:15" ht="14.45" customHeight="1">
      <c r="A621" s="590" t="s">
        <v>1156</v>
      </c>
      <c r="B621" s="11" t="s">
        <v>9</v>
      </c>
      <c r="C621" s="11">
        <v>40</v>
      </c>
      <c r="D621" s="11" t="s">
        <v>7</v>
      </c>
      <c r="E621" s="15">
        <v>270</v>
      </c>
      <c r="F621" s="11" t="s">
        <v>1391</v>
      </c>
      <c r="G621" s="11" t="s">
        <v>39</v>
      </c>
      <c r="H621" s="15" t="s">
        <v>143</v>
      </c>
      <c r="I621" s="15">
        <v>20</v>
      </c>
      <c r="J621" s="12" t="s">
        <v>17</v>
      </c>
      <c r="K621" s="591">
        <f>(19*35)+(1*26.4)</f>
        <v>691.4</v>
      </c>
      <c r="L621" s="121" t="s">
        <v>2033</v>
      </c>
      <c r="M621" s="132">
        <v>13</v>
      </c>
      <c r="N621" s="133">
        <f>10+10</f>
        <v>20</v>
      </c>
      <c r="O621" s="119">
        <f t="shared" si="15"/>
        <v>0</v>
      </c>
    </row>
    <row r="622" spans="1:15" ht="14.45" customHeight="1">
      <c r="A622" s="590" t="s">
        <v>1156</v>
      </c>
      <c r="B622" s="11" t="s">
        <v>9</v>
      </c>
      <c r="C622" s="11">
        <v>40</v>
      </c>
      <c r="D622" s="11" t="s">
        <v>7</v>
      </c>
      <c r="E622" s="15">
        <v>271</v>
      </c>
      <c r="F622" s="11" t="s">
        <v>649</v>
      </c>
      <c r="G622" s="11" t="s">
        <v>39</v>
      </c>
      <c r="H622" s="15" t="s">
        <v>143</v>
      </c>
      <c r="I622" s="15">
        <v>20</v>
      </c>
      <c r="J622" s="12" t="s">
        <v>17</v>
      </c>
      <c r="K622" s="591">
        <f>(19*35)+(1*26.4)</f>
        <v>691.4</v>
      </c>
      <c r="L622" s="121" t="s">
        <v>2033</v>
      </c>
      <c r="M622" s="132" t="s">
        <v>2043</v>
      </c>
      <c r="N622" s="133">
        <f>10+10</f>
        <v>20</v>
      </c>
      <c r="O622" s="119">
        <f t="shared" si="15"/>
        <v>0</v>
      </c>
    </row>
    <row r="623" spans="1:15" ht="14.45" customHeight="1">
      <c r="A623" s="590" t="s">
        <v>1009</v>
      </c>
      <c r="B623" s="11" t="s">
        <v>9</v>
      </c>
      <c r="C623" s="11">
        <v>42</v>
      </c>
      <c r="D623" s="11" t="s">
        <v>10</v>
      </c>
      <c r="E623" s="15">
        <v>114</v>
      </c>
      <c r="F623" s="11" t="s">
        <v>1521</v>
      </c>
      <c r="G623" s="11" t="s">
        <v>39</v>
      </c>
      <c r="H623" s="15" t="s">
        <v>15</v>
      </c>
      <c r="I623" s="15">
        <v>15</v>
      </c>
      <c r="J623" s="12" t="s">
        <v>13</v>
      </c>
      <c r="K623" s="591">
        <f>(14*35)+(1*26.4)</f>
        <v>516.4</v>
      </c>
      <c r="L623" s="121" t="s">
        <v>2082</v>
      </c>
      <c r="M623" s="132">
        <v>7</v>
      </c>
      <c r="N623" s="133">
        <f>7+8</f>
        <v>15</v>
      </c>
      <c r="O623" s="119">
        <f t="shared" si="15"/>
        <v>0</v>
      </c>
    </row>
    <row r="624" spans="1:15" ht="14.45" customHeight="1">
      <c r="A624" s="590" t="s">
        <v>1009</v>
      </c>
      <c r="B624" s="11" t="s">
        <v>9</v>
      </c>
      <c r="C624" s="11">
        <v>42</v>
      </c>
      <c r="D624" s="11" t="s">
        <v>10</v>
      </c>
      <c r="E624" s="15">
        <v>116</v>
      </c>
      <c r="F624" s="11" t="s">
        <v>669</v>
      </c>
      <c r="G624" s="11" t="s">
        <v>39</v>
      </c>
      <c r="H624" s="15" t="s">
        <v>15</v>
      </c>
      <c r="I624" s="15">
        <v>15</v>
      </c>
      <c r="J624" s="12" t="s">
        <v>13</v>
      </c>
      <c r="K624" s="591">
        <f>(14*35)+(1*26.4)</f>
        <v>516.4</v>
      </c>
      <c r="L624" s="121" t="s">
        <v>2033</v>
      </c>
      <c r="M624" s="132">
        <v>3</v>
      </c>
      <c r="N624" s="133">
        <v>15</v>
      </c>
      <c r="O624" s="119">
        <f t="shared" si="15"/>
        <v>0</v>
      </c>
    </row>
    <row r="625" spans="1:15" ht="14.45" customHeight="1">
      <c r="A625" s="590" t="s">
        <v>1164</v>
      </c>
      <c r="B625" s="11" t="s">
        <v>9</v>
      </c>
      <c r="C625" s="11">
        <v>40</v>
      </c>
      <c r="D625" s="11" t="s">
        <v>10</v>
      </c>
      <c r="E625" s="15">
        <v>98</v>
      </c>
      <c r="F625" s="11" t="s">
        <v>1466</v>
      </c>
      <c r="G625" s="11" t="s">
        <v>39</v>
      </c>
      <c r="H625" s="15" t="s">
        <v>15</v>
      </c>
      <c r="I625" s="15">
        <v>15</v>
      </c>
      <c r="J625" s="12" t="s">
        <v>13</v>
      </c>
      <c r="K625" s="591">
        <f>(14*35)+(1*26.4)</f>
        <v>516.4</v>
      </c>
      <c r="L625" s="624" t="s">
        <v>2082</v>
      </c>
      <c r="M625" s="132">
        <v>14</v>
      </c>
      <c r="N625" s="133">
        <v>15</v>
      </c>
      <c r="O625" s="119">
        <f t="shared" si="15"/>
        <v>0</v>
      </c>
    </row>
    <row r="626" spans="1:15" ht="14.45" customHeight="1">
      <c r="A626" s="590" t="s">
        <v>1164</v>
      </c>
      <c r="B626" s="11" t="s">
        <v>9</v>
      </c>
      <c r="C626" s="11">
        <v>40</v>
      </c>
      <c r="D626" s="11" t="s">
        <v>10</v>
      </c>
      <c r="E626" s="15">
        <v>101</v>
      </c>
      <c r="F626" s="11" t="s">
        <v>1382</v>
      </c>
      <c r="G626" s="11" t="s">
        <v>39</v>
      </c>
      <c r="H626" s="15" t="s">
        <v>15</v>
      </c>
      <c r="I626" s="15">
        <v>15</v>
      </c>
      <c r="J626" s="12" t="s">
        <v>13</v>
      </c>
      <c r="K626" s="591">
        <f>(14*35)+(1*26.4)</f>
        <v>516.4</v>
      </c>
      <c r="L626" s="121" t="s">
        <v>2082</v>
      </c>
      <c r="M626" s="132">
        <v>2</v>
      </c>
      <c r="N626" s="133">
        <f>9+6</f>
        <v>15</v>
      </c>
      <c r="O626" s="119">
        <f t="shared" si="15"/>
        <v>0</v>
      </c>
    </row>
    <row r="627" spans="1:15" ht="14.45" customHeight="1">
      <c r="A627" s="590" t="s">
        <v>1164</v>
      </c>
      <c r="B627" s="11" t="s">
        <v>9</v>
      </c>
      <c r="C627" s="11">
        <v>40</v>
      </c>
      <c r="D627" s="11" t="s">
        <v>10</v>
      </c>
      <c r="E627" s="15">
        <v>105</v>
      </c>
      <c r="F627" s="11" t="s">
        <v>1466</v>
      </c>
      <c r="G627" s="11" t="s">
        <v>39</v>
      </c>
      <c r="H627" s="15" t="s">
        <v>143</v>
      </c>
      <c r="I627" s="15">
        <v>20</v>
      </c>
      <c r="J627" s="12" t="s">
        <v>17</v>
      </c>
      <c r="K627" s="591">
        <f>(19*35)+(1*26.4)</f>
        <v>691.4</v>
      </c>
      <c r="L627" s="121" t="s">
        <v>2082</v>
      </c>
      <c r="M627" s="132">
        <v>11</v>
      </c>
      <c r="N627" s="133">
        <f>10+10</f>
        <v>20</v>
      </c>
      <c r="O627" s="119">
        <f t="shared" si="15"/>
        <v>0</v>
      </c>
    </row>
    <row r="628" spans="1:15" ht="14.45" customHeight="1">
      <c r="A628" s="590" t="s">
        <v>1188</v>
      </c>
      <c r="B628" s="11" t="s">
        <v>9</v>
      </c>
      <c r="C628" s="11">
        <v>47</v>
      </c>
      <c r="D628" s="11" t="s">
        <v>7</v>
      </c>
      <c r="E628" s="15">
        <v>393</v>
      </c>
      <c r="F628" s="11" t="s">
        <v>1422</v>
      </c>
      <c r="G628" s="11" t="s">
        <v>39</v>
      </c>
      <c r="H628" s="15" t="s">
        <v>15</v>
      </c>
      <c r="I628" s="15">
        <v>15</v>
      </c>
      <c r="J628" s="12" t="s">
        <v>159</v>
      </c>
      <c r="K628" s="591">
        <f>(15*35)</f>
        <v>525</v>
      </c>
      <c r="L628" s="121" t="s">
        <v>2082</v>
      </c>
      <c r="M628" s="136">
        <v>10</v>
      </c>
      <c r="N628" s="133">
        <v>15</v>
      </c>
      <c r="O628" s="119">
        <f t="shared" si="15"/>
        <v>0</v>
      </c>
    </row>
    <row r="629" spans="1:15" ht="14.45" customHeight="1">
      <c r="A629" s="590" t="s">
        <v>1188</v>
      </c>
      <c r="B629" s="11" t="s">
        <v>9</v>
      </c>
      <c r="C629" s="11">
        <v>47</v>
      </c>
      <c r="D629" s="11" t="s">
        <v>7</v>
      </c>
      <c r="E629" s="15">
        <v>396</v>
      </c>
      <c r="F629" s="11" t="s">
        <v>583</v>
      </c>
      <c r="G629" s="11" t="s">
        <v>39</v>
      </c>
      <c r="H629" s="15" t="s">
        <v>15</v>
      </c>
      <c r="I629" s="15">
        <v>15</v>
      </c>
      <c r="J629" s="12" t="s">
        <v>159</v>
      </c>
      <c r="K629" s="591">
        <f>(15*35)</f>
        <v>525</v>
      </c>
      <c r="L629" s="121" t="s">
        <v>2082</v>
      </c>
      <c r="M629" s="136">
        <v>12</v>
      </c>
      <c r="N629" s="133">
        <f>7+8</f>
        <v>15</v>
      </c>
      <c r="O629" s="119">
        <f t="shared" si="15"/>
        <v>0</v>
      </c>
    </row>
    <row r="630" spans="1:15" ht="14.45" customHeight="1">
      <c r="A630" s="590" t="s">
        <v>1188</v>
      </c>
      <c r="B630" s="11" t="s">
        <v>9</v>
      </c>
      <c r="C630" s="11">
        <v>47</v>
      </c>
      <c r="D630" s="11" t="s">
        <v>7</v>
      </c>
      <c r="E630" s="15">
        <v>399</v>
      </c>
      <c r="F630" s="11" t="s">
        <v>695</v>
      </c>
      <c r="G630" s="11" t="s">
        <v>39</v>
      </c>
      <c r="H630" s="15" t="s">
        <v>15</v>
      </c>
      <c r="I630" s="15">
        <v>15</v>
      </c>
      <c r="J630" s="12" t="s">
        <v>159</v>
      </c>
      <c r="K630" s="591">
        <f>(15*35)</f>
        <v>525</v>
      </c>
      <c r="L630" s="121" t="s">
        <v>2082</v>
      </c>
      <c r="M630" s="136">
        <v>13</v>
      </c>
      <c r="N630" s="133">
        <v>15</v>
      </c>
      <c r="O630" s="119">
        <f t="shared" si="15"/>
        <v>0</v>
      </c>
    </row>
    <row r="631" spans="1:15" ht="14.45" customHeight="1">
      <c r="A631" s="590" t="s">
        <v>1973</v>
      </c>
      <c r="B631" s="11" t="s">
        <v>9</v>
      </c>
      <c r="C631" s="11">
        <v>48</v>
      </c>
      <c r="D631" s="11" t="s">
        <v>10</v>
      </c>
      <c r="E631" s="15">
        <v>135</v>
      </c>
      <c r="F631" s="11" t="s">
        <v>584</v>
      </c>
      <c r="G631" s="11" t="s">
        <v>39</v>
      </c>
      <c r="H631" s="15" t="s">
        <v>15</v>
      </c>
      <c r="I631" s="15">
        <v>15</v>
      </c>
      <c r="J631" s="12" t="s">
        <v>159</v>
      </c>
      <c r="K631" s="591">
        <f>(15*35)</f>
        <v>525</v>
      </c>
      <c r="L631" s="121" t="s">
        <v>2033</v>
      </c>
      <c r="M631" s="136">
        <v>14</v>
      </c>
      <c r="N631" s="133">
        <v>15</v>
      </c>
      <c r="O631" s="119">
        <f t="shared" si="15"/>
        <v>0</v>
      </c>
    </row>
    <row r="632" spans="1:15" ht="14.45" customHeight="1">
      <c r="A632" s="590" t="s">
        <v>1973</v>
      </c>
      <c r="B632" s="11" t="s">
        <v>9</v>
      </c>
      <c r="C632" s="11">
        <v>48</v>
      </c>
      <c r="D632" s="11" t="s">
        <v>10</v>
      </c>
      <c r="E632" s="15">
        <v>139</v>
      </c>
      <c r="F632" s="11" t="s">
        <v>1943</v>
      </c>
      <c r="G632" s="11" t="s">
        <v>39</v>
      </c>
      <c r="H632" s="15" t="s">
        <v>15</v>
      </c>
      <c r="I632" s="15">
        <v>15</v>
      </c>
      <c r="J632" s="12" t="s">
        <v>13</v>
      </c>
      <c r="K632" s="591">
        <f>(14*35)+(1*26.4)</f>
        <v>516.4</v>
      </c>
      <c r="L632" s="121" t="s">
        <v>2033</v>
      </c>
      <c r="M632" s="136">
        <v>14</v>
      </c>
      <c r="N632" s="133">
        <v>15</v>
      </c>
      <c r="O632" s="119">
        <f t="shared" si="15"/>
        <v>0</v>
      </c>
    </row>
    <row r="633" spans="1:15" ht="14.45" customHeight="1">
      <c r="A633" s="590" t="s">
        <v>1975</v>
      </c>
      <c r="B633" s="11" t="s">
        <v>9</v>
      </c>
      <c r="C633" s="11">
        <v>49</v>
      </c>
      <c r="D633" s="11" t="s">
        <v>10</v>
      </c>
      <c r="E633" s="15">
        <v>99</v>
      </c>
      <c r="F633" s="11" t="s">
        <v>137</v>
      </c>
      <c r="G633" s="11" t="s">
        <v>39</v>
      </c>
      <c r="H633" s="15" t="s">
        <v>15</v>
      </c>
      <c r="I633" s="15">
        <v>20</v>
      </c>
      <c r="J633" s="12" t="s">
        <v>17</v>
      </c>
      <c r="K633" s="591">
        <f>(19*35)+(1*26.4)</f>
        <v>691.4</v>
      </c>
      <c r="L633" s="121" t="s">
        <v>2033</v>
      </c>
      <c r="M633" s="136">
        <v>6</v>
      </c>
      <c r="N633" s="133">
        <f>10+10</f>
        <v>20</v>
      </c>
      <c r="O633" s="119">
        <f t="shared" si="15"/>
        <v>0</v>
      </c>
    </row>
    <row r="634" spans="1:15" ht="14.45" customHeight="1">
      <c r="A634" s="590" t="s">
        <v>1975</v>
      </c>
      <c r="B634" s="11" t="s">
        <v>9</v>
      </c>
      <c r="C634" s="11">
        <v>49</v>
      </c>
      <c r="D634" s="11" t="s">
        <v>10</v>
      </c>
      <c r="E634" s="15">
        <v>102</v>
      </c>
      <c r="F634" s="11" t="s">
        <v>445</v>
      </c>
      <c r="G634" s="11" t="s">
        <v>39</v>
      </c>
      <c r="H634" s="15" t="s">
        <v>15</v>
      </c>
      <c r="I634" s="15">
        <v>15</v>
      </c>
      <c r="J634" s="12" t="s">
        <v>159</v>
      </c>
      <c r="K634" s="591">
        <f>(15*35)</f>
        <v>525</v>
      </c>
      <c r="L634" s="121" t="s">
        <v>2033</v>
      </c>
      <c r="M634" s="136">
        <v>6</v>
      </c>
      <c r="N634" s="133">
        <v>15</v>
      </c>
      <c r="O634" s="119">
        <f t="shared" si="15"/>
        <v>0</v>
      </c>
    </row>
    <row r="635" spans="1:15" ht="14.45" customHeight="1">
      <c r="A635" s="77" t="s">
        <v>1126</v>
      </c>
      <c r="B635" s="15" t="s">
        <v>9</v>
      </c>
      <c r="C635" s="15">
        <v>37</v>
      </c>
      <c r="D635" s="15" t="s">
        <v>16</v>
      </c>
      <c r="E635" s="15">
        <v>245</v>
      </c>
      <c r="F635" s="15" t="s">
        <v>1940</v>
      </c>
      <c r="G635" s="15" t="s">
        <v>212</v>
      </c>
      <c r="H635" s="15" t="s">
        <v>15</v>
      </c>
      <c r="I635" s="15">
        <v>20</v>
      </c>
      <c r="J635" s="18" t="s">
        <v>17</v>
      </c>
      <c r="K635" s="589">
        <f>(19*35)+(1*26.4)</f>
        <v>691.4</v>
      </c>
      <c r="L635" s="121" t="s">
        <v>2082</v>
      </c>
      <c r="M635" s="132">
        <v>4</v>
      </c>
      <c r="N635" s="133">
        <v>20</v>
      </c>
      <c r="O635" s="119">
        <f t="shared" si="15"/>
        <v>0</v>
      </c>
    </row>
    <row r="636" spans="1:15" ht="14.45" customHeight="1">
      <c r="A636" s="590" t="s">
        <v>1188</v>
      </c>
      <c r="B636" s="11" t="s">
        <v>9</v>
      </c>
      <c r="C636" s="11">
        <v>47</v>
      </c>
      <c r="D636" s="11" t="s">
        <v>7</v>
      </c>
      <c r="E636" s="15">
        <v>779</v>
      </c>
      <c r="F636" s="11" t="s">
        <v>1924</v>
      </c>
      <c r="G636" s="11" t="s">
        <v>212</v>
      </c>
      <c r="H636" s="15" t="s">
        <v>5</v>
      </c>
      <c r="I636" s="15">
        <v>20</v>
      </c>
      <c r="J636" s="12" t="s">
        <v>23</v>
      </c>
      <c r="K636" s="591">
        <f>(18*35)+(2*26.4)</f>
        <v>682.8</v>
      </c>
      <c r="L636" s="121" t="s">
        <v>2033</v>
      </c>
      <c r="M636" s="136">
        <v>9</v>
      </c>
      <c r="N636" s="133">
        <v>20</v>
      </c>
      <c r="O636" s="119">
        <f t="shared" si="15"/>
        <v>0</v>
      </c>
    </row>
    <row r="637" spans="1:15" ht="14.45" customHeight="1">
      <c r="A637" s="590" t="s">
        <v>1194</v>
      </c>
      <c r="B637" s="11" t="s">
        <v>9</v>
      </c>
      <c r="C637" s="11">
        <v>47</v>
      </c>
      <c r="D637" s="11" t="s">
        <v>16</v>
      </c>
      <c r="E637" s="15">
        <v>310</v>
      </c>
      <c r="F637" s="11" t="s">
        <v>1938</v>
      </c>
      <c r="G637" s="11" t="s">
        <v>212</v>
      </c>
      <c r="H637" s="15" t="s">
        <v>5</v>
      </c>
      <c r="I637" s="15">
        <v>20</v>
      </c>
      <c r="J637" s="12" t="s">
        <v>23</v>
      </c>
      <c r="K637" s="591">
        <f>(18*35)+(2*26.4)</f>
        <v>682.8</v>
      </c>
      <c r="L637" s="121" t="s">
        <v>2055</v>
      </c>
      <c r="M637" s="136" t="s">
        <v>2073</v>
      </c>
      <c r="N637" s="133">
        <f>11+9</f>
        <v>20</v>
      </c>
      <c r="O637" s="119">
        <f t="shared" si="15"/>
        <v>0</v>
      </c>
    </row>
    <row r="638" spans="1:15" ht="14.45" customHeight="1">
      <c r="A638" s="590" t="s">
        <v>1139</v>
      </c>
      <c r="B638" s="11" t="s">
        <v>9</v>
      </c>
      <c r="C638" s="11">
        <v>38</v>
      </c>
      <c r="D638" s="11" t="s">
        <v>16</v>
      </c>
      <c r="E638" s="11">
        <v>291</v>
      </c>
      <c r="F638" s="11" t="s">
        <v>1329</v>
      </c>
      <c r="G638" s="11" t="s">
        <v>606</v>
      </c>
      <c r="H638" s="11" t="s">
        <v>15</v>
      </c>
      <c r="I638" s="11">
        <v>20</v>
      </c>
      <c r="J638" s="12" t="s">
        <v>157</v>
      </c>
      <c r="K638" s="591">
        <f>(20*38)</f>
        <v>760</v>
      </c>
      <c r="L638" s="120" t="s">
        <v>2055</v>
      </c>
      <c r="M638" s="132">
        <v>5</v>
      </c>
      <c r="N638" s="133">
        <f>10+10</f>
        <v>20</v>
      </c>
      <c r="O638" s="119">
        <f t="shared" si="15"/>
        <v>0</v>
      </c>
    </row>
    <row r="639" spans="1:15" ht="14.45" customHeight="1">
      <c r="A639" s="590" t="s">
        <v>1139</v>
      </c>
      <c r="B639" s="11" t="s">
        <v>9</v>
      </c>
      <c r="C639" s="11">
        <v>38</v>
      </c>
      <c r="D639" s="11" t="s">
        <v>16</v>
      </c>
      <c r="E639" s="11">
        <v>297</v>
      </c>
      <c r="F639" s="11" t="s">
        <v>1375</v>
      </c>
      <c r="G639" s="11" t="s">
        <v>606</v>
      </c>
      <c r="H639" s="11" t="s">
        <v>15</v>
      </c>
      <c r="I639" s="11">
        <v>15</v>
      </c>
      <c r="J639" s="12" t="s">
        <v>14</v>
      </c>
      <c r="K639" s="591">
        <f>(14*38)+(1*29.4)</f>
        <v>561.4</v>
      </c>
      <c r="L639" s="120" t="s">
        <v>2055</v>
      </c>
      <c r="M639" s="132">
        <v>1</v>
      </c>
      <c r="N639" s="133">
        <v>15</v>
      </c>
      <c r="O639" s="119">
        <f t="shared" si="15"/>
        <v>0</v>
      </c>
    </row>
    <row r="640" spans="1:15" ht="14.45" customHeight="1">
      <c r="A640" s="590" t="s">
        <v>1023</v>
      </c>
      <c r="B640" s="11" t="s">
        <v>9</v>
      </c>
      <c r="C640" s="11">
        <v>40</v>
      </c>
      <c r="D640" s="11" t="s">
        <v>16</v>
      </c>
      <c r="E640" s="15">
        <v>333</v>
      </c>
      <c r="F640" s="11" t="s">
        <v>1371</v>
      </c>
      <c r="G640" s="11" t="s">
        <v>606</v>
      </c>
      <c r="H640" s="15" t="s">
        <v>15</v>
      </c>
      <c r="I640" s="15">
        <v>30</v>
      </c>
      <c r="J640" s="12" t="s">
        <v>25</v>
      </c>
      <c r="K640" s="591">
        <f>(29*38)+(1*29.4)</f>
        <v>1131.4000000000001</v>
      </c>
      <c r="L640" s="120" t="s">
        <v>2055</v>
      </c>
      <c r="M640" s="132">
        <v>3</v>
      </c>
      <c r="N640" s="133">
        <f>10+10+10</f>
        <v>30</v>
      </c>
      <c r="O640" s="119">
        <f t="shared" si="15"/>
        <v>0</v>
      </c>
    </row>
    <row r="641" spans="1:15" ht="14.45" customHeight="1">
      <c r="A641" s="590" t="s">
        <v>1023</v>
      </c>
      <c r="B641" s="11" t="s">
        <v>9</v>
      </c>
      <c r="C641" s="11">
        <v>40</v>
      </c>
      <c r="D641" s="11" t="s">
        <v>16</v>
      </c>
      <c r="E641" s="15">
        <v>334</v>
      </c>
      <c r="F641" s="11" t="s">
        <v>1325</v>
      </c>
      <c r="G641" s="11" t="s">
        <v>606</v>
      </c>
      <c r="H641" s="15" t="s">
        <v>15</v>
      </c>
      <c r="I641" s="15">
        <v>30</v>
      </c>
      <c r="J641" s="12" t="s">
        <v>25</v>
      </c>
      <c r="K641" s="591">
        <f>(29*38)+(1*29.4)</f>
        <v>1131.4000000000001</v>
      </c>
      <c r="L641" s="120" t="s">
        <v>2055</v>
      </c>
      <c r="M641" s="132">
        <v>7</v>
      </c>
      <c r="N641" s="133">
        <f>20+10</f>
        <v>30</v>
      </c>
      <c r="O641" s="119">
        <f t="shared" si="15"/>
        <v>0</v>
      </c>
    </row>
    <row r="642" spans="1:15" ht="14.45" customHeight="1">
      <c r="A642" s="590" t="s">
        <v>1023</v>
      </c>
      <c r="B642" s="11" t="s">
        <v>9</v>
      </c>
      <c r="C642" s="11">
        <v>40</v>
      </c>
      <c r="D642" s="11" t="s">
        <v>16</v>
      </c>
      <c r="E642" s="15">
        <v>336</v>
      </c>
      <c r="F642" s="11" t="s">
        <v>415</v>
      </c>
      <c r="G642" s="11" t="s">
        <v>606</v>
      </c>
      <c r="H642" s="15" t="s">
        <v>15</v>
      </c>
      <c r="I642" s="15">
        <v>20</v>
      </c>
      <c r="J642" s="12" t="s">
        <v>157</v>
      </c>
      <c r="K642" s="591">
        <f>(20*38)</f>
        <v>760</v>
      </c>
      <c r="L642" s="121" t="s">
        <v>2055</v>
      </c>
      <c r="M642" s="132">
        <v>5</v>
      </c>
      <c r="N642" s="133">
        <v>20</v>
      </c>
      <c r="O642" s="119">
        <f t="shared" si="15"/>
        <v>0</v>
      </c>
    </row>
    <row r="643" spans="1:15" ht="14.45" customHeight="1">
      <c r="A643" s="590" t="s">
        <v>1031</v>
      </c>
      <c r="B643" s="11" t="s">
        <v>9</v>
      </c>
      <c r="C643" s="11">
        <v>45</v>
      </c>
      <c r="D643" s="11" t="s">
        <v>7</v>
      </c>
      <c r="E643" s="15">
        <v>222</v>
      </c>
      <c r="F643" s="11" t="s">
        <v>136</v>
      </c>
      <c r="G643" s="11" t="s">
        <v>1783</v>
      </c>
      <c r="H643" s="15" t="s">
        <v>15</v>
      </c>
      <c r="I643" s="15">
        <v>20</v>
      </c>
      <c r="J643" s="12" t="s">
        <v>31</v>
      </c>
      <c r="K643" s="591">
        <f>(19*38)+(1*29.4)</f>
        <v>751.4</v>
      </c>
      <c r="L643" s="120" t="s">
        <v>2033</v>
      </c>
      <c r="M643" s="132">
        <v>4</v>
      </c>
      <c r="N643" s="133">
        <v>20</v>
      </c>
      <c r="O643" s="119">
        <f t="shared" ref="O643:O706" si="16">I643-N643</f>
        <v>0</v>
      </c>
    </row>
    <row r="644" spans="1:15" ht="14.45" customHeight="1">
      <c r="A644" s="590" t="s">
        <v>1031</v>
      </c>
      <c r="B644" s="11" t="s">
        <v>9</v>
      </c>
      <c r="C644" s="11">
        <v>45</v>
      </c>
      <c r="D644" s="11" t="s">
        <v>7</v>
      </c>
      <c r="E644" s="15">
        <v>223</v>
      </c>
      <c r="F644" s="11" t="s">
        <v>793</v>
      </c>
      <c r="G644" s="11" t="s">
        <v>1783</v>
      </c>
      <c r="H644" s="15" t="s">
        <v>15</v>
      </c>
      <c r="I644" s="15">
        <v>15</v>
      </c>
      <c r="J644" s="12" t="s">
        <v>14</v>
      </c>
      <c r="K644" s="591">
        <f>(14*38)+(1*29.4)</f>
        <v>561.4</v>
      </c>
      <c r="L644" s="120" t="s">
        <v>2033</v>
      </c>
      <c r="M644" s="132">
        <v>12</v>
      </c>
      <c r="N644" s="138">
        <f>6+9</f>
        <v>15</v>
      </c>
      <c r="O644" s="119">
        <f t="shared" si="16"/>
        <v>0</v>
      </c>
    </row>
    <row r="645" spans="1:15" ht="14.45" customHeight="1">
      <c r="A645" s="590" t="s">
        <v>1031</v>
      </c>
      <c r="B645" s="11" t="s">
        <v>9</v>
      </c>
      <c r="C645" s="11">
        <v>45</v>
      </c>
      <c r="D645" s="11" t="s">
        <v>7</v>
      </c>
      <c r="E645" s="15">
        <v>224</v>
      </c>
      <c r="F645" s="11" t="s">
        <v>186</v>
      </c>
      <c r="G645" s="11" t="s">
        <v>1783</v>
      </c>
      <c r="H645" s="15" t="s">
        <v>15</v>
      </c>
      <c r="I645" s="15">
        <v>15</v>
      </c>
      <c r="J645" s="12" t="s">
        <v>14</v>
      </c>
      <c r="K645" s="591">
        <f>(14*38)+(1*29.4)</f>
        <v>561.4</v>
      </c>
      <c r="L645" s="120" t="s">
        <v>2033</v>
      </c>
      <c r="M645" s="132">
        <v>4</v>
      </c>
      <c r="N645" s="133">
        <f>8+7</f>
        <v>15</v>
      </c>
      <c r="O645" s="119">
        <f t="shared" si="16"/>
        <v>0</v>
      </c>
    </row>
    <row r="646" spans="1:15" ht="14.45" customHeight="1">
      <c r="A646" s="590" t="s">
        <v>1031</v>
      </c>
      <c r="B646" s="11" t="s">
        <v>9</v>
      </c>
      <c r="C646" s="11">
        <v>45</v>
      </c>
      <c r="D646" s="11" t="s">
        <v>7</v>
      </c>
      <c r="E646" s="15">
        <v>228</v>
      </c>
      <c r="F646" s="11" t="s">
        <v>1572</v>
      </c>
      <c r="G646" s="11" t="s">
        <v>1783</v>
      </c>
      <c r="H646" s="15" t="s">
        <v>15</v>
      </c>
      <c r="I646" s="15">
        <v>20</v>
      </c>
      <c r="J646" s="12" t="s">
        <v>31</v>
      </c>
      <c r="K646" s="591">
        <f>(19*38)+(1*29.4)</f>
        <v>751.4</v>
      </c>
      <c r="L646" s="120" t="s">
        <v>2033</v>
      </c>
      <c r="M646" s="132" t="s">
        <v>2054</v>
      </c>
      <c r="N646" s="133">
        <f>10+10</f>
        <v>20</v>
      </c>
      <c r="O646" s="119">
        <f t="shared" si="16"/>
        <v>0</v>
      </c>
    </row>
    <row r="647" spans="1:15" ht="14.45" customHeight="1">
      <c r="A647" s="590" t="s">
        <v>1031</v>
      </c>
      <c r="B647" s="11" t="s">
        <v>9</v>
      </c>
      <c r="C647" s="11">
        <v>45</v>
      </c>
      <c r="D647" s="11" t="s">
        <v>7</v>
      </c>
      <c r="E647" s="15">
        <v>232</v>
      </c>
      <c r="F647" s="11" t="s">
        <v>1554</v>
      </c>
      <c r="G647" s="11" t="s">
        <v>1783</v>
      </c>
      <c r="H647" s="15" t="s">
        <v>15</v>
      </c>
      <c r="I647" s="15">
        <v>10</v>
      </c>
      <c r="J647" s="12" t="s">
        <v>447</v>
      </c>
      <c r="K647" s="591">
        <f>(8*38)+(2*29.4)</f>
        <v>362.8</v>
      </c>
      <c r="L647" s="120" t="s">
        <v>2033</v>
      </c>
      <c r="M647" s="132">
        <v>5</v>
      </c>
      <c r="N647" s="133">
        <v>10</v>
      </c>
      <c r="O647" s="119">
        <f t="shared" si="16"/>
        <v>0</v>
      </c>
    </row>
    <row r="648" spans="1:15" ht="14.45" customHeight="1">
      <c r="A648" s="590" t="s">
        <v>1188</v>
      </c>
      <c r="B648" s="11" t="s">
        <v>9</v>
      </c>
      <c r="C648" s="11">
        <v>47</v>
      </c>
      <c r="D648" s="11" t="s">
        <v>7</v>
      </c>
      <c r="E648" s="15">
        <v>353</v>
      </c>
      <c r="F648" s="11" t="s">
        <v>683</v>
      </c>
      <c r="G648" s="11" t="s">
        <v>1783</v>
      </c>
      <c r="H648" s="15" t="s">
        <v>15</v>
      </c>
      <c r="I648" s="15">
        <v>20</v>
      </c>
      <c r="J648" s="12" t="s">
        <v>31</v>
      </c>
      <c r="K648" s="591">
        <f>(19*38)+(1*29.4)</f>
        <v>751.4</v>
      </c>
      <c r="L648" s="121" t="s">
        <v>2033</v>
      </c>
      <c r="M648" s="136">
        <v>7</v>
      </c>
      <c r="N648" s="133">
        <f>10+10</f>
        <v>20</v>
      </c>
      <c r="O648" s="119">
        <f t="shared" si="16"/>
        <v>0</v>
      </c>
    </row>
    <row r="649" spans="1:15" ht="14.45" customHeight="1">
      <c r="A649" s="590" t="s">
        <v>1188</v>
      </c>
      <c r="B649" s="11" t="s">
        <v>9</v>
      </c>
      <c r="C649" s="11">
        <v>47</v>
      </c>
      <c r="D649" s="11" t="s">
        <v>7</v>
      </c>
      <c r="E649" s="15">
        <v>354</v>
      </c>
      <c r="F649" s="11" t="s">
        <v>1564</v>
      </c>
      <c r="G649" s="11" t="s">
        <v>1783</v>
      </c>
      <c r="H649" s="15" t="s">
        <v>15</v>
      </c>
      <c r="I649" s="15">
        <v>15</v>
      </c>
      <c r="J649" s="12" t="s">
        <v>97</v>
      </c>
      <c r="K649" s="591">
        <f>(15*38)</f>
        <v>570</v>
      </c>
      <c r="L649" s="121" t="s">
        <v>2033</v>
      </c>
      <c r="M649" s="136">
        <v>9</v>
      </c>
      <c r="N649" s="133">
        <v>15</v>
      </c>
      <c r="O649" s="119">
        <f t="shared" si="16"/>
        <v>0</v>
      </c>
    </row>
    <row r="650" spans="1:15" ht="14.45" customHeight="1">
      <c r="A650" s="590" t="s">
        <v>1188</v>
      </c>
      <c r="B650" s="11" t="s">
        <v>9</v>
      </c>
      <c r="C650" s="11">
        <v>47</v>
      </c>
      <c r="D650" s="11" t="s">
        <v>7</v>
      </c>
      <c r="E650" s="15">
        <v>355</v>
      </c>
      <c r="F650" s="11" t="s">
        <v>660</v>
      </c>
      <c r="G650" s="11" t="s">
        <v>1783</v>
      </c>
      <c r="H650" s="15" t="s">
        <v>15</v>
      </c>
      <c r="I650" s="15">
        <v>20</v>
      </c>
      <c r="J650" s="12" t="s">
        <v>31</v>
      </c>
      <c r="K650" s="591">
        <f>(19*38)+(1*29.4)</f>
        <v>751.4</v>
      </c>
      <c r="L650" s="121" t="s">
        <v>2033</v>
      </c>
      <c r="M650" s="136">
        <v>7</v>
      </c>
      <c r="N650" s="133">
        <v>20</v>
      </c>
      <c r="O650" s="119">
        <f t="shared" si="16"/>
        <v>0</v>
      </c>
    </row>
    <row r="651" spans="1:15" ht="14.45" customHeight="1">
      <c r="A651" s="590" t="s">
        <v>1188</v>
      </c>
      <c r="B651" s="11" t="s">
        <v>9</v>
      </c>
      <c r="C651" s="11">
        <v>47</v>
      </c>
      <c r="D651" s="11" t="s">
        <v>7</v>
      </c>
      <c r="E651" s="15">
        <v>358</v>
      </c>
      <c r="F651" s="11" t="s">
        <v>81</v>
      </c>
      <c r="G651" s="11" t="s">
        <v>1783</v>
      </c>
      <c r="H651" s="15" t="s">
        <v>15</v>
      </c>
      <c r="I651" s="15">
        <v>21</v>
      </c>
      <c r="J651" s="12" t="s">
        <v>1431</v>
      </c>
      <c r="K651" s="591">
        <f>(21*38)</f>
        <v>798</v>
      </c>
      <c r="L651" s="121" t="s">
        <v>2033</v>
      </c>
      <c r="M651" s="136">
        <v>8</v>
      </c>
      <c r="N651" s="133">
        <f>11+10</f>
        <v>21</v>
      </c>
      <c r="O651" s="119">
        <f t="shared" si="16"/>
        <v>0</v>
      </c>
    </row>
    <row r="652" spans="1:15" ht="14.45" customHeight="1">
      <c r="A652" s="590" t="s">
        <v>1188</v>
      </c>
      <c r="B652" s="11" t="s">
        <v>9</v>
      </c>
      <c r="C652" s="11">
        <v>47</v>
      </c>
      <c r="D652" s="11" t="s">
        <v>7</v>
      </c>
      <c r="E652" s="15">
        <v>368</v>
      </c>
      <c r="F652" s="11" t="s">
        <v>1382</v>
      </c>
      <c r="G652" s="11" t="s">
        <v>1783</v>
      </c>
      <c r="H652" s="15" t="s">
        <v>15</v>
      </c>
      <c r="I652" s="15">
        <v>20</v>
      </c>
      <c r="J652" s="12" t="s">
        <v>41</v>
      </c>
      <c r="K652" s="591">
        <f>(18*38)+(2*29.4)</f>
        <v>742.8</v>
      </c>
      <c r="L652" s="121" t="s">
        <v>2033</v>
      </c>
      <c r="M652" s="136">
        <v>12</v>
      </c>
      <c r="N652" s="133">
        <f>10+10</f>
        <v>20</v>
      </c>
      <c r="O652" s="119">
        <f t="shared" si="16"/>
        <v>0</v>
      </c>
    </row>
    <row r="653" spans="1:15" ht="14.45" customHeight="1">
      <c r="A653" s="590" t="s">
        <v>1192</v>
      </c>
      <c r="B653" s="11" t="s">
        <v>9</v>
      </c>
      <c r="C653" s="11">
        <v>49</v>
      </c>
      <c r="D653" s="11" t="s">
        <v>7</v>
      </c>
      <c r="E653" s="15">
        <v>349</v>
      </c>
      <c r="F653" s="11" t="s">
        <v>1426</v>
      </c>
      <c r="G653" s="11" t="s">
        <v>1783</v>
      </c>
      <c r="H653" s="15" t="s">
        <v>15</v>
      </c>
      <c r="I653" s="15">
        <v>20</v>
      </c>
      <c r="J653" s="12" t="s">
        <v>31</v>
      </c>
      <c r="K653" s="591">
        <f>(19*38)+(1*29.4)</f>
        <v>751.4</v>
      </c>
      <c r="L653" s="121" t="s">
        <v>2082</v>
      </c>
      <c r="M653" s="136">
        <v>9</v>
      </c>
      <c r="N653" s="133">
        <f>10+10</f>
        <v>20</v>
      </c>
      <c r="O653" s="119">
        <f t="shared" si="16"/>
        <v>0</v>
      </c>
    </row>
    <row r="654" spans="1:15" ht="14.45" customHeight="1">
      <c r="A654" s="590" t="s">
        <v>1975</v>
      </c>
      <c r="B654" s="11" t="s">
        <v>9</v>
      </c>
      <c r="C654" s="11">
        <v>49</v>
      </c>
      <c r="D654" s="11" t="s">
        <v>7</v>
      </c>
      <c r="E654" s="15">
        <v>348</v>
      </c>
      <c r="F654" s="11" t="s">
        <v>688</v>
      </c>
      <c r="G654" s="11" t="s">
        <v>1783</v>
      </c>
      <c r="H654" s="15" t="s">
        <v>15</v>
      </c>
      <c r="I654" s="15">
        <v>20</v>
      </c>
      <c r="J654" s="12" t="s">
        <v>31</v>
      </c>
      <c r="K654" s="591">
        <f>(19*38)+(1*29.4)</f>
        <v>751.4</v>
      </c>
      <c r="L654" s="121" t="s">
        <v>2082</v>
      </c>
      <c r="M654" s="136">
        <v>4</v>
      </c>
      <c r="N654" s="133">
        <v>20</v>
      </c>
      <c r="O654" s="119">
        <f t="shared" si="16"/>
        <v>0</v>
      </c>
    </row>
    <row r="655" spans="1:15" ht="14.45" customHeight="1">
      <c r="A655" s="590" t="s">
        <v>1975</v>
      </c>
      <c r="B655" s="11" t="s">
        <v>9</v>
      </c>
      <c r="C655" s="11">
        <v>49</v>
      </c>
      <c r="D655" s="11" t="s">
        <v>7</v>
      </c>
      <c r="E655" s="15">
        <v>351</v>
      </c>
      <c r="F655" s="11" t="s">
        <v>1523</v>
      </c>
      <c r="G655" s="11" t="s">
        <v>1783</v>
      </c>
      <c r="H655" s="15" t="s">
        <v>15</v>
      </c>
      <c r="I655" s="15">
        <v>25</v>
      </c>
      <c r="J655" s="12" t="s">
        <v>170</v>
      </c>
      <c r="K655" s="591">
        <f>(25*38)</f>
        <v>950</v>
      </c>
      <c r="L655" s="121" t="s">
        <v>2082</v>
      </c>
      <c r="M655" s="136">
        <v>4</v>
      </c>
      <c r="N655" s="133">
        <v>25</v>
      </c>
      <c r="O655" s="119">
        <f t="shared" si="16"/>
        <v>0</v>
      </c>
    </row>
    <row r="656" spans="1:15" ht="14.45" customHeight="1">
      <c r="A656" s="590" t="s">
        <v>1975</v>
      </c>
      <c r="B656" s="11" t="s">
        <v>9</v>
      </c>
      <c r="C656" s="11">
        <v>49</v>
      </c>
      <c r="D656" s="11" t="s">
        <v>7</v>
      </c>
      <c r="E656" s="15">
        <v>355</v>
      </c>
      <c r="F656" s="11" t="s">
        <v>736</v>
      </c>
      <c r="G656" s="11" t="s">
        <v>1783</v>
      </c>
      <c r="H656" s="15" t="s">
        <v>15</v>
      </c>
      <c r="I656" s="15">
        <v>15</v>
      </c>
      <c r="J656" s="12" t="s">
        <v>97</v>
      </c>
      <c r="K656" s="591">
        <f>(15*38)</f>
        <v>570</v>
      </c>
      <c r="L656" s="121" t="s">
        <v>2055</v>
      </c>
      <c r="M656" s="136">
        <v>6</v>
      </c>
      <c r="N656" s="133">
        <v>15</v>
      </c>
      <c r="O656" s="119">
        <f t="shared" si="16"/>
        <v>0</v>
      </c>
    </row>
    <row r="657" spans="1:15" ht="14.45" customHeight="1">
      <c r="A657" s="590" t="s">
        <v>976</v>
      </c>
      <c r="B657" s="11" t="s">
        <v>9</v>
      </c>
      <c r="C657" s="11">
        <v>38</v>
      </c>
      <c r="D657" s="11" t="s">
        <v>10</v>
      </c>
      <c r="E657" s="11">
        <v>627</v>
      </c>
      <c r="F657" s="11" t="s">
        <v>746</v>
      </c>
      <c r="G657" s="11" t="s">
        <v>187</v>
      </c>
      <c r="H657" s="11" t="s">
        <v>5</v>
      </c>
      <c r="I657" s="11">
        <v>20</v>
      </c>
      <c r="J657" s="12" t="s">
        <v>17</v>
      </c>
      <c r="K657" s="591">
        <f t="shared" ref="K657:K669" si="17">(19*35)+(1*26.4)</f>
        <v>691.4</v>
      </c>
      <c r="L657" s="121" t="s">
        <v>2082</v>
      </c>
      <c r="M657" s="132" t="s">
        <v>2049</v>
      </c>
      <c r="N657" s="133">
        <f>10+10</f>
        <v>20</v>
      </c>
      <c r="O657" s="119">
        <f t="shared" si="16"/>
        <v>0</v>
      </c>
    </row>
    <row r="658" spans="1:15" ht="14.45" customHeight="1">
      <c r="A658" s="77" t="s">
        <v>1137</v>
      </c>
      <c r="B658" s="15" t="s">
        <v>9</v>
      </c>
      <c r="C658" s="15">
        <v>39</v>
      </c>
      <c r="D658" s="15" t="s">
        <v>10</v>
      </c>
      <c r="E658" s="15">
        <v>655</v>
      </c>
      <c r="F658" s="15" t="s">
        <v>396</v>
      </c>
      <c r="G658" s="15" t="s">
        <v>187</v>
      </c>
      <c r="H658" s="15" t="s">
        <v>5</v>
      </c>
      <c r="I658" s="15">
        <v>20</v>
      </c>
      <c r="J658" s="18" t="s">
        <v>17</v>
      </c>
      <c r="K658" s="589">
        <f t="shared" si="17"/>
        <v>691.4</v>
      </c>
      <c r="L658" s="121" t="s">
        <v>2082</v>
      </c>
      <c r="M658" s="120">
        <v>9</v>
      </c>
      <c r="N658" s="130">
        <f>10+10</f>
        <v>20</v>
      </c>
      <c r="O658" s="119">
        <f t="shared" si="16"/>
        <v>0</v>
      </c>
    </row>
    <row r="659" spans="1:15" ht="14.45" customHeight="1">
      <c r="A659" s="77" t="s">
        <v>1137</v>
      </c>
      <c r="B659" s="15" t="s">
        <v>9</v>
      </c>
      <c r="C659" s="15">
        <v>39</v>
      </c>
      <c r="D659" s="15" t="s">
        <v>10</v>
      </c>
      <c r="E659" s="15">
        <v>656</v>
      </c>
      <c r="F659" s="15" t="s">
        <v>444</v>
      </c>
      <c r="G659" s="15" t="s">
        <v>187</v>
      </c>
      <c r="H659" s="15" t="s">
        <v>5</v>
      </c>
      <c r="I659" s="15">
        <v>20</v>
      </c>
      <c r="J659" s="18" t="s">
        <v>17</v>
      </c>
      <c r="K659" s="589">
        <f t="shared" si="17"/>
        <v>691.4</v>
      </c>
      <c r="L659" s="121" t="s">
        <v>2082</v>
      </c>
      <c r="M659" s="132">
        <v>8</v>
      </c>
      <c r="N659" s="133">
        <f>10+10</f>
        <v>20</v>
      </c>
      <c r="O659" s="119">
        <f t="shared" si="16"/>
        <v>0</v>
      </c>
    </row>
    <row r="660" spans="1:15" ht="14.45" customHeight="1">
      <c r="A660" s="77" t="s">
        <v>1137</v>
      </c>
      <c r="B660" s="15" t="s">
        <v>9</v>
      </c>
      <c r="C660" s="15">
        <v>39</v>
      </c>
      <c r="D660" s="15" t="s">
        <v>10</v>
      </c>
      <c r="E660" s="15">
        <v>658</v>
      </c>
      <c r="F660" s="15" t="s">
        <v>410</v>
      </c>
      <c r="G660" s="15" t="s">
        <v>187</v>
      </c>
      <c r="H660" s="15" t="s">
        <v>15</v>
      </c>
      <c r="I660" s="15">
        <v>20</v>
      </c>
      <c r="J660" s="18" t="s">
        <v>17</v>
      </c>
      <c r="K660" s="589">
        <f t="shared" si="17"/>
        <v>691.4</v>
      </c>
      <c r="L660" s="121" t="s">
        <v>2082</v>
      </c>
      <c r="M660" s="132" t="s">
        <v>2085</v>
      </c>
      <c r="N660" s="133">
        <f>9+11</f>
        <v>20</v>
      </c>
      <c r="O660" s="119">
        <f t="shared" si="16"/>
        <v>0</v>
      </c>
    </row>
    <row r="661" spans="1:15" ht="14.45" customHeight="1">
      <c r="A661" s="77" t="s">
        <v>1137</v>
      </c>
      <c r="B661" s="15" t="s">
        <v>9</v>
      </c>
      <c r="C661" s="15">
        <v>39</v>
      </c>
      <c r="D661" s="15" t="s">
        <v>10</v>
      </c>
      <c r="E661" s="15">
        <v>661</v>
      </c>
      <c r="F661" s="15" t="s">
        <v>1402</v>
      </c>
      <c r="G661" s="15" t="s">
        <v>187</v>
      </c>
      <c r="H661" s="15" t="s">
        <v>15</v>
      </c>
      <c r="I661" s="15">
        <v>20</v>
      </c>
      <c r="J661" s="18" t="s">
        <v>17</v>
      </c>
      <c r="K661" s="589">
        <f t="shared" si="17"/>
        <v>691.4</v>
      </c>
      <c r="L661" s="121" t="s">
        <v>2082</v>
      </c>
      <c r="M661" s="132">
        <v>7</v>
      </c>
      <c r="N661" s="133">
        <f>10+10</f>
        <v>20</v>
      </c>
      <c r="O661" s="119">
        <f t="shared" si="16"/>
        <v>0</v>
      </c>
    </row>
    <row r="662" spans="1:15" ht="14.45" customHeight="1">
      <c r="A662" s="590" t="s">
        <v>998</v>
      </c>
      <c r="B662" s="11" t="s">
        <v>9</v>
      </c>
      <c r="C662" s="11" t="s">
        <v>618</v>
      </c>
      <c r="D662" s="11"/>
      <c r="E662" s="15"/>
      <c r="F662" s="11" t="s">
        <v>1462</v>
      </c>
      <c r="G662" s="11" t="s">
        <v>187</v>
      </c>
      <c r="H662" s="15" t="s">
        <v>5</v>
      </c>
      <c r="I662" s="15">
        <v>20</v>
      </c>
      <c r="J662" s="12" t="s">
        <v>17</v>
      </c>
      <c r="K662" s="591">
        <f t="shared" si="17"/>
        <v>691.4</v>
      </c>
      <c r="L662" s="120" t="s">
        <v>2082</v>
      </c>
      <c r="M662" s="132">
        <v>13</v>
      </c>
      <c r="N662" s="133">
        <v>20</v>
      </c>
      <c r="O662" s="119">
        <f t="shared" si="16"/>
        <v>0</v>
      </c>
    </row>
    <row r="663" spans="1:15" ht="14.45" customHeight="1">
      <c r="A663" s="590" t="s">
        <v>998</v>
      </c>
      <c r="B663" s="11" t="s">
        <v>9</v>
      </c>
      <c r="C663" s="11" t="s">
        <v>618</v>
      </c>
      <c r="D663" s="11"/>
      <c r="E663" s="15"/>
      <c r="F663" s="11" t="s">
        <v>468</v>
      </c>
      <c r="G663" s="11" t="s">
        <v>187</v>
      </c>
      <c r="H663" s="15" t="s">
        <v>5</v>
      </c>
      <c r="I663" s="15">
        <v>20</v>
      </c>
      <c r="J663" s="12" t="s">
        <v>17</v>
      </c>
      <c r="K663" s="591">
        <f t="shared" si="17"/>
        <v>691.4</v>
      </c>
      <c r="L663" s="120" t="s">
        <v>2094</v>
      </c>
      <c r="M663" s="132" t="s">
        <v>2097</v>
      </c>
      <c r="N663" s="133">
        <f>12+8</f>
        <v>20</v>
      </c>
      <c r="O663" s="119">
        <f t="shared" si="16"/>
        <v>0</v>
      </c>
    </row>
    <row r="664" spans="1:15" ht="14.45" customHeight="1">
      <c r="A664" s="590" t="s">
        <v>1976</v>
      </c>
      <c r="B664" s="11" t="s">
        <v>9</v>
      </c>
      <c r="C664" s="11">
        <v>49</v>
      </c>
      <c r="D664" s="11" t="s">
        <v>10</v>
      </c>
      <c r="E664" s="15">
        <v>962</v>
      </c>
      <c r="F664" s="11" t="s">
        <v>1960</v>
      </c>
      <c r="G664" s="11" t="s">
        <v>187</v>
      </c>
      <c r="H664" s="15" t="s">
        <v>5</v>
      </c>
      <c r="I664" s="15">
        <v>20</v>
      </c>
      <c r="J664" s="12" t="s">
        <v>17</v>
      </c>
      <c r="K664" s="591">
        <f t="shared" si="17"/>
        <v>691.4</v>
      </c>
      <c r="L664" s="121" t="s">
        <v>2081</v>
      </c>
      <c r="M664" s="136"/>
      <c r="N664" s="133">
        <v>20</v>
      </c>
      <c r="O664" s="119">
        <f t="shared" si="16"/>
        <v>0</v>
      </c>
    </row>
    <row r="665" spans="1:15" ht="14.45" customHeight="1">
      <c r="A665" s="590" t="s">
        <v>1976</v>
      </c>
      <c r="B665" s="11" t="s">
        <v>9</v>
      </c>
      <c r="C665" s="11">
        <v>49</v>
      </c>
      <c r="D665" s="11" t="s">
        <v>10</v>
      </c>
      <c r="E665" s="15">
        <v>963</v>
      </c>
      <c r="F665" s="11" t="s">
        <v>714</v>
      </c>
      <c r="G665" s="11" t="s">
        <v>187</v>
      </c>
      <c r="H665" s="15" t="s">
        <v>5</v>
      </c>
      <c r="I665" s="15">
        <v>20</v>
      </c>
      <c r="J665" s="12" t="s">
        <v>17</v>
      </c>
      <c r="K665" s="591">
        <f t="shared" si="17"/>
        <v>691.4</v>
      </c>
      <c r="L665" s="121" t="s">
        <v>2081</v>
      </c>
      <c r="M665" s="136"/>
      <c r="N665" s="133">
        <v>20</v>
      </c>
      <c r="O665" s="119">
        <f t="shared" si="16"/>
        <v>0</v>
      </c>
    </row>
    <row r="666" spans="1:15" ht="14.45" customHeight="1">
      <c r="A666" s="590" t="s">
        <v>1976</v>
      </c>
      <c r="B666" s="11" t="s">
        <v>9</v>
      </c>
      <c r="C666" s="11">
        <v>49</v>
      </c>
      <c r="D666" s="11" t="s">
        <v>29</v>
      </c>
      <c r="E666" s="15">
        <v>961</v>
      </c>
      <c r="F666" s="11" t="s">
        <v>477</v>
      </c>
      <c r="G666" s="11" t="s">
        <v>187</v>
      </c>
      <c r="H666" s="15" t="s">
        <v>5</v>
      </c>
      <c r="I666" s="15">
        <v>20</v>
      </c>
      <c r="J666" s="12" t="s">
        <v>17</v>
      </c>
      <c r="K666" s="591">
        <f t="shared" si="17"/>
        <v>691.4</v>
      </c>
      <c r="L666" s="121" t="s">
        <v>2081</v>
      </c>
      <c r="M666" s="136"/>
      <c r="N666" s="133">
        <v>20</v>
      </c>
      <c r="O666" s="119">
        <f t="shared" si="16"/>
        <v>0</v>
      </c>
    </row>
    <row r="667" spans="1:15" ht="14.45" customHeight="1">
      <c r="A667" s="590" t="s">
        <v>1977</v>
      </c>
      <c r="B667" s="11" t="s">
        <v>9</v>
      </c>
      <c r="C667" s="11">
        <v>48</v>
      </c>
      <c r="D667" s="11" t="s">
        <v>10</v>
      </c>
      <c r="E667" s="15">
        <v>1056</v>
      </c>
      <c r="F667" s="11" t="s">
        <v>1567</v>
      </c>
      <c r="G667" s="11" t="s">
        <v>187</v>
      </c>
      <c r="H667" s="15" t="s">
        <v>5</v>
      </c>
      <c r="I667" s="15">
        <v>20</v>
      </c>
      <c r="J667" s="12" t="s">
        <v>17</v>
      </c>
      <c r="K667" s="591">
        <f t="shared" si="17"/>
        <v>691.4</v>
      </c>
      <c r="L667" s="121" t="s">
        <v>2055</v>
      </c>
      <c r="M667" s="136"/>
      <c r="N667" s="133">
        <v>20</v>
      </c>
      <c r="O667" s="119">
        <f t="shared" si="16"/>
        <v>0</v>
      </c>
    </row>
    <row r="668" spans="1:15" ht="14.45" customHeight="1">
      <c r="A668" s="590" t="s">
        <v>1977</v>
      </c>
      <c r="B668" s="11" t="s">
        <v>9</v>
      </c>
      <c r="C668" s="11">
        <v>48</v>
      </c>
      <c r="D668" s="11" t="s">
        <v>10</v>
      </c>
      <c r="E668" s="15">
        <v>1060</v>
      </c>
      <c r="F668" s="11" t="s">
        <v>783</v>
      </c>
      <c r="G668" s="11" t="s">
        <v>187</v>
      </c>
      <c r="H668" s="15" t="s">
        <v>15</v>
      </c>
      <c r="I668" s="15">
        <v>20</v>
      </c>
      <c r="J668" s="12" t="s">
        <v>17</v>
      </c>
      <c r="K668" s="591">
        <f t="shared" si="17"/>
        <v>691.4</v>
      </c>
      <c r="L668" s="121" t="s">
        <v>2055</v>
      </c>
      <c r="M668" s="136"/>
      <c r="N668" s="133">
        <v>20</v>
      </c>
      <c r="O668" s="119">
        <f t="shared" si="16"/>
        <v>0</v>
      </c>
    </row>
    <row r="669" spans="1:15" ht="14.45" customHeight="1">
      <c r="A669" s="590" t="s">
        <v>1977</v>
      </c>
      <c r="B669" s="11" t="s">
        <v>9</v>
      </c>
      <c r="C669" s="11">
        <v>48</v>
      </c>
      <c r="D669" s="11" t="s">
        <v>10</v>
      </c>
      <c r="E669" s="15">
        <v>1063</v>
      </c>
      <c r="F669" s="11" t="s">
        <v>1800</v>
      </c>
      <c r="G669" s="11" t="s">
        <v>187</v>
      </c>
      <c r="H669" s="15" t="s">
        <v>15</v>
      </c>
      <c r="I669" s="15">
        <v>20</v>
      </c>
      <c r="J669" s="12" t="s">
        <v>17</v>
      </c>
      <c r="K669" s="591">
        <f t="shared" si="17"/>
        <v>691.4</v>
      </c>
      <c r="L669" s="121" t="s">
        <v>2055</v>
      </c>
      <c r="M669" s="136"/>
      <c r="N669" s="133">
        <v>20</v>
      </c>
      <c r="O669" s="119">
        <f t="shared" si="16"/>
        <v>0</v>
      </c>
    </row>
    <row r="670" spans="1:15" ht="14.45" customHeight="1">
      <c r="A670" s="590" t="s">
        <v>986</v>
      </c>
      <c r="B670" s="11" t="s">
        <v>9</v>
      </c>
      <c r="C670" s="11">
        <v>39</v>
      </c>
      <c r="D670" s="11" t="s">
        <v>10</v>
      </c>
      <c r="E670" s="11">
        <v>255</v>
      </c>
      <c r="F670" s="11" t="s">
        <v>1558</v>
      </c>
      <c r="G670" s="11" t="s">
        <v>87</v>
      </c>
      <c r="H670" s="11" t="s">
        <v>15</v>
      </c>
      <c r="I670" s="11">
        <v>20</v>
      </c>
      <c r="J670" s="12" t="s">
        <v>34</v>
      </c>
      <c r="K670" s="591">
        <f>(19*26)+(1*17.4)</f>
        <v>511.4</v>
      </c>
      <c r="L670" s="121" t="s">
        <v>2082</v>
      </c>
      <c r="M670" s="132">
        <v>6</v>
      </c>
      <c r="N670" s="133">
        <v>20</v>
      </c>
      <c r="O670" s="119">
        <f t="shared" si="16"/>
        <v>0</v>
      </c>
    </row>
    <row r="671" spans="1:15" ht="14.45" customHeight="1">
      <c r="A671" s="590" t="s">
        <v>986</v>
      </c>
      <c r="B671" s="11" t="s">
        <v>9</v>
      </c>
      <c r="C671" s="11">
        <v>39</v>
      </c>
      <c r="D671" s="11" t="s">
        <v>10</v>
      </c>
      <c r="E671" s="11">
        <v>256</v>
      </c>
      <c r="F671" s="11" t="s">
        <v>587</v>
      </c>
      <c r="G671" s="11" t="s">
        <v>87</v>
      </c>
      <c r="H671" s="11" t="s">
        <v>15</v>
      </c>
      <c r="I671" s="11">
        <v>20</v>
      </c>
      <c r="J671" s="12" t="s">
        <v>34</v>
      </c>
      <c r="K671" s="591">
        <f>(19*26)+(1*17.4)</f>
        <v>511.4</v>
      </c>
      <c r="L671" s="121" t="s">
        <v>2033</v>
      </c>
      <c r="M671" s="132">
        <v>11</v>
      </c>
      <c r="N671" s="133">
        <f>10+10</f>
        <v>20</v>
      </c>
      <c r="O671" s="119">
        <f t="shared" si="16"/>
        <v>0</v>
      </c>
    </row>
    <row r="672" spans="1:15" ht="14.45" customHeight="1">
      <c r="A672" s="590" t="s">
        <v>998</v>
      </c>
      <c r="B672" s="11" t="s">
        <v>9</v>
      </c>
      <c r="C672" s="11">
        <v>39</v>
      </c>
      <c r="D672" s="11" t="s">
        <v>7</v>
      </c>
      <c r="E672" s="15">
        <v>401</v>
      </c>
      <c r="F672" s="11" t="s">
        <v>1607</v>
      </c>
      <c r="G672" s="11" t="s">
        <v>87</v>
      </c>
      <c r="H672" s="15" t="s">
        <v>15</v>
      </c>
      <c r="I672" s="15">
        <v>20</v>
      </c>
      <c r="J672" s="12" t="s">
        <v>34</v>
      </c>
      <c r="K672" s="591">
        <f>(19*26)+(1*17.4)</f>
        <v>511.4</v>
      </c>
      <c r="L672" s="120" t="s">
        <v>2082</v>
      </c>
      <c r="M672" s="132">
        <v>11</v>
      </c>
      <c r="N672" s="133">
        <v>20</v>
      </c>
      <c r="O672" s="119">
        <f t="shared" si="16"/>
        <v>0</v>
      </c>
    </row>
    <row r="673" spans="1:15" ht="14.45" customHeight="1">
      <c r="A673" s="590" t="s">
        <v>1975</v>
      </c>
      <c r="B673" s="11" t="s">
        <v>9</v>
      </c>
      <c r="C673" s="11">
        <v>49</v>
      </c>
      <c r="D673" s="11" t="s">
        <v>10</v>
      </c>
      <c r="E673" s="15">
        <v>346</v>
      </c>
      <c r="F673" s="11" t="s">
        <v>2012</v>
      </c>
      <c r="G673" s="11" t="s">
        <v>87</v>
      </c>
      <c r="H673" s="15" t="s">
        <v>15</v>
      </c>
      <c r="I673" s="15">
        <v>20</v>
      </c>
      <c r="J673" s="12" t="s">
        <v>34</v>
      </c>
      <c r="K673" s="591">
        <f>(19*26)+(1*17.4)</f>
        <v>511.4</v>
      </c>
      <c r="L673" s="121" t="s">
        <v>2033</v>
      </c>
      <c r="M673" s="136">
        <v>6</v>
      </c>
      <c r="N673" s="133">
        <v>20</v>
      </c>
      <c r="O673" s="119">
        <f t="shared" si="16"/>
        <v>0</v>
      </c>
    </row>
    <row r="674" spans="1:15" ht="14.45" customHeight="1">
      <c r="A674" s="590" t="s">
        <v>1975</v>
      </c>
      <c r="B674" s="11" t="s">
        <v>9</v>
      </c>
      <c r="C674" s="11">
        <v>49</v>
      </c>
      <c r="D674" s="11" t="s">
        <v>10</v>
      </c>
      <c r="E674" s="15">
        <v>347</v>
      </c>
      <c r="F674" s="11" t="s">
        <v>2013</v>
      </c>
      <c r="G674" s="11" t="s">
        <v>87</v>
      </c>
      <c r="H674" s="15" t="s">
        <v>15</v>
      </c>
      <c r="I674" s="15">
        <v>20</v>
      </c>
      <c r="J674" s="12" t="s">
        <v>34</v>
      </c>
      <c r="K674" s="591">
        <f>(19*26)+(1*17.4)</f>
        <v>511.4</v>
      </c>
      <c r="L674" s="121" t="s">
        <v>2033</v>
      </c>
      <c r="M674" s="136">
        <v>5</v>
      </c>
      <c r="N674" s="133">
        <v>20</v>
      </c>
      <c r="O674" s="119">
        <f t="shared" si="16"/>
        <v>0</v>
      </c>
    </row>
    <row r="675" spans="1:15" ht="14.45" customHeight="1">
      <c r="A675" s="590" t="s">
        <v>1002</v>
      </c>
      <c r="B675" s="11" t="s">
        <v>150</v>
      </c>
      <c r="C675" s="11">
        <v>44</v>
      </c>
      <c r="D675" s="11" t="s">
        <v>50</v>
      </c>
      <c r="E675" s="11">
        <v>223</v>
      </c>
      <c r="F675" s="11" t="s">
        <v>1533</v>
      </c>
      <c r="G675" s="11" t="s">
        <v>1608</v>
      </c>
      <c r="H675" s="11" t="s">
        <v>15</v>
      </c>
      <c r="I675" s="588">
        <v>20</v>
      </c>
      <c r="J675" s="12" t="s">
        <v>1609</v>
      </c>
      <c r="K675" s="591">
        <f>(18*43)+(2*38.7)</f>
        <v>851.4</v>
      </c>
      <c r="L675" s="120" t="s">
        <v>2033</v>
      </c>
      <c r="M675" s="132">
        <v>14</v>
      </c>
      <c r="N675" s="133">
        <f>13+7</f>
        <v>20</v>
      </c>
      <c r="O675" s="119">
        <f t="shared" si="16"/>
        <v>0</v>
      </c>
    </row>
    <row r="676" spans="1:15" ht="14.45" customHeight="1">
      <c r="A676" s="590" t="s">
        <v>1016</v>
      </c>
      <c r="B676" s="11" t="s">
        <v>150</v>
      </c>
      <c r="C676" s="11">
        <v>45</v>
      </c>
      <c r="D676" s="11" t="s">
        <v>7</v>
      </c>
      <c r="E676" s="15">
        <v>1558</v>
      </c>
      <c r="F676" s="11" t="s">
        <v>1664</v>
      </c>
      <c r="G676" s="11" t="s">
        <v>620</v>
      </c>
      <c r="H676" s="15" t="s">
        <v>15</v>
      </c>
      <c r="I676" s="15">
        <v>30</v>
      </c>
      <c r="J676" s="12" t="s">
        <v>1665</v>
      </c>
      <c r="K676" s="591">
        <f>(30*40)</f>
        <v>1200</v>
      </c>
      <c r="L676" s="121" t="s">
        <v>2033</v>
      </c>
      <c r="M676" s="132">
        <v>12</v>
      </c>
      <c r="N676" s="133">
        <f>6+24</f>
        <v>30</v>
      </c>
      <c r="O676" s="119">
        <f t="shared" si="16"/>
        <v>0</v>
      </c>
    </row>
    <row r="677" spans="1:15" ht="14.45" customHeight="1">
      <c r="A677" s="590" t="s">
        <v>1016</v>
      </c>
      <c r="B677" s="11" t="s">
        <v>150</v>
      </c>
      <c r="C677" s="11">
        <v>45</v>
      </c>
      <c r="D677" s="11" t="s">
        <v>7</v>
      </c>
      <c r="E677" s="15">
        <v>1559</v>
      </c>
      <c r="F677" s="11" t="s">
        <v>1666</v>
      </c>
      <c r="G677" s="11" t="s">
        <v>620</v>
      </c>
      <c r="H677" s="15" t="s">
        <v>15</v>
      </c>
      <c r="I677" s="15">
        <v>30</v>
      </c>
      <c r="J677" s="12" t="s">
        <v>1665</v>
      </c>
      <c r="K677" s="591">
        <f>(30*40)</f>
        <v>1200</v>
      </c>
      <c r="L677" s="121" t="s">
        <v>2055</v>
      </c>
      <c r="M677" s="132">
        <v>8</v>
      </c>
      <c r="N677" s="133">
        <v>30</v>
      </c>
      <c r="O677" s="119">
        <f t="shared" si="16"/>
        <v>0</v>
      </c>
    </row>
    <row r="678" spans="1:15" ht="14.45" customHeight="1">
      <c r="A678" s="77" t="s">
        <v>1121</v>
      </c>
      <c r="B678" s="15" t="s">
        <v>9</v>
      </c>
      <c r="C678" s="15">
        <v>36</v>
      </c>
      <c r="D678" s="15" t="s">
        <v>10</v>
      </c>
      <c r="E678" s="15">
        <v>111</v>
      </c>
      <c r="F678" s="15" t="s">
        <v>721</v>
      </c>
      <c r="G678" s="15" t="s">
        <v>594</v>
      </c>
      <c r="H678" s="15" t="s">
        <v>5</v>
      </c>
      <c r="I678" s="15">
        <v>20</v>
      </c>
      <c r="J678" s="18" t="s">
        <v>31</v>
      </c>
      <c r="K678" s="589">
        <f>(19*38)+(1*29.4)</f>
        <v>751.4</v>
      </c>
      <c r="L678" s="120" t="s">
        <v>2082</v>
      </c>
      <c r="M678" s="132" t="s">
        <v>2053</v>
      </c>
      <c r="N678" s="133">
        <f>15+5</f>
        <v>20</v>
      </c>
      <c r="O678" s="119">
        <f t="shared" si="16"/>
        <v>0</v>
      </c>
    </row>
    <row r="679" spans="1:15" ht="14.45" customHeight="1">
      <c r="A679" s="590" t="s">
        <v>976</v>
      </c>
      <c r="B679" s="11" t="s">
        <v>9</v>
      </c>
      <c r="C679" s="11">
        <v>38</v>
      </c>
      <c r="D679" s="11" t="s">
        <v>10</v>
      </c>
      <c r="E679" s="11">
        <v>133</v>
      </c>
      <c r="F679" s="11" t="s">
        <v>137</v>
      </c>
      <c r="G679" s="11" t="s">
        <v>594</v>
      </c>
      <c r="H679" s="11" t="s">
        <v>15</v>
      </c>
      <c r="I679" s="11">
        <v>20</v>
      </c>
      <c r="J679" s="12" t="s">
        <v>157</v>
      </c>
      <c r="K679" s="591">
        <f>(20*38)</f>
        <v>760</v>
      </c>
      <c r="L679" s="120" t="s">
        <v>2082</v>
      </c>
      <c r="M679" s="132">
        <v>2</v>
      </c>
      <c r="N679" s="133">
        <f>10+10</f>
        <v>20</v>
      </c>
      <c r="O679" s="119">
        <f t="shared" si="16"/>
        <v>0</v>
      </c>
    </row>
    <row r="680" spans="1:15">
      <c r="A680" s="590" t="s">
        <v>1030</v>
      </c>
      <c r="B680" s="11" t="s">
        <v>9</v>
      </c>
      <c r="C680" s="11">
        <v>45</v>
      </c>
      <c r="D680" s="11" t="s">
        <v>10</v>
      </c>
      <c r="E680" s="15">
        <v>192</v>
      </c>
      <c r="F680" s="11" t="s">
        <v>475</v>
      </c>
      <c r="G680" s="11" t="s">
        <v>594</v>
      </c>
      <c r="H680" s="15" t="s">
        <v>15</v>
      </c>
      <c r="I680" s="15">
        <v>15</v>
      </c>
      <c r="J680" s="12" t="s">
        <v>38</v>
      </c>
      <c r="K680" s="591">
        <f>(13*38)+(2*29.4)</f>
        <v>552.79999999999995</v>
      </c>
      <c r="L680" s="121" t="s">
        <v>2082</v>
      </c>
      <c r="M680" s="132">
        <v>9</v>
      </c>
      <c r="N680" s="133">
        <f>6+9</f>
        <v>15</v>
      </c>
      <c r="O680" s="119">
        <f t="shared" si="16"/>
        <v>0</v>
      </c>
    </row>
    <row r="681" spans="1:15">
      <c r="A681" s="590" t="s">
        <v>1030</v>
      </c>
      <c r="B681" s="11" t="s">
        <v>9</v>
      </c>
      <c r="C681" s="11">
        <v>45</v>
      </c>
      <c r="D681" s="11" t="s">
        <v>10</v>
      </c>
      <c r="E681" s="15">
        <v>193</v>
      </c>
      <c r="F681" s="11" t="s">
        <v>498</v>
      </c>
      <c r="G681" s="11" t="s">
        <v>594</v>
      </c>
      <c r="H681" s="15" t="s">
        <v>15</v>
      </c>
      <c r="I681" s="15">
        <v>15</v>
      </c>
      <c r="J681" s="12" t="s">
        <v>38</v>
      </c>
      <c r="K681" s="591">
        <f>(13*38)+(2*29.4)</f>
        <v>552.79999999999995</v>
      </c>
      <c r="L681" s="121" t="s">
        <v>2082</v>
      </c>
      <c r="M681" s="132">
        <v>10</v>
      </c>
      <c r="N681" s="133">
        <v>15</v>
      </c>
      <c r="O681" s="119">
        <f t="shared" si="16"/>
        <v>0</v>
      </c>
    </row>
    <row r="682" spans="1:15">
      <c r="A682" s="590" t="s">
        <v>1030</v>
      </c>
      <c r="B682" s="11" t="s">
        <v>9</v>
      </c>
      <c r="C682" s="11">
        <v>45</v>
      </c>
      <c r="D682" s="11" t="s">
        <v>10</v>
      </c>
      <c r="E682" s="15">
        <v>195</v>
      </c>
      <c r="F682" s="11" t="s">
        <v>1778</v>
      </c>
      <c r="G682" s="11" t="s">
        <v>594</v>
      </c>
      <c r="H682" s="15" t="s">
        <v>15</v>
      </c>
      <c r="I682" s="15">
        <v>30</v>
      </c>
      <c r="J682" s="12" t="s">
        <v>1520</v>
      </c>
      <c r="K682" s="591">
        <f>(28*38)+(2*29.4)</f>
        <v>1122.8</v>
      </c>
      <c r="L682" s="121" t="s">
        <v>2082</v>
      </c>
      <c r="M682" s="132">
        <v>1</v>
      </c>
      <c r="N682" s="130">
        <f>20+10</f>
        <v>30</v>
      </c>
      <c r="O682" s="119">
        <f t="shared" si="16"/>
        <v>0</v>
      </c>
    </row>
    <row r="683" spans="1:15">
      <c r="A683" s="590" t="s">
        <v>1030</v>
      </c>
      <c r="B683" s="11" t="s">
        <v>9</v>
      </c>
      <c r="C683" s="11">
        <v>45</v>
      </c>
      <c r="D683" s="11" t="s">
        <v>16</v>
      </c>
      <c r="E683" s="15">
        <v>62</v>
      </c>
      <c r="F683" s="11" t="s">
        <v>675</v>
      </c>
      <c r="G683" s="11" t="s">
        <v>594</v>
      </c>
      <c r="H683" s="15" t="s">
        <v>15</v>
      </c>
      <c r="I683" s="15">
        <v>15</v>
      </c>
      <c r="J683" s="12" t="s">
        <v>38</v>
      </c>
      <c r="K683" s="591">
        <f>(13*38)+(2*29.4)</f>
        <v>552.79999999999995</v>
      </c>
      <c r="L683" s="120" t="s">
        <v>2082</v>
      </c>
      <c r="M683" s="132">
        <v>14</v>
      </c>
      <c r="N683" s="133">
        <v>15</v>
      </c>
      <c r="O683" s="119">
        <f t="shared" si="16"/>
        <v>0</v>
      </c>
    </row>
    <row r="684" spans="1:15">
      <c r="A684" s="590" t="s">
        <v>1030</v>
      </c>
      <c r="B684" s="11" t="s">
        <v>9</v>
      </c>
      <c r="C684" s="11">
        <v>45</v>
      </c>
      <c r="D684" s="11" t="s">
        <v>16</v>
      </c>
      <c r="E684" s="15">
        <v>63</v>
      </c>
      <c r="F684" s="11" t="s">
        <v>1465</v>
      </c>
      <c r="G684" s="11" t="s">
        <v>594</v>
      </c>
      <c r="H684" s="15" t="s">
        <v>15</v>
      </c>
      <c r="I684" s="15">
        <v>15</v>
      </c>
      <c r="J684" s="12" t="s">
        <v>38</v>
      </c>
      <c r="K684" s="591">
        <f>(13*38)+(2*29.4)</f>
        <v>552.79999999999995</v>
      </c>
      <c r="L684" s="120" t="s">
        <v>2082</v>
      </c>
      <c r="M684" s="132">
        <v>7</v>
      </c>
      <c r="N684" s="133">
        <f>8+7</f>
        <v>15</v>
      </c>
      <c r="O684" s="119">
        <f t="shared" si="16"/>
        <v>0</v>
      </c>
    </row>
    <row r="685" spans="1:15">
      <c r="A685" s="590" t="s">
        <v>1030</v>
      </c>
      <c r="B685" s="11" t="s">
        <v>9</v>
      </c>
      <c r="C685" s="11">
        <v>45</v>
      </c>
      <c r="D685" s="11" t="s">
        <v>16</v>
      </c>
      <c r="E685" s="15">
        <v>64</v>
      </c>
      <c r="F685" s="11" t="s">
        <v>471</v>
      </c>
      <c r="G685" s="11" t="s">
        <v>594</v>
      </c>
      <c r="H685" s="15" t="s">
        <v>15</v>
      </c>
      <c r="I685" s="15">
        <v>15</v>
      </c>
      <c r="J685" s="12" t="s">
        <v>38</v>
      </c>
      <c r="K685" s="591">
        <f>(13*38)+(2*29.4)</f>
        <v>552.79999999999995</v>
      </c>
      <c r="L685" s="120" t="s">
        <v>2082</v>
      </c>
      <c r="M685" s="132">
        <v>14</v>
      </c>
      <c r="N685" s="133">
        <v>15</v>
      </c>
      <c r="O685" s="119">
        <f t="shared" si="16"/>
        <v>0</v>
      </c>
    </row>
    <row r="686" spans="1:15">
      <c r="A686" s="590" t="s">
        <v>1030</v>
      </c>
      <c r="B686" s="11" t="s">
        <v>9</v>
      </c>
      <c r="C686" s="11">
        <v>45</v>
      </c>
      <c r="D686" s="11" t="s">
        <v>16</v>
      </c>
      <c r="E686" s="15">
        <v>65</v>
      </c>
      <c r="F686" s="11" t="s">
        <v>538</v>
      </c>
      <c r="G686" s="11" t="s">
        <v>594</v>
      </c>
      <c r="H686" s="15" t="s">
        <v>15</v>
      </c>
      <c r="I686" s="15">
        <v>15</v>
      </c>
      <c r="J686" s="12" t="s">
        <v>397</v>
      </c>
      <c r="K686" s="591">
        <f>(12*38)+(3*29.4)</f>
        <v>544.20000000000005</v>
      </c>
      <c r="L686" s="120" t="s">
        <v>2082</v>
      </c>
      <c r="M686" s="132">
        <v>8</v>
      </c>
      <c r="N686" s="133">
        <f>6+9</f>
        <v>15</v>
      </c>
      <c r="O686" s="119">
        <f t="shared" si="16"/>
        <v>0</v>
      </c>
    </row>
    <row r="687" spans="1:15">
      <c r="A687" s="590" t="s">
        <v>1030</v>
      </c>
      <c r="B687" s="11" t="s">
        <v>9</v>
      </c>
      <c r="C687" s="11">
        <v>45</v>
      </c>
      <c r="D687" s="11" t="s">
        <v>16</v>
      </c>
      <c r="E687" s="15">
        <v>69</v>
      </c>
      <c r="F687" s="11" t="s">
        <v>1471</v>
      </c>
      <c r="G687" s="11" t="s">
        <v>594</v>
      </c>
      <c r="H687" s="15" t="s">
        <v>143</v>
      </c>
      <c r="I687" s="15">
        <v>15</v>
      </c>
      <c r="J687" s="12" t="s">
        <v>38</v>
      </c>
      <c r="K687" s="591">
        <f>(13*38)+(2*29.4)</f>
        <v>552.79999999999995</v>
      </c>
      <c r="L687" s="120" t="s">
        <v>2082</v>
      </c>
      <c r="M687" s="132">
        <v>14</v>
      </c>
      <c r="N687" s="133">
        <v>15</v>
      </c>
      <c r="O687" s="119">
        <f t="shared" si="16"/>
        <v>0</v>
      </c>
    </row>
    <row r="688" spans="1:15">
      <c r="A688" s="590" t="s">
        <v>1178</v>
      </c>
      <c r="B688" s="11" t="s">
        <v>150</v>
      </c>
      <c r="C688" s="11">
        <v>50</v>
      </c>
      <c r="D688" s="11" t="s">
        <v>55</v>
      </c>
      <c r="E688" s="15">
        <v>26</v>
      </c>
      <c r="F688" s="11" t="s">
        <v>1852</v>
      </c>
      <c r="G688" s="11" t="s">
        <v>1853</v>
      </c>
      <c r="H688" s="15" t="s">
        <v>15</v>
      </c>
      <c r="I688" s="15">
        <v>20</v>
      </c>
      <c r="J688" s="12" t="s">
        <v>1854</v>
      </c>
      <c r="K688" s="591">
        <f>(18*25)+(2*20.7)</f>
        <v>491.4</v>
      </c>
      <c r="L688" s="121" t="s">
        <v>2055</v>
      </c>
      <c r="M688" s="132">
        <v>1</v>
      </c>
      <c r="N688" s="133">
        <v>20</v>
      </c>
      <c r="O688" s="119">
        <f t="shared" si="16"/>
        <v>0</v>
      </c>
    </row>
    <row r="689" spans="1:15">
      <c r="A689" s="590" t="s">
        <v>1172</v>
      </c>
      <c r="B689" s="11" t="s">
        <v>9</v>
      </c>
      <c r="C689" s="11">
        <v>46</v>
      </c>
      <c r="D689" s="11" t="s">
        <v>16</v>
      </c>
      <c r="E689" s="15">
        <v>71</v>
      </c>
      <c r="F689" s="11" t="s">
        <v>581</v>
      </c>
      <c r="G689" s="11" t="s">
        <v>715</v>
      </c>
      <c r="H689" s="15" t="s">
        <v>15</v>
      </c>
      <c r="I689" s="15">
        <v>30</v>
      </c>
      <c r="J689" s="12" t="s">
        <v>25</v>
      </c>
      <c r="K689" s="591">
        <f>(29*38)+(1*29.4)</f>
        <v>1131.4000000000001</v>
      </c>
      <c r="L689" s="121" t="s">
        <v>2029</v>
      </c>
      <c r="M689" s="132">
        <v>3</v>
      </c>
      <c r="N689" s="133">
        <v>30</v>
      </c>
      <c r="O689" s="119">
        <f t="shared" si="16"/>
        <v>0</v>
      </c>
    </row>
    <row r="690" spans="1:15">
      <c r="A690" s="590" t="s">
        <v>1172</v>
      </c>
      <c r="B690" s="11" t="s">
        <v>9</v>
      </c>
      <c r="C690" s="11">
        <v>46</v>
      </c>
      <c r="D690" s="11" t="s">
        <v>16</v>
      </c>
      <c r="E690" s="15">
        <v>72</v>
      </c>
      <c r="F690" s="11" t="s">
        <v>571</v>
      </c>
      <c r="G690" s="11" t="s">
        <v>715</v>
      </c>
      <c r="H690" s="15" t="s">
        <v>15</v>
      </c>
      <c r="I690" s="15">
        <v>23</v>
      </c>
      <c r="J690" s="12" t="s">
        <v>1799</v>
      </c>
      <c r="K690" s="591">
        <f>(23*38)</f>
        <v>874</v>
      </c>
      <c r="L690" s="121" t="s">
        <v>2029</v>
      </c>
      <c r="M690" s="132">
        <v>3</v>
      </c>
      <c r="N690" s="133">
        <v>23</v>
      </c>
      <c r="O690" s="119">
        <f t="shared" si="16"/>
        <v>0</v>
      </c>
    </row>
    <row r="691" spans="1:15">
      <c r="A691" s="590" t="s">
        <v>1166</v>
      </c>
      <c r="B691" s="11" t="s">
        <v>150</v>
      </c>
      <c r="C691" s="11">
        <v>49</v>
      </c>
      <c r="D691" s="11" t="s">
        <v>51</v>
      </c>
      <c r="E691" s="15">
        <v>133</v>
      </c>
      <c r="F691" s="11" t="s">
        <v>1442</v>
      </c>
      <c r="G691" s="11" t="s">
        <v>1768</v>
      </c>
      <c r="H691" s="15" t="s">
        <v>5</v>
      </c>
      <c r="I691" s="15">
        <v>15</v>
      </c>
      <c r="J691" s="12" t="s">
        <v>710</v>
      </c>
      <c r="K691" s="591">
        <f>(14*26)+(1*18.3)</f>
        <v>382.3</v>
      </c>
      <c r="L691" s="121" t="s">
        <v>2055</v>
      </c>
      <c r="M691" s="132">
        <v>4</v>
      </c>
      <c r="N691" s="133">
        <v>15</v>
      </c>
      <c r="O691" s="119">
        <f t="shared" si="16"/>
        <v>0</v>
      </c>
    </row>
    <row r="692" spans="1:15">
      <c r="A692" s="590" t="s">
        <v>1166</v>
      </c>
      <c r="B692" s="11" t="s">
        <v>150</v>
      </c>
      <c r="C692" s="11">
        <v>49</v>
      </c>
      <c r="D692" s="11" t="s">
        <v>51</v>
      </c>
      <c r="E692" s="15">
        <v>137</v>
      </c>
      <c r="F692" s="11" t="s">
        <v>1528</v>
      </c>
      <c r="G692" s="11" t="s">
        <v>1768</v>
      </c>
      <c r="H692" s="15" t="s">
        <v>15</v>
      </c>
      <c r="I692" s="15">
        <v>15</v>
      </c>
      <c r="J692" s="12" t="s">
        <v>1769</v>
      </c>
      <c r="K692" s="591">
        <f>(12*28)+(3*20.3)</f>
        <v>396.9</v>
      </c>
      <c r="L692" s="121" t="s">
        <v>2055</v>
      </c>
      <c r="M692" s="132">
        <v>1</v>
      </c>
      <c r="N692" s="133">
        <v>15</v>
      </c>
      <c r="O692" s="119">
        <f t="shared" si="16"/>
        <v>0</v>
      </c>
    </row>
    <row r="693" spans="1:15">
      <c r="A693" s="590" t="s">
        <v>1166</v>
      </c>
      <c r="B693" s="11" t="s">
        <v>150</v>
      </c>
      <c r="C693" s="11">
        <v>49</v>
      </c>
      <c r="D693" s="11" t="s">
        <v>51</v>
      </c>
      <c r="E693" s="15">
        <v>140</v>
      </c>
      <c r="F693" s="11" t="s">
        <v>593</v>
      </c>
      <c r="G693" s="11" t="s">
        <v>1768</v>
      </c>
      <c r="H693" s="15" t="s">
        <v>15</v>
      </c>
      <c r="I693" s="15">
        <v>15</v>
      </c>
      <c r="J693" s="12" t="s">
        <v>355</v>
      </c>
      <c r="K693" s="591">
        <f>(15*28)</f>
        <v>420</v>
      </c>
      <c r="L693" s="121" t="s">
        <v>2055</v>
      </c>
      <c r="M693" s="132">
        <v>1</v>
      </c>
      <c r="N693" s="133">
        <v>15</v>
      </c>
      <c r="O693" s="119">
        <f t="shared" si="16"/>
        <v>0</v>
      </c>
    </row>
    <row r="694" spans="1:15">
      <c r="A694" s="590" t="s">
        <v>1176</v>
      </c>
      <c r="B694" s="11" t="s">
        <v>150</v>
      </c>
      <c r="C694" s="11">
        <v>50</v>
      </c>
      <c r="D694" s="11" t="s">
        <v>51</v>
      </c>
      <c r="E694" s="15">
        <v>63</v>
      </c>
      <c r="F694" s="11" t="s">
        <v>578</v>
      </c>
      <c r="G694" s="11" t="s">
        <v>1768</v>
      </c>
      <c r="H694" s="15" t="s">
        <v>15</v>
      </c>
      <c r="I694" s="15">
        <v>13</v>
      </c>
      <c r="J694" s="12" t="s">
        <v>1547</v>
      </c>
      <c r="K694" s="591">
        <f>(13*28)</f>
        <v>364</v>
      </c>
      <c r="L694" s="121" t="s">
        <v>2055</v>
      </c>
      <c r="M694" s="132">
        <v>1</v>
      </c>
      <c r="N694" s="133">
        <v>13</v>
      </c>
      <c r="O694" s="119">
        <f t="shared" si="16"/>
        <v>0</v>
      </c>
    </row>
    <row r="695" spans="1:15">
      <c r="A695" s="590" t="s">
        <v>1176</v>
      </c>
      <c r="B695" s="11" t="s">
        <v>150</v>
      </c>
      <c r="C695" s="11">
        <v>50</v>
      </c>
      <c r="D695" s="11" t="s">
        <v>51</v>
      </c>
      <c r="E695" s="15">
        <v>67</v>
      </c>
      <c r="F695" s="11" t="s">
        <v>151</v>
      </c>
      <c r="G695" s="11" t="s">
        <v>1768</v>
      </c>
      <c r="H695" s="15" t="s">
        <v>15</v>
      </c>
      <c r="I695" s="15">
        <v>15</v>
      </c>
      <c r="J695" s="12" t="s">
        <v>741</v>
      </c>
      <c r="K695" s="591">
        <f>(14*28)+(1*20.3)</f>
        <v>412.3</v>
      </c>
      <c r="L695" s="121" t="s">
        <v>2055</v>
      </c>
      <c r="M695" s="132">
        <v>1</v>
      </c>
      <c r="N695" s="133">
        <f>7+8</f>
        <v>15</v>
      </c>
      <c r="O695" s="119">
        <f t="shared" si="16"/>
        <v>0</v>
      </c>
    </row>
    <row r="696" spans="1:15">
      <c r="A696" s="590" t="s">
        <v>1178</v>
      </c>
      <c r="B696" s="11" t="s">
        <v>150</v>
      </c>
      <c r="C696" s="11">
        <v>46</v>
      </c>
      <c r="D696" s="11" t="s">
        <v>51</v>
      </c>
      <c r="E696" s="15">
        <v>222</v>
      </c>
      <c r="F696" s="11" t="s">
        <v>387</v>
      </c>
      <c r="G696" s="11" t="s">
        <v>1831</v>
      </c>
      <c r="H696" s="15" t="s">
        <v>15</v>
      </c>
      <c r="I696" s="15">
        <v>20</v>
      </c>
      <c r="J696" s="12" t="s">
        <v>1599</v>
      </c>
      <c r="K696" s="591">
        <f>(19*33)+(1*28.7)</f>
        <v>655.7</v>
      </c>
      <c r="L696" s="121" t="s">
        <v>2029</v>
      </c>
      <c r="M696" s="132">
        <v>3</v>
      </c>
      <c r="N696" s="133">
        <v>20</v>
      </c>
      <c r="O696" s="119">
        <f t="shared" si="16"/>
        <v>0</v>
      </c>
    </row>
    <row r="697" spans="1:15">
      <c r="A697" s="590" t="s">
        <v>1144</v>
      </c>
      <c r="B697" s="11" t="s">
        <v>150</v>
      </c>
      <c r="C697" s="11">
        <v>43</v>
      </c>
      <c r="D697" s="11" t="s">
        <v>50</v>
      </c>
      <c r="E697" s="11">
        <v>659</v>
      </c>
      <c r="F697" s="11" t="s">
        <v>1573</v>
      </c>
      <c r="G697" s="11" t="s">
        <v>1574</v>
      </c>
      <c r="H697" s="11" t="s">
        <v>15</v>
      </c>
      <c r="I697" s="11">
        <v>20</v>
      </c>
      <c r="J697" s="12" t="s">
        <v>698</v>
      </c>
      <c r="K697" s="591">
        <f>(19*32)+(1*27.7)</f>
        <v>635.70000000000005</v>
      </c>
      <c r="L697" s="120" t="s">
        <v>2033</v>
      </c>
      <c r="M697" s="132">
        <v>11</v>
      </c>
      <c r="N697" s="133">
        <f>9+11</f>
        <v>20</v>
      </c>
      <c r="O697" s="119">
        <f t="shared" si="16"/>
        <v>0</v>
      </c>
    </row>
    <row r="698" spans="1:15">
      <c r="A698" s="590" t="s">
        <v>1018</v>
      </c>
      <c r="B698" s="11" t="s">
        <v>6</v>
      </c>
      <c r="C698" s="11">
        <v>47</v>
      </c>
      <c r="D698" s="11" t="s">
        <v>82</v>
      </c>
      <c r="E698" s="15">
        <v>5505</v>
      </c>
      <c r="F698" s="11" t="s">
        <v>1724</v>
      </c>
      <c r="G698" s="11" t="s">
        <v>484</v>
      </c>
      <c r="H698" s="15" t="s">
        <v>8</v>
      </c>
      <c r="I698" s="15">
        <v>20</v>
      </c>
      <c r="J698" s="12" t="s">
        <v>360</v>
      </c>
      <c r="K698" s="591">
        <f>(19*19)+(1*12)</f>
        <v>373</v>
      </c>
      <c r="L698" s="120" t="s">
        <v>2055</v>
      </c>
      <c r="M698" s="132">
        <v>2</v>
      </c>
      <c r="N698" s="133">
        <v>20</v>
      </c>
      <c r="O698" s="119">
        <f t="shared" si="16"/>
        <v>0</v>
      </c>
    </row>
    <row r="699" spans="1:15">
      <c r="A699" s="590" t="s">
        <v>1002</v>
      </c>
      <c r="B699" s="11" t="s">
        <v>150</v>
      </c>
      <c r="C699" s="11">
        <v>44</v>
      </c>
      <c r="D699" s="11" t="s">
        <v>51</v>
      </c>
      <c r="E699" s="11">
        <v>791</v>
      </c>
      <c r="F699" s="11" t="s">
        <v>1346</v>
      </c>
      <c r="G699" s="11" t="s">
        <v>489</v>
      </c>
      <c r="H699" s="11" t="s">
        <v>15</v>
      </c>
      <c r="I699" s="588">
        <v>20</v>
      </c>
      <c r="J699" s="12" t="s">
        <v>628</v>
      </c>
      <c r="K699" s="591">
        <f>(18*36)+(2*31.7)</f>
        <v>711.4</v>
      </c>
      <c r="L699" s="120" t="s">
        <v>2033</v>
      </c>
      <c r="M699" s="132">
        <v>1</v>
      </c>
      <c r="N699" s="133">
        <v>20</v>
      </c>
      <c r="O699" s="119">
        <f t="shared" si="16"/>
        <v>0</v>
      </c>
    </row>
    <row r="700" spans="1:15">
      <c r="A700" s="590" t="s">
        <v>998</v>
      </c>
      <c r="B700" s="11" t="s">
        <v>150</v>
      </c>
      <c r="C700" s="11">
        <v>44</v>
      </c>
      <c r="D700" s="11" t="s">
        <v>7</v>
      </c>
      <c r="E700" s="15">
        <v>660</v>
      </c>
      <c r="F700" s="11" t="s">
        <v>1600</v>
      </c>
      <c r="G700" s="11" t="s">
        <v>166</v>
      </c>
      <c r="H700" s="15" t="s">
        <v>15</v>
      </c>
      <c r="I700" s="15">
        <v>20</v>
      </c>
      <c r="J700" s="12" t="s">
        <v>1601</v>
      </c>
      <c r="K700" s="591">
        <f>(19*25)+(1*20.7)</f>
        <v>495.7</v>
      </c>
      <c r="L700" s="120" t="s">
        <v>2033</v>
      </c>
      <c r="M700" s="132">
        <v>15</v>
      </c>
      <c r="N700" s="133">
        <v>20</v>
      </c>
      <c r="O700" s="119">
        <f t="shared" si="16"/>
        <v>0</v>
      </c>
    </row>
    <row r="701" spans="1:15">
      <c r="A701" s="590" t="s">
        <v>998</v>
      </c>
      <c r="B701" s="11" t="s">
        <v>150</v>
      </c>
      <c r="C701" s="11">
        <v>44</v>
      </c>
      <c r="D701" s="11" t="s">
        <v>7</v>
      </c>
      <c r="E701" s="15">
        <v>661</v>
      </c>
      <c r="F701" s="11" t="s">
        <v>1602</v>
      </c>
      <c r="G701" s="11" t="s">
        <v>166</v>
      </c>
      <c r="H701" s="15" t="s">
        <v>15</v>
      </c>
      <c r="I701" s="15">
        <v>20</v>
      </c>
      <c r="J701" s="12" t="s">
        <v>155</v>
      </c>
      <c r="K701" s="591">
        <f>(20*26)</f>
        <v>520</v>
      </c>
      <c r="L701" s="120" t="s">
        <v>2033</v>
      </c>
      <c r="M701" s="132">
        <v>15</v>
      </c>
      <c r="N701" s="133">
        <v>20</v>
      </c>
      <c r="O701" s="119">
        <f t="shared" si="16"/>
        <v>0</v>
      </c>
    </row>
    <row r="702" spans="1:15">
      <c r="A702" s="590" t="s">
        <v>1016</v>
      </c>
      <c r="B702" s="11" t="s">
        <v>150</v>
      </c>
      <c r="C702" s="11">
        <v>45</v>
      </c>
      <c r="D702" s="11" t="s">
        <v>7</v>
      </c>
      <c r="E702" s="15">
        <v>661</v>
      </c>
      <c r="F702" s="11" t="s">
        <v>1655</v>
      </c>
      <c r="G702" s="11" t="s">
        <v>166</v>
      </c>
      <c r="H702" s="15" t="s">
        <v>15</v>
      </c>
      <c r="I702" s="15">
        <v>20</v>
      </c>
      <c r="J702" s="12" t="s">
        <v>1656</v>
      </c>
      <c r="K702" s="591">
        <f>(18*26)+(1*10.6)+(1*18.3)</f>
        <v>496.90000000000003</v>
      </c>
      <c r="L702" s="121" t="s">
        <v>2081</v>
      </c>
      <c r="M702" s="132"/>
      <c r="N702" s="133">
        <v>20</v>
      </c>
      <c r="O702" s="119">
        <f t="shared" si="16"/>
        <v>0</v>
      </c>
    </row>
    <row r="703" spans="1:15">
      <c r="A703" s="590" t="s">
        <v>1178</v>
      </c>
      <c r="B703" s="11" t="s">
        <v>150</v>
      </c>
      <c r="C703" s="11">
        <v>50</v>
      </c>
      <c r="D703" s="11" t="s">
        <v>7</v>
      </c>
      <c r="E703" s="15">
        <v>602</v>
      </c>
      <c r="F703" s="11" t="s">
        <v>1863</v>
      </c>
      <c r="G703" s="11" t="s">
        <v>166</v>
      </c>
      <c r="H703" s="15" t="s">
        <v>15</v>
      </c>
      <c r="I703" s="15">
        <v>20</v>
      </c>
      <c r="J703" s="12" t="s">
        <v>1862</v>
      </c>
      <c r="K703" s="591">
        <f>(19*26)+(1*21.7)</f>
        <v>515.70000000000005</v>
      </c>
      <c r="L703" s="121" t="s">
        <v>2055</v>
      </c>
      <c r="M703" s="132">
        <v>1</v>
      </c>
      <c r="N703" s="133">
        <v>20</v>
      </c>
      <c r="O703" s="119">
        <f t="shared" si="16"/>
        <v>0</v>
      </c>
    </row>
    <row r="704" spans="1:15">
      <c r="A704" s="590" t="s">
        <v>1178</v>
      </c>
      <c r="B704" s="11" t="s">
        <v>150</v>
      </c>
      <c r="C704" s="11">
        <v>50</v>
      </c>
      <c r="D704" s="11" t="s">
        <v>7</v>
      </c>
      <c r="E704" s="15">
        <v>603</v>
      </c>
      <c r="F704" s="11" t="s">
        <v>1864</v>
      </c>
      <c r="G704" s="11" t="s">
        <v>166</v>
      </c>
      <c r="H704" s="15" t="s">
        <v>15</v>
      </c>
      <c r="I704" s="15">
        <v>20</v>
      </c>
      <c r="J704" s="12" t="s">
        <v>1862</v>
      </c>
      <c r="K704" s="591">
        <f>(19*26)+(1*21.7)</f>
        <v>515.70000000000005</v>
      </c>
      <c r="L704" s="121" t="s">
        <v>2055</v>
      </c>
      <c r="M704" s="132">
        <v>1</v>
      </c>
      <c r="N704" s="133">
        <v>20</v>
      </c>
      <c r="O704" s="119">
        <f t="shared" si="16"/>
        <v>0</v>
      </c>
    </row>
    <row r="705" spans="1:15">
      <c r="A705" s="77" t="s">
        <v>1119</v>
      </c>
      <c r="B705" s="15" t="s">
        <v>9</v>
      </c>
      <c r="C705" s="15">
        <v>36</v>
      </c>
      <c r="D705" s="15" t="s">
        <v>7</v>
      </c>
      <c r="E705" s="15">
        <v>299</v>
      </c>
      <c r="F705" s="15" t="s">
        <v>180</v>
      </c>
      <c r="G705" s="15" t="s">
        <v>1380</v>
      </c>
      <c r="H705" s="15" t="s">
        <v>5</v>
      </c>
      <c r="I705" s="15">
        <v>10</v>
      </c>
      <c r="J705" s="18" t="s">
        <v>27</v>
      </c>
      <c r="K705" s="589">
        <f>(9*38)+(1*29.4)</f>
        <v>371.4</v>
      </c>
      <c r="L705" s="120" t="s">
        <v>2029</v>
      </c>
      <c r="M705" s="132">
        <v>3</v>
      </c>
      <c r="N705" s="133">
        <v>10</v>
      </c>
      <c r="O705" s="119">
        <f t="shared" si="16"/>
        <v>0</v>
      </c>
    </row>
    <row r="706" spans="1:15">
      <c r="A706" s="590" t="s">
        <v>998</v>
      </c>
      <c r="B706" s="11" t="s">
        <v>9</v>
      </c>
      <c r="C706" s="11">
        <v>39</v>
      </c>
      <c r="D706" s="11" t="s">
        <v>7</v>
      </c>
      <c r="E706" s="15">
        <v>325</v>
      </c>
      <c r="F706" s="11" t="s">
        <v>671</v>
      </c>
      <c r="G706" s="11" t="s">
        <v>1380</v>
      </c>
      <c r="H706" s="15" t="s">
        <v>15</v>
      </c>
      <c r="I706" s="15">
        <v>15</v>
      </c>
      <c r="J706" s="12" t="s">
        <v>97</v>
      </c>
      <c r="K706" s="591">
        <f>(15*38)</f>
        <v>570</v>
      </c>
      <c r="L706" s="120" t="s">
        <v>2082</v>
      </c>
      <c r="M706" s="132">
        <v>13</v>
      </c>
      <c r="N706" s="133">
        <v>15</v>
      </c>
      <c r="O706" s="119">
        <f t="shared" si="16"/>
        <v>0</v>
      </c>
    </row>
    <row r="707" spans="1:15">
      <c r="A707" s="590" t="s">
        <v>998</v>
      </c>
      <c r="B707" s="11" t="s">
        <v>9</v>
      </c>
      <c r="C707" s="11">
        <v>39</v>
      </c>
      <c r="D707" s="11" t="s">
        <v>7</v>
      </c>
      <c r="E707" s="15">
        <v>329</v>
      </c>
      <c r="F707" s="11" t="s">
        <v>1317</v>
      </c>
      <c r="G707" s="11" t="s">
        <v>1380</v>
      </c>
      <c r="H707" s="15" t="s">
        <v>15</v>
      </c>
      <c r="I707" s="15">
        <v>15</v>
      </c>
      <c r="J707" s="12" t="s">
        <v>97</v>
      </c>
      <c r="K707" s="591">
        <f>(15*38)</f>
        <v>570</v>
      </c>
      <c r="L707" s="120" t="s">
        <v>2082</v>
      </c>
      <c r="M707" s="132">
        <v>13</v>
      </c>
      <c r="N707" s="133">
        <v>15</v>
      </c>
      <c r="O707" s="119">
        <f t="shared" ref="O707:O770" si="18">I707-N707</f>
        <v>0</v>
      </c>
    </row>
    <row r="708" spans="1:15">
      <c r="A708" s="590" t="s">
        <v>1156</v>
      </c>
      <c r="B708" s="11" t="s">
        <v>9</v>
      </c>
      <c r="C708" s="11">
        <v>40</v>
      </c>
      <c r="D708" s="11" t="s">
        <v>7</v>
      </c>
      <c r="E708" s="15">
        <v>322</v>
      </c>
      <c r="F708" s="11" t="s">
        <v>1408</v>
      </c>
      <c r="G708" s="11" t="s">
        <v>1380</v>
      </c>
      <c r="H708" s="15" t="s">
        <v>15</v>
      </c>
      <c r="I708" s="15">
        <v>15</v>
      </c>
      <c r="J708" s="12" t="s">
        <v>14</v>
      </c>
      <c r="K708" s="591">
        <f>(14*38)+(1*29.4)</f>
        <v>561.4</v>
      </c>
      <c r="L708" s="121" t="s">
        <v>2033</v>
      </c>
      <c r="M708" s="132">
        <v>5</v>
      </c>
      <c r="N708" s="133">
        <v>15</v>
      </c>
      <c r="O708" s="119">
        <f t="shared" si="18"/>
        <v>0</v>
      </c>
    </row>
    <row r="709" spans="1:15">
      <c r="A709" s="590" t="s">
        <v>1156</v>
      </c>
      <c r="B709" s="11" t="s">
        <v>9</v>
      </c>
      <c r="C709" s="11">
        <v>40</v>
      </c>
      <c r="D709" s="11" t="s">
        <v>7</v>
      </c>
      <c r="E709" s="15">
        <v>327</v>
      </c>
      <c r="F709" s="11" t="s">
        <v>500</v>
      </c>
      <c r="G709" s="11" t="s">
        <v>1380</v>
      </c>
      <c r="H709" s="15" t="s">
        <v>15</v>
      </c>
      <c r="I709" s="15">
        <v>15</v>
      </c>
      <c r="J709" s="12" t="s">
        <v>97</v>
      </c>
      <c r="K709" s="591">
        <f>(15*38)</f>
        <v>570</v>
      </c>
      <c r="L709" s="121" t="s">
        <v>2033</v>
      </c>
      <c r="M709" s="132">
        <v>13</v>
      </c>
      <c r="N709" s="133">
        <v>15</v>
      </c>
      <c r="O709" s="119">
        <f t="shared" si="18"/>
        <v>0</v>
      </c>
    </row>
    <row r="710" spans="1:15">
      <c r="A710" s="590" t="s">
        <v>1975</v>
      </c>
      <c r="B710" s="11" t="s">
        <v>9</v>
      </c>
      <c r="C710" s="11">
        <v>49</v>
      </c>
      <c r="D710" s="11" t="s">
        <v>7</v>
      </c>
      <c r="E710" s="15">
        <v>486</v>
      </c>
      <c r="F710" s="11" t="s">
        <v>1643</v>
      </c>
      <c r="G710" s="11" t="s">
        <v>1380</v>
      </c>
      <c r="H710" s="15" t="s">
        <v>15</v>
      </c>
      <c r="I710" s="15">
        <v>15</v>
      </c>
      <c r="J710" s="12" t="s">
        <v>14</v>
      </c>
      <c r="K710" s="591">
        <f>(14*38)+(1*29.4)</f>
        <v>561.4</v>
      </c>
      <c r="L710" s="121" t="s">
        <v>2100</v>
      </c>
      <c r="M710" s="136"/>
      <c r="N710" s="133">
        <v>15</v>
      </c>
      <c r="O710" s="119">
        <f t="shared" si="18"/>
        <v>0</v>
      </c>
    </row>
    <row r="711" spans="1:15">
      <c r="A711" s="590" t="s">
        <v>1975</v>
      </c>
      <c r="B711" s="11" t="s">
        <v>9</v>
      </c>
      <c r="C711" s="11">
        <v>49</v>
      </c>
      <c r="D711" s="11" t="s">
        <v>7</v>
      </c>
      <c r="E711" s="15">
        <v>487</v>
      </c>
      <c r="F711" s="11" t="s">
        <v>1778</v>
      </c>
      <c r="G711" s="11" t="s">
        <v>1380</v>
      </c>
      <c r="H711" s="15" t="s">
        <v>15</v>
      </c>
      <c r="I711" s="15">
        <v>20</v>
      </c>
      <c r="J711" s="12" t="s">
        <v>157</v>
      </c>
      <c r="K711" s="591">
        <f>(20*38)</f>
        <v>760</v>
      </c>
      <c r="L711" s="121" t="s">
        <v>2055</v>
      </c>
      <c r="M711" s="136">
        <v>3</v>
      </c>
      <c r="N711" s="133">
        <f>10+10</f>
        <v>20</v>
      </c>
      <c r="O711" s="119">
        <f t="shared" si="18"/>
        <v>0</v>
      </c>
    </row>
    <row r="712" spans="1:15">
      <c r="A712" s="590" t="s">
        <v>1146</v>
      </c>
      <c r="B712" s="11" t="s">
        <v>9</v>
      </c>
      <c r="C712" s="11">
        <v>39</v>
      </c>
      <c r="D712" s="11" t="s">
        <v>16</v>
      </c>
      <c r="E712" s="15">
        <v>202</v>
      </c>
      <c r="F712" s="11" t="s">
        <v>730</v>
      </c>
      <c r="G712" s="11" t="s">
        <v>203</v>
      </c>
      <c r="H712" s="15" t="s">
        <v>15</v>
      </c>
      <c r="I712" s="15">
        <v>20</v>
      </c>
      <c r="J712" s="12" t="s">
        <v>17</v>
      </c>
      <c r="K712" s="591">
        <f t="shared" ref="K712:K717" si="19">(19*35)+(1*26.4)</f>
        <v>691.4</v>
      </c>
      <c r="L712" s="121" t="s">
        <v>2082</v>
      </c>
      <c r="M712" s="132">
        <v>15</v>
      </c>
      <c r="N712" s="133">
        <v>20</v>
      </c>
      <c r="O712" s="119">
        <f t="shared" si="18"/>
        <v>0</v>
      </c>
    </row>
    <row r="713" spans="1:15">
      <c r="A713" s="590" t="s">
        <v>1146</v>
      </c>
      <c r="B713" s="11" t="s">
        <v>9</v>
      </c>
      <c r="C713" s="11">
        <v>39</v>
      </c>
      <c r="D713" s="11" t="s">
        <v>16</v>
      </c>
      <c r="E713" s="15">
        <v>203</v>
      </c>
      <c r="F713" s="11" t="s">
        <v>795</v>
      </c>
      <c r="G713" s="11" t="s">
        <v>203</v>
      </c>
      <c r="H713" s="15" t="s">
        <v>15</v>
      </c>
      <c r="I713" s="15">
        <v>20</v>
      </c>
      <c r="J713" s="12" t="s">
        <v>17</v>
      </c>
      <c r="K713" s="591">
        <f t="shared" si="19"/>
        <v>691.4</v>
      </c>
      <c r="L713" s="121" t="s">
        <v>2033</v>
      </c>
      <c r="M713" s="132">
        <v>12</v>
      </c>
      <c r="N713" s="133">
        <v>20</v>
      </c>
      <c r="O713" s="119">
        <f t="shared" si="18"/>
        <v>0</v>
      </c>
    </row>
    <row r="714" spans="1:15">
      <c r="A714" s="590" t="s">
        <v>1146</v>
      </c>
      <c r="B714" s="11" t="s">
        <v>9</v>
      </c>
      <c r="C714" s="11">
        <v>39</v>
      </c>
      <c r="D714" s="11" t="s">
        <v>16</v>
      </c>
      <c r="E714" s="15">
        <v>206</v>
      </c>
      <c r="F714" s="11" t="s">
        <v>467</v>
      </c>
      <c r="G714" s="11" t="s">
        <v>203</v>
      </c>
      <c r="H714" s="15" t="s">
        <v>15</v>
      </c>
      <c r="I714" s="15">
        <v>20</v>
      </c>
      <c r="J714" s="12" t="s">
        <v>17</v>
      </c>
      <c r="K714" s="591">
        <f t="shared" si="19"/>
        <v>691.4</v>
      </c>
      <c r="L714" s="121" t="s">
        <v>2082</v>
      </c>
      <c r="M714" s="132">
        <v>15</v>
      </c>
      <c r="N714" s="133">
        <v>20</v>
      </c>
      <c r="O714" s="119">
        <f t="shared" si="18"/>
        <v>0</v>
      </c>
    </row>
    <row r="715" spans="1:15">
      <c r="A715" s="590" t="s">
        <v>1146</v>
      </c>
      <c r="B715" s="11" t="s">
        <v>9</v>
      </c>
      <c r="C715" s="11">
        <v>39</v>
      </c>
      <c r="D715" s="11" t="s">
        <v>16</v>
      </c>
      <c r="E715" s="15">
        <v>207</v>
      </c>
      <c r="F715" s="11" t="s">
        <v>1587</v>
      </c>
      <c r="G715" s="11" t="s">
        <v>203</v>
      </c>
      <c r="H715" s="15" t="s">
        <v>1518</v>
      </c>
      <c r="I715" s="15">
        <v>20</v>
      </c>
      <c r="J715" s="12" t="s">
        <v>17</v>
      </c>
      <c r="K715" s="591">
        <f t="shared" si="19"/>
        <v>691.4</v>
      </c>
      <c r="L715" s="121" t="s">
        <v>2082</v>
      </c>
      <c r="M715" s="132">
        <v>15</v>
      </c>
      <c r="N715" s="133">
        <v>20</v>
      </c>
      <c r="O715" s="119">
        <f t="shared" si="18"/>
        <v>0</v>
      </c>
    </row>
    <row r="716" spans="1:15">
      <c r="A716" s="590" t="s">
        <v>1146</v>
      </c>
      <c r="B716" s="11" t="s">
        <v>9</v>
      </c>
      <c r="C716" s="11">
        <v>39</v>
      </c>
      <c r="D716" s="11" t="s">
        <v>16</v>
      </c>
      <c r="E716" s="15">
        <v>208</v>
      </c>
      <c r="F716" s="11" t="s">
        <v>1315</v>
      </c>
      <c r="G716" s="11" t="s">
        <v>203</v>
      </c>
      <c r="H716" s="15" t="s">
        <v>1518</v>
      </c>
      <c r="I716" s="15">
        <v>20</v>
      </c>
      <c r="J716" s="12" t="s">
        <v>17</v>
      </c>
      <c r="K716" s="591">
        <f t="shared" si="19"/>
        <v>691.4</v>
      </c>
      <c r="L716" s="121" t="s">
        <v>2082</v>
      </c>
      <c r="M716" s="132">
        <v>15</v>
      </c>
      <c r="N716" s="133">
        <v>20</v>
      </c>
      <c r="O716" s="119">
        <f t="shared" si="18"/>
        <v>0</v>
      </c>
    </row>
    <row r="717" spans="1:15">
      <c r="A717" s="590" t="s">
        <v>1146</v>
      </c>
      <c r="B717" s="11" t="s">
        <v>9</v>
      </c>
      <c r="C717" s="11">
        <v>39</v>
      </c>
      <c r="D717" s="11" t="s">
        <v>16</v>
      </c>
      <c r="E717" s="15">
        <v>209</v>
      </c>
      <c r="F717" s="11" t="s">
        <v>1588</v>
      </c>
      <c r="G717" s="11" t="s">
        <v>203</v>
      </c>
      <c r="H717" s="15" t="s">
        <v>1518</v>
      </c>
      <c r="I717" s="15">
        <v>20</v>
      </c>
      <c r="J717" s="12" t="s">
        <v>17</v>
      </c>
      <c r="K717" s="591">
        <f t="shared" si="19"/>
        <v>691.4</v>
      </c>
      <c r="L717" s="121" t="s">
        <v>2082</v>
      </c>
      <c r="M717" s="132">
        <v>15</v>
      </c>
      <c r="N717" s="133">
        <v>20</v>
      </c>
      <c r="O717" s="119">
        <f t="shared" si="18"/>
        <v>0</v>
      </c>
    </row>
    <row r="718" spans="1:15">
      <c r="A718" s="590" t="s">
        <v>1148</v>
      </c>
      <c r="B718" s="11" t="s">
        <v>9</v>
      </c>
      <c r="C718" s="11">
        <v>39</v>
      </c>
      <c r="D718" s="11" t="s">
        <v>16</v>
      </c>
      <c r="E718" s="15">
        <v>185</v>
      </c>
      <c r="F718" s="11" t="s">
        <v>1596</v>
      </c>
      <c r="G718" s="11" t="s">
        <v>203</v>
      </c>
      <c r="H718" s="15" t="s">
        <v>5</v>
      </c>
      <c r="I718" s="15">
        <v>20</v>
      </c>
      <c r="J718" s="12" t="s">
        <v>110</v>
      </c>
      <c r="K718" s="591">
        <f>(19*32)+(1*23.4)</f>
        <v>631.4</v>
      </c>
      <c r="L718" s="121" t="s">
        <v>2082</v>
      </c>
      <c r="M718" s="132">
        <v>6</v>
      </c>
      <c r="N718" s="133">
        <v>20</v>
      </c>
      <c r="O718" s="119">
        <f t="shared" si="18"/>
        <v>0</v>
      </c>
    </row>
    <row r="719" spans="1:15">
      <c r="A719" s="590" t="s">
        <v>1023</v>
      </c>
      <c r="B719" s="11" t="s">
        <v>9</v>
      </c>
      <c r="C719" s="11">
        <v>40</v>
      </c>
      <c r="D719" s="11" t="s">
        <v>16</v>
      </c>
      <c r="E719" s="15">
        <v>227</v>
      </c>
      <c r="F719" s="11" t="s">
        <v>1736</v>
      </c>
      <c r="G719" s="11" t="s">
        <v>203</v>
      </c>
      <c r="H719" s="15" t="s">
        <v>5</v>
      </c>
      <c r="I719" s="15">
        <v>20</v>
      </c>
      <c r="J719" s="12" t="s">
        <v>110</v>
      </c>
      <c r="K719" s="591">
        <f>(19*32)+(1*23.4)</f>
        <v>631.4</v>
      </c>
      <c r="L719" s="121" t="s">
        <v>2033</v>
      </c>
      <c r="M719" s="132" t="s">
        <v>2047</v>
      </c>
      <c r="N719" s="133">
        <f t="shared" ref="N719:N724" si="20">10+10</f>
        <v>20</v>
      </c>
      <c r="O719" s="119">
        <f t="shared" si="18"/>
        <v>0</v>
      </c>
    </row>
    <row r="720" spans="1:15">
      <c r="A720" s="590" t="s">
        <v>1023</v>
      </c>
      <c r="B720" s="11" t="s">
        <v>9</v>
      </c>
      <c r="C720" s="11">
        <v>40</v>
      </c>
      <c r="D720" s="11" t="s">
        <v>16</v>
      </c>
      <c r="E720" s="15">
        <v>228</v>
      </c>
      <c r="F720" s="11" t="s">
        <v>1737</v>
      </c>
      <c r="G720" s="11" t="s">
        <v>203</v>
      </c>
      <c r="H720" s="15" t="s">
        <v>5</v>
      </c>
      <c r="I720" s="15">
        <v>20</v>
      </c>
      <c r="J720" s="12" t="s">
        <v>17</v>
      </c>
      <c r="K720" s="591">
        <f t="shared" ref="K720:K742" si="21">(19*35)+(1*26.4)</f>
        <v>691.4</v>
      </c>
      <c r="L720" s="121" t="s">
        <v>2033</v>
      </c>
      <c r="M720" s="132">
        <v>4</v>
      </c>
      <c r="N720" s="133">
        <f t="shared" si="20"/>
        <v>20</v>
      </c>
      <c r="O720" s="119">
        <f t="shared" si="18"/>
        <v>0</v>
      </c>
    </row>
    <row r="721" spans="1:15">
      <c r="A721" s="590" t="s">
        <v>1023</v>
      </c>
      <c r="B721" s="11" t="s">
        <v>9</v>
      </c>
      <c r="C721" s="11">
        <v>40</v>
      </c>
      <c r="D721" s="11" t="s">
        <v>16</v>
      </c>
      <c r="E721" s="15">
        <v>229</v>
      </c>
      <c r="F721" s="11" t="s">
        <v>1738</v>
      </c>
      <c r="G721" s="11" t="s">
        <v>203</v>
      </c>
      <c r="H721" s="15" t="s">
        <v>5</v>
      </c>
      <c r="I721" s="15">
        <v>20</v>
      </c>
      <c r="J721" s="12" t="s">
        <v>17</v>
      </c>
      <c r="K721" s="591">
        <f t="shared" si="21"/>
        <v>691.4</v>
      </c>
      <c r="L721" s="121" t="s">
        <v>2033</v>
      </c>
      <c r="M721" s="132" t="s">
        <v>2035</v>
      </c>
      <c r="N721" s="133">
        <f t="shared" si="20"/>
        <v>20</v>
      </c>
      <c r="O721" s="119">
        <f t="shared" si="18"/>
        <v>0</v>
      </c>
    </row>
    <row r="722" spans="1:15">
      <c r="A722" s="590" t="s">
        <v>1023</v>
      </c>
      <c r="B722" s="11" t="s">
        <v>9</v>
      </c>
      <c r="C722" s="11">
        <v>40</v>
      </c>
      <c r="D722" s="11" t="s">
        <v>16</v>
      </c>
      <c r="E722" s="15">
        <v>230</v>
      </c>
      <c r="F722" s="11" t="s">
        <v>796</v>
      </c>
      <c r="G722" s="11" t="s">
        <v>203</v>
      </c>
      <c r="H722" s="15" t="s">
        <v>5</v>
      </c>
      <c r="I722" s="15">
        <v>20</v>
      </c>
      <c r="J722" s="12" t="s">
        <v>17</v>
      </c>
      <c r="K722" s="591">
        <f t="shared" si="21"/>
        <v>691.4</v>
      </c>
      <c r="L722" s="121" t="s">
        <v>2033</v>
      </c>
      <c r="M722" s="132">
        <v>4</v>
      </c>
      <c r="N722" s="138">
        <f t="shared" si="20"/>
        <v>20</v>
      </c>
      <c r="O722" s="119">
        <f t="shared" si="18"/>
        <v>0</v>
      </c>
    </row>
    <row r="723" spans="1:15">
      <c r="A723" s="590" t="s">
        <v>1023</v>
      </c>
      <c r="B723" s="11" t="s">
        <v>9</v>
      </c>
      <c r="C723" s="11">
        <v>40</v>
      </c>
      <c r="D723" s="11" t="s">
        <v>16</v>
      </c>
      <c r="E723" s="15">
        <v>231</v>
      </c>
      <c r="F723" s="11" t="s">
        <v>1739</v>
      </c>
      <c r="G723" s="11" t="s">
        <v>203</v>
      </c>
      <c r="H723" s="15" t="s">
        <v>5</v>
      </c>
      <c r="I723" s="15">
        <v>20</v>
      </c>
      <c r="J723" s="12" t="s">
        <v>17</v>
      </c>
      <c r="K723" s="591">
        <f t="shared" si="21"/>
        <v>691.4</v>
      </c>
      <c r="L723" s="121" t="s">
        <v>2033</v>
      </c>
      <c r="M723" s="132" t="s">
        <v>2038</v>
      </c>
      <c r="N723" s="133">
        <f t="shared" si="20"/>
        <v>20</v>
      </c>
      <c r="O723" s="119">
        <f t="shared" si="18"/>
        <v>0</v>
      </c>
    </row>
    <row r="724" spans="1:15">
      <c r="A724" s="590" t="s">
        <v>1023</v>
      </c>
      <c r="B724" s="11" t="s">
        <v>9</v>
      </c>
      <c r="C724" s="11">
        <v>40</v>
      </c>
      <c r="D724" s="11" t="s">
        <v>16</v>
      </c>
      <c r="E724" s="15">
        <v>250</v>
      </c>
      <c r="F724" s="11" t="s">
        <v>1740</v>
      </c>
      <c r="G724" s="11" t="s">
        <v>203</v>
      </c>
      <c r="H724" s="15" t="s">
        <v>15</v>
      </c>
      <c r="I724" s="15">
        <v>20</v>
      </c>
      <c r="J724" s="12" t="s">
        <v>17</v>
      </c>
      <c r="K724" s="591">
        <f t="shared" si="21"/>
        <v>691.4</v>
      </c>
      <c r="L724" s="121" t="s">
        <v>2033</v>
      </c>
      <c r="M724" s="132" t="s">
        <v>2053</v>
      </c>
      <c r="N724" s="133">
        <f t="shared" si="20"/>
        <v>20</v>
      </c>
      <c r="O724" s="119">
        <f t="shared" si="18"/>
        <v>0</v>
      </c>
    </row>
    <row r="725" spans="1:15">
      <c r="A725" s="590" t="s">
        <v>1023</v>
      </c>
      <c r="B725" s="11" t="s">
        <v>9</v>
      </c>
      <c r="C725" s="11">
        <v>40</v>
      </c>
      <c r="D725" s="11" t="s">
        <v>16</v>
      </c>
      <c r="E725" s="15">
        <v>251</v>
      </c>
      <c r="F725" s="11" t="s">
        <v>1741</v>
      </c>
      <c r="G725" s="11" t="s">
        <v>203</v>
      </c>
      <c r="H725" s="15" t="s">
        <v>15</v>
      </c>
      <c r="I725" s="15">
        <v>20</v>
      </c>
      <c r="J725" s="12" t="s">
        <v>17</v>
      </c>
      <c r="K725" s="591">
        <f t="shared" si="21"/>
        <v>691.4</v>
      </c>
      <c r="L725" s="121" t="s">
        <v>2033</v>
      </c>
      <c r="M725" s="132">
        <v>6</v>
      </c>
      <c r="N725" s="130">
        <v>20</v>
      </c>
      <c r="O725" s="119">
        <f t="shared" si="18"/>
        <v>0</v>
      </c>
    </row>
    <row r="726" spans="1:15">
      <c r="A726" s="590" t="s">
        <v>1023</v>
      </c>
      <c r="B726" s="11" t="s">
        <v>9</v>
      </c>
      <c r="C726" s="11">
        <v>40</v>
      </c>
      <c r="D726" s="11" t="s">
        <v>16</v>
      </c>
      <c r="E726" s="15">
        <v>252</v>
      </c>
      <c r="F726" s="11" t="s">
        <v>822</v>
      </c>
      <c r="G726" s="11" t="s">
        <v>203</v>
      </c>
      <c r="H726" s="15" t="s">
        <v>15</v>
      </c>
      <c r="I726" s="15">
        <v>20</v>
      </c>
      <c r="J726" s="12" t="s">
        <v>17</v>
      </c>
      <c r="K726" s="591">
        <f t="shared" si="21"/>
        <v>691.4</v>
      </c>
      <c r="L726" s="121" t="s">
        <v>2033</v>
      </c>
      <c r="M726" s="132" t="s">
        <v>2035</v>
      </c>
      <c r="N726" s="133">
        <f>10+10</f>
        <v>20</v>
      </c>
      <c r="O726" s="119">
        <f t="shared" si="18"/>
        <v>0</v>
      </c>
    </row>
    <row r="727" spans="1:15">
      <c r="A727" s="590" t="s">
        <v>1172</v>
      </c>
      <c r="B727" s="11" t="s">
        <v>9</v>
      </c>
      <c r="C727" s="11">
        <v>46</v>
      </c>
      <c r="D727" s="11" t="s">
        <v>16</v>
      </c>
      <c r="E727" s="15">
        <v>234</v>
      </c>
      <c r="F727" s="11" t="s">
        <v>1802</v>
      </c>
      <c r="G727" s="11" t="s">
        <v>203</v>
      </c>
      <c r="H727" s="15" t="s">
        <v>15</v>
      </c>
      <c r="I727" s="15">
        <v>20</v>
      </c>
      <c r="J727" s="12" t="s">
        <v>17</v>
      </c>
      <c r="K727" s="591">
        <f t="shared" si="21"/>
        <v>691.4</v>
      </c>
      <c r="L727" s="121" t="s">
        <v>2082</v>
      </c>
      <c r="M727" s="132">
        <v>11</v>
      </c>
      <c r="N727" s="133">
        <f>10+10</f>
        <v>20</v>
      </c>
      <c r="O727" s="119">
        <f t="shared" si="18"/>
        <v>0</v>
      </c>
    </row>
    <row r="728" spans="1:15">
      <c r="A728" s="590" t="s">
        <v>1172</v>
      </c>
      <c r="B728" s="11" t="s">
        <v>9</v>
      </c>
      <c r="C728" s="11">
        <v>46</v>
      </c>
      <c r="D728" s="11" t="s">
        <v>16</v>
      </c>
      <c r="E728" s="15">
        <v>235</v>
      </c>
      <c r="F728" s="11" t="s">
        <v>1803</v>
      </c>
      <c r="G728" s="11" t="s">
        <v>203</v>
      </c>
      <c r="H728" s="15" t="s">
        <v>15</v>
      </c>
      <c r="I728" s="15">
        <v>20</v>
      </c>
      <c r="J728" s="12" t="s">
        <v>17</v>
      </c>
      <c r="K728" s="591">
        <f t="shared" si="21"/>
        <v>691.4</v>
      </c>
      <c r="L728" s="121" t="s">
        <v>2029</v>
      </c>
      <c r="M728" s="132">
        <v>4</v>
      </c>
      <c r="N728" s="133">
        <f>10+10</f>
        <v>20</v>
      </c>
      <c r="O728" s="119">
        <f t="shared" si="18"/>
        <v>0</v>
      </c>
    </row>
    <row r="729" spans="1:15">
      <c r="A729" s="590" t="s">
        <v>1172</v>
      </c>
      <c r="B729" s="11" t="s">
        <v>9</v>
      </c>
      <c r="C729" s="11">
        <v>46</v>
      </c>
      <c r="D729" s="11" t="s">
        <v>16</v>
      </c>
      <c r="E729" s="15">
        <v>237</v>
      </c>
      <c r="F729" s="11" t="s">
        <v>1804</v>
      </c>
      <c r="G729" s="11" t="s">
        <v>203</v>
      </c>
      <c r="H729" s="15" t="s">
        <v>15</v>
      </c>
      <c r="I729" s="15">
        <v>20</v>
      </c>
      <c r="J729" s="12" t="s">
        <v>17</v>
      </c>
      <c r="K729" s="591">
        <f t="shared" si="21"/>
        <v>691.4</v>
      </c>
      <c r="L729" s="121" t="s">
        <v>2029</v>
      </c>
      <c r="M729" s="132">
        <v>4</v>
      </c>
      <c r="N729" s="133">
        <v>20</v>
      </c>
      <c r="O729" s="119">
        <f t="shared" si="18"/>
        <v>0</v>
      </c>
    </row>
    <row r="730" spans="1:15">
      <c r="A730" s="590" t="s">
        <v>1172</v>
      </c>
      <c r="B730" s="11" t="s">
        <v>9</v>
      </c>
      <c r="C730" s="11">
        <v>46</v>
      </c>
      <c r="D730" s="11" t="s">
        <v>16</v>
      </c>
      <c r="E730" s="15">
        <v>238</v>
      </c>
      <c r="F730" s="11" t="s">
        <v>1805</v>
      </c>
      <c r="G730" s="11" t="s">
        <v>203</v>
      </c>
      <c r="H730" s="15" t="s">
        <v>15</v>
      </c>
      <c r="I730" s="15">
        <v>20</v>
      </c>
      <c r="J730" s="12" t="s">
        <v>17</v>
      </c>
      <c r="K730" s="591">
        <f t="shared" si="21"/>
        <v>691.4</v>
      </c>
      <c r="L730" s="121" t="s">
        <v>2029</v>
      </c>
      <c r="M730" s="132">
        <v>4</v>
      </c>
      <c r="N730" s="133">
        <v>20</v>
      </c>
      <c r="O730" s="119">
        <f t="shared" si="18"/>
        <v>0</v>
      </c>
    </row>
    <row r="731" spans="1:15">
      <c r="A731" s="590" t="s">
        <v>1194</v>
      </c>
      <c r="B731" s="11" t="s">
        <v>9</v>
      </c>
      <c r="C731" s="11">
        <v>47</v>
      </c>
      <c r="D731" s="11" t="s">
        <v>16</v>
      </c>
      <c r="E731" s="15">
        <v>294</v>
      </c>
      <c r="F731" s="11" t="s">
        <v>1935</v>
      </c>
      <c r="G731" s="11" t="s">
        <v>203</v>
      </c>
      <c r="H731" s="15" t="s">
        <v>15</v>
      </c>
      <c r="I731" s="15">
        <v>20</v>
      </c>
      <c r="J731" s="12" t="s">
        <v>17</v>
      </c>
      <c r="K731" s="591">
        <f t="shared" si="21"/>
        <v>691.4</v>
      </c>
      <c r="L731" s="121" t="s">
        <v>2082</v>
      </c>
      <c r="M731" s="136">
        <v>12</v>
      </c>
      <c r="N731" s="133">
        <f>10+10</f>
        <v>20</v>
      </c>
      <c r="O731" s="119">
        <f t="shared" si="18"/>
        <v>0</v>
      </c>
    </row>
    <row r="732" spans="1:15">
      <c r="A732" s="590" t="s">
        <v>1194</v>
      </c>
      <c r="B732" s="11" t="s">
        <v>9</v>
      </c>
      <c r="C732" s="11">
        <v>47</v>
      </c>
      <c r="D732" s="11" t="s">
        <v>16</v>
      </c>
      <c r="E732" s="15">
        <v>297</v>
      </c>
      <c r="F732" s="11" t="s">
        <v>1936</v>
      </c>
      <c r="G732" s="11" t="s">
        <v>203</v>
      </c>
      <c r="H732" s="15" t="s">
        <v>15</v>
      </c>
      <c r="I732" s="15">
        <v>20</v>
      </c>
      <c r="J732" s="12" t="s">
        <v>17</v>
      </c>
      <c r="K732" s="591">
        <f t="shared" si="21"/>
        <v>691.4</v>
      </c>
      <c r="L732" s="121" t="s">
        <v>2082</v>
      </c>
      <c r="M732" s="136" t="s">
        <v>2053</v>
      </c>
      <c r="N732" s="133">
        <f>10+10</f>
        <v>20</v>
      </c>
      <c r="O732" s="119">
        <f t="shared" si="18"/>
        <v>0</v>
      </c>
    </row>
    <row r="733" spans="1:15">
      <c r="A733" s="590" t="s">
        <v>1194</v>
      </c>
      <c r="B733" s="11" t="s">
        <v>9</v>
      </c>
      <c r="C733" s="11">
        <v>47</v>
      </c>
      <c r="D733" s="11" t="s">
        <v>16</v>
      </c>
      <c r="E733" s="15">
        <v>298</v>
      </c>
      <c r="F733" s="11" t="s">
        <v>1937</v>
      </c>
      <c r="G733" s="11" t="s">
        <v>203</v>
      </c>
      <c r="H733" s="15" t="s">
        <v>15</v>
      </c>
      <c r="I733" s="15">
        <v>20</v>
      </c>
      <c r="J733" s="12" t="s">
        <v>17</v>
      </c>
      <c r="K733" s="591">
        <f t="shared" si="21"/>
        <v>691.4</v>
      </c>
      <c r="L733" s="121" t="s">
        <v>2082</v>
      </c>
      <c r="M733" s="136">
        <v>11</v>
      </c>
      <c r="N733" s="133">
        <f>10+10</f>
        <v>20</v>
      </c>
      <c r="O733" s="119">
        <f t="shared" si="18"/>
        <v>0</v>
      </c>
    </row>
    <row r="734" spans="1:15">
      <c r="A734" s="590" t="s">
        <v>1973</v>
      </c>
      <c r="B734" s="11" t="s">
        <v>9</v>
      </c>
      <c r="C734" s="11">
        <v>48</v>
      </c>
      <c r="D734" s="11" t="s">
        <v>16</v>
      </c>
      <c r="E734" s="15">
        <v>286</v>
      </c>
      <c r="F734" s="11" t="s">
        <v>1966</v>
      </c>
      <c r="G734" s="11" t="s">
        <v>203</v>
      </c>
      <c r="H734" s="15" t="s">
        <v>15</v>
      </c>
      <c r="I734" s="15">
        <v>20</v>
      </c>
      <c r="J734" s="12" t="s">
        <v>17</v>
      </c>
      <c r="K734" s="591">
        <f t="shared" si="21"/>
        <v>691.4</v>
      </c>
      <c r="L734" s="121" t="s">
        <v>2082</v>
      </c>
      <c r="M734" s="136">
        <v>1</v>
      </c>
      <c r="N734" s="133">
        <v>20</v>
      </c>
      <c r="O734" s="119">
        <f t="shared" si="18"/>
        <v>0</v>
      </c>
    </row>
    <row r="735" spans="1:15">
      <c r="A735" s="590" t="s">
        <v>1973</v>
      </c>
      <c r="B735" s="11" t="s">
        <v>9</v>
      </c>
      <c r="C735" s="11">
        <v>48</v>
      </c>
      <c r="D735" s="11" t="s">
        <v>16</v>
      </c>
      <c r="E735" s="15">
        <v>296</v>
      </c>
      <c r="F735" s="11" t="s">
        <v>1987</v>
      </c>
      <c r="G735" s="11" t="s">
        <v>203</v>
      </c>
      <c r="H735" s="15" t="s">
        <v>15</v>
      </c>
      <c r="I735" s="15">
        <v>20</v>
      </c>
      <c r="J735" s="12" t="s">
        <v>17</v>
      </c>
      <c r="K735" s="591">
        <f t="shared" si="21"/>
        <v>691.4</v>
      </c>
      <c r="L735" s="121" t="s">
        <v>2082</v>
      </c>
      <c r="M735" s="136">
        <v>1</v>
      </c>
      <c r="N735" s="133">
        <v>20</v>
      </c>
      <c r="O735" s="119">
        <f t="shared" si="18"/>
        <v>0</v>
      </c>
    </row>
    <row r="736" spans="1:15">
      <c r="A736" s="590" t="s">
        <v>1973</v>
      </c>
      <c r="B736" s="11" t="s">
        <v>9</v>
      </c>
      <c r="C736" s="11">
        <v>48</v>
      </c>
      <c r="D736" s="11" t="s">
        <v>16</v>
      </c>
      <c r="E736" s="15">
        <v>297</v>
      </c>
      <c r="F736" s="11" t="s">
        <v>1988</v>
      </c>
      <c r="G736" s="11" t="s">
        <v>203</v>
      </c>
      <c r="H736" s="15" t="s">
        <v>15</v>
      </c>
      <c r="I736" s="15">
        <v>20</v>
      </c>
      <c r="J736" s="12" t="s">
        <v>17</v>
      </c>
      <c r="K736" s="591">
        <f t="shared" si="21"/>
        <v>691.4</v>
      </c>
      <c r="L736" s="121" t="s">
        <v>2082</v>
      </c>
      <c r="M736" s="136">
        <v>1</v>
      </c>
      <c r="N736" s="133">
        <v>20</v>
      </c>
      <c r="O736" s="119">
        <f t="shared" si="18"/>
        <v>0</v>
      </c>
    </row>
    <row r="737" spans="1:15">
      <c r="A737" s="590" t="s">
        <v>1973</v>
      </c>
      <c r="B737" s="11" t="s">
        <v>9</v>
      </c>
      <c r="C737" s="11">
        <v>48</v>
      </c>
      <c r="D737" s="11" t="s">
        <v>16</v>
      </c>
      <c r="E737" s="15">
        <v>307</v>
      </c>
      <c r="F737" s="11" t="s">
        <v>1944</v>
      </c>
      <c r="G737" s="11" t="s">
        <v>203</v>
      </c>
      <c r="H737" s="15" t="s">
        <v>15</v>
      </c>
      <c r="I737" s="15">
        <v>20</v>
      </c>
      <c r="J737" s="12" t="s">
        <v>17</v>
      </c>
      <c r="K737" s="591">
        <f t="shared" si="21"/>
        <v>691.4</v>
      </c>
      <c r="L737" s="121" t="s">
        <v>2082</v>
      </c>
      <c r="M737" s="136">
        <v>1</v>
      </c>
      <c r="N737" s="133">
        <v>20</v>
      </c>
      <c r="O737" s="119">
        <f t="shared" si="18"/>
        <v>0</v>
      </c>
    </row>
    <row r="738" spans="1:15">
      <c r="A738" s="590" t="s">
        <v>1973</v>
      </c>
      <c r="B738" s="11" t="s">
        <v>9</v>
      </c>
      <c r="C738" s="11">
        <v>48</v>
      </c>
      <c r="D738" s="11" t="s">
        <v>16</v>
      </c>
      <c r="E738" s="15">
        <v>308</v>
      </c>
      <c r="F738" s="11" t="s">
        <v>1989</v>
      </c>
      <c r="G738" s="11" t="s">
        <v>203</v>
      </c>
      <c r="H738" s="15" t="s">
        <v>15</v>
      </c>
      <c r="I738" s="15">
        <v>20</v>
      </c>
      <c r="J738" s="12" t="s">
        <v>17</v>
      </c>
      <c r="K738" s="591">
        <f t="shared" si="21"/>
        <v>691.4</v>
      </c>
      <c r="L738" s="121" t="s">
        <v>2082</v>
      </c>
      <c r="M738" s="136">
        <v>1</v>
      </c>
      <c r="N738" s="133">
        <v>20</v>
      </c>
      <c r="O738" s="119">
        <f t="shared" si="18"/>
        <v>0</v>
      </c>
    </row>
    <row r="739" spans="1:15">
      <c r="A739" s="590" t="s">
        <v>1973</v>
      </c>
      <c r="B739" s="11" t="s">
        <v>9</v>
      </c>
      <c r="C739" s="11">
        <v>48</v>
      </c>
      <c r="D739" s="11" t="s">
        <v>16</v>
      </c>
      <c r="E739" s="15">
        <v>315</v>
      </c>
      <c r="F739" s="11" t="s">
        <v>1847</v>
      </c>
      <c r="G739" s="11" t="s">
        <v>203</v>
      </c>
      <c r="H739" s="15" t="s">
        <v>15</v>
      </c>
      <c r="I739" s="15">
        <v>20</v>
      </c>
      <c r="J739" s="12" t="s">
        <v>17</v>
      </c>
      <c r="K739" s="591">
        <f t="shared" si="21"/>
        <v>691.4</v>
      </c>
      <c r="L739" s="121" t="s">
        <v>2082</v>
      </c>
      <c r="M739" s="136">
        <v>1</v>
      </c>
      <c r="N739" s="133">
        <v>20</v>
      </c>
      <c r="O739" s="119">
        <f t="shared" si="18"/>
        <v>0</v>
      </c>
    </row>
    <row r="740" spans="1:15">
      <c r="A740" s="77" t="s">
        <v>973</v>
      </c>
      <c r="B740" s="15" t="s">
        <v>9</v>
      </c>
      <c r="C740" s="15">
        <v>37</v>
      </c>
      <c r="D740" s="15" t="s">
        <v>10</v>
      </c>
      <c r="E740" s="15">
        <v>401</v>
      </c>
      <c r="F740" s="15" t="s">
        <v>1397</v>
      </c>
      <c r="G740" s="15" t="s">
        <v>161</v>
      </c>
      <c r="H740" s="15" t="s">
        <v>5</v>
      </c>
      <c r="I740" s="15">
        <v>20</v>
      </c>
      <c r="J740" s="18" t="s">
        <v>17</v>
      </c>
      <c r="K740" s="589">
        <f t="shared" si="21"/>
        <v>691.4</v>
      </c>
      <c r="L740" s="121" t="s">
        <v>2082</v>
      </c>
      <c r="M740" s="132">
        <v>8</v>
      </c>
      <c r="N740" s="133">
        <f>10+10</f>
        <v>20</v>
      </c>
      <c r="O740" s="119">
        <f t="shared" si="18"/>
        <v>0</v>
      </c>
    </row>
    <row r="741" spans="1:15">
      <c r="A741" s="590" t="s">
        <v>976</v>
      </c>
      <c r="B741" s="11" t="s">
        <v>9</v>
      </c>
      <c r="C741" s="11">
        <v>38</v>
      </c>
      <c r="D741" s="11" t="s">
        <v>10</v>
      </c>
      <c r="E741" s="11">
        <v>382</v>
      </c>
      <c r="F741" s="11" t="s">
        <v>474</v>
      </c>
      <c r="G741" s="11" t="s">
        <v>161</v>
      </c>
      <c r="H741" s="11" t="s">
        <v>1518</v>
      </c>
      <c r="I741" s="11">
        <v>20</v>
      </c>
      <c r="J741" s="12" t="s">
        <v>17</v>
      </c>
      <c r="K741" s="591">
        <f t="shared" si="21"/>
        <v>691.4</v>
      </c>
      <c r="L741" s="121" t="s">
        <v>2082</v>
      </c>
      <c r="M741" s="132">
        <v>6</v>
      </c>
      <c r="N741" s="133">
        <v>20</v>
      </c>
      <c r="O741" s="119">
        <f t="shared" si="18"/>
        <v>0</v>
      </c>
    </row>
    <row r="742" spans="1:15">
      <c r="A742" s="590" t="s">
        <v>998</v>
      </c>
      <c r="B742" s="11" t="s">
        <v>9</v>
      </c>
      <c r="C742" s="11">
        <v>39</v>
      </c>
      <c r="D742" s="11" t="s">
        <v>7</v>
      </c>
      <c r="E742" s="15">
        <v>476</v>
      </c>
      <c r="F742" s="11" t="s">
        <v>574</v>
      </c>
      <c r="G742" s="11" t="s">
        <v>161</v>
      </c>
      <c r="H742" s="15" t="s">
        <v>19</v>
      </c>
      <c r="I742" s="15">
        <v>20</v>
      </c>
      <c r="J742" s="12" t="s">
        <v>17</v>
      </c>
      <c r="K742" s="591">
        <f t="shared" si="21"/>
        <v>691.4</v>
      </c>
      <c r="L742" s="120" t="s">
        <v>2082</v>
      </c>
      <c r="M742" s="132">
        <v>6</v>
      </c>
      <c r="N742" s="133">
        <f>10+10</f>
        <v>20</v>
      </c>
      <c r="O742" s="119">
        <f t="shared" si="18"/>
        <v>0</v>
      </c>
    </row>
    <row r="743" spans="1:15">
      <c r="A743" s="590" t="s">
        <v>998</v>
      </c>
      <c r="B743" s="11" t="s">
        <v>9</v>
      </c>
      <c r="C743" s="11">
        <v>39</v>
      </c>
      <c r="D743" s="11" t="s">
        <v>7</v>
      </c>
      <c r="E743" s="15">
        <v>477</v>
      </c>
      <c r="F743" s="11" t="s">
        <v>499</v>
      </c>
      <c r="G743" s="11" t="s">
        <v>161</v>
      </c>
      <c r="H743" s="15" t="s">
        <v>5</v>
      </c>
      <c r="I743" s="15">
        <v>10</v>
      </c>
      <c r="J743" s="12" t="s">
        <v>11</v>
      </c>
      <c r="K743" s="591">
        <f>(9*35)+(1*26.4)</f>
        <v>341.4</v>
      </c>
      <c r="L743" s="120" t="s">
        <v>2082</v>
      </c>
      <c r="M743" s="132">
        <v>10</v>
      </c>
      <c r="N743" s="133">
        <v>10</v>
      </c>
      <c r="O743" s="119">
        <f t="shared" si="18"/>
        <v>0</v>
      </c>
    </row>
    <row r="744" spans="1:15">
      <c r="A744" s="590" t="s">
        <v>1174</v>
      </c>
      <c r="B744" s="11" t="s">
        <v>9</v>
      </c>
      <c r="C744" s="11">
        <v>46</v>
      </c>
      <c r="D744" s="11" t="s">
        <v>10</v>
      </c>
      <c r="E744" s="15">
        <v>403</v>
      </c>
      <c r="F744" s="11" t="s">
        <v>578</v>
      </c>
      <c r="G744" s="11" t="s">
        <v>161</v>
      </c>
      <c r="H744" s="15" t="s">
        <v>5</v>
      </c>
      <c r="I744" s="15">
        <v>20</v>
      </c>
      <c r="J744" s="12" t="s">
        <v>17</v>
      </c>
      <c r="K744" s="591">
        <f>(19*35)+(1*26.4)</f>
        <v>691.4</v>
      </c>
      <c r="L744" s="121" t="s">
        <v>2082</v>
      </c>
      <c r="M744" s="132" t="s">
        <v>2105</v>
      </c>
      <c r="N744" s="133">
        <v>20</v>
      </c>
      <c r="O744" s="630">
        <f t="shared" si="18"/>
        <v>0</v>
      </c>
    </row>
    <row r="745" spans="1:15">
      <c r="A745" s="590" t="s">
        <v>1174</v>
      </c>
      <c r="B745" s="11" t="s">
        <v>9</v>
      </c>
      <c r="C745" s="11">
        <v>47</v>
      </c>
      <c r="D745" s="11" t="s">
        <v>10</v>
      </c>
      <c r="E745" s="15">
        <v>461</v>
      </c>
      <c r="F745" s="11" t="s">
        <v>472</v>
      </c>
      <c r="G745" s="11" t="s">
        <v>161</v>
      </c>
      <c r="H745" s="15" t="s">
        <v>5</v>
      </c>
      <c r="I745" s="15">
        <v>20</v>
      </c>
      <c r="J745" s="12" t="s">
        <v>17</v>
      </c>
      <c r="K745" s="591">
        <f>(19*35)+(1*26.4)</f>
        <v>691.4</v>
      </c>
      <c r="L745" s="121" t="s">
        <v>2082</v>
      </c>
      <c r="M745" s="132">
        <v>9</v>
      </c>
      <c r="N745" s="133">
        <f>10+10</f>
        <v>20</v>
      </c>
      <c r="O745" s="119">
        <f t="shared" si="18"/>
        <v>0</v>
      </c>
    </row>
    <row r="746" spans="1:15">
      <c r="A746" s="590" t="s">
        <v>1192</v>
      </c>
      <c r="B746" s="11" t="s">
        <v>9</v>
      </c>
      <c r="C746" s="11">
        <v>49</v>
      </c>
      <c r="D746" s="11" t="s">
        <v>7</v>
      </c>
      <c r="E746" s="15">
        <v>781</v>
      </c>
      <c r="F746" s="11" t="s">
        <v>1921</v>
      </c>
      <c r="G746" s="11" t="s">
        <v>161</v>
      </c>
      <c r="H746" s="15" t="s">
        <v>15</v>
      </c>
      <c r="I746" s="15">
        <v>20</v>
      </c>
      <c r="J746" s="12" t="s">
        <v>17</v>
      </c>
      <c r="K746" s="591">
        <f>(19*35)+(1*26.4)</f>
        <v>691.4</v>
      </c>
      <c r="L746" s="121" t="s">
        <v>2082</v>
      </c>
      <c r="M746" s="136">
        <v>9</v>
      </c>
      <c r="N746" s="133">
        <v>20</v>
      </c>
      <c r="O746" s="119">
        <f t="shared" si="18"/>
        <v>0</v>
      </c>
    </row>
    <row r="747" spans="1:15">
      <c r="A747" s="590" t="s">
        <v>1973</v>
      </c>
      <c r="B747" s="11" t="s">
        <v>9</v>
      </c>
      <c r="C747" s="11">
        <v>48</v>
      </c>
      <c r="D747" s="11" t="s">
        <v>10</v>
      </c>
      <c r="E747" s="15">
        <v>525</v>
      </c>
      <c r="F747" s="11" t="s">
        <v>90</v>
      </c>
      <c r="G747" s="11" t="s">
        <v>161</v>
      </c>
      <c r="H747" s="15" t="s">
        <v>15</v>
      </c>
      <c r="I747" s="15">
        <v>15</v>
      </c>
      <c r="J747" s="12" t="s">
        <v>13</v>
      </c>
      <c r="K747" s="591">
        <f>(14*35)+(1*26.4)</f>
        <v>516.4</v>
      </c>
      <c r="L747" s="121" t="s">
        <v>2033</v>
      </c>
      <c r="M747" s="136">
        <v>11</v>
      </c>
      <c r="N747" s="133">
        <f>7+8</f>
        <v>15</v>
      </c>
      <c r="O747" s="119">
        <f t="shared" si="18"/>
        <v>0</v>
      </c>
    </row>
    <row r="748" spans="1:15">
      <c r="A748" s="590" t="s">
        <v>1975</v>
      </c>
      <c r="B748" s="11" t="s">
        <v>9</v>
      </c>
      <c r="C748" s="11">
        <v>49</v>
      </c>
      <c r="D748" s="11" t="s">
        <v>10</v>
      </c>
      <c r="E748" s="15">
        <v>436</v>
      </c>
      <c r="F748" s="11" t="s">
        <v>2018</v>
      </c>
      <c r="G748" s="11" t="s">
        <v>161</v>
      </c>
      <c r="H748" s="15" t="s">
        <v>5</v>
      </c>
      <c r="I748" s="15">
        <v>15</v>
      </c>
      <c r="J748" s="12" t="s">
        <v>13</v>
      </c>
      <c r="K748" s="591">
        <f>(14*35)+(1*26.4)</f>
        <v>516.4</v>
      </c>
      <c r="L748" s="121" t="s">
        <v>2033</v>
      </c>
      <c r="M748" s="136">
        <v>4</v>
      </c>
      <c r="N748" s="133">
        <v>15</v>
      </c>
      <c r="O748" s="119">
        <f t="shared" si="18"/>
        <v>0</v>
      </c>
    </row>
    <row r="749" spans="1:15">
      <c r="A749" s="590" t="s">
        <v>1975</v>
      </c>
      <c r="B749" s="11" t="s">
        <v>9</v>
      </c>
      <c r="C749" s="11">
        <v>49</v>
      </c>
      <c r="D749" s="11" t="s">
        <v>10</v>
      </c>
      <c r="E749" s="15">
        <v>437</v>
      </c>
      <c r="F749" s="11" t="s">
        <v>70</v>
      </c>
      <c r="G749" s="11" t="s">
        <v>161</v>
      </c>
      <c r="H749" s="15" t="s">
        <v>5</v>
      </c>
      <c r="I749" s="15">
        <v>30</v>
      </c>
      <c r="J749" s="12" t="s">
        <v>12</v>
      </c>
      <c r="K749" s="591">
        <f>(29*35)+(1*26.4)</f>
        <v>1041.4000000000001</v>
      </c>
      <c r="L749" s="121" t="s">
        <v>2033</v>
      </c>
      <c r="M749" s="136">
        <v>4</v>
      </c>
      <c r="N749" s="133">
        <v>30</v>
      </c>
      <c r="O749" s="119">
        <f t="shared" si="18"/>
        <v>0</v>
      </c>
    </row>
    <row r="750" spans="1:15">
      <c r="A750" s="590" t="s">
        <v>1975</v>
      </c>
      <c r="B750" s="11" t="s">
        <v>9</v>
      </c>
      <c r="C750" s="11">
        <v>49</v>
      </c>
      <c r="D750" s="11" t="s">
        <v>10</v>
      </c>
      <c r="E750" s="15">
        <v>438</v>
      </c>
      <c r="F750" s="11" t="s">
        <v>2019</v>
      </c>
      <c r="G750" s="11" t="s">
        <v>161</v>
      </c>
      <c r="H750" s="15" t="s">
        <v>5</v>
      </c>
      <c r="I750" s="15">
        <v>20</v>
      </c>
      <c r="J750" s="12" t="s">
        <v>17</v>
      </c>
      <c r="K750" s="591">
        <f>(19*35)+(1*26.4)</f>
        <v>691.4</v>
      </c>
      <c r="L750" s="121" t="s">
        <v>2033</v>
      </c>
      <c r="M750" s="136">
        <v>4</v>
      </c>
      <c r="N750" s="133">
        <v>20</v>
      </c>
      <c r="O750" s="119">
        <f t="shared" si="18"/>
        <v>0</v>
      </c>
    </row>
    <row r="751" spans="1:15">
      <c r="A751" s="590" t="s">
        <v>1975</v>
      </c>
      <c r="B751" s="11" t="s">
        <v>9</v>
      </c>
      <c r="C751" s="11">
        <v>49</v>
      </c>
      <c r="D751" s="11" t="s">
        <v>10</v>
      </c>
      <c r="E751" s="15">
        <v>439</v>
      </c>
      <c r="F751" s="11" t="s">
        <v>2020</v>
      </c>
      <c r="G751" s="11" t="s">
        <v>161</v>
      </c>
      <c r="H751" s="15" t="s">
        <v>5</v>
      </c>
      <c r="I751" s="15">
        <v>20</v>
      </c>
      <c r="J751" s="12" t="s">
        <v>17</v>
      </c>
      <c r="K751" s="591">
        <f>(19*35)+(1*26.4)</f>
        <v>691.4</v>
      </c>
      <c r="L751" s="121" t="s">
        <v>2033</v>
      </c>
      <c r="M751" s="136">
        <v>4</v>
      </c>
      <c r="N751" s="133">
        <v>20</v>
      </c>
      <c r="O751" s="119">
        <f t="shared" si="18"/>
        <v>0</v>
      </c>
    </row>
    <row r="752" spans="1:15">
      <c r="A752" s="590" t="s">
        <v>1975</v>
      </c>
      <c r="B752" s="11" t="s">
        <v>9</v>
      </c>
      <c r="C752" s="11">
        <v>49</v>
      </c>
      <c r="D752" s="11" t="s">
        <v>10</v>
      </c>
      <c r="E752" s="15">
        <v>442</v>
      </c>
      <c r="F752" s="11" t="s">
        <v>194</v>
      </c>
      <c r="G752" s="11" t="s">
        <v>161</v>
      </c>
      <c r="H752" s="15" t="s">
        <v>15</v>
      </c>
      <c r="I752" s="15">
        <v>15</v>
      </c>
      <c r="J752" s="12" t="s">
        <v>13</v>
      </c>
      <c r="K752" s="591">
        <f>(14*35)+(1*26.4)</f>
        <v>516.4</v>
      </c>
      <c r="L752" s="121" t="s">
        <v>2033</v>
      </c>
      <c r="M752" s="136">
        <v>7</v>
      </c>
      <c r="N752" s="133">
        <v>15</v>
      </c>
      <c r="O752" s="119">
        <f t="shared" si="18"/>
        <v>0</v>
      </c>
    </row>
    <row r="753" spans="1:15">
      <c r="A753" s="590" t="s">
        <v>1975</v>
      </c>
      <c r="B753" s="11" t="s">
        <v>9</v>
      </c>
      <c r="C753" s="11">
        <v>49</v>
      </c>
      <c r="D753" s="11" t="s">
        <v>10</v>
      </c>
      <c r="E753" s="15">
        <v>443</v>
      </c>
      <c r="F753" s="11" t="s">
        <v>1956</v>
      </c>
      <c r="G753" s="11" t="s">
        <v>161</v>
      </c>
      <c r="H753" s="15" t="s">
        <v>15</v>
      </c>
      <c r="I753" s="15">
        <v>25</v>
      </c>
      <c r="J753" s="12" t="s">
        <v>112</v>
      </c>
      <c r="K753" s="591">
        <f>(24*35)+(1*26.4)</f>
        <v>866.4</v>
      </c>
      <c r="L753" s="121" t="s">
        <v>2033</v>
      </c>
      <c r="M753" s="136">
        <v>7</v>
      </c>
      <c r="N753" s="133">
        <v>25</v>
      </c>
      <c r="O753" s="119">
        <f t="shared" si="18"/>
        <v>0</v>
      </c>
    </row>
    <row r="754" spans="1:15">
      <c r="A754" s="590" t="s">
        <v>1975</v>
      </c>
      <c r="B754" s="11" t="s">
        <v>9</v>
      </c>
      <c r="C754" s="11">
        <v>49</v>
      </c>
      <c r="D754" s="11" t="s">
        <v>10</v>
      </c>
      <c r="E754" s="15">
        <v>444</v>
      </c>
      <c r="F754" s="11" t="s">
        <v>568</v>
      </c>
      <c r="G754" s="11" t="s">
        <v>161</v>
      </c>
      <c r="H754" s="15" t="s">
        <v>15</v>
      </c>
      <c r="I754" s="15">
        <v>15</v>
      </c>
      <c r="J754" s="12" t="s">
        <v>159</v>
      </c>
      <c r="K754" s="591">
        <f>(15*35)</f>
        <v>525</v>
      </c>
      <c r="L754" s="121" t="s">
        <v>2033</v>
      </c>
      <c r="M754" s="136">
        <v>7</v>
      </c>
      <c r="N754" s="133">
        <v>15</v>
      </c>
      <c r="O754" s="119">
        <f t="shared" si="18"/>
        <v>0</v>
      </c>
    </row>
    <row r="755" spans="1:15">
      <c r="A755" s="590" t="s">
        <v>1975</v>
      </c>
      <c r="B755" s="11" t="s">
        <v>9</v>
      </c>
      <c r="C755" s="11">
        <v>49</v>
      </c>
      <c r="D755" s="11" t="s">
        <v>10</v>
      </c>
      <c r="E755" s="15">
        <v>445</v>
      </c>
      <c r="F755" s="11" t="s">
        <v>580</v>
      </c>
      <c r="G755" s="11" t="s">
        <v>161</v>
      </c>
      <c r="H755" s="15" t="s">
        <v>15</v>
      </c>
      <c r="I755" s="15">
        <v>30</v>
      </c>
      <c r="J755" s="12" t="s">
        <v>12</v>
      </c>
      <c r="K755" s="591">
        <f>(29*35)+(1*26.4)</f>
        <v>1041.4000000000001</v>
      </c>
      <c r="L755" s="121" t="s">
        <v>2033</v>
      </c>
      <c r="M755" s="136">
        <v>7</v>
      </c>
      <c r="N755" s="133">
        <v>30</v>
      </c>
      <c r="O755" s="119">
        <f t="shared" si="18"/>
        <v>0</v>
      </c>
    </row>
    <row r="756" spans="1:15">
      <c r="A756" s="590" t="s">
        <v>1976</v>
      </c>
      <c r="B756" s="11" t="s">
        <v>9</v>
      </c>
      <c r="C756" s="11">
        <v>49</v>
      </c>
      <c r="D756" s="11" t="s">
        <v>7</v>
      </c>
      <c r="E756" s="15">
        <v>778</v>
      </c>
      <c r="F756" s="11" t="s">
        <v>1801</v>
      </c>
      <c r="G756" s="11" t="s">
        <v>161</v>
      </c>
      <c r="H756" s="15" t="s">
        <v>15</v>
      </c>
      <c r="I756" s="15">
        <v>25</v>
      </c>
      <c r="J756" s="12" t="s">
        <v>436</v>
      </c>
      <c r="K756" s="591">
        <f>(25*35)</f>
        <v>875</v>
      </c>
      <c r="L756" s="121" t="s">
        <v>2081</v>
      </c>
      <c r="M756" s="136"/>
      <c r="N756" s="133">
        <v>25</v>
      </c>
      <c r="O756" s="119">
        <f t="shared" si="18"/>
        <v>0</v>
      </c>
    </row>
    <row r="757" spans="1:15">
      <c r="A757" s="590" t="s">
        <v>1976</v>
      </c>
      <c r="B757" s="11" t="s">
        <v>9</v>
      </c>
      <c r="C757" s="11">
        <v>49</v>
      </c>
      <c r="D757" s="11" t="s">
        <v>7</v>
      </c>
      <c r="E757" s="15">
        <v>779</v>
      </c>
      <c r="F757" s="11" t="s">
        <v>1967</v>
      </c>
      <c r="G757" s="11" t="s">
        <v>161</v>
      </c>
      <c r="H757" s="15" t="s">
        <v>15</v>
      </c>
      <c r="I757" s="15">
        <v>15</v>
      </c>
      <c r="J757" s="12" t="s">
        <v>13</v>
      </c>
      <c r="K757" s="591">
        <f>(14*35)+(1*26.4)</f>
        <v>516.4</v>
      </c>
      <c r="L757" s="121" t="s">
        <v>2081</v>
      </c>
      <c r="M757" s="136"/>
      <c r="N757" s="133">
        <v>15</v>
      </c>
      <c r="O757" s="630">
        <f t="shared" si="18"/>
        <v>0</v>
      </c>
    </row>
    <row r="758" spans="1:15">
      <c r="A758" s="590" t="s">
        <v>1976</v>
      </c>
      <c r="B758" s="11" t="s">
        <v>9</v>
      </c>
      <c r="C758" s="11">
        <v>49</v>
      </c>
      <c r="D758" s="11" t="s">
        <v>7</v>
      </c>
      <c r="E758" s="15">
        <v>780</v>
      </c>
      <c r="F758" s="11" t="s">
        <v>2021</v>
      </c>
      <c r="G758" s="11" t="s">
        <v>161</v>
      </c>
      <c r="H758" s="15" t="s">
        <v>15</v>
      </c>
      <c r="I758" s="15">
        <v>20</v>
      </c>
      <c r="J758" s="12" t="s">
        <v>142</v>
      </c>
      <c r="K758" s="591">
        <f>(20*35)</f>
        <v>700</v>
      </c>
      <c r="L758" s="121" t="s">
        <v>2033</v>
      </c>
      <c r="M758" s="136">
        <v>15</v>
      </c>
      <c r="N758" s="133">
        <v>20</v>
      </c>
      <c r="O758" s="119">
        <f t="shared" si="18"/>
        <v>0</v>
      </c>
    </row>
    <row r="759" spans="1:15">
      <c r="A759" s="590" t="s">
        <v>1977</v>
      </c>
      <c r="B759" s="11" t="s">
        <v>9</v>
      </c>
      <c r="C759" s="11">
        <v>48</v>
      </c>
      <c r="D759" s="11" t="s">
        <v>7</v>
      </c>
      <c r="E759" s="15">
        <v>793</v>
      </c>
      <c r="F759" s="11" t="s">
        <v>1941</v>
      </c>
      <c r="G759" s="11" t="s">
        <v>161</v>
      </c>
      <c r="H759" s="15" t="s">
        <v>15</v>
      </c>
      <c r="I759" s="15">
        <v>15</v>
      </c>
      <c r="J759" s="12" t="s">
        <v>13</v>
      </c>
      <c r="K759" s="591">
        <f>(14*35)+(1*26.4)</f>
        <v>516.4</v>
      </c>
      <c r="L759" s="121" t="s">
        <v>2055</v>
      </c>
      <c r="M759" s="136"/>
      <c r="N759" s="133">
        <v>15</v>
      </c>
      <c r="O759" s="119">
        <f t="shared" si="18"/>
        <v>0</v>
      </c>
    </row>
    <row r="760" spans="1:15">
      <c r="A760" s="590" t="s">
        <v>1156</v>
      </c>
      <c r="B760" s="11" t="s">
        <v>9</v>
      </c>
      <c r="C760" s="11">
        <v>40</v>
      </c>
      <c r="D760" s="11" t="s">
        <v>7</v>
      </c>
      <c r="E760" s="15">
        <v>723</v>
      </c>
      <c r="F760" s="11" t="s">
        <v>1448</v>
      </c>
      <c r="G760" s="11" t="s">
        <v>190</v>
      </c>
      <c r="H760" s="15" t="s">
        <v>15</v>
      </c>
      <c r="I760" s="15">
        <v>20</v>
      </c>
      <c r="J760" s="12" t="s">
        <v>155</v>
      </c>
      <c r="K760" s="591">
        <f>(20*26)</f>
        <v>520</v>
      </c>
      <c r="L760" s="121" t="s">
        <v>2082</v>
      </c>
      <c r="M760" s="132">
        <v>4</v>
      </c>
      <c r="N760" s="133">
        <v>20</v>
      </c>
      <c r="O760" s="119">
        <f t="shared" si="18"/>
        <v>0</v>
      </c>
    </row>
    <row r="761" spans="1:15">
      <c r="A761" s="590" t="s">
        <v>1156</v>
      </c>
      <c r="B761" s="11" t="s">
        <v>9</v>
      </c>
      <c r="C761" s="11">
        <v>40</v>
      </c>
      <c r="D761" s="11" t="s">
        <v>7</v>
      </c>
      <c r="E761" s="15">
        <v>725</v>
      </c>
      <c r="F761" s="11" t="s">
        <v>784</v>
      </c>
      <c r="G761" s="11" t="s">
        <v>190</v>
      </c>
      <c r="H761" s="15" t="s">
        <v>15</v>
      </c>
      <c r="I761" s="15">
        <v>20</v>
      </c>
      <c r="J761" s="12" t="s">
        <v>34</v>
      </c>
      <c r="K761" s="591">
        <f>(19*26)+(1*17.4)</f>
        <v>511.4</v>
      </c>
      <c r="L761" s="121" t="s">
        <v>2082</v>
      </c>
      <c r="M761" s="132">
        <v>4</v>
      </c>
      <c r="N761" s="133">
        <f>11+9</f>
        <v>20</v>
      </c>
      <c r="O761" s="119">
        <f t="shared" si="18"/>
        <v>0</v>
      </c>
    </row>
    <row r="762" spans="1:15">
      <c r="A762" s="590" t="s">
        <v>1164</v>
      </c>
      <c r="B762" s="11" t="s">
        <v>9</v>
      </c>
      <c r="C762" s="11">
        <v>40</v>
      </c>
      <c r="D762" s="11" t="s">
        <v>10</v>
      </c>
      <c r="E762" s="15">
        <v>492</v>
      </c>
      <c r="F762" s="11" t="s">
        <v>365</v>
      </c>
      <c r="G762" s="11" t="s">
        <v>190</v>
      </c>
      <c r="H762" s="15" t="s">
        <v>15</v>
      </c>
      <c r="I762" s="15">
        <v>25</v>
      </c>
      <c r="J762" s="12" t="s">
        <v>175</v>
      </c>
      <c r="K762" s="591">
        <f>(25*26)</f>
        <v>650</v>
      </c>
      <c r="L762" s="121" t="s">
        <v>2029</v>
      </c>
      <c r="M762" s="132">
        <v>1</v>
      </c>
      <c r="N762" s="133">
        <v>25</v>
      </c>
      <c r="O762" s="630">
        <f t="shared" si="18"/>
        <v>0</v>
      </c>
    </row>
    <row r="763" spans="1:15">
      <c r="A763" s="590" t="s">
        <v>1018</v>
      </c>
      <c r="B763" s="11" t="s">
        <v>6</v>
      </c>
      <c r="C763" s="11">
        <v>47</v>
      </c>
      <c r="D763" s="11" t="s">
        <v>64</v>
      </c>
      <c r="E763" s="15">
        <v>5013</v>
      </c>
      <c r="F763" s="11" t="s">
        <v>1700</v>
      </c>
      <c r="G763" s="11" t="s">
        <v>1701</v>
      </c>
      <c r="H763" s="15" t="s">
        <v>1578</v>
      </c>
      <c r="I763" s="15">
        <v>10</v>
      </c>
      <c r="J763" s="12" t="s">
        <v>1702</v>
      </c>
      <c r="K763" s="591">
        <f>(9*47)+(1*42.9)</f>
        <v>465.9</v>
      </c>
      <c r="L763" s="121" t="s">
        <v>2055</v>
      </c>
      <c r="M763" s="132">
        <v>1</v>
      </c>
      <c r="N763" s="133">
        <v>10</v>
      </c>
      <c r="O763" s="119">
        <f t="shared" si="18"/>
        <v>0</v>
      </c>
    </row>
    <row r="764" spans="1:15">
      <c r="A764" s="77" t="s">
        <v>1131</v>
      </c>
      <c r="B764" s="15" t="s">
        <v>9</v>
      </c>
      <c r="C764" s="15">
        <v>38</v>
      </c>
      <c r="D764" s="15" t="s">
        <v>7</v>
      </c>
      <c r="E764" s="15">
        <v>159</v>
      </c>
      <c r="F764" s="15" t="s">
        <v>1537</v>
      </c>
      <c r="G764" s="15" t="s">
        <v>765</v>
      </c>
      <c r="H764" s="15" t="s">
        <v>5</v>
      </c>
      <c r="I764" s="15">
        <v>20</v>
      </c>
      <c r="J764" s="18" t="s">
        <v>17</v>
      </c>
      <c r="K764" s="589">
        <f>(19*35)+(1*26.4)</f>
        <v>691.4</v>
      </c>
      <c r="L764" s="120" t="s">
        <v>2033</v>
      </c>
      <c r="M764" s="132">
        <v>12</v>
      </c>
      <c r="N764" s="133">
        <f>10+10</f>
        <v>20</v>
      </c>
      <c r="O764" s="119">
        <f t="shared" si="18"/>
        <v>0</v>
      </c>
    </row>
    <row r="765" spans="1:15">
      <c r="A765" s="590" t="s">
        <v>1129</v>
      </c>
      <c r="B765" s="11" t="s">
        <v>9</v>
      </c>
      <c r="C765" s="11">
        <v>38</v>
      </c>
      <c r="D765" s="11" t="s">
        <v>16</v>
      </c>
      <c r="E765" s="11">
        <v>381</v>
      </c>
      <c r="F765" s="11" t="s">
        <v>1458</v>
      </c>
      <c r="G765" s="11" t="s">
        <v>148</v>
      </c>
      <c r="H765" s="11" t="s">
        <v>15</v>
      </c>
      <c r="I765" s="11">
        <v>15</v>
      </c>
      <c r="J765" s="12" t="s">
        <v>13</v>
      </c>
      <c r="K765" s="591">
        <f>(14*35)+(1*26.4)</f>
        <v>516.4</v>
      </c>
      <c r="L765" s="121" t="s">
        <v>2082</v>
      </c>
      <c r="M765" s="132">
        <v>14</v>
      </c>
      <c r="N765" s="133">
        <f>10+5</f>
        <v>15</v>
      </c>
      <c r="O765" s="119">
        <f t="shared" si="18"/>
        <v>0</v>
      </c>
    </row>
    <row r="766" spans="1:15">
      <c r="A766" s="77" t="s">
        <v>1129</v>
      </c>
      <c r="B766" s="15" t="s">
        <v>9</v>
      </c>
      <c r="C766" s="15">
        <v>38</v>
      </c>
      <c r="D766" s="15" t="s">
        <v>16</v>
      </c>
      <c r="E766" s="15">
        <v>384</v>
      </c>
      <c r="F766" s="15" t="s">
        <v>1529</v>
      </c>
      <c r="G766" s="15" t="s">
        <v>148</v>
      </c>
      <c r="H766" s="15" t="s">
        <v>15</v>
      </c>
      <c r="I766" s="15">
        <v>15</v>
      </c>
      <c r="J766" s="18" t="s">
        <v>159</v>
      </c>
      <c r="K766" s="589">
        <f>(15*35)</f>
        <v>525</v>
      </c>
      <c r="L766" s="121" t="s">
        <v>2082</v>
      </c>
      <c r="M766" s="132" t="s">
        <v>2050</v>
      </c>
      <c r="N766" s="133">
        <f>8+7</f>
        <v>15</v>
      </c>
      <c r="O766" s="119">
        <f t="shared" si="18"/>
        <v>0</v>
      </c>
    </row>
    <row r="767" spans="1:15">
      <c r="A767" s="590" t="s">
        <v>1166</v>
      </c>
      <c r="B767" s="11" t="s">
        <v>150</v>
      </c>
      <c r="C767" s="11">
        <v>49</v>
      </c>
      <c r="D767" s="11" t="s">
        <v>7</v>
      </c>
      <c r="E767" s="15">
        <v>634</v>
      </c>
      <c r="F767" s="11" t="s">
        <v>1524</v>
      </c>
      <c r="G767" s="11" t="s">
        <v>523</v>
      </c>
      <c r="H767" s="15" t="s">
        <v>15</v>
      </c>
      <c r="I767" s="15">
        <v>15</v>
      </c>
      <c r="J767" s="12" t="s">
        <v>1755</v>
      </c>
      <c r="K767" s="591">
        <f>(11*36)+(4*28.3)</f>
        <v>509.2</v>
      </c>
      <c r="L767" s="121" t="s">
        <v>2100</v>
      </c>
      <c r="M767" s="132"/>
      <c r="N767" s="133">
        <v>15</v>
      </c>
      <c r="O767" s="119">
        <f t="shared" si="18"/>
        <v>0</v>
      </c>
    </row>
    <row r="768" spans="1:15">
      <c r="A768" s="590" t="s">
        <v>1176</v>
      </c>
      <c r="B768" s="11" t="s">
        <v>150</v>
      </c>
      <c r="C768" s="11">
        <v>50</v>
      </c>
      <c r="D768" s="11" t="s">
        <v>51</v>
      </c>
      <c r="E768" s="15">
        <v>417</v>
      </c>
      <c r="F768" s="11" t="s">
        <v>1526</v>
      </c>
      <c r="G768" s="11" t="s">
        <v>523</v>
      </c>
      <c r="H768" s="15" t="s">
        <v>15</v>
      </c>
      <c r="I768" s="15">
        <v>15</v>
      </c>
      <c r="J768" s="12" t="s">
        <v>641</v>
      </c>
      <c r="K768" s="591">
        <f>(14*35)+(1*27.3)</f>
        <v>517.29999999999995</v>
      </c>
      <c r="L768" s="121" t="s">
        <v>2029</v>
      </c>
      <c r="M768" s="132">
        <v>2</v>
      </c>
      <c r="N768" s="133">
        <f>5+10</f>
        <v>15</v>
      </c>
      <c r="O768" s="119">
        <f t="shared" si="18"/>
        <v>0</v>
      </c>
    </row>
    <row r="769" spans="1:15">
      <c r="A769" s="590" t="s">
        <v>1178</v>
      </c>
      <c r="B769" s="11" t="s">
        <v>150</v>
      </c>
      <c r="C769" s="11">
        <v>49</v>
      </c>
      <c r="D769" s="11" t="s">
        <v>7</v>
      </c>
      <c r="E769" s="15">
        <v>632</v>
      </c>
      <c r="F769" s="11" t="s">
        <v>527</v>
      </c>
      <c r="G769" s="11" t="s">
        <v>523</v>
      </c>
      <c r="H769" s="15" t="s">
        <v>15</v>
      </c>
      <c r="I769" s="15">
        <v>20</v>
      </c>
      <c r="J769" s="12" t="s">
        <v>1577</v>
      </c>
      <c r="K769" s="591">
        <f>(17*37)+(3*29.3)</f>
        <v>716.9</v>
      </c>
      <c r="L769" s="121" t="s">
        <v>2055</v>
      </c>
      <c r="M769" s="132">
        <v>1</v>
      </c>
      <c r="N769" s="130">
        <v>20</v>
      </c>
      <c r="O769" s="119">
        <f t="shared" si="18"/>
        <v>0</v>
      </c>
    </row>
    <row r="770" spans="1:15">
      <c r="A770" s="590" t="s">
        <v>1178</v>
      </c>
      <c r="B770" s="11" t="s">
        <v>150</v>
      </c>
      <c r="C770" s="11">
        <v>50</v>
      </c>
      <c r="D770" s="11" t="s">
        <v>693</v>
      </c>
      <c r="E770" s="15">
        <v>75</v>
      </c>
      <c r="F770" s="11" t="s">
        <v>1336</v>
      </c>
      <c r="G770" s="11" t="s">
        <v>1859</v>
      </c>
      <c r="H770" s="15" t="s">
        <v>15</v>
      </c>
      <c r="I770" s="15">
        <v>20</v>
      </c>
      <c r="J770" s="12" t="s">
        <v>692</v>
      </c>
      <c r="K770" s="591">
        <f>(19*37)+(1*32.7)</f>
        <v>735.7</v>
      </c>
      <c r="L770" s="121" t="s">
        <v>2082</v>
      </c>
      <c r="M770" s="132" t="s">
        <v>2052</v>
      </c>
      <c r="N770" s="133">
        <f>10+10</f>
        <v>20</v>
      </c>
      <c r="O770" s="119">
        <f t="shared" si="18"/>
        <v>0</v>
      </c>
    </row>
    <row r="771" spans="1:15">
      <c r="A771" s="590" t="s">
        <v>1030</v>
      </c>
      <c r="B771" s="11" t="s">
        <v>9</v>
      </c>
      <c r="C771" s="11">
        <v>45</v>
      </c>
      <c r="D771" s="11" t="s">
        <v>16</v>
      </c>
      <c r="E771" s="15">
        <v>93</v>
      </c>
      <c r="F771" s="11" t="s">
        <v>93</v>
      </c>
      <c r="G771" s="11" t="s">
        <v>80</v>
      </c>
      <c r="H771" s="15" t="s">
        <v>5</v>
      </c>
      <c r="I771" s="15">
        <v>20</v>
      </c>
      <c r="J771" s="12" t="s">
        <v>31</v>
      </c>
      <c r="K771" s="591">
        <f>(19*38)+(1*29.4)</f>
        <v>751.4</v>
      </c>
      <c r="L771" s="120" t="s">
        <v>2082</v>
      </c>
      <c r="M771" s="132">
        <v>8</v>
      </c>
      <c r="N771" s="133">
        <f>10+10</f>
        <v>20</v>
      </c>
      <c r="O771" s="119">
        <f t="shared" ref="O771:O834" si="22">I771-N771</f>
        <v>0</v>
      </c>
    </row>
    <row r="772" spans="1:15">
      <c r="A772" s="590" t="s">
        <v>1172</v>
      </c>
      <c r="B772" s="11" t="s">
        <v>9</v>
      </c>
      <c r="C772" s="11">
        <v>46</v>
      </c>
      <c r="D772" s="11" t="s">
        <v>16</v>
      </c>
      <c r="E772" s="15">
        <v>92</v>
      </c>
      <c r="F772" s="11" t="s">
        <v>786</v>
      </c>
      <c r="G772" s="11" t="s">
        <v>80</v>
      </c>
      <c r="H772" s="15" t="s">
        <v>5</v>
      </c>
      <c r="I772" s="15">
        <v>20</v>
      </c>
      <c r="J772" s="12" t="s">
        <v>31</v>
      </c>
      <c r="K772" s="591">
        <f>(19*38)+(1*29.4)</f>
        <v>751.4</v>
      </c>
      <c r="L772" s="121" t="s">
        <v>2033</v>
      </c>
      <c r="M772" s="132">
        <v>13</v>
      </c>
      <c r="N772" s="133">
        <f>10+10</f>
        <v>20</v>
      </c>
      <c r="O772" s="119">
        <f t="shared" si="22"/>
        <v>0</v>
      </c>
    </row>
    <row r="773" spans="1:15">
      <c r="A773" s="590" t="s">
        <v>1172</v>
      </c>
      <c r="B773" s="11" t="s">
        <v>9</v>
      </c>
      <c r="C773" s="11">
        <v>46</v>
      </c>
      <c r="D773" s="11" t="s">
        <v>16</v>
      </c>
      <c r="E773" s="15">
        <v>93</v>
      </c>
      <c r="F773" s="11" t="s">
        <v>1801</v>
      </c>
      <c r="G773" s="11" t="s">
        <v>80</v>
      </c>
      <c r="H773" s="15" t="s">
        <v>5</v>
      </c>
      <c r="I773" s="15">
        <v>20</v>
      </c>
      <c r="J773" s="12" t="s">
        <v>31</v>
      </c>
      <c r="K773" s="591">
        <f>(19*38)+(1*29.4)</f>
        <v>751.4</v>
      </c>
      <c r="L773" s="121" t="s">
        <v>2033</v>
      </c>
      <c r="M773" s="132">
        <v>4</v>
      </c>
      <c r="N773" s="130">
        <f>9+11</f>
        <v>20</v>
      </c>
      <c r="O773" s="119">
        <f t="shared" si="22"/>
        <v>0</v>
      </c>
    </row>
    <row r="774" spans="1:15">
      <c r="A774" s="590" t="s">
        <v>1172</v>
      </c>
      <c r="B774" s="11" t="s">
        <v>9</v>
      </c>
      <c r="C774" s="11">
        <v>46</v>
      </c>
      <c r="D774" s="11" t="s">
        <v>16</v>
      </c>
      <c r="E774" s="15">
        <v>94</v>
      </c>
      <c r="F774" s="11" t="s">
        <v>745</v>
      </c>
      <c r="G774" s="11" t="s">
        <v>80</v>
      </c>
      <c r="H774" s="15" t="s">
        <v>5</v>
      </c>
      <c r="I774" s="15">
        <v>20</v>
      </c>
      <c r="J774" s="12" t="s">
        <v>41</v>
      </c>
      <c r="K774" s="591">
        <f>(18*38)+(2*29.4)</f>
        <v>742.8</v>
      </c>
      <c r="L774" s="121" t="s">
        <v>2033</v>
      </c>
      <c r="M774" s="132" t="s">
        <v>2050</v>
      </c>
      <c r="N774" s="133">
        <f>10+10</f>
        <v>20</v>
      </c>
      <c r="O774" s="119">
        <f t="shared" si="22"/>
        <v>0</v>
      </c>
    </row>
    <row r="775" spans="1:15">
      <c r="A775" s="590" t="s">
        <v>1172</v>
      </c>
      <c r="B775" s="11" t="s">
        <v>9</v>
      </c>
      <c r="C775" s="11">
        <v>46</v>
      </c>
      <c r="D775" s="11" t="s">
        <v>16</v>
      </c>
      <c r="E775" s="15">
        <v>99</v>
      </c>
      <c r="F775" s="11" t="s">
        <v>1787</v>
      </c>
      <c r="G775" s="11" t="s">
        <v>80</v>
      </c>
      <c r="H775" s="15" t="s">
        <v>15</v>
      </c>
      <c r="I775" s="15">
        <v>20</v>
      </c>
      <c r="J775" s="12" t="s">
        <v>31</v>
      </c>
      <c r="K775" s="591">
        <f>(19*38)+(1*29.4)</f>
        <v>751.4</v>
      </c>
      <c r="L775" s="121" t="s">
        <v>2033</v>
      </c>
      <c r="M775" s="132">
        <v>3</v>
      </c>
      <c r="N775" s="133">
        <v>20</v>
      </c>
      <c r="O775" s="119">
        <f t="shared" si="22"/>
        <v>0</v>
      </c>
    </row>
    <row r="776" spans="1:15">
      <c r="A776" s="590" t="s">
        <v>1172</v>
      </c>
      <c r="B776" s="11" t="s">
        <v>9</v>
      </c>
      <c r="C776" s="11">
        <v>46</v>
      </c>
      <c r="D776" s="11" t="s">
        <v>16</v>
      </c>
      <c r="E776" s="15">
        <v>100</v>
      </c>
      <c r="F776" s="11" t="s">
        <v>528</v>
      </c>
      <c r="G776" s="11" t="s">
        <v>80</v>
      </c>
      <c r="H776" s="15" t="s">
        <v>15</v>
      </c>
      <c r="I776" s="15">
        <v>20</v>
      </c>
      <c r="J776" s="12" t="s">
        <v>41</v>
      </c>
      <c r="K776" s="591">
        <f>(18*38)+(2*29.4)</f>
        <v>742.8</v>
      </c>
      <c r="L776" s="121" t="s">
        <v>2033</v>
      </c>
      <c r="M776" s="132" t="s">
        <v>2047</v>
      </c>
      <c r="N776" s="133">
        <f>10+10</f>
        <v>20</v>
      </c>
      <c r="O776" s="119">
        <f t="shared" si="22"/>
        <v>0</v>
      </c>
    </row>
    <row r="777" spans="1:15">
      <c r="A777" s="590" t="s">
        <v>1188</v>
      </c>
      <c r="B777" s="11" t="s">
        <v>9</v>
      </c>
      <c r="C777" s="11">
        <v>47</v>
      </c>
      <c r="D777" s="11" t="s">
        <v>10</v>
      </c>
      <c r="E777" s="15">
        <v>92</v>
      </c>
      <c r="F777" s="11" t="s">
        <v>151</v>
      </c>
      <c r="G777" s="11" t="s">
        <v>80</v>
      </c>
      <c r="H777" s="15" t="s">
        <v>5</v>
      </c>
      <c r="I777" s="15">
        <v>20</v>
      </c>
      <c r="J777" s="12" t="s">
        <v>31</v>
      </c>
      <c r="K777" s="591">
        <f>(19*38)+(1*29.4)</f>
        <v>751.4</v>
      </c>
      <c r="L777" s="121" t="s">
        <v>2082</v>
      </c>
      <c r="M777" s="136">
        <v>12</v>
      </c>
      <c r="N777" s="133">
        <f>10+10</f>
        <v>20</v>
      </c>
      <c r="O777" s="119">
        <f t="shared" si="22"/>
        <v>0</v>
      </c>
    </row>
    <row r="778" spans="1:15">
      <c r="A778" s="590" t="s">
        <v>1188</v>
      </c>
      <c r="B778" s="11" t="s">
        <v>9</v>
      </c>
      <c r="C778" s="11">
        <v>47</v>
      </c>
      <c r="D778" s="11" t="s">
        <v>10</v>
      </c>
      <c r="E778" s="15">
        <v>95</v>
      </c>
      <c r="F778" s="11" t="s">
        <v>1543</v>
      </c>
      <c r="G778" s="11" t="s">
        <v>80</v>
      </c>
      <c r="H778" s="15" t="s">
        <v>5</v>
      </c>
      <c r="I778" s="15">
        <v>20</v>
      </c>
      <c r="J778" s="12" t="s">
        <v>41</v>
      </c>
      <c r="K778" s="591">
        <f>(18*38)+(2*29.4)</f>
        <v>742.8</v>
      </c>
      <c r="L778" s="121" t="s">
        <v>2082</v>
      </c>
      <c r="M778" s="136">
        <v>13</v>
      </c>
      <c r="N778" s="133">
        <f>10+10</f>
        <v>20</v>
      </c>
      <c r="O778" s="119">
        <f t="shared" si="22"/>
        <v>0</v>
      </c>
    </row>
    <row r="779" spans="1:15">
      <c r="A779" s="590" t="s">
        <v>1009</v>
      </c>
      <c r="B779" s="11" t="s">
        <v>9</v>
      </c>
      <c r="C779" s="11">
        <v>42</v>
      </c>
      <c r="D779" s="11" t="s">
        <v>29</v>
      </c>
      <c r="E779" s="15">
        <v>553</v>
      </c>
      <c r="F779" s="11" t="s">
        <v>1647</v>
      </c>
      <c r="G779" s="11" t="s">
        <v>1648</v>
      </c>
      <c r="H779" s="15" t="s">
        <v>15</v>
      </c>
      <c r="I779" s="15">
        <v>20</v>
      </c>
      <c r="J779" s="12" t="s">
        <v>157</v>
      </c>
      <c r="K779" s="591">
        <f>(20*38)</f>
        <v>760</v>
      </c>
      <c r="L779" s="121" t="s">
        <v>2033</v>
      </c>
      <c r="M779" s="132">
        <v>14</v>
      </c>
      <c r="N779" s="133">
        <v>20</v>
      </c>
      <c r="O779" s="119">
        <f t="shared" si="22"/>
        <v>0</v>
      </c>
    </row>
    <row r="780" spans="1:15">
      <c r="A780" s="77" t="s">
        <v>1119</v>
      </c>
      <c r="B780" s="15" t="s">
        <v>9</v>
      </c>
      <c r="C780" s="15">
        <v>36</v>
      </c>
      <c r="D780" s="15" t="s">
        <v>7</v>
      </c>
      <c r="E780" s="15">
        <v>527</v>
      </c>
      <c r="F780" s="15" t="s">
        <v>1467</v>
      </c>
      <c r="G780" s="15" t="s">
        <v>753</v>
      </c>
      <c r="H780" s="15" t="s">
        <v>1324</v>
      </c>
      <c r="I780" s="15">
        <v>15</v>
      </c>
      <c r="J780" s="18" t="s">
        <v>14</v>
      </c>
      <c r="K780" s="589">
        <f>(14*38)+(1*29.4)</f>
        <v>561.4</v>
      </c>
      <c r="L780" s="121" t="s">
        <v>2029</v>
      </c>
      <c r="M780" s="132">
        <v>4</v>
      </c>
      <c r="N780" s="133">
        <v>15</v>
      </c>
      <c r="O780" s="119">
        <f t="shared" si="22"/>
        <v>0</v>
      </c>
    </row>
    <row r="781" spans="1:15">
      <c r="A781" s="590" t="s">
        <v>1131</v>
      </c>
      <c r="B781" s="11" t="s">
        <v>9</v>
      </c>
      <c r="C781" s="11">
        <v>38</v>
      </c>
      <c r="D781" s="11" t="s">
        <v>7</v>
      </c>
      <c r="E781" s="11">
        <v>494</v>
      </c>
      <c r="F781" s="11" t="s">
        <v>1538</v>
      </c>
      <c r="G781" s="11" t="s">
        <v>753</v>
      </c>
      <c r="H781" s="11" t="s">
        <v>5</v>
      </c>
      <c r="I781" s="11">
        <v>20</v>
      </c>
      <c r="J781" s="12" t="s">
        <v>31</v>
      </c>
      <c r="K781" s="591">
        <f>(19*38)+(1*29.4)</f>
        <v>751.4</v>
      </c>
      <c r="L781" s="120" t="s">
        <v>2033</v>
      </c>
      <c r="M781" s="132" t="s">
        <v>2041</v>
      </c>
      <c r="N781" s="133">
        <f>10+10</f>
        <v>20</v>
      </c>
      <c r="O781" s="119">
        <f t="shared" si="22"/>
        <v>0</v>
      </c>
    </row>
    <row r="782" spans="1:15">
      <c r="A782" s="590" t="s">
        <v>1131</v>
      </c>
      <c r="B782" s="11" t="s">
        <v>9</v>
      </c>
      <c r="C782" s="11">
        <v>38</v>
      </c>
      <c r="D782" s="11" t="s">
        <v>7</v>
      </c>
      <c r="E782" s="11">
        <v>498</v>
      </c>
      <c r="F782" s="11" t="s">
        <v>1539</v>
      </c>
      <c r="G782" s="11" t="s">
        <v>753</v>
      </c>
      <c r="H782" s="11" t="s">
        <v>15</v>
      </c>
      <c r="I782" s="11">
        <v>15</v>
      </c>
      <c r="J782" s="12" t="s">
        <v>97</v>
      </c>
      <c r="K782" s="591">
        <f>(15*38)</f>
        <v>570</v>
      </c>
      <c r="L782" s="120" t="s">
        <v>2033</v>
      </c>
      <c r="M782" s="132">
        <v>6</v>
      </c>
      <c r="N782" s="133">
        <f>10+5</f>
        <v>15</v>
      </c>
      <c r="O782" s="119">
        <f t="shared" si="22"/>
        <v>0</v>
      </c>
    </row>
    <row r="783" spans="1:15">
      <c r="A783" s="590" t="s">
        <v>1975</v>
      </c>
      <c r="B783" s="11" t="s">
        <v>9</v>
      </c>
      <c r="C783" s="11">
        <v>49</v>
      </c>
      <c r="D783" s="11" t="s">
        <v>7</v>
      </c>
      <c r="E783" s="15">
        <v>789</v>
      </c>
      <c r="F783" s="11" t="s">
        <v>2009</v>
      </c>
      <c r="G783" s="11" t="s">
        <v>753</v>
      </c>
      <c r="H783" s="15" t="s">
        <v>15</v>
      </c>
      <c r="I783" s="15">
        <v>15</v>
      </c>
      <c r="J783" s="12" t="s">
        <v>14</v>
      </c>
      <c r="K783" s="591">
        <f>(14*38)+(1*29.4)</f>
        <v>561.4</v>
      </c>
      <c r="L783" s="121" t="s">
        <v>2100</v>
      </c>
      <c r="M783" s="136"/>
      <c r="N783" s="133">
        <v>15</v>
      </c>
      <c r="O783" s="119">
        <f t="shared" si="22"/>
        <v>0</v>
      </c>
    </row>
    <row r="784" spans="1:15">
      <c r="A784" s="590" t="s">
        <v>1186</v>
      </c>
      <c r="B784" s="11" t="s">
        <v>150</v>
      </c>
      <c r="C784" s="11">
        <v>47</v>
      </c>
      <c r="D784" s="11" t="s">
        <v>7</v>
      </c>
      <c r="E784" s="15">
        <v>730</v>
      </c>
      <c r="F784" s="11" t="s">
        <v>1907</v>
      </c>
      <c r="G784" s="11" t="s">
        <v>539</v>
      </c>
      <c r="H784" s="15" t="s">
        <v>15</v>
      </c>
      <c r="I784" s="15">
        <v>20</v>
      </c>
      <c r="J784" s="12" t="s">
        <v>1908</v>
      </c>
      <c r="K784" s="591">
        <f>(19*23)+(1*18.7)</f>
        <v>455.7</v>
      </c>
      <c r="L784" s="121" t="s">
        <v>2055</v>
      </c>
      <c r="M784" s="136">
        <v>1</v>
      </c>
      <c r="N784" s="133">
        <v>20</v>
      </c>
      <c r="O784" s="119">
        <f t="shared" si="22"/>
        <v>0</v>
      </c>
    </row>
    <row r="785" spans="1:15">
      <c r="A785" s="590" t="s">
        <v>1018</v>
      </c>
      <c r="B785" s="11" t="s">
        <v>6</v>
      </c>
      <c r="C785" s="11">
        <v>47</v>
      </c>
      <c r="D785" s="11" t="s">
        <v>82</v>
      </c>
      <c r="E785" s="15">
        <v>5579</v>
      </c>
      <c r="F785" s="11" t="s">
        <v>1725</v>
      </c>
      <c r="G785" s="11" t="s">
        <v>30</v>
      </c>
      <c r="H785" s="15" t="s">
        <v>8</v>
      </c>
      <c r="I785" s="15">
        <v>20</v>
      </c>
      <c r="J785" s="12" t="s">
        <v>107</v>
      </c>
      <c r="K785" s="591">
        <f>(19*18)+(1*11)</f>
        <v>353</v>
      </c>
      <c r="L785" s="120" t="s">
        <v>2055</v>
      </c>
      <c r="M785" s="132">
        <v>1</v>
      </c>
      <c r="N785" s="133">
        <v>20</v>
      </c>
      <c r="O785" s="119">
        <f t="shared" si="22"/>
        <v>0</v>
      </c>
    </row>
    <row r="786" spans="1:15">
      <c r="A786" s="590" t="s">
        <v>1166</v>
      </c>
      <c r="B786" s="11" t="s">
        <v>150</v>
      </c>
      <c r="C786" s="11">
        <v>49</v>
      </c>
      <c r="D786" s="11" t="s">
        <v>50</v>
      </c>
      <c r="E786" s="15">
        <v>45</v>
      </c>
      <c r="F786" s="11" t="s">
        <v>405</v>
      </c>
      <c r="G786" s="11" t="s">
        <v>1772</v>
      </c>
      <c r="H786" s="15" t="s">
        <v>5</v>
      </c>
      <c r="I786" s="15">
        <v>20</v>
      </c>
      <c r="J786" s="12" t="s">
        <v>431</v>
      </c>
      <c r="K786" s="591">
        <f>(20*30)</f>
        <v>600</v>
      </c>
      <c r="L786" s="121" t="s">
        <v>2100</v>
      </c>
      <c r="M786" s="132"/>
      <c r="N786" s="133">
        <v>20</v>
      </c>
      <c r="O786" s="119">
        <f t="shared" si="22"/>
        <v>0</v>
      </c>
    </row>
    <row r="787" spans="1:15">
      <c r="A787" s="590" t="s">
        <v>1166</v>
      </c>
      <c r="B787" s="11" t="s">
        <v>150</v>
      </c>
      <c r="C787" s="11">
        <v>49</v>
      </c>
      <c r="D787" s="11" t="s">
        <v>50</v>
      </c>
      <c r="E787" s="15">
        <v>48</v>
      </c>
      <c r="F787" s="11" t="s">
        <v>511</v>
      </c>
      <c r="G787" s="11" t="s">
        <v>1772</v>
      </c>
      <c r="H787" s="15" t="s">
        <v>5</v>
      </c>
      <c r="I787" s="15">
        <v>15</v>
      </c>
      <c r="J787" s="12" t="s">
        <v>712</v>
      </c>
      <c r="K787" s="591">
        <f>(14*30)+(1*22.3)</f>
        <v>442.3</v>
      </c>
      <c r="L787" s="121" t="s">
        <v>2100</v>
      </c>
      <c r="M787" s="132"/>
      <c r="N787" s="133">
        <v>15</v>
      </c>
      <c r="O787" s="119">
        <f t="shared" si="22"/>
        <v>0</v>
      </c>
    </row>
    <row r="788" spans="1:15">
      <c r="A788" s="590" t="s">
        <v>1176</v>
      </c>
      <c r="B788" s="11" t="s">
        <v>150</v>
      </c>
      <c r="C788" s="11">
        <v>50</v>
      </c>
      <c r="D788" s="11" t="s">
        <v>50</v>
      </c>
      <c r="E788" s="15">
        <v>49</v>
      </c>
      <c r="F788" s="11" t="s">
        <v>711</v>
      </c>
      <c r="G788" s="11" t="s">
        <v>1772</v>
      </c>
      <c r="H788" s="15" t="s">
        <v>5</v>
      </c>
      <c r="I788" s="15">
        <v>15</v>
      </c>
      <c r="J788" s="12" t="s">
        <v>98</v>
      </c>
      <c r="K788" s="591">
        <f>(15*30)</f>
        <v>450</v>
      </c>
      <c r="L788" s="121" t="s">
        <v>2055</v>
      </c>
      <c r="M788" s="132">
        <v>4</v>
      </c>
      <c r="N788" s="133">
        <v>15</v>
      </c>
      <c r="O788" s="119">
        <f t="shared" si="22"/>
        <v>0</v>
      </c>
    </row>
    <row r="789" spans="1:15">
      <c r="A789" s="77" t="s">
        <v>969</v>
      </c>
      <c r="B789" s="15" t="s">
        <v>150</v>
      </c>
      <c r="C789" s="15">
        <v>36</v>
      </c>
      <c r="D789" s="15" t="s">
        <v>50</v>
      </c>
      <c r="E789" s="15">
        <v>5003</v>
      </c>
      <c r="F789" s="15" t="s">
        <v>1496</v>
      </c>
      <c r="G789" s="15" t="s">
        <v>92</v>
      </c>
      <c r="H789" s="15" t="s">
        <v>351</v>
      </c>
      <c r="I789" s="15">
        <v>20</v>
      </c>
      <c r="J789" s="18" t="s">
        <v>1497</v>
      </c>
      <c r="K789" s="589">
        <f>(17*18)+(1*15.6)+(2*15.8)</f>
        <v>353.20000000000005</v>
      </c>
      <c r="L789" s="121" t="s">
        <v>2055</v>
      </c>
      <c r="M789" s="132">
        <v>5</v>
      </c>
      <c r="N789" s="133">
        <v>20</v>
      </c>
      <c r="O789" s="119">
        <f t="shared" si="22"/>
        <v>0</v>
      </c>
    </row>
    <row r="790" spans="1:15">
      <c r="A790" s="77" t="s">
        <v>969</v>
      </c>
      <c r="B790" s="15" t="s">
        <v>150</v>
      </c>
      <c r="C790" s="15">
        <v>36</v>
      </c>
      <c r="D790" s="15" t="s">
        <v>50</v>
      </c>
      <c r="E790" s="15">
        <v>5013</v>
      </c>
      <c r="F790" s="15" t="s">
        <v>1498</v>
      </c>
      <c r="G790" s="15" t="s">
        <v>92</v>
      </c>
      <c r="H790" s="15" t="s">
        <v>1499</v>
      </c>
      <c r="I790" s="15">
        <v>10</v>
      </c>
      <c r="J790" s="18" t="s">
        <v>1500</v>
      </c>
      <c r="K790" s="589">
        <f>(7*51)+(1*48.6)+(2*48.8)</f>
        <v>503.20000000000005</v>
      </c>
      <c r="L790" s="120" t="s">
        <v>2055</v>
      </c>
      <c r="M790" s="132">
        <v>1</v>
      </c>
      <c r="N790" s="133">
        <v>10</v>
      </c>
      <c r="O790" s="119">
        <f t="shared" si="22"/>
        <v>0</v>
      </c>
    </row>
    <row r="791" spans="1:15">
      <c r="A791" s="590" t="s">
        <v>993</v>
      </c>
      <c r="B791" s="11" t="s">
        <v>9</v>
      </c>
      <c r="C791" s="11">
        <v>39</v>
      </c>
      <c r="D791" s="11" t="s">
        <v>29</v>
      </c>
      <c r="E791" s="11">
        <v>92</v>
      </c>
      <c r="F791" s="11" t="s">
        <v>428</v>
      </c>
      <c r="G791" s="11" t="s">
        <v>1350</v>
      </c>
      <c r="H791" s="11" t="s">
        <v>15</v>
      </c>
      <c r="I791" s="11">
        <v>30</v>
      </c>
      <c r="J791" s="12" t="s">
        <v>109</v>
      </c>
      <c r="K791" s="591">
        <f>(29*26)+(1*17.4)</f>
        <v>771.4</v>
      </c>
      <c r="L791" s="121" t="s">
        <v>2082</v>
      </c>
      <c r="M791" s="132">
        <v>12</v>
      </c>
      <c r="N791" s="133">
        <v>30</v>
      </c>
      <c r="O791" s="119">
        <f t="shared" si="22"/>
        <v>0</v>
      </c>
    </row>
    <row r="792" spans="1:15">
      <c r="A792" s="590" t="s">
        <v>998</v>
      </c>
      <c r="B792" s="11" t="s">
        <v>9</v>
      </c>
      <c r="C792" s="11">
        <v>39</v>
      </c>
      <c r="D792" s="11" t="s">
        <v>7</v>
      </c>
      <c r="E792" s="15">
        <v>417</v>
      </c>
      <c r="F792" s="11" t="s">
        <v>1365</v>
      </c>
      <c r="G792" s="11" t="s">
        <v>607</v>
      </c>
      <c r="H792" s="15" t="s">
        <v>15</v>
      </c>
      <c r="I792" s="15">
        <v>15</v>
      </c>
      <c r="J792" s="12" t="s">
        <v>37</v>
      </c>
      <c r="K792" s="591">
        <f>(14*26)+(1*17.4)</f>
        <v>381.4</v>
      </c>
      <c r="L792" s="120" t="s">
        <v>2082</v>
      </c>
      <c r="M792" s="120">
        <v>7</v>
      </c>
      <c r="N792" s="130">
        <f>10+5</f>
        <v>15</v>
      </c>
      <c r="O792" s="119">
        <f t="shared" si="22"/>
        <v>0</v>
      </c>
    </row>
    <row r="793" spans="1:15">
      <c r="A793" s="590" t="s">
        <v>1018</v>
      </c>
      <c r="B793" s="11" t="s">
        <v>6</v>
      </c>
      <c r="C793" s="11">
        <v>47</v>
      </c>
      <c r="D793" s="11" t="s">
        <v>82</v>
      </c>
      <c r="E793" s="15">
        <v>5266</v>
      </c>
      <c r="F793" s="11" t="s">
        <v>1711</v>
      </c>
      <c r="G793" s="11" t="s">
        <v>647</v>
      </c>
      <c r="H793" s="15" t="s">
        <v>1578</v>
      </c>
      <c r="I793" s="15">
        <v>15</v>
      </c>
      <c r="J793" s="12" t="s">
        <v>1712</v>
      </c>
      <c r="K793" s="591">
        <f>(14*19)+(1*14.9)</f>
        <v>280.89999999999998</v>
      </c>
      <c r="L793" s="121" t="s">
        <v>2055</v>
      </c>
      <c r="M793" s="132">
        <v>3</v>
      </c>
      <c r="N793" s="133">
        <v>15</v>
      </c>
      <c r="O793" s="119">
        <f t="shared" si="22"/>
        <v>0</v>
      </c>
    </row>
    <row r="794" spans="1:15">
      <c r="A794" s="590" t="s">
        <v>1016</v>
      </c>
      <c r="B794" s="11" t="s">
        <v>150</v>
      </c>
      <c r="C794" s="11">
        <v>45</v>
      </c>
      <c r="D794" s="11" t="s">
        <v>51</v>
      </c>
      <c r="E794" s="15">
        <v>483</v>
      </c>
      <c r="F794" s="11" t="s">
        <v>1383</v>
      </c>
      <c r="G794" s="11" t="s">
        <v>664</v>
      </c>
      <c r="H794" s="15" t="s">
        <v>15</v>
      </c>
      <c r="I794" s="15">
        <v>20</v>
      </c>
      <c r="J794" s="12" t="s">
        <v>642</v>
      </c>
      <c r="K794" s="591">
        <f>(19*35)+(1*30.7)</f>
        <v>695.7</v>
      </c>
      <c r="L794" s="121" t="s">
        <v>2033</v>
      </c>
      <c r="M794" s="132">
        <v>7</v>
      </c>
      <c r="N794" s="133">
        <f>10+10</f>
        <v>20</v>
      </c>
      <c r="O794" s="119">
        <f t="shared" si="22"/>
        <v>0</v>
      </c>
    </row>
    <row r="795" spans="1:15">
      <c r="A795" s="590" t="s">
        <v>1184</v>
      </c>
      <c r="B795" s="11" t="s">
        <v>150</v>
      </c>
      <c r="C795" s="11">
        <v>48</v>
      </c>
      <c r="D795" s="11" t="s">
        <v>51</v>
      </c>
      <c r="E795" s="15">
        <v>843</v>
      </c>
      <c r="F795" s="11" t="s">
        <v>1326</v>
      </c>
      <c r="G795" s="11" t="s">
        <v>664</v>
      </c>
      <c r="H795" s="15" t="s">
        <v>5</v>
      </c>
      <c r="I795" s="15">
        <v>13</v>
      </c>
      <c r="J795" s="12" t="s">
        <v>512</v>
      </c>
      <c r="K795" s="591">
        <f>(13*34)</f>
        <v>442</v>
      </c>
      <c r="L795" s="121" t="s">
        <v>2090</v>
      </c>
      <c r="M795" s="136"/>
      <c r="N795" s="133">
        <v>13</v>
      </c>
      <c r="O795" s="119">
        <f t="shared" si="22"/>
        <v>0</v>
      </c>
    </row>
    <row r="796" spans="1:15">
      <c r="A796" s="590" t="s">
        <v>1184</v>
      </c>
      <c r="B796" s="11" t="s">
        <v>150</v>
      </c>
      <c r="C796" s="11">
        <v>48</v>
      </c>
      <c r="D796" s="11" t="s">
        <v>51</v>
      </c>
      <c r="E796" s="15">
        <v>846</v>
      </c>
      <c r="F796" s="11" t="s">
        <v>1320</v>
      </c>
      <c r="G796" s="11" t="s">
        <v>664</v>
      </c>
      <c r="H796" s="15" t="s">
        <v>15</v>
      </c>
      <c r="I796" s="15">
        <v>14</v>
      </c>
      <c r="J796" s="12" t="s">
        <v>176</v>
      </c>
      <c r="K796" s="591">
        <f>(14*35)</f>
        <v>490</v>
      </c>
      <c r="L796" s="121" t="s">
        <v>2090</v>
      </c>
      <c r="M796" s="136"/>
      <c r="N796" s="133">
        <v>14</v>
      </c>
      <c r="O796" s="119">
        <f t="shared" si="22"/>
        <v>0</v>
      </c>
    </row>
    <row r="797" spans="1:15">
      <c r="A797" s="590" t="s">
        <v>1178</v>
      </c>
      <c r="B797" s="11" t="s">
        <v>150</v>
      </c>
      <c r="C797" s="11">
        <v>46</v>
      </c>
      <c r="D797" s="11" t="s">
        <v>51</v>
      </c>
      <c r="E797" s="15">
        <v>515</v>
      </c>
      <c r="F797" s="11" t="s">
        <v>1453</v>
      </c>
      <c r="G797" s="11" t="s">
        <v>1832</v>
      </c>
      <c r="H797" s="15" t="s">
        <v>5</v>
      </c>
      <c r="I797" s="15">
        <v>20</v>
      </c>
      <c r="J797" s="12" t="s">
        <v>633</v>
      </c>
      <c r="K797" s="591">
        <f>(19*34)+(1*29.7)</f>
        <v>675.7</v>
      </c>
      <c r="L797" s="121" t="s">
        <v>2033</v>
      </c>
      <c r="M797" s="132" t="s">
        <v>2046</v>
      </c>
      <c r="N797" s="133">
        <f>10+10</f>
        <v>20</v>
      </c>
      <c r="O797" s="119">
        <f t="shared" si="22"/>
        <v>0</v>
      </c>
    </row>
    <row r="798" spans="1:15">
      <c r="A798" s="590" t="s">
        <v>1178</v>
      </c>
      <c r="B798" s="11" t="s">
        <v>150</v>
      </c>
      <c r="C798" s="11">
        <v>46</v>
      </c>
      <c r="D798" s="11" t="s">
        <v>51</v>
      </c>
      <c r="E798" s="15">
        <v>516</v>
      </c>
      <c r="F798" s="11" t="s">
        <v>1374</v>
      </c>
      <c r="G798" s="11" t="s">
        <v>1832</v>
      </c>
      <c r="H798" s="15" t="s">
        <v>5</v>
      </c>
      <c r="I798" s="15">
        <v>20</v>
      </c>
      <c r="J798" s="12" t="s">
        <v>633</v>
      </c>
      <c r="K798" s="591">
        <f>(19*34)+(1*29.7)</f>
        <v>675.7</v>
      </c>
      <c r="L798" s="121" t="s">
        <v>2033</v>
      </c>
      <c r="M798" s="132">
        <v>5</v>
      </c>
      <c r="N798" s="133">
        <f>10+10</f>
        <v>20</v>
      </c>
      <c r="O798" s="119">
        <f t="shared" si="22"/>
        <v>0</v>
      </c>
    </row>
    <row r="799" spans="1:15">
      <c r="A799" s="590" t="s">
        <v>993</v>
      </c>
      <c r="B799" s="11" t="s">
        <v>9</v>
      </c>
      <c r="C799" s="11">
        <v>39</v>
      </c>
      <c r="D799" s="11" t="s">
        <v>29</v>
      </c>
      <c r="E799" s="11">
        <v>146</v>
      </c>
      <c r="F799" s="11" t="s">
        <v>105</v>
      </c>
      <c r="G799" s="11" t="s">
        <v>1565</v>
      </c>
      <c r="H799" s="11" t="s">
        <v>15</v>
      </c>
      <c r="I799" s="11">
        <v>15</v>
      </c>
      <c r="J799" s="12" t="s">
        <v>37</v>
      </c>
      <c r="K799" s="591">
        <f>(14*26)+(1*17.4)</f>
        <v>381.4</v>
      </c>
      <c r="L799" s="121" t="s">
        <v>2033</v>
      </c>
      <c r="M799" s="132">
        <v>9</v>
      </c>
      <c r="N799" s="133">
        <v>15</v>
      </c>
      <c r="O799" s="119">
        <f t="shared" si="22"/>
        <v>0</v>
      </c>
    </row>
    <row r="800" spans="1:15">
      <c r="A800" s="590" t="s">
        <v>993</v>
      </c>
      <c r="B800" s="11" t="s">
        <v>9</v>
      </c>
      <c r="C800" s="11">
        <v>39</v>
      </c>
      <c r="D800" s="11" t="s">
        <v>29</v>
      </c>
      <c r="E800" s="11">
        <v>147</v>
      </c>
      <c r="F800" s="11" t="s">
        <v>495</v>
      </c>
      <c r="G800" s="11" t="s">
        <v>1565</v>
      </c>
      <c r="H800" s="11" t="s">
        <v>15</v>
      </c>
      <c r="I800" s="11">
        <v>15</v>
      </c>
      <c r="J800" s="12" t="s">
        <v>37</v>
      </c>
      <c r="K800" s="591">
        <f>(14*26)+(1*17.4)</f>
        <v>381.4</v>
      </c>
      <c r="L800" s="121" t="s">
        <v>2033</v>
      </c>
      <c r="M800" s="132">
        <v>9</v>
      </c>
      <c r="N800" s="133">
        <v>15</v>
      </c>
      <c r="O800" s="119">
        <f t="shared" si="22"/>
        <v>0</v>
      </c>
    </row>
    <row r="801" spans="1:15">
      <c r="A801" s="590" t="s">
        <v>993</v>
      </c>
      <c r="B801" s="11" t="s">
        <v>9</v>
      </c>
      <c r="C801" s="11">
        <v>39</v>
      </c>
      <c r="D801" s="11" t="s">
        <v>29</v>
      </c>
      <c r="E801" s="11">
        <v>148</v>
      </c>
      <c r="F801" s="11" t="s">
        <v>402</v>
      </c>
      <c r="G801" s="11" t="s">
        <v>1565</v>
      </c>
      <c r="H801" s="11" t="s">
        <v>15</v>
      </c>
      <c r="I801" s="11">
        <v>35</v>
      </c>
      <c r="J801" s="12" t="s">
        <v>204</v>
      </c>
      <c r="K801" s="591">
        <f>(34*26)+(1*17.4)</f>
        <v>901.4</v>
      </c>
      <c r="L801" s="121" t="s">
        <v>2033</v>
      </c>
      <c r="M801" s="132">
        <v>9</v>
      </c>
      <c r="N801" s="133">
        <f>15+20</f>
        <v>35</v>
      </c>
      <c r="O801" s="119">
        <f t="shared" si="22"/>
        <v>0</v>
      </c>
    </row>
    <row r="802" spans="1:15">
      <c r="A802" s="590" t="s">
        <v>986</v>
      </c>
      <c r="B802" s="11" t="s">
        <v>9</v>
      </c>
      <c r="C802" s="11">
        <v>39</v>
      </c>
      <c r="D802" s="11" t="s">
        <v>10</v>
      </c>
      <c r="E802" s="11">
        <v>485</v>
      </c>
      <c r="F802" s="11" t="s">
        <v>456</v>
      </c>
      <c r="G802" s="11" t="s">
        <v>1561</v>
      </c>
      <c r="H802" s="11" t="s">
        <v>15</v>
      </c>
      <c r="I802" s="11">
        <v>15</v>
      </c>
      <c r="J802" s="12" t="s">
        <v>37</v>
      </c>
      <c r="K802" s="591">
        <f>(14*26)+(1*17.4)</f>
        <v>381.4</v>
      </c>
      <c r="L802" s="121" t="s">
        <v>2033</v>
      </c>
      <c r="M802" s="132">
        <v>12</v>
      </c>
      <c r="N802" s="133">
        <v>15</v>
      </c>
      <c r="O802" s="119">
        <f t="shared" si="22"/>
        <v>0</v>
      </c>
    </row>
    <row r="803" spans="1:15">
      <c r="A803" s="590" t="s">
        <v>1014</v>
      </c>
      <c r="B803" s="11" t="s">
        <v>9</v>
      </c>
      <c r="C803" s="11">
        <v>40</v>
      </c>
      <c r="D803" s="11" t="s">
        <v>29</v>
      </c>
      <c r="E803" s="15">
        <v>133</v>
      </c>
      <c r="F803" s="11" t="s">
        <v>131</v>
      </c>
      <c r="G803" s="11" t="s">
        <v>1561</v>
      </c>
      <c r="H803" s="15" t="s">
        <v>15</v>
      </c>
      <c r="I803" s="15">
        <v>25</v>
      </c>
      <c r="J803" s="12" t="s">
        <v>175</v>
      </c>
      <c r="K803" s="591">
        <f>(25*26)</f>
        <v>650</v>
      </c>
      <c r="L803" s="121" t="s">
        <v>2029</v>
      </c>
      <c r="M803" s="132">
        <v>4</v>
      </c>
      <c r="N803" s="133">
        <v>25</v>
      </c>
      <c r="O803" s="119">
        <f t="shared" si="22"/>
        <v>0</v>
      </c>
    </row>
    <row r="804" spans="1:15">
      <c r="A804" s="590" t="s">
        <v>1014</v>
      </c>
      <c r="B804" s="11" t="s">
        <v>9</v>
      </c>
      <c r="C804" s="11">
        <v>40</v>
      </c>
      <c r="D804" s="11" t="s">
        <v>29</v>
      </c>
      <c r="E804" s="15">
        <v>134</v>
      </c>
      <c r="F804" s="11" t="s">
        <v>723</v>
      </c>
      <c r="G804" s="11" t="s">
        <v>1561</v>
      </c>
      <c r="H804" s="15" t="s">
        <v>15</v>
      </c>
      <c r="I804" s="15">
        <v>15</v>
      </c>
      <c r="J804" s="12" t="s">
        <v>37</v>
      </c>
      <c r="K804" s="591">
        <f>(14*26)+(1*17.4)</f>
        <v>381.4</v>
      </c>
      <c r="L804" s="121" t="s">
        <v>2033</v>
      </c>
      <c r="M804" s="132">
        <v>2</v>
      </c>
      <c r="N804" s="133">
        <v>15</v>
      </c>
      <c r="O804" s="119">
        <f t="shared" si="22"/>
        <v>0</v>
      </c>
    </row>
    <row r="805" spans="1:15">
      <c r="A805" s="590" t="s">
        <v>1976</v>
      </c>
      <c r="B805" s="11" t="s">
        <v>9</v>
      </c>
      <c r="C805" s="11">
        <v>49</v>
      </c>
      <c r="D805" s="11" t="s">
        <v>29</v>
      </c>
      <c r="E805" s="15">
        <v>684</v>
      </c>
      <c r="F805" s="11" t="s">
        <v>460</v>
      </c>
      <c r="G805" s="11" t="s">
        <v>1561</v>
      </c>
      <c r="H805" s="15" t="s">
        <v>15</v>
      </c>
      <c r="I805" s="15">
        <v>15</v>
      </c>
      <c r="J805" s="12" t="s">
        <v>37</v>
      </c>
      <c r="K805" s="591">
        <f>(14*26)+(1*17.4)</f>
        <v>381.4</v>
      </c>
      <c r="L805" s="121" t="s">
        <v>2029</v>
      </c>
      <c r="M805" s="136">
        <v>2</v>
      </c>
      <c r="N805" s="133">
        <f>8+7</f>
        <v>15</v>
      </c>
      <c r="O805" s="119">
        <f t="shared" si="22"/>
        <v>0</v>
      </c>
    </row>
    <row r="806" spans="1:15">
      <c r="A806" s="590" t="s">
        <v>1018</v>
      </c>
      <c r="B806" s="11" t="s">
        <v>6</v>
      </c>
      <c r="C806" s="11">
        <v>47</v>
      </c>
      <c r="D806" s="11" t="s">
        <v>82</v>
      </c>
      <c r="E806" s="15">
        <v>5161</v>
      </c>
      <c r="F806" s="11" t="s">
        <v>1709</v>
      </c>
      <c r="G806" s="11" t="s">
        <v>1710</v>
      </c>
      <c r="H806" s="15" t="s">
        <v>1578</v>
      </c>
      <c r="I806" s="15">
        <v>20</v>
      </c>
      <c r="J806" s="12" t="s">
        <v>128</v>
      </c>
      <c r="K806" s="591">
        <f>(19*17)+(1*10)</f>
        <v>333</v>
      </c>
      <c r="L806" s="121" t="s">
        <v>2055</v>
      </c>
      <c r="M806" s="132">
        <v>2</v>
      </c>
      <c r="N806" s="133">
        <v>20</v>
      </c>
      <c r="O806" s="119">
        <f t="shared" si="22"/>
        <v>0</v>
      </c>
    </row>
    <row r="807" spans="1:15">
      <c r="A807" s="590" t="s">
        <v>1129</v>
      </c>
      <c r="B807" s="11" t="s">
        <v>9</v>
      </c>
      <c r="C807" s="11">
        <v>38</v>
      </c>
      <c r="D807" s="11" t="s">
        <v>16</v>
      </c>
      <c r="E807" s="11">
        <v>374</v>
      </c>
      <c r="F807" s="11" t="s">
        <v>43</v>
      </c>
      <c r="G807" s="11" t="s">
        <v>167</v>
      </c>
      <c r="H807" s="11" t="s">
        <v>5</v>
      </c>
      <c r="I807" s="11">
        <v>20</v>
      </c>
      <c r="J807" s="12" t="s">
        <v>17</v>
      </c>
      <c r="K807" s="591">
        <f>(19*35)+(1*26.4)</f>
        <v>691.4</v>
      </c>
      <c r="L807" s="121" t="s">
        <v>2029</v>
      </c>
      <c r="M807" s="132">
        <v>4</v>
      </c>
      <c r="N807" s="133">
        <v>20</v>
      </c>
      <c r="O807" s="119">
        <f t="shared" si="22"/>
        <v>0</v>
      </c>
    </row>
    <row r="808" spans="1:15">
      <c r="A808" s="590" t="s">
        <v>993</v>
      </c>
      <c r="B808" s="11" t="s">
        <v>9</v>
      </c>
      <c r="C808" s="11">
        <v>39</v>
      </c>
      <c r="D808" s="11" t="s">
        <v>29</v>
      </c>
      <c r="E808" s="11">
        <v>78</v>
      </c>
      <c r="F808" s="11" t="s">
        <v>725</v>
      </c>
      <c r="G808" s="11" t="s">
        <v>167</v>
      </c>
      <c r="H808" s="11" t="s">
        <v>15</v>
      </c>
      <c r="I808" s="11">
        <v>15</v>
      </c>
      <c r="J808" s="12" t="s">
        <v>13</v>
      </c>
      <c r="K808" s="591">
        <f>(14*35)+(1*26.4)</f>
        <v>516.4</v>
      </c>
      <c r="L808" s="121" t="s">
        <v>2082</v>
      </c>
      <c r="M808" s="132">
        <v>12</v>
      </c>
      <c r="N808" s="133">
        <f>8+7</f>
        <v>15</v>
      </c>
      <c r="O808" s="119">
        <f t="shared" si="22"/>
        <v>0</v>
      </c>
    </row>
    <row r="809" spans="1:15">
      <c r="A809" s="590" t="s">
        <v>993</v>
      </c>
      <c r="B809" s="11" t="s">
        <v>9</v>
      </c>
      <c r="C809" s="11">
        <v>39</v>
      </c>
      <c r="D809" s="11" t="s">
        <v>29</v>
      </c>
      <c r="E809" s="11">
        <v>80</v>
      </c>
      <c r="F809" s="11" t="s">
        <v>455</v>
      </c>
      <c r="G809" s="11" t="s">
        <v>167</v>
      </c>
      <c r="H809" s="11" t="s">
        <v>15</v>
      </c>
      <c r="I809" s="11">
        <v>25</v>
      </c>
      <c r="J809" s="12" t="s">
        <v>112</v>
      </c>
      <c r="K809" s="591">
        <f>(24*35)+(1*26.4)</f>
        <v>866.4</v>
      </c>
      <c r="L809" s="121" t="s">
        <v>2082</v>
      </c>
      <c r="M809" s="132">
        <v>15</v>
      </c>
      <c r="N809" s="133">
        <v>25</v>
      </c>
      <c r="O809" s="119">
        <f t="shared" si="22"/>
        <v>0</v>
      </c>
    </row>
    <row r="810" spans="1:15">
      <c r="A810" s="590" t="s">
        <v>1004</v>
      </c>
      <c r="B810" s="11" t="s">
        <v>9</v>
      </c>
      <c r="C810" s="11">
        <v>44</v>
      </c>
      <c r="D810" s="11" t="s">
        <v>16</v>
      </c>
      <c r="E810" s="15">
        <v>508</v>
      </c>
      <c r="F810" s="11" t="s">
        <v>736</v>
      </c>
      <c r="G810" s="11" t="s">
        <v>167</v>
      </c>
      <c r="H810" s="15" t="s">
        <v>15</v>
      </c>
      <c r="I810" s="15">
        <v>15</v>
      </c>
      <c r="J810" s="12" t="s">
        <v>13</v>
      </c>
      <c r="K810" s="591">
        <f>(14*35)+(1*26.4)</f>
        <v>516.4</v>
      </c>
      <c r="L810" s="120" t="s">
        <v>2033</v>
      </c>
      <c r="M810" s="132">
        <v>4</v>
      </c>
      <c r="N810" s="133">
        <f>8+7</f>
        <v>15</v>
      </c>
      <c r="O810" s="119">
        <f t="shared" si="22"/>
        <v>0</v>
      </c>
    </row>
    <row r="811" spans="1:15">
      <c r="A811" s="590" t="s">
        <v>1009</v>
      </c>
      <c r="B811" s="11" t="s">
        <v>9</v>
      </c>
      <c r="C811" s="11">
        <v>42</v>
      </c>
      <c r="D811" s="11" t="s">
        <v>10</v>
      </c>
      <c r="E811" s="15">
        <v>501</v>
      </c>
      <c r="F811" s="11" t="s">
        <v>1398</v>
      </c>
      <c r="G811" s="11" t="s">
        <v>167</v>
      </c>
      <c r="H811" s="15" t="s">
        <v>5</v>
      </c>
      <c r="I811" s="15">
        <v>25</v>
      </c>
      <c r="J811" s="12" t="s">
        <v>112</v>
      </c>
      <c r="K811" s="591">
        <f>(24*35)+(1*26.4)</f>
        <v>866.4</v>
      </c>
      <c r="L811" s="121" t="s">
        <v>2082</v>
      </c>
      <c r="M811" s="132">
        <v>1</v>
      </c>
      <c r="N811" s="133">
        <f>17+8</f>
        <v>25</v>
      </c>
      <c r="O811" s="119">
        <f t="shared" si="22"/>
        <v>0</v>
      </c>
    </row>
    <row r="812" spans="1:15">
      <c r="A812" s="590" t="s">
        <v>1023</v>
      </c>
      <c r="B812" s="11" t="s">
        <v>9</v>
      </c>
      <c r="C812" s="11">
        <v>40</v>
      </c>
      <c r="D812" s="11" t="s">
        <v>16</v>
      </c>
      <c r="E812" s="15">
        <v>418</v>
      </c>
      <c r="F812" s="11" t="s">
        <v>562</v>
      </c>
      <c r="G812" s="11" t="s">
        <v>167</v>
      </c>
      <c r="H812" s="15" t="s">
        <v>5</v>
      </c>
      <c r="I812" s="15">
        <v>30</v>
      </c>
      <c r="J812" s="12" t="s">
        <v>12</v>
      </c>
      <c r="K812" s="591">
        <f>(29*35)+(1*26.4)</f>
        <v>1041.4000000000001</v>
      </c>
      <c r="L812" s="121" t="s">
        <v>2029</v>
      </c>
      <c r="M812" s="132">
        <v>1</v>
      </c>
      <c r="N812" s="130">
        <f>10+10+10</f>
        <v>30</v>
      </c>
      <c r="O812" s="119">
        <f t="shared" si="22"/>
        <v>0</v>
      </c>
    </row>
    <row r="813" spans="1:15">
      <c r="A813" s="590" t="s">
        <v>1023</v>
      </c>
      <c r="B813" s="11" t="s">
        <v>9</v>
      </c>
      <c r="C813" s="11">
        <v>40</v>
      </c>
      <c r="D813" s="11" t="s">
        <v>16</v>
      </c>
      <c r="E813" s="15">
        <v>419</v>
      </c>
      <c r="F813" s="11" t="s">
        <v>136</v>
      </c>
      <c r="G813" s="11" t="s">
        <v>167</v>
      </c>
      <c r="H813" s="15" t="s">
        <v>15</v>
      </c>
      <c r="I813" s="15">
        <v>20</v>
      </c>
      <c r="J813" s="12" t="s">
        <v>142</v>
      </c>
      <c r="K813" s="591">
        <f>(20*35)</f>
        <v>700</v>
      </c>
      <c r="L813" s="121" t="s">
        <v>2033</v>
      </c>
      <c r="M813" s="132">
        <v>13</v>
      </c>
      <c r="N813" s="133">
        <v>20</v>
      </c>
      <c r="O813" s="119">
        <f t="shared" si="22"/>
        <v>0</v>
      </c>
    </row>
    <row r="814" spans="1:15">
      <c r="A814" s="590" t="s">
        <v>1174</v>
      </c>
      <c r="B814" s="11" t="s">
        <v>9</v>
      </c>
      <c r="C814" s="11">
        <v>47</v>
      </c>
      <c r="D814" s="11" t="s">
        <v>10</v>
      </c>
      <c r="E814" s="15">
        <v>566</v>
      </c>
      <c r="F814" s="11" t="s">
        <v>473</v>
      </c>
      <c r="G814" s="11" t="s">
        <v>167</v>
      </c>
      <c r="H814" s="15" t="s">
        <v>5</v>
      </c>
      <c r="I814" s="15">
        <v>15</v>
      </c>
      <c r="J814" s="12" t="s">
        <v>13</v>
      </c>
      <c r="K814" s="591">
        <f>(14*35)+(1*26.4)</f>
        <v>516.4</v>
      </c>
      <c r="L814" s="121" t="s">
        <v>2100</v>
      </c>
      <c r="M814" s="132"/>
      <c r="N814" s="133">
        <f>6+9</f>
        <v>15</v>
      </c>
      <c r="O814" s="119">
        <f t="shared" si="22"/>
        <v>0</v>
      </c>
    </row>
    <row r="815" spans="1:15">
      <c r="A815" s="590" t="s">
        <v>1977</v>
      </c>
      <c r="B815" s="11" t="s">
        <v>9</v>
      </c>
      <c r="C815" s="11">
        <v>47</v>
      </c>
      <c r="D815" s="11" t="s">
        <v>10</v>
      </c>
      <c r="E815" s="15">
        <v>567</v>
      </c>
      <c r="F815" s="11" t="s">
        <v>1959</v>
      </c>
      <c r="G815" s="11" t="s">
        <v>167</v>
      </c>
      <c r="H815" s="15" t="s">
        <v>5</v>
      </c>
      <c r="I815" s="15">
        <v>10</v>
      </c>
      <c r="J815" s="12" t="s">
        <v>401</v>
      </c>
      <c r="K815" s="591">
        <f>(10*35)</f>
        <v>350</v>
      </c>
      <c r="L815" s="121" t="s">
        <v>2055</v>
      </c>
      <c r="M815" s="136"/>
      <c r="N815" s="133">
        <v>10</v>
      </c>
      <c r="O815" s="119">
        <f t="shared" si="22"/>
        <v>0</v>
      </c>
    </row>
    <row r="816" spans="1:15">
      <c r="A816" s="590" t="s">
        <v>1176</v>
      </c>
      <c r="B816" s="11" t="s">
        <v>150</v>
      </c>
      <c r="C816" s="11">
        <v>50</v>
      </c>
      <c r="D816" s="11" t="s">
        <v>51</v>
      </c>
      <c r="E816" s="15">
        <v>220</v>
      </c>
      <c r="F816" s="11" t="s">
        <v>1814</v>
      </c>
      <c r="G816" s="11" t="s">
        <v>1815</v>
      </c>
      <c r="H816" s="15" t="s">
        <v>15</v>
      </c>
      <c r="I816" s="15">
        <v>20</v>
      </c>
      <c r="J816" s="12" t="s">
        <v>1669</v>
      </c>
      <c r="K816" s="591">
        <f>(19*24)+(1*19.7)</f>
        <v>475.7</v>
      </c>
      <c r="L816" s="121" t="s">
        <v>2082</v>
      </c>
      <c r="M816" s="132">
        <v>15</v>
      </c>
      <c r="N816" s="133">
        <v>20</v>
      </c>
      <c r="O816" s="119">
        <f t="shared" si="22"/>
        <v>0</v>
      </c>
    </row>
    <row r="817" spans="1:15">
      <c r="A817" s="590" t="s">
        <v>1156</v>
      </c>
      <c r="B817" s="11" t="s">
        <v>9</v>
      </c>
      <c r="C817" s="11">
        <v>40</v>
      </c>
      <c r="D817" s="11" t="s">
        <v>7</v>
      </c>
      <c r="E817" s="15">
        <v>848</v>
      </c>
      <c r="F817" s="11" t="s">
        <v>546</v>
      </c>
      <c r="G817" s="11" t="s">
        <v>1640</v>
      </c>
      <c r="H817" s="15" t="s">
        <v>5</v>
      </c>
      <c r="I817" s="15">
        <v>23</v>
      </c>
      <c r="J817" s="12" t="s">
        <v>1641</v>
      </c>
      <c r="K817" s="591">
        <f>(22*35)+(1*26.4)</f>
        <v>796.4</v>
      </c>
      <c r="L817" s="121" t="s">
        <v>2082</v>
      </c>
      <c r="M817" s="132">
        <v>4</v>
      </c>
      <c r="N817" s="133">
        <f>20+3</f>
        <v>23</v>
      </c>
      <c r="O817" s="119">
        <f t="shared" si="22"/>
        <v>0</v>
      </c>
    </row>
    <row r="818" spans="1:15">
      <c r="A818" s="590" t="s">
        <v>1166</v>
      </c>
      <c r="B818" s="11" t="s">
        <v>150</v>
      </c>
      <c r="C818" s="11">
        <v>49</v>
      </c>
      <c r="D818" s="11" t="s">
        <v>50</v>
      </c>
      <c r="E818" s="15">
        <v>310</v>
      </c>
      <c r="F818" s="11" t="s">
        <v>632</v>
      </c>
      <c r="G818" s="11" t="s">
        <v>1776</v>
      </c>
      <c r="H818" s="15" t="s">
        <v>15</v>
      </c>
      <c r="I818" s="15">
        <v>25</v>
      </c>
      <c r="J818" s="12" t="s">
        <v>1388</v>
      </c>
      <c r="K818" s="591">
        <f>(25*36)</f>
        <v>900</v>
      </c>
      <c r="L818" s="121" t="s">
        <v>2033</v>
      </c>
      <c r="M818" s="132" t="s">
        <v>2035</v>
      </c>
      <c r="N818" s="133">
        <f>10+7+8</f>
        <v>25</v>
      </c>
      <c r="O818" s="119">
        <f t="shared" si="22"/>
        <v>0</v>
      </c>
    </row>
    <row r="819" spans="1:15">
      <c r="A819" s="590" t="s">
        <v>1176</v>
      </c>
      <c r="B819" s="11" t="s">
        <v>150</v>
      </c>
      <c r="C819" s="11">
        <v>50</v>
      </c>
      <c r="D819" s="11" t="s">
        <v>50</v>
      </c>
      <c r="E819" s="15">
        <v>193</v>
      </c>
      <c r="F819" s="11" t="s">
        <v>772</v>
      </c>
      <c r="G819" s="11" t="s">
        <v>1776</v>
      </c>
      <c r="H819" s="15" t="s">
        <v>15</v>
      </c>
      <c r="I819" s="15">
        <v>15</v>
      </c>
      <c r="J819" s="12" t="s">
        <v>640</v>
      </c>
      <c r="K819" s="591">
        <f>(14*36)+(1*28.3)</f>
        <v>532.29999999999995</v>
      </c>
      <c r="L819" s="121" t="s">
        <v>2033</v>
      </c>
      <c r="M819" s="132">
        <v>4</v>
      </c>
      <c r="N819" s="138">
        <v>15</v>
      </c>
      <c r="O819" s="119">
        <f t="shared" si="22"/>
        <v>0</v>
      </c>
    </row>
    <row r="820" spans="1:15">
      <c r="A820" s="590" t="s">
        <v>1176</v>
      </c>
      <c r="B820" s="11" t="s">
        <v>150</v>
      </c>
      <c r="C820" s="11">
        <v>50</v>
      </c>
      <c r="D820" s="11" t="s">
        <v>50</v>
      </c>
      <c r="E820" s="15">
        <v>195</v>
      </c>
      <c r="F820" s="11" t="s">
        <v>533</v>
      </c>
      <c r="G820" s="11" t="s">
        <v>1776</v>
      </c>
      <c r="H820" s="15" t="s">
        <v>15</v>
      </c>
      <c r="I820" s="15">
        <v>15</v>
      </c>
      <c r="J820" s="12" t="s">
        <v>638</v>
      </c>
      <c r="K820" s="591">
        <f>(13*36)+(2*28.3)</f>
        <v>524.6</v>
      </c>
      <c r="L820" s="121" t="s">
        <v>2029</v>
      </c>
      <c r="M820" s="132">
        <v>4</v>
      </c>
      <c r="N820" s="133">
        <v>15</v>
      </c>
      <c r="O820" s="119">
        <f t="shared" si="22"/>
        <v>0</v>
      </c>
    </row>
    <row r="821" spans="1:15">
      <c r="A821" s="590" t="s">
        <v>1178</v>
      </c>
      <c r="B821" s="11" t="s">
        <v>150</v>
      </c>
      <c r="C821" s="11">
        <v>46</v>
      </c>
      <c r="D821" s="11" t="s">
        <v>50</v>
      </c>
      <c r="E821" s="15">
        <v>282</v>
      </c>
      <c r="F821" s="11" t="s">
        <v>1385</v>
      </c>
      <c r="G821" s="11" t="s">
        <v>1776</v>
      </c>
      <c r="H821" s="15" t="s">
        <v>15</v>
      </c>
      <c r="I821" s="15">
        <v>30</v>
      </c>
      <c r="J821" s="12" t="s">
        <v>655</v>
      </c>
      <c r="K821" s="591">
        <f>(29*36)+(1*28.3)</f>
        <v>1072.3</v>
      </c>
      <c r="L821" s="121" t="s">
        <v>2033</v>
      </c>
      <c r="M821" s="132">
        <v>1</v>
      </c>
      <c r="N821" s="133">
        <v>30</v>
      </c>
      <c r="O821" s="119">
        <f t="shared" si="22"/>
        <v>0</v>
      </c>
    </row>
    <row r="822" spans="1:15">
      <c r="A822" s="590" t="s">
        <v>1181</v>
      </c>
      <c r="B822" s="11" t="s">
        <v>150</v>
      </c>
      <c r="C822" s="11">
        <v>46</v>
      </c>
      <c r="D822" s="11" t="s">
        <v>51</v>
      </c>
      <c r="E822" s="15">
        <v>497</v>
      </c>
      <c r="F822" s="11" t="s">
        <v>1357</v>
      </c>
      <c r="G822" s="11" t="s">
        <v>1776</v>
      </c>
      <c r="H822" s="15" t="s">
        <v>5</v>
      </c>
      <c r="I822" s="15">
        <v>30</v>
      </c>
      <c r="J822" s="12" t="s">
        <v>661</v>
      </c>
      <c r="K822" s="591">
        <f>(29*35)+(1*27.3)</f>
        <v>1042.3</v>
      </c>
      <c r="L822" s="121" t="s">
        <v>2082</v>
      </c>
      <c r="M822" s="132">
        <v>4</v>
      </c>
      <c r="N822" s="133">
        <f>10+20</f>
        <v>30</v>
      </c>
      <c r="O822" s="119">
        <f t="shared" si="22"/>
        <v>0</v>
      </c>
    </row>
    <row r="823" spans="1:15">
      <c r="A823" s="590" t="s">
        <v>1181</v>
      </c>
      <c r="B823" s="11" t="s">
        <v>150</v>
      </c>
      <c r="C823" s="11">
        <v>46</v>
      </c>
      <c r="D823" s="11" t="s">
        <v>51</v>
      </c>
      <c r="E823" s="15">
        <v>498</v>
      </c>
      <c r="F823" s="11" t="s">
        <v>1461</v>
      </c>
      <c r="G823" s="11" t="s">
        <v>1776</v>
      </c>
      <c r="H823" s="15" t="s">
        <v>15</v>
      </c>
      <c r="I823" s="15">
        <v>30</v>
      </c>
      <c r="J823" s="12" t="s">
        <v>655</v>
      </c>
      <c r="K823" s="591">
        <f>(29*36)+(1*28.3)</f>
        <v>1072.3</v>
      </c>
      <c r="L823" s="121" t="s">
        <v>2082</v>
      </c>
      <c r="M823" s="132" t="s">
        <v>2061</v>
      </c>
      <c r="N823" s="133">
        <f>11+19</f>
        <v>30</v>
      </c>
      <c r="O823" s="119">
        <f t="shared" si="22"/>
        <v>0</v>
      </c>
    </row>
    <row r="824" spans="1:15">
      <c r="A824" s="590" t="s">
        <v>1178</v>
      </c>
      <c r="B824" s="11" t="s">
        <v>150</v>
      </c>
      <c r="C824" s="11">
        <v>46</v>
      </c>
      <c r="D824" s="11" t="s">
        <v>50</v>
      </c>
      <c r="E824" s="15">
        <v>266</v>
      </c>
      <c r="F824" s="11" t="s">
        <v>1835</v>
      </c>
      <c r="G824" s="11" t="s">
        <v>358</v>
      </c>
      <c r="H824" s="15" t="s">
        <v>15</v>
      </c>
      <c r="I824" s="15">
        <v>35</v>
      </c>
      <c r="J824" s="12" t="s">
        <v>1836</v>
      </c>
      <c r="K824" s="591">
        <f>(34*38)+(1*30.3)</f>
        <v>1322.3</v>
      </c>
      <c r="L824" s="121" t="s">
        <v>2056</v>
      </c>
      <c r="M824" s="132" t="s">
        <v>2057</v>
      </c>
      <c r="N824" s="133">
        <f>9+8+18</f>
        <v>35</v>
      </c>
      <c r="O824" s="119">
        <f t="shared" si="22"/>
        <v>0</v>
      </c>
    </row>
    <row r="825" spans="1:15">
      <c r="A825" s="590" t="s">
        <v>1178</v>
      </c>
      <c r="B825" s="11" t="s">
        <v>150</v>
      </c>
      <c r="C825" s="11">
        <v>46</v>
      </c>
      <c r="D825" s="11" t="s">
        <v>50</v>
      </c>
      <c r="E825" s="15">
        <v>267</v>
      </c>
      <c r="F825" s="11" t="s">
        <v>1837</v>
      </c>
      <c r="G825" s="11" t="s">
        <v>358</v>
      </c>
      <c r="H825" s="15" t="s">
        <v>15</v>
      </c>
      <c r="I825" s="15">
        <v>15</v>
      </c>
      <c r="J825" s="12" t="s">
        <v>626</v>
      </c>
      <c r="K825" s="591">
        <f>(14*38)+(1*30.3)</f>
        <v>562.29999999999995</v>
      </c>
      <c r="L825" s="121" t="s">
        <v>2055</v>
      </c>
      <c r="M825" s="132">
        <v>3</v>
      </c>
      <c r="N825" s="133">
        <f>7+8</f>
        <v>15</v>
      </c>
      <c r="O825" s="119">
        <f t="shared" si="22"/>
        <v>0</v>
      </c>
    </row>
    <row r="826" spans="1:15">
      <c r="A826" s="590" t="s">
        <v>1148</v>
      </c>
      <c r="B826" s="11" t="s">
        <v>9</v>
      </c>
      <c r="C826" s="11">
        <v>39</v>
      </c>
      <c r="D826" s="11" t="s">
        <v>16</v>
      </c>
      <c r="E826" s="15">
        <v>96</v>
      </c>
      <c r="F826" s="11" t="s">
        <v>386</v>
      </c>
      <c r="G826" s="11" t="s">
        <v>124</v>
      </c>
      <c r="H826" s="15" t="s">
        <v>15</v>
      </c>
      <c r="I826" s="15">
        <v>15</v>
      </c>
      <c r="J826" s="12" t="s">
        <v>13</v>
      </c>
      <c r="K826" s="591">
        <f>(14*35)+(1*26.4)</f>
        <v>516.4</v>
      </c>
      <c r="L826" s="121" t="s">
        <v>2055</v>
      </c>
      <c r="M826" s="132">
        <v>6</v>
      </c>
      <c r="N826" s="133">
        <f>5+10</f>
        <v>15</v>
      </c>
      <c r="O826" s="119">
        <f t="shared" si="22"/>
        <v>0</v>
      </c>
    </row>
    <row r="827" spans="1:15">
      <c r="A827" s="590" t="s">
        <v>1023</v>
      </c>
      <c r="B827" s="11" t="s">
        <v>9</v>
      </c>
      <c r="C827" s="11">
        <v>40</v>
      </c>
      <c r="D827" s="11" t="s">
        <v>16</v>
      </c>
      <c r="E827" s="15">
        <v>104</v>
      </c>
      <c r="F827" s="11" t="s">
        <v>653</v>
      </c>
      <c r="G827" s="11" t="s">
        <v>124</v>
      </c>
      <c r="H827" s="15" t="s">
        <v>5</v>
      </c>
      <c r="I827" s="15">
        <v>20</v>
      </c>
      <c r="J827" s="12" t="s">
        <v>17</v>
      </c>
      <c r="K827" s="591">
        <f>(19*35)+(1*26.4)</f>
        <v>691.4</v>
      </c>
      <c r="L827" s="121" t="s">
        <v>2033</v>
      </c>
      <c r="M827" s="132">
        <v>3</v>
      </c>
      <c r="N827" s="133">
        <f>10+10</f>
        <v>20</v>
      </c>
      <c r="O827" s="119">
        <f t="shared" si="22"/>
        <v>0</v>
      </c>
    </row>
    <row r="828" spans="1:15">
      <c r="A828" s="590" t="s">
        <v>1023</v>
      </c>
      <c r="B828" s="11" t="s">
        <v>9</v>
      </c>
      <c r="C828" s="11">
        <v>40</v>
      </c>
      <c r="D828" s="11" t="s">
        <v>16</v>
      </c>
      <c r="E828" s="15">
        <v>105</v>
      </c>
      <c r="F828" s="11" t="s">
        <v>586</v>
      </c>
      <c r="G828" s="11" t="s">
        <v>124</v>
      </c>
      <c r="H828" s="15" t="s">
        <v>5</v>
      </c>
      <c r="I828" s="15">
        <v>25</v>
      </c>
      <c r="J828" s="12" t="s">
        <v>112</v>
      </c>
      <c r="K828" s="591">
        <f>(24*35)+(1*26.4)</f>
        <v>866.4</v>
      </c>
      <c r="L828" s="121" t="s">
        <v>2033</v>
      </c>
      <c r="M828" s="132">
        <v>14</v>
      </c>
      <c r="N828" s="138">
        <f>8+10+7</f>
        <v>25</v>
      </c>
      <c r="O828" s="119">
        <f t="shared" si="22"/>
        <v>0</v>
      </c>
    </row>
    <row r="829" spans="1:15">
      <c r="A829" s="590" t="s">
        <v>1030</v>
      </c>
      <c r="B829" s="11" t="s">
        <v>9</v>
      </c>
      <c r="C829" s="11">
        <v>45</v>
      </c>
      <c r="D829" s="11" t="s">
        <v>16</v>
      </c>
      <c r="E829" s="15">
        <v>72</v>
      </c>
      <c r="F829" s="11" t="s">
        <v>1397</v>
      </c>
      <c r="G829" s="11" t="s">
        <v>124</v>
      </c>
      <c r="H829" s="15" t="s">
        <v>15</v>
      </c>
      <c r="I829" s="15">
        <v>10</v>
      </c>
      <c r="J829" s="12" t="s">
        <v>11</v>
      </c>
      <c r="K829" s="591">
        <f>(9*35)+(1*26.4)</f>
        <v>341.4</v>
      </c>
      <c r="L829" s="120" t="s">
        <v>2082</v>
      </c>
      <c r="M829" s="132">
        <v>8</v>
      </c>
      <c r="N829" s="133">
        <v>10</v>
      </c>
      <c r="O829" s="119">
        <f t="shared" si="22"/>
        <v>0</v>
      </c>
    </row>
    <row r="830" spans="1:15">
      <c r="A830" s="590" t="s">
        <v>1030</v>
      </c>
      <c r="B830" s="11" t="s">
        <v>9</v>
      </c>
      <c r="C830" s="11">
        <v>45</v>
      </c>
      <c r="D830" s="11" t="s">
        <v>16</v>
      </c>
      <c r="E830" s="15">
        <v>73</v>
      </c>
      <c r="F830" s="11" t="s">
        <v>411</v>
      </c>
      <c r="G830" s="11" t="s">
        <v>124</v>
      </c>
      <c r="H830" s="15" t="s">
        <v>15</v>
      </c>
      <c r="I830" s="15">
        <v>25</v>
      </c>
      <c r="J830" s="12" t="s">
        <v>436</v>
      </c>
      <c r="K830" s="591">
        <f>(25*35)</f>
        <v>875</v>
      </c>
      <c r="L830" s="120" t="s">
        <v>2082</v>
      </c>
      <c r="M830" s="132">
        <v>7</v>
      </c>
      <c r="N830" s="133">
        <f>16+9</f>
        <v>25</v>
      </c>
      <c r="O830" s="119">
        <f t="shared" si="22"/>
        <v>0</v>
      </c>
    </row>
    <row r="831" spans="1:15">
      <c r="A831" s="590" t="s">
        <v>1030</v>
      </c>
      <c r="B831" s="11" t="s">
        <v>9</v>
      </c>
      <c r="C831" s="11">
        <v>45</v>
      </c>
      <c r="D831" s="11" t="s">
        <v>16</v>
      </c>
      <c r="E831" s="15">
        <v>74</v>
      </c>
      <c r="F831" s="11" t="s">
        <v>1398</v>
      </c>
      <c r="G831" s="11" t="s">
        <v>124</v>
      </c>
      <c r="H831" s="15" t="s">
        <v>15</v>
      </c>
      <c r="I831" s="15">
        <v>15</v>
      </c>
      <c r="J831" s="12" t="s">
        <v>13</v>
      </c>
      <c r="K831" s="591">
        <f>(14*35)+(1*26.4)</f>
        <v>516.4</v>
      </c>
      <c r="L831" s="120" t="s">
        <v>2082</v>
      </c>
      <c r="M831" s="132">
        <v>10</v>
      </c>
      <c r="N831" s="133">
        <v>15</v>
      </c>
      <c r="O831" s="119">
        <f t="shared" si="22"/>
        <v>0</v>
      </c>
    </row>
    <row r="832" spans="1:15">
      <c r="A832" s="590" t="s">
        <v>1030</v>
      </c>
      <c r="B832" s="11" t="s">
        <v>9</v>
      </c>
      <c r="C832" s="11">
        <v>45</v>
      </c>
      <c r="D832" s="11" t="s">
        <v>16</v>
      </c>
      <c r="E832" s="15">
        <v>75</v>
      </c>
      <c r="F832" s="11" t="s">
        <v>1393</v>
      </c>
      <c r="G832" s="11" t="s">
        <v>124</v>
      </c>
      <c r="H832" s="15" t="s">
        <v>15</v>
      </c>
      <c r="I832" s="15">
        <v>15</v>
      </c>
      <c r="J832" s="12" t="s">
        <v>13</v>
      </c>
      <c r="K832" s="591">
        <f>(14*35)+(1*26.4)</f>
        <v>516.4</v>
      </c>
      <c r="L832" s="120" t="s">
        <v>2082</v>
      </c>
      <c r="M832" s="132">
        <v>10</v>
      </c>
      <c r="N832" s="133">
        <f>8+7</f>
        <v>15</v>
      </c>
      <c r="O832" s="119">
        <f t="shared" si="22"/>
        <v>0</v>
      </c>
    </row>
    <row r="833" spans="1:15">
      <c r="A833" s="590" t="s">
        <v>1031</v>
      </c>
      <c r="B833" s="11" t="s">
        <v>9</v>
      </c>
      <c r="C833" s="11">
        <v>45</v>
      </c>
      <c r="D833" s="11" t="s">
        <v>7</v>
      </c>
      <c r="E833" s="15">
        <v>268</v>
      </c>
      <c r="F833" s="11" t="s">
        <v>1446</v>
      </c>
      <c r="G833" s="11" t="s">
        <v>124</v>
      </c>
      <c r="H833" s="15" t="s">
        <v>15</v>
      </c>
      <c r="I833" s="15">
        <v>20</v>
      </c>
      <c r="J833" s="12" t="s">
        <v>17</v>
      </c>
      <c r="K833" s="591">
        <f>(19*35)+(1*26.4)</f>
        <v>691.4</v>
      </c>
      <c r="L833" s="120" t="s">
        <v>2055</v>
      </c>
      <c r="M833" s="132" t="s">
        <v>2035</v>
      </c>
      <c r="N833" s="133">
        <f>10+10</f>
        <v>20</v>
      </c>
      <c r="O833" s="119">
        <f t="shared" si="22"/>
        <v>0</v>
      </c>
    </row>
    <row r="834" spans="1:15">
      <c r="A834" s="590" t="s">
        <v>1031</v>
      </c>
      <c r="B834" s="11" t="s">
        <v>9</v>
      </c>
      <c r="C834" s="11">
        <v>45</v>
      </c>
      <c r="D834" s="11" t="s">
        <v>7</v>
      </c>
      <c r="E834" s="15">
        <v>269</v>
      </c>
      <c r="F834" s="11" t="s">
        <v>488</v>
      </c>
      <c r="G834" s="11" t="s">
        <v>124</v>
      </c>
      <c r="H834" s="15" t="s">
        <v>15</v>
      </c>
      <c r="I834" s="15">
        <v>15</v>
      </c>
      <c r="J834" s="12" t="s">
        <v>13</v>
      </c>
      <c r="K834" s="591">
        <f>(14*35)+(1*26.4)</f>
        <v>516.4</v>
      </c>
      <c r="L834" s="120" t="s">
        <v>2055</v>
      </c>
      <c r="M834" s="132">
        <v>7</v>
      </c>
      <c r="N834" s="133">
        <f>7+8</f>
        <v>15</v>
      </c>
      <c r="O834" s="119">
        <f t="shared" si="22"/>
        <v>0</v>
      </c>
    </row>
    <row r="835" spans="1:15">
      <c r="A835" s="590" t="s">
        <v>1172</v>
      </c>
      <c r="B835" s="11" t="s">
        <v>9</v>
      </c>
      <c r="C835" s="11">
        <v>46</v>
      </c>
      <c r="D835" s="11" t="s">
        <v>16</v>
      </c>
      <c r="E835" s="15">
        <v>82</v>
      </c>
      <c r="F835" s="11" t="s">
        <v>1800</v>
      </c>
      <c r="G835" s="11" t="s">
        <v>124</v>
      </c>
      <c r="H835" s="15" t="s">
        <v>15</v>
      </c>
      <c r="I835" s="15">
        <v>20</v>
      </c>
      <c r="J835" s="12" t="s">
        <v>17</v>
      </c>
      <c r="K835" s="591">
        <f>(19*35)+(1*26.4)</f>
        <v>691.4</v>
      </c>
      <c r="L835" s="121" t="s">
        <v>2029</v>
      </c>
      <c r="M835" s="132">
        <v>4</v>
      </c>
      <c r="N835" s="133">
        <v>20</v>
      </c>
      <c r="O835" s="119">
        <f t="shared" ref="O835:O898" si="23">I835-N835</f>
        <v>0</v>
      </c>
    </row>
    <row r="836" spans="1:15">
      <c r="A836" s="590" t="s">
        <v>1172</v>
      </c>
      <c r="B836" s="11" t="s">
        <v>9</v>
      </c>
      <c r="C836" s="11">
        <v>46</v>
      </c>
      <c r="D836" s="11" t="s">
        <v>16</v>
      </c>
      <c r="E836" s="15">
        <v>84</v>
      </c>
      <c r="F836" s="11" t="s">
        <v>1447</v>
      </c>
      <c r="G836" s="11" t="s">
        <v>124</v>
      </c>
      <c r="H836" s="15" t="s">
        <v>15</v>
      </c>
      <c r="I836" s="15">
        <v>15</v>
      </c>
      <c r="J836" s="12" t="s">
        <v>159</v>
      </c>
      <c r="K836" s="591">
        <f>(15*35)</f>
        <v>525</v>
      </c>
      <c r="L836" s="121" t="s">
        <v>2029</v>
      </c>
      <c r="M836" s="132">
        <v>4</v>
      </c>
      <c r="N836" s="130">
        <v>15</v>
      </c>
      <c r="O836" s="119">
        <f t="shared" si="23"/>
        <v>0</v>
      </c>
    </row>
    <row r="837" spans="1:15">
      <c r="A837" s="590" t="s">
        <v>1188</v>
      </c>
      <c r="B837" s="11" t="s">
        <v>9</v>
      </c>
      <c r="C837" s="11">
        <v>47</v>
      </c>
      <c r="D837" s="11" t="s">
        <v>7</v>
      </c>
      <c r="E837" s="15">
        <v>432</v>
      </c>
      <c r="F837" s="11" t="s">
        <v>551</v>
      </c>
      <c r="G837" s="11" t="s">
        <v>124</v>
      </c>
      <c r="H837" s="15" t="s">
        <v>15</v>
      </c>
      <c r="I837" s="15">
        <v>15</v>
      </c>
      <c r="J837" s="12" t="s">
        <v>13</v>
      </c>
      <c r="K837" s="591">
        <f>(14*35)+(1*26.4)</f>
        <v>516.4</v>
      </c>
      <c r="L837" s="121" t="s">
        <v>2082</v>
      </c>
      <c r="M837" s="136">
        <v>11</v>
      </c>
      <c r="N837" s="133">
        <f>8+7</f>
        <v>15</v>
      </c>
      <c r="O837" s="119">
        <f t="shared" si="23"/>
        <v>0</v>
      </c>
    </row>
    <row r="838" spans="1:15">
      <c r="A838" s="590" t="s">
        <v>1188</v>
      </c>
      <c r="B838" s="11" t="s">
        <v>9</v>
      </c>
      <c r="C838" s="11">
        <v>47</v>
      </c>
      <c r="D838" s="11" t="s">
        <v>7</v>
      </c>
      <c r="E838" s="15">
        <v>433</v>
      </c>
      <c r="F838" s="11" t="s">
        <v>536</v>
      </c>
      <c r="G838" s="11" t="s">
        <v>124</v>
      </c>
      <c r="H838" s="15" t="s">
        <v>15</v>
      </c>
      <c r="I838" s="15">
        <v>15</v>
      </c>
      <c r="J838" s="12" t="s">
        <v>159</v>
      </c>
      <c r="K838" s="591">
        <f>(15*35)</f>
        <v>525</v>
      </c>
      <c r="L838" s="121" t="s">
        <v>2082</v>
      </c>
      <c r="M838" s="136">
        <v>12</v>
      </c>
      <c r="N838" s="133">
        <f>8+7</f>
        <v>15</v>
      </c>
      <c r="O838" s="119">
        <f t="shared" si="23"/>
        <v>0</v>
      </c>
    </row>
    <row r="839" spans="1:15">
      <c r="A839" s="590" t="s">
        <v>1188</v>
      </c>
      <c r="B839" s="11" t="s">
        <v>9</v>
      </c>
      <c r="C839" s="11">
        <v>47</v>
      </c>
      <c r="D839" s="11" t="s">
        <v>7</v>
      </c>
      <c r="E839" s="15">
        <v>434</v>
      </c>
      <c r="F839" s="11" t="s">
        <v>531</v>
      </c>
      <c r="G839" s="11" t="s">
        <v>124</v>
      </c>
      <c r="H839" s="15" t="s">
        <v>15</v>
      </c>
      <c r="I839" s="15">
        <v>20</v>
      </c>
      <c r="J839" s="12" t="s">
        <v>17</v>
      </c>
      <c r="K839" s="591">
        <f>(19*35)+(1*26.4)</f>
        <v>691.4</v>
      </c>
      <c r="L839" s="121" t="s">
        <v>2082</v>
      </c>
      <c r="M839" s="136">
        <v>12</v>
      </c>
      <c r="N839" s="133">
        <v>20</v>
      </c>
      <c r="O839" s="119">
        <f t="shared" si="23"/>
        <v>0</v>
      </c>
    </row>
    <row r="840" spans="1:15">
      <c r="A840" s="590" t="s">
        <v>1975</v>
      </c>
      <c r="B840" s="11" t="s">
        <v>9</v>
      </c>
      <c r="C840" s="11">
        <v>49</v>
      </c>
      <c r="D840" s="11" t="s">
        <v>7</v>
      </c>
      <c r="E840" s="15">
        <v>402</v>
      </c>
      <c r="F840" s="11" t="s">
        <v>1965</v>
      </c>
      <c r="G840" s="11" t="s">
        <v>124</v>
      </c>
      <c r="H840" s="15" t="s">
        <v>5</v>
      </c>
      <c r="I840" s="15">
        <v>15</v>
      </c>
      <c r="J840" s="12" t="s">
        <v>13</v>
      </c>
      <c r="K840" s="591">
        <f>(14*35)+(1*26.4)</f>
        <v>516.4</v>
      </c>
      <c r="L840" s="121" t="s">
        <v>2055</v>
      </c>
      <c r="M840" s="136">
        <v>6</v>
      </c>
      <c r="N840" s="133">
        <v>15</v>
      </c>
      <c r="O840" s="119">
        <f t="shared" si="23"/>
        <v>0</v>
      </c>
    </row>
    <row r="841" spans="1:15">
      <c r="A841" s="590" t="s">
        <v>1975</v>
      </c>
      <c r="B841" s="11" t="s">
        <v>9</v>
      </c>
      <c r="C841" s="11">
        <v>49</v>
      </c>
      <c r="D841" s="11" t="s">
        <v>7</v>
      </c>
      <c r="E841" s="15">
        <v>406</v>
      </c>
      <c r="F841" s="11" t="s">
        <v>72</v>
      </c>
      <c r="G841" s="11" t="s">
        <v>124</v>
      </c>
      <c r="H841" s="15" t="s">
        <v>15</v>
      </c>
      <c r="I841" s="15">
        <v>15</v>
      </c>
      <c r="J841" s="12" t="s">
        <v>13</v>
      </c>
      <c r="K841" s="591">
        <f>(14*35)+(1*26.4)</f>
        <v>516.4</v>
      </c>
      <c r="L841" s="121" t="s">
        <v>2055</v>
      </c>
      <c r="M841" s="136">
        <v>4</v>
      </c>
      <c r="N841" s="133">
        <v>15</v>
      </c>
      <c r="O841" s="119">
        <f t="shared" si="23"/>
        <v>0</v>
      </c>
    </row>
    <row r="842" spans="1:15">
      <c r="A842" s="590" t="s">
        <v>1976</v>
      </c>
      <c r="B842" s="11" t="s">
        <v>9</v>
      </c>
      <c r="C842" s="11">
        <v>49</v>
      </c>
      <c r="D842" s="11" t="s">
        <v>7</v>
      </c>
      <c r="E842" s="15">
        <v>401</v>
      </c>
      <c r="F842" s="11" t="s">
        <v>104</v>
      </c>
      <c r="G842" s="11" t="s">
        <v>124</v>
      </c>
      <c r="H842" s="15" t="s">
        <v>5</v>
      </c>
      <c r="I842" s="15">
        <v>15</v>
      </c>
      <c r="J842" s="12" t="s">
        <v>13</v>
      </c>
      <c r="K842" s="591">
        <f>(14*35)+(1*26.4)</f>
        <v>516.4</v>
      </c>
      <c r="L842" s="121" t="s">
        <v>2029</v>
      </c>
      <c r="M842" s="136">
        <v>2</v>
      </c>
      <c r="N842" s="133">
        <v>15</v>
      </c>
      <c r="O842" s="119">
        <f t="shared" si="23"/>
        <v>0</v>
      </c>
    </row>
    <row r="843" spans="1:15">
      <c r="A843" s="590" t="s">
        <v>1976</v>
      </c>
      <c r="B843" s="11" t="s">
        <v>9</v>
      </c>
      <c r="C843" s="11">
        <v>49</v>
      </c>
      <c r="D843" s="11" t="s">
        <v>7</v>
      </c>
      <c r="E843" s="15">
        <v>405</v>
      </c>
      <c r="F843" s="11" t="s">
        <v>173</v>
      </c>
      <c r="G843" s="11" t="s">
        <v>124</v>
      </c>
      <c r="H843" s="15" t="s">
        <v>15</v>
      </c>
      <c r="I843" s="15">
        <v>15</v>
      </c>
      <c r="J843" s="12" t="s">
        <v>13</v>
      </c>
      <c r="K843" s="591">
        <f>(14*35)+(1*26.4)</f>
        <v>516.4</v>
      </c>
      <c r="L843" s="121" t="s">
        <v>2029</v>
      </c>
      <c r="M843" s="136">
        <v>2</v>
      </c>
      <c r="N843" s="133">
        <v>15</v>
      </c>
      <c r="O843" s="119">
        <f t="shared" si="23"/>
        <v>0</v>
      </c>
    </row>
    <row r="844" spans="1:15">
      <c r="A844" s="590" t="s">
        <v>986</v>
      </c>
      <c r="B844" s="11" t="s">
        <v>9</v>
      </c>
      <c r="C844" s="11">
        <v>39</v>
      </c>
      <c r="D844" s="11" t="s">
        <v>10</v>
      </c>
      <c r="E844" s="11">
        <v>222</v>
      </c>
      <c r="F844" s="11" t="s">
        <v>525</v>
      </c>
      <c r="G844" s="11" t="s">
        <v>1353</v>
      </c>
      <c r="H844" s="11" t="s">
        <v>15</v>
      </c>
      <c r="I844" s="11">
        <v>20</v>
      </c>
      <c r="J844" s="12" t="s">
        <v>492</v>
      </c>
      <c r="K844" s="591">
        <f>(20*36)</f>
        <v>720</v>
      </c>
      <c r="L844" s="120" t="s">
        <v>2082</v>
      </c>
      <c r="M844" s="132">
        <v>10</v>
      </c>
      <c r="N844" s="133">
        <v>20</v>
      </c>
      <c r="O844" s="119">
        <f t="shared" si="23"/>
        <v>0</v>
      </c>
    </row>
    <row r="845" spans="1:15">
      <c r="A845" s="590" t="s">
        <v>976</v>
      </c>
      <c r="B845" s="11" t="s">
        <v>9</v>
      </c>
      <c r="C845" s="11">
        <v>38</v>
      </c>
      <c r="D845" s="11" t="s">
        <v>10</v>
      </c>
      <c r="E845" s="11">
        <v>286</v>
      </c>
      <c r="F845" s="11" t="s">
        <v>491</v>
      </c>
      <c r="G845" s="11" t="s">
        <v>106</v>
      </c>
      <c r="H845" s="11" t="s">
        <v>1518</v>
      </c>
      <c r="I845" s="11">
        <v>20</v>
      </c>
      <c r="J845" s="12" t="s">
        <v>174</v>
      </c>
      <c r="K845" s="591">
        <f>(19*33)+(1*24.4)</f>
        <v>651.4</v>
      </c>
      <c r="L845" s="121" t="s">
        <v>2082</v>
      </c>
      <c r="M845" s="132">
        <v>6</v>
      </c>
      <c r="N845" s="133">
        <f>10+10</f>
        <v>20</v>
      </c>
      <c r="O845" s="119">
        <f t="shared" si="23"/>
        <v>0</v>
      </c>
    </row>
    <row r="846" spans="1:15">
      <c r="A846" s="590" t="s">
        <v>1004</v>
      </c>
      <c r="B846" s="11" t="s">
        <v>9</v>
      </c>
      <c r="C846" s="11">
        <v>44</v>
      </c>
      <c r="D846" s="11" t="s">
        <v>7</v>
      </c>
      <c r="E846" s="15">
        <v>515</v>
      </c>
      <c r="F846" s="11" t="s">
        <v>580</v>
      </c>
      <c r="G846" s="11" t="s">
        <v>106</v>
      </c>
      <c r="H846" s="15" t="s">
        <v>15</v>
      </c>
      <c r="I846" s="15">
        <v>15</v>
      </c>
      <c r="J846" s="12" t="s">
        <v>205</v>
      </c>
      <c r="K846" s="591">
        <f>(14*36)+(1*27.4)</f>
        <v>531.4</v>
      </c>
      <c r="L846" s="120" t="s">
        <v>2033</v>
      </c>
      <c r="M846" s="132">
        <v>13</v>
      </c>
      <c r="N846" s="138">
        <f>8+7</f>
        <v>15</v>
      </c>
      <c r="O846" s="119">
        <f t="shared" si="23"/>
        <v>0</v>
      </c>
    </row>
    <row r="847" spans="1:15">
      <c r="A847" s="590" t="s">
        <v>1004</v>
      </c>
      <c r="B847" s="11" t="s">
        <v>9</v>
      </c>
      <c r="C847" s="11">
        <v>44</v>
      </c>
      <c r="D847" s="11" t="s">
        <v>7</v>
      </c>
      <c r="E847" s="15">
        <v>516</v>
      </c>
      <c r="F847" s="11" t="s">
        <v>573</v>
      </c>
      <c r="G847" s="11" t="s">
        <v>106</v>
      </c>
      <c r="H847" s="15" t="s">
        <v>15</v>
      </c>
      <c r="I847" s="15">
        <v>15</v>
      </c>
      <c r="J847" s="12" t="s">
        <v>205</v>
      </c>
      <c r="K847" s="591">
        <f>(14*36)+(1*27.4)</f>
        <v>531.4</v>
      </c>
      <c r="L847" s="120" t="s">
        <v>2033</v>
      </c>
      <c r="M847" s="132">
        <v>4</v>
      </c>
      <c r="N847" s="133">
        <f>7+8</f>
        <v>15</v>
      </c>
      <c r="O847" s="119">
        <f t="shared" si="23"/>
        <v>0</v>
      </c>
    </row>
    <row r="848" spans="1:15">
      <c r="A848" s="590" t="s">
        <v>1156</v>
      </c>
      <c r="B848" s="11" t="s">
        <v>9</v>
      </c>
      <c r="C848" s="11">
        <v>40</v>
      </c>
      <c r="D848" s="11" t="s">
        <v>7</v>
      </c>
      <c r="E848" s="15">
        <v>385</v>
      </c>
      <c r="F848" s="11" t="s">
        <v>385</v>
      </c>
      <c r="G848" s="11" t="s">
        <v>106</v>
      </c>
      <c r="H848" s="15" t="s">
        <v>5</v>
      </c>
      <c r="I848" s="15">
        <v>15</v>
      </c>
      <c r="J848" s="12" t="s">
        <v>159</v>
      </c>
      <c r="K848" s="591">
        <f>(15*35)</f>
        <v>525</v>
      </c>
      <c r="L848" s="121" t="s">
        <v>2033</v>
      </c>
      <c r="M848" s="132" t="s">
        <v>2054</v>
      </c>
      <c r="N848" s="133">
        <f>9+4+2</f>
        <v>15</v>
      </c>
      <c r="O848" s="119">
        <f t="shared" si="23"/>
        <v>0</v>
      </c>
    </row>
    <row r="849" spans="1:15">
      <c r="A849" s="590" t="s">
        <v>1156</v>
      </c>
      <c r="B849" s="11" t="s">
        <v>9</v>
      </c>
      <c r="C849" s="11">
        <v>40</v>
      </c>
      <c r="D849" s="11" t="s">
        <v>7</v>
      </c>
      <c r="E849" s="15">
        <v>386</v>
      </c>
      <c r="F849" s="11" t="s">
        <v>130</v>
      </c>
      <c r="G849" s="11" t="s">
        <v>106</v>
      </c>
      <c r="H849" s="15" t="s">
        <v>5</v>
      </c>
      <c r="I849" s="15">
        <v>15</v>
      </c>
      <c r="J849" s="12" t="s">
        <v>159</v>
      </c>
      <c r="K849" s="591">
        <f>(15*35)</f>
        <v>525</v>
      </c>
      <c r="L849" s="121" t="s">
        <v>2033</v>
      </c>
      <c r="M849" s="132">
        <v>6</v>
      </c>
      <c r="N849" s="133">
        <f>9+6</f>
        <v>15</v>
      </c>
      <c r="O849" s="119">
        <f t="shared" si="23"/>
        <v>0</v>
      </c>
    </row>
    <row r="850" spans="1:15">
      <c r="A850" s="590" t="s">
        <v>1164</v>
      </c>
      <c r="B850" s="11" t="s">
        <v>9</v>
      </c>
      <c r="C850" s="11">
        <v>40</v>
      </c>
      <c r="D850" s="11" t="s">
        <v>10</v>
      </c>
      <c r="E850" s="15">
        <v>280</v>
      </c>
      <c r="F850" s="11" t="s">
        <v>518</v>
      </c>
      <c r="G850" s="11" t="s">
        <v>106</v>
      </c>
      <c r="H850" s="15" t="s">
        <v>5</v>
      </c>
      <c r="I850" s="15">
        <v>20</v>
      </c>
      <c r="J850" s="12" t="s">
        <v>142</v>
      </c>
      <c r="K850" s="591">
        <f>(20*35)</f>
        <v>700</v>
      </c>
      <c r="L850" s="121" t="s">
        <v>2099</v>
      </c>
      <c r="M850" s="132">
        <v>8</v>
      </c>
      <c r="N850" s="133">
        <f>10+10</f>
        <v>20</v>
      </c>
      <c r="O850" s="119">
        <f t="shared" si="23"/>
        <v>0</v>
      </c>
    </row>
    <row r="851" spans="1:15">
      <c r="A851" s="590" t="s">
        <v>1973</v>
      </c>
      <c r="B851" s="11" t="s">
        <v>9</v>
      </c>
      <c r="C851" s="11">
        <v>48</v>
      </c>
      <c r="D851" s="11" t="s">
        <v>10</v>
      </c>
      <c r="E851" s="15">
        <v>403</v>
      </c>
      <c r="F851" s="11" t="s">
        <v>1968</v>
      </c>
      <c r="G851" s="11" t="s">
        <v>106</v>
      </c>
      <c r="H851" s="15" t="s">
        <v>15</v>
      </c>
      <c r="I851" s="15">
        <v>20</v>
      </c>
      <c r="J851" s="12" t="s">
        <v>1367</v>
      </c>
      <c r="K851" s="591">
        <f>(19*36)+(1*27.4)</f>
        <v>711.4</v>
      </c>
      <c r="L851" s="121" t="s">
        <v>2033</v>
      </c>
      <c r="M851" s="136">
        <v>11</v>
      </c>
      <c r="N851" s="133">
        <v>20</v>
      </c>
      <c r="O851" s="119">
        <f t="shared" si="23"/>
        <v>0</v>
      </c>
    </row>
    <row r="852" spans="1:15">
      <c r="A852" s="590" t="s">
        <v>1973</v>
      </c>
      <c r="B852" s="11" t="s">
        <v>9</v>
      </c>
      <c r="C852" s="11">
        <v>48</v>
      </c>
      <c r="D852" s="11" t="s">
        <v>10</v>
      </c>
      <c r="E852" s="15">
        <v>405</v>
      </c>
      <c r="F852" s="11" t="s">
        <v>1969</v>
      </c>
      <c r="G852" s="11" t="s">
        <v>106</v>
      </c>
      <c r="H852" s="15" t="s">
        <v>15</v>
      </c>
      <c r="I852" s="15">
        <v>20</v>
      </c>
      <c r="J852" s="12" t="s">
        <v>492</v>
      </c>
      <c r="K852" s="591">
        <f>(20*36)</f>
        <v>720</v>
      </c>
      <c r="L852" s="121" t="s">
        <v>2082</v>
      </c>
      <c r="M852" s="136">
        <v>10</v>
      </c>
      <c r="N852" s="133">
        <f>10+10</f>
        <v>20</v>
      </c>
      <c r="O852" s="119">
        <f t="shared" si="23"/>
        <v>0</v>
      </c>
    </row>
    <row r="853" spans="1:15">
      <c r="A853" s="590" t="s">
        <v>1973</v>
      </c>
      <c r="B853" s="11" t="s">
        <v>9</v>
      </c>
      <c r="C853" s="11">
        <v>48</v>
      </c>
      <c r="D853" s="11" t="s">
        <v>10</v>
      </c>
      <c r="E853" s="15">
        <v>406</v>
      </c>
      <c r="F853" s="11" t="s">
        <v>2002</v>
      </c>
      <c r="G853" s="11" t="s">
        <v>106</v>
      </c>
      <c r="H853" s="15" t="s">
        <v>15</v>
      </c>
      <c r="I853" s="15">
        <v>20</v>
      </c>
      <c r="J853" s="12" t="s">
        <v>1367</v>
      </c>
      <c r="K853" s="591">
        <f>(19*36)+(1*27.4)</f>
        <v>711.4</v>
      </c>
      <c r="L853" s="121" t="s">
        <v>2082</v>
      </c>
      <c r="M853" s="136" t="s">
        <v>2089</v>
      </c>
      <c r="N853" s="133">
        <f>10+10</f>
        <v>20</v>
      </c>
      <c r="O853" s="119">
        <f t="shared" si="23"/>
        <v>0</v>
      </c>
    </row>
    <row r="854" spans="1:15">
      <c r="A854" s="590" t="s">
        <v>1975</v>
      </c>
      <c r="B854" s="11" t="s">
        <v>9</v>
      </c>
      <c r="C854" s="11">
        <v>49</v>
      </c>
      <c r="D854" s="11" t="s">
        <v>10</v>
      </c>
      <c r="E854" s="15">
        <v>303</v>
      </c>
      <c r="F854" s="11" t="s">
        <v>2011</v>
      </c>
      <c r="G854" s="11" t="s">
        <v>106</v>
      </c>
      <c r="H854" s="15" t="s">
        <v>5</v>
      </c>
      <c r="I854" s="15">
        <v>20</v>
      </c>
      <c r="J854" s="12" t="s">
        <v>23</v>
      </c>
      <c r="K854" s="591">
        <f>(18*35)+(2*26.4)</f>
        <v>682.8</v>
      </c>
      <c r="L854" s="121" t="s">
        <v>2033</v>
      </c>
      <c r="M854" s="136">
        <v>7</v>
      </c>
      <c r="N854" s="133">
        <v>20</v>
      </c>
      <c r="O854" s="119">
        <f t="shared" si="23"/>
        <v>0</v>
      </c>
    </row>
    <row r="855" spans="1:15">
      <c r="A855" s="590" t="s">
        <v>1975</v>
      </c>
      <c r="B855" s="11" t="s">
        <v>9</v>
      </c>
      <c r="C855" s="11">
        <v>49</v>
      </c>
      <c r="D855" s="11" t="s">
        <v>10</v>
      </c>
      <c r="E855" s="15">
        <v>304</v>
      </c>
      <c r="F855" s="11" t="s">
        <v>1995</v>
      </c>
      <c r="G855" s="11" t="s">
        <v>106</v>
      </c>
      <c r="H855" s="15" t="s">
        <v>5</v>
      </c>
      <c r="I855" s="15">
        <v>15</v>
      </c>
      <c r="J855" s="12" t="s">
        <v>35</v>
      </c>
      <c r="K855" s="591">
        <f>(13*35)+(2*26.4)</f>
        <v>507.8</v>
      </c>
      <c r="L855" s="121" t="s">
        <v>2033</v>
      </c>
      <c r="M855" s="136">
        <v>7</v>
      </c>
      <c r="N855" s="133">
        <v>15</v>
      </c>
      <c r="O855" s="119">
        <f t="shared" si="23"/>
        <v>0</v>
      </c>
    </row>
    <row r="856" spans="1:15">
      <c r="A856" s="590" t="s">
        <v>1975</v>
      </c>
      <c r="B856" s="11" t="s">
        <v>9</v>
      </c>
      <c r="C856" s="11">
        <v>49</v>
      </c>
      <c r="D856" s="11" t="s">
        <v>10</v>
      </c>
      <c r="E856" s="15">
        <v>310</v>
      </c>
      <c r="F856" s="11" t="s">
        <v>399</v>
      </c>
      <c r="G856" s="11" t="s">
        <v>106</v>
      </c>
      <c r="H856" s="15" t="s">
        <v>15</v>
      </c>
      <c r="I856" s="15">
        <v>25</v>
      </c>
      <c r="J856" s="12" t="s">
        <v>1388</v>
      </c>
      <c r="K856" s="591">
        <f>(25*36)</f>
        <v>900</v>
      </c>
      <c r="L856" s="121" t="s">
        <v>2033</v>
      </c>
      <c r="M856" s="136">
        <v>8</v>
      </c>
      <c r="N856" s="133">
        <f>8+17</f>
        <v>25</v>
      </c>
      <c r="O856" s="119">
        <f t="shared" si="23"/>
        <v>0</v>
      </c>
    </row>
    <row r="857" spans="1:15">
      <c r="A857" s="590" t="s">
        <v>1148</v>
      </c>
      <c r="B857" s="11" t="s">
        <v>9</v>
      </c>
      <c r="C857" s="11">
        <v>39</v>
      </c>
      <c r="D857" s="11" t="s">
        <v>16</v>
      </c>
      <c r="E857" s="15">
        <v>36</v>
      </c>
      <c r="F857" s="11" t="s">
        <v>665</v>
      </c>
      <c r="G857" s="11" t="s">
        <v>354</v>
      </c>
      <c r="H857" s="15" t="s">
        <v>5</v>
      </c>
      <c r="I857" s="15">
        <v>20</v>
      </c>
      <c r="J857" s="12" t="s">
        <v>31</v>
      </c>
      <c r="K857" s="591">
        <f>(19*38)+(1*29.4)</f>
        <v>751.4</v>
      </c>
      <c r="L857" s="121" t="s">
        <v>2055</v>
      </c>
      <c r="M857" s="132">
        <v>7</v>
      </c>
      <c r="N857" s="133">
        <f>10+10</f>
        <v>20</v>
      </c>
      <c r="O857" s="119">
        <f t="shared" si="23"/>
        <v>0</v>
      </c>
    </row>
    <row r="858" spans="1:15">
      <c r="A858" s="590" t="s">
        <v>1148</v>
      </c>
      <c r="B858" s="11" t="s">
        <v>9</v>
      </c>
      <c r="C858" s="11">
        <v>39</v>
      </c>
      <c r="D858" s="11" t="s">
        <v>16</v>
      </c>
      <c r="E858" s="15">
        <v>37</v>
      </c>
      <c r="F858" s="11" t="s">
        <v>1591</v>
      </c>
      <c r="G858" s="11" t="s">
        <v>354</v>
      </c>
      <c r="H858" s="15" t="s">
        <v>5</v>
      </c>
      <c r="I858" s="15">
        <v>10</v>
      </c>
      <c r="J858" s="12" t="s">
        <v>27</v>
      </c>
      <c r="K858" s="591">
        <f>(9*38)+(1*29.4)</f>
        <v>371.4</v>
      </c>
      <c r="L858" s="121" t="s">
        <v>2055</v>
      </c>
      <c r="M858" s="132">
        <v>2</v>
      </c>
      <c r="N858" s="133">
        <v>10</v>
      </c>
      <c r="O858" s="630">
        <f t="shared" si="23"/>
        <v>0</v>
      </c>
    </row>
    <row r="859" spans="1:15">
      <c r="A859" s="590" t="s">
        <v>1004</v>
      </c>
      <c r="B859" s="11" t="s">
        <v>9</v>
      </c>
      <c r="C859" s="11">
        <v>44</v>
      </c>
      <c r="D859" s="11" t="s">
        <v>16</v>
      </c>
      <c r="E859" s="15">
        <v>83</v>
      </c>
      <c r="F859" s="11" t="s">
        <v>147</v>
      </c>
      <c r="G859" s="11" t="s">
        <v>354</v>
      </c>
      <c r="H859" s="15" t="s">
        <v>1518</v>
      </c>
      <c r="I859" s="15">
        <v>15</v>
      </c>
      <c r="J859" s="12" t="s">
        <v>97</v>
      </c>
      <c r="K859" s="591">
        <f>(15*38)</f>
        <v>570</v>
      </c>
      <c r="L859" s="120" t="s">
        <v>2033</v>
      </c>
      <c r="M859" s="132" t="s">
        <v>2032</v>
      </c>
      <c r="N859" s="133">
        <f>10+5</f>
        <v>15</v>
      </c>
      <c r="O859" s="119">
        <f t="shared" si="23"/>
        <v>0</v>
      </c>
    </row>
    <row r="860" spans="1:15">
      <c r="A860" s="590" t="s">
        <v>1023</v>
      </c>
      <c r="B860" s="11" t="s">
        <v>9</v>
      </c>
      <c r="C860" s="11">
        <v>40</v>
      </c>
      <c r="D860" s="11" t="s">
        <v>16</v>
      </c>
      <c r="E860" s="15">
        <v>42</v>
      </c>
      <c r="F860" s="11" t="s">
        <v>720</v>
      </c>
      <c r="G860" s="11" t="s">
        <v>354</v>
      </c>
      <c r="H860" s="15" t="s">
        <v>5</v>
      </c>
      <c r="I860" s="15">
        <v>10</v>
      </c>
      <c r="J860" s="12" t="s">
        <v>27</v>
      </c>
      <c r="K860" s="591">
        <f>(9*38)+(1*29.4)</f>
        <v>371.4</v>
      </c>
      <c r="L860" s="120" t="s">
        <v>2055</v>
      </c>
      <c r="M860" s="132">
        <v>5</v>
      </c>
      <c r="N860" s="133">
        <v>10</v>
      </c>
      <c r="O860" s="119">
        <f t="shared" si="23"/>
        <v>0</v>
      </c>
    </row>
    <row r="861" spans="1:15">
      <c r="A861" s="590" t="s">
        <v>1023</v>
      </c>
      <c r="B861" s="11" t="s">
        <v>9</v>
      </c>
      <c r="C861" s="11">
        <v>40</v>
      </c>
      <c r="D861" s="11" t="s">
        <v>16</v>
      </c>
      <c r="E861" s="15">
        <v>43</v>
      </c>
      <c r="F861" s="11" t="s">
        <v>1735</v>
      </c>
      <c r="G861" s="11" t="s">
        <v>354</v>
      </c>
      <c r="H861" s="15" t="s">
        <v>5</v>
      </c>
      <c r="I861" s="15">
        <v>20</v>
      </c>
      <c r="J861" s="12" t="s">
        <v>31</v>
      </c>
      <c r="K861" s="591">
        <f>(19*38)+(1*29.4)</f>
        <v>751.4</v>
      </c>
      <c r="L861" s="121" t="s">
        <v>2055</v>
      </c>
      <c r="M861" s="132">
        <v>2</v>
      </c>
      <c r="N861" s="133">
        <f>10+10</f>
        <v>20</v>
      </c>
      <c r="O861" s="119">
        <f t="shared" si="23"/>
        <v>0</v>
      </c>
    </row>
    <row r="862" spans="1:15">
      <c r="A862" s="590" t="s">
        <v>1023</v>
      </c>
      <c r="B862" s="11" t="s">
        <v>9</v>
      </c>
      <c r="C862" s="11">
        <v>40</v>
      </c>
      <c r="D862" s="11" t="s">
        <v>16</v>
      </c>
      <c r="E862" s="15">
        <v>44</v>
      </c>
      <c r="F862" s="11" t="s">
        <v>706</v>
      </c>
      <c r="G862" s="11" t="s">
        <v>354</v>
      </c>
      <c r="H862" s="15" t="s">
        <v>5</v>
      </c>
      <c r="I862" s="15">
        <v>15</v>
      </c>
      <c r="J862" s="12" t="s">
        <v>97</v>
      </c>
      <c r="K862" s="591">
        <f>(15*38)</f>
        <v>570</v>
      </c>
      <c r="L862" s="120" t="s">
        <v>2055</v>
      </c>
      <c r="M862" s="132">
        <v>2</v>
      </c>
      <c r="N862" s="133">
        <f>7+8</f>
        <v>15</v>
      </c>
      <c r="O862" s="119">
        <f t="shared" si="23"/>
        <v>0</v>
      </c>
    </row>
    <row r="863" spans="1:15">
      <c r="A863" s="590" t="s">
        <v>1030</v>
      </c>
      <c r="B863" s="11" t="s">
        <v>9</v>
      </c>
      <c r="C863" s="11">
        <v>45</v>
      </c>
      <c r="D863" s="11" t="s">
        <v>16</v>
      </c>
      <c r="E863" s="15">
        <v>25</v>
      </c>
      <c r="F863" s="11" t="s">
        <v>1441</v>
      </c>
      <c r="G863" s="11" t="s">
        <v>354</v>
      </c>
      <c r="H863" s="15" t="s">
        <v>5</v>
      </c>
      <c r="I863" s="15">
        <v>20</v>
      </c>
      <c r="J863" s="12" t="s">
        <v>31</v>
      </c>
      <c r="K863" s="591">
        <f>(19*38)+(1*29.4)</f>
        <v>751.4</v>
      </c>
      <c r="L863" s="121" t="s">
        <v>2082</v>
      </c>
      <c r="M863" s="132" t="s">
        <v>2084</v>
      </c>
      <c r="N863" s="133">
        <f>10+10</f>
        <v>20</v>
      </c>
      <c r="O863" s="119">
        <f t="shared" si="23"/>
        <v>0</v>
      </c>
    </row>
    <row r="864" spans="1:15">
      <c r="A864" s="590" t="s">
        <v>1172</v>
      </c>
      <c r="B864" s="11" t="s">
        <v>9</v>
      </c>
      <c r="C864" s="11">
        <v>46</v>
      </c>
      <c r="D864" s="11" t="s">
        <v>16</v>
      </c>
      <c r="E864" s="15">
        <v>30</v>
      </c>
      <c r="F864" s="11" t="s">
        <v>784</v>
      </c>
      <c r="G864" s="11" t="s">
        <v>354</v>
      </c>
      <c r="H864" s="15" t="s">
        <v>5</v>
      </c>
      <c r="I864" s="15">
        <v>15</v>
      </c>
      <c r="J864" s="12" t="s">
        <v>38</v>
      </c>
      <c r="K864" s="591">
        <f>(13*38)+(2*29.4)</f>
        <v>552.79999999999995</v>
      </c>
      <c r="L864" s="121" t="s">
        <v>2033</v>
      </c>
      <c r="M864" s="132">
        <v>12</v>
      </c>
      <c r="N864" s="133">
        <f>6+9</f>
        <v>15</v>
      </c>
      <c r="O864" s="119">
        <f t="shared" si="23"/>
        <v>0</v>
      </c>
    </row>
    <row r="865" spans="1:15">
      <c r="A865" s="590" t="s">
        <v>1172</v>
      </c>
      <c r="B865" s="11" t="s">
        <v>9</v>
      </c>
      <c r="C865" s="11">
        <v>46</v>
      </c>
      <c r="D865" s="11" t="s">
        <v>16</v>
      </c>
      <c r="E865" s="15">
        <v>33</v>
      </c>
      <c r="F865" s="11" t="s">
        <v>1798</v>
      </c>
      <c r="G865" s="11" t="s">
        <v>354</v>
      </c>
      <c r="H865" s="15" t="s">
        <v>15</v>
      </c>
      <c r="I865" s="15">
        <v>20</v>
      </c>
      <c r="J865" s="12" t="s">
        <v>31</v>
      </c>
      <c r="K865" s="591">
        <f t="shared" ref="K865:K870" si="24">(19*38)+(1*29.4)</f>
        <v>751.4</v>
      </c>
      <c r="L865" s="121" t="s">
        <v>2029</v>
      </c>
      <c r="M865" s="132">
        <v>2</v>
      </c>
      <c r="N865" s="133">
        <v>20</v>
      </c>
      <c r="O865" s="119">
        <f t="shared" si="23"/>
        <v>0</v>
      </c>
    </row>
    <row r="866" spans="1:15">
      <c r="A866" s="590" t="s">
        <v>1172</v>
      </c>
      <c r="B866" s="11" t="s">
        <v>9</v>
      </c>
      <c r="C866" s="11">
        <v>46</v>
      </c>
      <c r="D866" s="11" t="s">
        <v>16</v>
      </c>
      <c r="E866" s="15">
        <v>34</v>
      </c>
      <c r="F866" s="11" t="s">
        <v>1746</v>
      </c>
      <c r="G866" s="11" t="s">
        <v>354</v>
      </c>
      <c r="H866" s="15" t="s">
        <v>15</v>
      </c>
      <c r="I866" s="15">
        <v>20</v>
      </c>
      <c r="J866" s="12" t="s">
        <v>31</v>
      </c>
      <c r="K866" s="591">
        <f t="shared" si="24"/>
        <v>751.4</v>
      </c>
      <c r="L866" s="121" t="s">
        <v>2029</v>
      </c>
      <c r="M866" s="132">
        <v>3</v>
      </c>
      <c r="N866" s="133">
        <f>10+10</f>
        <v>20</v>
      </c>
      <c r="O866" s="119">
        <f t="shared" si="23"/>
        <v>0</v>
      </c>
    </row>
    <row r="867" spans="1:15">
      <c r="A867" s="590" t="s">
        <v>1194</v>
      </c>
      <c r="B867" s="11" t="s">
        <v>9</v>
      </c>
      <c r="C867" s="11">
        <v>47</v>
      </c>
      <c r="D867" s="11" t="s">
        <v>16</v>
      </c>
      <c r="E867" s="15">
        <v>47</v>
      </c>
      <c r="F867" s="11" t="s">
        <v>1525</v>
      </c>
      <c r="G867" s="11" t="s">
        <v>354</v>
      </c>
      <c r="H867" s="15" t="s">
        <v>15</v>
      </c>
      <c r="I867" s="15">
        <v>20</v>
      </c>
      <c r="J867" s="12" t="s">
        <v>31</v>
      </c>
      <c r="K867" s="591">
        <f t="shared" si="24"/>
        <v>751.4</v>
      </c>
      <c r="L867" s="121" t="s">
        <v>2055</v>
      </c>
      <c r="M867" s="136" t="s">
        <v>2064</v>
      </c>
      <c r="N867" s="133">
        <f>10+10</f>
        <v>20</v>
      </c>
      <c r="O867" s="119">
        <f t="shared" si="23"/>
        <v>0</v>
      </c>
    </row>
    <row r="868" spans="1:15">
      <c r="A868" s="590" t="s">
        <v>1194</v>
      </c>
      <c r="B868" s="11" t="s">
        <v>9</v>
      </c>
      <c r="C868" s="11">
        <v>47</v>
      </c>
      <c r="D868" s="11" t="s">
        <v>16</v>
      </c>
      <c r="E868" s="15">
        <v>48</v>
      </c>
      <c r="F868" s="11" t="s">
        <v>751</v>
      </c>
      <c r="G868" s="11" t="s">
        <v>354</v>
      </c>
      <c r="H868" s="15" t="s">
        <v>15</v>
      </c>
      <c r="I868" s="15">
        <v>20</v>
      </c>
      <c r="J868" s="12" t="s">
        <v>31</v>
      </c>
      <c r="K868" s="591">
        <f t="shared" si="24"/>
        <v>751.4</v>
      </c>
      <c r="L868" s="121" t="s">
        <v>2055</v>
      </c>
      <c r="M868" s="136">
        <v>2</v>
      </c>
      <c r="N868" s="133">
        <v>20</v>
      </c>
      <c r="O868" s="119">
        <f t="shared" si="23"/>
        <v>0</v>
      </c>
    </row>
    <row r="869" spans="1:15">
      <c r="A869" s="590" t="s">
        <v>1194</v>
      </c>
      <c r="B869" s="11" t="s">
        <v>9</v>
      </c>
      <c r="C869" s="11">
        <v>47</v>
      </c>
      <c r="D869" s="11" t="s">
        <v>16</v>
      </c>
      <c r="E869" s="15">
        <v>55</v>
      </c>
      <c r="F869" s="11" t="s">
        <v>544</v>
      </c>
      <c r="G869" s="11" t="s">
        <v>354</v>
      </c>
      <c r="H869" s="15" t="s">
        <v>15</v>
      </c>
      <c r="I869" s="15">
        <v>20</v>
      </c>
      <c r="J869" s="12" t="s">
        <v>31</v>
      </c>
      <c r="K869" s="591">
        <f t="shared" si="24"/>
        <v>751.4</v>
      </c>
      <c r="L869" s="121" t="s">
        <v>2055</v>
      </c>
      <c r="M869" s="136">
        <v>2</v>
      </c>
      <c r="N869" s="133">
        <v>20</v>
      </c>
      <c r="O869" s="119">
        <f t="shared" si="23"/>
        <v>0</v>
      </c>
    </row>
    <row r="870" spans="1:15">
      <c r="A870" s="590" t="s">
        <v>1194</v>
      </c>
      <c r="B870" s="11" t="s">
        <v>9</v>
      </c>
      <c r="C870" s="11">
        <v>47</v>
      </c>
      <c r="D870" s="11" t="s">
        <v>16</v>
      </c>
      <c r="E870" s="15">
        <v>56</v>
      </c>
      <c r="F870" s="11" t="s">
        <v>1931</v>
      </c>
      <c r="G870" s="11" t="s">
        <v>354</v>
      </c>
      <c r="H870" s="15" t="s">
        <v>15</v>
      </c>
      <c r="I870" s="15">
        <v>20</v>
      </c>
      <c r="J870" s="12" t="s">
        <v>31</v>
      </c>
      <c r="K870" s="591">
        <f t="shared" si="24"/>
        <v>751.4</v>
      </c>
      <c r="L870" s="121" t="s">
        <v>2055</v>
      </c>
      <c r="M870" s="136">
        <v>6</v>
      </c>
      <c r="N870" s="133">
        <f>10+10</f>
        <v>20</v>
      </c>
      <c r="O870" s="119">
        <f t="shared" si="23"/>
        <v>0</v>
      </c>
    </row>
    <row r="871" spans="1:15">
      <c r="A871" s="590" t="s">
        <v>1194</v>
      </c>
      <c r="B871" s="11" t="s">
        <v>9</v>
      </c>
      <c r="C871" s="11">
        <v>47</v>
      </c>
      <c r="D871" s="11" t="s">
        <v>16</v>
      </c>
      <c r="E871" s="15">
        <v>57</v>
      </c>
      <c r="F871" s="11" t="s">
        <v>699</v>
      </c>
      <c r="G871" s="11" t="s">
        <v>354</v>
      </c>
      <c r="H871" s="15" t="s">
        <v>15</v>
      </c>
      <c r="I871" s="15">
        <v>15</v>
      </c>
      <c r="J871" s="12" t="s">
        <v>14</v>
      </c>
      <c r="K871" s="591">
        <f>(14*38)+(1*29.4)</f>
        <v>561.4</v>
      </c>
      <c r="L871" s="121" t="s">
        <v>2055</v>
      </c>
      <c r="M871" s="136">
        <v>2</v>
      </c>
      <c r="N871" s="133">
        <f>9+6</f>
        <v>15</v>
      </c>
      <c r="O871" s="119">
        <f t="shared" si="23"/>
        <v>0</v>
      </c>
    </row>
    <row r="872" spans="1:15">
      <c r="A872" s="590" t="s">
        <v>1139</v>
      </c>
      <c r="B872" s="11" t="s">
        <v>9</v>
      </c>
      <c r="C872" s="11">
        <v>38</v>
      </c>
      <c r="D872" s="11" t="s">
        <v>16</v>
      </c>
      <c r="E872" s="11">
        <v>143</v>
      </c>
      <c r="F872" s="11" t="s">
        <v>403</v>
      </c>
      <c r="G872" s="11" t="s">
        <v>718</v>
      </c>
      <c r="H872" s="11" t="s">
        <v>143</v>
      </c>
      <c r="I872" s="11">
        <v>20</v>
      </c>
      <c r="J872" s="12" t="s">
        <v>157</v>
      </c>
      <c r="K872" s="591">
        <f>(20*38)</f>
        <v>760</v>
      </c>
      <c r="L872" s="121" t="s">
        <v>2055</v>
      </c>
      <c r="M872" s="132">
        <v>6</v>
      </c>
      <c r="N872" s="133">
        <f>10+10</f>
        <v>20</v>
      </c>
      <c r="O872" s="119">
        <f t="shared" si="23"/>
        <v>0</v>
      </c>
    </row>
    <row r="873" spans="1:15">
      <c r="A873" s="590" t="s">
        <v>1148</v>
      </c>
      <c r="B873" s="11" t="s">
        <v>9</v>
      </c>
      <c r="C873" s="11">
        <v>39</v>
      </c>
      <c r="D873" s="11" t="s">
        <v>16</v>
      </c>
      <c r="E873" s="15">
        <v>125</v>
      </c>
      <c r="F873" s="11" t="s">
        <v>1593</v>
      </c>
      <c r="G873" s="11" t="s">
        <v>718</v>
      </c>
      <c r="H873" s="15" t="s">
        <v>1518</v>
      </c>
      <c r="I873" s="15">
        <v>15</v>
      </c>
      <c r="J873" s="12" t="s">
        <v>14</v>
      </c>
      <c r="K873" s="591">
        <f>(14*38)+(1*29.4)</f>
        <v>561.4</v>
      </c>
      <c r="L873" s="120" t="s">
        <v>2082</v>
      </c>
      <c r="M873" s="132" t="s">
        <v>2077</v>
      </c>
      <c r="N873" s="133">
        <f>7+8</f>
        <v>15</v>
      </c>
      <c r="O873" s="119">
        <f t="shared" si="23"/>
        <v>0</v>
      </c>
    </row>
    <row r="874" spans="1:15">
      <c r="A874" s="590" t="s">
        <v>1170</v>
      </c>
      <c r="B874" s="11" t="s">
        <v>9</v>
      </c>
      <c r="C874" s="11">
        <v>46</v>
      </c>
      <c r="D874" s="11" t="s">
        <v>16</v>
      </c>
      <c r="E874" s="15">
        <v>129</v>
      </c>
      <c r="F874" s="11" t="s">
        <v>206</v>
      </c>
      <c r="G874" s="11" t="s">
        <v>718</v>
      </c>
      <c r="H874" s="15" t="s">
        <v>15</v>
      </c>
      <c r="I874" s="15">
        <v>20</v>
      </c>
      <c r="J874" s="12" t="s">
        <v>31</v>
      </c>
      <c r="K874" s="591">
        <f>(19*38)+(1*29.4)</f>
        <v>751.4</v>
      </c>
      <c r="L874" s="121" t="s">
        <v>2033</v>
      </c>
      <c r="M874" s="132">
        <v>14</v>
      </c>
      <c r="N874" s="133">
        <v>20</v>
      </c>
      <c r="O874" s="119">
        <f t="shared" si="23"/>
        <v>0</v>
      </c>
    </row>
    <row r="875" spans="1:15">
      <c r="A875" s="590" t="s">
        <v>1170</v>
      </c>
      <c r="B875" s="11" t="s">
        <v>9</v>
      </c>
      <c r="C875" s="11">
        <v>46</v>
      </c>
      <c r="D875" s="11" t="s">
        <v>16</v>
      </c>
      <c r="E875" s="15">
        <v>138</v>
      </c>
      <c r="F875" s="11" t="s">
        <v>725</v>
      </c>
      <c r="G875" s="11" t="s">
        <v>718</v>
      </c>
      <c r="H875" s="15" t="s">
        <v>15</v>
      </c>
      <c r="I875" s="15">
        <v>25</v>
      </c>
      <c r="J875" s="12" t="s">
        <v>170</v>
      </c>
      <c r="K875" s="591">
        <f>(25*38)</f>
        <v>950</v>
      </c>
      <c r="L875" s="121" t="s">
        <v>2033</v>
      </c>
      <c r="M875" s="132">
        <v>15</v>
      </c>
      <c r="N875" s="133">
        <v>25</v>
      </c>
      <c r="O875" s="119">
        <f t="shared" si="23"/>
        <v>0</v>
      </c>
    </row>
    <row r="876" spans="1:15">
      <c r="A876" s="590" t="s">
        <v>1192</v>
      </c>
      <c r="B876" s="11" t="s">
        <v>9</v>
      </c>
      <c r="C876" s="11">
        <v>49</v>
      </c>
      <c r="D876" s="11" t="s">
        <v>16</v>
      </c>
      <c r="E876" s="15">
        <v>148</v>
      </c>
      <c r="F876" s="11" t="s">
        <v>123</v>
      </c>
      <c r="G876" s="11" t="s">
        <v>718</v>
      </c>
      <c r="H876" s="15" t="s">
        <v>5</v>
      </c>
      <c r="I876" s="15">
        <v>10</v>
      </c>
      <c r="J876" s="12" t="s">
        <v>27</v>
      </c>
      <c r="K876" s="591">
        <f>(9*38)+(1*29.4)</f>
        <v>371.4</v>
      </c>
      <c r="L876" s="121" t="s">
        <v>2082</v>
      </c>
      <c r="M876" s="136">
        <v>7</v>
      </c>
      <c r="N876" s="133">
        <v>10</v>
      </c>
      <c r="O876" s="119">
        <f t="shared" si="23"/>
        <v>0</v>
      </c>
    </row>
    <row r="877" spans="1:15">
      <c r="A877" s="590" t="s">
        <v>1192</v>
      </c>
      <c r="B877" s="11" t="s">
        <v>9</v>
      </c>
      <c r="C877" s="11">
        <v>49</v>
      </c>
      <c r="D877" s="11" t="s">
        <v>16</v>
      </c>
      <c r="E877" s="15">
        <v>149</v>
      </c>
      <c r="F877" s="11" t="s">
        <v>507</v>
      </c>
      <c r="G877" s="11" t="s">
        <v>718</v>
      </c>
      <c r="H877" s="15" t="s">
        <v>5</v>
      </c>
      <c r="I877" s="15">
        <v>20</v>
      </c>
      <c r="J877" s="12" t="s">
        <v>31</v>
      </c>
      <c r="K877" s="591">
        <f>(19*38)+(1*29.4)</f>
        <v>751.4</v>
      </c>
      <c r="L877" s="121" t="s">
        <v>2082</v>
      </c>
      <c r="M877" s="136">
        <v>2</v>
      </c>
      <c r="N877" s="133">
        <f>10+10</f>
        <v>20</v>
      </c>
      <c r="O877" s="119">
        <f t="shared" si="23"/>
        <v>0</v>
      </c>
    </row>
    <row r="878" spans="1:15">
      <c r="A878" s="590" t="s">
        <v>1192</v>
      </c>
      <c r="B878" s="11" t="s">
        <v>9</v>
      </c>
      <c r="C878" s="11">
        <v>49</v>
      </c>
      <c r="D878" s="11" t="s">
        <v>16</v>
      </c>
      <c r="E878" s="15">
        <v>145</v>
      </c>
      <c r="F878" s="11" t="s">
        <v>488</v>
      </c>
      <c r="G878" s="11" t="s">
        <v>718</v>
      </c>
      <c r="H878" s="15" t="s">
        <v>5</v>
      </c>
      <c r="I878" s="15">
        <v>20</v>
      </c>
      <c r="J878" s="12" t="s">
        <v>157</v>
      </c>
      <c r="K878" s="591">
        <f>(20*38)</f>
        <v>760</v>
      </c>
      <c r="L878" s="121" t="s">
        <v>2082</v>
      </c>
      <c r="M878" s="136" t="s">
        <v>2058</v>
      </c>
      <c r="N878" s="133">
        <f>10+10</f>
        <v>20</v>
      </c>
      <c r="O878" s="119">
        <f t="shared" si="23"/>
        <v>0</v>
      </c>
    </row>
    <row r="879" spans="1:15">
      <c r="A879" s="590" t="s">
        <v>1192</v>
      </c>
      <c r="B879" s="11" t="s">
        <v>9</v>
      </c>
      <c r="C879" s="11">
        <v>49</v>
      </c>
      <c r="D879" s="11" t="s">
        <v>16</v>
      </c>
      <c r="E879" s="15">
        <v>161</v>
      </c>
      <c r="F879" s="11" t="s">
        <v>591</v>
      </c>
      <c r="G879" s="11" t="s">
        <v>718</v>
      </c>
      <c r="H879" s="15" t="s">
        <v>15</v>
      </c>
      <c r="I879" s="15">
        <v>20</v>
      </c>
      <c r="J879" s="12" t="s">
        <v>1927</v>
      </c>
      <c r="K879" s="591">
        <f>(20*38)</f>
        <v>760</v>
      </c>
      <c r="L879" s="121" t="s">
        <v>2082</v>
      </c>
      <c r="M879" s="136">
        <v>1</v>
      </c>
      <c r="N879" s="15">
        <v>20</v>
      </c>
      <c r="O879" s="119">
        <f t="shared" si="23"/>
        <v>0</v>
      </c>
    </row>
    <row r="880" spans="1:15">
      <c r="A880" s="590" t="s">
        <v>1192</v>
      </c>
      <c r="B880" s="11" t="s">
        <v>9</v>
      </c>
      <c r="C880" s="11">
        <v>49</v>
      </c>
      <c r="D880" s="11" t="s">
        <v>16</v>
      </c>
      <c r="E880" s="15">
        <v>181</v>
      </c>
      <c r="F880" s="11" t="s">
        <v>1408</v>
      </c>
      <c r="G880" s="11" t="s">
        <v>718</v>
      </c>
      <c r="H880" s="15" t="s">
        <v>15</v>
      </c>
      <c r="I880" s="15">
        <v>20</v>
      </c>
      <c r="J880" s="12" t="s">
        <v>31</v>
      </c>
      <c r="K880" s="591">
        <f>(19*38)+(1*29.4)</f>
        <v>751.4</v>
      </c>
      <c r="L880" s="121" t="s">
        <v>2082</v>
      </c>
      <c r="M880" s="136">
        <v>1</v>
      </c>
      <c r="N880" s="15">
        <v>20</v>
      </c>
      <c r="O880" s="119">
        <f t="shared" si="23"/>
        <v>0</v>
      </c>
    </row>
    <row r="881" spans="1:15">
      <c r="A881" s="590" t="s">
        <v>1192</v>
      </c>
      <c r="B881" s="11" t="s">
        <v>9</v>
      </c>
      <c r="C881" s="11">
        <v>49</v>
      </c>
      <c r="D881" s="11" t="s">
        <v>16</v>
      </c>
      <c r="E881" s="15">
        <v>184</v>
      </c>
      <c r="F881" s="11" t="s">
        <v>121</v>
      </c>
      <c r="G881" s="11" t="s">
        <v>718</v>
      </c>
      <c r="H881" s="15" t="s">
        <v>15</v>
      </c>
      <c r="I881" s="15">
        <v>20</v>
      </c>
      <c r="J881" s="12" t="s">
        <v>31</v>
      </c>
      <c r="K881" s="591">
        <f>(19*38)+(1*29.4)</f>
        <v>751.4</v>
      </c>
      <c r="L881" s="121" t="s">
        <v>2082</v>
      </c>
      <c r="M881" s="136">
        <v>1</v>
      </c>
      <c r="N881" s="15">
        <v>20</v>
      </c>
      <c r="O881" s="119">
        <f t="shared" si="23"/>
        <v>0</v>
      </c>
    </row>
    <row r="882" spans="1:15">
      <c r="A882" s="590" t="s">
        <v>1192</v>
      </c>
      <c r="B882" s="11" t="s">
        <v>9</v>
      </c>
      <c r="C882" s="11">
        <v>49</v>
      </c>
      <c r="D882" s="11" t="s">
        <v>16</v>
      </c>
      <c r="E882" s="15">
        <v>186</v>
      </c>
      <c r="F882" s="11" t="s">
        <v>474</v>
      </c>
      <c r="G882" s="11" t="s">
        <v>718</v>
      </c>
      <c r="H882" s="15" t="s">
        <v>15</v>
      </c>
      <c r="I882" s="15">
        <v>20</v>
      </c>
      <c r="J882" s="12" t="s">
        <v>31</v>
      </c>
      <c r="K882" s="591">
        <f>(19*38)+(1*29.4)</f>
        <v>751.4</v>
      </c>
      <c r="L882" s="121" t="s">
        <v>2082</v>
      </c>
      <c r="M882" s="136">
        <v>1</v>
      </c>
      <c r="N882" s="15">
        <v>20</v>
      </c>
      <c r="O882" s="119">
        <f t="shared" si="23"/>
        <v>0</v>
      </c>
    </row>
    <row r="883" spans="1:15">
      <c r="A883" s="590" t="s">
        <v>1192</v>
      </c>
      <c r="B883" s="11" t="s">
        <v>9</v>
      </c>
      <c r="C883" s="11">
        <v>49</v>
      </c>
      <c r="D883" s="11" t="s">
        <v>16</v>
      </c>
      <c r="E883" s="15">
        <v>187</v>
      </c>
      <c r="F883" s="11" t="s">
        <v>446</v>
      </c>
      <c r="G883" s="11" t="s">
        <v>718</v>
      </c>
      <c r="H883" s="15" t="s">
        <v>15</v>
      </c>
      <c r="I883" s="15">
        <v>15</v>
      </c>
      <c r="J883" s="12" t="s">
        <v>14</v>
      </c>
      <c r="K883" s="591">
        <f>(14*38)+(1*29.4)</f>
        <v>561.4</v>
      </c>
      <c r="L883" s="121" t="s">
        <v>2082</v>
      </c>
      <c r="M883" s="136">
        <v>1</v>
      </c>
      <c r="N883" s="15">
        <v>15</v>
      </c>
      <c r="O883" s="119">
        <f t="shared" si="23"/>
        <v>0</v>
      </c>
    </row>
    <row r="884" spans="1:15">
      <c r="A884" s="590" t="s">
        <v>1192</v>
      </c>
      <c r="B884" s="11" t="s">
        <v>9</v>
      </c>
      <c r="C884" s="11">
        <v>49</v>
      </c>
      <c r="D884" s="11" t="s">
        <v>16</v>
      </c>
      <c r="E884" s="15">
        <v>186</v>
      </c>
      <c r="F884" s="11" t="s">
        <v>679</v>
      </c>
      <c r="G884" s="11" t="s">
        <v>718</v>
      </c>
      <c r="H884" s="15" t="s">
        <v>15</v>
      </c>
      <c r="I884" s="15">
        <v>20</v>
      </c>
      <c r="J884" s="12" t="s">
        <v>31</v>
      </c>
      <c r="K884" s="591">
        <f>(19*38)+(1*29.4)</f>
        <v>751.4</v>
      </c>
      <c r="L884" s="121" t="s">
        <v>2082</v>
      </c>
      <c r="M884" s="136">
        <v>1</v>
      </c>
      <c r="N884" s="15">
        <v>20</v>
      </c>
      <c r="O884" s="119">
        <f t="shared" si="23"/>
        <v>0</v>
      </c>
    </row>
    <row r="885" spans="1:15">
      <c r="A885" s="590" t="s">
        <v>1192</v>
      </c>
      <c r="B885" s="11" t="s">
        <v>9</v>
      </c>
      <c r="C885" s="11">
        <v>49</v>
      </c>
      <c r="D885" s="11" t="s">
        <v>16</v>
      </c>
      <c r="E885" s="15">
        <v>191</v>
      </c>
      <c r="F885" s="11" t="s">
        <v>411</v>
      </c>
      <c r="G885" s="11" t="s">
        <v>718</v>
      </c>
      <c r="H885" s="15" t="s">
        <v>15</v>
      </c>
      <c r="I885" s="15">
        <v>20</v>
      </c>
      <c r="J885" s="12" t="s">
        <v>31</v>
      </c>
      <c r="K885" s="591">
        <f>(19*38)+(1*29.4)</f>
        <v>751.4</v>
      </c>
      <c r="L885" s="121" t="s">
        <v>2082</v>
      </c>
      <c r="M885" s="136">
        <v>1</v>
      </c>
      <c r="N885" s="15">
        <v>20</v>
      </c>
      <c r="O885" s="119">
        <f t="shared" si="23"/>
        <v>0</v>
      </c>
    </row>
    <row r="886" spans="1:15">
      <c r="A886" s="590" t="s">
        <v>1192</v>
      </c>
      <c r="B886" s="11" t="s">
        <v>9</v>
      </c>
      <c r="C886" s="11">
        <v>49</v>
      </c>
      <c r="D886" s="11" t="s">
        <v>16</v>
      </c>
      <c r="E886" s="15">
        <v>192</v>
      </c>
      <c r="F886" s="11" t="s">
        <v>1398</v>
      </c>
      <c r="G886" s="11" t="s">
        <v>718</v>
      </c>
      <c r="H886" s="15" t="s">
        <v>15</v>
      </c>
      <c r="I886" s="15">
        <v>15</v>
      </c>
      <c r="J886" s="12" t="s">
        <v>14</v>
      </c>
      <c r="K886" s="591">
        <f>(14*38)+(1*29.4)</f>
        <v>561.4</v>
      </c>
      <c r="L886" s="121" t="s">
        <v>2082</v>
      </c>
      <c r="M886" s="136">
        <v>1</v>
      </c>
      <c r="N886" s="15">
        <v>15</v>
      </c>
      <c r="O886" s="119">
        <f t="shared" si="23"/>
        <v>0</v>
      </c>
    </row>
    <row r="887" spans="1:15">
      <c r="A887" s="590" t="s">
        <v>1194</v>
      </c>
      <c r="B887" s="11" t="s">
        <v>9</v>
      </c>
      <c r="C887" s="11">
        <v>47</v>
      </c>
      <c r="D887" s="11" t="s">
        <v>16</v>
      </c>
      <c r="E887" s="15">
        <v>462</v>
      </c>
      <c r="F887" s="11" t="s">
        <v>1735</v>
      </c>
      <c r="G887" s="11" t="s">
        <v>718</v>
      </c>
      <c r="H887" s="15" t="s">
        <v>5</v>
      </c>
      <c r="I887" s="15">
        <v>20</v>
      </c>
      <c r="J887" s="12" t="s">
        <v>31</v>
      </c>
      <c r="K887" s="591">
        <f>(19*38)+(1*29.4)</f>
        <v>751.4</v>
      </c>
      <c r="L887" s="121" t="s">
        <v>2055</v>
      </c>
      <c r="M887" s="136">
        <v>7</v>
      </c>
      <c r="N887" s="133">
        <v>20</v>
      </c>
      <c r="O887" s="119">
        <f t="shared" si="23"/>
        <v>0</v>
      </c>
    </row>
    <row r="888" spans="1:15">
      <c r="A888" s="590" t="s">
        <v>1194</v>
      </c>
      <c r="B888" s="11" t="s">
        <v>9</v>
      </c>
      <c r="C888" s="11">
        <v>47</v>
      </c>
      <c r="D888" s="11" t="s">
        <v>16</v>
      </c>
      <c r="E888" s="15">
        <v>164</v>
      </c>
      <c r="F888" s="11" t="s">
        <v>470</v>
      </c>
      <c r="G888" s="11" t="s">
        <v>718</v>
      </c>
      <c r="H888" s="15" t="s">
        <v>5</v>
      </c>
      <c r="I888" s="15">
        <v>20</v>
      </c>
      <c r="J888" s="12" t="s">
        <v>31</v>
      </c>
      <c r="K888" s="591">
        <f>(19*38)+(1*29.4)</f>
        <v>751.4</v>
      </c>
      <c r="L888" s="121" t="s">
        <v>2055</v>
      </c>
      <c r="M888" s="136" t="s">
        <v>2059</v>
      </c>
      <c r="N888" s="133">
        <f>10+10</f>
        <v>20</v>
      </c>
      <c r="O888" s="119">
        <f t="shared" si="23"/>
        <v>0</v>
      </c>
    </row>
    <row r="889" spans="1:15">
      <c r="A889" s="590" t="s">
        <v>1194</v>
      </c>
      <c r="B889" s="11" t="s">
        <v>9</v>
      </c>
      <c r="C889" s="11">
        <v>47</v>
      </c>
      <c r="D889" s="11" t="s">
        <v>16</v>
      </c>
      <c r="E889" s="15">
        <v>166</v>
      </c>
      <c r="F889" s="11" t="s">
        <v>136</v>
      </c>
      <c r="G889" s="11" t="s">
        <v>718</v>
      </c>
      <c r="H889" s="15" t="s">
        <v>5</v>
      </c>
      <c r="I889" s="15">
        <v>15</v>
      </c>
      <c r="J889" s="12" t="s">
        <v>14</v>
      </c>
      <c r="K889" s="591">
        <f>(14*38)+(1*29.4)</f>
        <v>561.4</v>
      </c>
      <c r="L889" s="121" t="s">
        <v>2055</v>
      </c>
      <c r="M889" s="136">
        <v>2</v>
      </c>
      <c r="N889" s="133">
        <v>15</v>
      </c>
      <c r="O889" s="119">
        <f t="shared" si="23"/>
        <v>0</v>
      </c>
    </row>
    <row r="890" spans="1:15">
      <c r="A890" s="590" t="s">
        <v>1194</v>
      </c>
      <c r="B890" s="11" t="s">
        <v>9</v>
      </c>
      <c r="C890" s="11">
        <v>47</v>
      </c>
      <c r="D890" s="11" t="s">
        <v>16</v>
      </c>
      <c r="E890" s="15">
        <v>179</v>
      </c>
      <c r="F890" s="11" t="s">
        <v>527</v>
      </c>
      <c r="G890" s="11" t="s">
        <v>718</v>
      </c>
      <c r="H890" s="15" t="s">
        <v>15</v>
      </c>
      <c r="I890" s="15">
        <v>20</v>
      </c>
      <c r="J890" s="12" t="s">
        <v>31</v>
      </c>
      <c r="K890" s="591">
        <f>(19*38)+(1*29.4)</f>
        <v>751.4</v>
      </c>
      <c r="L890" s="121" t="s">
        <v>2055</v>
      </c>
      <c r="M890" s="136">
        <v>7</v>
      </c>
      <c r="N890" s="133">
        <v>20</v>
      </c>
      <c r="O890" s="119">
        <f t="shared" si="23"/>
        <v>0</v>
      </c>
    </row>
    <row r="891" spans="1:15">
      <c r="A891" s="590" t="s">
        <v>1194</v>
      </c>
      <c r="B891" s="11" t="s">
        <v>9</v>
      </c>
      <c r="C891" s="11">
        <v>47</v>
      </c>
      <c r="D891" s="11" t="s">
        <v>16</v>
      </c>
      <c r="E891" s="15">
        <v>181</v>
      </c>
      <c r="F891" s="11" t="s">
        <v>136</v>
      </c>
      <c r="G891" s="11" t="s">
        <v>718</v>
      </c>
      <c r="H891" s="15" t="s">
        <v>15</v>
      </c>
      <c r="I891" s="15">
        <v>30</v>
      </c>
      <c r="J891" s="12" t="s">
        <v>25</v>
      </c>
      <c r="K891" s="591">
        <f>(29*38)+(1*29.4)</f>
        <v>1131.4000000000001</v>
      </c>
      <c r="L891" s="121" t="s">
        <v>2055</v>
      </c>
      <c r="M891" s="136">
        <v>8</v>
      </c>
      <c r="N891" s="133">
        <v>30</v>
      </c>
      <c r="O891" s="119">
        <f t="shared" si="23"/>
        <v>0</v>
      </c>
    </row>
    <row r="892" spans="1:15">
      <c r="A892" s="590" t="s">
        <v>1005</v>
      </c>
      <c r="B892" s="11" t="s">
        <v>150</v>
      </c>
      <c r="C892" s="11">
        <v>44</v>
      </c>
      <c r="D892" s="11" t="s">
        <v>50</v>
      </c>
      <c r="E892" s="11">
        <v>228</v>
      </c>
      <c r="F892" s="11" t="s">
        <v>1428</v>
      </c>
      <c r="G892" s="11" t="s">
        <v>486</v>
      </c>
      <c r="H892" s="11" t="s">
        <v>15</v>
      </c>
      <c r="I892" s="11">
        <v>15</v>
      </c>
      <c r="J892" s="12" t="s">
        <v>97</v>
      </c>
      <c r="K892" s="591">
        <f>(15*38)</f>
        <v>570</v>
      </c>
      <c r="L892" s="121" t="s">
        <v>2055</v>
      </c>
      <c r="M892" s="132">
        <v>7</v>
      </c>
      <c r="N892" s="133">
        <f>8+7</f>
        <v>15</v>
      </c>
      <c r="O892" s="119">
        <f t="shared" si="23"/>
        <v>0</v>
      </c>
    </row>
    <row r="893" spans="1:15">
      <c r="A893" s="590" t="s">
        <v>1181</v>
      </c>
      <c r="B893" s="11" t="s">
        <v>150</v>
      </c>
      <c r="C893" s="11">
        <v>46</v>
      </c>
      <c r="D893" s="11" t="s">
        <v>7</v>
      </c>
      <c r="E893" s="15">
        <v>1027</v>
      </c>
      <c r="F893" s="11" t="s">
        <v>392</v>
      </c>
      <c r="G893" s="11" t="s">
        <v>656</v>
      </c>
      <c r="H893" s="15" t="s">
        <v>15</v>
      </c>
      <c r="I893" s="15">
        <v>14</v>
      </c>
      <c r="J893" s="12" t="s">
        <v>1418</v>
      </c>
      <c r="K893" s="591">
        <f>(13*34)+(1*26.3)</f>
        <v>468.3</v>
      </c>
      <c r="L893" s="121" t="s">
        <v>2100</v>
      </c>
      <c r="M893" s="132"/>
      <c r="N893" s="133">
        <f>8+6</f>
        <v>14</v>
      </c>
      <c r="O893" s="119">
        <f t="shared" si="23"/>
        <v>0</v>
      </c>
    </row>
    <row r="894" spans="1:15">
      <c r="A894" s="590" t="s">
        <v>1166</v>
      </c>
      <c r="B894" s="11" t="s">
        <v>150</v>
      </c>
      <c r="C894" s="11">
        <v>49</v>
      </c>
      <c r="D894" s="11" t="s">
        <v>51</v>
      </c>
      <c r="E894" s="15">
        <v>72</v>
      </c>
      <c r="F894" s="11" t="s">
        <v>1331</v>
      </c>
      <c r="G894" s="11" t="s">
        <v>1766</v>
      </c>
      <c r="H894" s="15" t="s">
        <v>15</v>
      </c>
      <c r="I894" s="15">
        <v>20</v>
      </c>
      <c r="J894" s="12" t="s">
        <v>708</v>
      </c>
      <c r="K894" s="591">
        <f>(18*38)+(2*33.7)</f>
        <v>751.4</v>
      </c>
      <c r="L894" s="121" t="s">
        <v>2055</v>
      </c>
      <c r="M894" s="132">
        <v>1</v>
      </c>
      <c r="N894" s="133">
        <v>20</v>
      </c>
      <c r="O894" s="119">
        <f t="shared" si="23"/>
        <v>0</v>
      </c>
    </row>
    <row r="895" spans="1:15">
      <c r="A895" s="590" t="s">
        <v>1166</v>
      </c>
      <c r="B895" s="11" t="s">
        <v>150</v>
      </c>
      <c r="C895" s="11">
        <v>49</v>
      </c>
      <c r="D895" s="11" t="s">
        <v>51</v>
      </c>
      <c r="E895" s="15">
        <v>73</v>
      </c>
      <c r="F895" s="11" t="s">
        <v>1333</v>
      </c>
      <c r="G895" s="11" t="s">
        <v>1766</v>
      </c>
      <c r="H895" s="15" t="s">
        <v>15</v>
      </c>
      <c r="I895" s="15">
        <v>10</v>
      </c>
      <c r="J895" s="12" t="s">
        <v>1767</v>
      </c>
      <c r="K895" s="591">
        <f>(8*38)+(2*33.7)</f>
        <v>371.4</v>
      </c>
      <c r="L895" s="121" t="s">
        <v>2055</v>
      </c>
      <c r="M895" s="132">
        <v>4</v>
      </c>
      <c r="N895" s="133">
        <v>10</v>
      </c>
      <c r="O895" s="119">
        <f t="shared" si="23"/>
        <v>0</v>
      </c>
    </row>
    <row r="896" spans="1:15">
      <c r="A896" s="590" t="s">
        <v>1166</v>
      </c>
      <c r="B896" s="11" t="s">
        <v>150</v>
      </c>
      <c r="C896" s="11">
        <v>49</v>
      </c>
      <c r="D896" s="11" t="s">
        <v>51</v>
      </c>
      <c r="E896" s="15">
        <v>106</v>
      </c>
      <c r="F896" s="11" t="s">
        <v>1337</v>
      </c>
      <c r="G896" s="11" t="s">
        <v>1766</v>
      </c>
      <c r="H896" s="15" t="s">
        <v>15</v>
      </c>
      <c r="I896" s="15">
        <v>20</v>
      </c>
      <c r="J896" s="12" t="s">
        <v>631</v>
      </c>
      <c r="K896" s="591">
        <f>(19*36)+(1*31.7)</f>
        <v>715.7</v>
      </c>
      <c r="L896" s="121" t="s">
        <v>2055</v>
      </c>
      <c r="M896" s="132">
        <v>8</v>
      </c>
      <c r="N896" s="133">
        <v>20</v>
      </c>
      <c r="O896" s="119">
        <f t="shared" si="23"/>
        <v>0</v>
      </c>
    </row>
    <row r="897" spans="1:15">
      <c r="A897" s="590" t="s">
        <v>1176</v>
      </c>
      <c r="B897" s="11" t="s">
        <v>150</v>
      </c>
      <c r="C897" s="11">
        <v>50</v>
      </c>
      <c r="D897" s="11" t="s">
        <v>51</v>
      </c>
      <c r="E897" s="15">
        <v>43</v>
      </c>
      <c r="F897" s="11" t="s">
        <v>1812</v>
      </c>
      <c r="G897" s="11" t="s">
        <v>1766</v>
      </c>
      <c r="H897" s="15" t="s">
        <v>5</v>
      </c>
      <c r="I897" s="15">
        <v>10</v>
      </c>
      <c r="J897" s="12" t="s">
        <v>1813</v>
      </c>
      <c r="K897" s="591">
        <f>(10*34)</f>
        <v>340</v>
      </c>
      <c r="L897" s="121" t="s">
        <v>2029</v>
      </c>
      <c r="M897" s="132">
        <v>2</v>
      </c>
      <c r="N897" s="133">
        <v>10</v>
      </c>
      <c r="O897" s="119">
        <f t="shared" si="23"/>
        <v>0</v>
      </c>
    </row>
    <row r="898" spans="1:15">
      <c r="A898" s="590" t="s">
        <v>1178</v>
      </c>
      <c r="B898" s="11" t="s">
        <v>150</v>
      </c>
      <c r="C898" s="11">
        <v>50</v>
      </c>
      <c r="D898" s="11" t="s">
        <v>51</v>
      </c>
      <c r="E898" s="15">
        <v>41</v>
      </c>
      <c r="F898" s="11" t="s">
        <v>1866</v>
      </c>
      <c r="G898" s="11" t="s">
        <v>1766</v>
      </c>
      <c r="H898" s="15" t="s">
        <v>5</v>
      </c>
      <c r="I898" s="15">
        <v>20</v>
      </c>
      <c r="J898" s="12" t="s">
        <v>633</v>
      </c>
      <c r="K898" s="591">
        <f>(19*34)+(1*29.7)</f>
        <v>675.7</v>
      </c>
      <c r="L898" s="121" t="s">
        <v>2082</v>
      </c>
      <c r="M898" s="132">
        <v>1</v>
      </c>
      <c r="N898" s="133">
        <f>10+10</f>
        <v>20</v>
      </c>
      <c r="O898" s="119">
        <f t="shared" si="23"/>
        <v>0</v>
      </c>
    </row>
    <row r="899" spans="1:15">
      <c r="A899" s="590" t="s">
        <v>1186</v>
      </c>
      <c r="B899" s="11" t="s">
        <v>150</v>
      </c>
      <c r="C899" s="11">
        <v>47</v>
      </c>
      <c r="D899" s="11" t="s">
        <v>51</v>
      </c>
      <c r="E899" s="15">
        <v>75</v>
      </c>
      <c r="F899" s="11" t="s">
        <v>1916</v>
      </c>
      <c r="G899" s="11" t="s">
        <v>1766</v>
      </c>
      <c r="H899" s="15" t="s">
        <v>15</v>
      </c>
      <c r="I899" s="15">
        <v>20</v>
      </c>
      <c r="J899" s="12" t="s">
        <v>692</v>
      </c>
      <c r="K899" s="591">
        <f>(19*37)+(1*32.7)</f>
        <v>735.7</v>
      </c>
      <c r="L899" s="121" t="s">
        <v>2055</v>
      </c>
      <c r="M899" s="136">
        <v>3</v>
      </c>
      <c r="N899" s="133">
        <v>20</v>
      </c>
      <c r="O899" s="119">
        <f t="shared" ref="O899:O962" si="25">I899-N899</f>
        <v>0</v>
      </c>
    </row>
    <row r="900" spans="1:15">
      <c r="A900" s="590" t="s">
        <v>1146</v>
      </c>
      <c r="B900" s="11" t="s">
        <v>9</v>
      </c>
      <c r="C900" s="11">
        <v>39</v>
      </c>
      <c r="D900" s="11" t="s">
        <v>16</v>
      </c>
      <c r="E900" s="15">
        <v>248</v>
      </c>
      <c r="F900" s="11" t="s">
        <v>673</v>
      </c>
      <c r="G900" s="11" t="s">
        <v>115</v>
      </c>
      <c r="H900" s="15" t="s">
        <v>5</v>
      </c>
      <c r="I900" s="15">
        <v>20</v>
      </c>
      <c r="J900" s="12" t="s">
        <v>31</v>
      </c>
      <c r="K900" s="591">
        <f>+(19*38)+(1*29.4)</f>
        <v>751.4</v>
      </c>
      <c r="L900" s="121" t="s">
        <v>2033</v>
      </c>
      <c r="M900" s="132">
        <v>13</v>
      </c>
      <c r="N900" s="133">
        <f>9+11</f>
        <v>20</v>
      </c>
      <c r="O900" s="119">
        <f t="shared" si="25"/>
        <v>0</v>
      </c>
    </row>
    <row r="901" spans="1:15">
      <c r="A901" s="590" t="s">
        <v>1146</v>
      </c>
      <c r="B901" s="11" t="s">
        <v>9</v>
      </c>
      <c r="C901" s="11">
        <v>39</v>
      </c>
      <c r="D901" s="11" t="s">
        <v>16</v>
      </c>
      <c r="E901" s="15">
        <v>250</v>
      </c>
      <c r="F901" s="11" t="s">
        <v>1334</v>
      </c>
      <c r="G901" s="11" t="s">
        <v>115</v>
      </c>
      <c r="H901" s="15" t="s">
        <v>15</v>
      </c>
      <c r="I901" s="15">
        <v>20</v>
      </c>
      <c r="J901" s="12" t="s">
        <v>31</v>
      </c>
      <c r="K901" s="591">
        <f>+(19*38)+(1*29.4)</f>
        <v>751.4</v>
      </c>
      <c r="L901" s="121" t="s">
        <v>2082</v>
      </c>
      <c r="M901" s="132">
        <v>10</v>
      </c>
      <c r="N901" s="133">
        <f>10+10</f>
        <v>20</v>
      </c>
      <c r="O901" s="119">
        <f t="shared" si="25"/>
        <v>0</v>
      </c>
    </row>
    <row r="902" spans="1:15">
      <c r="A902" s="590" t="s">
        <v>1146</v>
      </c>
      <c r="B902" s="11" t="s">
        <v>9</v>
      </c>
      <c r="C902" s="11">
        <v>39</v>
      </c>
      <c r="D902" s="11" t="s">
        <v>16</v>
      </c>
      <c r="E902" s="15">
        <v>254</v>
      </c>
      <c r="F902" s="11" t="s">
        <v>434</v>
      </c>
      <c r="G902" s="11" t="s">
        <v>115</v>
      </c>
      <c r="H902" s="15" t="s">
        <v>15</v>
      </c>
      <c r="I902" s="15">
        <v>20</v>
      </c>
      <c r="J902" s="12" t="s">
        <v>31</v>
      </c>
      <c r="K902" s="591">
        <f>+(19*38)+(1*29.4)</f>
        <v>751.4</v>
      </c>
      <c r="L902" s="121" t="s">
        <v>2033</v>
      </c>
      <c r="M902" s="132">
        <v>13</v>
      </c>
      <c r="N902" s="133">
        <v>20</v>
      </c>
      <c r="O902" s="119">
        <f t="shared" si="25"/>
        <v>0</v>
      </c>
    </row>
    <row r="903" spans="1:15">
      <c r="A903" s="590" t="s">
        <v>1192</v>
      </c>
      <c r="B903" s="11" t="s">
        <v>9</v>
      </c>
      <c r="C903" s="11">
        <v>49</v>
      </c>
      <c r="D903" s="11" t="s">
        <v>16</v>
      </c>
      <c r="E903" s="15">
        <v>405</v>
      </c>
      <c r="F903" s="11" t="s">
        <v>452</v>
      </c>
      <c r="G903" s="11" t="s">
        <v>115</v>
      </c>
      <c r="H903" s="15" t="s">
        <v>15</v>
      </c>
      <c r="I903" s="15">
        <v>20</v>
      </c>
      <c r="J903" s="12" t="s">
        <v>31</v>
      </c>
      <c r="K903" s="591">
        <f>(19*38)+(1*29.4)</f>
        <v>751.4</v>
      </c>
      <c r="L903" s="121" t="s">
        <v>2033</v>
      </c>
      <c r="M903" s="136">
        <v>12</v>
      </c>
      <c r="N903" s="133">
        <v>20</v>
      </c>
      <c r="O903" s="119">
        <f t="shared" si="25"/>
        <v>0</v>
      </c>
    </row>
    <row r="904" spans="1:15">
      <c r="A904" s="590" t="s">
        <v>1192</v>
      </c>
      <c r="B904" s="11" t="s">
        <v>9</v>
      </c>
      <c r="C904" s="11">
        <v>49</v>
      </c>
      <c r="D904" s="11" t="s">
        <v>16</v>
      </c>
      <c r="E904" s="15">
        <v>408</v>
      </c>
      <c r="F904" s="11" t="s">
        <v>636</v>
      </c>
      <c r="G904" s="11" t="s">
        <v>115</v>
      </c>
      <c r="H904" s="15" t="s">
        <v>15</v>
      </c>
      <c r="I904" s="15">
        <v>20</v>
      </c>
      <c r="J904" s="12" t="s">
        <v>31</v>
      </c>
      <c r="K904" s="591">
        <f>(19*38)+(1*29.4)</f>
        <v>751.4</v>
      </c>
      <c r="L904" s="121" t="s">
        <v>2033</v>
      </c>
      <c r="M904" s="136">
        <v>11</v>
      </c>
      <c r="N904" s="133">
        <f>10+10</f>
        <v>20</v>
      </c>
      <c r="O904" s="119">
        <f t="shared" si="25"/>
        <v>0</v>
      </c>
    </row>
    <row r="905" spans="1:15">
      <c r="A905" s="590" t="s">
        <v>1192</v>
      </c>
      <c r="B905" s="11" t="s">
        <v>9</v>
      </c>
      <c r="C905" s="11">
        <v>49</v>
      </c>
      <c r="D905" s="11" t="s">
        <v>16</v>
      </c>
      <c r="E905" s="15">
        <v>410</v>
      </c>
      <c r="F905" s="11" t="s">
        <v>1378</v>
      </c>
      <c r="G905" s="11" t="s">
        <v>115</v>
      </c>
      <c r="H905" s="15" t="s">
        <v>143</v>
      </c>
      <c r="I905" s="15">
        <v>15</v>
      </c>
      <c r="J905" s="12" t="s">
        <v>1928</v>
      </c>
      <c r="K905" s="591">
        <f>(13*36)+(2*30.2)</f>
        <v>528.4</v>
      </c>
      <c r="L905" s="121" t="s">
        <v>2033</v>
      </c>
      <c r="M905" s="136">
        <v>14</v>
      </c>
      <c r="N905" s="133">
        <v>15</v>
      </c>
      <c r="O905" s="119">
        <f t="shared" si="25"/>
        <v>0</v>
      </c>
    </row>
    <row r="906" spans="1:15">
      <c r="A906" s="590" t="s">
        <v>1973</v>
      </c>
      <c r="B906" s="11" t="s">
        <v>9</v>
      </c>
      <c r="C906" s="11">
        <v>48</v>
      </c>
      <c r="D906" s="11" t="s">
        <v>16</v>
      </c>
      <c r="E906" s="15">
        <v>359</v>
      </c>
      <c r="F906" s="11" t="s">
        <v>361</v>
      </c>
      <c r="G906" s="11" t="s">
        <v>115</v>
      </c>
      <c r="H906" s="15" t="s">
        <v>15</v>
      </c>
      <c r="I906" s="15">
        <v>20</v>
      </c>
      <c r="J906" s="12" t="s">
        <v>31</v>
      </c>
      <c r="K906" s="591">
        <f>(19*38)+(1*29.4)</f>
        <v>751.4</v>
      </c>
      <c r="L906" s="121" t="s">
        <v>2082</v>
      </c>
      <c r="M906" s="136">
        <v>2</v>
      </c>
      <c r="N906" s="133">
        <v>20</v>
      </c>
      <c r="O906" s="119">
        <f t="shared" si="25"/>
        <v>0</v>
      </c>
    </row>
    <row r="907" spans="1:15">
      <c r="A907" s="590" t="s">
        <v>1973</v>
      </c>
      <c r="B907" s="11" t="s">
        <v>9</v>
      </c>
      <c r="C907" s="11">
        <v>48</v>
      </c>
      <c r="D907" s="11" t="s">
        <v>16</v>
      </c>
      <c r="E907" s="15">
        <v>360</v>
      </c>
      <c r="F907" s="11" t="s">
        <v>393</v>
      </c>
      <c r="G907" s="11" t="s">
        <v>115</v>
      </c>
      <c r="H907" s="15" t="s">
        <v>15</v>
      </c>
      <c r="I907" s="15">
        <v>20</v>
      </c>
      <c r="J907" s="12" t="s">
        <v>31</v>
      </c>
      <c r="K907" s="591">
        <f>(19*38)+(1*29.4)</f>
        <v>751.4</v>
      </c>
      <c r="L907" s="121" t="s">
        <v>2082</v>
      </c>
      <c r="M907" s="136">
        <v>2</v>
      </c>
      <c r="N907" s="133">
        <f>10+10</f>
        <v>20</v>
      </c>
      <c r="O907" s="119">
        <f t="shared" si="25"/>
        <v>0</v>
      </c>
    </row>
    <row r="908" spans="1:15">
      <c r="A908" s="590" t="s">
        <v>1139</v>
      </c>
      <c r="B908" s="11" t="s">
        <v>9</v>
      </c>
      <c r="C908" s="11">
        <v>38</v>
      </c>
      <c r="D908" s="11" t="s">
        <v>16</v>
      </c>
      <c r="E908" s="11">
        <v>284</v>
      </c>
      <c r="F908" s="11" t="s">
        <v>1552</v>
      </c>
      <c r="G908" s="11" t="s">
        <v>40</v>
      </c>
      <c r="H908" s="11" t="s">
        <v>143</v>
      </c>
      <c r="I908" s="11">
        <v>20</v>
      </c>
      <c r="J908" s="12" t="s">
        <v>31</v>
      </c>
      <c r="K908" s="591">
        <f>(19*38)+(1*29.4)</f>
        <v>751.4</v>
      </c>
      <c r="L908" s="120" t="s">
        <v>2055</v>
      </c>
      <c r="M908" s="132">
        <v>3</v>
      </c>
      <c r="N908" s="133">
        <v>20</v>
      </c>
      <c r="O908" s="119">
        <f t="shared" si="25"/>
        <v>0</v>
      </c>
    </row>
    <row r="909" spans="1:15">
      <c r="A909" s="590" t="s">
        <v>1023</v>
      </c>
      <c r="B909" s="11" t="s">
        <v>9</v>
      </c>
      <c r="C909" s="11">
        <v>40</v>
      </c>
      <c r="D909" s="11" t="s">
        <v>16</v>
      </c>
      <c r="E909" s="15">
        <v>313</v>
      </c>
      <c r="F909" s="11" t="s">
        <v>1742</v>
      </c>
      <c r="G909" s="11" t="s">
        <v>40</v>
      </c>
      <c r="H909" s="15" t="s">
        <v>143</v>
      </c>
      <c r="I909" s="15">
        <v>10</v>
      </c>
      <c r="J909" s="12" t="s">
        <v>1358</v>
      </c>
      <c r="K909" s="591">
        <f>(9*38)+(1*32.2)</f>
        <v>374.2</v>
      </c>
      <c r="L909" s="121" t="s">
        <v>2055</v>
      </c>
      <c r="M909" s="132">
        <v>8</v>
      </c>
      <c r="N909" s="133">
        <v>10</v>
      </c>
      <c r="O909" s="119">
        <f t="shared" si="25"/>
        <v>0</v>
      </c>
    </row>
    <row r="910" spans="1:15">
      <c r="A910" s="590" t="s">
        <v>1023</v>
      </c>
      <c r="B910" s="11" t="s">
        <v>9</v>
      </c>
      <c r="C910" s="11">
        <v>40</v>
      </c>
      <c r="D910" s="11" t="s">
        <v>16</v>
      </c>
      <c r="E910" s="15">
        <v>314</v>
      </c>
      <c r="F910" s="11" t="s">
        <v>1743</v>
      </c>
      <c r="G910" s="11" t="s">
        <v>40</v>
      </c>
      <c r="H910" s="15" t="s">
        <v>143</v>
      </c>
      <c r="I910" s="15">
        <v>20</v>
      </c>
      <c r="J910" s="12" t="s">
        <v>31</v>
      </c>
      <c r="K910" s="591">
        <f>(19*38)+(1*29.4)</f>
        <v>751.4</v>
      </c>
      <c r="L910" s="121" t="s">
        <v>2055</v>
      </c>
      <c r="M910" s="132">
        <v>7</v>
      </c>
      <c r="N910" s="133">
        <f>10+10</f>
        <v>20</v>
      </c>
      <c r="O910" s="119">
        <f t="shared" si="25"/>
        <v>0</v>
      </c>
    </row>
    <row r="911" spans="1:15">
      <c r="A911" s="590" t="s">
        <v>1164</v>
      </c>
      <c r="B911" s="11" t="s">
        <v>9</v>
      </c>
      <c r="C911" s="11">
        <v>40</v>
      </c>
      <c r="D911" s="11" t="s">
        <v>10</v>
      </c>
      <c r="E911" s="15">
        <v>201</v>
      </c>
      <c r="F911" s="11" t="s">
        <v>773</v>
      </c>
      <c r="G911" s="11" t="s">
        <v>40</v>
      </c>
      <c r="H911" s="15" t="s">
        <v>143</v>
      </c>
      <c r="I911" s="15">
        <v>20</v>
      </c>
      <c r="J911" s="12" t="s">
        <v>31</v>
      </c>
      <c r="K911" s="591">
        <f>(19*38)+(1*29.4)</f>
        <v>751.4</v>
      </c>
      <c r="L911" s="121" t="s">
        <v>2082</v>
      </c>
      <c r="M911" s="132">
        <v>13</v>
      </c>
      <c r="N911" s="133">
        <f>10+10</f>
        <v>20</v>
      </c>
      <c r="O911" s="119">
        <f t="shared" si="25"/>
        <v>0</v>
      </c>
    </row>
    <row r="912" spans="1:15">
      <c r="A912" s="590" t="s">
        <v>1030</v>
      </c>
      <c r="B912" s="11" t="s">
        <v>9</v>
      </c>
      <c r="C912" s="11">
        <v>45</v>
      </c>
      <c r="D912" s="11" t="s">
        <v>10</v>
      </c>
      <c r="E912" s="15">
        <v>255</v>
      </c>
      <c r="F912" s="11" t="s">
        <v>192</v>
      </c>
      <c r="G912" s="11" t="s">
        <v>40</v>
      </c>
      <c r="H912" s="15" t="s">
        <v>15</v>
      </c>
      <c r="I912" s="15">
        <v>15</v>
      </c>
      <c r="J912" s="12" t="s">
        <v>14</v>
      </c>
      <c r="K912" s="591">
        <f>(14*38)+(1*29.4)</f>
        <v>561.4</v>
      </c>
      <c r="L912" s="121" t="s">
        <v>2082</v>
      </c>
      <c r="M912" s="132">
        <v>11</v>
      </c>
      <c r="N912" s="133">
        <f>7+8</f>
        <v>15</v>
      </c>
      <c r="O912" s="119">
        <f t="shared" si="25"/>
        <v>0</v>
      </c>
    </row>
    <row r="913" spans="1:15">
      <c r="A913" s="590" t="s">
        <v>1030</v>
      </c>
      <c r="B913" s="11" t="s">
        <v>9</v>
      </c>
      <c r="C913" s="11">
        <v>45</v>
      </c>
      <c r="D913" s="11" t="s">
        <v>10</v>
      </c>
      <c r="E913" s="15">
        <v>256</v>
      </c>
      <c r="F913" s="11" t="s">
        <v>230</v>
      </c>
      <c r="G913" s="11" t="s">
        <v>40</v>
      </c>
      <c r="H913" s="15" t="s">
        <v>15</v>
      </c>
      <c r="I913" s="15">
        <v>15</v>
      </c>
      <c r="J913" s="12" t="s">
        <v>14</v>
      </c>
      <c r="K913" s="591">
        <f>(14*38)+(1*29.4)</f>
        <v>561.4</v>
      </c>
      <c r="L913" s="121" t="s">
        <v>2082</v>
      </c>
      <c r="M913" s="120">
        <v>9</v>
      </c>
      <c r="N913" s="130">
        <f>8+7</f>
        <v>15</v>
      </c>
      <c r="O913" s="119">
        <f t="shared" si="25"/>
        <v>0</v>
      </c>
    </row>
    <row r="914" spans="1:15">
      <c r="A914" s="590" t="s">
        <v>1030</v>
      </c>
      <c r="B914" s="11" t="s">
        <v>9</v>
      </c>
      <c r="C914" s="11">
        <v>45</v>
      </c>
      <c r="D914" s="11" t="s">
        <v>16</v>
      </c>
      <c r="E914" s="15">
        <v>200</v>
      </c>
      <c r="F914" s="11" t="s">
        <v>1780</v>
      </c>
      <c r="G914" s="11" t="s">
        <v>40</v>
      </c>
      <c r="H914" s="15" t="s">
        <v>15</v>
      </c>
      <c r="I914" s="15">
        <v>15</v>
      </c>
      <c r="J914" s="12" t="s">
        <v>97</v>
      </c>
      <c r="K914" s="591">
        <f>(15*38)</f>
        <v>570</v>
      </c>
      <c r="L914" s="120" t="s">
        <v>2082</v>
      </c>
      <c r="M914" s="132">
        <v>9</v>
      </c>
      <c r="N914" s="133">
        <f>6+9</f>
        <v>15</v>
      </c>
      <c r="O914" s="119">
        <f t="shared" si="25"/>
        <v>0</v>
      </c>
    </row>
    <row r="915" spans="1:15">
      <c r="A915" s="590" t="s">
        <v>1030</v>
      </c>
      <c r="B915" s="11" t="s">
        <v>9</v>
      </c>
      <c r="C915" s="11">
        <v>45</v>
      </c>
      <c r="D915" s="11" t="s">
        <v>16</v>
      </c>
      <c r="E915" s="15">
        <v>201</v>
      </c>
      <c r="F915" s="11" t="s">
        <v>1587</v>
      </c>
      <c r="G915" s="11" t="s">
        <v>40</v>
      </c>
      <c r="H915" s="15" t="s">
        <v>15</v>
      </c>
      <c r="I915" s="15">
        <v>15</v>
      </c>
      <c r="J915" s="12" t="s">
        <v>97</v>
      </c>
      <c r="K915" s="591">
        <f>(15*38)</f>
        <v>570</v>
      </c>
      <c r="L915" s="120" t="s">
        <v>2082</v>
      </c>
      <c r="M915" s="132">
        <v>10</v>
      </c>
      <c r="N915" s="133">
        <f>7+8</f>
        <v>15</v>
      </c>
      <c r="O915" s="119">
        <f t="shared" si="25"/>
        <v>0</v>
      </c>
    </row>
    <row r="916" spans="1:15">
      <c r="A916" s="590" t="s">
        <v>1030</v>
      </c>
      <c r="B916" s="11" t="s">
        <v>9</v>
      </c>
      <c r="C916" s="11">
        <v>45</v>
      </c>
      <c r="D916" s="11" t="s">
        <v>16</v>
      </c>
      <c r="E916" s="15">
        <v>205</v>
      </c>
      <c r="F916" s="11" t="s">
        <v>729</v>
      </c>
      <c r="G916" s="11" t="s">
        <v>40</v>
      </c>
      <c r="H916" s="15" t="s">
        <v>15</v>
      </c>
      <c r="I916" s="15">
        <v>15</v>
      </c>
      <c r="J916" s="12" t="s">
        <v>97</v>
      </c>
      <c r="K916" s="591">
        <f>(15*38)</f>
        <v>570</v>
      </c>
      <c r="L916" s="120" t="s">
        <v>2082</v>
      </c>
      <c r="M916" s="132">
        <v>11</v>
      </c>
      <c r="N916" s="133">
        <f>8+7</f>
        <v>15</v>
      </c>
      <c r="O916" s="119">
        <f t="shared" si="25"/>
        <v>0</v>
      </c>
    </row>
    <row r="917" spans="1:15">
      <c r="A917" s="590" t="s">
        <v>1174</v>
      </c>
      <c r="B917" s="11" t="s">
        <v>9</v>
      </c>
      <c r="C917" s="11">
        <v>46</v>
      </c>
      <c r="D917" s="11" t="s">
        <v>10</v>
      </c>
      <c r="E917" s="15">
        <v>189</v>
      </c>
      <c r="F917" s="11" t="s">
        <v>794</v>
      </c>
      <c r="G917" s="11" t="s">
        <v>40</v>
      </c>
      <c r="H917" s="15" t="s">
        <v>15</v>
      </c>
      <c r="I917" s="15">
        <v>30</v>
      </c>
      <c r="J917" s="12" t="s">
        <v>25</v>
      </c>
      <c r="K917" s="591">
        <f>(29*38)+(1*29.4)</f>
        <v>1131.4000000000001</v>
      </c>
      <c r="L917" s="121" t="s">
        <v>2029</v>
      </c>
      <c r="M917" s="132">
        <v>3</v>
      </c>
      <c r="N917" s="133">
        <f>9+10+11</f>
        <v>30</v>
      </c>
      <c r="O917" s="119">
        <f t="shared" si="25"/>
        <v>0</v>
      </c>
    </row>
    <row r="918" spans="1:15">
      <c r="A918" s="590" t="s">
        <v>1174</v>
      </c>
      <c r="B918" s="11" t="s">
        <v>9</v>
      </c>
      <c r="C918" s="11">
        <v>46</v>
      </c>
      <c r="D918" s="11" t="s">
        <v>10</v>
      </c>
      <c r="E918" s="15">
        <v>190</v>
      </c>
      <c r="F918" s="11" t="s">
        <v>565</v>
      </c>
      <c r="G918" s="11" t="s">
        <v>40</v>
      </c>
      <c r="H918" s="15" t="s">
        <v>15</v>
      </c>
      <c r="I918" s="15">
        <v>30</v>
      </c>
      <c r="J918" s="12" t="s">
        <v>25</v>
      </c>
      <c r="K918" s="591">
        <f>(29*38)+(1*29.4)</f>
        <v>1131.4000000000001</v>
      </c>
      <c r="L918" s="121" t="s">
        <v>2029</v>
      </c>
      <c r="M918" s="132">
        <v>2</v>
      </c>
      <c r="N918" s="133">
        <f>8+11+11</f>
        <v>30</v>
      </c>
      <c r="O918" s="119">
        <f t="shared" si="25"/>
        <v>0</v>
      </c>
    </row>
    <row r="919" spans="1:15">
      <c r="A919" s="590" t="s">
        <v>1174</v>
      </c>
      <c r="B919" s="11" t="s">
        <v>9</v>
      </c>
      <c r="C919" s="11">
        <v>46</v>
      </c>
      <c r="D919" s="11" t="s">
        <v>10</v>
      </c>
      <c r="E919" s="15">
        <v>191</v>
      </c>
      <c r="F919" s="11" t="s">
        <v>589</v>
      </c>
      <c r="G919" s="11" t="s">
        <v>40</v>
      </c>
      <c r="H919" s="15" t="s">
        <v>15</v>
      </c>
      <c r="I919" s="15">
        <v>30</v>
      </c>
      <c r="J919" s="12" t="s">
        <v>25</v>
      </c>
      <c r="K919" s="591">
        <f>(29*38)+(1*29.4)</f>
        <v>1131.4000000000001</v>
      </c>
      <c r="L919" s="121" t="s">
        <v>2029</v>
      </c>
      <c r="M919" s="132" t="s">
        <v>2031</v>
      </c>
      <c r="N919" s="133">
        <f>21+9</f>
        <v>30</v>
      </c>
      <c r="O919" s="119">
        <f t="shared" si="25"/>
        <v>0</v>
      </c>
    </row>
    <row r="920" spans="1:15">
      <c r="A920" s="590" t="s">
        <v>1192</v>
      </c>
      <c r="B920" s="11" t="s">
        <v>9</v>
      </c>
      <c r="C920" s="11">
        <v>49</v>
      </c>
      <c r="D920" s="11" t="s">
        <v>16</v>
      </c>
      <c r="E920" s="15">
        <v>428</v>
      </c>
      <c r="F920" s="11" t="s">
        <v>821</v>
      </c>
      <c r="G920" s="11" t="s">
        <v>40</v>
      </c>
      <c r="H920" s="15" t="s">
        <v>5</v>
      </c>
      <c r="I920" s="15">
        <v>15</v>
      </c>
      <c r="J920" s="12" t="s">
        <v>14</v>
      </c>
      <c r="K920" s="591">
        <f>(14*38)+(1*29.4)</f>
        <v>561.4</v>
      </c>
      <c r="L920" s="121" t="s">
        <v>2082</v>
      </c>
      <c r="M920" s="136">
        <v>2</v>
      </c>
      <c r="N920" s="133">
        <f>8+7</f>
        <v>15</v>
      </c>
      <c r="O920" s="119">
        <f t="shared" si="25"/>
        <v>0</v>
      </c>
    </row>
    <row r="921" spans="1:15">
      <c r="A921" s="590" t="s">
        <v>1192</v>
      </c>
      <c r="B921" s="11" t="s">
        <v>9</v>
      </c>
      <c r="C921" s="11">
        <v>49</v>
      </c>
      <c r="D921" s="11" t="s">
        <v>16</v>
      </c>
      <c r="E921" s="15">
        <v>430</v>
      </c>
      <c r="F921" s="11" t="s">
        <v>818</v>
      </c>
      <c r="G921" s="11" t="s">
        <v>40</v>
      </c>
      <c r="H921" s="15" t="s">
        <v>15</v>
      </c>
      <c r="I921" s="15">
        <v>15</v>
      </c>
      <c r="J921" s="12" t="s">
        <v>97</v>
      </c>
      <c r="K921" s="591">
        <f>(15*38)</f>
        <v>570</v>
      </c>
      <c r="L921" s="121" t="s">
        <v>2082</v>
      </c>
      <c r="M921" s="136">
        <v>4</v>
      </c>
      <c r="N921" s="133">
        <v>15</v>
      </c>
      <c r="O921" s="119">
        <f t="shared" si="25"/>
        <v>0</v>
      </c>
    </row>
    <row r="922" spans="1:15">
      <c r="A922" s="590" t="s">
        <v>1192</v>
      </c>
      <c r="B922" s="11" t="s">
        <v>9</v>
      </c>
      <c r="C922" s="11">
        <v>49</v>
      </c>
      <c r="D922" s="11" t="s">
        <v>16</v>
      </c>
      <c r="E922" s="15">
        <v>434</v>
      </c>
      <c r="F922" s="11" t="s">
        <v>1929</v>
      </c>
      <c r="G922" s="11" t="s">
        <v>40</v>
      </c>
      <c r="H922" s="15" t="s">
        <v>15</v>
      </c>
      <c r="I922" s="15">
        <v>15</v>
      </c>
      <c r="J922" s="12" t="s">
        <v>97</v>
      </c>
      <c r="K922" s="591">
        <f>(15*38)</f>
        <v>570</v>
      </c>
      <c r="L922" s="121" t="s">
        <v>2082</v>
      </c>
      <c r="M922" s="136">
        <v>2</v>
      </c>
      <c r="N922" s="133">
        <f>9+6</f>
        <v>15</v>
      </c>
      <c r="O922" s="119">
        <f t="shared" si="25"/>
        <v>0</v>
      </c>
    </row>
    <row r="923" spans="1:15">
      <c r="A923" s="590" t="s">
        <v>1192</v>
      </c>
      <c r="B923" s="11" t="s">
        <v>9</v>
      </c>
      <c r="C923" s="11">
        <v>49</v>
      </c>
      <c r="D923" s="11" t="s">
        <v>16</v>
      </c>
      <c r="E923" s="15">
        <v>438</v>
      </c>
      <c r="F923" s="11" t="s">
        <v>1930</v>
      </c>
      <c r="G923" s="11" t="s">
        <v>40</v>
      </c>
      <c r="H923" s="15" t="s">
        <v>15</v>
      </c>
      <c r="I923" s="15">
        <v>20</v>
      </c>
      <c r="J923" s="12" t="s">
        <v>157</v>
      </c>
      <c r="K923" s="591">
        <f>(20*38)</f>
        <v>760</v>
      </c>
      <c r="L923" s="121" t="s">
        <v>2082</v>
      </c>
      <c r="M923" s="136">
        <v>10</v>
      </c>
      <c r="N923" s="133">
        <f>10+10</f>
        <v>20</v>
      </c>
      <c r="O923" s="119">
        <f t="shared" si="25"/>
        <v>0</v>
      </c>
    </row>
    <row r="924" spans="1:15">
      <c r="A924" s="590" t="s">
        <v>1194</v>
      </c>
      <c r="B924" s="11" t="s">
        <v>9</v>
      </c>
      <c r="C924" s="11">
        <v>47</v>
      </c>
      <c r="D924" s="11" t="s">
        <v>10</v>
      </c>
      <c r="E924" s="15">
        <v>222</v>
      </c>
      <c r="F924" s="11" t="s">
        <v>1939</v>
      </c>
      <c r="G924" s="11" t="s">
        <v>40</v>
      </c>
      <c r="H924" s="15" t="s">
        <v>15</v>
      </c>
      <c r="I924" s="15">
        <v>20</v>
      </c>
      <c r="J924" s="12" t="s">
        <v>157</v>
      </c>
      <c r="K924" s="591">
        <f>(20*38)</f>
        <v>760</v>
      </c>
      <c r="L924" s="121" t="s">
        <v>2055</v>
      </c>
      <c r="M924" s="136">
        <v>8</v>
      </c>
      <c r="N924" s="133">
        <v>20</v>
      </c>
      <c r="O924" s="119">
        <f t="shared" si="25"/>
        <v>0</v>
      </c>
    </row>
    <row r="925" spans="1:15">
      <c r="A925" s="590" t="s">
        <v>1973</v>
      </c>
      <c r="B925" s="11" t="s">
        <v>9</v>
      </c>
      <c r="C925" s="11">
        <v>48</v>
      </c>
      <c r="D925" s="11" t="s">
        <v>16</v>
      </c>
      <c r="E925" s="15">
        <v>387</v>
      </c>
      <c r="F925" s="11" t="s">
        <v>1948</v>
      </c>
      <c r="G925" s="11" t="s">
        <v>40</v>
      </c>
      <c r="H925" s="15" t="s">
        <v>15</v>
      </c>
      <c r="I925" s="15">
        <v>20</v>
      </c>
      <c r="J925" s="12" t="s">
        <v>157</v>
      </c>
      <c r="K925" s="591">
        <f>(20*38)</f>
        <v>760</v>
      </c>
      <c r="L925" s="121" t="s">
        <v>2082</v>
      </c>
      <c r="M925" s="136">
        <v>1</v>
      </c>
      <c r="N925" s="133">
        <f>10+10</f>
        <v>20</v>
      </c>
      <c r="O925" s="119">
        <f t="shared" si="25"/>
        <v>0</v>
      </c>
    </row>
    <row r="926" spans="1:15">
      <c r="A926" s="590" t="s">
        <v>1973</v>
      </c>
      <c r="B926" s="11" t="s">
        <v>9</v>
      </c>
      <c r="C926" s="11">
        <v>48</v>
      </c>
      <c r="D926" s="11" t="s">
        <v>16</v>
      </c>
      <c r="E926" s="15">
        <v>388</v>
      </c>
      <c r="F926" s="11" t="s">
        <v>1990</v>
      </c>
      <c r="G926" s="11" t="s">
        <v>40</v>
      </c>
      <c r="H926" s="15" t="s">
        <v>15</v>
      </c>
      <c r="I926" s="15">
        <v>30</v>
      </c>
      <c r="J926" s="12" t="s">
        <v>25</v>
      </c>
      <c r="K926" s="591">
        <f>(29*38)+(1*29.4)</f>
        <v>1131.4000000000001</v>
      </c>
      <c r="L926" s="121" t="s">
        <v>2082</v>
      </c>
      <c r="M926" s="136">
        <v>3</v>
      </c>
      <c r="N926" s="133">
        <f>10+10+10</f>
        <v>30</v>
      </c>
      <c r="O926" s="119">
        <f t="shared" si="25"/>
        <v>0</v>
      </c>
    </row>
    <row r="927" spans="1:15">
      <c r="A927" s="590" t="s">
        <v>1973</v>
      </c>
      <c r="B927" s="11" t="s">
        <v>9</v>
      </c>
      <c r="C927" s="11">
        <v>48</v>
      </c>
      <c r="D927" s="11" t="s">
        <v>16</v>
      </c>
      <c r="E927" s="15">
        <v>389</v>
      </c>
      <c r="F927" s="11" t="s">
        <v>1991</v>
      </c>
      <c r="G927" s="11" t="s">
        <v>40</v>
      </c>
      <c r="H927" s="15" t="s">
        <v>15</v>
      </c>
      <c r="I927" s="15">
        <v>30</v>
      </c>
      <c r="J927" s="12" t="s">
        <v>25</v>
      </c>
      <c r="K927" s="591">
        <f>(29*38)+(1*29.4)</f>
        <v>1131.4000000000001</v>
      </c>
      <c r="L927" s="121" t="s">
        <v>2082</v>
      </c>
      <c r="M927" s="136">
        <v>6</v>
      </c>
      <c r="N927" s="133">
        <f>10+10+10</f>
        <v>30</v>
      </c>
      <c r="O927" s="119">
        <f t="shared" si="25"/>
        <v>0</v>
      </c>
    </row>
    <row r="928" spans="1:15">
      <c r="A928" s="590" t="s">
        <v>1973</v>
      </c>
      <c r="B928" s="11" t="s">
        <v>9</v>
      </c>
      <c r="C928" s="11">
        <v>48</v>
      </c>
      <c r="D928" s="11" t="s">
        <v>10</v>
      </c>
      <c r="E928" s="15">
        <v>254</v>
      </c>
      <c r="F928" s="11" t="s">
        <v>2000</v>
      </c>
      <c r="G928" s="11" t="s">
        <v>40</v>
      </c>
      <c r="H928" s="15" t="s">
        <v>5</v>
      </c>
      <c r="I928" s="15">
        <v>30</v>
      </c>
      <c r="J928" s="12" t="s">
        <v>25</v>
      </c>
      <c r="K928" s="591">
        <f>(29*38)+(1*29.4)</f>
        <v>1131.4000000000001</v>
      </c>
      <c r="L928" s="121" t="s">
        <v>2033</v>
      </c>
      <c r="M928" s="136">
        <v>9</v>
      </c>
      <c r="N928" s="133">
        <f>20+10</f>
        <v>30</v>
      </c>
      <c r="O928" s="119">
        <f t="shared" si="25"/>
        <v>0</v>
      </c>
    </row>
    <row r="929" spans="1:15">
      <c r="A929" s="590" t="s">
        <v>1973</v>
      </c>
      <c r="B929" s="11" t="s">
        <v>9</v>
      </c>
      <c r="C929" s="11">
        <v>48</v>
      </c>
      <c r="D929" s="11" t="s">
        <v>10</v>
      </c>
      <c r="E929" s="15">
        <v>255</v>
      </c>
      <c r="F929" s="11" t="s">
        <v>1945</v>
      </c>
      <c r="G929" s="11" t="s">
        <v>40</v>
      </c>
      <c r="H929" s="15" t="s">
        <v>5</v>
      </c>
      <c r="I929" s="15">
        <v>20</v>
      </c>
      <c r="J929" s="12" t="s">
        <v>157</v>
      </c>
      <c r="K929" s="591">
        <f>(20*38)</f>
        <v>760</v>
      </c>
      <c r="L929" s="121" t="s">
        <v>2033</v>
      </c>
      <c r="M929" s="136">
        <v>13</v>
      </c>
      <c r="N929" s="133">
        <v>20</v>
      </c>
      <c r="O929" s="119">
        <f t="shared" si="25"/>
        <v>0</v>
      </c>
    </row>
    <row r="930" spans="1:15">
      <c r="A930" s="590" t="s">
        <v>1973</v>
      </c>
      <c r="B930" s="11" t="s">
        <v>9</v>
      </c>
      <c r="C930" s="11">
        <v>48</v>
      </c>
      <c r="D930" s="11" t="s">
        <v>10</v>
      </c>
      <c r="E930" s="15">
        <v>261</v>
      </c>
      <c r="F930" s="11" t="s">
        <v>2001</v>
      </c>
      <c r="G930" s="11" t="s">
        <v>40</v>
      </c>
      <c r="H930" s="15" t="s">
        <v>15</v>
      </c>
      <c r="I930" s="15">
        <v>15</v>
      </c>
      <c r="J930" s="12" t="s">
        <v>14</v>
      </c>
      <c r="K930" s="591">
        <f>(14*38)+(1*29.4)</f>
        <v>561.4</v>
      </c>
      <c r="L930" s="121" t="s">
        <v>2033</v>
      </c>
      <c r="M930" s="136">
        <v>12</v>
      </c>
      <c r="N930" s="133">
        <v>15</v>
      </c>
      <c r="O930" s="119">
        <f t="shared" si="25"/>
        <v>0</v>
      </c>
    </row>
    <row r="931" spans="1:15">
      <c r="A931" s="590" t="s">
        <v>1973</v>
      </c>
      <c r="B931" s="11" t="s">
        <v>9</v>
      </c>
      <c r="C931" s="11">
        <v>48</v>
      </c>
      <c r="D931" s="11" t="s">
        <v>10</v>
      </c>
      <c r="E931" s="15">
        <v>263</v>
      </c>
      <c r="F931" s="11" t="s">
        <v>1955</v>
      </c>
      <c r="G931" s="11" t="s">
        <v>40</v>
      </c>
      <c r="H931" s="15" t="s">
        <v>15</v>
      </c>
      <c r="I931" s="15">
        <v>20</v>
      </c>
      <c r="J931" s="12" t="s">
        <v>157</v>
      </c>
      <c r="K931" s="591">
        <f>(20*38)</f>
        <v>760</v>
      </c>
      <c r="L931" s="121" t="s">
        <v>2033</v>
      </c>
      <c r="M931" s="136">
        <v>12</v>
      </c>
      <c r="N931" s="133">
        <v>20</v>
      </c>
      <c r="O931" s="119">
        <f t="shared" si="25"/>
        <v>0</v>
      </c>
    </row>
    <row r="932" spans="1:15">
      <c r="A932" s="590" t="s">
        <v>1973</v>
      </c>
      <c r="B932" s="11" t="s">
        <v>9</v>
      </c>
      <c r="C932" s="11">
        <v>48</v>
      </c>
      <c r="D932" s="11" t="s">
        <v>10</v>
      </c>
      <c r="E932" s="15">
        <v>264</v>
      </c>
      <c r="F932" s="11" t="s">
        <v>572</v>
      </c>
      <c r="G932" s="11" t="s">
        <v>40</v>
      </c>
      <c r="H932" s="15" t="s">
        <v>15</v>
      </c>
      <c r="I932" s="15">
        <v>15</v>
      </c>
      <c r="J932" s="12" t="s">
        <v>14</v>
      </c>
      <c r="K932" s="591">
        <f>(14*38)+(1*29.4)</f>
        <v>561.4</v>
      </c>
      <c r="L932" s="121" t="s">
        <v>2033</v>
      </c>
      <c r="M932" s="136">
        <v>12</v>
      </c>
      <c r="N932" s="133">
        <v>15</v>
      </c>
      <c r="O932" s="119">
        <f t="shared" si="25"/>
        <v>0</v>
      </c>
    </row>
    <row r="933" spans="1:15">
      <c r="A933" s="590" t="s">
        <v>1973</v>
      </c>
      <c r="B933" s="11" t="s">
        <v>9</v>
      </c>
      <c r="C933" s="11">
        <v>48</v>
      </c>
      <c r="D933" s="11" t="s">
        <v>10</v>
      </c>
      <c r="E933" s="15">
        <v>265</v>
      </c>
      <c r="F933" s="11" t="s">
        <v>1739</v>
      </c>
      <c r="G933" s="11" t="s">
        <v>40</v>
      </c>
      <c r="H933" s="15" t="s">
        <v>15</v>
      </c>
      <c r="I933" s="15">
        <v>20</v>
      </c>
      <c r="J933" s="12" t="s">
        <v>157</v>
      </c>
      <c r="K933" s="591">
        <f>(20*38)</f>
        <v>760</v>
      </c>
      <c r="L933" s="121" t="s">
        <v>2033</v>
      </c>
      <c r="M933" s="136" t="s">
        <v>2053</v>
      </c>
      <c r="N933" s="133">
        <f>10+10</f>
        <v>20</v>
      </c>
      <c r="O933" s="119">
        <f t="shared" si="25"/>
        <v>0</v>
      </c>
    </row>
    <row r="934" spans="1:15">
      <c r="A934" s="590" t="s">
        <v>1975</v>
      </c>
      <c r="B934" s="11" t="s">
        <v>9</v>
      </c>
      <c r="C934" s="11">
        <v>49</v>
      </c>
      <c r="D934" s="11" t="s">
        <v>10</v>
      </c>
      <c r="E934" s="15">
        <v>201</v>
      </c>
      <c r="F934" s="11" t="s">
        <v>1737</v>
      </c>
      <c r="G934" s="11" t="s">
        <v>40</v>
      </c>
      <c r="H934" s="15" t="s">
        <v>5</v>
      </c>
      <c r="I934" s="15">
        <v>15</v>
      </c>
      <c r="J934" s="12" t="s">
        <v>14</v>
      </c>
      <c r="K934" s="591">
        <f>(14*38)+(1*29.4)</f>
        <v>561.4</v>
      </c>
      <c r="L934" s="121" t="s">
        <v>2033</v>
      </c>
      <c r="M934" s="136">
        <v>7</v>
      </c>
      <c r="N934" s="133">
        <v>15</v>
      </c>
      <c r="O934" s="119">
        <f t="shared" si="25"/>
        <v>0</v>
      </c>
    </row>
    <row r="935" spans="1:15">
      <c r="A935" s="590" t="s">
        <v>1975</v>
      </c>
      <c r="B935" s="11" t="s">
        <v>9</v>
      </c>
      <c r="C935" s="11">
        <v>49</v>
      </c>
      <c r="D935" s="11" t="s">
        <v>10</v>
      </c>
      <c r="E935" s="15">
        <v>202</v>
      </c>
      <c r="F935" s="11" t="s">
        <v>2010</v>
      </c>
      <c r="G935" s="11" t="s">
        <v>40</v>
      </c>
      <c r="H935" s="15" t="s">
        <v>5</v>
      </c>
      <c r="I935" s="15">
        <v>15</v>
      </c>
      <c r="J935" s="12" t="s">
        <v>97</v>
      </c>
      <c r="K935" s="591">
        <f>(15*38)</f>
        <v>570</v>
      </c>
      <c r="L935" s="121" t="s">
        <v>2033</v>
      </c>
      <c r="M935" s="136">
        <v>6</v>
      </c>
      <c r="N935" s="133">
        <f>7+8</f>
        <v>15</v>
      </c>
      <c r="O935" s="119">
        <f t="shared" si="25"/>
        <v>0</v>
      </c>
    </row>
    <row r="936" spans="1:15">
      <c r="A936" s="590" t="s">
        <v>1977</v>
      </c>
      <c r="B936" s="11" t="s">
        <v>9</v>
      </c>
      <c r="C936" s="11">
        <v>47</v>
      </c>
      <c r="D936" s="11" t="s">
        <v>16</v>
      </c>
      <c r="E936" s="15">
        <v>352</v>
      </c>
      <c r="F936" s="11" t="s">
        <v>2023</v>
      </c>
      <c r="G936" s="11" t="s">
        <v>40</v>
      </c>
      <c r="H936" s="15" t="s">
        <v>15</v>
      </c>
      <c r="I936" s="15">
        <v>15</v>
      </c>
      <c r="J936" s="12" t="s">
        <v>14</v>
      </c>
      <c r="K936" s="591">
        <f>(14*38)+(1*29.4)</f>
        <v>561.4</v>
      </c>
      <c r="L936" s="121" t="s">
        <v>2055</v>
      </c>
      <c r="M936" s="136"/>
      <c r="N936" s="133">
        <v>15</v>
      </c>
      <c r="O936" s="119">
        <f t="shared" si="25"/>
        <v>0</v>
      </c>
    </row>
    <row r="937" spans="1:15">
      <c r="A937" s="590" t="s">
        <v>1977</v>
      </c>
      <c r="B937" s="11" t="s">
        <v>9</v>
      </c>
      <c r="C937" s="11">
        <v>47</v>
      </c>
      <c r="D937" s="11" t="s">
        <v>16</v>
      </c>
      <c r="E937" s="15">
        <v>353</v>
      </c>
      <c r="F937" s="11" t="s">
        <v>2024</v>
      </c>
      <c r="G937" s="11" t="s">
        <v>40</v>
      </c>
      <c r="H937" s="15" t="s">
        <v>15</v>
      </c>
      <c r="I937" s="15">
        <v>15</v>
      </c>
      <c r="J937" s="12" t="s">
        <v>14</v>
      </c>
      <c r="K937" s="591">
        <f>(14*38)+(1*29.4)</f>
        <v>561.4</v>
      </c>
      <c r="L937" s="121" t="s">
        <v>2055</v>
      </c>
      <c r="M937" s="136"/>
      <c r="N937" s="133">
        <v>15</v>
      </c>
      <c r="O937" s="119">
        <f t="shared" si="25"/>
        <v>0</v>
      </c>
    </row>
    <row r="938" spans="1:15">
      <c r="A938" s="590" t="s">
        <v>1129</v>
      </c>
      <c r="B938" s="11" t="s">
        <v>9</v>
      </c>
      <c r="C938" s="11">
        <v>38</v>
      </c>
      <c r="D938" s="11" t="s">
        <v>16</v>
      </c>
      <c r="E938" s="11">
        <v>369</v>
      </c>
      <c r="F938" s="11" t="s">
        <v>421</v>
      </c>
      <c r="G938" s="11" t="s">
        <v>416</v>
      </c>
      <c r="H938" s="11" t="s">
        <v>5</v>
      </c>
      <c r="I938" s="11">
        <v>10</v>
      </c>
      <c r="J938" s="12" t="s">
        <v>11</v>
      </c>
      <c r="K938" s="591">
        <f>(9*35)+(1*26.4)</f>
        <v>341.4</v>
      </c>
      <c r="L938" s="121" t="s">
        <v>2033</v>
      </c>
      <c r="M938" s="132">
        <v>1</v>
      </c>
      <c r="N938" s="133">
        <v>10</v>
      </c>
      <c r="O938" s="119">
        <f t="shared" si="25"/>
        <v>0</v>
      </c>
    </row>
    <row r="939" spans="1:15">
      <c r="A939" s="590" t="s">
        <v>1129</v>
      </c>
      <c r="B939" s="11" t="s">
        <v>9</v>
      </c>
      <c r="C939" s="11">
        <v>38</v>
      </c>
      <c r="D939" s="11" t="s">
        <v>16</v>
      </c>
      <c r="E939" s="11">
        <v>372</v>
      </c>
      <c r="F939" s="11" t="s">
        <v>595</v>
      </c>
      <c r="G939" s="11" t="s">
        <v>416</v>
      </c>
      <c r="H939" s="11" t="s">
        <v>15</v>
      </c>
      <c r="I939" s="11">
        <v>15</v>
      </c>
      <c r="J939" s="12" t="s">
        <v>13</v>
      </c>
      <c r="K939" s="591">
        <f>(14*35)+(1*26.4)</f>
        <v>516.4</v>
      </c>
      <c r="L939" s="121" t="s">
        <v>2029</v>
      </c>
      <c r="M939" s="132">
        <v>4</v>
      </c>
      <c r="N939" s="133">
        <v>15</v>
      </c>
      <c r="O939" s="119">
        <f t="shared" si="25"/>
        <v>0</v>
      </c>
    </row>
    <row r="940" spans="1:15">
      <c r="A940" s="590" t="s">
        <v>1014</v>
      </c>
      <c r="B940" s="11" t="s">
        <v>9</v>
      </c>
      <c r="C940" s="11">
        <v>40</v>
      </c>
      <c r="D940" s="11" t="s">
        <v>16</v>
      </c>
      <c r="E940" s="15">
        <v>391</v>
      </c>
      <c r="F940" s="11" t="s">
        <v>411</v>
      </c>
      <c r="G940" s="11" t="s">
        <v>416</v>
      </c>
      <c r="H940" s="15" t="s">
        <v>15</v>
      </c>
      <c r="I940" s="15">
        <v>30</v>
      </c>
      <c r="J940" s="12" t="s">
        <v>12</v>
      </c>
      <c r="K940" s="591">
        <f>(29*35)+(1*26.4)</f>
        <v>1041.4000000000001</v>
      </c>
      <c r="L940" s="121" t="s">
        <v>2029</v>
      </c>
      <c r="M940" s="132">
        <v>4</v>
      </c>
      <c r="N940" s="133">
        <f>15+10+5</f>
        <v>30</v>
      </c>
      <c r="O940" s="119">
        <f t="shared" si="25"/>
        <v>0</v>
      </c>
    </row>
    <row r="941" spans="1:15">
      <c r="A941" s="590" t="s">
        <v>1014</v>
      </c>
      <c r="B941" s="11" t="s">
        <v>9</v>
      </c>
      <c r="C941" s="11">
        <v>40</v>
      </c>
      <c r="D941" s="11" t="s">
        <v>16</v>
      </c>
      <c r="E941" s="15">
        <v>392</v>
      </c>
      <c r="F941" s="11" t="s">
        <v>1393</v>
      </c>
      <c r="G941" s="11" t="s">
        <v>416</v>
      </c>
      <c r="H941" s="15" t="s">
        <v>15</v>
      </c>
      <c r="I941" s="15">
        <v>20</v>
      </c>
      <c r="J941" s="12" t="s">
        <v>17</v>
      </c>
      <c r="K941" s="591">
        <f>(19*35)+(1*26.4)</f>
        <v>691.4</v>
      </c>
      <c r="L941" s="121" t="s">
        <v>2033</v>
      </c>
      <c r="M941" s="132">
        <v>15</v>
      </c>
      <c r="N941" s="133">
        <v>20</v>
      </c>
      <c r="O941" s="119">
        <f t="shared" si="25"/>
        <v>0</v>
      </c>
    </row>
    <row r="942" spans="1:15">
      <c r="A942" s="590" t="s">
        <v>1018</v>
      </c>
      <c r="B942" s="11" t="s">
        <v>6</v>
      </c>
      <c r="C942" s="11">
        <v>47</v>
      </c>
      <c r="D942" s="11" t="s">
        <v>82</v>
      </c>
      <c r="E942" s="15">
        <v>5306</v>
      </c>
      <c r="F942" s="11" t="s">
        <v>1713</v>
      </c>
      <c r="G942" s="11" t="s">
        <v>1714</v>
      </c>
      <c r="H942" s="15" t="s">
        <v>1578</v>
      </c>
      <c r="I942" s="15">
        <v>20</v>
      </c>
      <c r="J942" s="12" t="s">
        <v>360</v>
      </c>
      <c r="K942" s="591">
        <f>(19*19)+(1*12)</f>
        <v>373</v>
      </c>
      <c r="L942" s="121" t="s">
        <v>2055</v>
      </c>
      <c r="M942" s="132">
        <v>2</v>
      </c>
      <c r="N942" s="138">
        <v>20</v>
      </c>
      <c r="O942" s="119">
        <f t="shared" si="25"/>
        <v>0</v>
      </c>
    </row>
    <row r="943" spans="1:15">
      <c r="A943" s="590" t="s">
        <v>1018</v>
      </c>
      <c r="B943" s="11" t="s">
        <v>6</v>
      </c>
      <c r="C943" s="11">
        <v>47</v>
      </c>
      <c r="D943" s="11" t="s">
        <v>82</v>
      </c>
      <c r="E943" s="15">
        <v>5309</v>
      </c>
      <c r="F943" s="11" t="s">
        <v>1715</v>
      </c>
      <c r="G943" s="11" t="s">
        <v>1714</v>
      </c>
      <c r="H943" s="15" t="s">
        <v>1578</v>
      </c>
      <c r="I943" s="15">
        <v>20</v>
      </c>
      <c r="J943" s="12" t="s">
        <v>360</v>
      </c>
      <c r="K943" s="591">
        <f>(19*19)+(1*12)</f>
        <v>373</v>
      </c>
      <c r="L943" s="120" t="s">
        <v>2055</v>
      </c>
      <c r="M943" s="132">
        <v>2</v>
      </c>
      <c r="N943" s="133">
        <v>20</v>
      </c>
      <c r="O943" s="119">
        <f t="shared" si="25"/>
        <v>0</v>
      </c>
    </row>
    <row r="944" spans="1:15">
      <c r="A944" s="77" t="s">
        <v>969</v>
      </c>
      <c r="B944" s="15" t="s">
        <v>150</v>
      </c>
      <c r="C944" s="15">
        <v>36</v>
      </c>
      <c r="D944" s="15" t="s">
        <v>7</v>
      </c>
      <c r="E944" s="15">
        <v>5012</v>
      </c>
      <c r="F944" s="15" t="s">
        <v>1479</v>
      </c>
      <c r="G944" s="15" t="s">
        <v>1480</v>
      </c>
      <c r="H944" s="15" t="s">
        <v>351</v>
      </c>
      <c r="I944" s="15">
        <v>15</v>
      </c>
      <c r="J944" s="18" t="s">
        <v>541</v>
      </c>
      <c r="K944" s="589">
        <f>(15*20)</f>
        <v>300</v>
      </c>
      <c r="L944" s="120" t="s">
        <v>2055</v>
      </c>
      <c r="M944" s="132">
        <v>5</v>
      </c>
      <c r="N944" s="133">
        <v>15</v>
      </c>
      <c r="O944" s="119">
        <f t="shared" si="25"/>
        <v>0</v>
      </c>
    </row>
    <row r="945" spans="1:15">
      <c r="A945" s="590" t="s">
        <v>969</v>
      </c>
      <c r="B945" s="11" t="s">
        <v>150</v>
      </c>
      <c r="C945" s="11">
        <v>36</v>
      </c>
      <c r="D945" s="11" t="s">
        <v>7</v>
      </c>
      <c r="E945" s="11">
        <v>5032</v>
      </c>
      <c r="F945" s="11" t="s">
        <v>1481</v>
      </c>
      <c r="G945" s="11" t="s">
        <v>1480</v>
      </c>
      <c r="H945" s="11" t="s">
        <v>1340</v>
      </c>
      <c r="I945" s="11">
        <v>15</v>
      </c>
      <c r="J945" s="12" t="s">
        <v>1482</v>
      </c>
      <c r="K945" s="591">
        <f>(14*22)+(1*17.8)</f>
        <v>325.8</v>
      </c>
      <c r="L945" s="121" t="s">
        <v>2055</v>
      </c>
      <c r="M945" s="132">
        <v>5</v>
      </c>
      <c r="N945" s="133">
        <v>15</v>
      </c>
      <c r="O945" s="119">
        <f t="shared" si="25"/>
        <v>0</v>
      </c>
    </row>
    <row r="946" spans="1:15">
      <c r="A946" s="590" t="s">
        <v>1144</v>
      </c>
      <c r="B946" s="11" t="s">
        <v>150</v>
      </c>
      <c r="C946" s="11">
        <v>41</v>
      </c>
      <c r="D946" s="11" t="s">
        <v>7</v>
      </c>
      <c r="E946" s="15">
        <v>5026</v>
      </c>
      <c r="F946" s="11" t="s">
        <v>1579</v>
      </c>
      <c r="G946" s="11" t="s">
        <v>1480</v>
      </c>
      <c r="H946" s="15" t="s">
        <v>1340</v>
      </c>
      <c r="I946" s="15">
        <v>10</v>
      </c>
      <c r="J946" s="12" t="s">
        <v>1580</v>
      </c>
      <c r="K946" s="591">
        <f>(9*22)+(1*18)</f>
        <v>216</v>
      </c>
      <c r="L946" s="121" t="s">
        <v>2055</v>
      </c>
      <c r="M946" s="132">
        <v>1</v>
      </c>
      <c r="N946" s="133">
        <v>10</v>
      </c>
      <c r="O946" s="119">
        <f t="shared" si="25"/>
        <v>0</v>
      </c>
    </row>
    <row r="947" spans="1:15">
      <c r="A947" s="590" t="s">
        <v>1186</v>
      </c>
      <c r="B947" s="11" t="s">
        <v>150</v>
      </c>
      <c r="C947" s="11">
        <v>47</v>
      </c>
      <c r="D947" s="11" t="s">
        <v>7</v>
      </c>
      <c r="E947" s="15">
        <v>1195</v>
      </c>
      <c r="F947" s="11" t="s">
        <v>665</v>
      </c>
      <c r="G947" s="11" t="s">
        <v>522</v>
      </c>
      <c r="H947" s="15" t="s">
        <v>15</v>
      </c>
      <c r="I947" s="15">
        <v>20</v>
      </c>
      <c r="J947" s="12" t="s">
        <v>32</v>
      </c>
      <c r="K947" s="591">
        <f>(19*37)+(1*28.4)</f>
        <v>731.4</v>
      </c>
      <c r="L947" s="121" t="s">
        <v>2055</v>
      </c>
      <c r="M947" s="136">
        <v>1</v>
      </c>
      <c r="N947" s="133">
        <v>20</v>
      </c>
      <c r="O947" s="119">
        <f t="shared" si="25"/>
        <v>0</v>
      </c>
    </row>
    <row r="948" spans="1:15">
      <c r="A948" s="590" t="s">
        <v>1166</v>
      </c>
      <c r="B948" s="11" t="s">
        <v>150</v>
      </c>
      <c r="C948" s="11">
        <v>49</v>
      </c>
      <c r="D948" s="11" t="s">
        <v>50</v>
      </c>
      <c r="E948" s="15">
        <v>93</v>
      </c>
      <c r="F948" s="11" t="s">
        <v>1387</v>
      </c>
      <c r="G948" s="11" t="s">
        <v>1773</v>
      </c>
      <c r="H948" s="15" t="s">
        <v>5</v>
      </c>
      <c r="I948" s="15">
        <v>25</v>
      </c>
      <c r="J948" s="12" t="s">
        <v>1774</v>
      </c>
      <c r="K948" s="591">
        <f>(23*36)+(2*28.3)</f>
        <v>884.6</v>
      </c>
      <c r="L948" s="121" t="s">
        <v>2029</v>
      </c>
      <c r="M948" s="132">
        <v>1</v>
      </c>
      <c r="N948" s="133">
        <f>8+8+9</f>
        <v>25</v>
      </c>
      <c r="O948" s="119">
        <f t="shared" si="25"/>
        <v>0</v>
      </c>
    </row>
    <row r="949" spans="1:15">
      <c r="A949" s="590" t="s">
        <v>1178</v>
      </c>
      <c r="B949" s="11" t="s">
        <v>150</v>
      </c>
      <c r="C949" s="11">
        <v>46</v>
      </c>
      <c r="D949" s="11" t="s">
        <v>51</v>
      </c>
      <c r="E949" s="15">
        <v>585</v>
      </c>
      <c r="F949" s="11" t="s">
        <v>485</v>
      </c>
      <c r="G949" s="11" t="s">
        <v>462</v>
      </c>
      <c r="H949" s="15" t="s">
        <v>15</v>
      </c>
      <c r="I949" s="15">
        <v>20</v>
      </c>
      <c r="J949" s="12" t="s">
        <v>633</v>
      </c>
      <c r="K949" s="591">
        <f>(19*34)+(1*29.7)</f>
        <v>675.7</v>
      </c>
      <c r="L949" s="121" t="s">
        <v>2029</v>
      </c>
      <c r="M949" s="132" t="s">
        <v>605</v>
      </c>
      <c r="N949" s="133">
        <f>10+10</f>
        <v>20</v>
      </c>
      <c r="O949" s="119">
        <f t="shared" si="25"/>
        <v>0</v>
      </c>
    </row>
    <row r="950" spans="1:15">
      <c r="A950" s="590" t="s">
        <v>1975</v>
      </c>
      <c r="B950" s="11" t="s">
        <v>9</v>
      </c>
      <c r="C950" s="11">
        <v>49</v>
      </c>
      <c r="D950" s="11" t="s">
        <v>7</v>
      </c>
      <c r="E950" s="15">
        <v>613</v>
      </c>
      <c r="F950" s="11" t="s">
        <v>576</v>
      </c>
      <c r="G950" s="11" t="s">
        <v>1964</v>
      </c>
      <c r="H950" s="15" t="s">
        <v>15</v>
      </c>
      <c r="I950" s="15">
        <v>20</v>
      </c>
      <c r="J950" s="12" t="s">
        <v>34</v>
      </c>
      <c r="K950" s="591">
        <f>(19*26)+(1*17.4)</f>
        <v>511.4</v>
      </c>
      <c r="L950" s="121" t="s">
        <v>2100</v>
      </c>
      <c r="M950" s="136"/>
      <c r="N950" s="133">
        <v>20</v>
      </c>
      <c r="O950" s="119">
        <f t="shared" si="25"/>
        <v>0</v>
      </c>
    </row>
    <row r="951" spans="1:15">
      <c r="A951" s="590" t="s">
        <v>1975</v>
      </c>
      <c r="B951" s="11" t="s">
        <v>9</v>
      </c>
      <c r="C951" s="11">
        <v>49</v>
      </c>
      <c r="D951" s="11" t="s">
        <v>7</v>
      </c>
      <c r="E951" s="15">
        <v>614</v>
      </c>
      <c r="F951" s="11" t="s">
        <v>2008</v>
      </c>
      <c r="G951" s="11" t="s">
        <v>1964</v>
      </c>
      <c r="H951" s="15" t="s">
        <v>15</v>
      </c>
      <c r="I951" s="15">
        <v>20</v>
      </c>
      <c r="J951" s="12" t="s">
        <v>34</v>
      </c>
      <c r="K951" s="591">
        <f>(19*26)+(1*17.4)</f>
        <v>511.4</v>
      </c>
      <c r="L951" s="121" t="s">
        <v>2055</v>
      </c>
      <c r="M951" s="136">
        <v>6</v>
      </c>
      <c r="N951" s="133">
        <v>20</v>
      </c>
      <c r="O951" s="119">
        <f t="shared" si="25"/>
        <v>0</v>
      </c>
    </row>
    <row r="952" spans="1:15">
      <c r="A952" s="590" t="s">
        <v>986</v>
      </c>
      <c r="B952" s="11" t="s">
        <v>9</v>
      </c>
      <c r="C952" s="11">
        <v>39</v>
      </c>
      <c r="D952" s="11" t="s">
        <v>10</v>
      </c>
      <c r="E952" s="11">
        <v>427</v>
      </c>
      <c r="F952" s="11" t="s">
        <v>116</v>
      </c>
      <c r="G952" s="11" t="s">
        <v>1347</v>
      </c>
      <c r="H952" s="11" t="s">
        <v>5</v>
      </c>
      <c r="I952" s="11">
        <v>20</v>
      </c>
      <c r="J952" s="12" t="s">
        <v>34</v>
      </c>
      <c r="K952" s="591">
        <f>(19*26)+(1*17.4)</f>
        <v>511.4</v>
      </c>
      <c r="L952" s="120" t="s">
        <v>2082</v>
      </c>
      <c r="M952" s="132">
        <v>10</v>
      </c>
      <c r="N952" s="133">
        <v>20</v>
      </c>
      <c r="O952" s="119">
        <f t="shared" si="25"/>
        <v>0</v>
      </c>
    </row>
    <row r="953" spans="1:15">
      <c r="A953" s="590" t="s">
        <v>1018</v>
      </c>
      <c r="B953" s="11" t="s">
        <v>6</v>
      </c>
      <c r="C953" s="11">
        <v>47</v>
      </c>
      <c r="D953" s="11" t="s">
        <v>82</v>
      </c>
      <c r="E953" s="15">
        <v>5338</v>
      </c>
      <c r="F953" s="11" t="s">
        <v>1716</v>
      </c>
      <c r="G953" s="11" t="s">
        <v>1717</v>
      </c>
      <c r="H953" s="15" t="s">
        <v>1578</v>
      </c>
      <c r="I953" s="15">
        <v>20</v>
      </c>
      <c r="J953" s="12" t="s">
        <v>360</v>
      </c>
      <c r="K953" s="591">
        <f>(19*19)+(1*12)</f>
        <v>373</v>
      </c>
      <c r="L953" s="120" t="s">
        <v>2055</v>
      </c>
      <c r="M953" s="132">
        <v>8</v>
      </c>
      <c r="N953" s="133">
        <v>20</v>
      </c>
      <c r="O953" s="119">
        <f t="shared" si="25"/>
        <v>0</v>
      </c>
    </row>
    <row r="954" spans="1:15">
      <c r="A954" s="590" t="s">
        <v>1018</v>
      </c>
      <c r="B954" s="11" t="s">
        <v>6</v>
      </c>
      <c r="C954" s="11">
        <v>47</v>
      </c>
      <c r="D954" s="11" t="s">
        <v>82</v>
      </c>
      <c r="E954" s="15">
        <v>5339</v>
      </c>
      <c r="F954" s="11" t="s">
        <v>1718</v>
      </c>
      <c r="G954" s="11" t="s">
        <v>1717</v>
      </c>
      <c r="H954" s="15" t="s">
        <v>433</v>
      </c>
      <c r="I954" s="15">
        <v>10</v>
      </c>
      <c r="J954" s="12" t="s">
        <v>1719</v>
      </c>
      <c r="K954" s="591">
        <f>(9*37)+(1*32.9)</f>
        <v>365.9</v>
      </c>
      <c r="L954" s="121" t="s">
        <v>2055</v>
      </c>
      <c r="M954" s="132">
        <v>4</v>
      </c>
      <c r="N954" s="133">
        <v>10</v>
      </c>
      <c r="O954" s="119">
        <f t="shared" si="25"/>
        <v>0</v>
      </c>
    </row>
    <row r="955" spans="1:15">
      <c r="A955" s="590" t="s">
        <v>1018</v>
      </c>
      <c r="B955" s="11" t="s">
        <v>6</v>
      </c>
      <c r="C955" s="11">
        <v>47</v>
      </c>
      <c r="D955" s="11" t="s">
        <v>82</v>
      </c>
      <c r="E955" s="15">
        <v>6916</v>
      </c>
      <c r="F955" s="11" t="s">
        <v>1732</v>
      </c>
      <c r="G955" s="11" t="s">
        <v>83</v>
      </c>
      <c r="H955" s="15" t="s">
        <v>1578</v>
      </c>
      <c r="I955" s="15">
        <v>15</v>
      </c>
      <c r="J955" s="12" t="s">
        <v>1733</v>
      </c>
      <c r="K955" s="591">
        <f>(14*22)+(1*15)</f>
        <v>323</v>
      </c>
      <c r="L955" s="120" t="s">
        <v>2055</v>
      </c>
      <c r="M955" s="132">
        <v>1</v>
      </c>
      <c r="N955" s="133">
        <v>15</v>
      </c>
      <c r="O955" s="119">
        <f t="shared" si="25"/>
        <v>0</v>
      </c>
    </row>
    <row r="956" spans="1:15">
      <c r="A956" s="590" t="s">
        <v>1018</v>
      </c>
      <c r="B956" s="11" t="s">
        <v>6</v>
      </c>
      <c r="C956" s="11">
        <v>47</v>
      </c>
      <c r="D956" s="11" t="s">
        <v>82</v>
      </c>
      <c r="E956" s="15">
        <v>6918</v>
      </c>
      <c r="F956" s="11" t="s">
        <v>1734</v>
      </c>
      <c r="G956" s="11" t="s">
        <v>83</v>
      </c>
      <c r="H956" s="15" t="s">
        <v>8</v>
      </c>
      <c r="I956" s="15">
        <v>15</v>
      </c>
      <c r="J956" s="12" t="s">
        <v>540</v>
      </c>
      <c r="K956" s="591">
        <f>(14*20)+(1*13)</f>
        <v>293</v>
      </c>
      <c r="L956" s="120" t="s">
        <v>2055</v>
      </c>
      <c r="M956" s="132">
        <v>2</v>
      </c>
      <c r="N956" s="133">
        <v>15</v>
      </c>
      <c r="O956" s="119">
        <f t="shared" si="25"/>
        <v>0</v>
      </c>
    </row>
    <row r="957" spans="1:15">
      <c r="A957" s="590" t="s">
        <v>1005</v>
      </c>
      <c r="B957" s="11" t="s">
        <v>150</v>
      </c>
      <c r="C957" s="11">
        <v>44</v>
      </c>
      <c r="D957" s="11" t="s">
        <v>50</v>
      </c>
      <c r="E957" s="11">
        <v>157</v>
      </c>
      <c r="F957" s="11" t="s">
        <v>429</v>
      </c>
      <c r="G957" s="11" t="s">
        <v>66</v>
      </c>
      <c r="H957" s="11" t="s">
        <v>15</v>
      </c>
      <c r="I957" s="11">
        <v>13</v>
      </c>
      <c r="J957" s="12" t="s">
        <v>1633</v>
      </c>
      <c r="K957" s="591">
        <f>(11*30)+(2*22.3)</f>
        <v>374.6</v>
      </c>
      <c r="L957" s="121" t="s">
        <v>2033</v>
      </c>
      <c r="M957" s="132">
        <v>1</v>
      </c>
      <c r="N957" s="133">
        <v>13</v>
      </c>
      <c r="O957" s="119">
        <f t="shared" si="25"/>
        <v>0</v>
      </c>
    </row>
    <row r="958" spans="1:15">
      <c r="A958" s="590" t="s">
        <v>1186</v>
      </c>
      <c r="B958" s="11" t="s">
        <v>150</v>
      </c>
      <c r="C958" s="11">
        <v>47</v>
      </c>
      <c r="D958" s="11" t="s">
        <v>50</v>
      </c>
      <c r="E958" s="15">
        <v>149</v>
      </c>
      <c r="F958" s="11" t="s">
        <v>1368</v>
      </c>
      <c r="G958" s="11" t="s">
        <v>66</v>
      </c>
      <c r="H958" s="15" t="s">
        <v>15</v>
      </c>
      <c r="I958" s="15">
        <v>24</v>
      </c>
      <c r="J958" s="12" t="s">
        <v>651</v>
      </c>
      <c r="K958" s="591">
        <f>(24*30)</f>
        <v>720</v>
      </c>
      <c r="L958" s="121" t="s">
        <v>2055</v>
      </c>
      <c r="M958" s="136">
        <v>1</v>
      </c>
      <c r="N958" s="133">
        <v>24</v>
      </c>
      <c r="O958" s="119">
        <f t="shared" si="25"/>
        <v>0</v>
      </c>
    </row>
    <row r="959" spans="1:15">
      <c r="A959" s="590" t="s">
        <v>1186</v>
      </c>
      <c r="B959" s="11" t="s">
        <v>150</v>
      </c>
      <c r="C959" s="11">
        <v>47</v>
      </c>
      <c r="D959" s="11" t="s">
        <v>50</v>
      </c>
      <c r="E959" s="15">
        <v>150</v>
      </c>
      <c r="F959" s="11" t="s">
        <v>666</v>
      </c>
      <c r="G959" s="11" t="s">
        <v>66</v>
      </c>
      <c r="H959" s="15" t="s">
        <v>15</v>
      </c>
      <c r="I959" s="15">
        <v>20</v>
      </c>
      <c r="J959" s="12" t="s">
        <v>652</v>
      </c>
      <c r="K959" s="591">
        <f>(19*30)+(1*25.7)</f>
        <v>595.70000000000005</v>
      </c>
      <c r="L959" s="121" t="s">
        <v>2055</v>
      </c>
      <c r="M959" s="136">
        <v>1</v>
      </c>
      <c r="N959" s="133">
        <v>20</v>
      </c>
      <c r="O959" s="119">
        <f t="shared" si="25"/>
        <v>0</v>
      </c>
    </row>
    <row r="960" spans="1:15">
      <c r="A960" s="590" t="s">
        <v>1973</v>
      </c>
      <c r="B960" s="11" t="s">
        <v>9</v>
      </c>
      <c r="C960" s="11">
        <v>48</v>
      </c>
      <c r="D960" s="11" t="s">
        <v>10</v>
      </c>
      <c r="E960" s="15">
        <v>878</v>
      </c>
      <c r="F960" s="11" t="s">
        <v>2004</v>
      </c>
      <c r="G960" s="11" t="s">
        <v>132</v>
      </c>
      <c r="H960" s="15" t="s">
        <v>15</v>
      </c>
      <c r="I960" s="15">
        <v>20</v>
      </c>
      <c r="J960" s="12" t="s">
        <v>34</v>
      </c>
      <c r="K960" s="591">
        <f>(19*26)+(1*17.4)</f>
        <v>511.4</v>
      </c>
      <c r="L960" s="121" t="s">
        <v>2033</v>
      </c>
      <c r="M960" s="136">
        <v>12</v>
      </c>
      <c r="N960" s="133">
        <v>20</v>
      </c>
      <c r="O960" s="119">
        <f t="shared" si="25"/>
        <v>0</v>
      </c>
    </row>
    <row r="961" spans="1:15">
      <c r="A961" s="590" t="s">
        <v>1004</v>
      </c>
      <c r="B961" s="11" t="s">
        <v>9</v>
      </c>
      <c r="C961" s="11">
        <v>44</v>
      </c>
      <c r="D961" s="11" t="s">
        <v>26</v>
      </c>
      <c r="E961" s="15">
        <v>32</v>
      </c>
      <c r="F961" s="11" t="s">
        <v>650</v>
      </c>
      <c r="G961" s="11" t="s">
        <v>1438</v>
      </c>
      <c r="H961" s="15" t="s">
        <v>5</v>
      </c>
      <c r="I961" s="15">
        <v>20</v>
      </c>
      <c r="J961" s="12" t="s">
        <v>113</v>
      </c>
      <c r="K961" s="591">
        <f>(19*28)+(1*19.4)</f>
        <v>551.4</v>
      </c>
      <c r="L961" s="120" t="s">
        <v>2029</v>
      </c>
      <c r="M961" s="132">
        <v>1</v>
      </c>
      <c r="N961" s="133">
        <v>20</v>
      </c>
      <c r="O961" s="119">
        <f t="shared" si="25"/>
        <v>0</v>
      </c>
    </row>
    <row r="962" spans="1:15">
      <c r="A962" s="590" t="s">
        <v>1004</v>
      </c>
      <c r="B962" s="11" t="s">
        <v>9</v>
      </c>
      <c r="C962" s="11">
        <v>44</v>
      </c>
      <c r="D962" s="11" t="s">
        <v>26</v>
      </c>
      <c r="E962" s="15">
        <v>37</v>
      </c>
      <c r="F962" s="11" t="s">
        <v>427</v>
      </c>
      <c r="G962" s="11" t="s">
        <v>1438</v>
      </c>
      <c r="H962" s="15" t="s">
        <v>15</v>
      </c>
      <c r="I962" s="15">
        <v>10</v>
      </c>
      <c r="J962" s="12" t="s">
        <v>1620</v>
      </c>
      <c r="K962" s="591">
        <f>(8*28)+(2*19.4)</f>
        <v>262.8</v>
      </c>
      <c r="L962" s="120" t="s">
        <v>2033</v>
      </c>
      <c r="M962" s="132">
        <v>8</v>
      </c>
      <c r="N962" s="133">
        <v>10</v>
      </c>
      <c r="O962" s="119">
        <f t="shared" si="25"/>
        <v>0</v>
      </c>
    </row>
    <row r="963" spans="1:15">
      <c r="A963" s="590" t="s">
        <v>1004</v>
      </c>
      <c r="B963" s="11" t="s">
        <v>9</v>
      </c>
      <c r="C963" s="11">
        <v>44</v>
      </c>
      <c r="D963" s="11" t="s">
        <v>26</v>
      </c>
      <c r="E963" s="15">
        <v>38</v>
      </c>
      <c r="F963" s="11" t="s">
        <v>1322</v>
      </c>
      <c r="G963" s="11" t="s">
        <v>1438</v>
      </c>
      <c r="H963" s="15" t="s">
        <v>15</v>
      </c>
      <c r="I963" s="15">
        <v>9</v>
      </c>
      <c r="J963" s="12" t="s">
        <v>1621</v>
      </c>
      <c r="K963" s="591">
        <f>(8*28)+(1*19.4)</f>
        <v>243.4</v>
      </c>
      <c r="L963" s="120" t="s">
        <v>2033</v>
      </c>
      <c r="M963" s="132">
        <v>13</v>
      </c>
      <c r="N963" s="133">
        <v>9</v>
      </c>
      <c r="O963" s="119">
        <f t="shared" ref="O963:O1026" si="26">I963-N963</f>
        <v>0</v>
      </c>
    </row>
    <row r="964" spans="1:15">
      <c r="A964" s="590" t="s">
        <v>1004</v>
      </c>
      <c r="B964" s="11" t="s">
        <v>9</v>
      </c>
      <c r="C964" s="11">
        <v>44</v>
      </c>
      <c r="D964" s="11" t="s">
        <v>26</v>
      </c>
      <c r="E964" s="15">
        <v>39</v>
      </c>
      <c r="F964" s="11" t="s">
        <v>650</v>
      </c>
      <c r="G964" s="11" t="s">
        <v>1438</v>
      </c>
      <c r="H964" s="15" t="s">
        <v>15</v>
      </c>
      <c r="I964" s="15">
        <v>10</v>
      </c>
      <c r="J964" s="12" t="s">
        <v>750</v>
      </c>
      <c r="K964" s="591">
        <f>(9*28)+(1*19.4)</f>
        <v>271.39999999999998</v>
      </c>
      <c r="L964" s="120" t="s">
        <v>2033</v>
      </c>
      <c r="M964" s="132">
        <v>14</v>
      </c>
      <c r="N964" s="130">
        <v>10</v>
      </c>
      <c r="O964" s="119">
        <f t="shared" si="26"/>
        <v>0</v>
      </c>
    </row>
    <row r="965" spans="1:15">
      <c r="A965" s="590" t="s">
        <v>1009</v>
      </c>
      <c r="B965" s="11" t="s">
        <v>9</v>
      </c>
      <c r="C965" s="11">
        <v>42</v>
      </c>
      <c r="D965" s="11" t="s">
        <v>26</v>
      </c>
      <c r="E965" s="15">
        <v>46</v>
      </c>
      <c r="F965" s="11" t="s">
        <v>1323</v>
      </c>
      <c r="G965" s="11" t="s">
        <v>1438</v>
      </c>
      <c r="H965" s="15" t="s">
        <v>5</v>
      </c>
      <c r="I965" s="15">
        <v>18</v>
      </c>
      <c r="J965" s="12" t="s">
        <v>1645</v>
      </c>
      <c r="K965" s="591">
        <f>(17*28)+(1*19.4)</f>
        <v>495.4</v>
      </c>
      <c r="L965" s="121" t="s">
        <v>2082</v>
      </c>
      <c r="M965" s="132">
        <v>2</v>
      </c>
      <c r="N965" s="138">
        <v>18</v>
      </c>
      <c r="O965" s="119">
        <f t="shared" si="26"/>
        <v>0</v>
      </c>
    </row>
    <row r="966" spans="1:15">
      <c r="A966" s="590" t="s">
        <v>1188</v>
      </c>
      <c r="B966" s="11" t="s">
        <v>9</v>
      </c>
      <c r="C966" s="11">
        <v>47</v>
      </c>
      <c r="D966" s="11" t="s">
        <v>26</v>
      </c>
      <c r="E966" s="15">
        <v>32</v>
      </c>
      <c r="F966" s="11" t="s">
        <v>1384</v>
      </c>
      <c r="G966" s="11" t="s">
        <v>1438</v>
      </c>
      <c r="H966" s="15" t="s">
        <v>15</v>
      </c>
      <c r="I966" s="15">
        <v>18</v>
      </c>
      <c r="J966" s="12" t="s">
        <v>702</v>
      </c>
      <c r="K966" s="591">
        <f>(18*28)</f>
        <v>504</v>
      </c>
      <c r="L966" s="121" t="s">
        <v>2082</v>
      </c>
      <c r="M966" s="136">
        <v>14</v>
      </c>
      <c r="N966" s="133">
        <v>18</v>
      </c>
      <c r="O966" s="119">
        <f t="shared" si="26"/>
        <v>0</v>
      </c>
    </row>
    <row r="967" spans="1:15">
      <c r="A967" s="77" t="s">
        <v>969</v>
      </c>
      <c r="B967" s="15" t="s">
        <v>150</v>
      </c>
      <c r="C967" s="15">
        <v>36</v>
      </c>
      <c r="D967" s="15" t="s">
        <v>7</v>
      </c>
      <c r="E967" s="15">
        <v>5001</v>
      </c>
      <c r="F967" s="15" t="s">
        <v>1472</v>
      </c>
      <c r="G967" s="15" t="s">
        <v>542</v>
      </c>
      <c r="H967" s="15" t="s">
        <v>8</v>
      </c>
      <c r="I967" s="15">
        <v>20</v>
      </c>
      <c r="J967" s="18" t="s">
        <v>1473</v>
      </c>
      <c r="K967" s="589">
        <f>(19*23)+(1*20.5)</f>
        <v>457.5</v>
      </c>
      <c r="L967" s="120" t="s">
        <v>2055</v>
      </c>
      <c r="M967" s="132">
        <v>6</v>
      </c>
      <c r="N967" s="133">
        <v>20</v>
      </c>
      <c r="O967" s="119">
        <f t="shared" si="26"/>
        <v>0</v>
      </c>
    </row>
    <row r="968" spans="1:15">
      <c r="A968" s="77" t="s">
        <v>969</v>
      </c>
      <c r="B968" s="15" t="s">
        <v>150</v>
      </c>
      <c r="C968" s="15">
        <v>36</v>
      </c>
      <c r="D968" s="15" t="s">
        <v>7</v>
      </c>
      <c r="E968" s="15">
        <v>5002</v>
      </c>
      <c r="F968" s="15" t="s">
        <v>1474</v>
      </c>
      <c r="G968" s="15" t="s">
        <v>542</v>
      </c>
      <c r="H968" s="15" t="s">
        <v>8</v>
      </c>
      <c r="I968" s="15">
        <v>20</v>
      </c>
      <c r="J968" s="18" t="s">
        <v>1473</v>
      </c>
      <c r="K968" s="589">
        <f>(19*23)+(1*20.5)</f>
        <v>457.5</v>
      </c>
      <c r="L968" s="120" t="s">
        <v>2055</v>
      </c>
      <c r="M968" s="132">
        <v>5</v>
      </c>
      <c r="N968" s="133">
        <v>20</v>
      </c>
      <c r="O968" s="119">
        <f t="shared" si="26"/>
        <v>0</v>
      </c>
    </row>
    <row r="969" spans="1:15">
      <c r="A969" s="77" t="s">
        <v>969</v>
      </c>
      <c r="B969" s="15" t="s">
        <v>150</v>
      </c>
      <c r="C969" s="15">
        <v>36</v>
      </c>
      <c r="D969" s="15" t="s">
        <v>7</v>
      </c>
      <c r="E969" s="15">
        <v>5003</v>
      </c>
      <c r="F969" s="15" t="s">
        <v>1475</v>
      </c>
      <c r="G969" s="15" t="s">
        <v>542</v>
      </c>
      <c r="H969" s="15" t="s">
        <v>8</v>
      </c>
      <c r="I969" s="15">
        <v>20</v>
      </c>
      <c r="J969" s="18" t="s">
        <v>1473</v>
      </c>
      <c r="K969" s="589">
        <f>(19*23)+(1*20.5)</f>
        <v>457.5</v>
      </c>
      <c r="L969" s="121" t="s">
        <v>2055</v>
      </c>
      <c r="M969" s="132">
        <v>5</v>
      </c>
      <c r="N969" s="133">
        <v>20</v>
      </c>
      <c r="O969" s="119">
        <f t="shared" si="26"/>
        <v>0</v>
      </c>
    </row>
    <row r="970" spans="1:15">
      <c r="A970" s="590" t="s">
        <v>969</v>
      </c>
      <c r="B970" s="11" t="s">
        <v>150</v>
      </c>
      <c r="C970" s="11">
        <v>36</v>
      </c>
      <c r="D970" s="11" t="s">
        <v>7</v>
      </c>
      <c r="E970" s="11">
        <v>5005</v>
      </c>
      <c r="F970" s="11" t="s">
        <v>1476</v>
      </c>
      <c r="G970" s="11" t="s">
        <v>542</v>
      </c>
      <c r="H970" s="11" t="s">
        <v>433</v>
      </c>
      <c r="I970" s="11">
        <v>10</v>
      </c>
      <c r="J970" s="12" t="s">
        <v>1477</v>
      </c>
      <c r="K970" s="591">
        <v>210</v>
      </c>
      <c r="L970" s="120" t="s">
        <v>2055</v>
      </c>
      <c r="M970" s="132">
        <v>5</v>
      </c>
      <c r="N970" s="133">
        <v>10</v>
      </c>
      <c r="O970" s="119">
        <f t="shared" si="26"/>
        <v>0</v>
      </c>
    </row>
    <row r="971" spans="1:15">
      <c r="A971" s="77" t="s">
        <v>969</v>
      </c>
      <c r="B971" s="15" t="s">
        <v>150</v>
      </c>
      <c r="C971" s="15">
        <v>36</v>
      </c>
      <c r="D971" s="15" t="s">
        <v>7</v>
      </c>
      <c r="E971" s="15">
        <v>5006</v>
      </c>
      <c r="F971" s="15" t="s">
        <v>1478</v>
      </c>
      <c r="G971" s="15" t="s">
        <v>542</v>
      </c>
      <c r="H971" s="15" t="s">
        <v>433</v>
      </c>
      <c r="I971" s="15">
        <v>20</v>
      </c>
      <c r="J971" s="18" t="s">
        <v>1343</v>
      </c>
      <c r="K971" s="589">
        <f>(19*20)+(1*17.5)</f>
        <v>397.5</v>
      </c>
      <c r="L971" s="121" t="s">
        <v>2055</v>
      </c>
      <c r="M971" s="132">
        <v>6</v>
      </c>
      <c r="N971" s="133">
        <v>20</v>
      </c>
      <c r="O971" s="119">
        <f t="shared" si="26"/>
        <v>0</v>
      </c>
    </row>
    <row r="972" spans="1:15">
      <c r="A972" s="590" t="s">
        <v>1016</v>
      </c>
      <c r="B972" s="11" t="s">
        <v>150</v>
      </c>
      <c r="C972" s="11">
        <v>45</v>
      </c>
      <c r="D972" s="11" t="s">
        <v>51</v>
      </c>
      <c r="E972" s="15">
        <v>392</v>
      </c>
      <c r="F972" s="11" t="s">
        <v>707</v>
      </c>
      <c r="G972" s="11" t="s">
        <v>1677</v>
      </c>
      <c r="H972" s="15" t="s">
        <v>15</v>
      </c>
      <c r="I972" s="15">
        <v>6</v>
      </c>
      <c r="J972" s="12" t="s">
        <v>1678</v>
      </c>
      <c r="K972" s="591">
        <f>(5*34)+(1*29.7)</f>
        <v>199.7</v>
      </c>
      <c r="L972" s="121" t="s">
        <v>2033</v>
      </c>
      <c r="M972" s="132">
        <v>13</v>
      </c>
      <c r="N972" s="133">
        <v>6</v>
      </c>
      <c r="O972" s="119">
        <f t="shared" si="26"/>
        <v>0</v>
      </c>
    </row>
    <row r="973" spans="1:15">
      <c r="A973" s="590" t="s">
        <v>1016</v>
      </c>
      <c r="B973" s="11" t="s">
        <v>150</v>
      </c>
      <c r="C973" s="11">
        <v>45</v>
      </c>
      <c r="D973" s="11" t="s">
        <v>51</v>
      </c>
      <c r="E973" s="15">
        <v>395</v>
      </c>
      <c r="F973" s="11" t="s">
        <v>392</v>
      </c>
      <c r="G973" s="11" t="s">
        <v>1677</v>
      </c>
      <c r="H973" s="15" t="s">
        <v>15</v>
      </c>
      <c r="I973" s="15">
        <v>13</v>
      </c>
      <c r="J973" s="12" t="s">
        <v>1679</v>
      </c>
      <c r="K973" s="591">
        <f>(12*34)+(1*29.7)</f>
        <v>437.7</v>
      </c>
      <c r="L973" s="121" t="s">
        <v>2055</v>
      </c>
      <c r="M973" s="132">
        <v>7</v>
      </c>
      <c r="N973" s="133">
        <f>5+8</f>
        <v>13</v>
      </c>
      <c r="O973" s="119">
        <f t="shared" si="26"/>
        <v>0</v>
      </c>
    </row>
    <row r="974" spans="1:15">
      <c r="A974" s="590" t="s">
        <v>1166</v>
      </c>
      <c r="B974" s="11" t="s">
        <v>150</v>
      </c>
      <c r="C974" s="11">
        <v>49</v>
      </c>
      <c r="D974" s="11" t="s">
        <v>50</v>
      </c>
      <c r="E974" s="15">
        <v>278</v>
      </c>
      <c r="F974" s="11" t="s">
        <v>1775</v>
      </c>
      <c r="G974" s="11" t="s">
        <v>1677</v>
      </c>
      <c r="H974" s="15" t="s">
        <v>15</v>
      </c>
      <c r="I974" s="15">
        <v>20</v>
      </c>
      <c r="J974" s="12" t="s">
        <v>633</v>
      </c>
      <c r="K974" s="591">
        <f>(19*34)+(1*29.7)</f>
        <v>675.7</v>
      </c>
      <c r="L974" s="121" t="s">
        <v>2029</v>
      </c>
      <c r="M974" s="132">
        <v>1</v>
      </c>
      <c r="N974" s="133">
        <f>10+10</f>
        <v>20</v>
      </c>
      <c r="O974" s="119">
        <f t="shared" si="26"/>
        <v>0</v>
      </c>
    </row>
    <row r="975" spans="1:15">
      <c r="A975" s="590" t="s">
        <v>1129</v>
      </c>
      <c r="B975" s="11" t="s">
        <v>9</v>
      </c>
      <c r="C975" s="11">
        <v>38</v>
      </c>
      <c r="D975" s="11" t="s">
        <v>26</v>
      </c>
      <c r="E975" s="11">
        <v>55</v>
      </c>
      <c r="F975" s="11" t="s">
        <v>1387</v>
      </c>
      <c r="G975" s="11" t="s">
        <v>199</v>
      </c>
      <c r="H975" s="11" t="s">
        <v>5</v>
      </c>
      <c r="I975" s="11">
        <v>15</v>
      </c>
      <c r="J975" s="12" t="s">
        <v>108</v>
      </c>
      <c r="K975" s="591">
        <f>(14*33)+(1*24.4)</f>
        <v>486.4</v>
      </c>
      <c r="L975" s="120" t="s">
        <v>2082</v>
      </c>
      <c r="M975" s="132">
        <v>15</v>
      </c>
      <c r="N975" s="133">
        <v>15</v>
      </c>
      <c r="O975" s="119">
        <f t="shared" si="26"/>
        <v>0</v>
      </c>
    </row>
    <row r="976" spans="1:15">
      <c r="A976" s="590" t="s">
        <v>1146</v>
      </c>
      <c r="B976" s="11" t="s">
        <v>9</v>
      </c>
      <c r="C976" s="11">
        <v>39</v>
      </c>
      <c r="D976" s="11" t="s">
        <v>16</v>
      </c>
      <c r="E976" s="15">
        <v>522</v>
      </c>
      <c r="F976" s="11" t="s">
        <v>632</v>
      </c>
      <c r="G976" s="11" t="s">
        <v>199</v>
      </c>
      <c r="H976" s="15" t="s">
        <v>15</v>
      </c>
      <c r="I976" s="15">
        <v>15</v>
      </c>
      <c r="J976" s="12" t="s">
        <v>127</v>
      </c>
      <c r="K976" s="591">
        <f>(14*34)+(1*25.4)</f>
        <v>501.4</v>
      </c>
      <c r="L976" s="121" t="s">
        <v>2033</v>
      </c>
      <c r="M976" s="132">
        <v>5</v>
      </c>
      <c r="N976" s="133">
        <v>15</v>
      </c>
      <c r="O976" s="119">
        <f t="shared" si="26"/>
        <v>0</v>
      </c>
    </row>
    <row r="977" spans="1:15">
      <c r="A977" s="590" t="s">
        <v>1146</v>
      </c>
      <c r="B977" s="11" t="s">
        <v>9</v>
      </c>
      <c r="C977" s="11">
        <v>39</v>
      </c>
      <c r="D977" s="11" t="s">
        <v>16</v>
      </c>
      <c r="E977" s="15">
        <v>523</v>
      </c>
      <c r="F977" s="11" t="s">
        <v>1590</v>
      </c>
      <c r="G977" s="11" t="s">
        <v>199</v>
      </c>
      <c r="H977" s="15" t="s">
        <v>15</v>
      </c>
      <c r="I977" s="15">
        <v>20</v>
      </c>
      <c r="J977" s="12" t="s">
        <v>154</v>
      </c>
      <c r="K977" s="591">
        <f>(20*34)</f>
        <v>680</v>
      </c>
      <c r="L977" s="121" t="s">
        <v>2033</v>
      </c>
      <c r="M977" s="132">
        <v>13</v>
      </c>
      <c r="N977" s="133">
        <f>10+10</f>
        <v>20</v>
      </c>
      <c r="O977" s="119">
        <f t="shared" si="26"/>
        <v>0</v>
      </c>
    </row>
    <row r="978" spans="1:15">
      <c r="A978" s="590" t="s">
        <v>1156</v>
      </c>
      <c r="B978" s="11" t="s">
        <v>9</v>
      </c>
      <c r="C978" s="11">
        <v>40</v>
      </c>
      <c r="D978" s="11" t="s">
        <v>7</v>
      </c>
      <c r="E978" s="15">
        <v>841</v>
      </c>
      <c r="F978" s="11" t="s">
        <v>772</v>
      </c>
      <c r="G978" s="11" t="s">
        <v>199</v>
      </c>
      <c r="H978" s="15" t="s">
        <v>5</v>
      </c>
      <c r="I978" s="15">
        <v>15</v>
      </c>
      <c r="J978" s="12" t="s">
        <v>108</v>
      </c>
      <c r="K978" s="591">
        <f>(14*33)+(1*24.4)</f>
        <v>486.4</v>
      </c>
      <c r="L978" s="121" t="s">
        <v>2033</v>
      </c>
      <c r="M978" s="132">
        <v>9</v>
      </c>
      <c r="N978" s="133">
        <f>7+8</f>
        <v>15</v>
      </c>
      <c r="O978" s="119">
        <f t="shared" si="26"/>
        <v>0</v>
      </c>
    </row>
    <row r="979" spans="1:15">
      <c r="A979" s="590" t="s">
        <v>1156</v>
      </c>
      <c r="B979" s="11" t="s">
        <v>9</v>
      </c>
      <c r="C979" s="11">
        <v>40</v>
      </c>
      <c r="D979" s="11" t="s">
        <v>7</v>
      </c>
      <c r="E979" s="15">
        <v>844</v>
      </c>
      <c r="F979" s="11" t="s">
        <v>463</v>
      </c>
      <c r="G979" s="11" t="s">
        <v>199</v>
      </c>
      <c r="H979" s="15" t="s">
        <v>15</v>
      </c>
      <c r="I979" s="15">
        <v>15</v>
      </c>
      <c r="J979" s="12" t="s">
        <v>127</v>
      </c>
      <c r="K979" s="591">
        <f>(14*34)+(1*25.4)</f>
        <v>501.4</v>
      </c>
      <c r="L979" s="121" t="s">
        <v>2033</v>
      </c>
      <c r="M979" s="132">
        <v>9</v>
      </c>
      <c r="N979" s="133">
        <v>15</v>
      </c>
      <c r="O979" s="119">
        <f t="shared" si="26"/>
        <v>0</v>
      </c>
    </row>
    <row r="980" spans="1:15">
      <c r="A980" s="590" t="s">
        <v>1009</v>
      </c>
      <c r="B980" s="11" t="s">
        <v>9</v>
      </c>
      <c r="C980" s="11">
        <v>42</v>
      </c>
      <c r="D980" s="11" t="s">
        <v>26</v>
      </c>
      <c r="E980" s="15">
        <v>78</v>
      </c>
      <c r="F980" s="11" t="s">
        <v>1557</v>
      </c>
      <c r="G980" s="11" t="s">
        <v>199</v>
      </c>
      <c r="H980" s="15" t="s">
        <v>5</v>
      </c>
      <c r="I980" s="15">
        <v>30</v>
      </c>
      <c r="J980" s="12" t="s">
        <v>1646</v>
      </c>
      <c r="K980" s="591">
        <f>(29*33)+(1*24.4)</f>
        <v>981.4</v>
      </c>
      <c r="L980" s="121" t="s">
        <v>2082</v>
      </c>
      <c r="M980" s="132">
        <v>8</v>
      </c>
      <c r="N980" s="133">
        <f>20+10</f>
        <v>30</v>
      </c>
      <c r="O980" s="119">
        <f t="shared" si="26"/>
        <v>0</v>
      </c>
    </row>
    <row r="981" spans="1:15">
      <c r="A981" s="590" t="s">
        <v>1009</v>
      </c>
      <c r="B981" s="11" t="s">
        <v>9</v>
      </c>
      <c r="C981" s="11">
        <v>42</v>
      </c>
      <c r="D981" s="11" t="s">
        <v>26</v>
      </c>
      <c r="E981" s="15">
        <v>79</v>
      </c>
      <c r="F981" s="11" t="s">
        <v>1359</v>
      </c>
      <c r="G981" s="11" t="s">
        <v>199</v>
      </c>
      <c r="H981" s="15" t="s">
        <v>15</v>
      </c>
      <c r="I981" s="15">
        <v>15</v>
      </c>
      <c r="J981" s="12" t="s">
        <v>127</v>
      </c>
      <c r="K981" s="591">
        <f>(14*34)+(1*25.4)</f>
        <v>501.4</v>
      </c>
      <c r="L981" s="121" t="s">
        <v>2082</v>
      </c>
      <c r="M981" s="132">
        <v>8</v>
      </c>
      <c r="N981" s="138">
        <v>15</v>
      </c>
      <c r="O981" s="119">
        <f t="shared" si="26"/>
        <v>0</v>
      </c>
    </row>
    <row r="982" spans="1:15">
      <c r="A982" s="590" t="s">
        <v>1009</v>
      </c>
      <c r="B982" s="11" t="s">
        <v>9</v>
      </c>
      <c r="C982" s="11">
        <v>42</v>
      </c>
      <c r="D982" s="11" t="s">
        <v>26</v>
      </c>
      <c r="E982" s="15">
        <v>80</v>
      </c>
      <c r="F982" s="11" t="s">
        <v>725</v>
      </c>
      <c r="G982" s="11" t="s">
        <v>199</v>
      </c>
      <c r="H982" s="15" t="s">
        <v>15</v>
      </c>
      <c r="I982" s="15">
        <v>15</v>
      </c>
      <c r="J982" s="12" t="s">
        <v>127</v>
      </c>
      <c r="K982" s="591">
        <f>(14*34)+(1*25.4)</f>
        <v>501.4</v>
      </c>
      <c r="L982" s="121" t="s">
        <v>2082</v>
      </c>
      <c r="M982" s="132">
        <v>7</v>
      </c>
      <c r="N982" s="138">
        <f>8+7</f>
        <v>15</v>
      </c>
      <c r="O982" s="119">
        <f t="shared" si="26"/>
        <v>0</v>
      </c>
    </row>
    <row r="983" spans="1:15">
      <c r="A983" s="590" t="s">
        <v>1014</v>
      </c>
      <c r="B983" s="11" t="s">
        <v>9</v>
      </c>
      <c r="C983" s="11">
        <v>40</v>
      </c>
      <c r="D983" s="11" t="s">
        <v>26</v>
      </c>
      <c r="E983" s="15">
        <v>70</v>
      </c>
      <c r="F983" s="11" t="s">
        <v>369</v>
      </c>
      <c r="G983" s="11" t="s">
        <v>199</v>
      </c>
      <c r="H983" s="15" t="s">
        <v>15</v>
      </c>
      <c r="I983" s="15">
        <v>15</v>
      </c>
      <c r="J983" s="12" t="s">
        <v>127</v>
      </c>
      <c r="K983" s="591">
        <f>(14*34)+(1*25.4)</f>
        <v>501.4</v>
      </c>
      <c r="L983" s="121" t="s">
        <v>2100</v>
      </c>
      <c r="M983" s="132"/>
      <c r="N983" s="133">
        <v>15</v>
      </c>
      <c r="O983" s="119">
        <f t="shared" si="26"/>
        <v>0</v>
      </c>
    </row>
    <row r="984" spans="1:15">
      <c r="A984" s="590" t="s">
        <v>1014</v>
      </c>
      <c r="B984" s="11" t="s">
        <v>9</v>
      </c>
      <c r="C984" s="11">
        <v>40</v>
      </c>
      <c r="D984" s="11" t="s">
        <v>26</v>
      </c>
      <c r="E984" s="15">
        <v>71</v>
      </c>
      <c r="F984" s="11" t="s">
        <v>519</v>
      </c>
      <c r="G984" s="11" t="s">
        <v>199</v>
      </c>
      <c r="H984" s="15" t="s">
        <v>15</v>
      </c>
      <c r="I984" s="15">
        <v>20</v>
      </c>
      <c r="J984" s="12" t="s">
        <v>154</v>
      </c>
      <c r="K984" s="591">
        <f>(20*34)</f>
        <v>680</v>
      </c>
      <c r="L984" s="121" t="s">
        <v>2029</v>
      </c>
      <c r="M984" s="132">
        <v>4</v>
      </c>
      <c r="N984" s="133">
        <v>20</v>
      </c>
      <c r="O984" s="119">
        <f t="shared" si="26"/>
        <v>0</v>
      </c>
    </row>
    <row r="985" spans="1:15">
      <c r="A985" s="590" t="s">
        <v>1023</v>
      </c>
      <c r="B985" s="11" t="s">
        <v>9</v>
      </c>
      <c r="C985" s="11">
        <v>40</v>
      </c>
      <c r="D985" s="11" t="s">
        <v>16</v>
      </c>
      <c r="E985" s="15">
        <v>604</v>
      </c>
      <c r="F985" s="11" t="s">
        <v>361</v>
      </c>
      <c r="G985" s="11" t="s">
        <v>199</v>
      </c>
      <c r="H985" s="15" t="s">
        <v>5</v>
      </c>
      <c r="I985" s="15">
        <v>30</v>
      </c>
      <c r="J985" s="12" t="s">
        <v>1646</v>
      </c>
      <c r="K985" s="591">
        <f>(29*33)+(1*24.4)</f>
        <v>981.4</v>
      </c>
      <c r="L985" s="121" t="s">
        <v>2033</v>
      </c>
      <c r="M985" s="132">
        <v>13</v>
      </c>
      <c r="N985" s="133">
        <f>20+10</f>
        <v>30</v>
      </c>
      <c r="O985" s="119">
        <f t="shared" si="26"/>
        <v>0</v>
      </c>
    </row>
    <row r="986" spans="1:15">
      <c r="A986" s="590" t="s">
        <v>1023</v>
      </c>
      <c r="B986" s="11" t="s">
        <v>9</v>
      </c>
      <c r="C986" s="11">
        <v>40</v>
      </c>
      <c r="D986" s="11" t="s">
        <v>16</v>
      </c>
      <c r="E986" s="15">
        <v>605</v>
      </c>
      <c r="F986" s="11" t="s">
        <v>561</v>
      </c>
      <c r="G986" s="11" t="s">
        <v>199</v>
      </c>
      <c r="H986" s="15" t="s">
        <v>5</v>
      </c>
      <c r="I986" s="15">
        <v>30</v>
      </c>
      <c r="J986" s="12" t="s">
        <v>1646</v>
      </c>
      <c r="K986" s="591">
        <f>(29*33)+(1*24.4)</f>
        <v>981.4</v>
      </c>
      <c r="L986" s="121" t="s">
        <v>2055</v>
      </c>
      <c r="M986" s="132">
        <v>6</v>
      </c>
      <c r="N986" s="130">
        <f>10+10+10</f>
        <v>30</v>
      </c>
      <c r="O986" s="119">
        <f t="shared" si="26"/>
        <v>0</v>
      </c>
    </row>
    <row r="987" spans="1:15">
      <c r="A987" s="590" t="s">
        <v>1023</v>
      </c>
      <c r="B987" s="11" t="s">
        <v>9</v>
      </c>
      <c r="C987" s="11">
        <v>40</v>
      </c>
      <c r="D987" s="11" t="s">
        <v>16</v>
      </c>
      <c r="E987" s="15">
        <v>607</v>
      </c>
      <c r="F987" s="11" t="s">
        <v>393</v>
      </c>
      <c r="G987" s="11" t="s">
        <v>199</v>
      </c>
      <c r="H987" s="15" t="s">
        <v>15</v>
      </c>
      <c r="I987" s="15">
        <v>15</v>
      </c>
      <c r="J987" s="12" t="s">
        <v>127</v>
      </c>
      <c r="K987" s="591">
        <f>(14*34)+(1*25.4)</f>
        <v>501.4</v>
      </c>
      <c r="L987" s="121" t="s">
        <v>2033</v>
      </c>
      <c r="M987" s="132">
        <v>1</v>
      </c>
      <c r="N987" s="133">
        <v>15</v>
      </c>
      <c r="O987" s="119">
        <f t="shared" si="26"/>
        <v>0</v>
      </c>
    </row>
    <row r="988" spans="1:15">
      <c r="A988" s="590" t="s">
        <v>1023</v>
      </c>
      <c r="B988" s="11" t="s">
        <v>9</v>
      </c>
      <c r="C988" s="11">
        <v>40</v>
      </c>
      <c r="D988" s="11" t="s">
        <v>16</v>
      </c>
      <c r="E988" s="15">
        <v>608</v>
      </c>
      <c r="F988" s="11" t="s">
        <v>1513</v>
      </c>
      <c r="G988" s="11" t="s">
        <v>199</v>
      </c>
      <c r="H988" s="15" t="s">
        <v>15</v>
      </c>
      <c r="I988" s="15">
        <v>15</v>
      </c>
      <c r="J988" s="12" t="s">
        <v>127</v>
      </c>
      <c r="K988" s="591">
        <f>(14*34)+(1*25.4)</f>
        <v>501.4</v>
      </c>
      <c r="L988" s="121" t="s">
        <v>2033</v>
      </c>
      <c r="M988" s="132" t="s">
        <v>2054</v>
      </c>
      <c r="N988" s="133">
        <f>4+11</f>
        <v>15</v>
      </c>
      <c r="O988" s="119">
        <f t="shared" si="26"/>
        <v>0</v>
      </c>
    </row>
    <row r="989" spans="1:15">
      <c r="A989" s="590" t="s">
        <v>1188</v>
      </c>
      <c r="B989" s="11" t="s">
        <v>9</v>
      </c>
      <c r="C989" s="11">
        <v>47</v>
      </c>
      <c r="D989" s="11" t="s">
        <v>26</v>
      </c>
      <c r="E989" s="15">
        <v>77</v>
      </c>
      <c r="F989" s="11" t="s">
        <v>121</v>
      </c>
      <c r="G989" s="11" t="s">
        <v>199</v>
      </c>
      <c r="H989" s="15" t="s">
        <v>15</v>
      </c>
      <c r="I989" s="15">
        <v>15</v>
      </c>
      <c r="J989" s="12" t="s">
        <v>127</v>
      </c>
      <c r="K989" s="591">
        <f>(14*34)+(1*25.4)</f>
        <v>501.4</v>
      </c>
      <c r="L989" s="121" t="s">
        <v>2033</v>
      </c>
      <c r="M989" s="136">
        <v>11</v>
      </c>
      <c r="N989" s="133">
        <v>15</v>
      </c>
      <c r="O989" s="119">
        <f t="shared" si="26"/>
        <v>0</v>
      </c>
    </row>
    <row r="990" spans="1:15">
      <c r="A990" s="590" t="s">
        <v>1188</v>
      </c>
      <c r="B990" s="11" t="s">
        <v>9</v>
      </c>
      <c r="C990" s="11">
        <v>47</v>
      </c>
      <c r="D990" s="11" t="s">
        <v>26</v>
      </c>
      <c r="E990" s="15">
        <v>79</v>
      </c>
      <c r="F990" s="11" t="s">
        <v>783</v>
      </c>
      <c r="G990" s="11" t="s">
        <v>199</v>
      </c>
      <c r="H990" s="15" t="s">
        <v>15</v>
      </c>
      <c r="I990" s="15">
        <v>15</v>
      </c>
      <c r="J990" s="12" t="s">
        <v>127</v>
      </c>
      <c r="K990" s="591">
        <f>(14*34)+(1*25.4)</f>
        <v>501.4</v>
      </c>
      <c r="L990" s="121" t="s">
        <v>2033</v>
      </c>
      <c r="M990" s="136" t="s">
        <v>2038</v>
      </c>
      <c r="N990" s="133">
        <f>8+7</f>
        <v>15</v>
      </c>
      <c r="O990" s="119">
        <f t="shared" si="26"/>
        <v>0</v>
      </c>
    </row>
    <row r="991" spans="1:15">
      <c r="A991" s="590" t="s">
        <v>1181</v>
      </c>
      <c r="B991" s="11" t="s">
        <v>150</v>
      </c>
      <c r="C991" s="11">
        <v>46</v>
      </c>
      <c r="D991" s="11" t="s">
        <v>7</v>
      </c>
      <c r="E991" s="15">
        <v>931</v>
      </c>
      <c r="F991" s="11" t="s">
        <v>1871</v>
      </c>
      <c r="G991" s="11" t="s">
        <v>1872</v>
      </c>
      <c r="H991" s="15" t="s">
        <v>15</v>
      </c>
      <c r="I991" s="15">
        <v>20</v>
      </c>
      <c r="J991" s="12" t="s">
        <v>1601</v>
      </c>
      <c r="K991" s="591">
        <f>(19*25)+(1*20.7)</f>
        <v>495.7</v>
      </c>
      <c r="L991" s="121" t="s">
        <v>2055</v>
      </c>
      <c r="M991" s="132" t="s">
        <v>2058</v>
      </c>
      <c r="N991" s="133">
        <f>10+10</f>
        <v>20</v>
      </c>
      <c r="O991" s="119">
        <f t="shared" si="26"/>
        <v>0</v>
      </c>
    </row>
    <row r="992" spans="1:15">
      <c r="A992" s="590" t="s">
        <v>993</v>
      </c>
      <c r="B992" s="11" t="s">
        <v>9</v>
      </c>
      <c r="C992" s="11">
        <v>39</v>
      </c>
      <c r="D992" s="11" t="s">
        <v>29</v>
      </c>
      <c r="E992" s="11">
        <v>20</v>
      </c>
      <c r="F992" s="11" t="s">
        <v>119</v>
      </c>
      <c r="G992" s="11" t="s">
        <v>145</v>
      </c>
      <c r="H992" s="11" t="s">
        <v>5</v>
      </c>
      <c r="I992" s="11">
        <v>24</v>
      </c>
      <c r="J992" s="12" t="s">
        <v>734</v>
      </c>
      <c r="K992" s="591">
        <f>(23*35)+(1*26.4)</f>
        <v>831.4</v>
      </c>
      <c r="L992" s="121" t="s">
        <v>2033</v>
      </c>
      <c r="M992" s="132">
        <v>11</v>
      </c>
      <c r="N992" s="133">
        <f>14+10</f>
        <v>24</v>
      </c>
      <c r="O992" s="119">
        <f t="shared" si="26"/>
        <v>0</v>
      </c>
    </row>
    <row r="993" spans="1:15">
      <c r="A993" s="590" t="s">
        <v>993</v>
      </c>
      <c r="B993" s="11" t="s">
        <v>9</v>
      </c>
      <c r="C993" s="11">
        <v>39</v>
      </c>
      <c r="D993" s="11" t="s">
        <v>29</v>
      </c>
      <c r="E993" s="11">
        <v>21</v>
      </c>
      <c r="F993" s="11" t="s">
        <v>1557</v>
      </c>
      <c r="G993" s="11" t="s">
        <v>145</v>
      </c>
      <c r="H993" s="11" t="s">
        <v>15</v>
      </c>
      <c r="I993" s="11">
        <v>20</v>
      </c>
      <c r="J993" s="12" t="s">
        <v>17</v>
      </c>
      <c r="K993" s="591">
        <f>(19*35)+(1*26.4)</f>
        <v>691.4</v>
      </c>
      <c r="L993" s="121" t="s">
        <v>2033</v>
      </c>
      <c r="M993" s="132">
        <v>10</v>
      </c>
      <c r="N993" s="133">
        <f>10+10</f>
        <v>20</v>
      </c>
      <c r="O993" s="119">
        <f t="shared" si="26"/>
        <v>0</v>
      </c>
    </row>
    <row r="994" spans="1:15">
      <c r="A994" s="590" t="s">
        <v>1164</v>
      </c>
      <c r="B994" s="11" t="s">
        <v>9</v>
      </c>
      <c r="C994" s="11">
        <v>40</v>
      </c>
      <c r="D994" s="11" t="s">
        <v>10</v>
      </c>
      <c r="E994" s="15">
        <v>370</v>
      </c>
      <c r="F994" s="11" t="s">
        <v>409</v>
      </c>
      <c r="G994" s="11" t="s">
        <v>145</v>
      </c>
      <c r="H994" s="15" t="s">
        <v>15</v>
      </c>
      <c r="I994" s="15">
        <v>20</v>
      </c>
      <c r="J994" s="12" t="s">
        <v>17</v>
      </c>
      <c r="K994" s="591">
        <f>(19*35)+(1*26.4)</f>
        <v>691.4</v>
      </c>
      <c r="L994" s="121" t="s">
        <v>2082</v>
      </c>
      <c r="M994" s="132">
        <v>6</v>
      </c>
      <c r="N994" s="133">
        <v>20</v>
      </c>
      <c r="O994" s="119">
        <f t="shared" si="26"/>
        <v>0</v>
      </c>
    </row>
    <row r="995" spans="1:15">
      <c r="A995" s="590" t="s">
        <v>1975</v>
      </c>
      <c r="B995" s="11" t="s">
        <v>9</v>
      </c>
      <c r="C995" s="11">
        <v>49</v>
      </c>
      <c r="D995" s="11" t="s">
        <v>10</v>
      </c>
      <c r="E995" s="15">
        <v>421</v>
      </c>
      <c r="F995" s="11" t="s">
        <v>1642</v>
      </c>
      <c r="G995" s="11" t="s">
        <v>145</v>
      </c>
      <c r="H995" s="15" t="s">
        <v>5</v>
      </c>
      <c r="I995" s="15">
        <v>14</v>
      </c>
      <c r="J995" s="12" t="s">
        <v>176</v>
      </c>
      <c r="K995" s="591">
        <f>(14*35)</f>
        <v>490</v>
      </c>
      <c r="L995" s="121" t="s">
        <v>2033</v>
      </c>
      <c r="M995" s="136">
        <v>4</v>
      </c>
      <c r="N995" s="133">
        <f>5+9</f>
        <v>14</v>
      </c>
      <c r="O995" s="119">
        <f t="shared" si="26"/>
        <v>0</v>
      </c>
    </row>
    <row r="996" spans="1:15">
      <c r="A996" s="590" t="s">
        <v>1975</v>
      </c>
      <c r="B996" s="11" t="s">
        <v>9</v>
      </c>
      <c r="C996" s="11">
        <v>49</v>
      </c>
      <c r="D996" s="11" t="s">
        <v>10</v>
      </c>
      <c r="E996" s="15">
        <v>422</v>
      </c>
      <c r="F996" s="11" t="s">
        <v>91</v>
      </c>
      <c r="G996" s="11" t="s">
        <v>145</v>
      </c>
      <c r="H996" s="15" t="s">
        <v>15</v>
      </c>
      <c r="I996" s="15">
        <v>20</v>
      </c>
      <c r="J996" s="12" t="s">
        <v>17</v>
      </c>
      <c r="K996" s="591">
        <f>(19*35)+(1*26.4)</f>
        <v>691.4</v>
      </c>
      <c r="L996" s="121" t="s">
        <v>2033</v>
      </c>
      <c r="M996" s="136">
        <v>4</v>
      </c>
      <c r="N996" s="133">
        <v>20</v>
      </c>
      <c r="O996" s="119">
        <f t="shared" si="26"/>
        <v>0</v>
      </c>
    </row>
    <row r="997" spans="1:15">
      <c r="A997" s="590" t="s">
        <v>1976</v>
      </c>
      <c r="B997" s="11" t="s">
        <v>9</v>
      </c>
      <c r="C997" s="11">
        <v>49</v>
      </c>
      <c r="D997" s="11" t="s">
        <v>29</v>
      </c>
      <c r="E997" s="15">
        <v>31</v>
      </c>
      <c r="F997" s="11" t="s">
        <v>183</v>
      </c>
      <c r="G997" s="11" t="s">
        <v>145</v>
      </c>
      <c r="H997" s="15" t="s">
        <v>5</v>
      </c>
      <c r="I997" s="15">
        <v>10</v>
      </c>
      <c r="J997" s="12" t="s">
        <v>11</v>
      </c>
      <c r="K997" s="591">
        <f>(9*35)+(1*26.4)</f>
        <v>341.4</v>
      </c>
      <c r="L997" s="121" t="s">
        <v>2033</v>
      </c>
      <c r="M997" s="136">
        <v>7</v>
      </c>
      <c r="N997" s="133">
        <v>10</v>
      </c>
      <c r="O997" s="119">
        <f t="shared" si="26"/>
        <v>0</v>
      </c>
    </row>
    <row r="998" spans="1:15">
      <c r="A998" s="590" t="s">
        <v>1002</v>
      </c>
      <c r="B998" s="11" t="s">
        <v>150</v>
      </c>
      <c r="C998" s="11">
        <v>44</v>
      </c>
      <c r="D998" s="11" t="s">
        <v>50</v>
      </c>
      <c r="E998" s="11">
        <v>284</v>
      </c>
      <c r="F998" s="11" t="s">
        <v>1610</v>
      </c>
      <c r="G998" s="11" t="s">
        <v>89</v>
      </c>
      <c r="H998" s="11" t="s">
        <v>5</v>
      </c>
      <c r="I998" s="588">
        <v>20</v>
      </c>
      <c r="J998" s="12" t="s">
        <v>708</v>
      </c>
      <c r="K998" s="591">
        <f>(18*38)+(2*33.7)</f>
        <v>751.4</v>
      </c>
      <c r="L998" s="120" t="s">
        <v>2033</v>
      </c>
      <c r="M998" s="132">
        <v>5</v>
      </c>
      <c r="N998" s="133">
        <v>20</v>
      </c>
      <c r="O998" s="119">
        <f t="shared" si="26"/>
        <v>0</v>
      </c>
    </row>
    <row r="999" spans="1:15">
      <c r="A999" s="590" t="s">
        <v>1002</v>
      </c>
      <c r="B999" s="11" t="s">
        <v>150</v>
      </c>
      <c r="C999" s="11">
        <v>44</v>
      </c>
      <c r="D999" s="11" t="s">
        <v>50</v>
      </c>
      <c r="E999" s="11">
        <v>287</v>
      </c>
      <c r="F999" s="11" t="s">
        <v>1598</v>
      </c>
      <c r="G999" s="11" t="s">
        <v>89</v>
      </c>
      <c r="H999" s="11" t="s">
        <v>5</v>
      </c>
      <c r="I999" s="588">
        <v>22</v>
      </c>
      <c r="J999" s="12" t="s">
        <v>1611</v>
      </c>
      <c r="K999" s="591">
        <f>(20*38)+(2*30.3)</f>
        <v>820.6</v>
      </c>
      <c r="L999" s="120" t="s">
        <v>2033</v>
      </c>
      <c r="M999" s="132">
        <v>5</v>
      </c>
      <c r="N999" s="133">
        <f>7+8+7</f>
        <v>22</v>
      </c>
      <c r="O999" s="119">
        <f t="shared" si="26"/>
        <v>0</v>
      </c>
    </row>
    <row r="1000" spans="1:15">
      <c r="A1000" s="590" t="s">
        <v>1016</v>
      </c>
      <c r="B1000" s="11" t="s">
        <v>150</v>
      </c>
      <c r="C1000" s="11">
        <v>45</v>
      </c>
      <c r="D1000" s="11" t="s">
        <v>51</v>
      </c>
      <c r="E1000" s="15">
        <v>270</v>
      </c>
      <c r="F1000" s="11" t="s">
        <v>1671</v>
      </c>
      <c r="G1000" s="11" t="s">
        <v>89</v>
      </c>
      <c r="H1000" s="15" t="s">
        <v>5</v>
      </c>
      <c r="I1000" s="15">
        <v>15</v>
      </c>
      <c r="J1000" s="12" t="s">
        <v>169</v>
      </c>
      <c r="K1000" s="591">
        <f>(15*36)</f>
        <v>540</v>
      </c>
      <c r="L1000" s="121" t="s">
        <v>2033</v>
      </c>
      <c r="M1000" s="132" t="s">
        <v>605</v>
      </c>
      <c r="N1000" s="133">
        <f>8+7</f>
        <v>15</v>
      </c>
      <c r="O1000" s="119">
        <f t="shared" si="26"/>
        <v>0</v>
      </c>
    </row>
    <row r="1001" spans="1:15">
      <c r="A1001" s="590" t="s">
        <v>1016</v>
      </c>
      <c r="B1001" s="11" t="s">
        <v>150</v>
      </c>
      <c r="C1001" s="11">
        <v>45</v>
      </c>
      <c r="D1001" s="11" t="s">
        <v>51</v>
      </c>
      <c r="E1001" s="15">
        <v>274</v>
      </c>
      <c r="F1001" s="11" t="s">
        <v>1672</v>
      </c>
      <c r="G1001" s="11" t="s">
        <v>89</v>
      </c>
      <c r="H1001" s="15" t="s">
        <v>5</v>
      </c>
      <c r="I1001" s="15">
        <v>12</v>
      </c>
      <c r="J1001" s="12" t="s">
        <v>1673</v>
      </c>
      <c r="K1001" s="591">
        <f>(10*38)+(2*30.3)</f>
        <v>440.6</v>
      </c>
      <c r="L1001" s="121" t="s">
        <v>2033</v>
      </c>
      <c r="M1001" s="132">
        <v>4</v>
      </c>
      <c r="N1001" s="133">
        <f>6+6</f>
        <v>12</v>
      </c>
      <c r="O1001" s="119">
        <f t="shared" si="26"/>
        <v>0</v>
      </c>
    </row>
    <row r="1002" spans="1:15">
      <c r="A1002" s="590" t="s">
        <v>1016</v>
      </c>
      <c r="B1002" s="11" t="s">
        <v>150</v>
      </c>
      <c r="C1002" s="11">
        <v>45</v>
      </c>
      <c r="D1002" s="11" t="s">
        <v>51</v>
      </c>
      <c r="E1002" s="15">
        <v>276</v>
      </c>
      <c r="F1002" s="11" t="s">
        <v>1674</v>
      </c>
      <c r="G1002" s="11" t="s">
        <v>89</v>
      </c>
      <c r="H1002" s="15" t="s">
        <v>15</v>
      </c>
      <c r="I1002" s="15">
        <v>15</v>
      </c>
      <c r="J1002" s="12" t="s">
        <v>163</v>
      </c>
      <c r="K1002" s="591">
        <f>(15*37)</f>
        <v>555</v>
      </c>
      <c r="L1002" s="121" t="s">
        <v>2033</v>
      </c>
      <c r="M1002" s="132">
        <v>5</v>
      </c>
      <c r="N1002" s="133">
        <f>7+8</f>
        <v>15</v>
      </c>
      <c r="O1002" s="119">
        <f t="shared" si="26"/>
        <v>0</v>
      </c>
    </row>
    <row r="1003" spans="1:15">
      <c r="A1003" s="590" t="s">
        <v>1016</v>
      </c>
      <c r="B1003" s="11" t="s">
        <v>150</v>
      </c>
      <c r="C1003" s="11">
        <v>45</v>
      </c>
      <c r="D1003" s="11" t="s">
        <v>51</v>
      </c>
      <c r="E1003" s="15">
        <v>278</v>
      </c>
      <c r="F1003" s="11" t="s">
        <v>1675</v>
      </c>
      <c r="G1003" s="11" t="s">
        <v>89</v>
      </c>
      <c r="H1003" s="15" t="s">
        <v>15</v>
      </c>
      <c r="I1003" s="15">
        <v>20</v>
      </c>
      <c r="J1003" s="12" t="s">
        <v>1676</v>
      </c>
      <c r="K1003" s="591">
        <f>(19*39)+(1*30.4)</f>
        <v>771.4</v>
      </c>
      <c r="L1003" s="121" t="s">
        <v>2033</v>
      </c>
      <c r="M1003" s="132" t="s">
        <v>2039</v>
      </c>
      <c r="N1003" s="133">
        <f>6+7+7</f>
        <v>20</v>
      </c>
      <c r="O1003" s="119">
        <f t="shared" si="26"/>
        <v>0</v>
      </c>
    </row>
    <row r="1004" spans="1:15">
      <c r="A1004" s="590" t="s">
        <v>1181</v>
      </c>
      <c r="B1004" s="11" t="s">
        <v>150</v>
      </c>
      <c r="C1004" s="11">
        <v>47</v>
      </c>
      <c r="D1004" s="11" t="s">
        <v>496</v>
      </c>
      <c r="E1004" s="15">
        <v>197</v>
      </c>
      <c r="F1004" s="11" t="s">
        <v>1887</v>
      </c>
      <c r="G1004" s="11" t="s">
        <v>1888</v>
      </c>
      <c r="H1004" s="15" t="s">
        <v>15</v>
      </c>
      <c r="I1004" s="15">
        <v>20</v>
      </c>
      <c r="J1004" s="12" t="s">
        <v>700</v>
      </c>
      <c r="K1004" s="591">
        <f>(19*40)+(1*35.7)</f>
        <v>795.7</v>
      </c>
      <c r="L1004" s="121" t="s">
        <v>2029</v>
      </c>
      <c r="M1004" s="132">
        <v>2</v>
      </c>
      <c r="N1004" s="133">
        <v>20</v>
      </c>
      <c r="O1004" s="119">
        <f t="shared" si="26"/>
        <v>0</v>
      </c>
    </row>
    <row r="1005" spans="1:15">
      <c r="A1005" s="590" t="s">
        <v>976</v>
      </c>
      <c r="B1005" s="11" t="s">
        <v>9</v>
      </c>
      <c r="C1005" s="11">
        <v>38</v>
      </c>
      <c r="D1005" s="11" t="s">
        <v>10</v>
      </c>
      <c r="E1005" s="11">
        <v>222</v>
      </c>
      <c r="F1005" s="11" t="s">
        <v>532</v>
      </c>
      <c r="G1005" s="11" t="s">
        <v>424</v>
      </c>
      <c r="H1005" s="11" t="s">
        <v>15</v>
      </c>
      <c r="I1005" s="11">
        <v>30</v>
      </c>
      <c r="J1005" s="12" t="s">
        <v>12</v>
      </c>
      <c r="K1005" s="591">
        <f>(29*35)+(1*26.4)</f>
        <v>1041.4000000000001</v>
      </c>
      <c r="L1005" s="121" t="s">
        <v>2082</v>
      </c>
      <c r="M1005" s="132">
        <v>8</v>
      </c>
      <c r="N1005" s="133">
        <f>20+10</f>
        <v>30</v>
      </c>
      <c r="O1005" s="119">
        <f t="shared" si="26"/>
        <v>0</v>
      </c>
    </row>
    <row r="1006" spans="1:15">
      <c r="A1006" s="590" t="s">
        <v>1975</v>
      </c>
      <c r="B1006" s="11" t="s">
        <v>9</v>
      </c>
      <c r="C1006" s="11">
        <v>49</v>
      </c>
      <c r="D1006" s="11" t="s">
        <v>7</v>
      </c>
      <c r="E1006" s="15">
        <v>413</v>
      </c>
      <c r="F1006" s="11" t="s">
        <v>449</v>
      </c>
      <c r="G1006" s="11" t="s">
        <v>424</v>
      </c>
      <c r="H1006" s="15" t="s">
        <v>15</v>
      </c>
      <c r="I1006" s="15">
        <v>15</v>
      </c>
      <c r="J1006" s="12" t="s">
        <v>13</v>
      </c>
      <c r="K1006" s="591">
        <f>(14*35)+(1*26.4)</f>
        <v>516.4</v>
      </c>
      <c r="L1006" s="121" t="s">
        <v>2100</v>
      </c>
      <c r="M1006" s="136"/>
      <c r="N1006" s="133">
        <v>15</v>
      </c>
      <c r="O1006" s="119">
        <f t="shared" si="26"/>
        <v>0</v>
      </c>
    </row>
    <row r="1007" spans="1:15">
      <c r="A1007" s="590" t="s">
        <v>1975</v>
      </c>
      <c r="B1007" s="11" t="s">
        <v>9</v>
      </c>
      <c r="C1007" s="11">
        <v>49</v>
      </c>
      <c r="D1007" s="11" t="s">
        <v>10</v>
      </c>
      <c r="E1007" s="15">
        <v>249</v>
      </c>
      <c r="F1007" s="11" t="s">
        <v>469</v>
      </c>
      <c r="G1007" s="11" t="s">
        <v>424</v>
      </c>
      <c r="H1007" s="15" t="s">
        <v>15</v>
      </c>
      <c r="I1007" s="15">
        <v>15</v>
      </c>
      <c r="J1007" s="12" t="s">
        <v>13</v>
      </c>
      <c r="K1007" s="591">
        <f>(14*35)+(1*26.4)</f>
        <v>516.4</v>
      </c>
      <c r="L1007" s="121" t="s">
        <v>2033</v>
      </c>
      <c r="M1007" s="136">
        <v>4</v>
      </c>
      <c r="N1007" s="133">
        <v>15</v>
      </c>
      <c r="O1007" s="119">
        <f t="shared" si="26"/>
        <v>0</v>
      </c>
    </row>
    <row r="1008" spans="1:15">
      <c r="A1008" s="590" t="s">
        <v>1181</v>
      </c>
      <c r="B1008" s="11" t="s">
        <v>150</v>
      </c>
      <c r="C1008" s="11">
        <v>48</v>
      </c>
      <c r="D1008" s="11" t="s">
        <v>7</v>
      </c>
      <c r="E1008" s="15">
        <v>383</v>
      </c>
      <c r="F1008" s="11" t="s">
        <v>162</v>
      </c>
      <c r="G1008" s="11" t="s">
        <v>1884</v>
      </c>
      <c r="H1008" s="15" t="s">
        <v>15</v>
      </c>
      <c r="I1008" s="15">
        <v>30</v>
      </c>
      <c r="J1008" s="12" t="s">
        <v>661</v>
      </c>
      <c r="K1008" s="591">
        <f>(29*35)+(1*27.3)</f>
        <v>1042.3</v>
      </c>
      <c r="L1008" s="121" t="s">
        <v>2033</v>
      </c>
      <c r="M1008" s="133">
        <v>14</v>
      </c>
      <c r="N1008" s="133">
        <f>10+20</f>
        <v>30</v>
      </c>
      <c r="O1008" s="119">
        <f t="shared" si="26"/>
        <v>0</v>
      </c>
    </row>
    <row r="1009" spans="1:15">
      <c r="A1009" s="590" t="s">
        <v>1181</v>
      </c>
      <c r="B1009" s="11" t="s">
        <v>150</v>
      </c>
      <c r="C1009" s="11">
        <v>47</v>
      </c>
      <c r="D1009" s="11" t="s">
        <v>7</v>
      </c>
      <c r="E1009" s="15">
        <v>503</v>
      </c>
      <c r="F1009" s="11" t="s">
        <v>689</v>
      </c>
      <c r="G1009" s="11" t="s">
        <v>1884</v>
      </c>
      <c r="H1009" s="15" t="s">
        <v>15</v>
      </c>
      <c r="I1009" s="15">
        <v>40</v>
      </c>
      <c r="J1009" s="12" t="s">
        <v>1890</v>
      </c>
      <c r="K1009" s="591">
        <f>(39*34)+(1*26.3)</f>
        <v>1352.3</v>
      </c>
      <c r="L1009" s="121" t="s">
        <v>2029</v>
      </c>
      <c r="M1009" s="133" t="s">
        <v>2032</v>
      </c>
      <c r="N1009" s="133">
        <f>10+20+10</f>
        <v>40</v>
      </c>
      <c r="O1009" s="119">
        <f t="shared" si="26"/>
        <v>0</v>
      </c>
    </row>
    <row r="1010" spans="1:15">
      <c r="A1010" s="590" t="s">
        <v>1181</v>
      </c>
      <c r="B1010" s="11" t="s">
        <v>150</v>
      </c>
      <c r="C1010" s="11">
        <v>47</v>
      </c>
      <c r="D1010" s="11" t="s">
        <v>7</v>
      </c>
      <c r="E1010" s="15">
        <v>503</v>
      </c>
      <c r="F1010" s="11" t="s">
        <v>739</v>
      </c>
      <c r="G1010" s="11" t="s">
        <v>1884</v>
      </c>
      <c r="H1010" s="15" t="s">
        <v>15</v>
      </c>
      <c r="I1010" s="15">
        <v>35</v>
      </c>
      <c r="J1010" s="12" t="s">
        <v>1891</v>
      </c>
      <c r="K1010" s="591">
        <f>(34*34)+(1*26.3)</f>
        <v>1182.3</v>
      </c>
      <c r="L1010" s="121" t="s">
        <v>2033</v>
      </c>
      <c r="M1010" s="133">
        <v>15</v>
      </c>
      <c r="N1010" s="133">
        <f>9+26</f>
        <v>35</v>
      </c>
      <c r="O1010" s="119">
        <f t="shared" si="26"/>
        <v>0</v>
      </c>
    </row>
    <row r="1011" spans="1:15">
      <c r="A1011" s="590" t="s">
        <v>1184</v>
      </c>
      <c r="B1011" s="11" t="s">
        <v>150</v>
      </c>
      <c r="C1011" s="11">
        <v>48</v>
      </c>
      <c r="D1011" s="11" t="s">
        <v>7</v>
      </c>
      <c r="E1011" s="15">
        <v>384</v>
      </c>
      <c r="F1011" s="11" t="s">
        <v>559</v>
      </c>
      <c r="G1011" s="11" t="s">
        <v>1884</v>
      </c>
      <c r="H1011" s="15" t="s">
        <v>15</v>
      </c>
      <c r="I1011" s="15">
        <v>20</v>
      </c>
      <c r="J1011" s="12" t="s">
        <v>642</v>
      </c>
      <c r="K1011" s="591">
        <f>(19*35)+(1*30.7)</f>
        <v>695.7</v>
      </c>
      <c r="L1011" s="121" t="s">
        <v>2090</v>
      </c>
      <c r="M1011" s="133"/>
      <c r="N1011" s="133">
        <v>20</v>
      </c>
      <c r="O1011" s="119">
        <f t="shared" si="26"/>
        <v>0</v>
      </c>
    </row>
    <row r="1012" spans="1:15">
      <c r="A1012" s="590" t="s">
        <v>1184</v>
      </c>
      <c r="B1012" s="11" t="s">
        <v>150</v>
      </c>
      <c r="C1012" s="11">
        <v>48</v>
      </c>
      <c r="D1012" s="11" t="s">
        <v>7</v>
      </c>
      <c r="E1012" s="15">
        <v>388</v>
      </c>
      <c r="F1012" s="11" t="s">
        <v>1457</v>
      </c>
      <c r="G1012" s="11" t="s">
        <v>1884</v>
      </c>
      <c r="H1012" s="15" t="s">
        <v>15</v>
      </c>
      <c r="I1012" s="15">
        <v>20</v>
      </c>
      <c r="J1012" s="12" t="s">
        <v>642</v>
      </c>
      <c r="K1012" s="591">
        <f>(19*35)+(1*30.7)</f>
        <v>695.7</v>
      </c>
      <c r="L1012" s="121" t="s">
        <v>2090</v>
      </c>
      <c r="M1012" s="133"/>
      <c r="N1012" s="133">
        <v>20</v>
      </c>
      <c r="O1012" s="119">
        <f t="shared" si="26"/>
        <v>0</v>
      </c>
    </row>
    <row r="1013" spans="1:15">
      <c r="A1013" s="590" t="s">
        <v>1014</v>
      </c>
      <c r="B1013" s="11" t="s">
        <v>9</v>
      </c>
      <c r="C1013" s="11">
        <v>40</v>
      </c>
      <c r="D1013" s="11" t="s">
        <v>16</v>
      </c>
      <c r="E1013" s="15">
        <v>451</v>
      </c>
      <c r="F1013" s="11" t="s">
        <v>1451</v>
      </c>
      <c r="G1013" s="11" t="s">
        <v>648</v>
      </c>
      <c r="H1013" s="15" t="s">
        <v>5</v>
      </c>
      <c r="I1013" s="15">
        <v>20</v>
      </c>
      <c r="J1013" s="12" t="s">
        <v>157</v>
      </c>
      <c r="K1013" s="591">
        <f>(20*38)</f>
        <v>760</v>
      </c>
      <c r="L1013" s="121" t="s">
        <v>2029</v>
      </c>
      <c r="M1013" s="132">
        <v>4</v>
      </c>
      <c r="N1013" s="138">
        <v>20</v>
      </c>
      <c r="O1013" s="119">
        <f t="shared" si="26"/>
        <v>0</v>
      </c>
    </row>
    <row r="1014" spans="1:15">
      <c r="A1014" s="590" t="s">
        <v>1014</v>
      </c>
      <c r="B1014" s="11" t="s">
        <v>9</v>
      </c>
      <c r="C1014" s="11">
        <v>40</v>
      </c>
      <c r="D1014" s="11" t="s">
        <v>16</v>
      </c>
      <c r="E1014" s="15">
        <v>453</v>
      </c>
      <c r="F1014" s="11" t="s">
        <v>1650</v>
      </c>
      <c r="G1014" s="11" t="s">
        <v>648</v>
      </c>
      <c r="H1014" s="15" t="s">
        <v>15</v>
      </c>
      <c r="I1014" s="15">
        <v>15</v>
      </c>
      <c r="J1014" s="12" t="s">
        <v>97</v>
      </c>
      <c r="K1014" s="591">
        <f>(15*38)</f>
        <v>570</v>
      </c>
      <c r="L1014" s="121" t="s">
        <v>2029</v>
      </c>
      <c r="M1014" s="132">
        <v>3</v>
      </c>
      <c r="N1014" s="133">
        <v>15</v>
      </c>
      <c r="O1014" s="119">
        <f t="shared" si="26"/>
        <v>0</v>
      </c>
    </row>
    <row r="1015" spans="1:15">
      <c r="A1015" s="590" t="s">
        <v>1023</v>
      </c>
      <c r="B1015" s="11" t="s">
        <v>9</v>
      </c>
      <c r="C1015" s="11">
        <v>40</v>
      </c>
      <c r="D1015" s="11" t="s">
        <v>16</v>
      </c>
      <c r="E1015" s="15">
        <v>450</v>
      </c>
      <c r="F1015" s="11" t="s">
        <v>771</v>
      </c>
      <c r="G1015" s="11" t="s">
        <v>648</v>
      </c>
      <c r="H1015" s="15" t="s">
        <v>5</v>
      </c>
      <c r="I1015" s="15">
        <v>15</v>
      </c>
      <c r="J1015" s="12" t="s">
        <v>14</v>
      </c>
      <c r="K1015" s="591">
        <f>(14*38)+(1*29.4)</f>
        <v>561.4</v>
      </c>
      <c r="L1015" s="121" t="s">
        <v>2055</v>
      </c>
      <c r="M1015" s="132">
        <v>4</v>
      </c>
      <c r="N1015" s="133">
        <f>8+7</f>
        <v>15</v>
      </c>
      <c r="O1015" s="119">
        <f t="shared" si="26"/>
        <v>0</v>
      </c>
    </row>
    <row r="1016" spans="1:15">
      <c r="A1016" s="590" t="s">
        <v>1164</v>
      </c>
      <c r="B1016" s="11" t="s">
        <v>9</v>
      </c>
      <c r="C1016" s="11">
        <v>40</v>
      </c>
      <c r="D1016" s="11" t="s">
        <v>384</v>
      </c>
      <c r="E1016" s="15">
        <v>30</v>
      </c>
      <c r="F1016" s="11" t="s">
        <v>1752</v>
      </c>
      <c r="G1016" s="11" t="s">
        <v>648</v>
      </c>
      <c r="H1016" s="15" t="s">
        <v>5</v>
      </c>
      <c r="I1016" s="15">
        <v>30</v>
      </c>
      <c r="J1016" s="12" t="s">
        <v>25</v>
      </c>
      <c r="K1016" s="591">
        <f>(29*38)+(1*29.4)</f>
        <v>1131.4000000000001</v>
      </c>
      <c r="L1016" s="121" t="s">
        <v>2082</v>
      </c>
      <c r="M1016" s="132">
        <v>10</v>
      </c>
      <c r="N1016" s="138">
        <f>10+20</f>
        <v>30</v>
      </c>
      <c r="O1016" s="119">
        <f t="shared" si="26"/>
        <v>0</v>
      </c>
    </row>
    <row r="1017" spans="1:15">
      <c r="A1017" s="590" t="s">
        <v>1164</v>
      </c>
      <c r="B1017" s="11" t="s">
        <v>9</v>
      </c>
      <c r="C1017" s="11">
        <v>40</v>
      </c>
      <c r="D1017" s="11" t="s">
        <v>384</v>
      </c>
      <c r="E1017" s="15">
        <v>31</v>
      </c>
      <c r="F1017" s="11" t="s">
        <v>201</v>
      </c>
      <c r="G1017" s="11" t="s">
        <v>648</v>
      </c>
      <c r="H1017" s="15" t="s">
        <v>5</v>
      </c>
      <c r="I1017" s="15">
        <v>15</v>
      </c>
      <c r="J1017" s="12" t="s">
        <v>97</v>
      </c>
      <c r="K1017" s="591">
        <f>(15*38)</f>
        <v>570</v>
      </c>
      <c r="L1017" s="121" t="s">
        <v>2082</v>
      </c>
      <c r="M1017" s="132">
        <v>8</v>
      </c>
      <c r="N1017" s="133">
        <v>15</v>
      </c>
      <c r="O1017" s="119">
        <f t="shared" si="26"/>
        <v>0</v>
      </c>
    </row>
    <row r="1018" spans="1:15">
      <c r="A1018" s="590" t="s">
        <v>1164</v>
      </c>
      <c r="B1018" s="11" t="s">
        <v>9</v>
      </c>
      <c r="C1018" s="11">
        <v>40</v>
      </c>
      <c r="D1018" s="11" t="s">
        <v>384</v>
      </c>
      <c r="E1018" s="15">
        <v>32</v>
      </c>
      <c r="F1018" s="11" t="s">
        <v>1753</v>
      </c>
      <c r="G1018" s="11" t="s">
        <v>648</v>
      </c>
      <c r="H1018" s="15" t="s">
        <v>5</v>
      </c>
      <c r="I1018" s="15">
        <v>15</v>
      </c>
      <c r="J1018" s="12" t="s">
        <v>14</v>
      </c>
      <c r="K1018" s="591">
        <f>(14*38)+(1*29.4)</f>
        <v>561.4</v>
      </c>
      <c r="L1018" s="121" t="s">
        <v>2082</v>
      </c>
      <c r="M1018" s="132">
        <v>2</v>
      </c>
      <c r="N1018" s="133">
        <f>9+6</f>
        <v>15</v>
      </c>
      <c r="O1018" s="119">
        <f t="shared" si="26"/>
        <v>0</v>
      </c>
    </row>
    <row r="1019" spans="1:15">
      <c r="A1019" s="590" t="s">
        <v>1164</v>
      </c>
      <c r="B1019" s="11" t="s">
        <v>9</v>
      </c>
      <c r="C1019" s="11">
        <v>40</v>
      </c>
      <c r="D1019" s="11" t="s">
        <v>384</v>
      </c>
      <c r="E1019" s="15">
        <v>33</v>
      </c>
      <c r="F1019" s="11" t="s">
        <v>1439</v>
      </c>
      <c r="G1019" s="11" t="s">
        <v>648</v>
      </c>
      <c r="H1019" s="15" t="s">
        <v>5</v>
      </c>
      <c r="I1019" s="15">
        <v>15</v>
      </c>
      <c r="J1019" s="12" t="s">
        <v>97</v>
      </c>
      <c r="K1019" s="591">
        <f>(15*38)</f>
        <v>570</v>
      </c>
      <c r="L1019" s="121" t="s">
        <v>2082</v>
      </c>
      <c r="M1019" s="132">
        <v>9</v>
      </c>
      <c r="N1019" s="133">
        <v>15</v>
      </c>
      <c r="O1019" s="119">
        <f t="shared" si="26"/>
        <v>0</v>
      </c>
    </row>
    <row r="1020" spans="1:15">
      <c r="A1020" s="590" t="s">
        <v>1164</v>
      </c>
      <c r="B1020" s="11" t="s">
        <v>9</v>
      </c>
      <c r="C1020" s="11">
        <v>40</v>
      </c>
      <c r="D1020" s="11" t="s">
        <v>384</v>
      </c>
      <c r="E1020" s="15">
        <v>34</v>
      </c>
      <c r="F1020" s="11" t="s">
        <v>1754</v>
      </c>
      <c r="G1020" s="11" t="s">
        <v>648</v>
      </c>
      <c r="H1020" s="15" t="s">
        <v>5</v>
      </c>
      <c r="I1020" s="15">
        <v>15</v>
      </c>
      <c r="J1020" s="12" t="s">
        <v>14</v>
      </c>
      <c r="K1020" s="591">
        <f>(14*38)+(1*29.4)</f>
        <v>561.4</v>
      </c>
      <c r="L1020" s="121" t="s">
        <v>2055</v>
      </c>
      <c r="M1020" s="132">
        <v>1</v>
      </c>
      <c r="N1020" s="133">
        <f>7+8</f>
        <v>15</v>
      </c>
      <c r="O1020" s="119">
        <f t="shared" si="26"/>
        <v>0</v>
      </c>
    </row>
    <row r="1021" spans="1:15">
      <c r="A1021" s="590" t="s">
        <v>1164</v>
      </c>
      <c r="B1021" s="11" t="s">
        <v>9</v>
      </c>
      <c r="C1021" s="11">
        <v>40</v>
      </c>
      <c r="D1021" s="11" t="s">
        <v>384</v>
      </c>
      <c r="E1021" s="15">
        <v>40</v>
      </c>
      <c r="F1021" s="11" t="s">
        <v>554</v>
      </c>
      <c r="G1021" s="11" t="s">
        <v>648</v>
      </c>
      <c r="H1021" s="15" t="s">
        <v>15</v>
      </c>
      <c r="I1021" s="15">
        <v>15</v>
      </c>
      <c r="J1021" s="12" t="s">
        <v>14</v>
      </c>
      <c r="K1021" s="591">
        <f>(14*38)+(1*29.4)</f>
        <v>561.4</v>
      </c>
      <c r="L1021" s="121" t="s">
        <v>2029</v>
      </c>
      <c r="M1021" s="132">
        <v>1</v>
      </c>
      <c r="N1021" s="130">
        <v>15</v>
      </c>
      <c r="O1021" s="119">
        <f t="shared" si="26"/>
        <v>0</v>
      </c>
    </row>
    <row r="1022" spans="1:15">
      <c r="A1022" s="590" t="s">
        <v>1164</v>
      </c>
      <c r="B1022" s="11" t="s">
        <v>9</v>
      </c>
      <c r="C1022" s="11">
        <v>40</v>
      </c>
      <c r="D1022" s="11" t="s">
        <v>384</v>
      </c>
      <c r="E1022" s="15">
        <v>41</v>
      </c>
      <c r="F1022" s="11" t="s">
        <v>597</v>
      </c>
      <c r="G1022" s="11" t="s">
        <v>648</v>
      </c>
      <c r="H1022" s="15" t="s">
        <v>15</v>
      </c>
      <c r="I1022" s="15">
        <v>15</v>
      </c>
      <c r="J1022" s="12" t="s">
        <v>97</v>
      </c>
      <c r="K1022" s="591">
        <f>(15*38)</f>
        <v>570</v>
      </c>
      <c r="L1022" s="121" t="s">
        <v>2062</v>
      </c>
      <c r="M1022" s="132" t="s">
        <v>2063</v>
      </c>
      <c r="N1022" s="133">
        <f>5+10</f>
        <v>15</v>
      </c>
      <c r="O1022" s="119">
        <f t="shared" si="26"/>
        <v>0</v>
      </c>
    </row>
    <row r="1023" spans="1:15">
      <c r="A1023" s="590" t="s">
        <v>1973</v>
      </c>
      <c r="B1023" s="11" t="s">
        <v>9</v>
      </c>
      <c r="C1023" s="11">
        <v>48</v>
      </c>
      <c r="D1023" s="11" t="s">
        <v>384</v>
      </c>
      <c r="E1023" s="15">
        <v>18</v>
      </c>
      <c r="F1023" s="11" t="s">
        <v>1942</v>
      </c>
      <c r="G1023" s="11" t="s">
        <v>648</v>
      </c>
      <c r="H1023" s="15" t="s">
        <v>5</v>
      </c>
      <c r="I1023" s="15">
        <v>25</v>
      </c>
      <c r="J1023" s="12" t="s">
        <v>112</v>
      </c>
      <c r="K1023" s="591">
        <f>(24*35)+(1*26.4)</f>
        <v>866.4</v>
      </c>
      <c r="L1023" s="121" t="s">
        <v>2082</v>
      </c>
      <c r="M1023" s="136">
        <v>2</v>
      </c>
      <c r="N1023" s="133">
        <v>25</v>
      </c>
      <c r="O1023" s="119">
        <f t="shared" si="26"/>
        <v>0</v>
      </c>
    </row>
    <row r="1024" spans="1:15">
      <c r="A1024" s="590" t="s">
        <v>1973</v>
      </c>
      <c r="B1024" s="11" t="s">
        <v>9</v>
      </c>
      <c r="C1024" s="11">
        <v>48</v>
      </c>
      <c r="D1024" s="11" t="s">
        <v>384</v>
      </c>
      <c r="E1024" s="15">
        <v>20</v>
      </c>
      <c r="F1024" s="11" t="s">
        <v>1995</v>
      </c>
      <c r="G1024" s="11" t="s">
        <v>648</v>
      </c>
      <c r="H1024" s="15" t="s">
        <v>15</v>
      </c>
      <c r="I1024" s="15">
        <v>15</v>
      </c>
      <c r="J1024" s="12" t="s">
        <v>97</v>
      </c>
      <c r="K1024" s="591">
        <f>(15*38)</f>
        <v>570</v>
      </c>
      <c r="L1024" s="121" t="s">
        <v>2082</v>
      </c>
      <c r="M1024" s="136">
        <v>6</v>
      </c>
      <c r="N1024" s="133">
        <f>8+7</f>
        <v>15</v>
      </c>
      <c r="O1024" s="119">
        <f t="shared" si="26"/>
        <v>0</v>
      </c>
    </row>
    <row r="1025" spans="1:15">
      <c r="A1025" s="590" t="s">
        <v>1973</v>
      </c>
      <c r="B1025" s="11" t="s">
        <v>9</v>
      </c>
      <c r="C1025" s="11">
        <v>48</v>
      </c>
      <c r="D1025" s="11" t="s">
        <v>384</v>
      </c>
      <c r="E1025" s="15">
        <v>21</v>
      </c>
      <c r="F1025" s="11" t="s">
        <v>592</v>
      </c>
      <c r="G1025" s="11" t="s">
        <v>648</v>
      </c>
      <c r="H1025" s="15" t="s">
        <v>15</v>
      </c>
      <c r="I1025" s="15">
        <v>15</v>
      </c>
      <c r="J1025" s="12" t="s">
        <v>14</v>
      </c>
      <c r="K1025" s="591">
        <f>(14*38)+(1*29.4)</f>
        <v>561.4</v>
      </c>
      <c r="L1025" s="121" t="s">
        <v>2082</v>
      </c>
      <c r="M1025" s="136">
        <v>6</v>
      </c>
      <c r="N1025" s="133">
        <v>15</v>
      </c>
      <c r="O1025" s="119">
        <f t="shared" si="26"/>
        <v>0</v>
      </c>
    </row>
    <row r="1026" spans="1:15">
      <c r="A1026" s="590" t="s">
        <v>1975</v>
      </c>
      <c r="B1026" s="11" t="s">
        <v>9</v>
      </c>
      <c r="C1026" s="11">
        <v>49</v>
      </c>
      <c r="D1026" s="11" t="s">
        <v>384</v>
      </c>
      <c r="E1026" s="15">
        <v>16</v>
      </c>
      <c r="F1026" s="11" t="s">
        <v>547</v>
      </c>
      <c r="G1026" s="11" t="s">
        <v>648</v>
      </c>
      <c r="H1026" s="15" t="s">
        <v>5</v>
      </c>
      <c r="I1026" s="15">
        <v>15</v>
      </c>
      <c r="J1026" s="12" t="s">
        <v>13</v>
      </c>
      <c r="K1026" s="591">
        <f>(14*35)+(1*26.4)</f>
        <v>516.4</v>
      </c>
      <c r="L1026" s="121" t="s">
        <v>2055</v>
      </c>
      <c r="M1026" s="136">
        <v>8</v>
      </c>
      <c r="N1026" s="133">
        <f>6+9</f>
        <v>15</v>
      </c>
      <c r="O1026" s="119">
        <f t="shared" si="26"/>
        <v>0</v>
      </c>
    </row>
    <row r="1027" spans="1:15">
      <c r="A1027" s="590" t="s">
        <v>1975</v>
      </c>
      <c r="B1027" s="11" t="s">
        <v>9</v>
      </c>
      <c r="C1027" s="11">
        <v>49</v>
      </c>
      <c r="D1027" s="11" t="s">
        <v>384</v>
      </c>
      <c r="E1027" s="15">
        <v>17</v>
      </c>
      <c r="F1027" s="11" t="s">
        <v>1623</v>
      </c>
      <c r="G1027" s="11" t="s">
        <v>648</v>
      </c>
      <c r="H1027" s="15" t="s">
        <v>5</v>
      </c>
      <c r="I1027" s="15">
        <v>15</v>
      </c>
      <c r="J1027" s="12" t="s">
        <v>13</v>
      </c>
      <c r="K1027" s="591">
        <f>(14*35)+(1*26.4)</f>
        <v>516.4</v>
      </c>
      <c r="L1027" s="121" t="s">
        <v>2055</v>
      </c>
      <c r="M1027" s="136">
        <v>4</v>
      </c>
      <c r="N1027" s="133">
        <f>8+7</f>
        <v>15</v>
      </c>
      <c r="O1027" s="119">
        <f t="shared" ref="O1027:O1061" si="27">I1027-N1027</f>
        <v>0</v>
      </c>
    </row>
    <row r="1028" spans="1:15">
      <c r="A1028" s="590" t="s">
        <v>1976</v>
      </c>
      <c r="B1028" s="11" t="s">
        <v>9</v>
      </c>
      <c r="C1028" s="11">
        <v>49</v>
      </c>
      <c r="D1028" s="11" t="s">
        <v>384</v>
      </c>
      <c r="E1028" s="15">
        <v>20</v>
      </c>
      <c r="F1028" s="11" t="s">
        <v>598</v>
      </c>
      <c r="G1028" s="11" t="s">
        <v>648</v>
      </c>
      <c r="H1028" s="15" t="s">
        <v>15</v>
      </c>
      <c r="I1028" s="15">
        <v>20</v>
      </c>
      <c r="J1028" s="12" t="s">
        <v>31</v>
      </c>
      <c r="K1028" s="591">
        <f>(19*38)+(1*29.4)</f>
        <v>751.4</v>
      </c>
      <c r="L1028" s="121" t="s">
        <v>2029</v>
      </c>
      <c r="M1028" s="136">
        <v>1</v>
      </c>
      <c r="N1028" s="133">
        <f>10+10</f>
        <v>20</v>
      </c>
      <c r="O1028" s="119">
        <f t="shared" si="27"/>
        <v>0</v>
      </c>
    </row>
    <row r="1029" spans="1:15">
      <c r="A1029" s="590" t="s">
        <v>1976</v>
      </c>
      <c r="B1029" s="11" t="s">
        <v>9</v>
      </c>
      <c r="C1029" s="11">
        <v>49</v>
      </c>
      <c r="D1029" s="11" t="s">
        <v>384</v>
      </c>
      <c r="E1029" s="15">
        <v>23</v>
      </c>
      <c r="F1029" s="11" t="s">
        <v>1440</v>
      </c>
      <c r="G1029" s="11" t="s">
        <v>648</v>
      </c>
      <c r="H1029" s="15" t="s">
        <v>15</v>
      </c>
      <c r="I1029" s="15">
        <v>20</v>
      </c>
      <c r="J1029" s="12" t="s">
        <v>31</v>
      </c>
      <c r="K1029" s="591">
        <f>(19*38)+(1*29.4)</f>
        <v>751.4</v>
      </c>
      <c r="L1029" s="121" t="s">
        <v>2029</v>
      </c>
      <c r="M1029" s="136">
        <v>1</v>
      </c>
      <c r="N1029" s="133">
        <v>20</v>
      </c>
      <c r="O1029" s="119">
        <f t="shared" si="27"/>
        <v>0</v>
      </c>
    </row>
    <row r="1030" spans="1:15">
      <c r="A1030" s="590" t="s">
        <v>1977</v>
      </c>
      <c r="B1030" s="11" t="s">
        <v>9</v>
      </c>
      <c r="C1030" s="11">
        <v>48</v>
      </c>
      <c r="D1030" s="11" t="s">
        <v>384</v>
      </c>
      <c r="E1030" s="15">
        <v>22</v>
      </c>
      <c r="F1030" s="11" t="s">
        <v>399</v>
      </c>
      <c r="G1030" s="11" t="s">
        <v>648</v>
      </c>
      <c r="H1030" s="15" t="s">
        <v>15</v>
      </c>
      <c r="I1030" s="15">
        <v>15</v>
      </c>
      <c r="J1030" s="12" t="s">
        <v>14</v>
      </c>
      <c r="K1030" s="591">
        <f>(14*38)+(1*29.4)</f>
        <v>561.4</v>
      </c>
      <c r="L1030" s="121" t="s">
        <v>2055</v>
      </c>
      <c r="M1030" s="136"/>
      <c r="N1030" s="133">
        <v>15</v>
      </c>
      <c r="O1030" s="119">
        <f t="shared" si="27"/>
        <v>0</v>
      </c>
    </row>
    <row r="1031" spans="1:15">
      <c r="A1031" s="590" t="s">
        <v>1131</v>
      </c>
      <c r="B1031" s="11" t="s">
        <v>9</v>
      </c>
      <c r="C1031" s="11">
        <v>38</v>
      </c>
      <c r="D1031" s="11" t="s">
        <v>7</v>
      </c>
      <c r="E1031" s="11">
        <v>400</v>
      </c>
      <c r="F1031" s="11" t="s">
        <v>1521</v>
      </c>
      <c r="G1031" s="11" t="s">
        <v>114</v>
      </c>
      <c r="H1031" s="11" t="s">
        <v>15</v>
      </c>
      <c r="I1031" s="11">
        <v>20</v>
      </c>
      <c r="J1031" s="12" t="s">
        <v>34</v>
      </c>
      <c r="K1031" s="591">
        <f>(19*26)+(1*17.4)</f>
        <v>511.4</v>
      </c>
      <c r="L1031" s="120" t="s">
        <v>2033</v>
      </c>
      <c r="M1031" s="132">
        <v>11</v>
      </c>
      <c r="N1031" s="133">
        <f>10+10</f>
        <v>20</v>
      </c>
      <c r="O1031" s="119">
        <f t="shared" si="27"/>
        <v>0</v>
      </c>
    </row>
    <row r="1032" spans="1:15">
      <c r="A1032" s="590" t="s">
        <v>993</v>
      </c>
      <c r="B1032" s="11" t="s">
        <v>9</v>
      </c>
      <c r="C1032" s="11">
        <v>39</v>
      </c>
      <c r="D1032" s="11" t="s">
        <v>29</v>
      </c>
      <c r="E1032" s="11">
        <v>109</v>
      </c>
      <c r="F1032" s="11" t="s">
        <v>506</v>
      </c>
      <c r="G1032" s="11" t="s">
        <v>114</v>
      </c>
      <c r="H1032" s="11" t="s">
        <v>15</v>
      </c>
      <c r="I1032" s="11">
        <v>20</v>
      </c>
      <c r="J1032" s="12" t="s">
        <v>34</v>
      </c>
      <c r="K1032" s="591">
        <f>(19*26)+(1*17.4)</f>
        <v>511.4</v>
      </c>
      <c r="L1032" s="120" t="s">
        <v>2033</v>
      </c>
      <c r="M1032" s="132">
        <v>8</v>
      </c>
      <c r="N1032" s="133">
        <v>20</v>
      </c>
      <c r="O1032" s="119">
        <f t="shared" si="27"/>
        <v>0</v>
      </c>
    </row>
    <row r="1033" spans="1:15">
      <c r="A1033" s="590" t="s">
        <v>993</v>
      </c>
      <c r="B1033" s="11" t="s">
        <v>9</v>
      </c>
      <c r="C1033" s="11">
        <v>39</v>
      </c>
      <c r="D1033" s="11" t="s">
        <v>29</v>
      </c>
      <c r="E1033" s="11">
        <v>110</v>
      </c>
      <c r="F1033" s="11" t="s">
        <v>1564</v>
      </c>
      <c r="G1033" s="11" t="s">
        <v>114</v>
      </c>
      <c r="H1033" s="11" t="s">
        <v>15</v>
      </c>
      <c r="I1033" s="11">
        <v>15</v>
      </c>
      <c r="J1033" s="12" t="s">
        <v>37</v>
      </c>
      <c r="K1033" s="591">
        <f>(14*26)+(1*17.4)</f>
        <v>381.4</v>
      </c>
      <c r="L1033" s="120" t="s">
        <v>2033</v>
      </c>
      <c r="M1033" s="132">
        <v>8</v>
      </c>
      <c r="N1033" s="133">
        <v>15</v>
      </c>
      <c r="O1033" s="119">
        <f t="shared" si="27"/>
        <v>0</v>
      </c>
    </row>
    <row r="1034" spans="1:15">
      <c r="A1034" s="590" t="s">
        <v>993</v>
      </c>
      <c r="B1034" s="11" t="s">
        <v>9</v>
      </c>
      <c r="C1034" s="11">
        <v>39</v>
      </c>
      <c r="D1034" s="11" t="s">
        <v>29</v>
      </c>
      <c r="E1034" s="11">
        <v>111</v>
      </c>
      <c r="F1034" s="11" t="s">
        <v>1459</v>
      </c>
      <c r="G1034" s="11" t="s">
        <v>114</v>
      </c>
      <c r="H1034" s="11" t="s">
        <v>15</v>
      </c>
      <c r="I1034" s="11">
        <v>20</v>
      </c>
      <c r="J1034" s="12" t="s">
        <v>34</v>
      </c>
      <c r="K1034" s="591">
        <f>(19*26)+(1*17.4)</f>
        <v>511.4</v>
      </c>
      <c r="L1034" s="121" t="s">
        <v>2033</v>
      </c>
      <c r="M1034" s="132">
        <v>8</v>
      </c>
      <c r="N1034" s="133">
        <f>9+11</f>
        <v>20</v>
      </c>
      <c r="O1034" s="119">
        <f t="shared" si="27"/>
        <v>0</v>
      </c>
    </row>
    <row r="1035" spans="1:15">
      <c r="A1035" s="590" t="s">
        <v>993</v>
      </c>
      <c r="B1035" s="11" t="s">
        <v>9</v>
      </c>
      <c r="C1035" s="11">
        <v>39</v>
      </c>
      <c r="D1035" s="11" t="s">
        <v>29</v>
      </c>
      <c r="E1035" s="11">
        <v>143</v>
      </c>
      <c r="F1035" s="11" t="s">
        <v>1405</v>
      </c>
      <c r="G1035" s="11" t="s">
        <v>114</v>
      </c>
      <c r="H1035" s="11" t="s">
        <v>15</v>
      </c>
      <c r="I1035" s="11">
        <v>15</v>
      </c>
      <c r="J1035" s="12" t="s">
        <v>37</v>
      </c>
      <c r="K1035" s="591">
        <f>(14*26)+(1*17.4)</f>
        <v>381.4</v>
      </c>
      <c r="L1035" s="121" t="s">
        <v>2033</v>
      </c>
      <c r="M1035" s="132">
        <v>8</v>
      </c>
      <c r="N1035" s="133">
        <v>15</v>
      </c>
      <c r="O1035" s="630">
        <f t="shared" si="27"/>
        <v>0</v>
      </c>
    </row>
    <row r="1036" spans="1:15">
      <c r="A1036" s="590" t="s">
        <v>1181</v>
      </c>
      <c r="B1036" s="11" t="s">
        <v>150</v>
      </c>
      <c r="C1036" s="11">
        <v>46</v>
      </c>
      <c r="D1036" s="11" t="s">
        <v>7</v>
      </c>
      <c r="E1036" s="15">
        <v>709</v>
      </c>
      <c r="F1036" s="11" t="s">
        <v>1869</v>
      </c>
      <c r="G1036" s="11" t="s">
        <v>129</v>
      </c>
      <c r="H1036" s="15" t="s">
        <v>15</v>
      </c>
      <c r="I1036" s="15">
        <v>15</v>
      </c>
      <c r="J1036" s="12" t="s">
        <v>169</v>
      </c>
      <c r="K1036" s="591">
        <f>(15*36)</f>
        <v>540</v>
      </c>
      <c r="L1036" s="121" t="s">
        <v>2082</v>
      </c>
      <c r="M1036" s="132">
        <v>8</v>
      </c>
      <c r="N1036" s="133">
        <f>7+8</f>
        <v>15</v>
      </c>
      <c r="O1036" s="119">
        <f t="shared" si="27"/>
        <v>0</v>
      </c>
    </row>
    <row r="1037" spans="1:15">
      <c r="A1037" s="590" t="s">
        <v>1184</v>
      </c>
      <c r="B1037" s="11" t="s">
        <v>150</v>
      </c>
      <c r="C1037" s="11">
        <v>48</v>
      </c>
      <c r="D1037" s="11" t="s">
        <v>51</v>
      </c>
      <c r="E1037" s="15">
        <v>159</v>
      </c>
      <c r="F1037" s="11" t="s">
        <v>1900</v>
      </c>
      <c r="G1037" s="11" t="s">
        <v>129</v>
      </c>
      <c r="H1037" s="15" t="s">
        <v>5</v>
      </c>
      <c r="I1037" s="15">
        <v>13</v>
      </c>
      <c r="J1037" s="12" t="s">
        <v>512</v>
      </c>
      <c r="K1037" s="591">
        <f>(13*34)</f>
        <v>442</v>
      </c>
      <c r="L1037" s="121" t="s">
        <v>2090</v>
      </c>
      <c r="M1037" s="136"/>
      <c r="N1037" s="133">
        <v>13</v>
      </c>
      <c r="O1037" s="119">
        <f t="shared" si="27"/>
        <v>0</v>
      </c>
    </row>
    <row r="1038" spans="1:15">
      <c r="A1038" s="590" t="s">
        <v>1031</v>
      </c>
      <c r="B1038" s="11" t="s">
        <v>9</v>
      </c>
      <c r="C1038" s="11">
        <v>45</v>
      </c>
      <c r="D1038" s="11" t="s">
        <v>7</v>
      </c>
      <c r="E1038" s="15">
        <v>40</v>
      </c>
      <c r="F1038" s="11" t="s">
        <v>188</v>
      </c>
      <c r="G1038" s="11" t="s">
        <v>24</v>
      </c>
      <c r="H1038" s="15" t="s">
        <v>5</v>
      </c>
      <c r="I1038" s="15">
        <v>20</v>
      </c>
      <c r="J1038" s="12" t="s">
        <v>31</v>
      </c>
      <c r="K1038" s="591">
        <f>(19*38)+(1*29.4)</f>
        <v>751.4</v>
      </c>
      <c r="L1038" s="120" t="s">
        <v>2055</v>
      </c>
      <c r="M1038" s="132">
        <v>5</v>
      </c>
      <c r="N1038" s="133">
        <v>20</v>
      </c>
      <c r="O1038" s="119">
        <f t="shared" si="27"/>
        <v>0</v>
      </c>
    </row>
    <row r="1039" spans="1:15">
      <c r="A1039" s="590" t="s">
        <v>1031</v>
      </c>
      <c r="B1039" s="11" t="s">
        <v>9</v>
      </c>
      <c r="C1039" s="11">
        <v>45</v>
      </c>
      <c r="D1039" s="11" t="s">
        <v>7</v>
      </c>
      <c r="E1039" s="15">
        <v>41</v>
      </c>
      <c r="F1039" s="11" t="s">
        <v>72</v>
      </c>
      <c r="G1039" s="11" t="s">
        <v>24</v>
      </c>
      <c r="H1039" s="15" t="s">
        <v>5</v>
      </c>
      <c r="I1039" s="15">
        <v>20</v>
      </c>
      <c r="J1039" s="12" t="s">
        <v>31</v>
      </c>
      <c r="K1039" s="591">
        <f>(19*38)+(1*29.4)</f>
        <v>751.4</v>
      </c>
      <c r="L1039" s="120" t="s">
        <v>2055</v>
      </c>
      <c r="M1039" s="132">
        <v>3</v>
      </c>
      <c r="N1039" s="133">
        <f>10+10</f>
        <v>20</v>
      </c>
      <c r="O1039" s="119">
        <f t="shared" si="27"/>
        <v>0</v>
      </c>
    </row>
    <row r="1040" spans="1:15">
      <c r="A1040" s="590" t="s">
        <v>1170</v>
      </c>
      <c r="B1040" s="11" t="s">
        <v>9</v>
      </c>
      <c r="C1040" s="11">
        <v>46</v>
      </c>
      <c r="D1040" s="11" t="s">
        <v>7</v>
      </c>
      <c r="E1040" s="15">
        <v>29</v>
      </c>
      <c r="F1040" s="11" t="s">
        <v>209</v>
      </c>
      <c r="G1040" s="11" t="s">
        <v>24</v>
      </c>
      <c r="H1040" s="15" t="s">
        <v>15</v>
      </c>
      <c r="I1040" s="15">
        <v>10</v>
      </c>
      <c r="J1040" s="12" t="s">
        <v>27</v>
      </c>
      <c r="K1040" s="591">
        <f>(9*38)+(1*29.4)</f>
        <v>371.4</v>
      </c>
      <c r="L1040" s="121" t="s">
        <v>2033</v>
      </c>
      <c r="M1040" s="132">
        <v>4</v>
      </c>
      <c r="N1040" s="133">
        <v>10</v>
      </c>
      <c r="O1040" s="119">
        <f t="shared" si="27"/>
        <v>0</v>
      </c>
    </row>
    <row r="1041" spans="1:15">
      <c r="A1041" s="590" t="s">
        <v>1170</v>
      </c>
      <c r="B1041" s="11" t="s">
        <v>9</v>
      </c>
      <c r="C1041" s="11">
        <v>46</v>
      </c>
      <c r="D1041" s="11" t="s">
        <v>7</v>
      </c>
      <c r="E1041" s="15">
        <v>30</v>
      </c>
      <c r="F1041" s="11" t="s">
        <v>210</v>
      </c>
      <c r="G1041" s="11" t="s">
        <v>24</v>
      </c>
      <c r="H1041" s="15" t="s">
        <v>15</v>
      </c>
      <c r="I1041" s="15">
        <v>10</v>
      </c>
      <c r="J1041" s="12" t="s">
        <v>27</v>
      </c>
      <c r="K1041" s="591">
        <f>(9*38)+(1*29.4)</f>
        <v>371.4</v>
      </c>
      <c r="L1041" s="121" t="s">
        <v>2033</v>
      </c>
      <c r="M1041" s="132">
        <v>3</v>
      </c>
      <c r="N1041" s="133">
        <v>10</v>
      </c>
      <c r="O1041" s="119">
        <f t="shared" si="27"/>
        <v>0</v>
      </c>
    </row>
    <row r="1042" spans="1:15">
      <c r="A1042" s="590" t="s">
        <v>1172</v>
      </c>
      <c r="B1042" s="11" t="s">
        <v>9</v>
      </c>
      <c r="C1042" s="11">
        <v>46</v>
      </c>
      <c r="D1042" s="11" t="s">
        <v>16</v>
      </c>
      <c r="E1042" s="15">
        <v>185</v>
      </c>
      <c r="F1042" s="11" t="s">
        <v>172</v>
      </c>
      <c r="G1042" s="11" t="s">
        <v>24</v>
      </c>
      <c r="H1042" s="15" t="s">
        <v>15</v>
      </c>
      <c r="I1042" s="15">
        <v>15</v>
      </c>
      <c r="J1042" s="12" t="s">
        <v>14</v>
      </c>
      <c r="K1042" s="591">
        <f>(14*38)+(1*29.4)</f>
        <v>561.4</v>
      </c>
      <c r="L1042" s="121" t="s">
        <v>2082</v>
      </c>
      <c r="M1042" s="120">
        <v>13</v>
      </c>
      <c r="N1042" s="130">
        <f>5+10</f>
        <v>15</v>
      </c>
      <c r="O1042" s="119">
        <f t="shared" si="27"/>
        <v>0</v>
      </c>
    </row>
    <row r="1043" spans="1:15">
      <c r="A1043" s="590" t="s">
        <v>1018</v>
      </c>
      <c r="B1043" s="11" t="s">
        <v>6</v>
      </c>
      <c r="C1043" s="11">
        <v>47</v>
      </c>
      <c r="D1043" s="11" t="s">
        <v>82</v>
      </c>
      <c r="E1043" s="15">
        <v>6713</v>
      </c>
      <c r="F1043" s="11" t="s">
        <v>1726</v>
      </c>
      <c r="G1043" s="11" t="s">
        <v>1727</v>
      </c>
      <c r="H1043" s="15" t="s">
        <v>1578</v>
      </c>
      <c r="I1043" s="15">
        <v>20</v>
      </c>
      <c r="J1043" s="12" t="s">
        <v>1728</v>
      </c>
      <c r="K1043" s="591">
        <f>(18*21)+(2*14)</f>
        <v>406</v>
      </c>
      <c r="L1043" s="120" t="s">
        <v>2055</v>
      </c>
      <c r="M1043" s="132">
        <v>1</v>
      </c>
      <c r="N1043" s="130">
        <v>20</v>
      </c>
      <c r="O1043" s="119">
        <f t="shared" si="27"/>
        <v>0</v>
      </c>
    </row>
    <row r="1044" spans="1:15">
      <c r="A1044" s="590" t="s">
        <v>976</v>
      </c>
      <c r="B1044" s="11" t="s">
        <v>9</v>
      </c>
      <c r="C1044" s="11">
        <v>38</v>
      </c>
      <c r="D1044" s="11" t="s">
        <v>10</v>
      </c>
      <c r="E1044" s="11">
        <v>402</v>
      </c>
      <c r="F1044" s="11" t="s">
        <v>1330</v>
      </c>
      <c r="G1044" s="11" t="s">
        <v>674</v>
      </c>
      <c r="H1044" s="11" t="s">
        <v>1518</v>
      </c>
      <c r="I1044" s="11">
        <v>10</v>
      </c>
      <c r="J1044" s="12" t="s">
        <v>27</v>
      </c>
      <c r="K1044" s="591">
        <f>(9*38)+(1*29.4)</f>
        <v>371.4</v>
      </c>
      <c r="L1044" s="121" t="s">
        <v>2033</v>
      </c>
      <c r="M1044" s="132">
        <v>12</v>
      </c>
      <c r="N1044" s="133">
        <v>10</v>
      </c>
      <c r="O1044" s="119">
        <f t="shared" si="27"/>
        <v>0</v>
      </c>
    </row>
    <row r="1045" spans="1:15">
      <c r="A1045" s="590" t="s">
        <v>1004</v>
      </c>
      <c r="B1045" s="11" t="s">
        <v>9</v>
      </c>
      <c r="C1045" s="11">
        <v>44</v>
      </c>
      <c r="D1045" s="11" t="s">
        <v>10</v>
      </c>
      <c r="E1045" s="15">
        <v>578</v>
      </c>
      <c r="F1045" s="11" t="s">
        <v>1361</v>
      </c>
      <c r="G1045" s="11" t="s">
        <v>674</v>
      </c>
      <c r="H1045" s="15" t="s">
        <v>15</v>
      </c>
      <c r="I1045" s="15">
        <v>15</v>
      </c>
      <c r="J1045" s="12" t="s">
        <v>1622</v>
      </c>
      <c r="K1045" s="591">
        <f>(14*38)++(1*29.4)</f>
        <v>561.4</v>
      </c>
      <c r="L1045" s="121" t="s">
        <v>2029</v>
      </c>
      <c r="M1045" s="132">
        <v>1</v>
      </c>
      <c r="N1045" s="138">
        <v>15</v>
      </c>
      <c r="O1045" s="119">
        <f t="shared" si="27"/>
        <v>0</v>
      </c>
    </row>
    <row r="1046" spans="1:15">
      <c r="A1046" s="590" t="s">
        <v>1004</v>
      </c>
      <c r="B1046" s="11" t="s">
        <v>9</v>
      </c>
      <c r="C1046" s="11">
        <v>44</v>
      </c>
      <c r="D1046" s="11" t="s">
        <v>10</v>
      </c>
      <c r="E1046" s="15">
        <v>579</v>
      </c>
      <c r="F1046" s="11" t="s">
        <v>77</v>
      </c>
      <c r="G1046" s="11" t="s">
        <v>674</v>
      </c>
      <c r="H1046" s="15" t="s">
        <v>15</v>
      </c>
      <c r="I1046" s="15">
        <v>15</v>
      </c>
      <c r="J1046" s="12" t="s">
        <v>1622</v>
      </c>
      <c r="K1046" s="591">
        <f>(14*38)++(1*29.4)</f>
        <v>561.4</v>
      </c>
      <c r="L1046" s="121" t="s">
        <v>2033</v>
      </c>
      <c r="M1046" s="132">
        <v>14</v>
      </c>
      <c r="N1046" s="130">
        <v>15</v>
      </c>
      <c r="O1046" s="119">
        <f t="shared" si="27"/>
        <v>0</v>
      </c>
    </row>
    <row r="1047" spans="1:15">
      <c r="A1047" s="590" t="s">
        <v>1030</v>
      </c>
      <c r="B1047" s="11" t="s">
        <v>9</v>
      </c>
      <c r="C1047" s="11">
        <v>45</v>
      </c>
      <c r="D1047" s="11" t="s">
        <v>10</v>
      </c>
      <c r="E1047" s="15">
        <v>501</v>
      </c>
      <c r="F1047" s="11" t="s">
        <v>1384</v>
      </c>
      <c r="G1047" s="11" t="s">
        <v>674</v>
      </c>
      <c r="H1047" s="15" t="s">
        <v>5</v>
      </c>
      <c r="I1047" s="15">
        <v>10</v>
      </c>
      <c r="J1047" s="12" t="s">
        <v>27</v>
      </c>
      <c r="K1047" s="591">
        <f>(9*38)+(1*29.4)</f>
        <v>371.4</v>
      </c>
      <c r="L1047" s="121" t="s">
        <v>2082</v>
      </c>
      <c r="M1047" s="132">
        <v>2</v>
      </c>
      <c r="N1047" s="133">
        <v>10</v>
      </c>
      <c r="O1047" s="119">
        <f t="shared" si="27"/>
        <v>0</v>
      </c>
    </row>
    <row r="1048" spans="1:15">
      <c r="A1048" s="590" t="s">
        <v>1030</v>
      </c>
      <c r="B1048" s="11" t="s">
        <v>9</v>
      </c>
      <c r="C1048" s="11">
        <v>45</v>
      </c>
      <c r="D1048" s="11" t="s">
        <v>10</v>
      </c>
      <c r="E1048" s="15">
        <v>502</v>
      </c>
      <c r="F1048" s="11" t="s">
        <v>1373</v>
      </c>
      <c r="G1048" s="11" t="s">
        <v>674</v>
      </c>
      <c r="H1048" s="15" t="s">
        <v>5</v>
      </c>
      <c r="I1048" s="15">
        <v>25</v>
      </c>
      <c r="J1048" s="12" t="s">
        <v>608</v>
      </c>
      <c r="K1048" s="591">
        <f>(24*38)+(1*29.4)</f>
        <v>941.4</v>
      </c>
      <c r="L1048" s="121" t="s">
        <v>2082</v>
      </c>
      <c r="M1048" s="132">
        <v>2</v>
      </c>
      <c r="N1048" s="133">
        <f>9+8+8</f>
        <v>25</v>
      </c>
      <c r="O1048" s="119">
        <f t="shared" si="27"/>
        <v>0</v>
      </c>
    </row>
    <row r="1049" spans="1:15">
      <c r="A1049" s="590" t="s">
        <v>1030</v>
      </c>
      <c r="B1049" s="11" t="s">
        <v>9</v>
      </c>
      <c r="C1049" s="11">
        <v>45</v>
      </c>
      <c r="D1049" s="11" t="s">
        <v>10</v>
      </c>
      <c r="E1049" s="15">
        <v>504</v>
      </c>
      <c r="F1049" s="11" t="s">
        <v>400</v>
      </c>
      <c r="G1049" s="11" t="s">
        <v>674</v>
      </c>
      <c r="H1049" s="15" t="s">
        <v>5</v>
      </c>
      <c r="I1049" s="15">
        <v>25</v>
      </c>
      <c r="J1049" s="12" t="s">
        <v>608</v>
      </c>
      <c r="K1049" s="591">
        <f>(24*38)+(1*29.4)</f>
        <v>941.4</v>
      </c>
      <c r="L1049" s="121" t="s">
        <v>2082</v>
      </c>
      <c r="M1049" s="132">
        <v>6</v>
      </c>
      <c r="N1049" s="133">
        <f>8+17</f>
        <v>25</v>
      </c>
      <c r="O1049" s="119">
        <f t="shared" si="27"/>
        <v>0</v>
      </c>
    </row>
    <row r="1050" spans="1:15">
      <c r="A1050" s="590" t="s">
        <v>1030</v>
      </c>
      <c r="B1050" s="11" t="s">
        <v>9</v>
      </c>
      <c r="C1050" s="11">
        <v>45</v>
      </c>
      <c r="D1050" s="11" t="s">
        <v>10</v>
      </c>
      <c r="E1050" s="15">
        <v>506</v>
      </c>
      <c r="F1050" s="11" t="s">
        <v>1384</v>
      </c>
      <c r="G1050" s="11" t="s">
        <v>674</v>
      </c>
      <c r="H1050" s="15" t="s">
        <v>15</v>
      </c>
      <c r="I1050" s="15">
        <v>10</v>
      </c>
      <c r="J1050" s="12" t="s">
        <v>27</v>
      </c>
      <c r="K1050" s="591">
        <f>(9*38)+(1*29.4)</f>
        <v>371.4</v>
      </c>
      <c r="L1050" s="121" t="s">
        <v>2082</v>
      </c>
      <c r="M1050" s="132">
        <v>4</v>
      </c>
      <c r="N1050" s="133">
        <v>10</v>
      </c>
      <c r="O1050" s="119">
        <f t="shared" si="27"/>
        <v>0</v>
      </c>
    </row>
    <row r="1051" spans="1:15">
      <c r="A1051" s="590" t="s">
        <v>1030</v>
      </c>
      <c r="B1051" s="11" t="s">
        <v>9</v>
      </c>
      <c r="C1051" s="11">
        <v>45</v>
      </c>
      <c r="D1051" s="11" t="s">
        <v>10</v>
      </c>
      <c r="E1051" s="15">
        <v>513</v>
      </c>
      <c r="F1051" s="11" t="s">
        <v>1323</v>
      </c>
      <c r="G1051" s="11" t="s">
        <v>674</v>
      </c>
      <c r="H1051" s="15" t="s">
        <v>15</v>
      </c>
      <c r="I1051" s="15">
        <v>15</v>
      </c>
      <c r="J1051" s="12" t="s">
        <v>38</v>
      </c>
      <c r="K1051" s="591">
        <f>(13*38)+(2*29.4)</f>
        <v>552.79999999999995</v>
      </c>
      <c r="L1051" s="121" t="s">
        <v>2082</v>
      </c>
      <c r="M1051" s="132">
        <v>9</v>
      </c>
      <c r="N1051" s="133">
        <v>15</v>
      </c>
      <c r="O1051" s="119">
        <f t="shared" si="27"/>
        <v>0</v>
      </c>
    </row>
    <row r="1052" spans="1:15">
      <c r="A1052" s="590" t="s">
        <v>1030</v>
      </c>
      <c r="B1052" s="11" t="s">
        <v>9</v>
      </c>
      <c r="C1052" s="11">
        <v>45</v>
      </c>
      <c r="D1052" s="11" t="s">
        <v>10</v>
      </c>
      <c r="E1052" s="15">
        <v>514</v>
      </c>
      <c r="F1052" s="11" t="s">
        <v>1652</v>
      </c>
      <c r="G1052" s="11" t="s">
        <v>674</v>
      </c>
      <c r="H1052" s="15" t="s">
        <v>15</v>
      </c>
      <c r="I1052" s="15">
        <v>10</v>
      </c>
      <c r="J1052" s="12" t="s">
        <v>447</v>
      </c>
      <c r="K1052" s="591">
        <f>(8*38)+(2*29.4)</f>
        <v>362.8</v>
      </c>
      <c r="L1052" s="121" t="s">
        <v>2082</v>
      </c>
      <c r="M1052" s="132">
        <v>7</v>
      </c>
      <c r="N1052" s="133">
        <f>10</f>
        <v>10</v>
      </c>
      <c r="O1052" s="119">
        <f t="shared" si="27"/>
        <v>0</v>
      </c>
    </row>
    <row r="1053" spans="1:15">
      <c r="A1053" s="590" t="s">
        <v>1030</v>
      </c>
      <c r="B1053" s="11" t="s">
        <v>9</v>
      </c>
      <c r="C1053" s="11">
        <v>45</v>
      </c>
      <c r="D1053" s="11" t="s">
        <v>10</v>
      </c>
      <c r="E1053" s="15">
        <v>515</v>
      </c>
      <c r="F1053" s="11" t="s">
        <v>678</v>
      </c>
      <c r="G1053" s="11" t="s">
        <v>674</v>
      </c>
      <c r="H1053" s="15" t="s">
        <v>15</v>
      </c>
      <c r="I1053" s="15">
        <v>10</v>
      </c>
      <c r="J1053" s="12" t="s">
        <v>447</v>
      </c>
      <c r="K1053" s="591">
        <f>(8*38)+(2*29.4)</f>
        <v>362.8</v>
      </c>
      <c r="L1053" s="121" t="s">
        <v>2082</v>
      </c>
      <c r="M1053" s="120">
        <v>10</v>
      </c>
      <c r="N1053" s="130">
        <f>10</f>
        <v>10</v>
      </c>
      <c r="O1053" s="119">
        <f t="shared" si="27"/>
        <v>0</v>
      </c>
    </row>
    <row r="1054" spans="1:15">
      <c r="A1054" s="590" t="s">
        <v>1174</v>
      </c>
      <c r="B1054" s="11" t="s">
        <v>9</v>
      </c>
      <c r="C1054" s="11">
        <v>47</v>
      </c>
      <c r="D1054" s="11" t="s">
        <v>10</v>
      </c>
      <c r="E1054" s="15">
        <v>495</v>
      </c>
      <c r="F1054" s="11" t="s">
        <v>1344</v>
      </c>
      <c r="G1054" s="11" t="s">
        <v>674</v>
      </c>
      <c r="H1054" s="15" t="s">
        <v>5</v>
      </c>
      <c r="I1054" s="15">
        <v>15</v>
      </c>
      <c r="J1054" s="12" t="s">
        <v>14</v>
      </c>
      <c r="K1054" s="591">
        <f>(14*38)+(1*29.4)</f>
        <v>561.4</v>
      </c>
      <c r="L1054" s="121" t="s">
        <v>2055</v>
      </c>
      <c r="M1054" s="132">
        <v>2</v>
      </c>
      <c r="N1054" s="133">
        <v>15</v>
      </c>
      <c r="O1054" s="119">
        <f t="shared" si="27"/>
        <v>0</v>
      </c>
    </row>
    <row r="1055" spans="1:15">
      <c r="A1055" s="590" t="s">
        <v>1174</v>
      </c>
      <c r="B1055" s="11" t="s">
        <v>9</v>
      </c>
      <c r="C1055" s="11">
        <v>47</v>
      </c>
      <c r="D1055" s="11" t="s">
        <v>10</v>
      </c>
      <c r="E1055" s="15">
        <v>496</v>
      </c>
      <c r="F1055" s="11" t="s">
        <v>1511</v>
      </c>
      <c r="G1055" s="11" t="s">
        <v>674</v>
      </c>
      <c r="H1055" s="15" t="s">
        <v>5</v>
      </c>
      <c r="I1055" s="15">
        <v>15</v>
      </c>
      <c r="J1055" s="12" t="s">
        <v>97</v>
      </c>
      <c r="K1055" s="591">
        <f>(15*38)</f>
        <v>570</v>
      </c>
      <c r="L1055" s="121" t="s">
        <v>2055</v>
      </c>
      <c r="M1055" s="132">
        <v>6</v>
      </c>
      <c r="N1055" s="133">
        <f>8+7</f>
        <v>15</v>
      </c>
      <c r="O1055" s="119">
        <f t="shared" si="27"/>
        <v>0</v>
      </c>
    </row>
    <row r="1056" spans="1:15">
      <c r="A1056" s="590" t="s">
        <v>1174</v>
      </c>
      <c r="B1056" s="11" t="s">
        <v>9</v>
      </c>
      <c r="C1056" s="11">
        <v>47</v>
      </c>
      <c r="D1056" s="11" t="s">
        <v>10</v>
      </c>
      <c r="E1056" s="15">
        <v>500</v>
      </c>
      <c r="F1056" s="11" t="s">
        <v>1511</v>
      </c>
      <c r="G1056" s="11" t="s">
        <v>674</v>
      </c>
      <c r="H1056" s="15" t="s">
        <v>15</v>
      </c>
      <c r="I1056" s="15">
        <v>20</v>
      </c>
      <c r="J1056" s="12" t="s">
        <v>157</v>
      </c>
      <c r="K1056" s="591">
        <f>(20*38)</f>
        <v>760</v>
      </c>
      <c r="L1056" s="121" t="s">
        <v>2055</v>
      </c>
      <c r="M1056" s="132">
        <v>8</v>
      </c>
      <c r="N1056" s="133">
        <v>20</v>
      </c>
      <c r="O1056" s="119">
        <f t="shared" si="27"/>
        <v>0</v>
      </c>
    </row>
    <row r="1057" spans="1:15">
      <c r="A1057" s="590" t="s">
        <v>1174</v>
      </c>
      <c r="B1057" s="11" t="s">
        <v>9</v>
      </c>
      <c r="C1057" s="11">
        <v>47</v>
      </c>
      <c r="D1057" s="11" t="s">
        <v>10</v>
      </c>
      <c r="E1057" s="15">
        <v>504</v>
      </c>
      <c r="F1057" s="11" t="s">
        <v>1369</v>
      </c>
      <c r="G1057" s="11" t="s">
        <v>674</v>
      </c>
      <c r="H1057" s="15" t="s">
        <v>15</v>
      </c>
      <c r="I1057" s="15">
        <v>15</v>
      </c>
      <c r="J1057" s="12" t="s">
        <v>97</v>
      </c>
      <c r="K1057" s="591">
        <f>(15*38)</f>
        <v>570</v>
      </c>
      <c r="L1057" s="121" t="s">
        <v>2055</v>
      </c>
      <c r="M1057" s="132">
        <v>2</v>
      </c>
      <c r="N1057" s="133">
        <f>6+9</f>
        <v>15</v>
      </c>
      <c r="O1057" s="119">
        <f t="shared" si="27"/>
        <v>0</v>
      </c>
    </row>
    <row r="1058" spans="1:15">
      <c r="A1058" s="590" t="s">
        <v>1973</v>
      </c>
      <c r="B1058" s="11" t="s">
        <v>9</v>
      </c>
      <c r="C1058" s="11">
        <v>48</v>
      </c>
      <c r="D1058" s="11" t="s">
        <v>10</v>
      </c>
      <c r="E1058" s="15">
        <v>566</v>
      </c>
      <c r="F1058" s="11" t="s">
        <v>2003</v>
      </c>
      <c r="G1058" s="11" t="s">
        <v>674</v>
      </c>
      <c r="H1058" s="15" t="s">
        <v>15</v>
      </c>
      <c r="I1058" s="15">
        <v>10</v>
      </c>
      <c r="J1058" s="12" t="s">
        <v>27</v>
      </c>
      <c r="K1058" s="591">
        <f>(9*38)+(1*29.4)</f>
        <v>371.4</v>
      </c>
      <c r="L1058" s="121" t="s">
        <v>2033</v>
      </c>
      <c r="M1058" s="136">
        <v>9</v>
      </c>
      <c r="N1058" s="133">
        <v>10</v>
      </c>
      <c r="O1058" s="119">
        <f t="shared" si="27"/>
        <v>0</v>
      </c>
    </row>
    <row r="1059" spans="1:15">
      <c r="A1059" s="590" t="s">
        <v>1973</v>
      </c>
      <c r="B1059" s="11" t="s">
        <v>9</v>
      </c>
      <c r="C1059" s="11">
        <v>48</v>
      </c>
      <c r="D1059" s="11" t="s">
        <v>10</v>
      </c>
      <c r="E1059" s="15">
        <v>570</v>
      </c>
      <c r="F1059" s="11" t="s">
        <v>400</v>
      </c>
      <c r="G1059" s="11" t="s">
        <v>674</v>
      </c>
      <c r="H1059" s="15" t="s">
        <v>15</v>
      </c>
      <c r="I1059" s="15">
        <v>15</v>
      </c>
      <c r="J1059" s="12" t="s">
        <v>38</v>
      </c>
      <c r="K1059" s="591">
        <f>(13*38)+(2*29.4)</f>
        <v>552.79999999999995</v>
      </c>
      <c r="L1059" s="121" t="s">
        <v>2033</v>
      </c>
      <c r="M1059" s="136">
        <v>10</v>
      </c>
      <c r="N1059" s="133">
        <v>15</v>
      </c>
      <c r="O1059" s="119">
        <f t="shared" si="27"/>
        <v>0</v>
      </c>
    </row>
    <row r="1060" spans="1:15">
      <c r="A1060" s="590" t="s">
        <v>1973</v>
      </c>
      <c r="B1060" s="11" t="s">
        <v>9</v>
      </c>
      <c r="C1060" s="11">
        <v>48</v>
      </c>
      <c r="D1060" s="11" t="s">
        <v>10</v>
      </c>
      <c r="E1060" s="15">
        <v>571</v>
      </c>
      <c r="F1060" s="11" t="s">
        <v>122</v>
      </c>
      <c r="G1060" s="11" t="s">
        <v>674</v>
      </c>
      <c r="H1060" s="15" t="s">
        <v>15</v>
      </c>
      <c r="I1060" s="15">
        <v>15</v>
      </c>
      <c r="J1060" s="12" t="s">
        <v>38</v>
      </c>
      <c r="K1060" s="591">
        <f>(13*38)+(2*29.4)</f>
        <v>552.79999999999995</v>
      </c>
      <c r="L1060" s="121" t="s">
        <v>2033</v>
      </c>
      <c r="M1060" s="136">
        <v>9</v>
      </c>
      <c r="N1060" s="133">
        <v>15</v>
      </c>
      <c r="O1060" s="119">
        <f t="shared" si="27"/>
        <v>0</v>
      </c>
    </row>
    <row r="1061" spans="1:15" ht="15.75" thickBot="1">
      <c r="A1061" s="78"/>
      <c r="B1061" s="72"/>
      <c r="C1061" s="72"/>
      <c r="D1061" s="72"/>
      <c r="E1061" s="72"/>
      <c r="F1061" s="72"/>
      <c r="G1061" s="72"/>
      <c r="H1061" s="72"/>
      <c r="I1061" s="72"/>
      <c r="J1061" s="73"/>
      <c r="K1061" s="625"/>
      <c r="L1061" s="121"/>
      <c r="M1061" s="132"/>
      <c r="N1061" s="133"/>
      <c r="O1061" s="119">
        <f t="shared" si="27"/>
        <v>0</v>
      </c>
    </row>
    <row r="1062" spans="1:15" ht="15.75" thickBot="1">
      <c r="A1062" s="76" t="s">
        <v>48</v>
      </c>
      <c r="B1062" s="74"/>
      <c r="C1062" s="74"/>
      <c r="D1062" s="74"/>
      <c r="E1062" s="74"/>
      <c r="F1062" s="74"/>
      <c r="G1062" s="74"/>
      <c r="H1062" s="74"/>
      <c r="I1062" s="74">
        <f>SUM(I3:I1061)</f>
        <v>19601</v>
      </c>
      <c r="J1062" s="75"/>
      <c r="K1062" s="131">
        <f>SUM(K3:K1061)</f>
        <v>666070.90000000736</v>
      </c>
      <c r="L1062" s="122"/>
      <c r="M1062" s="627"/>
      <c r="N1062" s="79"/>
      <c r="O1062" s="131"/>
    </row>
    <row r="1064" spans="1:15">
      <c r="K1064" s="6"/>
      <c r="O1064" s="631"/>
    </row>
    <row r="1065" spans="1:15">
      <c r="K1065" s="6">
        <f>'[1]VARGIN TEA AC-2020-21'!$G$3689</f>
        <v>666070.90000000538</v>
      </c>
    </row>
    <row r="1066" spans="1:15">
      <c r="K1066" s="6"/>
    </row>
  </sheetData>
  <autoFilter ref="A2:O1062">
    <filterColumn colId="14"/>
  </autoFilter>
  <mergeCells count="2">
    <mergeCell ref="A1:K1"/>
    <mergeCell ref="L1:O1"/>
  </mergeCells>
  <pageMargins left="0.16" right="0.25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3"/>
  <dimension ref="A1:L27"/>
  <sheetViews>
    <sheetView workbookViewId="0">
      <selection activeCell="L8" sqref="L8"/>
    </sheetView>
  </sheetViews>
  <sheetFormatPr defaultRowHeight="15"/>
  <cols>
    <col min="1" max="1" width="10.5703125" customWidth="1"/>
    <col min="4" max="4" width="10.5703125" bestFit="1" customWidth="1"/>
    <col min="5" max="5" width="8.42578125" customWidth="1"/>
    <col min="7" max="7" width="10.5703125" bestFit="1" customWidth="1"/>
    <col min="10" max="10" width="10.85546875" customWidth="1"/>
  </cols>
  <sheetData>
    <row r="1" spans="1:12" ht="21">
      <c r="A1" s="735" t="s">
        <v>2106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</row>
    <row r="2" spans="1:12">
      <c r="A2" s="168" t="s">
        <v>614</v>
      </c>
      <c r="B2" s="168"/>
      <c r="C2" s="168"/>
      <c r="D2" s="168"/>
      <c r="E2" s="168"/>
      <c r="F2" s="168"/>
      <c r="G2" s="168"/>
      <c r="H2" s="168"/>
      <c r="I2" s="168"/>
    </row>
    <row r="3" spans="1:12">
      <c r="A3" s="168" t="s">
        <v>615</v>
      </c>
      <c r="B3" s="168"/>
      <c r="C3" s="168"/>
      <c r="D3" s="168"/>
      <c r="E3" s="168"/>
      <c r="F3" s="168"/>
      <c r="G3" s="168"/>
      <c r="H3" s="168"/>
      <c r="I3" s="168"/>
    </row>
    <row r="4" spans="1:12">
      <c r="A4" s="736" t="s">
        <v>342</v>
      </c>
      <c r="B4" s="736"/>
      <c r="C4" s="736"/>
      <c r="D4" s="736"/>
      <c r="E4" s="736"/>
      <c r="F4" s="736"/>
      <c r="G4" s="736"/>
      <c r="H4" s="736"/>
      <c r="I4" s="736"/>
      <c r="J4" s="736"/>
      <c r="K4" s="736"/>
      <c r="L4" s="736"/>
    </row>
    <row r="5" spans="1:12" ht="15.75" thickBot="1"/>
    <row r="6" spans="1:12">
      <c r="A6" s="732" t="s">
        <v>599</v>
      </c>
      <c r="B6" s="733"/>
      <c r="C6" s="734"/>
      <c r="D6" s="732" t="s">
        <v>343</v>
      </c>
      <c r="E6" s="733"/>
      <c r="F6" s="734"/>
      <c r="G6" s="732" t="s">
        <v>344</v>
      </c>
      <c r="H6" s="733"/>
      <c r="I6" s="734"/>
      <c r="J6" s="732" t="s">
        <v>600</v>
      </c>
      <c r="K6" s="733"/>
      <c r="L6" s="734"/>
    </row>
    <row r="7" spans="1:12" s="70" customFormat="1" ht="30">
      <c r="A7" s="90" t="s">
        <v>345</v>
      </c>
      <c r="B7" s="91" t="s">
        <v>346</v>
      </c>
      <c r="C7" s="92" t="s">
        <v>347</v>
      </c>
      <c r="D7" s="90" t="s">
        <v>345</v>
      </c>
      <c r="E7" s="91" t="s">
        <v>346</v>
      </c>
      <c r="F7" s="92" t="s">
        <v>347</v>
      </c>
      <c r="G7" s="90" t="s">
        <v>345</v>
      </c>
      <c r="H7" s="91" t="s">
        <v>346</v>
      </c>
      <c r="I7" s="92" t="s">
        <v>347</v>
      </c>
      <c r="J7" s="90" t="s">
        <v>345</v>
      </c>
      <c r="K7" s="91" t="s">
        <v>346</v>
      </c>
      <c r="L7" s="92" t="s">
        <v>347</v>
      </c>
    </row>
    <row r="8" spans="1:12">
      <c r="A8" s="140"/>
      <c r="B8" s="5">
        <v>172</v>
      </c>
      <c r="C8" s="42">
        <f>B8*35</f>
        <v>6020</v>
      </c>
      <c r="D8" s="141"/>
      <c r="E8" s="5">
        <v>58</v>
      </c>
      <c r="F8" s="41">
        <f>E8*35</f>
        <v>2030</v>
      </c>
      <c r="G8" s="140"/>
      <c r="H8" s="5">
        <v>336</v>
      </c>
      <c r="I8" s="9">
        <f>H8*35</f>
        <v>11760</v>
      </c>
      <c r="J8" s="27"/>
      <c r="K8" s="5">
        <v>877</v>
      </c>
      <c r="L8" s="41">
        <f>K8*35</f>
        <v>30695</v>
      </c>
    </row>
    <row r="9" spans="1:12">
      <c r="A9" s="27" t="s">
        <v>348</v>
      </c>
      <c r="B9" s="5">
        <f>1</f>
        <v>1</v>
      </c>
      <c r="C9" s="42">
        <f>B9*30.6</f>
        <v>30.6</v>
      </c>
      <c r="D9" s="27" t="s">
        <v>348</v>
      </c>
      <c r="E9" s="5">
        <v>1</v>
      </c>
      <c r="F9" s="42">
        <f>E9*9.5</f>
        <v>9.5</v>
      </c>
      <c r="G9" s="27" t="s">
        <v>348</v>
      </c>
      <c r="H9" s="5">
        <v>1</v>
      </c>
      <c r="I9" s="9">
        <f>H9*40.7</f>
        <v>40.700000000000003</v>
      </c>
      <c r="J9" s="27" t="s">
        <v>348</v>
      </c>
      <c r="K9" s="5">
        <v>1</v>
      </c>
      <c r="L9" s="42">
        <f>K9*11.6</f>
        <v>11.6</v>
      </c>
    </row>
    <row r="10" spans="1:12">
      <c r="A10" s="27" t="s">
        <v>2107</v>
      </c>
      <c r="B10" s="5"/>
      <c r="C10" s="42">
        <v>11.25</v>
      </c>
      <c r="D10" s="27" t="s">
        <v>2107</v>
      </c>
      <c r="E10" s="5"/>
      <c r="F10" s="42">
        <v>21</v>
      </c>
      <c r="G10" s="27" t="s">
        <v>2107</v>
      </c>
      <c r="H10" s="5"/>
      <c r="I10" s="41"/>
      <c r="J10" s="27" t="s">
        <v>2107</v>
      </c>
      <c r="K10" s="5"/>
      <c r="L10" s="41">
        <v>43.28</v>
      </c>
    </row>
    <row r="11" spans="1:12">
      <c r="A11" s="27"/>
      <c r="B11" s="5"/>
      <c r="C11" s="23"/>
      <c r="D11" s="27"/>
      <c r="E11" s="5"/>
      <c r="F11" s="42"/>
      <c r="G11" s="161"/>
      <c r="H11" s="162"/>
      <c r="I11" s="41"/>
      <c r="J11" s="161"/>
      <c r="K11" s="162"/>
      <c r="L11" s="41"/>
    </row>
    <row r="12" spans="1:12">
      <c r="A12" s="27"/>
      <c r="B12" s="5"/>
      <c r="C12" s="163"/>
      <c r="D12" s="27"/>
      <c r="E12" s="5"/>
      <c r="F12" s="42"/>
      <c r="G12" s="161"/>
      <c r="H12" s="162"/>
      <c r="I12" s="164"/>
      <c r="J12" s="161"/>
      <c r="K12" s="162"/>
      <c r="L12" s="164"/>
    </row>
    <row r="13" spans="1:12">
      <c r="A13" s="27"/>
      <c r="B13" s="5"/>
      <c r="C13" s="163"/>
      <c r="D13" s="27"/>
      <c r="E13" s="5"/>
      <c r="F13" s="42"/>
      <c r="G13" s="161"/>
      <c r="H13" s="162"/>
      <c r="I13" s="164"/>
      <c r="J13" s="161"/>
      <c r="K13" s="162"/>
      <c r="L13" s="164"/>
    </row>
    <row r="14" spans="1:12">
      <c r="A14" s="27"/>
      <c r="B14" s="5"/>
      <c r="C14" s="163"/>
      <c r="D14" s="27"/>
      <c r="E14" s="5"/>
      <c r="F14" s="42"/>
      <c r="G14" s="161"/>
      <c r="H14" s="162"/>
      <c r="I14" s="164"/>
      <c r="J14" s="161"/>
      <c r="K14" s="162"/>
      <c r="L14" s="164"/>
    </row>
    <row r="15" spans="1:12">
      <c r="A15" s="27"/>
      <c r="B15" s="5"/>
      <c r="C15" s="163"/>
      <c r="D15" s="27"/>
      <c r="E15" s="5"/>
      <c r="F15" s="42"/>
      <c r="G15" s="161"/>
      <c r="H15" s="162"/>
      <c r="I15" s="164"/>
      <c r="J15" s="161"/>
      <c r="K15" s="162"/>
      <c r="L15" s="164"/>
    </row>
    <row r="16" spans="1:12">
      <c r="A16" s="27"/>
      <c r="B16" s="5"/>
      <c r="C16" s="163"/>
      <c r="D16" s="27"/>
      <c r="E16" s="5"/>
      <c r="F16" s="42"/>
      <c r="G16" s="161"/>
      <c r="H16" s="162"/>
      <c r="I16" s="164"/>
      <c r="J16" s="161"/>
      <c r="K16" s="162"/>
      <c r="L16" s="164"/>
    </row>
    <row r="17" spans="1:12">
      <c r="A17" s="30"/>
      <c r="B17" s="28"/>
      <c r="C17" s="33"/>
      <c r="D17" s="30"/>
      <c r="E17" s="28"/>
      <c r="F17" s="29"/>
      <c r="G17" s="31"/>
      <c r="H17" s="4"/>
      <c r="I17" s="32"/>
      <c r="J17" s="31"/>
      <c r="K17" s="4"/>
      <c r="L17" s="32"/>
    </row>
    <row r="18" spans="1:12">
      <c r="A18" s="30"/>
      <c r="B18" s="28"/>
      <c r="C18" s="33"/>
      <c r="D18" s="30"/>
      <c r="E18" s="28"/>
      <c r="F18" s="29"/>
      <c r="G18" s="31"/>
      <c r="H18" s="4"/>
      <c r="I18" s="32"/>
      <c r="J18" s="31"/>
      <c r="K18" s="4"/>
      <c r="L18" s="32"/>
    </row>
    <row r="19" spans="1:12">
      <c r="A19" s="30"/>
      <c r="B19" s="28"/>
      <c r="C19" s="33"/>
      <c r="D19" s="30"/>
      <c r="E19" s="28"/>
      <c r="F19" s="29"/>
      <c r="G19" s="31"/>
      <c r="H19" s="4"/>
      <c r="I19" s="32"/>
      <c r="J19" s="31"/>
      <c r="K19" s="4"/>
      <c r="L19" s="32"/>
    </row>
    <row r="20" spans="1:12">
      <c r="A20" s="30"/>
      <c r="B20" s="28"/>
      <c r="C20" s="33"/>
      <c r="D20" s="30"/>
      <c r="E20" s="28"/>
      <c r="F20" s="29"/>
      <c r="G20" s="31"/>
      <c r="H20" s="4"/>
      <c r="I20" s="32"/>
      <c r="J20" s="31"/>
      <c r="K20" s="4"/>
      <c r="L20" s="32"/>
    </row>
    <row r="21" spans="1:12">
      <c r="A21" s="30"/>
      <c r="B21" s="28"/>
      <c r="C21" s="33"/>
      <c r="D21" s="30"/>
      <c r="E21" s="28"/>
      <c r="F21" s="29"/>
      <c r="G21" s="31"/>
      <c r="H21" s="4"/>
      <c r="I21" s="32"/>
      <c r="J21" s="31"/>
      <c r="K21" s="4"/>
      <c r="L21" s="32"/>
    </row>
    <row r="22" spans="1:12" ht="15.75" thickBot="1">
      <c r="A22" s="34"/>
      <c r="B22" s="35"/>
      <c r="C22" s="36"/>
      <c r="D22" s="34"/>
      <c r="E22" s="35"/>
      <c r="F22" s="37"/>
      <c r="G22" s="38"/>
      <c r="H22" s="8"/>
      <c r="I22" s="39"/>
      <c r="J22" s="38"/>
      <c r="K22" s="8"/>
      <c r="L22" s="39"/>
    </row>
    <row r="23" spans="1:12" s="99" customFormat="1" ht="15.75" thickBot="1">
      <c r="A23" s="93" t="s">
        <v>231</v>
      </c>
      <c r="B23" s="95"/>
      <c r="C23" s="96">
        <f>SUM(C8:C22)</f>
        <v>6061.85</v>
      </c>
      <c r="D23" s="94"/>
      <c r="E23" s="95"/>
      <c r="F23" s="96">
        <f>SUM(F8:F22)</f>
        <v>2060.5</v>
      </c>
      <c r="G23" s="97"/>
      <c r="H23" s="98"/>
      <c r="I23" s="96">
        <f>SUM(I8:I22)</f>
        <v>11800.7</v>
      </c>
      <c r="J23" s="97"/>
      <c r="K23" s="98"/>
      <c r="L23" s="96">
        <f>SUM(L8:L22)</f>
        <v>30749.879999999997</v>
      </c>
    </row>
    <row r="24" spans="1:12" ht="15.75" thickBot="1">
      <c r="A24" s="25" t="s">
        <v>229</v>
      </c>
      <c r="B24" s="40">
        <f>C23+F23+I23+L23</f>
        <v>50672.93</v>
      </c>
      <c r="C24" s="16"/>
      <c r="D24" s="16"/>
      <c r="E24" s="40"/>
      <c r="F24" s="16"/>
      <c r="G24" s="16"/>
      <c r="H24" s="16"/>
      <c r="I24" s="16"/>
      <c r="J24" s="16"/>
      <c r="K24" s="16"/>
      <c r="L24" s="24"/>
    </row>
    <row r="25" spans="1:12" ht="15.75" thickBot="1">
      <c r="A25" s="14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43"/>
    </row>
    <row r="27" spans="1:12">
      <c r="B27" s="6"/>
      <c r="C27" s="6"/>
    </row>
  </sheetData>
  <mergeCells count="6">
    <mergeCell ref="J6:L6"/>
    <mergeCell ref="A1:L1"/>
    <mergeCell ref="A6:C6"/>
    <mergeCell ref="D6:F6"/>
    <mergeCell ref="G6:I6"/>
    <mergeCell ref="A4:L4"/>
  </mergeCells>
  <pageMargins left="1.1200000000000001" right="0.7" top="0.75" bottom="0.75" header="0.3" footer="0.3"/>
  <pageSetup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4"/>
  <dimension ref="A2:C22"/>
  <sheetViews>
    <sheetView topLeftCell="A4" workbookViewId="0">
      <selection activeCell="B15" sqref="B15"/>
    </sheetView>
  </sheetViews>
  <sheetFormatPr defaultRowHeight="15"/>
  <cols>
    <col min="1" max="1" width="28.28515625" customWidth="1"/>
    <col min="2" max="2" width="9.140625" style="26"/>
    <col min="3" max="3" width="10.28515625" bestFit="1" customWidth="1"/>
  </cols>
  <sheetData>
    <row r="2" spans="1:3">
      <c r="A2" s="3" t="s">
        <v>349</v>
      </c>
      <c r="B2" s="144"/>
      <c r="C2" s="3"/>
    </row>
    <row r="3" spans="1:3">
      <c r="A3" s="3" t="s">
        <v>616</v>
      </c>
      <c r="B3" s="144"/>
      <c r="C3" s="3"/>
    </row>
    <row r="4" spans="1:3">
      <c r="A4" s="3" t="s">
        <v>2108</v>
      </c>
      <c r="B4" s="144"/>
    </row>
    <row r="5" spans="1:3">
      <c r="A5" s="737" t="s">
        <v>350</v>
      </c>
      <c r="B5" s="737"/>
    </row>
    <row r="6" spans="1:3" ht="15.75" thickBot="1">
      <c r="A6" s="107"/>
      <c r="B6" s="145"/>
    </row>
    <row r="7" spans="1:3" ht="15.75" thickBot="1">
      <c r="A7" s="19" t="s">
        <v>601</v>
      </c>
      <c r="B7" s="146" t="s">
        <v>3</v>
      </c>
      <c r="C7" s="19" t="s">
        <v>44</v>
      </c>
    </row>
    <row r="8" spans="1:3">
      <c r="A8" s="110" t="s">
        <v>220</v>
      </c>
      <c r="B8" s="147">
        <v>4</v>
      </c>
      <c r="C8" s="100">
        <f>B8*24</f>
        <v>96</v>
      </c>
    </row>
    <row r="9" spans="1:3" ht="15.75" thickBot="1">
      <c r="A9" s="111" t="s">
        <v>221</v>
      </c>
      <c r="B9" s="148">
        <v>1</v>
      </c>
      <c r="C9" s="101">
        <f>B9*24</f>
        <v>24</v>
      </c>
    </row>
    <row r="10" spans="1:3" ht="15.75" thickBot="1">
      <c r="A10" s="112"/>
      <c r="B10" s="149"/>
      <c r="C10" s="108"/>
    </row>
    <row r="11" spans="1:3" ht="15.75" thickBot="1">
      <c r="A11" s="21" t="s">
        <v>222</v>
      </c>
      <c r="B11" s="150">
        <v>38</v>
      </c>
      <c r="C11" s="102">
        <f>B11*30</f>
        <v>1140</v>
      </c>
    </row>
    <row r="12" spans="1:3">
      <c r="A12" s="113" t="s">
        <v>333</v>
      </c>
      <c r="B12" s="151">
        <v>0</v>
      </c>
      <c r="C12" s="103">
        <f t="shared" ref="C12" si="0">B12*24</f>
        <v>0</v>
      </c>
    </row>
    <row r="13" spans="1:3">
      <c r="A13" s="113" t="s">
        <v>332</v>
      </c>
      <c r="B13" s="151">
        <v>51</v>
      </c>
      <c r="C13" s="104">
        <f>B13*22</f>
        <v>1122</v>
      </c>
    </row>
    <row r="14" spans="1:3">
      <c r="A14" s="113" t="s">
        <v>331</v>
      </c>
      <c r="B14" s="151">
        <v>23</v>
      </c>
      <c r="C14" s="104">
        <f>B14*22</f>
        <v>506</v>
      </c>
    </row>
    <row r="15" spans="1:3" ht="15.75" thickBot="1">
      <c r="A15" s="112"/>
      <c r="B15" s="149"/>
      <c r="C15" s="108"/>
    </row>
    <row r="16" spans="1:3">
      <c r="A16" s="110" t="s">
        <v>223</v>
      </c>
      <c r="B16" s="147">
        <v>0</v>
      </c>
      <c r="C16" s="100">
        <f t="shared" ref="C16:C18" si="1">B16*24</f>
        <v>0</v>
      </c>
    </row>
    <row r="17" spans="1:3">
      <c r="A17" s="113" t="s">
        <v>334</v>
      </c>
      <c r="B17" s="151">
        <v>49</v>
      </c>
      <c r="C17" s="103">
        <f t="shared" si="1"/>
        <v>1176</v>
      </c>
    </row>
    <row r="18" spans="1:3">
      <c r="A18" s="113" t="s">
        <v>225</v>
      </c>
      <c r="B18" s="151">
        <v>18</v>
      </c>
      <c r="C18" s="103">
        <f t="shared" si="1"/>
        <v>432</v>
      </c>
    </row>
    <row r="19" spans="1:3" ht="15.75" thickBot="1">
      <c r="A19" s="112"/>
      <c r="B19" s="149"/>
      <c r="C19" s="108"/>
    </row>
    <row r="20" spans="1:3">
      <c r="A20" s="110" t="s">
        <v>227</v>
      </c>
      <c r="B20" s="147">
        <v>35</v>
      </c>
      <c r="C20" s="105">
        <f>B20*12</f>
        <v>420</v>
      </c>
    </row>
    <row r="21" spans="1:3" ht="15.75" thickBot="1">
      <c r="A21" s="111" t="s">
        <v>228</v>
      </c>
      <c r="B21" s="152">
        <v>0</v>
      </c>
      <c r="C21" s="106">
        <f>B21</f>
        <v>0</v>
      </c>
    </row>
    <row r="22" spans="1:3" ht="15.75" thickBot="1">
      <c r="A22" s="114" t="s">
        <v>229</v>
      </c>
      <c r="B22" s="148">
        <f>SUM(B8:B21)</f>
        <v>219</v>
      </c>
      <c r="C22" s="109">
        <f>SUM(C8:C21)</f>
        <v>4916</v>
      </c>
    </row>
  </sheetData>
  <mergeCells count="1">
    <mergeCell ref="A5:B5"/>
  </mergeCells>
  <pageMargins left="1.33" right="0.7" top="0.91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>
      <selection activeCell="F13" sqref="F13"/>
    </sheetView>
  </sheetViews>
  <sheetFormatPr defaultRowHeight="15"/>
  <cols>
    <col min="1" max="1" width="52" style="26" bestFit="1" customWidth="1"/>
    <col min="2" max="3" width="11.5703125" style="26" bestFit="1" customWidth="1"/>
    <col min="4" max="4" width="11.140625" style="26" customWidth="1"/>
    <col min="5" max="5" width="10.5703125" style="26" bestFit="1" customWidth="1"/>
    <col min="7" max="8" width="10.85546875" bestFit="1" customWidth="1"/>
  </cols>
  <sheetData>
    <row r="1" spans="1:5" ht="23.25">
      <c r="A1" s="723" t="s">
        <v>610</v>
      </c>
      <c r="B1" s="723"/>
      <c r="C1" s="723"/>
      <c r="D1" s="723"/>
      <c r="E1" s="723"/>
    </row>
    <row r="2" spans="1:5">
      <c r="A2" s="724" t="s">
        <v>611</v>
      </c>
      <c r="B2" s="724"/>
      <c r="C2" s="724"/>
      <c r="D2" s="724"/>
      <c r="E2" s="724"/>
    </row>
    <row r="3" spans="1:5">
      <c r="A3" s="725" t="s">
        <v>609</v>
      </c>
      <c r="B3" s="725"/>
      <c r="C3" s="725"/>
      <c r="D3" s="725"/>
      <c r="E3" s="725"/>
    </row>
    <row r="4" spans="1:5">
      <c r="A4" s="381"/>
      <c r="B4" s="381"/>
      <c r="C4" s="381"/>
      <c r="D4" s="381"/>
      <c r="E4" s="381"/>
    </row>
    <row r="5" spans="1:5">
      <c r="A5" s="144" t="s">
        <v>1312</v>
      </c>
      <c r="C5" s="724" t="s">
        <v>1302</v>
      </c>
      <c r="D5" s="724"/>
      <c r="E5" s="724"/>
    </row>
    <row r="6" spans="1:5" ht="15.75" thickBot="1">
      <c r="A6" s="144"/>
    </row>
    <row r="7" spans="1:5" ht="30.75" thickBot="1">
      <c r="A7" s="166" t="s">
        <v>335</v>
      </c>
      <c r="B7" s="167" t="s">
        <v>336</v>
      </c>
      <c r="C7" s="166" t="s">
        <v>337</v>
      </c>
      <c r="D7" s="167" t="s">
        <v>338</v>
      </c>
      <c r="E7" s="166" t="s">
        <v>231</v>
      </c>
    </row>
    <row r="8" spans="1:5" ht="15.75" thickBot="1">
      <c r="A8" s="45" t="s">
        <v>1301</v>
      </c>
      <c r="B8" s="46">
        <v>490711.9</v>
      </c>
      <c r="C8" s="46">
        <v>71087.95</v>
      </c>
      <c r="D8" s="46">
        <v>5553</v>
      </c>
      <c r="E8" s="165"/>
    </row>
    <row r="9" spans="1:5" ht="15.75" thickBot="1">
      <c r="A9" s="43" t="s">
        <v>832</v>
      </c>
      <c r="B9" s="154"/>
      <c r="C9" s="155"/>
      <c r="D9" s="154"/>
      <c r="E9" s="44"/>
    </row>
    <row r="10" spans="1:5">
      <c r="A10" s="50" t="s">
        <v>339</v>
      </c>
      <c r="B10" s="153">
        <v>1098157.6000000001</v>
      </c>
      <c r="C10" s="14"/>
      <c r="D10" s="14"/>
      <c r="E10" s="49"/>
    </row>
    <row r="11" spans="1:5">
      <c r="A11" s="51" t="s">
        <v>340</v>
      </c>
      <c r="B11" s="153">
        <v>129683.6</v>
      </c>
      <c r="C11" s="14"/>
      <c r="D11" s="14"/>
      <c r="E11" s="49"/>
    </row>
    <row r="12" spans="1:5">
      <c r="A12" s="51" t="s">
        <v>612</v>
      </c>
      <c r="B12" s="153">
        <v>369190.2</v>
      </c>
      <c r="C12" s="14"/>
      <c r="D12" s="14"/>
      <c r="E12" s="49"/>
    </row>
    <row r="13" spans="1:5">
      <c r="A13" s="47" t="s">
        <v>613</v>
      </c>
      <c r="B13" s="153">
        <v>4200</v>
      </c>
      <c r="C13" s="14"/>
      <c r="D13" s="14"/>
      <c r="E13" s="49"/>
    </row>
    <row r="14" spans="1:5">
      <c r="A14" s="47" t="s">
        <v>341</v>
      </c>
      <c r="B14" s="153">
        <v>7759.5</v>
      </c>
      <c r="C14" s="14"/>
      <c r="D14" s="14"/>
      <c r="E14" s="49"/>
    </row>
    <row r="15" spans="1:5">
      <c r="A15" s="47" t="s">
        <v>1307</v>
      </c>
      <c r="B15" s="153">
        <v>4022.4</v>
      </c>
      <c r="C15" s="14"/>
      <c r="D15" s="14"/>
      <c r="E15" s="49"/>
    </row>
    <row r="16" spans="1:5">
      <c r="A16" s="47" t="s">
        <v>2114</v>
      </c>
      <c r="B16" s="156"/>
      <c r="C16" s="153">
        <v>1320</v>
      </c>
      <c r="D16" s="14"/>
      <c r="E16" s="49"/>
    </row>
    <row r="17" spans="1:8">
      <c r="A17" s="47" t="s">
        <v>1308</v>
      </c>
      <c r="B17" s="156"/>
      <c r="C17" s="153">
        <v>16614</v>
      </c>
      <c r="D17" s="582"/>
      <c r="E17" s="49"/>
    </row>
    <row r="18" spans="1:8">
      <c r="A18" s="47" t="s">
        <v>833</v>
      </c>
      <c r="B18" s="153">
        <f>SUM(B10:B17)</f>
        <v>1613013.3</v>
      </c>
      <c r="C18" s="14"/>
      <c r="D18" s="14"/>
      <c r="E18" s="49"/>
    </row>
    <row r="19" spans="1:8">
      <c r="A19" s="47" t="s">
        <v>834</v>
      </c>
      <c r="B19" s="153">
        <v>2685.4</v>
      </c>
      <c r="C19" s="14"/>
      <c r="D19" s="14"/>
      <c r="E19" s="49"/>
    </row>
    <row r="20" spans="1:8" s="324" customFormat="1">
      <c r="A20" s="323" t="s">
        <v>835</v>
      </c>
      <c r="B20" s="153">
        <f>B8+B18-B19</f>
        <v>2101039.8000000003</v>
      </c>
      <c r="C20" s="153">
        <f>C8+C16+C17</f>
        <v>89021.95</v>
      </c>
      <c r="D20" s="153">
        <f>D8+D17</f>
        <v>5553</v>
      </c>
      <c r="E20" s="157">
        <f>B20+C20+D20</f>
        <v>2195614.7500000005</v>
      </c>
      <c r="G20" s="325"/>
      <c r="H20" s="325"/>
    </row>
    <row r="21" spans="1:8">
      <c r="A21" s="52"/>
      <c r="B21" s="329"/>
      <c r="C21" s="329"/>
      <c r="D21" s="329"/>
      <c r="E21" s="330"/>
    </row>
    <row r="22" spans="1:8" ht="30">
      <c r="A22" s="581" t="s">
        <v>836</v>
      </c>
      <c r="B22" s="48">
        <v>-1434968.9</v>
      </c>
      <c r="C22" s="48">
        <v>1434968.9</v>
      </c>
      <c r="D22" s="14"/>
      <c r="E22" s="49"/>
      <c r="G22" s="6"/>
    </row>
    <row r="23" spans="1:8">
      <c r="A23" s="47" t="s">
        <v>1309</v>
      </c>
      <c r="B23" s="153">
        <f>B20+B22</f>
        <v>666070.90000000037</v>
      </c>
      <c r="C23" s="153">
        <f>C22+C20</f>
        <v>1523990.8499999999</v>
      </c>
      <c r="D23" s="153">
        <f>D20</f>
        <v>5553</v>
      </c>
      <c r="E23" s="157">
        <f>B23+C23+D23</f>
        <v>2195614.75</v>
      </c>
      <c r="F23" s="6"/>
    </row>
    <row r="24" spans="1:8">
      <c r="A24" s="52" t="s">
        <v>837</v>
      </c>
      <c r="B24" s="14"/>
      <c r="C24" s="48">
        <v>-1487112</v>
      </c>
      <c r="D24" s="48">
        <v>1487112</v>
      </c>
      <c r="E24" s="49"/>
    </row>
    <row r="25" spans="1:8">
      <c r="A25" s="47" t="s">
        <v>1310</v>
      </c>
      <c r="B25" s="153">
        <f>B23</f>
        <v>666070.90000000037</v>
      </c>
      <c r="C25" s="153">
        <f>C23+C24</f>
        <v>36878.84999999986</v>
      </c>
      <c r="D25" s="153">
        <f>D23+D24</f>
        <v>1492665</v>
      </c>
      <c r="E25" s="157">
        <f>B25+C25+D25</f>
        <v>2195614.75</v>
      </c>
    </row>
    <row r="26" spans="1:8" ht="30">
      <c r="A26" s="575" t="s">
        <v>838</v>
      </c>
      <c r="B26" s="14"/>
      <c r="C26" s="14"/>
      <c r="D26" s="153">
        <v>-1471135</v>
      </c>
      <c r="E26" s="49"/>
    </row>
    <row r="27" spans="1:8">
      <c r="A27" s="52" t="s">
        <v>1311</v>
      </c>
      <c r="B27" s="14"/>
      <c r="C27" s="14"/>
      <c r="D27" s="153">
        <v>-16614</v>
      </c>
      <c r="E27" s="49"/>
    </row>
    <row r="28" spans="1:8">
      <c r="A28" s="47" t="s">
        <v>2109</v>
      </c>
      <c r="B28" s="153">
        <f>B25</f>
        <v>666070.90000000037</v>
      </c>
      <c r="C28" s="153">
        <f>C25+C27</f>
        <v>36878.84999999986</v>
      </c>
      <c r="D28" s="153">
        <f>D25+D26+D27</f>
        <v>4916</v>
      </c>
      <c r="E28" s="157">
        <f>B28+C28+D28</f>
        <v>707865.75000000023</v>
      </c>
    </row>
    <row r="29" spans="1:8" ht="30">
      <c r="A29" s="52" t="s">
        <v>1303</v>
      </c>
      <c r="B29" s="14"/>
      <c r="C29" s="153">
        <v>235</v>
      </c>
      <c r="D29" s="14"/>
      <c r="E29" s="49"/>
    </row>
    <row r="30" spans="1:8" s="577" customFormat="1">
      <c r="A30" s="576" t="s">
        <v>1314</v>
      </c>
      <c r="B30" s="633">
        <f>B28</f>
        <v>666070.90000000037</v>
      </c>
      <c r="C30" s="633">
        <v>50672.93</v>
      </c>
      <c r="D30" s="633">
        <v>4916</v>
      </c>
      <c r="E30" s="634">
        <f>B30+C30+D30</f>
        <v>721659.83000000042</v>
      </c>
    </row>
    <row r="31" spans="1:8" ht="15.75" thickBot="1">
      <c r="A31" s="578" t="s">
        <v>1304</v>
      </c>
      <c r="B31" s="635"/>
      <c r="C31" s="636">
        <f>C30+C29-C28+C34+C33</f>
        <v>20265.860000000139</v>
      </c>
      <c r="D31" s="635"/>
      <c r="E31" s="637"/>
    </row>
    <row r="32" spans="1:8">
      <c r="A32" s="579" t="s">
        <v>1305</v>
      </c>
      <c r="B32" s="638"/>
      <c r="C32" s="639">
        <f>C30</f>
        <v>50672.93</v>
      </c>
      <c r="D32" s="638"/>
      <c r="E32" s="640"/>
      <c r="H32" s="6"/>
    </row>
    <row r="33" spans="1:8">
      <c r="A33" s="578" t="s">
        <v>1306</v>
      </c>
      <c r="B33" s="635"/>
      <c r="C33" s="153">
        <v>5886.78</v>
      </c>
      <c r="D33" s="635"/>
      <c r="E33" s="637"/>
      <c r="H33" s="6"/>
    </row>
    <row r="34" spans="1:8" ht="15.75" thickBot="1">
      <c r="A34" s="580" t="s">
        <v>2110</v>
      </c>
      <c r="B34" s="641"/>
      <c r="C34" s="642">
        <v>350</v>
      </c>
      <c r="D34" s="641"/>
      <c r="E34" s="643"/>
    </row>
  </sheetData>
  <mergeCells count="4">
    <mergeCell ref="A1:E1"/>
    <mergeCell ref="A2:E2"/>
    <mergeCell ref="A3:E3"/>
    <mergeCell ref="C5:E5"/>
  </mergeCells>
  <pageMargins left="0.46" right="0.41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ANNEXTURE -1-OT</vt:lpstr>
      <vt:lpstr>Annexure - 2</vt:lpstr>
      <vt:lpstr>ANNEXTURE-3-PRO</vt:lpstr>
      <vt:lpstr>Annexure-4</vt:lpstr>
      <vt:lpstr>BP USE AND GAIN</vt:lpstr>
      <vt:lpstr>Finish good value.</vt:lpstr>
      <vt:lpstr>PMT Value.</vt:lpstr>
      <vt:lpstr>LOT WISE CLOSING-2020-21</vt:lpstr>
      <vt:lpstr>LOT WISE CLOSING-2017-18 CHECK</vt:lpstr>
      <vt:lpstr>blend t physical stock</vt:lpstr>
      <vt:lpstr>physical packed stock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2021-12-08T04:27:51Z</dcterms:modified>
</cp:coreProperties>
</file>