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activeTab="5"/>
  </bookViews>
  <sheets>
    <sheet name="April 2021" sheetId="1" r:id="rId1"/>
    <sheet name="May 2021" sheetId="4" r:id="rId2"/>
    <sheet name="June 2021" sheetId="7" r:id="rId3"/>
    <sheet name="03|20-21" sheetId="5" r:id="rId4"/>
    <sheet name="03|20-21 (2)" sheetId="6" r:id="rId5"/>
    <sheet name="03|20-21 (3)" sheetId="9" r:id="rId6"/>
  </sheets>
  <externalReferences>
    <externalReference r:id="rId7"/>
  </externalReferences>
  <calcPr calcId="125725"/>
</workbook>
</file>

<file path=xl/calcChain.xml><?xml version="1.0" encoding="utf-8"?>
<calcChain xmlns="http://schemas.openxmlformats.org/spreadsheetml/2006/main">
  <c r="C22" i="9"/>
  <c r="E16"/>
  <c r="E22" s="1"/>
  <c r="E30" s="1"/>
  <c r="B32"/>
  <c r="C22" i="7" l="1"/>
  <c r="E16"/>
  <c r="E22" s="1"/>
  <c r="E30" s="1"/>
  <c r="B32"/>
  <c r="C22" i="6" l="1"/>
  <c r="E16"/>
  <c r="E22" s="1"/>
  <c r="E30" s="1"/>
  <c r="C22" i="5"/>
  <c r="E16"/>
  <c r="E22" s="1"/>
  <c r="E30" s="1"/>
  <c r="C22" i="4"/>
  <c r="E16"/>
  <c r="E22" s="1"/>
  <c r="E30" s="1"/>
  <c r="C22" i="1"/>
  <c r="E16"/>
  <c r="E22" s="1"/>
  <c r="B32" i="5"/>
  <c r="B32" i="4"/>
  <c r="B32" i="6"/>
  <c r="E30" i="1" l="1"/>
  <c r="B32"/>
</calcChain>
</file>

<file path=xl/sharedStrings.xml><?xml version="1.0" encoding="utf-8"?>
<sst xmlns="http://schemas.openxmlformats.org/spreadsheetml/2006/main" count="148" uniqueCount="43">
  <si>
    <t>TAX INVOICE</t>
  </si>
  <si>
    <t>RIYA PACKAGING</t>
  </si>
  <si>
    <t>B-97, C-3, Shalimar Garden, Sahibabad, Ghaziabad. Pin Code - 201006</t>
  </si>
  <si>
    <t>PAN NO</t>
  </si>
  <si>
    <t xml:space="preserve">      APOPP4450N</t>
  </si>
  <si>
    <t>GSTIN  :</t>
  </si>
  <si>
    <t>09APOPP4450N1Z4</t>
  </si>
  <si>
    <t>M/s PATAKA INDUSTRIES PVT.LTD</t>
  </si>
  <si>
    <t>24.Gyani Border, Ghaziabad</t>
  </si>
  <si>
    <t>CUSTOMER'S GSTIN NO-09AABCP5057C1ZL</t>
  </si>
  <si>
    <t>SL No.</t>
  </si>
  <si>
    <t>Particular's</t>
  </si>
  <si>
    <t>Qnty.  In Kgs.</t>
  </si>
  <si>
    <t>Rate Per kg.</t>
  </si>
  <si>
    <t>Amount.</t>
  </si>
  <si>
    <t xml:space="preserve">    </t>
  </si>
  <si>
    <t>R/o</t>
  </si>
  <si>
    <t>Grand Total</t>
  </si>
  <si>
    <t>Rs.in word.</t>
  </si>
  <si>
    <t>For Riya Packaging</t>
  </si>
  <si>
    <t>Works at : 24 Gyani Border, Sahibabad, Ghaziabad, U.P.</t>
  </si>
  <si>
    <t>Labour Charges for blending &amp; Packaging for the</t>
  </si>
  <si>
    <t>month of April 2021</t>
  </si>
  <si>
    <t>month of May 2021</t>
  </si>
  <si>
    <t xml:space="preserve"> - 0.20</t>
  </si>
  <si>
    <t xml:space="preserve"> + 0.40</t>
  </si>
  <si>
    <t xml:space="preserve">Invoice No :- 03/20-21 Date          :- 18.06.2021          </t>
  </si>
  <si>
    <t xml:space="preserve">Packeting &amp; Blending charges for the month of </t>
  </si>
  <si>
    <t xml:space="preserve">Invoice No :- 01/21-22 Date          :- 30.04.2021          </t>
  </si>
  <si>
    <t xml:space="preserve">Invoice No :- 02/21-22 Date          :- 31.05.2021          </t>
  </si>
  <si>
    <t>April 2020 to March 2021 (Difference Rate)</t>
  </si>
  <si>
    <t>(Lockdown Period)</t>
  </si>
  <si>
    <t>(Guaranteed Quantity 85000 Kgs)</t>
  </si>
  <si>
    <t xml:space="preserve">Packeting &amp; Blending charges </t>
  </si>
  <si>
    <t>for the month of April 2021</t>
  </si>
  <si>
    <t xml:space="preserve">Invoice No :- 03/21-22 Date          :- 30.06.2021          </t>
  </si>
  <si>
    <t>for the month of June 2021</t>
  </si>
  <si>
    <t>Labour Charges for blending &amp; Packaging</t>
  </si>
  <si>
    <t>+ 0.2</t>
  </si>
  <si>
    <t>INVOICE</t>
  </si>
  <si>
    <t>April 2020 to March 2021</t>
  </si>
  <si>
    <t xml:space="preserve">Invoice No :- 04/20-21                     Date :- 18.06.2021          </t>
  </si>
  <si>
    <t xml:space="preserve">Invoice No :- RP 01/21-22                    Date :- 18.06.2021          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</si>
</sst>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 applyBorder="1"/>
    <xf numFmtId="0" fontId="0" fillId="0" borderId="0" xfId="0" applyBorder="1"/>
    <xf numFmtId="0" fontId="0" fillId="0" borderId="5" xfId="0" applyBorder="1"/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1" xfId="0" applyFont="1" applyBorder="1" applyAlignment="1"/>
    <xf numFmtId="0" fontId="5" fillId="0" borderId="2" xfId="0" applyFont="1" applyBorder="1" applyAlignment="1"/>
    <xf numFmtId="0" fontId="1" fillId="0" borderId="2" xfId="0" applyFont="1" applyBorder="1" applyAlignment="1">
      <alignment horizontal="center"/>
    </xf>
    <xf numFmtId="0" fontId="5" fillId="0" borderId="4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/>
    <xf numFmtId="0" fontId="6" fillId="0" borderId="9" xfId="0" applyFont="1" applyBorder="1" applyAlignment="1"/>
    <xf numFmtId="0" fontId="0" fillId="0" borderId="4" xfId="0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/>
    <xf numFmtId="2" fontId="0" fillId="0" borderId="6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7" xfId="0" applyBorder="1"/>
    <xf numFmtId="2" fontId="0" fillId="0" borderId="7" xfId="0" applyNumberFormat="1" applyBorder="1" applyAlignment="1">
      <alignment horizontal="right"/>
    </xf>
    <xf numFmtId="2" fontId="0" fillId="0" borderId="7" xfId="0" applyNumberFormat="1" applyBorder="1" applyAlignment="1">
      <alignment horizontal="center"/>
    </xf>
    <xf numFmtId="2" fontId="0" fillId="0" borderId="5" xfId="0" applyNumberFormat="1" applyBorder="1"/>
    <xf numFmtId="17" fontId="0" fillId="0" borderId="7" xfId="0" applyNumberFormat="1" applyBorder="1"/>
    <xf numFmtId="0" fontId="0" fillId="0" borderId="7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10" xfId="0" applyBorder="1"/>
    <xf numFmtId="0" fontId="0" fillId="0" borderId="12" xfId="0" applyBorder="1"/>
    <xf numFmtId="2" fontId="0" fillId="0" borderId="7" xfId="0" applyNumberFormat="1" applyFont="1" applyBorder="1" applyAlignment="1"/>
    <xf numFmtId="2" fontId="0" fillId="0" borderId="5" xfId="0" applyNumberFormat="1" applyBorder="1" applyAlignment="1">
      <alignment horizontal="right"/>
    </xf>
    <xf numFmtId="2" fontId="0" fillId="0" borderId="0" xfId="0" applyNumberFormat="1"/>
    <xf numFmtId="0" fontId="7" fillId="0" borderId="7" xfId="1" applyBorder="1" applyAlignment="1" applyProtection="1"/>
    <xf numFmtId="2" fontId="0" fillId="0" borderId="5" xfId="0" applyNumberFormat="1" applyBorder="1" applyAlignment="1"/>
    <xf numFmtId="0" fontId="1" fillId="0" borderId="10" xfId="0" applyFont="1" applyBorder="1" applyAlignment="1">
      <alignment horizontal="center"/>
    </xf>
    <xf numFmtId="4" fontId="1" fillId="0" borderId="13" xfId="0" applyNumberFormat="1" applyFont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/>
    <xf numFmtId="2" fontId="0" fillId="0" borderId="7" xfId="0" quotePrefix="1" applyNumberForma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ftware\SureshAddin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definedNames>
      <definedName name="rswords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cols>
    <col min="1" max="1" width="10.5703125" customWidth="1"/>
    <col min="2" max="2" width="43.42578125" customWidth="1"/>
    <col min="3" max="3" width="12.28515625" customWidth="1"/>
    <col min="4" max="4" width="11" customWidth="1"/>
    <col min="5" max="5" width="23.140625" customWidth="1"/>
    <col min="7" max="7" width="9.5703125" bestFit="1" customWidth="1"/>
  </cols>
  <sheetData>
    <row r="1" spans="1:5">
      <c r="D1" s="61"/>
      <c r="E1" s="61"/>
    </row>
    <row r="2" spans="1:5" ht="21">
      <c r="A2" s="62" t="s">
        <v>39</v>
      </c>
      <c r="B2" s="62"/>
      <c r="C2" s="62"/>
      <c r="D2" s="62"/>
      <c r="E2" s="62"/>
    </row>
    <row r="3" spans="1:5" ht="46.5">
      <c r="A3" s="63" t="s">
        <v>1</v>
      </c>
      <c r="B3" s="63"/>
      <c r="C3" s="63"/>
      <c r="D3" s="63"/>
      <c r="E3" s="63"/>
    </row>
    <row r="4" spans="1:5" ht="19.5" thickBot="1">
      <c r="A4" s="64" t="s">
        <v>2</v>
      </c>
      <c r="B4" s="64"/>
      <c r="C4" s="64"/>
      <c r="D4" s="64"/>
      <c r="E4" s="64"/>
    </row>
    <row r="5" spans="1:5">
      <c r="A5" s="1"/>
      <c r="B5" s="2"/>
      <c r="C5" s="2"/>
      <c r="D5" s="2"/>
      <c r="E5" s="3"/>
    </row>
    <row r="6" spans="1:5">
      <c r="A6" s="4" t="s">
        <v>3</v>
      </c>
      <c r="B6" s="5" t="s">
        <v>4</v>
      </c>
      <c r="C6" s="6"/>
      <c r="D6" s="6"/>
      <c r="E6" s="7"/>
    </row>
    <row r="7" spans="1:5">
      <c r="A7" s="4" t="s">
        <v>5</v>
      </c>
      <c r="B7" s="5" t="s">
        <v>6</v>
      </c>
      <c r="C7" s="6"/>
      <c r="D7" s="6"/>
      <c r="E7" s="7"/>
    </row>
    <row r="8" spans="1:5" ht="15.75" thickBot="1">
      <c r="A8" s="8"/>
      <c r="B8" s="9"/>
      <c r="C8" s="9"/>
      <c r="D8" s="9"/>
      <c r="E8" s="10"/>
    </row>
    <row r="9" spans="1:5" ht="15.75">
      <c r="A9" s="11" t="s">
        <v>7</v>
      </c>
      <c r="B9" s="12"/>
      <c r="C9" s="13"/>
      <c r="D9" s="13"/>
      <c r="E9" s="65" t="s">
        <v>28</v>
      </c>
    </row>
    <row r="10" spans="1:5" ht="15.75">
      <c r="A10" s="14" t="s">
        <v>8</v>
      </c>
      <c r="B10" s="15"/>
      <c r="C10" s="16"/>
      <c r="D10" s="16"/>
      <c r="E10" s="66"/>
    </row>
    <row r="11" spans="1:5" ht="16.5" thickBot="1">
      <c r="A11" s="17" t="s">
        <v>9</v>
      </c>
      <c r="B11" s="18"/>
      <c r="C11" s="19"/>
      <c r="D11" s="19"/>
      <c r="E11" s="67"/>
    </row>
    <row r="12" spans="1:5" ht="15.75" thickBot="1">
      <c r="A12" s="20"/>
      <c r="B12" s="6"/>
      <c r="C12" s="6"/>
      <c r="D12" s="6"/>
      <c r="E12" s="7"/>
    </row>
    <row r="13" spans="1:5" ht="30.75" thickBot="1">
      <c r="A13" s="21" t="s">
        <v>10</v>
      </c>
      <c r="B13" s="21" t="s">
        <v>11</v>
      </c>
      <c r="C13" s="22" t="s">
        <v>12</v>
      </c>
      <c r="D13" s="21" t="s">
        <v>13</v>
      </c>
      <c r="E13" s="21" t="s">
        <v>14</v>
      </c>
    </row>
    <row r="14" spans="1:5" ht="15.75" thickBot="1">
      <c r="A14" s="20"/>
      <c r="B14" s="6"/>
      <c r="C14" s="6"/>
      <c r="D14" s="6"/>
      <c r="E14" s="7"/>
    </row>
    <row r="15" spans="1:5">
      <c r="A15" s="23">
        <v>1</v>
      </c>
      <c r="B15" s="24" t="s">
        <v>21</v>
      </c>
      <c r="C15" s="25"/>
      <c r="D15" s="25"/>
      <c r="E15" s="26"/>
    </row>
    <row r="16" spans="1:5">
      <c r="A16" s="27"/>
      <c r="B16" s="27" t="s">
        <v>22</v>
      </c>
      <c r="C16" s="28">
        <v>128662</v>
      </c>
      <c r="D16" s="29">
        <v>2.6</v>
      </c>
      <c r="E16" s="30">
        <f>C16*D16</f>
        <v>334521.2</v>
      </c>
    </row>
    <row r="17" spans="1:7">
      <c r="A17" s="27"/>
      <c r="B17" s="31"/>
      <c r="C17" s="27"/>
      <c r="D17" s="27"/>
      <c r="E17" s="7"/>
    </row>
    <row r="18" spans="1:7">
      <c r="A18" s="32"/>
      <c r="B18" s="27"/>
      <c r="C18" s="29"/>
      <c r="D18" s="29"/>
      <c r="E18" s="33"/>
    </row>
    <row r="19" spans="1:7">
      <c r="A19" s="27"/>
      <c r="B19" s="27" t="s">
        <v>15</v>
      </c>
      <c r="C19" s="27"/>
      <c r="D19" s="27"/>
      <c r="E19" s="7"/>
    </row>
    <row r="20" spans="1:7">
      <c r="A20" s="27"/>
      <c r="B20" s="27"/>
      <c r="C20" s="27"/>
      <c r="D20" s="27"/>
      <c r="E20" s="7"/>
    </row>
    <row r="21" spans="1:7" ht="15.75" thickBot="1">
      <c r="A21" s="27"/>
      <c r="B21" s="27"/>
      <c r="C21" s="34"/>
      <c r="D21" s="34"/>
      <c r="E21" s="35"/>
    </row>
    <row r="22" spans="1:7">
      <c r="A22" s="27"/>
      <c r="B22" s="27"/>
      <c r="C22" s="36">
        <f>C16</f>
        <v>128662</v>
      </c>
      <c r="D22" s="27"/>
      <c r="E22" s="37">
        <f>E16</f>
        <v>334521.2</v>
      </c>
      <c r="G22" s="38"/>
    </row>
    <row r="23" spans="1:7">
      <c r="A23" s="27"/>
      <c r="B23" s="27"/>
      <c r="C23" s="27"/>
      <c r="D23" s="27"/>
      <c r="E23" s="7"/>
    </row>
    <row r="24" spans="1:7">
      <c r="A24" s="27"/>
      <c r="B24" s="27"/>
      <c r="C24" s="27"/>
      <c r="D24" s="27"/>
      <c r="E24" s="7"/>
    </row>
    <row r="25" spans="1:7">
      <c r="A25" s="27"/>
      <c r="B25" s="39"/>
      <c r="C25" s="27"/>
      <c r="D25" s="27"/>
      <c r="E25" s="40"/>
    </row>
    <row r="26" spans="1:7">
      <c r="A26" s="27"/>
      <c r="B26" s="39"/>
      <c r="C26" s="27"/>
      <c r="D26" s="27"/>
      <c r="E26" s="30"/>
    </row>
    <row r="27" spans="1:7">
      <c r="A27" s="27"/>
      <c r="B27" s="27"/>
      <c r="C27" s="32" t="s">
        <v>16</v>
      </c>
      <c r="D27" s="27"/>
      <c r="E27" s="47" t="s">
        <v>24</v>
      </c>
    </row>
    <row r="28" spans="1:7">
      <c r="A28" s="27"/>
      <c r="B28" s="27"/>
      <c r="C28" s="27"/>
      <c r="D28" s="27"/>
      <c r="E28" s="27"/>
    </row>
    <row r="29" spans="1:7" ht="15.75" thickBot="1">
      <c r="A29" s="27"/>
      <c r="B29" s="27"/>
      <c r="C29" s="27"/>
      <c r="D29" s="27"/>
      <c r="E29" s="27"/>
    </row>
    <row r="30" spans="1:7" ht="15.75" thickBot="1">
      <c r="A30" s="34"/>
      <c r="B30" s="34"/>
      <c r="C30" s="41" t="s">
        <v>17</v>
      </c>
      <c r="D30" s="34"/>
      <c r="E30" s="42">
        <f>E27+E26+E25+E22</f>
        <v>334521</v>
      </c>
    </row>
    <row r="31" spans="1:7">
      <c r="A31" s="20"/>
      <c r="B31" s="6"/>
      <c r="C31" s="6"/>
      <c r="D31" s="6"/>
      <c r="E31" s="7"/>
    </row>
    <row r="32" spans="1:7">
      <c r="A32" s="4" t="s">
        <v>18</v>
      </c>
      <c r="B32" s="5" t="str">
        <f>[1]!rswords(E30)</f>
        <v>Rupees Three Lakh(s) Thirty Four Thousand Five Hundred Twenty One Only</v>
      </c>
      <c r="C32" s="6"/>
      <c r="D32" s="6"/>
      <c r="E32" s="7"/>
    </row>
    <row r="33" spans="1:5">
      <c r="A33" s="20"/>
      <c r="B33" s="6"/>
      <c r="C33" s="6"/>
      <c r="D33" s="6"/>
      <c r="E33" s="7"/>
    </row>
    <row r="34" spans="1:5">
      <c r="A34" s="20"/>
      <c r="B34" s="6"/>
      <c r="C34" s="5"/>
      <c r="D34" s="68" t="s">
        <v>19</v>
      </c>
      <c r="E34" s="69"/>
    </row>
    <row r="35" spans="1:5">
      <c r="A35" s="20"/>
      <c r="B35" s="6"/>
      <c r="C35" s="5"/>
      <c r="D35" s="5"/>
      <c r="E35" s="45"/>
    </row>
    <row r="36" spans="1:5" ht="15.75" thickBot="1">
      <c r="A36" s="4"/>
      <c r="B36" s="5"/>
      <c r="C36" s="5"/>
      <c r="D36" s="5"/>
      <c r="E36" s="45"/>
    </row>
    <row r="37" spans="1:5" ht="16.5" thickBot="1">
      <c r="A37" s="58" t="s">
        <v>20</v>
      </c>
      <c r="B37" s="59"/>
      <c r="C37" s="59"/>
      <c r="D37" s="59"/>
      <c r="E37" s="60"/>
    </row>
    <row r="38" spans="1:5">
      <c r="A38" s="46"/>
      <c r="B38" s="46"/>
      <c r="C38" s="46"/>
      <c r="D38" s="46"/>
      <c r="E38" s="46"/>
    </row>
    <row r="39" spans="1:5">
      <c r="A39" s="46"/>
      <c r="B39" s="46"/>
      <c r="C39" s="46"/>
      <c r="D39" s="46"/>
      <c r="E39" s="46"/>
    </row>
    <row r="40" spans="1:5">
      <c r="A40" s="46"/>
      <c r="B40" s="46"/>
      <c r="C40" s="46"/>
      <c r="D40" s="46"/>
      <c r="E40" s="46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pageMargins left="0.36" right="0.24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A3" sqref="A3:E3"/>
    </sheetView>
  </sheetViews>
  <sheetFormatPr defaultRowHeight="15"/>
  <cols>
    <col min="1" max="1" width="10.5703125" customWidth="1"/>
    <col min="2" max="2" width="43.42578125" customWidth="1"/>
    <col min="3" max="3" width="12.28515625" customWidth="1"/>
    <col min="4" max="4" width="11" customWidth="1"/>
    <col min="5" max="5" width="23.140625" customWidth="1"/>
    <col min="7" max="7" width="9.5703125" bestFit="1" customWidth="1"/>
  </cols>
  <sheetData>
    <row r="1" spans="1:5">
      <c r="D1" s="61"/>
      <c r="E1" s="61"/>
    </row>
    <row r="2" spans="1:5" ht="21">
      <c r="A2" s="62" t="s">
        <v>39</v>
      </c>
      <c r="B2" s="62"/>
      <c r="C2" s="62"/>
      <c r="D2" s="62"/>
      <c r="E2" s="62"/>
    </row>
    <row r="3" spans="1:5" ht="46.5">
      <c r="A3" s="63" t="s">
        <v>1</v>
      </c>
      <c r="B3" s="63"/>
      <c r="C3" s="63"/>
      <c r="D3" s="63"/>
      <c r="E3" s="63"/>
    </row>
    <row r="4" spans="1:5" ht="19.5" thickBot="1">
      <c r="A4" s="64" t="s">
        <v>2</v>
      </c>
      <c r="B4" s="64"/>
      <c r="C4" s="64"/>
      <c r="D4" s="64"/>
      <c r="E4" s="64"/>
    </row>
    <row r="5" spans="1:5">
      <c r="A5" s="1"/>
      <c r="B5" s="2"/>
      <c r="C5" s="2"/>
      <c r="D5" s="2"/>
      <c r="E5" s="3"/>
    </row>
    <row r="6" spans="1:5">
      <c r="A6" s="4" t="s">
        <v>3</v>
      </c>
      <c r="B6" s="5" t="s">
        <v>4</v>
      </c>
      <c r="C6" s="6"/>
      <c r="D6" s="6"/>
      <c r="E6" s="7"/>
    </row>
    <row r="7" spans="1:5">
      <c r="A7" s="4" t="s">
        <v>5</v>
      </c>
      <c r="B7" s="5" t="s">
        <v>6</v>
      </c>
      <c r="C7" s="6"/>
      <c r="D7" s="6"/>
      <c r="E7" s="7"/>
    </row>
    <row r="8" spans="1:5" ht="15.75" thickBot="1">
      <c r="A8" s="8"/>
      <c r="B8" s="43"/>
      <c r="C8" s="43"/>
      <c r="D8" s="43"/>
      <c r="E8" s="44"/>
    </row>
    <row r="9" spans="1:5" ht="15.75">
      <c r="A9" s="11" t="s">
        <v>7</v>
      </c>
      <c r="B9" s="12"/>
      <c r="C9" s="13"/>
      <c r="D9" s="13"/>
      <c r="E9" s="65" t="s">
        <v>29</v>
      </c>
    </row>
    <row r="10" spans="1:5" ht="15.75">
      <c r="A10" s="14" t="s">
        <v>8</v>
      </c>
      <c r="B10" s="15"/>
      <c r="C10" s="16"/>
      <c r="D10" s="16"/>
      <c r="E10" s="66"/>
    </row>
    <row r="11" spans="1:5" ht="16.5" thickBot="1">
      <c r="A11" s="17" t="s">
        <v>9</v>
      </c>
      <c r="B11" s="18"/>
      <c r="C11" s="19"/>
      <c r="D11" s="19"/>
      <c r="E11" s="67"/>
    </row>
    <row r="12" spans="1:5" ht="15.75" thickBot="1">
      <c r="A12" s="20"/>
      <c r="B12" s="6"/>
      <c r="C12" s="6"/>
      <c r="D12" s="6"/>
      <c r="E12" s="7"/>
    </row>
    <row r="13" spans="1:5" ht="30.75" thickBot="1">
      <c r="A13" s="21" t="s">
        <v>10</v>
      </c>
      <c r="B13" s="21" t="s">
        <v>11</v>
      </c>
      <c r="C13" s="22" t="s">
        <v>12</v>
      </c>
      <c r="D13" s="21" t="s">
        <v>13</v>
      </c>
      <c r="E13" s="21" t="s">
        <v>14</v>
      </c>
    </row>
    <row r="14" spans="1:5" ht="15.75" thickBot="1">
      <c r="A14" s="20"/>
      <c r="B14" s="6"/>
      <c r="C14" s="6"/>
      <c r="D14" s="6"/>
      <c r="E14" s="7"/>
    </row>
    <row r="15" spans="1:5">
      <c r="A15" s="23">
        <v>1</v>
      </c>
      <c r="B15" s="24" t="s">
        <v>21</v>
      </c>
      <c r="C15" s="25"/>
      <c r="D15" s="25"/>
      <c r="E15" s="26"/>
    </row>
    <row r="16" spans="1:5">
      <c r="A16" s="27"/>
      <c r="B16" s="27" t="s">
        <v>23</v>
      </c>
      <c r="C16" s="28">
        <v>90826</v>
      </c>
      <c r="D16" s="29">
        <v>2.6</v>
      </c>
      <c r="E16" s="30">
        <f>C16*D16</f>
        <v>236147.6</v>
      </c>
    </row>
    <row r="17" spans="1:7">
      <c r="A17" s="27"/>
      <c r="B17" s="31"/>
      <c r="C17" s="27"/>
      <c r="D17" s="27"/>
      <c r="E17" s="7"/>
    </row>
    <row r="18" spans="1:7">
      <c r="A18" s="32"/>
      <c r="B18" s="27"/>
      <c r="C18" s="29"/>
      <c r="D18" s="29"/>
      <c r="E18" s="33"/>
    </row>
    <row r="19" spans="1:7">
      <c r="A19" s="27"/>
      <c r="B19" s="27" t="s">
        <v>15</v>
      </c>
      <c r="C19" s="27"/>
      <c r="D19" s="27"/>
      <c r="E19" s="7"/>
    </row>
    <row r="20" spans="1:7">
      <c r="A20" s="27"/>
      <c r="B20" s="27"/>
      <c r="C20" s="27"/>
      <c r="D20" s="27"/>
      <c r="E20" s="7"/>
    </row>
    <row r="21" spans="1:7" ht="15.75" thickBot="1">
      <c r="A21" s="27"/>
      <c r="B21" s="27"/>
      <c r="C21" s="34"/>
      <c r="D21" s="34"/>
      <c r="E21" s="35"/>
    </row>
    <row r="22" spans="1:7">
      <c r="A22" s="27"/>
      <c r="B22" s="27"/>
      <c r="C22" s="36">
        <f>C16</f>
        <v>90826</v>
      </c>
      <c r="D22" s="27"/>
      <c r="E22" s="37">
        <f>E16</f>
        <v>236147.6</v>
      </c>
      <c r="G22" s="38"/>
    </row>
    <row r="23" spans="1:7">
      <c r="A23" s="27"/>
      <c r="B23" s="27"/>
      <c r="C23" s="27"/>
      <c r="D23" s="27"/>
      <c r="E23" s="7"/>
    </row>
    <row r="24" spans="1:7">
      <c r="A24" s="27"/>
      <c r="B24" s="27"/>
      <c r="C24" s="27"/>
      <c r="D24" s="27"/>
      <c r="E24" s="7"/>
    </row>
    <row r="25" spans="1:7">
      <c r="A25" s="27"/>
      <c r="B25" s="39"/>
      <c r="C25" s="27"/>
      <c r="D25" s="27"/>
      <c r="E25" s="40"/>
    </row>
    <row r="26" spans="1:7">
      <c r="A26" s="27"/>
      <c r="B26" s="39"/>
      <c r="C26" s="27"/>
      <c r="D26" s="27"/>
      <c r="E26" s="30"/>
    </row>
    <row r="27" spans="1:7">
      <c r="A27" s="27"/>
      <c r="B27" s="27"/>
      <c r="C27" s="32" t="s">
        <v>16</v>
      </c>
      <c r="D27" s="27"/>
      <c r="E27" s="47" t="s">
        <v>25</v>
      </c>
    </row>
    <row r="28" spans="1:7">
      <c r="A28" s="27"/>
      <c r="B28" s="27"/>
      <c r="C28" s="27"/>
      <c r="D28" s="27"/>
      <c r="E28" s="27"/>
    </row>
    <row r="29" spans="1:7" ht="15.75" thickBot="1">
      <c r="A29" s="27"/>
      <c r="B29" s="27"/>
      <c r="C29" s="27"/>
      <c r="D29" s="27"/>
      <c r="E29" s="27"/>
    </row>
    <row r="30" spans="1:7" ht="15.75" thickBot="1">
      <c r="A30" s="34"/>
      <c r="B30" s="34"/>
      <c r="C30" s="41" t="s">
        <v>17</v>
      </c>
      <c r="D30" s="34"/>
      <c r="E30" s="42">
        <f>E27+E26+E25+E22</f>
        <v>236148</v>
      </c>
    </row>
    <row r="31" spans="1:7">
      <c r="A31" s="20"/>
      <c r="B31" s="6"/>
      <c r="C31" s="6"/>
      <c r="D31" s="6"/>
      <c r="E31" s="7"/>
    </row>
    <row r="32" spans="1:7">
      <c r="A32" s="4" t="s">
        <v>18</v>
      </c>
      <c r="B32" s="5" t="str">
        <f>[1]!rswords(E30)</f>
        <v>Rupees Two Lakh(s) Thirty Six Thousand One Hundred Forty Eight Only</v>
      </c>
      <c r="C32" s="6"/>
      <c r="D32" s="6"/>
      <c r="E32" s="7"/>
    </row>
    <row r="33" spans="1:5">
      <c r="A33" s="20"/>
      <c r="B33" s="6"/>
      <c r="C33" s="6"/>
      <c r="D33" s="6"/>
      <c r="E33" s="7"/>
    </row>
    <row r="34" spans="1:5">
      <c r="A34" s="20"/>
      <c r="B34" s="6"/>
      <c r="C34" s="5"/>
      <c r="D34" s="68" t="s">
        <v>19</v>
      </c>
      <c r="E34" s="69"/>
    </row>
    <row r="35" spans="1:5">
      <c r="A35" s="20"/>
      <c r="B35" s="6"/>
      <c r="C35" s="5"/>
      <c r="D35" s="5"/>
      <c r="E35" s="45"/>
    </row>
    <row r="36" spans="1:5" ht="15.75" thickBot="1">
      <c r="A36" s="4"/>
      <c r="B36" s="5"/>
      <c r="C36" s="5"/>
      <c r="D36" s="5"/>
      <c r="E36" s="45"/>
    </row>
    <row r="37" spans="1:5" ht="16.5" thickBot="1">
      <c r="A37" s="58" t="s">
        <v>20</v>
      </c>
      <c r="B37" s="59"/>
      <c r="C37" s="59"/>
      <c r="D37" s="59"/>
      <c r="E37" s="60"/>
    </row>
    <row r="38" spans="1:5">
      <c r="A38" s="46"/>
      <c r="B38" s="46"/>
      <c r="C38" s="46"/>
      <c r="D38" s="46"/>
      <c r="E38" s="46"/>
    </row>
    <row r="39" spans="1:5">
      <c r="A39" s="46"/>
      <c r="B39" s="46"/>
      <c r="C39" s="46"/>
      <c r="D39" s="46"/>
      <c r="E39" s="46"/>
    </row>
    <row r="40" spans="1:5">
      <c r="A40" s="46"/>
      <c r="B40" s="46"/>
      <c r="C40" s="46"/>
      <c r="D40" s="46"/>
      <c r="E40" s="46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pageMargins left="0.36" right="0.24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G9" sqref="G9"/>
    </sheetView>
  </sheetViews>
  <sheetFormatPr defaultRowHeight="15"/>
  <cols>
    <col min="1" max="1" width="10.5703125" customWidth="1"/>
    <col min="2" max="2" width="43.42578125" customWidth="1"/>
    <col min="3" max="3" width="12.28515625" customWidth="1"/>
    <col min="4" max="4" width="11" customWidth="1"/>
    <col min="5" max="5" width="23.140625" customWidth="1"/>
    <col min="7" max="7" width="9.5703125" bestFit="1" customWidth="1"/>
  </cols>
  <sheetData>
    <row r="1" spans="1:5">
      <c r="D1" s="61"/>
      <c r="E1" s="61"/>
    </row>
    <row r="2" spans="1:5" ht="21">
      <c r="A2" s="62" t="s">
        <v>39</v>
      </c>
      <c r="B2" s="62"/>
      <c r="C2" s="62"/>
      <c r="D2" s="62"/>
      <c r="E2" s="62"/>
    </row>
    <row r="3" spans="1:5" ht="46.5">
      <c r="A3" s="63" t="s">
        <v>1</v>
      </c>
      <c r="B3" s="63"/>
      <c r="C3" s="63"/>
      <c r="D3" s="63"/>
      <c r="E3" s="63"/>
    </row>
    <row r="4" spans="1:5" ht="19.5" thickBot="1">
      <c r="A4" s="64" t="s">
        <v>2</v>
      </c>
      <c r="B4" s="64"/>
      <c r="C4" s="64"/>
      <c r="D4" s="64"/>
      <c r="E4" s="64"/>
    </row>
    <row r="5" spans="1:5">
      <c r="A5" s="1"/>
      <c r="B5" s="2"/>
      <c r="C5" s="2"/>
      <c r="D5" s="2"/>
      <c r="E5" s="3"/>
    </row>
    <row r="6" spans="1:5">
      <c r="A6" s="4" t="s">
        <v>3</v>
      </c>
      <c r="B6" s="5" t="s">
        <v>4</v>
      </c>
      <c r="C6" s="6"/>
      <c r="D6" s="6"/>
      <c r="E6" s="7"/>
    </row>
    <row r="7" spans="1:5">
      <c r="A7" s="4" t="s">
        <v>5</v>
      </c>
      <c r="B7" s="5" t="s">
        <v>6</v>
      </c>
      <c r="C7" s="6"/>
      <c r="D7" s="6"/>
      <c r="E7" s="7"/>
    </row>
    <row r="8" spans="1:5" ht="15.75" thickBot="1">
      <c r="A8" s="8"/>
      <c r="B8" s="50"/>
      <c r="C8" s="50"/>
      <c r="D8" s="50"/>
      <c r="E8" s="51"/>
    </row>
    <row r="9" spans="1:5" ht="15.75">
      <c r="A9" s="11" t="s">
        <v>7</v>
      </c>
      <c r="B9" s="12"/>
      <c r="C9" s="13"/>
      <c r="D9" s="13"/>
      <c r="E9" s="65" t="s">
        <v>35</v>
      </c>
    </row>
    <row r="10" spans="1:5" ht="15.75">
      <c r="A10" s="14" t="s">
        <v>8</v>
      </c>
      <c r="B10" s="15"/>
      <c r="C10" s="16"/>
      <c r="D10" s="16"/>
      <c r="E10" s="66"/>
    </row>
    <row r="11" spans="1:5" ht="16.5" thickBot="1">
      <c r="A11" s="17" t="s">
        <v>9</v>
      </c>
      <c r="B11" s="18"/>
      <c r="C11" s="19"/>
      <c r="D11" s="19"/>
      <c r="E11" s="67"/>
    </row>
    <row r="12" spans="1:5" ht="15.75" thickBot="1">
      <c r="A12" s="20"/>
      <c r="B12" s="6"/>
      <c r="C12" s="6"/>
      <c r="D12" s="6"/>
      <c r="E12" s="7"/>
    </row>
    <row r="13" spans="1:5" ht="30.75" thickBot="1">
      <c r="A13" s="21" t="s">
        <v>10</v>
      </c>
      <c r="B13" s="21" t="s">
        <v>11</v>
      </c>
      <c r="C13" s="22" t="s">
        <v>12</v>
      </c>
      <c r="D13" s="21" t="s">
        <v>13</v>
      </c>
      <c r="E13" s="21" t="s">
        <v>14</v>
      </c>
    </row>
    <row r="14" spans="1:5" ht="15.75" thickBot="1">
      <c r="A14" s="20"/>
      <c r="B14" s="6"/>
      <c r="C14" s="6"/>
      <c r="D14" s="6"/>
      <c r="E14" s="7"/>
    </row>
    <row r="15" spans="1:5">
      <c r="A15" s="53"/>
      <c r="B15" s="70" t="s">
        <v>37</v>
      </c>
      <c r="C15" s="25"/>
      <c r="D15" s="25"/>
      <c r="E15" s="26"/>
    </row>
    <row r="16" spans="1:5">
      <c r="A16" s="52">
        <v>1</v>
      </c>
      <c r="B16" s="71"/>
      <c r="C16" s="28">
        <v>106818</v>
      </c>
      <c r="D16" s="29">
        <v>2.6</v>
      </c>
      <c r="E16" s="30">
        <f>C16*D16</f>
        <v>277726.8</v>
      </c>
    </row>
    <row r="17" spans="1:7">
      <c r="A17" s="27"/>
      <c r="B17" s="72" t="s">
        <v>36</v>
      </c>
      <c r="C17" s="27"/>
      <c r="D17" s="27"/>
      <c r="E17" s="7"/>
    </row>
    <row r="18" spans="1:7">
      <c r="A18" s="52"/>
      <c r="B18" s="72"/>
      <c r="C18" s="29"/>
      <c r="D18" s="29"/>
      <c r="E18" s="33"/>
    </row>
    <row r="19" spans="1:7">
      <c r="A19" s="27"/>
      <c r="B19" s="27" t="s">
        <v>15</v>
      </c>
      <c r="C19" s="27"/>
      <c r="D19" s="27"/>
      <c r="E19" s="7"/>
    </row>
    <row r="20" spans="1:7">
      <c r="A20" s="27"/>
      <c r="B20" s="27"/>
      <c r="C20" s="27"/>
      <c r="D20" s="27"/>
      <c r="E20" s="7"/>
    </row>
    <row r="21" spans="1:7" ht="15.75" thickBot="1">
      <c r="A21" s="27"/>
      <c r="B21" s="27"/>
      <c r="C21" s="34"/>
      <c r="D21" s="34"/>
      <c r="E21" s="35"/>
    </row>
    <row r="22" spans="1:7">
      <c r="A22" s="27"/>
      <c r="B22" s="27"/>
      <c r="C22" s="36">
        <f>C16</f>
        <v>106818</v>
      </c>
      <c r="D22" s="27"/>
      <c r="E22" s="37">
        <f>E16</f>
        <v>277726.8</v>
      </c>
      <c r="G22" s="38"/>
    </row>
    <row r="23" spans="1:7">
      <c r="A23" s="27"/>
      <c r="B23" s="27"/>
      <c r="C23" s="27"/>
      <c r="D23" s="27"/>
      <c r="E23" s="7"/>
    </row>
    <row r="24" spans="1:7">
      <c r="A24" s="27"/>
      <c r="B24" s="27"/>
      <c r="C24" s="27"/>
      <c r="D24" s="27"/>
      <c r="E24" s="7"/>
    </row>
    <row r="25" spans="1:7">
      <c r="A25" s="27"/>
      <c r="B25" s="39"/>
      <c r="C25" s="27"/>
      <c r="D25" s="27"/>
      <c r="E25" s="40"/>
    </row>
    <row r="26" spans="1:7">
      <c r="A26" s="27"/>
      <c r="B26" s="39"/>
      <c r="C26" s="27"/>
      <c r="D26" s="27"/>
      <c r="E26" s="30"/>
    </row>
    <row r="27" spans="1:7">
      <c r="A27" s="27"/>
      <c r="B27" s="27"/>
      <c r="C27" s="52" t="s">
        <v>16</v>
      </c>
      <c r="D27" s="27"/>
      <c r="E27" s="47" t="s">
        <v>38</v>
      </c>
    </row>
    <row r="28" spans="1:7">
      <c r="A28" s="27"/>
      <c r="B28" s="27"/>
      <c r="C28" s="27"/>
      <c r="D28" s="27"/>
      <c r="E28" s="27"/>
    </row>
    <row r="29" spans="1:7" ht="15.75" thickBot="1">
      <c r="A29" s="27"/>
      <c r="B29" s="27"/>
      <c r="C29" s="27"/>
      <c r="D29" s="27"/>
      <c r="E29" s="27"/>
    </row>
    <row r="30" spans="1:7" ht="15.75" thickBot="1">
      <c r="A30" s="34"/>
      <c r="B30" s="34"/>
      <c r="C30" s="41" t="s">
        <v>17</v>
      </c>
      <c r="D30" s="34"/>
      <c r="E30" s="42">
        <f>E27+E26+E25+E22</f>
        <v>277727</v>
      </c>
    </row>
    <row r="31" spans="1:7">
      <c r="A31" s="20"/>
      <c r="B31" s="6"/>
      <c r="C31" s="6"/>
      <c r="D31" s="6"/>
      <c r="E31" s="7"/>
    </row>
    <row r="32" spans="1:7">
      <c r="A32" s="4" t="s">
        <v>18</v>
      </c>
      <c r="B32" s="5" t="str">
        <f>[1]!rswords(E30)</f>
        <v>Rupees Two Lakh(s) Seventy Seven Thousand Seven Hundred Twenty Seven Only</v>
      </c>
      <c r="C32" s="6"/>
      <c r="D32" s="6"/>
      <c r="E32" s="7"/>
    </row>
    <row r="33" spans="1:5">
      <c r="A33" s="20"/>
      <c r="B33" s="6"/>
      <c r="C33" s="6"/>
      <c r="D33" s="6"/>
      <c r="E33" s="7"/>
    </row>
    <row r="34" spans="1:5">
      <c r="A34" s="20"/>
      <c r="B34" s="6"/>
      <c r="C34" s="5"/>
      <c r="D34" s="68" t="s">
        <v>19</v>
      </c>
      <c r="E34" s="69"/>
    </row>
    <row r="35" spans="1:5">
      <c r="A35" s="20"/>
      <c r="B35" s="6"/>
      <c r="C35" s="5"/>
      <c r="D35" s="5"/>
      <c r="E35" s="45"/>
    </row>
    <row r="36" spans="1:5" ht="15.75" thickBot="1">
      <c r="A36" s="4"/>
      <c r="B36" s="5"/>
      <c r="C36" s="5"/>
      <c r="D36" s="5"/>
      <c r="E36" s="45"/>
    </row>
    <row r="37" spans="1:5" ht="16.5" thickBot="1">
      <c r="A37" s="58" t="s">
        <v>20</v>
      </c>
      <c r="B37" s="59"/>
      <c r="C37" s="59"/>
      <c r="D37" s="59"/>
      <c r="E37" s="60"/>
    </row>
    <row r="38" spans="1:5">
      <c r="A38" s="46"/>
      <c r="B38" s="46"/>
      <c r="C38" s="46"/>
      <c r="D38" s="46"/>
      <c r="E38" s="46"/>
    </row>
    <row r="39" spans="1:5">
      <c r="A39" s="46"/>
      <c r="B39" s="46"/>
      <c r="C39" s="46"/>
      <c r="D39" s="46"/>
      <c r="E39" s="46"/>
    </row>
    <row r="40" spans="1:5">
      <c r="A40" s="46"/>
      <c r="B40" s="46"/>
      <c r="C40" s="46"/>
      <c r="D40" s="46"/>
      <c r="E40" s="46"/>
    </row>
  </sheetData>
  <mergeCells count="9">
    <mergeCell ref="A37:E37"/>
    <mergeCell ref="B15:B16"/>
    <mergeCell ref="B17:B18"/>
    <mergeCell ref="D1:E1"/>
    <mergeCell ref="A2:E2"/>
    <mergeCell ref="A3:E3"/>
    <mergeCell ref="A4:E4"/>
    <mergeCell ref="E9:E11"/>
    <mergeCell ref="D34:E34"/>
  </mergeCells>
  <pageMargins left="0.36" right="0.24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B17" sqref="B17:B18"/>
    </sheetView>
  </sheetViews>
  <sheetFormatPr defaultRowHeight="15"/>
  <cols>
    <col min="1" max="1" width="10.5703125" customWidth="1"/>
    <col min="2" max="2" width="43.42578125" customWidth="1"/>
    <col min="3" max="3" width="12.28515625" customWidth="1"/>
    <col min="4" max="4" width="11" customWidth="1"/>
    <col min="5" max="5" width="23.140625" customWidth="1"/>
    <col min="7" max="7" width="9.5703125" bestFit="1" customWidth="1"/>
  </cols>
  <sheetData>
    <row r="1" spans="1:5">
      <c r="D1" s="61"/>
      <c r="E1" s="61"/>
    </row>
    <row r="2" spans="1:5" ht="21">
      <c r="A2" s="62" t="s">
        <v>0</v>
      </c>
      <c r="B2" s="62"/>
      <c r="C2" s="62"/>
      <c r="D2" s="62"/>
      <c r="E2" s="62"/>
    </row>
    <row r="3" spans="1:5" ht="46.5">
      <c r="A3" s="63" t="s">
        <v>1</v>
      </c>
      <c r="B3" s="63"/>
      <c r="C3" s="63"/>
      <c r="D3" s="63"/>
      <c r="E3" s="63"/>
    </row>
    <row r="4" spans="1:5" ht="19.5" thickBot="1">
      <c r="A4" s="64" t="s">
        <v>2</v>
      </c>
      <c r="B4" s="64"/>
      <c r="C4" s="64"/>
      <c r="D4" s="64"/>
      <c r="E4" s="64"/>
    </row>
    <row r="5" spans="1:5">
      <c r="A5" s="1"/>
      <c r="B5" s="2"/>
      <c r="C5" s="2"/>
      <c r="D5" s="2"/>
      <c r="E5" s="3"/>
    </row>
    <row r="6" spans="1:5">
      <c r="A6" s="4" t="s">
        <v>3</v>
      </c>
      <c r="B6" s="5" t="s">
        <v>4</v>
      </c>
      <c r="C6" s="6"/>
      <c r="D6" s="6"/>
      <c r="E6" s="7"/>
    </row>
    <row r="7" spans="1:5">
      <c r="A7" s="4" t="s">
        <v>5</v>
      </c>
      <c r="B7" s="5" t="s">
        <v>6</v>
      </c>
      <c r="C7" s="6"/>
      <c r="D7" s="6"/>
      <c r="E7" s="7"/>
    </row>
    <row r="8" spans="1:5" ht="15.75" thickBot="1">
      <c r="A8" s="8"/>
      <c r="B8" s="48"/>
      <c r="C8" s="48"/>
      <c r="D8" s="48"/>
      <c r="E8" s="49"/>
    </row>
    <row r="9" spans="1:5" ht="15.75">
      <c r="A9" s="11" t="s">
        <v>7</v>
      </c>
      <c r="B9" s="12"/>
      <c r="C9" s="13"/>
      <c r="D9" s="13"/>
      <c r="E9" s="65" t="s">
        <v>26</v>
      </c>
    </row>
    <row r="10" spans="1:5" ht="15.75">
      <c r="A10" s="14" t="s">
        <v>8</v>
      </c>
      <c r="B10" s="15"/>
      <c r="C10" s="16"/>
      <c r="D10" s="16"/>
      <c r="E10" s="66"/>
    </row>
    <row r="11" spans="1:5" ht="16.5" thickBot="1">
      <c r="A11" s="17" t="s">
        <v>9</v>
      </c>
      <c r="B11" s="18"/>
      <c r="C11" s="19"/>
      <c r="D11" s="19"/>
      <c r="E11" s="67"/>
    </row>
    <row r="12" spans="1:5" ht="15.75" thickBot="1">
      <c r="A12" s="20"/>
      <c r="B12" s="6"/>
      <c r="C12" s="6"/>
      <c r="D12" s="6"/>
      <c r="E12" s="7"/>
    </row>
    <row r="13" spans="1:5" ht="30.75" thickBot="1">
      <c r="A13" s="21" t="s">
        <v>10</v>
      </c>
      <c r="B13" s="21" t="s">
        <v>11</v>
      </c>
      <c r="C13" s="22" t="s">
        <v>12</v>
      </c>
      <c r="D13" s="21" t="s">
        <v>13</v>
      </c>
      <c r="E13" s="21" t="s">
        <v>14</v>
      </c>
    </row>
    <row r="14" spans="1:5" ht="15.75" thickBot="1">
      <c r="A14" s="20"/>
      <c r="B14" s="6"/>
      <c r="C14" s="6"/>
      <c r="D14" s="6"/>
      <c r="E14" s="7"/>
    </row>
    <row r="15" spans="1:5">
      <c r="A15" s="70">
        <v>1</v>
      </c>
      <c r="B15" s="70" t="s">
        <v>27</v>
      </c>
      <c r="C15" s="25"/>
      <c r="D15" s="25"/>
      <c r="E15" s="26"/>
    </row>
    <row r="16" spans="1:5">
      <c r="A16" s="71"/>
      <c r="B16" s="71"/>
      <c r="C16" s="28">
        <v>1492665</v>
      </c>
      <c r="D16" s="29">
        <v>0.4</v>
      </c>
      <c r="E16" s="30">
        <f>C16*D16</f>
        <v>597066</v>
      </c>
    </row>
    <row r="17" spans="1:7">
      <c r="A17" s="27"/>
      <c r="B17" s="73" t="s">
        <v>30</v>
      </c>
      <c r="C17" s="27"/>
      <c r="D17" s="27"/>
      <c r="E17" s="7"/>
    </row>
    <row r="18" spans="1:7">
      <c r="A18" s="32"/>
      <c r="B18" s="73"/>
      <c r="C18" s="29"/>
      <c r="D18" s="29"/>
      <c r="E18" s="33"/>
    </row>
    <row r="19" spans="1:7">
      <c r="A19" s="27"/>
      <c r="B19" s="27" t="s">
        <v>15</v>
      </c>
      <c r="C19" s="27"/>
      <c r="D19" s="27"/>
      <c r="E19" s="7"/>
    </row>
    <row r="20" spans="1:7">
      <c r="A20" s="27"/>
      <c r="B20" s="27"/>
      <c r="C20" s="27"/>
      <c r="D20" s="27"/>
      <c r="E20" s="7"/>
    </row>
    <row r="21" spans="1:7" ht="15.75" thickBot="1">
      <c r="A21" s="27"/>
      <c r="B21" s="27"/>
      <c r="C21" s="34"/>
      <c r="D21" s="34"/>
      <c r="E21" s="35"/>
    </row>
    <row r="22" spans="1:7">
      <c r="A22" s="27"/>
      <c r="B22" s="27"/>
      <c r="C22" s="36">
        <f>C16</f>
        <v>1492665</v>
      </c>
      <c r="D22" s="27"/>
      <c r="E22" s="37">
        <f>E16</f>
        <v>597066</v>
      </c>
      <c r="G22" s="38"/>
    </row>
    <row r="23" spans="1:7">
      <c r="A23" s="27"/>
      <c r="B23" s="27"/>
      <c r="C23" s="27"/>
      <c r="D23" s="27"/>
      <c r="E23" s="7"/>
    </row>
    <row r="24" spans="1:7">
      <c r="A24" s="27"/>
      <c r="B24" s="27"/>
      <c r="C24" s="27"/>
      <c r="D24" s="27"/>
      <c r="E24" s="7"/>
    </row>
    <row r="25" spans="1:7">
      <c r="A25" s="27"/>
      <c r="B25" s="39"/>
      <c r="C25" s="27"/>
      <c r="D25" s="27"/>
      <c r="E25" s="40"/>
    </row>
    <row r="26" spans="1:7">
      <c r="A26" s="27"/>
      <c r="B26" s="39"/>
      <c r="C26" s="27"/>
      <c r="D26" s="27"/>
      <c r="E26" s="30"/>
    </row>
    <row r="27" spans="1:7">
      <c r="A27" s="27"/>
      <c r="B27" s="27"/>
      <c r="C27" s="32" t="s">
        <v>16</v>
      </c>
      <c r="D27" s="27"/>
      <c r="E27" s="47">
        <v>0</v>
      </c>
    </row>
    <row r="28" spans="1:7">
      <c r="A28" s="27"/>
      <c r="B28" s="27"/>
      <c r="C28" s="27"/>
      <c r="D28" s="27"/>
      <c r="E28" s="27"/>
    </row>
    <row r="29" spans="1:7" ht="15.75" thickBot="1">
      <c r="A29" s="27"/>
      <c r="B29" s="27"/>
      <c r="C29" s="27"/>
      <c r="D29" s="27"/>
      <c r="E29" s="27"/>
    </row>
    <row r="30" spans="1:7" ht="15.75" thickBot="1">
      <c r="A30" s="34"/>
      <c r="B30" s="34"/>
      <c r="C30" s="41" t="s">
        <v>17</v>
      </c>
      <c r="D30" s="34"/>
      <c r="E30" s="42">
        <f>E27+E26+E25+E22</f>
        <v>597066</v>
      </c>
    </row>
    <row r="31" spans="1:7">
      <c r="A31" s="20"/>
      <c r="B31" s="6"/>
      <c r="C31" s="6"/>
      <c r="D31" s="6"/>
      <c r="E31" s="7"/>
    </row>
    <row r="32" spans="1:7">
      <c r="A32" s="4" t="s">
        <v>18</v>
      </c>
      <c r="B32" s="5" t="str">
        <f>[1]!rswords(E30)</f>
        <v>Rupees Five Lakh(s) Ninety Seven Thousand Sixty Six Only</v>
      </c>
      <c r="C32" s="6"/>
      <c r="D32" s="6"/>
      <c r="E32" s="7"/>
    </row>
    <row r="33" spans="1:5">
      <c r="A33" s="20"/>
      <c r="B33" s="6"/>
      <c r="C33" s="6"/>
      <c r="D33" s="6"/>
      <c r="E33" s="7"/>
    </row>
    <row r="34" spans="1:5">
      <c r="A34" s="20"/>
      <c r="B34" s="6"/>
      <c r="C34" s="5"/>
      <c r="D34" s="68" t="s">
        <v>19</v>
      </c>
      <c r="E34" s="69"/>
    </row>
    <row r="35" spans="1:5">
      <c r="A35" s="20"/>
      <c r="B35" s="6"/>
      <c r="C35" s="5"/>
      <c r="D35" s="5"/>
      <c r="E35" s="45"/>
    </row>
    <row r="36" spans="1:5" ht="15.75" thickBot="1">
      <c r="A36" s="4"/>
      <c r="B36" s="5"/>
      <c r="C36" s="5"/>
      <c r="D36" s="5"/>
      <c r="E36" s="45"/>
    </row>
    <row r="37" spans="1:5" ht="16.5" thickBot="1">
      <c r="A37" s="58" t="s">
        <v>20</v>
      </c>
      <c r="B37" s="59"/>
      <c r="C37" s="59"/>
      <c r="D37" s="59"/>
      <c r="E37" s="60"/>
    </row>
    <row r="38" spans="1:5">
      <c r="A38" s="46"/>
      <c r="B38" s="46"/>
      <c r="C38" s="46"/>
      <c r="D38" s="46"/>
      <c r="E38" s="46"/>
    </row>
    <row r="39" spans="1:5">
      <c r="A39" s="46"/>
      <c r="B39" s="46"/>
      <c r="C39" s="46"/>
      <c r="D39" s="46"/>
      <c r="E39" s="46"/>
    </row>
    <row r="40" spans="1:5">
      <c r="A40" s="46"/>
      <c r="B40" s="46"/>
      <c r="C40" s="46"/>
      <c r="D40" s="46"/>
      <c r="E40" s="46"/>
    </row>
  </sheetData>
  <mergeCells count="10">
    <mergeCell ref="A37:E37"/>
    <mergeCell ref="B15:B16"/>
    <mergeCell ref="B17:B18"/>
    <mergeCell ref="A15:A16"/>
    <mergeCell ref="D1:E1"/>
    <mergeCell ref="A2:E2"/>
    <mergeCell ref="A3:E3"/>
    <mergeCell ref="A4:E4"/>
    <mergeCell ref="E9:E11"/>
    <mergeCell ref="D34:E34"/>
  </mergeCells>
  <pageMargins left="0.36" right="0.24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D9" sqref="D9:E11"/>
    </sheetView>
  </sheetViews>
  <sheetFormatPr defaultRowHeight="15"/>
  <cols>
    <col min="1" max="1" width="10.5703125" customWidth="1"/>
    <col min="2" max="2" width="43.42578125" customWidth="1"/>
    <col min="3" max="3" width="12.28515625" customWidth="1"/>
    <col min="4" max="4" width="11" customWidth="1"/>
    <col min="5" max="5" width="23.140625" customWidth="1"/>
    <col min="7" max="7" width="9.5703125" bestFit="1" customWidth="1"/>
  </cols>
  <sheetData>
    <row r="1" spans="1:5">
      <c r="D1" s="61"/>
      <c r="E1" s="61"/>
    </row>
    <row r="2" spans="1:5" ht="21">
      <c r="A2" s="62" t="s">
        <v>0</v>
      </c>
      <c r="B2" s="62"/>
      <c r="C2" s="62"/>
      <c r="D2" s="62"/>
      <c r="E2" s="62"/>
    </row>
    <row r="3" spans="1:5" ht="46.5">
      <c r="A3" s="63" t="s">
        <v>1</v>
      </c>
      <c r="B3" s="63"/>
      <c r="C3" s="63"/>
      <c r="D3" s="63"/>
      <c r="E3" s="63"/>
    </row>
    <row r="4" spans="1:5" ht="19.5" thickBot="1">
      <c r="A4" s="64" t="s">
        <v>2</v>
      </c>
      <c r="B4" s="64"/>
      <c r="C4" s="64"/>
      <c r="D4" s="64"/>
      <c r="E4" s="64"/>
    </row>
    <row r="5" spans="1:5">
      <c r="A5" s="1"/>
      <c r="B5" s="2"/>
      <c r="C5" s="2"/>
      <c r="D5" s="2"/>
      <c r="E5" s="3"/>
    </row>
    <row r="6" spans="1:5">
      <c r="A6" s="4" t="s">
        <v>3</v>
      </c>
      <c r="B6" s="5" t="s">
        <v>4</v>
      </c>
      <c r="C6" s="6"/>
      <c r="D6" s="6"/>
      <c r="E6" s="7"/>
    </row>
    <row r="7" spans="1:5">
      <c r="A7" s="4" t="s">
        <v>5</v>
      </c>
      <c r="B7" s="5" t="s">
        <v>6</v>
      </c>
      <c r="C7" s="6"/>
      <c r="D7" s="6"/>
      <c r="E7" s="7"/>
    </row>
    <row r="8" spans="1:5" ht="15.75" thickBot="1">
      <c r="A8" s="8"/>
      <c r="B8" s="48"/>
      <c r="C8" s="48"/>
      <c r="D8" s="48"/>
      <c r="E8" s="49"/>
    </row>
    <row r="9" spans="1:5" ht="15.75" customHeight="1">
      <c r="A9" s="11" t="s">
        <v>7</v>
      </c>
      <c r="B9" s="12"/>
      <c r="C9" s="13"/>
      <c r="D9" s="75" t="s">
        <v>41</v>
      </c>
      <c r="E9" s="76"/>
    </row>
    <row r="10" spans="1:5" ht="15.75">
      <c r="A10" s="14" t="s">
        <v>8</v>
      </c>
      <c r="B10" s="15"/>
      <c r="C10" s="16"/>
      <c r="D10" s="77"/>
      <c r="E10" s="78"/>
    </row>
    <row r="11" spans="1:5" ht="16.5" thickBot="1">
      <c r="A11" s="17" t="s">
        <v>9</v>
      </c>
      <c r="B11" s="18"/>
      <c r="C11" s="19"/>
      <c r="D11" s="79"/>
      <c r="E11" s="80"/>
    </row>
    <row r="12" spans="1:5" ht="15.75" thickBot="1">
      <c r="A12" s="20"/>
      <c r="B12" s="6"/>
      <c r="C12" s="6"/>
      <c r="D12" s="6"/>
      <c r="E12" s="7"/>
    </row>
    <row r="13" spans="1:5" ht="30.75" thickBot="1">
      <c r="A13" s="21" t="s">
        <v>10</v>
      </c>
      <c r="B13" s="21" t="s">
        <v>11</v>
      </c>
      <c r="C13" s="22" t="s">
        <v>12</v>
      </c>
      <c r="D13" s="21" t="s">
        <v>13</v>
      </c>
      <c r="E13" s="21" t="s">
        <v>14</v>
      </c>
    </row>
    <row r="14" spans="1:5" ht="15.75" thickBot="1">
      <c r="A14" s="20"/>
      <c r="B14" s="6"/>
      <c r="C14" s="6"/>
      <c r="D14" s="6"/>
      <c r="E14" s="7"/>
    </row>
    <row r="15" spans="1:5">
      <c r="A15" s="70">
        <v>1</v>
      </c>
      <c r="B15" s="70" t="s">
        <v>33</v>
      </c>
      <c r="C15" s="25"/>
      <c r="D15" s="25"/>
      <c r="E15" s="26"/>
    </row>
    <row r="16" spans="1:5">
      <c r="A16" s="71"/>
      <c r="B16" s="71"/>
      <c r="C16" s="28">
        <v>85000</v>
      </c>
      <c r="D16" s="29">
        <v>2.6</v>
      </c>
      <c r="E16" s="30">
        <f>C16*D16</f>
        <v>221000</v>
      </c>
    </row>
    <row r="17" spans="1:7">
      <c r="A17" s="27"/>
      <c r="B17" s="74" t="s">
        <v>34</v>
      </c>
      <c r="C17" s="27"/>
      <c r="D17" s="27"/>
      <c r="E17" s="7"/>
    </row>
    <row r="18" spans="1:7">
      <c r="A18" s="32"/>
      <c r="B18" s="74"/>
      <c r="C18" s="29"/>
      <c r="D18" s="29"/>
      <c r="E18" s="33"/>
    </row>
    <row r="19" spans="1:7">
      <c r="A19" s="27"/>
      <c r="B19" s="32" t="s">
        <v>31</v>
      </c>
      <c r="C19" s="27"/>
      <c r="D19" s="27"/>
      <c r="E19" s="7"/>
    </row>
    <row r="20" spans="1:7">
      <c r="A20" s="27"/>
      <c r="B20" s="54" t="s">
        <v>32</v>
      </c>
      <c r="C20" s="27"/>
      <c r="D20" s="27"/>
      <c r="E20" s="7"/>
    </row>
    <row r="21" spans="1:7" ht="15.75" thickBot="1">
      <c r="A21" s="27"/>
      <c r="B21" s="27"/>
      <c r="C21" s="34"/>
      <c r="D21" s="34"/>
      <c r="E21" s="35"/>
    </row>
    <row r="22" spans="1:7">
      <c r="A22" s="27"/>
      <c r="B22" s="27"/>
      <c r="C22" s="36">
        <f>C16</f>
        <v>85000</v>
      </c>
      <c r="D22" s="27"/>
      <c r="E22" s="37">
        <f>E16</f>
        <v>221000</v>
      </c>
      <c r="G22" s="38"/>
    </row>
    <row r="23" spans="1:7">
      <c r="A23" s="27"/>
      <c r="B23" s="27"/>
      <c r="C23" s="27"/>
      <c r="D23" s="27"/>
      <c r="E23" s="7"/>
    </row>
    <row r="24" spans="1:7">
      <c r="A24" s="27"/>
      <c r="B24" s="27"/>
      <c r="C24" s="27"/>
      <c r="D24" s="27"/>
      <c r="E24" s="7"/>
    </row>
    <row r="25" spans="1:7">
      <c r="A25" s="27"/>
      <c r="B25" s="39"/>
      <c r="C25" s="27"/>
      <c r="D25" s="27"/>
      <c r="E25" s="40"/>
    </row>
    <row r="26" spans="1:7">
      <c r="A26" s="27"/>
      <c r="B26" s="39"/>
      <c r="C26" s="27"/>
      <c r="D26" s="27"/>
      <c r="E26" s="30"/>
    </row>
    <row r="27" spans="1:7">
      <c r="A27" s="27"/>
      <c r="B27" s="27"/>
      <c r="C27" s="32" t="s">
        <v>16</v>
      </c>
      <c r="D27" s="27"/>
      <c r="E27" s="47">
        <v>0</v>
      </c>
    </row>
    <row r="28" spans="1:7">
      <c r="A28" s="27"/>
      <c r="B28" s="27"/>
      <c r="C28" s="27"/>
      <c r="D28" s="27"/>
      <c r="E28" s="27"/>
    </row>
    <row r="29" spans="1:7" ht="15.75" thickBot="1">
      <c r="A29" s="27"/>
      <c r="B29" s="27"/>
      <c r="C29" s="27"/>
      <c r="D29" s="27"/>
      <c r="E29" s="27"/>
    </row>
    <row r="30" spans="1:7" ht="15.75" thickBot="1">
      <c r="A30" s="34"/>
      <c r="B30" s="34"/>
      <c r="C30" s="41" t="s">
        <v>17</v>
      </c>
      <c r="D30" s="34"/>
      <c r="E30" s="42">
        <f>E27+E26+E25+E22</f>
        <v>221000</v>
      </c>
    </row>
    <row r="31" spans="1:7">
      <c r="A31" s="20"/>
      <c r="B31" s="6"/>
      <c r="C31" s="6"/>
      <c r="D31" s="6"/>
      <c r="E31" s="7"/>
    </row>
    <row r="32" spans="1:7">
      <c r="A32" s="4" t="s">
        <v>18</v>
      </c>
      <c r="B32" s="5" t="str">
        <f>[1]!rswords(E30)</f>
        <v>Rupees Two Lakh(s) Twenty One Thousand Only</v>
      </c>
      <c r="C32" s="6"/>
      <c r="D32" s="6"/>
      <c r="E32" s="7"/>
    </row>
    <row r="33" spans="1:5">
      <c r="A33" s="20"/>
      <c r="B33" s="6"/>
      <c r="C33" s="6"/>
      <c r="D33" s="6"/>
      <c r="E33" s="7"/>
    </row>
    <row r="34" spans="1:5">
      <c r="A34" s="20"/>
      <c r="B34" s="6"/>
      <c r="C34" s="5"/>
      <c r="D34" s="68" t="s">
        <v>19</v>
      </c>
      <c r="E34" s="69"/>
    </row>
    <row r="35" spans="1:5">
      <c r="A35" s="20"/>
      <c r="B35" s="6"/>
      <c r="C35" s="5"/>
      <c r="D35" s="5"/>
      <c r="E35" s="45"/>
    </row>
    <row r="36" spans="1:5" ht="15.75" thickBot="1">
      <c r="A36" s="4"/>
      <c r="B36" s="5"/>
      <c r="C36" s="5"/>
      <c r="D36" s="5"/>
      <c r="E36" s="45"/>
    </row>
    <row r="37" spans="1:5" ht="16.5" thickBot="1">
      <c r="A37" s="58" t="s">
        <v>20</v>
      </c>
      <c r="B37" s="59"/>
      <c r="C37" s="59"/>
      <c r="D37" s="59"/>
      <c r="E37" s="60"/>
    </row>
    <row r="38" spans="1:5">
      <c r="A38" s="46"/>
      <c r="B38" s="46"/>
      <c r="C38" s="46"/>
      <c r="D38" s="46"/>
      <c r="E38" s="46"/>
    </row>
    <row r="39" spans="1:5">
      <c r="A39" s="46"/>
      <c r="B39" s="46"/>
      <c r="C39" s="46"/>
      <c r="D39" s="46"/>
      <c r="E39" s="46"/>
    </row>
    <row r="40" spans="1:5">
      <c r="A40" s="46"/>
      <c r="B40" s="46"/>
      <c r="C40" s="46"/>
      <c r="D40" s="46"/>
      <c r="E40" s="46"/>
    </row>
  </sheetData>
  <mergeCells count="10">
    <mergeCell ref="B17:B18"/>
    <mergeCell ref="D34:E34"/>
    <mergeCell ref="A37:E37"/>
    <mergeCell ref="D1:E1"/>
    <mergeCell ref="A2:E2"/>
    <mergeCell ref="A3:E3"/>
    <mergeCell ref="A4:E4"/>
    <mergeCell ref="A15:A16"/>
    <mergeCell ref="B15:B16"/>
    <mergeCell ref="D9:E11"/>
  </mergeCells>
  <pageMargins left="0.36" right="0.24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"/>
  <sheetViews>
    <sheetView tabSelected="1" topLeftCell="A13" workbookViewId="0">
      <selection activeCell="H7" sqref="H7"/>
    </sheetView>
  </sheetViews>
  <sheetFormatPr defaultRowHeight="15"/>
  <cols>
    <col min="1" max="1" width="10.5703125" customWidth="1"/>
    <col min="2" max="2" width="43.42578125" customWidth="1"/>
    <col min="3" max="3" width="12.28515625" customWidth="1"/>
    <col min="4" max="4" width="11" customWidth="1"/>
    <col min="5" max="5" width="23.140625" customWidth="1"/>
    <col min="7" max="7" width="9.5703125" bestFit="1" customWidth="1"/>
  </cols>
  <sheetData>
    <row r="1" spans="1:5">
      <c r="D1" s="61"/>
      <c r="E1" s="61"/>
    </row>
    <row r="2" spans="1:5" ht="21">
      <c r="A2" s="62" t="s">
        <v>39</v>
      </c>
      <c r="B2" s="62"/>
      <c r="C2" s="62"/>
      <c r="D2" s="62"/>
      <c r="E2" s="62"/>
    </row>
    <row r="3" spans="1:5" ht="46.5">
      <c r="A3" s="63" t="s">
        <v>1</v>
      </c>
      <c r="B3" s="63"/>
      <c r="C3" s="63"/>
      <c r="D3" s="63"/>
      <c r="E3" s="63"/>
    </row>
    <row r="4" spans="1:5" ht="19.5" thickBot="1">
      <c r="A4" s="64" t="s">
        <v>2</v>
      </c>
      <c r="B4" s="64"/>
      <c r="C4" s="64"/>
      <c r="D4" s="64"/>
      <c r="E4" s="64"/>
    </row>
    <row r="5" spans="1:5">
      <c r="A5" s="1"/>
      <c r="B5" s="2"/>
      <c r="C5" s="2"/>
      <c r="D5" s="2"/>
      <c r="E5" s="3"/>
    </row>
    <row r="6" spans="1:5">
      <c r="A6" s="4" t="s">
        <v>3</v>
      </c>
      <c r="B6" s="5" t="s">
        <v>4</v>
      </c>
      <c r="C6" s="6"/>
      <c r="D6" s="6"/>
      <c r="E6" s="7"/>
    </row>
    <row r="7" spans="1:5">
      <c r="A7" s="4" t="s">
        <v>5</v>
      </c>
      <c r="B7" s="5" t="s">
        <v>6</v>
      </c>
      <c r="C7" s="6"/>
      <c r="D7" s="6"/>
      <c r="E7" s="7"/>
    </row>
    <row r="8" spans="1:5" ht="15.75" thickBot="1">
      <c r="A8" s="8"/>
      <c r="B8" s="55"/>
      <c r="C8" s="55"/>
      <c r="D8" s="55"/>
      <c r="E8" s="56"/>
    </row>
    <row r="9" spans="1:5" ht="15.75" customHeight="1">
      <c r="A9" s="11" t="s">
        <v>7</v>
      </c>
      <c r="B9" s="12"/>
      <c r="C9" s="13"/>
      <c r="D9" s="75" t="s">
        <v>42</v>
      </c>
      <c r="E9" s="76"/>
    </row>
    <row r="10" spans="1:5" ht="15.75">
      <c r="A10" s="14" t="s">
        <v>8</v>
      </c>
      <c r="B10" s="15"/>
      <c r="C10" s="16"/>
      <c r="D10" s="77"/>
      <c r="E10" s="78"/>
    </row>
    <row r="11" spans="1:5" ht="16.5" customHeight="1" thickBot="1">
      <c r="A11" s="17" t="s">
        <v>9</v>
      </c>
      <c r="B11" s="18"/>
      <c r="C11" s="19"/>
      <c r="D11" s="79"/>
      <c r="E11" s="80"/>
    </row>
    <row r="12" spans="1:5" ht="15.75" thickBot="1">
      <c r="A12" s="20"/>
      <c r="B12" s="6"/>
      <c r="C12" s="6"/>
      <c r="D12" s="6"/>
      <c r="E12" s="7"/>
    </row>
    <row r="13" spans="1:5" ht="30.75" thickBot="1">
      <c r="A13" s="21" t="s">
        <v>10</v>
      </c>
      <c r="B13" s="21" t="s">
        <v>11</v>
      </c>
      <c r="C13" s="22" t="s">
        <v>12</v>
      </c>
      <c r="D13" s="21" t="s">
        <v>13</v>
      </c>
      <c r="E13" s="21" t="s">
        <v>14</v>
      </c>
    </row>
    <row r="14" spans="1:5" ht="15.75" thickBot="1">
      <c r="A14" s="20"/>
      <c r="B14" s="6"/>
      <c r="C14" s="6"/>
      <c r="D14" s="6"/>
      <c r="E14" s="7"/>
    </row>
    <row r="15" spans="1:5">
      <c r="A15" s="70">
        <v>1</v>
      </c>
      <c r="B15" s="70" t="s">
        <v>27</v>
      </c>
      <c r="C15" s="25"/>
      <c r="D15" s="25"/>
      <c r="E15" s="26"/>
    </row>
    <row r="16" spans="1:5">
      <c r="A16" s="71"/>
      <c r="B16" s="71"/>
      <c r="C16" s="28">
        <v>1492665</v>
      </c>
      <c r="D16" s="29">
        <v>0.5</v>
      </c>
      <c r="E16" s="30">
        <f>C16*D16</f>
        <v>746332.5</v>
      </c>
    </row>
    <row r="17" spans="1:7">
      <c r="A17" s="27"/>
      <c r="B17" s="73" t="s">
        <v>40</v>
      </c>
      <c r="C17" s="27"/>
      <c r="D17" s="27"/>
      <c r="E17" s="7"/>
    </row>
    <row r="18" spans="1:7">
      <c r="A18" s="57"/>
      <c r="B18" s="73"/>
      <c r="C18" s="29"/>
      <c r="D18" s="29"/>
      <c r="E18" s="33"/>
    </row>
    <row r="19" spans="1:7">
      <c r="A19" s="27"/>
      <c r="B19" s="27" t="s">
        <v>15</v>
      </c>
      <c r="C19" s="27"/>
      <c r="D19" s="27"/>
      <c r="E19" s="7"/>
    </row>
    <row r="20" spans="1:7">
      <c r="A20" s="27"/>
      <c r="B20" s="27"/>
      <c r="C20" s="27"/>
      <c r="D20" s="27"/>
      <c r="E20" s="7"/>
    </row>
    <row r="21" spans="1:7" ht="15.75" thickBot="1">
      <c r="A21" s="27"/>
      <c r="B21" s="27"/>
      <c r="C21" s="34"/>
      <c r="D21" s="34"/>
      <c r="E21" s="35"/>
    </row>
    <row r="22" spans="1:7">
      <c r="A22" s="27"/>
      <c r="B22" s="27"/>
      <c r="C22" s="36">
        <f>C16</f>
        <v>1492665</v>
      </c>
      <c r="D22" s="27"/>
      <c r="E22" s="37">
        <f>E16</f>
        <v>746332.5</v>
      </c>
      <c r="G22" s="38"/>
    </row>
    <row r="23" spans="1:7">
      <c r="A23" s="27"/>
      <c r="B23" s="27"/>
      <c r="C23" s="27"/>
      <c r="D23" s="27"/>
      <c r="E23" s="7"/>
    </row>
    <row r="24" spans="1:7">
      <c r="A24" s="27"/>
      <c r="B24" s="27"/>
      <c r="C24" s="27"/>
      <c r="D24" s="27"/>
      <c r="E24" s="7"/>
    </row>
    <row r="25" spans="1:7">
      <c r="A25" s="27"/>
      <c r="B25" s="39"/>
      <c r="C25" s="27"/>
      <c r="D25" s="27"/>
      <c r="E25" s="40"/>
    </row>
    <row r="26" spans="1:7">
      <c r="A26" s="27"/>
      <c r="B26" s="39"/>
      <c r="C26" s="27"/>
      <c r="D26" s="27"/>
      <c r="E26" s="30"/>
    </row>
    <row r="27" spans="1:7">
      <c r="A27" s="27"/>
      <c r="B27" s="27"/>
      <c r="C27" s="57" t="s">
        <v>16</v>
      </c>
      <c r="D27" s="27"/>
      <c r="E27" s="47">
        <v>0.5</v>
      </c>
    </row>
    <row r="28" spans="1:7">
      <c r="A28" s="27"/>
      <c r="B28" s="27"/>
      <c r="C28" s="27"/>
      <c r="D28" s="27"/>
      <c r="E28" s="27"/>
    </row>
    <row r="29" spans="1:7" ht="15.75" thickBot="1">
      <c r="A29" s="27"/>
      <c r="B29" s="27"/>
      <c r="C29" s="27"/>
      <c r="D29" s="27"/>
      <c r="E29" s="27"/>
    </row>
    <row r="30" spans="1:7" ht="15.75" thickBot="1">
      <c r="A30" s="34"/>
      <c r="B30" s="34"/>
      <c r="C30" s="41" t="s">
        <v>17</v>
      </c>
      <c r="D30" s="34"/>
      <c r="E30" s="42">
        <f>E27+E26+E25+E22</f>
        <v>746333</v>
      </c>
    </row>
    <row r="31" spans="1:7">
      <c r="A31" s="20"/>
      <c r="B31" s="6"/>
      <c r="C31" s="6"/>
      <c r="D31" s="6"/>
      <c r="E31" s="7"/>
    </row>
    <row r="32" spans="1:7">
      <c r="A32" s="4" t="s">
        <v>18</v>
      </c>
      <c r="B32" s="5" t="str">
        <f>[1]!rswords(E30)</f>
        <v>Rupees Seven Lakh(s) Forty Six Thousand Three Hundred Thirty Three Only</v>
      </c>
      <c r="C32" s="6"/>
      <c r="D32" s="6"/>
      <c r="E32" s="7"/>
    </row>
    <row r="33" spans="1:5">
      <c r="A33" s="20"/>
      <c r="B33" s="6"/>
      <c r="C33" s="6"/>
      <c r="D33" s="6"/>
      <c r="E33" s="7"/>
    </row>
    <row r="34" spans="1:5">
      <c r="A34" s="20"/>
      <c r="B34" s="6"/>
      <c r="C34" s="5"/>
      <c r="D34" s="68" t="s">
        <v>19</v>
      </c>
      <c r="E34" s="69"/>
    </row>
    <row r="35" spans="1:5">
      <c r="A35" s="20"/>
      <c r="B35" s="6"/>
      <c r="C35" s="5"/>
      <c r="D35" s="5"/>
      <c r="E35" s="45"/>
    </row>
    <row r="36" spans="1:5" ht="15.75" thickBot="1">
      <c r="A36" s="4"/>
      <c r="B36" s="5"/>
      <c r="C36" s="5"/>
      <c r="D36" s="5"/>
      <c r="E36" s="45"/>
    </row>
    <row r="37" spans="1:5" ht="16.5" thickBot="1">
      <c r="A37" s="58" t="s">
        <v>20</v>
      </c>
      <c r="B37" s="59"/>
      <c r="C37" s="59"/>
      <c r="D37" s="59"/>
      <c r="E37" s="60"/>
    </row>
    <row r="38" spans="1:5">
      <c r="A38" s="46"/>
      <c r="B38" s="46"/>
      <c r="C38" s="46"/>
      <c r="D38" s="46"/>
      <c r="E38" s="46"/>
    </row>
    <row r="39" spans="1:5">
      <c r="A39" s="46"/>
      <c r="B39" s="46"/>
      <c r="C39" s="46"/>
      <c r="D39" s="46"/>
      <c r="E39" s="46"/>
    </row>
    <row r="40" spans="1:5">
      <c r="A40" s="46"/>
      <c r="B40" s="46"/>
      <c r="C40" s="46"/>
      <c r="D40" s="46"/>
      <c r="E40" s="46"/>
    </row>
  </sheetData>
  <mergeCells count="10">
    <mergeCell ref="B17:B18"/>
    <mergeCell ref="D34:E34"/>
    <mergeCell ref="A37:E37"/>
    <mergeCell ref="D1:E1"/>
    <mergeCell ref="A2:E2"/>
    <mergeCell ref="A3:E3"/>
    <mergeCell ref="A4:E4"/>
    <mergeCell ref="A15:A16"/>
    <mergeCell ref="B15:B16"/>
    <mergeCell ref="D9:E11"/>
  </mergeCells>
  <pageMargins left="0.36" right="0.24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April 2021</vt:lpstr>
      <vt:lpstr>May 2021</vt:lpstr>
      <vt:lpstr>June 2021</vt:lpstr>
      <vt:lpstr>03|20-21</vt:lpstr>
      <vt:lpstr>03|20-21 (2)</vt:lpstr>
      <vt:lpstr>03|20-21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2021-09-08T05:49:40Z</dcterms:modified>
</cp:coreProperties>
</file>