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activeTab="1"/>
  </bookViews>
  <sheets>
    <sheet name="April 2021" sheetId="1" r:id="rId1"/>
    <sheet name="May 2021" sheetId="4" r:id="rId2"/>
  </sheets>
  <externalReferences>
    <externalReference r:id="rId3"/>
  </externalReferences>
  <calcPr calcId="125725"/>
</workbook>
</file>

<file path=xl/calcChain.xml><?xml version="1.0" encoding="utf-8"?>
<calcChain xmlns="http://schemas.openxmlformats.org/spreadsheetml/2006/main">
  <c r="C22" i="4"/>
  <c r="E16"/>
  <c r="E22" s="1"/>
  <c r="E30" s="1"/>
  <c r="C22" i="1"/>
  <c r="E16"/>
  <c r="E22" s="1"/>
  <c r="B32" i="4"/>
  <c r="E30" i="1" l="1"/>
  <c r="B32"/>
</calcChain>
</file>

<file path=xl/sharedStrings.xml><?xml version="1.0" encoding="utf-8"?>
<sst xmlns="http://schemas.openxmlformats.org/spreadsheetml/2006/main" count="50" uniqueCount="27">
  <si>
    <t>TAX INVOICE</t>
  </si>
  <si>
    <t>RIYA PACKAGING</t>
  </si>
  <si>
    <t>B-97, C-3, Shalimar Garden, Sahibabad, Ghaziabad. Pin Code - 201006</t>
  </si>
  <si>
    <t>PAN NO</t>
  </si>
  <si>
    <t xml:space="preserve">      APOPP4450N</t>
  </si>
  <si>
    <t>GSTIN  :</t>
  </si>
  <si>
    <t>09APOPP4450N1Z4</t>
  </si>
  <si>
    <t>M/s PATAKA INDUSTRIES PVT.LTD</t>
  </si>
  <si>
    <t>24.Gyani Border, Ghaziabad</t>
  </si>
  <si>
    <t>CUSTOMER'S GSTIN NO-09AABCP5057C1ZL</t>
  </si>
  <si>
    <t>SL No.</t>
  </si>
  <si>
    <t>Particular's</t>
  </si>
  <si>
    <t>Qnty.  In Kgs.</t>
  </si>
  <si>
    <t>Rate Per kg.</t>
  </si>
  <si>
    <t>Amount.</t>
  </si>
  <si>
    <t xml:space="preserve">    </t>
  </si>
  <si>
    <t>R/o</t>
  </si>
  <si>
    <t>Grand Total</t>
  </si>
  <si>
    <t>Rs.in word.</t>
  </si>
  <si>
    <t>For Riya Packaging</t>
  </si>
  <si>
    <t>Works at : 24 Gyani Border, Sahibabad, Ghaziabad, U.P.</t>
  </si>
  <si>
    <t xml:space="preserve">Invoice No :- 01/21-22 Date          :- 01.05.2021          </t>
  </si>
  <si>
    <t>Labour Charges for blending &amp; Packaging for the</t>
  </si>
  <si>
    <t>month of April 2021</t>
  </si>
  <si>
    <t xml:space="preserve"> - 0.40</t>
  </si>
  <si>
    <t xml:space="preserve">Invoice No :- 02/21-22 Date          :- 01.06.2021          </t>
  </si>
  <si>
    <t>month of May 2021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</si>
</sst>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6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0" xfId="0" applyFont="1" applyBorder="1"/>
    <xf numFmtId="0" fontId="0" fillId="0" borderId="0" xfId="0" applyBorder="1"/>
    <xf numFmtId="0" fontId="0" fillId="0" borderId="5" xfId="0" applyBorder="1"/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5" fillId="0" borderId="1" xfId="0" applyFont="1" applyBorder="1" applyAlignment="1"/>
    <xf numFmtId="0" fontId="5" fillId="0" borderId="2" xfId="0" applyFont="1" applyBorder="1" applyAlignment="1"/>
    <xf numFmtId="0" fontId="1" fillId="0" borderId="2" xfId="0" applyFont="1" applyBorder="1" applyAlignment="1">
      <alignment horizontal="center"/>
    </xf>
    <xf numFmtId="0" fontId="5" fillId="0" borderId="4" xfId="0" applyFont="1" applyBorder="1" applyAlignment="1"/>
    <xf numFmtId="0" fontId="5" fillId="0" borderId="0" xfId="0" applyFont="1" applyBorder="1" applyAlignment="1"/>
    <xf numFmtId="0" fontId="6" fillId="0" borderId="0" xfId="0" applyFont="1" applyBorder="1" applyAlignment="1"/>
    <xf numFmtId="0" fontId="5" fillId="0" borderId="8" xfId="0" applyFont="1" applyBorder="1" applyAlignment="1"/>
    <xf numFmtId="0" fontId="5" fillId="0" borderId="9" xfId="0" applyFont="1" applyBorder="1" applyAlignment="1"/>
    <xf numFmtId="0" fontId="6" fillId="0" borderId="9" xfId="0" applyFont="1" applyBorder="1" applyAlignment="1"/>
    <xf numFmtId="0" fontId="0" fillId="0" borderId="4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6" xfId="0" applyBorder="1"/>
    <xf numFmtId="2" fontId="0" fillId="0" borderId="6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right"/>
    </xf>
    <xf numFmtId="2" fontId="0" fillId="0" borderId="7" xfId="0" applyNumberFormat="1" applyBorder="1" applyAlignment="1">
      <alignment horizontal="center"/>
    </xf>
    <xf numFmtId="2" fontId="0" fillId="0" borderId="5" xfId="0" applyNumberFormat="1" applyBorder="1"/>
    <xf numFmtId="17" fontId="0" fillId="0" borderId="7" xfId="0" applyNumberFormat="1" applyBorder="1"/>
    <xf numFmtId="0" fontId="0" fillId="0" borderId="7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10" xfId="0" applyBorder="1"/>
    <xf numFmtId="0" fontId="0" fillId="0" borderId="12" xfId="0" applyBorder="1"/>
    <xf numFmtId="2" fontId="0" fillId="0" borderId="7" xfId="0" applyNumberFormat="1" applyFont="1" applyBorder="1" applyAlignment="1"/>
    <xf numFmtId="2" fontId="0" fillId="0" borderId="5" xfId="0" applyNumberFormat="1" applyBorder="1" applyAlignment="1">
      <alignment horizontal="right"/>
    </xf>
    <xf numFmtId="2" fontId="0" fillId="0" borderId="0" xfId="0" applyNumberFormat="1"/>
    <xf numFmtId="0" fontId="7" fillId="0" borderId="7" xfId="1" applyBorder="1" applyAlignment="1" applyProtection="1"/>
    <xf numFmtId="2" fontId="0" fillId="0" borderId="5" xfId="0" applyNumberFormat="1" applyBorder="1" applyAlignment="1"/>
    <xf numFmtId="0" fontId="1" fillId="0" borderId="10" xfId="0" applyFont="1" applyBorder="1" applyAlignment="1">
      <alignment horizontal="center"/>
    </xf>
    <xf numFmtId="4" fontId="1" fillId="0" borderId="13" xfId="0" applyNumberFormat="1" applyFont="1" applyBorder="1"/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" fillId="0" borderId="0" xfId="0" applyFont="1"/>
    <xf numFmtId="2" fontId="0" fillId="0" borderId="7" xfId="0" quotePrefix="1" applyNumberFormat="1" applyBorder="1" applyAlignment="1">
      <alignment horizontal="right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oftware\SureshAddin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definedNames>
      <definedName name="rsword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topLeftCell="A7" workbookViewId="0">
      <selection activeCell="E17" sqref="E17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51"/>
      <c r="E1" s="51"/>
    </row>
    <row r="2" spans="1:5" ht="21">
      <c r="A2" s="52" t="s">
        <v>0</v>
      </c>
      <c r="B2" s="52"/>
      <c r="C2" s="52"/>
      <c r="D2" s="52"/>
      <c r="E2" s="52"/>
    </row>
    <row r="3" spans="1:5" ht="46.5">
      <c r="A3" s="53" t="s">
        <v>1</v>
      </c>
      <c r="B3" s="53"/>
      <c r="C3" s="53"/>
      <c r="D3" s="53"/>
      <c r="E3" s="53"/>
    </row>
    <row r="4" spans="1:5" ht="19.5" thickBot="1">
      <c r="A4" s="54" t="s">
        <v>2</v>
      </c>
      <c r="B4" s="54"/>
      <c r="C4" s="54"/>
      <c r="D4" s="54"/>
      <c r="E4" s="54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9"/>
      <c r="C8" s="9"/>
      <c r="D8" s="9"/>
      <c r="E8" s="10"/>
    </row>
    <row r="9" spans="1:5" ht="15.75">
      <c r="A9" s="11" t="s">
        <v>7</v>
      </c>
      <c r="B9" s="12"/>
      <c r="C9" s="13"/>
      <c r="D9" s="13"/>
      <c r="E9" s="55" t="s">
        <v>21</v>
      </c>
    </row>
    <row r="10" spans="1:5" ht="15.75">
      <c r="A10" s="14" t="s">
        <v>8</v>
      </c>
      <c r="B10" s="15"/>
      <c r="C10" s="16"/>
      <c r="D10" s="16"/>
      <c r="E10" s="56"/>
    </row>
    <row r="11" spans="1:5" ht="16.5" thickBot="1">
      <c r="A11" s="17" t="s">
        <v>9</v>
      </c>
      <c r="B11" s="18"/>
      <c r="C11" s="19"/>
      <c r="D11" s="19"/>
      <c r="E11" s="57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22</v>
      </c>
      <c r="C15" s="25"/>
      <c r="D15" s="25"/>
      <c r="E15" s="26"/>
    </row>
    <row r="16" spans="1:5">
      <c r="A16" s="27"/>
      <c r="B16" s="27" t="s">
        <v>23</v>
      </c>
      <c r="C16" s="28">
        <v>128662</v>
      </c>
      <c r="D16" s="29">
        <v>2.2000000000000002</v>
      </c>
      <c r="E16" s="30">
        <f>C16*D16</f>
        <v>283056.40000000002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128662</v>
      </c>
      <c r="D22" s="27"/>
      <c r="E22" s="37">
        <f>E16</f>
        <v>283056.40000000002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24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283056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Eighty Three Thousand Fifty Six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58" t="s">
        <v>19</v>
      </c>
      <c r="E34" s="59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48" t="s">
        <v>20</v>
      </c>
      <c r="B37" s="49"/>
      <c r="C37" s="49"/>
      <c r="D37" s="49"/>
      <c r="E37" s="50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40"/>
  <sheetViews>
    <sheetView tabSelected="1" workbookViewId="0">
      <selection sqref="A1:E38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51"/>
      <c r="E1" s="51"/>
    </row>
    <row r="2" spans="1:5" ht="21">
      <c r="A2" s="52" t="s">
        <v>0</v>
      </c>
      <c r="B2" s="52"/>
      <c r="C2" s="52"/>
      <c r="D2" s="52"/>
      <c r="E2" s="52"/>
    </row>
    <row r="3" spans="1:5" ht="46.5">
      <c r="A3" s="53" t="s">
        <v>1</v>
      </c>
      <c r="B3" s="53"/>
      <c r="C3" s="53"/>
      <c r="D3" s="53"/>
      <c r="E3" s="53"/>
    </row>
    <row r="4" spans="1:5" ht="19.5" thickBot="1">
      <c r="A4" s="54" t="s">
        <v>2</v>
      </c>
      <c r="B4" s="54"/>
      <c r="C4" s="54"/>
      <c r="D4" s="54"/>
      <c r="E4" s="54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3"/>
      <c r="C8" s="43"/>
      <c r="D8" s="43"/>
      <c r="E8" s="44"/>
    </row>
    <row r="9" spans="1:5" ht="15.75">
      <c r="A9" s="11" t="s">
        <v>7</v>
      </c>
      <c r="B9" s="12"/>
      <c r="C9" s="13"/>
      <c r="D9" s="13"/>
      <c r="E9" s="55" t="s">
        <v>25</v>
      </c>
    </row>
    <row r="10" spans="1:5" ht="15.75">
      <c r="A10" s="14" t="s">
        <v>8</v>
      </c>
      <c r="B10" s="15"/>
      <c r="C10" s="16"/>
      <c r="D10" s="16"/>
      <c r="E10" s="56"/>
    </row>
    <row r="11" spans="1:5" ht="16.5" thickBot="1">
      <c r="A11" s="17" t="s">
        <v>9</v>
      </c>
      <c r="B11" s="18"/>
      <c r="C11" s="19"/>
      <c r="D11" s="19"/>
      <c r="E11" s="57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22</v>
      </c>
      <c r="C15" s="25"/>
      <c r="D15" s="25"/>
      <c r="E15" s="26"/>
    </row>
    <row r="16" spans="1:5">
      <c r="A16" s="27"/>
      <c r="B16" s="27" t="s">
        <v>26</v>
      </c>
      <c r="C16" s="28">
        <v>90826</v>
      </c>
      <c r="D16" s="29">
        <v>2.9</v>
      </c>
      <c r="E16" s="30">
        <f>C16*D16</f>
        <v>263395.39999999997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90826</v>
      </c>
      <c r="D22" s="27"/>
      <c r="E22" s="37">
        <f>E16</f>
        <v>263395.39999999997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24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263394.99999999994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Sixty Three Thousand Three Hundred Ninety Five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58" t="s">
        <v>19</v>
      </c>
      <c r="E34" s="59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48" t="s">
        <v>20</v>
      </c>
      <c r="B37" s="49"/>
      <c r="C37" s="49"/>
      <c r="D37" s="49"/>
      <c r="E37" s="50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</vt:lpstr>
      <vt:lpstr>May 2021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2021-06-01T08:53:21Z</dcterms:modified>
</cp:coreProperties>
</file>