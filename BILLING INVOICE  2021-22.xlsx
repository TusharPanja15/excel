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filterPrivacy="1" defaultThemeVersion="124226"/>
  <bookViews>
    <workbookView xWindow="240" yWindow="105" windowWidth="14805" windowHeight="8010" activeTab="6"/>
  </bookViews>
  <sheets>
    <sheet name="April 2021" sheetId="1" r:id="rId1"/>
    <sheet name="May 2021" sheetId="4" r:id="rId2"/>
    <sheet name="June 2021" sheetId="7" r:id="rId3"/>
    <sheet name="03|20-21" sheetId="5" r:id="rId4"/>
    <sheet name="03|20-21 (2)" sheetId="6" r:id="rId5"/>
    <sheet name="03|20-21 (3)" sheetId="9" r:id="rId6"/>
    <sheet name="September 2021" sheetId="10" r:id="rId7"/>
  </sheets>
  <externalReferences>
    <externalReference r:id="rId8"/>
  </externalReferences>
  <calcPr calcId="125725"/>
</workbook>
</file>

<file path=xl/calcChain.xml><?xml version="1.0" encoding="utf-8"?>
<calcChain xmlns="http://schemas.openxmlformats.org/spreadsheetml/2006/main">
  <c r="C22" i="10"/>
  <c r="E16"/>
  <c r="E22" s="1"/>
  <c r="E30" s="1"/>
  <c r="C22" i="9"/>
  <c r="E16"/>
  <c r="E22" s="1"/>
  <c r="E30" s="1"/>
  <c r="B32"/>
  <c r="B32" i="10"/>
  <c r="C22" i="7" l="1"/>
  <c r="E16"/>
  <c r="E22" s="1"/>
  <c r="E30" s="1"/>
  <c r="B32"/>
  <c r="C22" i="6" l="1"/>
  <c r="E16"/>
  <c r="E22" s="1"/>
  <c r="E30" s="1"/>
  <c r="C22" i="5"/>
  <c r="E16"/>
  <c r="E22" s="1"/>
  <c r="E30" s="1"/>
  <c r="C22" i="4"/>
  <c r="E16"/>
  <c r="E22" s="1"/>
  <c r="E30" s="1"/>
  <c r="C22" i="1"/>
  <c r="E16"/>
  <c r="E22" s="1"/>
  <c r="B32" i="4"/>
  <c r="B32" i="5"/>
  <c r="B32" i="6"/>
  <c r="E30" i="1" l="1"/>
  <c r="B32"/>
</calcChain>
</file>

<file path=xl/sharedStrings.xml><?xml version="1.0" encoding="utf-8"?>
<sst xmlns="http://schemas.openxmlformats.org/spreadsheetml/2006/main" count="172" uniqueCount="45">
  <si>
    <t>TAX INVOICE</t>
  </si>
  <si>
    <t>RIYA PACKAGING</t>
  </si>
  <si>
    <t>B-97, C-3, Shalimar Garden, Sahibabad, Ghaziabad. Pin Code - 201006</t>
  </si>
  <si>
    <t>PAN NO</t>
  </si>
  <si>
    <t xml:space="preserve">      APOPP4450N</t>
  </si>
  <si>
    <t>GSTIN  :</t>
  </si>
  <si>
    <t>09APOPP4450N1Z4</t>
  </si>
  <si>
    <t>M/s PATAKA INDUSTRIES PVT.LTD</t>
  </si>
  <si>
    <t>24.Gyani Border, Ghaziabad</t>
  </si>
  <si>
    <t>CUSTOMER'S GSTIN NO-09AABCP5057C1ZL</t>
  </si>
  <si>
    <t>SL No.</t>
  </si>
  <si>
    <t>Particular's</t>
  </si>
  <si>
    <t>Qnty.  In Kgs.</t>
  </si>
  <si>
    <t>Rate Per kg.</t>
  </si>
  <si>
    <t>Amount.</t>
  </si>
  <si>
    <t xml:space="preserve">    </t>
  </si>
  <si>
    <t>R/o</t>
  </si>
  <si>
    <t>Grand Total</t>
  </si>
  <si>
    <t>Rs.in word.</t>
  </si>
  <si>
    <t>For Riya Packaging</t>
  </si>
  <si>
    <t>Works at : 24 Gyani Border, Sahibabad, Ghaziabad, U.P.</t>
  </si>
  <si>
    <t>Labour Charges for blending &amp; Packaging for the</t>
  </si>
  <si>
    <t>month of April 2021</t>
  </si>
  <si>
    <t>month of May 2021</t>
  </si>
  <si>
    <t xml:space="preserve"> - 0.20</t>
  </si>
  <si>
    <t xml:space="preserve"> + 0.40</t>
  </si>
  <si>
    <t xml:space="preserve">Invoice No :- 03/20-21 Date          :- 18.06.2021          </t>
  </si>
  <si>
    <t xml:space="preserve">Packeting &amp; Blending charges for the month of </t>
  </si>
  <si>
    <t xml:space="preserve">Invoice No :- 01/21-22 Date          :- 30.04.2021          </t>
  </si>
  <si>
    <t xml:space="preserve">Invoice No :- 02/21-22 Date          :- 31.05.2021          </t>
  </si>
  <si>
    <t>April 2020 to March 2021 (Difference Rate)</t>
  </si>
  <si>
    <t>(Lockdown Period)</t>
  </si>
  <si>
    <t>(Guaranteed Quantity 85000 Kgs)</t>
  </si>
  <si>
    <t xml:space="preserve">Packeting &amp; Blending charges </t>
  </si>
  <si>
    <t>for the month of April 2021</t>
  </si>
  <si>
    <t xml:space="preserve">Invoice No :- 03/21-22 Date          :- 30.06.2021          </t>
  </si>
  <si>
    <t>for the month of June 2021</t>
  </si>
  <si>
    <t>Labour Charges for blending &amp; Packaging</t>
  </si>
  <si>
    <t>+ 0.2</t>
  </si>
  <si>
    <t>INVOICE</t>
  </si>
  <si>
    <t>April 2020 to March 2021</t>
  </si>
  <si>
    <t xml:space="preserve">Invoice No :- 04/20-21                     Date :- 18.06.2021          </t>
  </si>
  <si>
    <t xml:space="preserve">Invoice No :- RP 01/21-22                    Date :- 18.06.2021          </t>
  </si>
  <si>
    <t>for the month of November 2021</t>
  </si>
  <si>
    <t xml:space="preserve">Invoice No :- 08/21-22 Date          :- 01.11.2021          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</si>
</sst>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u/>
      <sz val="3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>
      <alignment vertical="top"/>
      <protection locked="0"/>
    </xf>
  </cellStyleXfs>
  <cellXfs count="85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4" xfId="0" applyFont="1" applyBorder="1"/>
    <xf numFmtId="0" fontId="1" fillId="0" borderId="0" xfId="0" applyFont="1" applyBorder="1"/>
    <xf numFmtId="0" fontId="0" fillId="0" borderId="0" xfId="0" applyBorder="1"/>
    <xf numFmtId="0" fontId="0" fillId="0" borderId="5" xfId="0" applyBorder="1"/>
    <xf numFmtId="0" fontId="1" fillId="0" borderId="4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5" fillId="0" borderId="1" xfId="0" applyFont="1" applyBorder="1" applyAlignment="1"/>
    <xf numFmtId="0" fontId="5" fillId="0" borderId="2" xfId="0" applyFont="1" applyBorder="1" applyAlignment="1"/>
    <xf numFmtId="0" fontId="1" fillId="0" borderId="2" xfId="0" applyFont="1" applyBorder="1" applyAlignment="1">
      <alignment horizontal="center"/>
    </xf>
    <xf numFmtId="0" fontId="5" fillId="0" borderId="4" xfId="0" applyFont="1" applyBorder="1" applyAlignment="1"/>
    <xf numFmtId="0" fontId="5" fillId="0" borderId="0" xfId="0" applyFont="1" applyBorder="1" applyAlignment="1"/>
    <xf numFmtId="0" fontId="6" fillId="0" borderId="0" xfId="0" applyFont="1" applyBorder="1" applyAlignment="1"/>
    <xf numFmtId="0" fontId="5" fillId="0" borderId="8" xfId="0" applyFont="1" applyBorder="1" applyAlignment="1"/>
    <xf numFmtId="0" fontId="5" fillId="0" borderId="9" xfId="0" applyFont="1" applyBorder="1" applyAlignment="1"/>
    <xf numFmtId="0" fontId="6" fillId="0" borderId="9" xfId="0" applyFont="1" applyBorder="1" applyAlignment="1"/>
    <xf numFmtId="0" fontId="0" fillId="0" borderId="4" xfId="0" applyBorder="1"/>
    <xf numFmtId="0" fontId="0" fillId="0" borderId="11" xfId="0" applyBorder="1" applyAlignment="1">
      <alignment horizontal="center"/>
    </xf>
    <xf numFmtId="0" fontId="0" fillId="0" borderId="11" xfId="0" applyBorder="1" applyAlignment="1">
      <alignment horizontal="center" wrapText="1"/>
    </xf>
    <xf numFmtId="0" fontId="0" fillId="0" borderId="6" xfId="0" applyBorder="1" applyAlignment="1">
      <alignment horizontal="center"/>
    </xf>
    <xf numFmtId="0" fontId="0" fillId="0" borderId="6" xfId="0" applyBorder="1"/>
    <xf numFmtId="2" fontId="0" fillId="0" borderId="6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0" fontId="0" fillId="0" borderId="7" xfId="0" applyBorder="1"/>
    <xf numFmtId="2" fontId="0" fillId="0" borderId="7" xfId="0" applyNumberFormat="1" applyBorder="1" applyAlignment="1">
      <alignment horizontal="right"/>
    </xf>
    <xf numFmtId="2" fontId="0" fillId="0" borderId="7" xfId="0" applyNumberFormat="1" applyBorder="1" applyAlignment="1">
      <alignment horizontal="center"/>
    </xf>
    <xf numFmtId="2" fontId="0" fillId="0" borderId="5" xfId="0" applyNumberFormat="1" applyBorder="1"/>
    <xf numFmtId="17" fontId="0" fillId="0" borderId="7" xfId="0" applyNumberFormat="1" applyBorder="1"/>
    <xf numFmtId="0" fontId="0" fillId="0" borderId="7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0" fillId="0" borderId="10" xfId="0" applyBorder="1"/>
    <xf numFmtId="0" fontId="0" fillId="0" borderId="12" xfId="0" applyBorder="1"/>
    <xf numFmtId="2" fontId="0" fillId="0" borderId="7" xfId="0" applyNumberFormat="1" applyFont="1" applyBorder="1" applyAlignment="1"/>
    <xf numFmtId="2" fontId="0" fillId="0" borderId="5" xfId="0" applyNumberFormat="1" applyBorder="1" applyAlignment="1">
      <alignment horizontal="right"/>
    </xf>
    <xf numFmtId="2" fontId="0" fillId="0" borderId="0" xfId="0" applyNumberFormat="1"/>
    <xf numFmtId="0" fontId="7" fillId="0" borderId="7" xfId="1" applyBorder="1" applyAlignment="1" applyProtection="1"/>
    <xf numFmtId="2" fontId="0" fillId="0" borderId="5" xfId="0" applyNumberFormat="1" applyBorder="1" applyAlignment="1"/>
    <xf numFmtId="0" fontId="1" fillId="0" borderId="10" xfId="0" applyFont="1" applyBorder="1" applyAlignment="1">
      <alignment horizontal="center"/>
    </xf>
    <xf numFmtId="4" fontId="1" fillId="0" borderId="13" xfId="0" applyNumberFormat="1" applyFont="1" applyBorder="1"/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5" xfId="0" applyFont="1" applyBorder="1"/>
    <xf numFmtId="0" fontId="1" fillId="0" borderId="0" xfId="0" applyFont="1"/>
    <xf numFmtId="2" fontId="0" fillId="0" borderId="7" xfId="0" quotePrefix="1" applyNumberFormat="1" applyBorder="1" applyAlignment="1">
      <alignment horizontal="right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0" fillId="0" borderId="0" xfId="0" applyAlignment="1">
      <alignment horizontal="right"/>
    </xf>
    <xf numFmtId="0" fontId="2" fillId="0" borderId="0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Border="1" applyAlignment="1">
      <alignment horizontal="center" vertical="center"/>
    </xf>
    <xf numFmtId="0" fontId="5" fillId="0" borderId="6" xfId="0" applyFont="1" applyBorder="1" applyAlignment="1">
      <alignment horizontal="left" vertical="center" wrapText="1"/>
    </xf>
    <xf numFmtId="0" fontId="5" fillId="0" borderId="7" xfId="0" applyFont="1" applyBorder="1" applyAlignment="1">
      <alignment horizontal="left" vertical="center" wrapText="1"/>
    </xf>
    <xf numFmtId="0" fontId="5" fillId="0" borderId="10" xfId="0" applyFont="1" applyBorder="1" applyAlignment="1">
      <alignment horizontal="left" vertical="center" wrapText="1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7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9" fontId="0" fillId="0" borderId="7" xfId="0" applyNumberFormat="1" applyBorder="1" applyAlignment="1">
      <alignment horizontal="center" vertical="top"/>
    </xf>
    <xf numFmtId="0" fontId="5" fillId="0" borderId="1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Software\SureshAddin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definedNames>
      <definedName name="rswords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0"/>
  <sheetViews>
    <sheetView workbookViewId="0"/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5"/>
      <c r="E1" s="65"/>
    </row>
    <row r="2" spans="1:5" ht="21">
      <c r="A2" s="66" t="s">
        <v>39</v>
      </c>
      <c r="B2" s="66"/>
      <c r="C2" s="66"/>
      <c r="D2" s="66"/>
      <c r="E2" s="66"/>
    </row>
    <row r="3" spans="1:5" ht="46.5">
      <c r="A3" s="67" t="s">
        <v>1</v>
      </c>
      <c r="B3" s="67"/>
      <c r="C3" s="67"/>
      <c r="D3" s="67"/>
      <c r="E3" s="67"/>
    </row>
    <row r="4" spans="1:5" ht="19.5" thickBot="1">
      <c r="A4" s="68" t="s">
        <v>2</v>
      </c>
      <c r="B4" s="68"/>
      <c r="C4" s="68"/>
      <c r="D4" s="68"/>
      <c r="E4" s="68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9"/>
      <c r="C8" s="9"/>
      <c r="D8" s="9"/>
      <c r="E8" s="10"/>
    </row>
    <row r="9" spans="1:5" ht="15.75">
      <c r="A9" s="11" t="s">
        <v>7</v>
      </c>
      <c r="B9" s="12"/>
      <c r="C9" s="13"/>
      <c r="D9" s="13"/>
      <c r="E9" s="69" t="s">
        <v>28</v>
      </c>
    </row>
    <row r="10" spans="1:5" ht="15.75">
      <c r="A10" s="14" t="s">
        <v>8</v>
      </c>
      <c r="B10" s="15"/>
      <c r="C10" s="16"/>
      <c r="D10" s="16"/>
      <c r="E10" s="70"/>
    </row>
    <row r="11" spans="1:5" ht="16.5" thickBot="1">
      <c r="A11" s="17" t="s">
        <v>9</v>
      </c>
      <c r="B11" s="18"/>
      <c r="C11" s="19"/>
      <c r="D11" s="19"/>
      <c r="E11" s="71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23">
        <v>1</v>
      </c>
      <c r="B15" s="24" t="s">
        <v>21</v>
      </c>
      <c r="C15" s="25"/>
      <c r="D15" s="25"/>
      <c r="E15" s="26"/>
    </row>
    <row r="16" spans="1:5">
      <c r="A16" s="27"/>
      <c r="B16" s="27" t="s">
        <v>22</v>
      </c>
      <c r="C16" s="28">
        <v>128662</v>
      </c>
      <c r="D16" s="29">
        <v>2.6</v>
      </c>
      <c r="E16" s="30">
        <f>C16*D16</f>
        <v>334521.2</v>
      </c>
    </row>
    <row r="17" spans="1:7">
      <c r="A17" s="27"/>
      <c r="B17" s="31"/>
      <c r="C17" s="27"/>
      <c r="D17" s="27"/>
      <c r="E17" s="7"/>
    </row>
    <row r="18" spans="1:7">
      <c r="A18" s="32"/>
      <c r="B18" s="27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128662</v>
      </c>
      <c r="D22" s="27"/>
      <c r="E22" s="37">
        <f>E16</f>
        <v>334521.2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32" t="s">
        <v>16</v>
      </c>
      <c r="D27" s="27"/>
      <c r="E27" s="47" t="s">
        <v>24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334521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Three Lakh(s) Thirty Four Thousand Five Hundred Twenty One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72" t="s">
        <v>19</v>
      </c>
      <c r="E34" s="73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62" t="s">
        <v>20</v>
      </c>
      <c r="B37" s="63"/>
      <c r="C37" s="63"/>
      <c r="D37" s="63"/>
      <c r="E37" s="64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7">
    <mergeCell ref="A37:E37"/>
    <mergeCell ref="D1:E1"/>
    <mergeCell ref="A2:E2"/>
    <mergeCell ref="A3:E3"/>
    <mergeCell ref="A4:E4"/>
    <mergeCell ref="E9:E11"/>
    <mergeCell ref="D34:E34"/>
  </mergeCells>
  <pageMargins left="0.36" right="0.24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G40"/>
  <sheetViews>
    <sheetView workbookViewId="0">
      <selection activeCell="A3" sqref="A3:E3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5"/>
      <c r="E1" s="65"/>
    </row>
    <row r="2" spans="1:5" ht="21">
      <c r="A2" s="66" t="s">
        <v>39</v>
      </c>
      <c r="B2" s="66"/>
      <c r="C2" s="66"/>
      <c r="D2" s="66"/>
      <c r="E2" s="66"/>
    </row>
    <row r="3" spans="1:5" ht="46.5">
      <c r="A3" s="67" t="s">
        <v>1</v>
      </c>
      <c r="B3" s="67"/>
      <c r="C3" s="67"/>
      <c r="D3" s="67"/>
      <c r="E3" s="67"/>
    </row>
    <row r="4" spans="1:5" ht="19.5" thickBot="1">
      <c r="A4" s="68" t="s">
        <v>2</v>
      </c>
      <c r="B4" s="68"/>
      <c r="C4" s="68"/>
      <c r="D4" s="68"/>
      <c r="E4" s="68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43"/>
      <c r="C8" s="43"/>
      <c r="D8" s="43"/>
      <c r="E8" s="44"/>
    </row>
    <row r="9" spans="1:5" ht="15.75">
      <c r="A9" s="11" t="s">
        <v>7</v>
      </c>
      <c r="B9" s="12"/>
      <c r="C9" s="13"/>
      <c r="D9" s="13"/>
      <c r="E9" s="69" t="s">
        <v>29</v>
      </c>
    </row>
    <row r="10" spans="1:5" ht="15.75">
      <c r="A10" s="14" t="s">
        <v>8</v>
      </c>
      <c r="B10" s="15"/>
      <c r="C10" s="16"/>
      <c r="D10" s="16"/>
      <c r="E10" s="70"/>
    </row>
    <row r="11" spans="1:5" ht="16.5" thickBot="1">
      <c r="A11" s="17" t="s">
        <v>9</v>
      </c>
      <c r="B11" s="18"/>
      <c r="C11" s="19"/>
      <c r="D11" s="19"/>
      <c r="E11" s="71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23">
        <v>1</v>
      </c>
      <c r="B15" s="24" t="s">
        <v>21</v>
      </c>
      <c r="C15" s="25"/>
      <c r="D15" s="25"/>
      <c r="E15" s="26"/>
    </row>
    <row r="16" spans="1:5">
      <c r="A16" s="27"/>
      <c r="B16" s="27" t="s">
        <v>23</v>
      </c>
      <c r="C16" s="28">
        <v>90826</v>
      </c>
      <c r="D16" s="29">
        <v>2.6</v>
      </c>
      <c r="E16" s="30">
        <f>C16*D16</f>
        <v>236147.6</v>
      </c>
    </row>
    <row r="17" spans="1:7">
      <c r="A17" s="27"/>
      <c r="B17" s="31"/>
      <c r="C17" s="27"/>
      <c r="D17" s="27"/>
      <c r="E17" s="7"/>
    </row>
    <row r="18" spans="1:7">
      <c r="A18" s="32"/>
      <c r="B18" s="27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90826</v>
      </c>
      <c r="D22" s="27"/>
      <c r="E22" s="37">
        <f>E16</f>
        <v>236147.6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32" t="s">
        <v>16</v>
      </c>
      <c r="D27" s="27"/>
      <c r="E27" s="47" t="s">
        <v>25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236148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Two Lakh(s) Thirty Six Thousand One Hundred Forty Eight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72" t="s">
        <v>19</v>
      </c>
      <c r="E34" s="73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62" t="s">
        <v>20</v>
      </c>
      <c r="B37" s="63"/>
      <c r="C37" s="63"/>
      <c r="D37" s="63"/>
      <c r="E37" s="64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7">
    <mergeCell ref="A37:E37"/>
    <mergeCell ref="D1:E1"/>
    <mergeCell ref="A2:E2"/>
    <mergeCell ref="A3:E3"/>
    <mergeCell ref="A4:E4"/>
    <mergeCell ref="E9:E11"/>
    <mergeCell ref="D34:E34"/>
  </mergeCells>
  <pageMargins left="0.36" right="0.24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40"/>
  <sheetViews>
    <sheetView workbookViewId="0">
      <selection activeCell="G9" sqref="G9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5"/>
      <c r="E1" s="65"/>
    </row>
    <row r="2" spans="1:5" ht="21">
      <c r="A2" s="66" t="s">
        <v>39</v>
      </c>
      <c r="B2" s="66"/>
      <c r="C2" s="66"/>
      <c r="D2" s="66"/>
      <c r="E2" s="66"/>
    </row>
    <row r="3" spans="1:5" ht="46.5">
      <c r="A3" s="67" t="s">
        <v>1</v>
      </c>
      <c r="B3" s="67"/>
      <c r="C3" s="67"/>
      <c r="D3" s="67"/>
      <c r="E3" s="67"/>
    </row>
    <row r="4" spans="1:5" ht="19.5" thickBot="1">
      <c r="A4" s="68" t="s">
        <v>2</v>
      </c>
      <c r="B4" s="68"/>
      <c r="C4" s="68"/>
      <c r="D4" s="68"/>
      <c r="E4" s="68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50"/>
      <c r="C8" s="50"/>
      <c r="D8" s="50"/>
      <c r="E8" s="51"/>
    </row>
    <row r="9" spans="1:5" ht="15.75">
      <c r="A9" s="11" t="s">
        <v>7</v>
      </c>
      <c r="B9" s="12"/>
      <c r="C9" s="13"/>
      <c r="D9" s="13"/>
      <c r="E9" s="69" t="s">
        <v>35</v>
      </c>
    </row>
    <row r="10" spans="1:5" ht="15.75">
      <c r="A10" s="14" t="s">
        <v>8</v>
      </c>
      <c r="B10" s="15"/>
      <c r="C10" s="16"/>
      <c r="D10" s="16"/>
      <c r="E10" s="70"/>
    </row>
    <row r="11" spans="1:5" ht="16.5" thickBot="1">
      <c r="A11" s="17" t="s">
        <v>9</v>
      </c>
      <c r="B11" s="18"/>
      <c r="C11" s="19"/>
      <c r="D11" s="19"/>
      <c r="E11" s="71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53"/>
      <c r="B15" s="74" t="s">
        <v>37</v>
      </c>
      <c r="C15" s="25"/>
      <c r="D15" s="25"/>
      <c r="E15" s="26"/>
    </row>
    <row r="16" spans="1:5">
      <c r="A16" s="52">
        <v>1</v>
      </c>
      <c r="B16" s="75"/>
      <c r="C16" s="28">
        <v>106818</v>
      </c>
      <c r="D16" s="29">
        <v>2.6</v>
      </c>
      <c r="E16" s="30">
        <f>C16*D16</f>
        <v>277726.8</v>
      </c>
    </row>
    <row r="17" spans="1:7">
      <c r="A17" s="27"/>
      <c r="B17" s="76" t="s">
        <v>36</v>
      </c>
      <c r="C17" s="27"/>
      <c r="D17" s="27"/>
      <c r="E17" s="7"/>
    </row>
    <row r="18" spans="1:7">
      <c r="A18" s="52"/>
      <c r="B18" s="76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106818</v>
      </c>
      <c r="D22" s="27"/>
      <c r="E22" s="37">
        <f>E16</f>
        <v>277726.8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52" t="s">
        <v>16</v>
      </c>
      <c r="D27" s="27"/>
      <c r="E27" s="47" t="s">
        <v>38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277727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Two Lakh(s) Seventy Seven Thousand Seven Hundred Twenty Seven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72" t="s">
        <v>19</v>
      </c>
      <c r="E34" s="73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62" t="s">
        <v>20</v>
      </c>
      <c r="B37" s="63"/>
      <c r="C37" s="63"/>
      <c r="D37" s="63"/>
      <c r="E37" s="64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9">
    <mergeCell ref="A37:E37"/>
    <mergeCell ref="B15:B16"/>
    <mergeCell ref="B17:B18"/>
    <mergeCell ref="D1:E1"/>
    <mergeCell ref="A2:E2"/>
    <mergeCell ref="A3:E3"/>
    <mergeCell ref="A4:E4"/>
    <mergeCell ref="E9:E11"/>
    <mergeCell ref="D34:E34"/>
  </mergeCells>
  <pageMargins left="0.36" right="0.24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40"/>
  <sheetViews>
    <sheetView workbookViewId="0">
      <selection activeCell="B17" sqref="B17:B18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5"/>
      <c r="E1" s="65"/>
    </row>
    <row r="2" spans="1:5" ht="21">
      <c r="A2" s="66" t="s">
        <v>0</v>
      </c>
      <c r="B2" s="66"/>
      <c r="C2" s="66"/>
      <c r="D2" s="66"/>
      <c r="E2" s="66"/>
    </row>
    <row r="3" spans="1:5" ht="46.5">
      <c r="A3" s="67" t="s">
        <v>1</v>
      </c>
      <c r="B3" s="67"/>
      <c r="C3" s="67"/>
      <c r="D3" s="67"/>
      <c r="E3" s="67"/>
    </row>
    <row r="4" spans="1:5" ht="19.5" thickBot="1">
      <c r="A4" s="68" t="s">
        <v>2</v>
      </c>
      <c r="B4" s="68"/>
      <c r="C4" s="68"/>
      <c r="D4" s="68"/>
      <c r="E4" s="68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48"/>
      <c r="C8" s="48"/>
      <c r="D8" s="48"/>
      <c r="E8" s="49"/>
    </row>
    <row r="9" spans="1:5" ht="15.75">
      <c r="A9" s="11" t="s">
        <v>7</v>
      </c>
      <c r="B9" s="12"/>
      <c r="C9" s="13"/>
      <c r="D9" s="13"/>
      <c r="E9" s="69" t="s">
        <v>26</v>
      </c>
    </row>
    <row r="10" spans="1:5" ht="15.75">
      <c r="A10" s="14" t="s">
        <v>8</v>
      </c>
      <c r="B10" s="15"/>
      <c r="C10" s="16"/>
      <c r="D10" s="16"/>
      <c r="E10" s="70"/>
    </row>
    <row r="11" spans="1:5" ht="16.5" thickBot="1">
      <c r="A11" s="17" t="s">
        <v>9</v>
      </c>
      <c r="B11" s="18"/>
      <c r="C11" s="19"/>
      <c r="D11" s="19"/>
      <c r="E11" s="71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74">
        <v>1</v>
      </c>
      <c r="B15" s="74" t="s">
        <v>27</v>
      </c>
      <c r="C15" s="25"/>
      <c r="D15" s="25"/>
      <c r="E15" s="26"/>
    </row>
    <row r="16" spans="1:5">
      <c r="A16" s="75"/>
      <c r="B16" s="75"/>
      <c r="C16" s="28">
        <v>1492665</v>
      </c>
      <c r="D16" s="29">
        <v>0.4</v>
      </c>
      <c r="E16" s="30">
        <f>C16*D16</f>
        <v>597066</v>
      </c>
    </row>
    <row r="17" spans="1:7">
      <c r="A17" s="27"/>
      <c r="B17" s="77" t="s">
        <v>30</v>
      </c>
      <c r="C17" s="27"/>
      <c r="D17" s="27"/>
      <c r="E17" s="7"/>
    </row>
    <row r="18" spans="1:7">
      <c r="A18" s="32"/>
      <c r="B18" s="77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1492665</v>
      </c>
      <c r="D22" s="27"/>
      <c r="E22" s="37">
        <f>E16</f>
        <v>597066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32" t="s">
        <v>16</v>
      </c>
      <c r="D27" s="27"/>
      <c r="E27" s="47">
        <v>0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597066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Five Lakh(s) Ninety Seven Thousand Sixty Six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72" t="s">
        <v>19</v>
      </c>
      <c r="E34" s="73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62" t="s">
        <v>20</v>
      </c>
      <c r="B37" s="63"/>
      <c r="C37" s="63"/>
      <c r="D37" s="63"/>
      <c r="E37" s="64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10">
    <mergeCell ref="A37:E37"/>
    <mergeCell ref="B15:B16"/>
    <mergeCell ref="B17:B18"/>
    <mergeCell ref="A15:A16"/>
    <mergeCell ref="D1:E1"/>
    <mergeCell ref="A2:E2"/>
    <mergeCell ref="A3:E3"/>
    <mergeCell ref="A4:E4"/>
    <mergeCell ref="E9:E11"/>
    <mergeCell ref="D34:E34"/>
  </mergeCells>
  <pageMargins left="0.36" right="0.24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G40"/>
  <sheetViews>
    <sheetView workbookViewId="0">
      <selection activeCell="D9" sqref="D9:E11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5"/>
      <c r="E1" s="65"/>
    </row>
    <row r="2" spans="1:5" ht="21">
      <c r="A2" s="66" t="s">
        <v>0</v>
      </c>
      <c r="B2" s="66"/>
      <c r="C2" s="66"/>
      <c r="D2" s="66"/>
      <c r="E2" s="66"/>
    </row>
    <row r="3" spans="1:5" ht="46.5">
      <c r="A3" s="67" t="s">
        <v>1</v>
      </c>
      <c r="B3" s="67"/>
      <c r="C3" s="67"/>
      <c r="D3" s="67"/>
      <c r="E3" s="67"/>
    </row>
    <row r="4" spans="1:5" ht="19.5" thickBot="1">
      <c r="A4" s="68" t="s">
        <v>2</v>
      </c>
      <c r="B4" s="68"/>
      <c r="C4" s="68"/>
      <c r="D4" s="68"/>
      <c r="E4" s="68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48"/>
      <c r="C8" s="48"/>
      <c r="D8" s="48"/>
      <c r="E8" s="49"/>
    </row>
    <row r="9" spans="1:5" ht="15.75" customHeight="1">
      <c r="A9" s="11" t="s">
        <v>7</v>
      </c>
      <c r="B9" s="12"/>
      <c r="C9" s="13"/>
      <c r="D9" s="79" t="s">
        <v>41</v>
      </c>
      <c r="E9" s="80"/>
    </row>
    <row r="10" spans="1:5" ht="15.75">
      <c r="A10" s="14" t="s">
        <v>8</v>
      </c>
      <c r="B10" s="15"/>
      <c r="C10" s="16"/>
      <c r="D10" s="81"/>
      <c r="E10" s="82"/>
    </row>
    <row r="11" spans="1:5" ht="16.5" thickBot="1">
      <c r="A11" s="17" t="s">
        <v>9</v>
      </c>
      <c r="B11" s="18"/>
      <c r="C11" s="19"/>
      <c r="D11" s="83"/>
      <c r="E11" s="84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74">
        <v>1</v>
      </c>
      <c r="B15" s="74" t="s">
        <v>33</v>
      </c>
      <c r="C15" s="25"/>
      <c r="D15" s="25"/>
      <c r="E15" s="26"/>
    </row>
    <row r="16" spans="1:5">
      <c r="A16" s="75"/>
      <c r="B16" s="75"/>
      <c r="C16" s="28">
        <v>85000</v>
      </c>
      <c r="D16" s="29">
        <v>2.6</v>
      </c>
      <c r="E16" s="30">
        <f>C16*D16</f>
        <v>221000</v>
      </c>
    </row>
    <row r="17" spans="1:7">
      <c r="A17" s="27"/>
      <c r="B17" s="78" t="s">
        <v>34</v>
      </c>
      <c r="C17" s="27"/>
      <c r="D17" s="27"/>
      <c r="E17" s="7"/>
    </row>
    <row r="18" spans="1:7">
      <c r="A18" s="32"/>
      <c r="B18" s="78"/>
      <c r="C18" s="29"/>
      <c r="D18" s="29"/>
      <c r="E18" s="33"/>
    </row>
    <row r="19" spans="1:7">
      <c r="A19" s="27"/>
      <c r="B19" s="32" t="s">
        <v>31</v>
      </c>
      <c r="C19" s="27"/>
      <c r="D19" s="27"/>
      <c r="E19" s="7"/>
    </row>
    <row r="20" spans="1:7">
      <c r="A20" s="27"/>
      <c r="B20" s="54" t="s">
        <v>32</v>
      </c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85000</v>
      </c>
      <c r="D22" s="27"/>
      <c r="E22" s="37">
        <f>E16</f>
        <v>221000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32" t="s">
        <v>16</v>
      </c>
      <c r="D27" s="27"/>
      <c r="E27" s="47">
        <v>0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221000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Two Lakh(s) Twenty One Thousand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72" t="s">
        <v>19</v>
      </c>
      <c r="E34" s="73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62" t="s">
        <v>20</v>
      </c>
      <c r="B37" s="63"/>
      <c r="C37" s="63"/>
      <c r="D37" s="63"/>
      <c r="E37" s="64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10">
    <mergeCell ref="B17:B18"/>
    <mergeCell ref="D34:E34"/>
    <mergeCell ref="A37:E37"/>
    <mergeCell ref="D1:E1"/>
    <mergeCell ref="A2:E2"/>
    <mergeCell ref="A3:E3"/>
    <mergeCell ref="A4:E4"/>
    <mergeCell ref="A15:A16"/>
    <mergeCell ref="B15:B16"/>
    <mergeCell ref="D9:E11"/>
  </mergeCells>
  <pageMargins left="0.36" right="0.24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40"/>
  <sheetViews>
    <sheetView workbookViewId="0">
      <selection activeCell="H7" sqref="H7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5"/>
      <c r="E1" s="65"/>
    </row>
    <row r="2" spans="1:5" ht="21">
      <c r="A2" s="66" t="s">
        <v>39</v>
      </c>
      <c r="B2" s="66"/>
      <c r="C2" s="66"/>
      <c r="D2" s="66"/>
      <c r="E2" s="66"/>
    </row>
    <row r="3" spans="1:5" ht="46.5">
      <c r="A3" s="67" t="s">
        <v>1</v>
      </c>
      <c r="B3" s="67"/>
      <c r="C3" s="67"/>
      <c r="D3" s="67"/>
      <c r="E3" s="67"/>
    </row>
    <row r="4" spans="1:5" ht="19.5" thickBot="1">
      <c r="A4" s="68" t="s">
        <v>2</v>
      </c>
      <c r="B4" s="68"/>
      <c r="C4" s="68"/>
      <c r="D4" s="68"/>
      <c r="E4" s="68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55"/>
      <c r="C8" s="55"/>
      <c r="D8" s="55"/>
      <c r="E8" s="56"/>
    </row>
    <row r="9" spans="1:5" ht="15.75" customHeight="1">
      <c r="A9" s="11" t="s">
        <v>7</v>
      </c>
      <c r="B9" s="12"/>
      <c r="C9" s="13"/>
      <c r="D9" s="79" t="s">
        <v>42</v>
      </c>
      <c r="E9" s="80"/>
    </row>
    <row r="10" spans="1:5" ht="15.75">
      <c r="A10" s="14" t="s">
        <v>8</v>
      </c>
      <c r="B10" s="15"/>
      <c r="C10" s="16"/>
      <c r="D10" s="81"/>
      <c r="E10" s="82"/>
    </row>
    <row r="11" spans="1:5" ht="16.5" customHeight="1" thickBot="1">
      <c r="A11" s="17" t="s">
        <v>9</v>
      </c>
      <c r="B11" s="18"/>
      <c r="C11" s="19"/>
      <c r="D11" s="83"/>
      <c r="E11" s="84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74">
        <v>1</v>
      </c>
      <c r="B15" s="74" t="s">
        <v>27</v>
      </c>
      <c r="C15" s="25"/>
      <c r="D15" s="25"/>
      <c r="E15" s="26"/>
    </row>
    <row r="16" spans="1:5">
      <c r="A16" s="75"/>
      <c r="B16" s="75"/>
      <c r="C16" s="28">
        <v>1492665</v>
      </c>
      <c r="D16" s="29">
        <v>0.5</v>
      </c>
      <c r="E16" s="30">
        <f>C16*D16</f>
        <v>746332.5</v>
      </c>
    </row>
    <row r="17" spans="1:7">
      <c r="A17" s="27"/>
      <c r="B17" s="77" t="s">
        <v>40</v>
      </c>
      <c r="C17" s="27"/>
      <c r="D17" s="27"/>
      <c r="E17" s="7"/>
    </row>
    <row r="18" spans="1:7">
      <c r="A18" s="57"/>
      <c r="B18" s="77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1492665</v>
      </c>
      <c r="D22" s="27"/>
      <c r="E22" s="37">
        <f>E16</f>
        <v>746332.5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57" t="s">
        <v>16</v>
      </c>
      <c r="D27" s="27"/>
      <c r="E27" s="47">
        <v>0.5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746333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Seven Lakh(s) Forty Six Thousand Three Hundred Thirty Three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72" t="s">
        <v>19</v>
      </c>
      <c r="E34" s="73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62" t="s">
        <v>20</v>
      </c>
      <c r="B37" s="63"/>
      <c r="C37" s="63"/>
      <c r="D37" s="63"/>
      <c r="E37" s="64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10">
    <mergeCell ref="B17:B18"/>
    <mergeCell ref="D34:E34"/>
    <mergeCell ref="A37:E37"/>
    <mergeCell ref="D1:E1"/>
    <mergeCell ref="A2:E2"/>
    <mergeCell ref="A3:E3"/>
    <mergeCell ref="A4:E4"/>
    <mergeCell ref="A15:A16"/>
    <mergeCell ref="B15:B16"/>
    <mergeCell ref="D9:E11"/>
  </mergeCells>
  <pageMargins left="0.36" right="0.24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G40"/>
  <sheetViews>
    <sheetView tabSelected="1" topLeftCell="A18" workbookViewId="0">
      <selection activeCell="K25" sqref="K25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5"/>
      <c r="E1" s="65"/>
    </row>
    <row r="2" spans="1:5" ht="21">
      <c r="A2" s="66" t="s">
        <v>39</v>
      </c>
      <c r="B2" s="66"/>
      <c r="C2" s="66"/>
      <c r="D2" s="66"/>
      <c r="E2" s="66"/>
    </row>
    <row r="3" spans="1:5" ht="46.5">
      <c r="A3" s="67" t="s">
        <v>1</v>
      </c>
      <c r="B3" s="67"/>
      <c r="C3" s="67"/>
      <c r="D3" s="67"/>
      <c r="E3" s="67"/>
    </row>
    <row r="4" spans="1:5" ht="19.5" thickBot="1">
      <c r="A4" s="68" t="s">
        <v>2</v>
      </c>
      <c r="B4" s="68"/>
      <c r="C4" s="68"/>
      <c r="D4" s="68"/>
      <c r="E4" s="68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58"/>
      <c r="C8" s="58"/>
      <c r="D8" s="58"/>
      <c r="E8" s="59"/>
    </row>
    <row r="9" spans="1:5" ht="15.75">
      <c r="A9" s="11" t="s">
        <v>7</v>
      </c>
      <c r="B9" s="12"/>
      <c r="C9" s="13"/>
      <c r="D9" s="13"/>
      <c r="E9" s="69" t="s">
        <v>44</v>
      </c>
    </row>
    <row r="10" spans="1:5" ht="15.75">
      <c r="A10" s="14" t="s">
        <v>8</v>
      </c>
      <c r="B10" s="15"/>
      <c r="C10" s="16"/>
      <c r="D10" s="16"/>
      <c r="E10" s="70"/>
    </row>
    <row r="11" spans="1:5" ht="16.5" thickBot="1">
      <c r="A11" s="17" t="s">
        <v>9</v>
      </c>
      <c r="B11" s="18"/>
      <c r="C11" s="19"/>
      <c r="D11" s="19"/>
      <c r="E11" s="71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60"/>
      <c r="B15" s="74" t="s">
        <v>37</v>
      </c>
      <c r="C15" s="25"/>
      <c r="D15" s="25"/>
      <c r="E15" s="26"/>
    </row>
    <row r="16" spans="1:5">
      <c r="A16" s="61">
        <v>1</v>
      </c>
      <c r="B16" s="75"/>
      <c r="C16" s="28">
        <v>131536</v>
      </c>
      <c r="D16" s="29">
        <v>2.6</v>
      </c>
      <c r="E16" s="30">
        <f>C16*D16</f>
        <v>341993.60000000003</v>
      </c>
    </row>
    <row r="17" spans="1:7">
      <c r="A17" s="27"/>
      <c r="B17" s="76" t="s">
        <v>43</v>
      </c>
      <c r="C17" s="27"/>
      <c r="D17" s="27"/>
      <c r="E17" s="7"/>
    </row>
    <row r="18" spans="1:7">
      <c r="A18" s="61"/>
      <c r="B18" s="76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131536</v>
      </c>
      <c r="D22" s="27"/>
      <c r="E22" s="37">
        <f>E16</f>
        <v>341993.60000000003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61" t="s">
        <v>16</v>
      </c>
      <c r="D27" s="27"/>
      <c r="E27" s="47">
        <v>0.4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341994.00000000006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Three Lakh(s) Forty One Thousand Nine Hundred Ninety Four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72" t="s">
        <v>19</v>
      </c>
      <c r="E34" s="73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62" t="s">
        <v>20</v>
      </c>
      <c r="B37" s="63"/>
      <c r="C37" s="63"/>
      <c r="D37" s="63"/>
      <c r="E37" s="64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9">
    <mergeCell ref="B17:B18"/>
    <mergeCell ref="D34:E34"/>
    <mergeCell ref="A37:E37"/>
    <mergeCell ref="D1:E1"/>
    <mergeCell ref="A2:E2"/>
    <mergeCell ref="A3:E3"/>
    <mergeCell ref="A4:E4"/>
    <mergeCell ref="E9:E11"/>
    <mergeCell ref="B15:B16"/>
  </mergeCells>
  <pageMargins left="0.36" right="0.24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April 2021</vt:lpstr>
      <vt:lpstr>May 2021</vt:lpstr>
      <vt:lpstr>June 2021</vt:lpstr>
      <vt:lpstr>03|20-21</vt:lpstr>
      <vt:lpstr>03|20-21 (2)</vt:lpstr>
      <vt:lpstr>03|20-21 (3)</vt:lpstr>
      <vt:lpstr>September 2021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2021-12-01T10:14:05Z</dcterms:modified>
</cp:coreProperties>
</file>