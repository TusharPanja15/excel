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255" windowHeight="7935"/>
  </bookViews>
  <sheets>
    <sheet name="April 2020-21" sheetId="9" r:id="rId1"/>
  </sheets>
  <definedNames>
    <definedName name="_xlnm._FilterDatabase" localSheetId="0" hidden="1">'April 2020-21'!#REF!</definedName>
  </definedNames>
  <calcPr calcId="125725"/>
</workbook>
</file>

<file path=xl/calcChain.xml><?xml version="1.0" encoding="utf-8"?>
<calcChain xmlns="http://schemas.openxmlformats.org/spreadsheetml/2006/main">
  <c r="D373" i="9"/>
  <c r="H372"/>
  <c r="G372" s="1"/>
  <c r="D374" s="1"/>
  <c r="E372"/>
  <c r="H367"/>
  <c r="G367" s="1"/>
  <c r="D368" s="1"/>
  <c r="D367"/>
  <c r="H362"/>
  <c r="G362" s="1"/>
  <c r="D362"/>
  <c r="H359"/>
  <c r="G359"/>
  <c r="D356"/>
  <c r="H355"/>
  <c r="G355" s="1"/>
  <c r="D357" s="1"/>
  <c r="E355"/>
  <c r="H350"/>
  <c r="G350" s="1"/>
  <c r="D351" s="1"/>
  <c r="D350"/>
  <c r="H345"/>
  <c r="G345" s="1"/>
  <c r="D345"/>
  <c r="D340"/>
  <c r="H339"/>
  <c r="G339" s="1"/>
  <c r="D341" s="1"/>
  <c r="D339"/>
  <c r="H336"/>
  <c r="G336"/>
  <c r="D334"/>
  <c r="D333"/>
  <c r="D332"/>
  <c r="H330"/>
  <c r="G330" s="1"/>
  <c r="D331" s="1"/>
  <c r="D330"/>
  <c r="D325"/>
  <c r="H324"/>
  <c r="G324" s="1"/>
  <c r="D326" s="1"/>
  <c r="E324"/>
  <c r="H319"/>
  <c r="G319" s="1"/>
  <c r="D319"/>
  <c r="H314"/>
  <c r="G314" s="1"/>
  <c r="D315" s="1"/>
  <c r="D314"/>
  <c r="D309"/>
  <c r="H308"/>
  <c r="G308" s="1"/>
  <c r="D310" s="1"/>
  <c r="D308"/>
  <c r="D302"/>
  <c r="H301"/>
  <c r="H305" s="1"/>
  <c r="E301"/>
  <c r="H296"/>
  <c r="G296" s="1"/>
  <c r="D297" s="1"/>
  <c r="D296"/>
  <c r="H291"/>
  <c r="G291"/>
  <c r="D292" s="1"/>
  <c r="D291"/>
  <c r="D286"/>
  <c r="D285"/>
  <c r="D284"/>
  <c r="H282"/>
  <c r="G282"/>
  <c r="D283" s="1"/>
  <c r="D282"/>
  <c r="D277"/>
  <c r="H276"/>
  <c r="G276" s="1"/>
  <c r="D278" s="1"/>
  <c r="E276"/>
  <c r="D271"/>
  <c r="H270"/>
  <c r="G270" s="1"/>
  <c r="D270"/>
  <c r="D265"/>
  <c r="D264"/>
  <c r="D263"/>
  <c r="H261"/>
  <c r="G261"/>
  <c r="D261"/>
  <c r="D256"/>
  <c r="H255"/>
  <c r="G255" s="1"/>
  <c r="D257" s="1"/>
  <c r="E255"/>
  <c r="D250"/>
  <c r="H249"/>
  <c r="G249" s="1"/>
  <c r="D249"/>
  <c r="D243"/>
  <c r="H242"/>
  <c r="G242"/>
  <c r="D244" s="1"/>
  <c r="E242"/>
  <c r="H237"/>
  <c r="G237" s="1"/>
  <c r="D238" s="1"/>
  <c r="D237"/>
  <c r="H232"/>
  <c r="G232" s="1"/>
  <c r="D233" s="1"/>
  <c r="D232"/>
  <c r="D227"/>
  <c r="H226"/>
  <c r="G226"/>
  <c r="D228" s="1"/>
  <c r="E226"/>
  <c r="H221"/>
  <c r="G221" s="1"/>
  <c r="D222" s="1"/>
  <c r="D221" s="1"/>
  <c r="G376" l="1"/>
  <c r="H376"/>
  <c r="D363"/>
  <c r="D346"/>
  <c r="D320"/>
  <c r="G301"/>
  <c r="D303" s="1"/>
  <c r="D272"/>
  <c r="G288"/>
  <c r="H288"/>
  <c r="H267"/>
  <c r="D251"/>
  <c r="G267"/>
  <c r="D262"/>
  <c r="H246"/>
  <c r="G246"/>
  <c r="H218"/>
  <c r="G218"/>
  <c r="D215"/>
  <c r="H214"/>
  <c r="G214" s="1"/>
  <c r="D216" s="1"/>
  <c r="E214"/>
  <c r="H209"/>
  <c r="G209" s="1"/>
  <c r="D209"/>
  <c r="D204"/>
  <c r="H203"/>
  <c r="G203" s="1"/>
  <c r="D205" s="1"/>
  <c r="D203"/>
  <c r="D197"/>
  <c r="H196"/>
  <c r="G196" s="1"/>
  <c r="D198" s="1"/>
  <c r="E196"/>
  <c r="H191"/>
  <c r="G191" s="1"/>
  <c r="D191"/>
  <c r="H185"/>
  <c r="G185" s="1"/>
  <c r="D186" s="1"/>
  <c r="E185"/>
  <c r="D180"/>
  <c r="H179"/>
  <c r="D179"/>
  <c r="D174"/>
  <c r="D173"/>
  <c r="D172"/>
  <c r="H170"/>
  <c r="D170"/>
  <c r="D165"/>
  <c r="H164"/>
  <c r="G164" s="1"/>
  <c r="D166" s="1"/>
  <c r="E164"/>
  <c r="H159"/>
  <c r="G159" s="1"/>
  <c r="D160" s="1"/>
  <c r="D159"/>
  <c r="H154"/>
  <c r="G154" s="1"/>
  <c r="D155" s="1"/>
  <c r="D154"/>
  <c r="H148"/>
  <c r="G148" s="1"/>
  <c r="E148"/>
  <c r="D142"/>
  <c r="H141"/>
  <c r="G141" s="1"/>
  <c r="E141"/>
  <c r="H135"/>
  <c r="G135" s="1"/>
  <c r="E135"/>
  <c r="G305" l="1"/>
  <c r="D210"/>
  <c r="H200"/>
  <c r="G179"/>
  <c r="D192"/>
  <c r="D187"/>
  <c r="H176"/>
  <c r="G176"/>
  <c r="G170"/>
  <c r="D149"/>
  <c r="D150"/>
  <c r="D143"/>
  <c r="D137"/>
  <c r="D136"/>
  <c r="D181" l="1"/>
  <c r="G200"/>
  <c r="D171"/>
  <c r="D130" l="1"/>
  <c r="H129"/>
  <c r="H145" s="1"/>
  <c r="D129"/>
  <c r="D124"/>
  <c r="H123"/>
  <c r="G123" s="1"/>
  <c r="D125" s="1"/>
  <c r="E123"/>
  <c r="H118"/>
  <c r="G118" s="1"/>
  <c r="D119" s="1"/>
  <c r="D118"/>
  <c r="G129" l="1"/>
  <c r="D113"/>
  <c r="H112"/>
  <c r="H127" s="1"/>
  <c r="D112"/>
  <c r="D106"/>
  <c r="H105"/>
  <c r="G105" s="1"/>
  <c r="D107" s="1"/>
  <c r="E105"/>
  <c r="H100"/>
  <c r="G100" s="1"/>
  <c r="D101" s="1"/>
  <c r="D100"/>
  <c r="D95"/>
  <c r="D94"/>
  <c r="D93"/>
  <c r="H91"/>
  <c r="G91" s="1"/>
  <c r="D92" s="1"/>
  <c r="D91"/>
  <c r="D86"/>
  <c r="H85"/>
  <c r="G85" s="1"/>
  <c r="D87" s="1"/>
  <c r="E85"/>
  <c r="D80"/>
  <c r="H79"/>
  <c r="E79" s="1"/>
  <c r="G79"/>
  <c r="D81" s="1"/>
  <c r="H72"/>
  <c r="D72" s="1"/>
  <c r="D68"/>
  <c r="D67"/>
  <c r="D66"/>
  <c r="H64"/>
  <c r="G64" s="1"/>
  <c r="D65" s="1"/>
  <c r="D64"/>
  <c r="D59"/>
  <c r="H58"/>
  <c r="G58" s="1"/>
  <c r="D60" s="1"/>
  <c r="E58"/>
  <c r="H52"/>
  <c r="D53" s="1"/>
  <c r="D47"/>
  <c r="H46"/>
  <c r="G46"/>
  <c r="D48" s="1"/>
  <c r="D46"/>
  <c r="H39"/>
  <c r="D39" s="1"/>
  <c r="D34"/>
  <c r="H33"/>
  <c r="G33" s="1"/>
  <c r="D35" s="1"/>
  <c r="E33"/>
  <c r="D28"/>
  <c r="H27"/>
  <c r="G27" s="1"/>
  <c r="D29" s="1"/>
  <c r="D27"/>
  <c r="D20"/>
  <c r="H19"/>
  <c r="H24" s="1"/>
  <c r="E19"/>
  <c r="H14"/>
  <c r="G14" s="1"/>
  <c r="D15" s="1"/>
  <c r="D14"/>
  <c r="D7"/>
  <c r="H6"/>
  <c r="G6" s="1"/>
  <c r="D8" s="1"/>
  <c r="E6"/>
  <c r="H43" l="1"/>
  <c r="H109"/>
  <c r="D131"/>
  <c r="G145"/>
  <c r="G112"/>
  <c r="G109"/>
  <c r="H97"/>
  <c r="G97"/>
  <c r="G72"/>
  <c r="H76"/>
  <c r="E52"/>
  <c r="G52"/>
  <c r="D54" s="1"/>
  <c r="G39"/>
  <c r="G43" s="1"/>
  <c r="G19"/>
  <c r="C421"/>
  <c r="G76" l="1"/>
  <c r="D114"/>
  <c r="G127"/>
  <c r="D73"/>
  <c r="D74"/>
  <c r="D41"/>
  <c r="D40"/>
  <c r="D21"/>
  <c r="G24"/>
  <c r="H11"/>
  <c r="G11"/>
</calcChain>
</file>

<file path=xl/sharedStrings.xml><?xml version="1.0" encoding="utf-8"?>
<sst xmlns="http://schemas.openxmlformats.org/spreadsheetml/2006/main" count="384" uniqueCount="66">
  <si>
    <t>KGS.</t>
  </si>
  <si>
    <t>PCS.</t>
  </si>
  <si>
    <t>FINISHED GOODS</t>
  </si>
  <si>
    <t>WASTAGE</t>
  </si>
  <si>
    <t>DAILY PRODUCTION &amp; PACKING MATERIALS USED</t>
  </si>
  <si>
    <t xml:space="preserve">DATE </t>
  </si>
  <si>
    <t>PARTICULAR'S</t>
  </si>
  <si>
    <t>BLENDED TEA PFOR PRODUCTUON</t>
  </si>
  <si>
    <t>PACKING MATERIAL USE.</t>
  </si>
  <si>
    <t>DAY TOTAL</t>
  </si>
  <si>
    <t xml:space="preserve">BLEND TEA </t>
  </si>
  <si>
    <t>PRODUCTION FOR 250 GM SPL.</t>
  </si>
  <si>
    <t>LAMINATE</t>
  </si>
  <si>
    <t>LINNER 2KG</t>
  </si>
  <si>
    <t>CANVAS BAG 250GM</t>
  </si>
  <si>
    <t xml:space="preserve">PRODUCTION FOR 5KG </t>
  </si>
  <si>
    <t>NON WOVEN BAGS 5KG</t>
  </si>
  <si>
    <t>LINNER 5KG</t>
  </si>
  <si>
    <t>ZIPPER BAG 30KG</t>
  </si>
  <si>
    <t>500 GM MUKTA JAR PRODUCTION</t>
  </si>
  <si>
    <t>500GM MUKTA JAR</t>
  </si>
  <si>
    <t>500 GM MUKTA JAR C F C</t>
  </si>
  <si>
    <t>500 GM MUKTA JAR LABEL</t>
  </si>
  <si>
    <t>500 GM MUKTA JAR TOP LABEL</t>
  </si>
  <si>
    <t>500 GM MUKTA JAR FOIL DISK</t>
  </si>
  <si>
    <t>PRODUCTION FOR 250 GM PREM.</t>
  </si>
  <si>
    <t>PRODUCTION FOR 1 KG SPL.</t>
  </si>
  <si>
    <t>1 KG SPECIAL POUCH</t>
  </si>
  <si>
    <t xml:space="preserve">1 KG SPECIAL CANVES BAG </t>
  </si>
  <si>
    <t>PRODUCTION FOR 250 GM MUKTA</t>
  </si>
  <si>
    <t>250 GM MET PET LINNER</t>
  </si>
  <si>
    <t>250 GM MUKTA  C F C</t>
  </si>
  <si>
    <t>250 GM MUKTA CARTON</t>
  </si>
  <si>
    <t xml:space="preserve">TOTAL FOR THE MONTH OF MARCH 2020-21 </t>
  </si>
  <si>
    <t>02.04.2021</t>
  </si>
  <si>
    <t>03.04.2021</t>
  </si>
  <si>
    <t>05.04.2021</t>
  </si>
  <si>
    <t>PRODUCTION FOR 100 GM PREM</t>
  </si>
  <si>
    <t>100 GM. PREMIUM LAMINATE</t>
  </si>
  <si>
    <t>100 GM PREM LINNER</t>
  </si>
  <si>
    <t>100 GM LDP ZIPPER BAG</t>
  </si>
  <si>
    <t>06.04.2021</t>
  </si>
  <si>
    <t>07.04.2021</t>
  </si>
  <si>
    <t>08.04.2021</t>
  </si>
  <si>
    <t>PRODUCTION FOR 500 GM SPL.</t>
  </si>
  <si>
    <t>500 GM SPECIAL  POUCH</t>
  </si>
  <si>
    <t>500 GM SPECEIAL CANVES BAG</t>
  </si>
  <si>
    <t>09.04.2021</t>
  </si>
  <si>
    <t>PRODUCTION FOR Rs.10/-</t>
  </si>
  <si>
    <t>RS 10/- PREMIUM LAMINATE</t>
  </si>
  <si>
    <t>RS 10/- PREMIUM HM LINNER</t>
  </si>
  <si>
    <t>Rs10/- LDP Zipper Bags</t>
  </si>
  <si>
    <t>10.04.2021</t>
  </si>
  <si>
    <t>12.04.2021</t>
  </si>
  <si>
    <t>13.04.2021</t>
  </si>
  <si>
    <t>14.04.2021</t>
  </si>
  <si>
    <t>PRODUCTION FOR 1 KG PREM.</t>
  </si>
  <si>
    <t>1 KG PREMIUM POUCH</t>
  </si>
  <si>
    <t xml:space="preserve">1 KG PREMIUM CANVES BAG </t>
  </si>
  <si>
    <t>15.04.2021</t>
  </si>
  <si>
    <t>16.04.2021</t>
  </si>
  <si>
    <t>17.04.2021</t>
  </si>
  <si>
    <t>19.04.2021</t>
  </si>
  <si>
    <t>20.04.2021</t>
  </si>
  <si>
    <t>21.04.2021</t>
  </si>
  <si>
    <t>22.04.2021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</si>
</sst>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0" fillId="2" borderId="1" xfId="0" applyFill="1" applyBorder="1"/>
    <xf numFmtId="2" fontId="0" fillId="2" borderId="1" xfId="0" applyNumberFormat="1" applyFill="1" applyBorder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/>
    <xf numFmtId="1" fontId="0" fillId="2" borderId="1" xfId="0" applyNumberFormat="1" applyFill="1" applyBorder="1"/>
    <xf numFmtId="1" fontId="0" fillId="2" borderId="1" xfId="0" applyNumberFormat="1" applyFill="1" applyBorder="1" applyAlignment="1">
      <alignment vertical="center"/>
    </xf>
    <xf numFmtId="2" fontId="0" fillId="2" borderId="1" xfId="0" applyNumberFormat="1" applyFont="1" applyFill="1" applyBorder="1"/>
    <xf numFmtId="1" fontId="0" fillId="2" borderId="1" xfId="0" applyNumberForma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5" fillId="2" borderId="12" xfId="0" applyFont="1" applyFill="1" applyBorder="1"/>
    <xf numFmtId="0" fontId="5" fillId="2" borderId="1" xfId="0" applyFont="1" applyFill="1" applyBorder="1"/>
    <xf numFmtId="1" fontId="5" fillId="2" borderId="1" xfId="0" applyNumberFormat="1" applyFont="1" applyFill="1" applyBorder="1" applyAlignment="1">
      <alignment horizontal="center"/>
    </xf>
    <xf numFmtId="2" fontId="5" fillId="2" borderId="9" xfId="0" applyNumberFormat="1" applyFont="1" applyFill="1" applyBorder="1" applyAlignment="1">
      <alignment horizontal="right"/>
    </xf>
    <xf numFmtId="0" fontId="0" fillId="2" borderId="12" xfId="0" applyFill="1" applyBorder="1" applyAlignment="1">
      <alignment vertical="center"/>
    </xf>
    <xf numFmtId="2" fontId="0" fillId="2" borderId="9" xfId="0" applyNumberFormat="1" applyFill="1" applyBorder="1" applyAlignment="1">
      <alignment horizontal="right"/>
    </xf>
    <xf numFmtId="2" fontId="0" fillId="2" borderId="9" xfId="0" applyNumberFormat="1" applyFill="1" applyBorder="1" applyAlignment="1">
      <alignment vertical="center"/>
    </xf>
    <xf numFmtId="2" fontId="1" fillId="2" borderId="9" xfId="0" applyNumberFormat="1" applyFont="1" applyFill="1" applyBorder="1" applyAlignment="1">
      <alignment horizontal="right" vertical="center"/>
    </xf>
    <xf numFmtId="1" fontId="0" fillId="2" borderId="9" xfId="0" applyNumberFormat="1" applyFill="1" applyBorder="1" applyAlignment="1">
      <alignment horizontal="center"/>
    </xf>
    <xf numFmtId="0" fontId="5" fillId="3" borderId="1" xfId="0" applyFont="1" applyFill="1" applyBorder="1"/>
    <xf numFmtId="1" fontId="5" fillId="3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right"/>
    </xf>
    <xf numFmtId="0" fontId="0" fillId="2" borderId="0" xfId="0" applyFill="1"/>
    <xf numFmtId="0" fontId="1" fillId="2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vertical="center"/>
    </xf>
    <xf numFmtId="0" fontId="1" fillId="2" borderId="17" xfId="0" applyFont="1" applyFill="1" applyBorder="1"/>
    <xf numFmtId="2" fontId="0" fillId="2" borderId="17" xfId="0" applyNumberFormat="1" applyFill="1" applyBorder="1"/>
    <xf numFmtId="1" fontId="0" fillId="2" borderId="17" xfId="0" applyNumberFormat="1" applyFill="1" applyBorder="1"/>
    <xf numFmtId="2" fontId="0" fillId="2" borderId="18" xfId="0" applyNumberFormat="1" applyFill="1" applyBorder="1" applyAlignment="1">
      <alignment horizontal="right"/>
    </xf>
    <xf numFmtId="0" fontId="1" fillId="0" borderId="1" xfId="0" applyFont="1" applyBorder="1"/>
    <xf numFmtId="2" fontId="0" fillId="0" borderId="1" xfId="0" applyNumberFormat="1" applyBorder="1"/>
    <xf numFmtId="0" fontId="0" fillId="0" borderId="1" xfId="0" applyBorder="1"/>
    <xf numFmtId="2" fontId="0" fillId="0" borderId="1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1" fontId="0" fillId="0" borderId="1" xfId="0" applyNumberFormat="1" applyBorder="1"/>
    <xf numFmtId="2" fontId="0" fillId="0" borderId="1" xfId="0" applyNumberFormat="1" applyFont="1" applyBorder="1"/>
    <xf numFmtId="0" fontId="1" fillId="0" borderId="1" xfId="0" applyFont="1" applyBorder="1" applyAlignment="1">
      <alignment vertical="center"/>
    </xf>
    <xf numFmtId="49" fontId="2" fillId="2" borderId="20" xfId="0" applyNumberFormat="1" applyFont="1" applyFill="1" applyBorder="1" applyAlignment="1">
      <alignment vertical="center"/>
    </xf>
    <xf numFmtId="2" fontId="0" fillId="0" borderId="7" xfId="0" applyNumberFormat="1" applyBorder="1"/>
    <xf numFmtId="0" fontId="0" fillId="0" borderId="7" xfId="0" applyBorder="1"/>
    <xf numFmtId="2" fontId="0" fillId="0" borderId="1" xfId="0" applyNumberFormat="1" applyBorder="1" applyAlignment="1"/>
    <xf numFmtId="0" fontId="0" fillId="0" borderId="1" xfId="0" applyBorder="1" applyAlignment="1"/>
    <xf numFmtId="2" fontId="0" fillId="0" borderId="7" xfId="0" applyNumberFormat="1" applyBorder="1" applyAlignment="1"/>
    <xf numFmtId="0" fontId="4" fillId="2" borderId="21" xfId="0" applyFont="1" applyFill="1" applyBorder="1" applyAlignment="1"/>
    <xf numFmtId="0" fontId="4" fillId="2" borderId="22" xfId="0" applyFont="1" applyFill="1" applyBorder="1" applyAlignment="1"/>
    <xf numFmtId="2" fontId="1" fillId="2" borderId="22" xfId="0" applyNumberFormat="1" applyFont="1" applyFill="1" applyBorder="1"/>
    <xf numFmtId="0" fontId="0" fillId="2" borderId="22" xfId="0" applyFill="1" applyBorder="1"/>
    <xf numFmtId="0" fontId="0" fillId="2" borderId="23" xfId="0" applyFill="1" applyBorder="1" applyAlignment="1">
      <alignment horizontal="right"/>
    </xf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0" borderId="19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right" vertical="center"/>
    </xf>
    <xf numFmtId="2" fontId="1" fillId="0" borderId="9" xfId="0" applyNumberFormat="1" applyFont="1" applyBorder="1" applyAlignment="1">
      <alignment horizontal="right" vertical="center"/>
    </xf>
    <xf numFmtId="2" fontId="0" fillId="0" borderId="19" xfId="0" applyNumberFormat="1" applyBorder="1"/>
    <xf numFmtId="1" fontId="0" fillId="0" borderId="19" xfId="0" applyNumberForma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right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right" vertical="center"/>
    </xf>
    <xf numFmtId="2" fontId="0" fillId="0" borderId="8" xfId="0" applyNumberFormat="1" applyBorder="1" applyAlignment="1">
      <alignment horizontal="right" vertical="center"/>
    </xf>
    <xf numFmtId="2" fontId="0" fillId="0" borderId="19" xfId="0" applyNumberForma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2" fontId="0" fillId="0" borderId="9" xfId="0" applyNumberFormat="1" applyFont="1" applyBorder="1" applyAlignment="1">
      <alignment horizontal="right" vertical="center"/>
    </xf>
    <xf numFmtId="0" fontId="3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1" fontId="0" fillId="0" borderId="7" xfId="0" applyNumberFormat="1" applyFont="1" applyBorder="1" applyAlignment="1">
      <alignment horizontal="center" vertical="center"/>
    </xf>
    <xf numFmtId="1" fontId="0" fillId="0" borderId="8" xfId="0" applyNumberFormat="1" applyFont="1" applyBorder="1" applyAlignment="1">
      <alignment horizontal="center" vertical="center"/>
    </xf>
    <xf numFmtId="1" fontId="0" fillId="0" borderId="19" xfId="0" applyNumberFormat="1" applyFon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59"/>
  <sheetViews>
    <sheetView tabSelected="1" topLeftCell="A353" zoomScaleNormal="100" workbookViewId="0">
      <selection activeCell="C376" sqref="C376"/>
    </sheetView>
  </sheetViews>
  <sheetFormatPr defaultRowHeight="15"/>
  <cols>
    <col min="1" max="1" width="9.85546875" style="25" customWidth="1"/>
    <col min="2" max="2" width="34.140625" style="25" customWidth="1"/>
    <col min="3" max="3" width="14.28515625" style="25" customWidth="1"/>
    <col min="4" max="4" width="7.28515625" style="25" customWidth="1"/>
    <col min="5" max="5" width="7.5703125" style="25" customWidth="1"/>
    <col min="6" max="6" width="10" style="25" customWidth="1"/>
    <col min="7" max="7" width="9" style="25" customWidth="1"/>
    <col min="8" max="8" width="10" style="54" customWidth="1"/>
    <col min="9" max="16384" width="9.140625" style="25"/>
  </cols>
  <sheetData>
    <row r="1" spans="1:9" ht="16.5" thickBot="1">
      <c r="A1" s="75" t="s">
        <v>4</v>
      </c>
      <c r="B1" s="75"/>
      <c r="C1" s="75"/>
      <c r="D1" s="75"/>
      <c r="E1" s="75"/>
      <c r="F1" s="75"/>
      <c r="G1" s="75"/>
      <c r="H1" s="75"/>
    </row>
    <row r="2" spans="1:9" ht="33" customHeight="1">
      <c r="A2" s="76" t="s">
        <v>5</v>
      </c>
      <c r="B2" s="78" t="s">
        <v>6</v>
      </c>
      <c r="C2" s="80" t="s">
        <v>7</v>
      </c>
      <c r="D2" s="82" t="s">
        <v>8</v>
      </c>
      <c r="E2" s="83"/>
      <c r="F2" s="84" t="s">
        <v>3</v>
      </c>
      <c r="G2" s="86" t="s">
        <v>2</v>
      </c>
      <c r="H2" s="87"/>
      <c r="I2" s="26"/>
    </row>
    <row r="3" spans="1:9" ht="15.75" thickBot="1">
      <c r="A3" s="77"/>
      <c r="B3" s="79"/>
      <c r="C3" s="81"/>
      <c r="D3" s="12" t="s">
        <v>1</v>
      </c>
      <c r="E3" s="12" t="s">
        <v>0</v>
      </c>
      <c r="F3" s="85"/>
      <c r="G3" s="12" t="s">
        <v>1</v>
      </c>
      <c r="H3" s="27" t="s">
        <v>0</v>
      </c>
      <c r="I3" s="26"/>
    </row>
    <row r="4" spans="1:9">
      <c r="A4" s="28"/>
      <c r="B4" s="29"/>
      <c r="C4" s="30"/>
      <c r="D4" s="30"/>
      <c r="E4" s="30"/>
      <c r="F4" s="30"/>
      <c r="G4" s="31"/>
      <c r="H4" s="32"/>
    </row>
    <row r="5" spans="1:9">
      <c r="A5" s="62" t="s">
        <v>34</v>
      </c>
      <c r="B5" s="33" t="s">
        <v>25</v>
      </c>
      <c r="C5" s="34"/>
      <c r="D5" s="34"/>
      <c r="E5" s="34"/>
      <c r="F5" s="34"/>
      <c r="G5" s="38"/>
      <c r="H5" s="36"/>
    </row>
    <row r="6" spans="1:9">
      <c r="A6" s="63"/>
      <c r="B6" s="35" t="s">
        <v>12</v>
      </c>
      <c r="C6" s="34"/>
      <c r="D6" s="34"/>
      <c r="E6" s="34">
        <f>C9*0.024</f>
        <v>54.143999999999998</v>
      </c>
      <c r="F6" s="34"/>
      <c r="G6" s="67">
        <f>H6/24</f>
        <v>94</v>
      </c>
      <c r="H6" s="70">
        <f>C9</f>
        <v>2256</v>
      </c>
    </row>
    <row r="7" spans="1:9">
      <c r="A7" s="63"/>
      <c r="B7" s="35" t="s">
        <v>13</v>
      </c>
      <c r="C7" s="34"/>
      <c r="D7" s="34">
        <f>C9/2</f>
        <v>1128</v>
      </c>
      <c r="E7" s="34"/>
      <c r="F7" s="34"/>
      <c r="G7" s="68"/>
      <c r="H7" s="71"/>
    </row>
    <row r="8" spans="1:9">
      <c r="A8" s="63"/>
      <c r="B8" s="35" t="s">
        <v>14</v>
      </c>
      <c r="C8" s="34"/>
      <c r="D8" s="34">
        <f>G6</f>
        <v>94</v>
      </c>
      <c r="E8" s="34"/>
      <c r="F8" s="34"/>
      <c r="G8" s="68"/>
      <c r="H8" s="71"/>
    </row>
    <row r="9" spans="1:9">
      <c r="A9" s="64"/>
      <c r="B9" s="35" t="s">
        <v>10</v>
      </c>
      <c r="C9" s="34">
        <v>2256</v>
      </c>
      <c r="D9" s="34"/>
      <c r="E9" s="34"/>
      <c r="F9" s="34"/>
      <c r="G9" s="69"/>
      <c r="H9" s="72"/>
    </row>
    <row r="10" spans="1:9">
      <c r="A10" s="55"/>
      <c r="B10" s="35"/>
      <c r="C10" s="34"/>
      <c r="D10" s="34"/>
      <c r="E10" s="34"/>
      <c r="F10" s="34"/>
      <c r="G10" s="56"/>
      <c r="H10" s="57"/>
    </row>
    <row r="11" spans="1:9">
      <c r="A11" s="22" t="s">
        <v>9</v>
      </c>
      <c r="B11" s="22"/>
      <c r="C11" s="22"/>
      <c r="D11" s="22"/>
      <c r="E11" s="22"/>
      <c r="F11" s="22"/>
      <c r="G11" s="23">
        <f>SUM(G6:G10)</f>
        <v>94</v>
      </c>
      <c r="H11" s="24">
        <f>SUM(H6:H10)</f>
        <v>2256</v>
      </c>
    </row>
    <row r="12" spans="1:9">
      <c r="A12" s="17"/>
      <c r="B12" s="2"/>
      <c r="C12" s="7"/>
      <c r="D12" s="7"/>
      <c r="E12" s="7"/>
      <c r="F12" s="7"/>
      <c r="G12" s="9"/>
      <c r="H12" s="19"/>
    </row>
    <row r="13" spans="1:9">
      <c r="A13" s="62" t="s">
        <v>35</v>
      </c>
      <c r="B13" s="33" t="s">
        <v>26</v>
      </c>
      <c r="C13" s="34"/>
      <c r="D13" s="34"/>
      <c r="E13" s="34"/>
      <c r="F13" s="34"/>
      <c r="G13" s="35"/>
      <c r="H13" s="36"/>
    </row>
    <row r="14" spans="1:9">
      <c r="A14" s="63"/>
      <c r="B14" s="1" t="s">
        <v>27</v>
      </c>
      <c r="C14" s="34"/>
      <c r="D14" s="34">
        <f>C16</f>
        <v>1656</v>
      </c>
      <c r="E14" s="34"/>
      <c r="F14" s="34"/>
      <c r="G14" s="67">
        <f>H14/24</f>
        <v>69</v>
      </c>
      <c r="H14" s="70">
        <f>C16</f>
        <v>1656</v>
      </c>
    </row>
    <row r="15" spans="1:9">
      <c r="A15" s="63"/>
      <c r="B15" s="1" t="s">
        <v>28</v>
      </c>
      <c r="C15" s="34"/>
      <c r="D15" s="34">
        <f>G14</f>
        <v>69</v>
      </c>
      <c r="E15" s="34"/>
      <c r="F15" s="34"/>
      <c r="G15" s="68"/>
      <c r="H15" s="71"/>
    </row>
    <row r="16" spans="1:9">
      <c r="A16" s="64"/>
      <c r="B16" s="1" t="s">
        <v>10</v>
      </c>
      <c r="C16" s="34">
        <v>1656</v>
      </c>
      <c r="D16" s="34"/>
      <c r="E16" s="34"/>
      <c r="F16" s="34"/>
      <c r="G16" s="69"/>
      <c r="H16" s="72"/>
    </row>
    <row r="17" spans="1:8">
      <c r="A17" s="17"/>
      <c r="B17" s="1"/>
      <c r="C17" s="7"/>
      <c r="D17" s="7"/>
      <c r="E17" s="7"/>
      <c r="F17" s="7"/>
      <c r="G17" s="9"/>
      <c r="H17" s="19"/>
    </row>
    <row r="18" spans="1:8">
      <c r="A18" s="62" t="s">
        <v>35</v>
      </c>
      <c r="B18" s="33" t="s">
        <v>11</v>
      </c>
      <c r="C18" s="34"/>
      <c r="D18" s="34"/>
      <c r="E18" s="34"/>
      <c r="F18" s="34"/>
      <c r="G18" s="35"/>
      <c r="H18" s="37"/>
    </row>
    <row r="19" spans="1:8">
      <c r="A19" s="63"/>
      <c r="B19" s="35" t="s">
        <v>12</v>
      </c>
      <c r="C19" s="34"/>
      <c r="D19" s="34"/>
      <c r="E19" s="34">
        <f>C22*0.024</f>
        <v>76.031999999999996</v>
      </c>
      <c r="F19" s="34"/>
      <c r="G19" s="65">
        <f>H19/24</f>
        <v>132</v>
      </c>
      <c r="H19" s="66">
        <f>C22</f>
        <v>3168</v>
      </c>
    </row>
    <row r="20" spans="1:8">
      <c r="A20" s="63"/>
      <c r="B20" s="35" t="s">
        <v>13</v>
      </c>
      <c r="C20" s="34"/>
      <c r="D20" s="34">
        <f>C22/2</f>
        <v>1584</v>
      </c>
      <c r="E20" s="34"/>
      <c r="F20" s="34"/>
      <c r="G20" s="65"/>
      <c r="H20" s="66"/>
    </row>
    <row r="21" spans="1:8">
      <c r="A21" s="63"/>
      <c r="B21" s="35" t="s">
        <v>14</v>
      </c>
      <c r="C21" s="34"/>
      <c r="D21" s="34">
        <f>G19</f>
        <v>132</v>
      </c>
      <c r="E21" s="34"/>
      <c r="F21" s="34"/>
      <c r="G21" s="65"/>
      <c r="H21" s="66"/>
    </row>
    <row r="22" spans="1:8">
      <c r="A22" s="64"/>
      <c r="B22" s="35" t="s">
        <v>10</v>
      </c>
      <c r="C22" s="34">
        <v>3168</v>
      </c>
      <c r="D22" s="34"/>
      <c r="E22" s="34"/>
      <c r="F22" s="34"/>
      <c r="G22" s="65"/>
      <c r="H22" s="66"/>
    </row>
    <row r="23" spans="1:8">
      <c r="A23" s="13"/>
      <c r="B23" s="14"/>
      <c r="C23" s="14"/>
      <c r="D23" s="14"/>
      <c r="E23" s="14"/>
      <c r="F23" s="14"/>
      <c r="G23" s="15"/>
      <c r="H23" s="16"/>
    </row>
    <row r="24" spans="1:8">
      <c r="A24" s="22" t="s">
        <v>9</v>
      </c>
      <c r="B24" s="22"/>
      <c r="C24" s="22"/>
      <c r="D24" s="22"/>
      <c r="E24" s="22"/>
      <c r="F24" s="22"/>
      <c r="G24" s="23">
        <f>SUM(G13:G23)</f>
        <v>201</v>
      </c>
      <c r="H24" s="24">
        <f>SUM(H13:H23)</f>
        <v>4824</v>
      </c>
    </row>
    <row r="25" spans="1:8">
      <c r="A25" s="17"/>
      <c r="B25" s="4"/>
      <c r="C25" s="10"/>
      <c r="D25" s="7"/>
      <c r="E25" s="7"/>
      <c r="F25" s="7"/>
      <c r="G25" s="5"/>
      <c r="H25" s="20"/>
    </row>
    <row r="26" spans="1:8">
      <c r="A26" s="62" t="s">
        <v>36</v>
      </c>
      <c r="B26" s="33" t="s">
        <v>15</v>
      </c>
      <c r="C26" s="34"/>
      <c r="D26" s="34"/>
      <c r="E26" s="34"/>
      <c r="F26" s="34"/>
      <c r="G26" s="38"/>
      <c r="H26" s="36"/>
    </row>
    <row r="27" spans="1:8">
      <c r="A27" s="63"/>
      <c r="B27" s="35" t="s">
        <v>16</v>
      </c>
      <c r="C27" s="34"/>
      <c r="D27" s="34">
        <f>C30/5</f>
        <v>804</v>
      </c>
      <c r="E27" s="34"/>
      <c r="F27" s="34"/>
      <c r="G27" s="67">
        <f>H27/30</f>
        <v>134</v>
      </c>
      <c r="H27" s="70">
        <f>C30</f>
        <v>4020</v>
      </c>
    </row>
    <row r="28" spans="1:8">
      <c r="A28" s="63"/>
      <c r="B28" s="35" t="s">
        <v>17</v>
      </c>
      <c r="C28" s="34"/>
      <c r="D28" s="34">
        <f>C30/5</f>
        <v>804</v>
      </c>
      <c r="E28" s="34"/>
      <c r="F28" s="34"/>
      <c r="G28" s="68"/>
      <c r="H28" s="71"/>
    </row>
    <row r="29" spans="1:8">
      <c r="A29" s="63"/>
      <c r="B29" s="35" t="s">
        <v>18</v>
      </c>
      <c r="C29" s="34"/>
      <c r="D29" s="34">
        <f>G27</f>
        <v>134</v>
      </c>
      <c r="E29" s="34"/>
      <c r="F29" s="34"/>
      <c r="G29" s="68"/>
      <c r="H29" s="71"/>
    </row>
    <row r="30" spans="1:8">
      <c r="A30" s="64"/>
      <c r="B30" s="35" t="s">
        <v>10</v>
      </c>
      <c r="C30" s="34">
        <v>4020</v>
      </c>
      <c r="D30" s="34"/>
      <c r="E30" s="34"/>
      <c r="F30" s="34"/>
      <c r="G30" s="69"/>
      <c r="H30" s="72"/>
    </row>
    <row r="31" spans="1:8">
      <c r="A31" s="17"/>
      <c r="B31" s="4"/>
      <c r="C31" s="7"/>
      <c r="D31" s="7"/>
      <c r="E31" s="7"/>
      <c r="F31" s="7"/>
      <c r="G31" s="8"/>
      <c r="H31" s="21"/>
    </row>
    <row r="32" spans="1:8">
      <c r="A32" s="62" t="s">
        <v>36</v>
      </c>
      <c r="B32" s="33" t="s">
        <v>11</v>
      </c>
      <c r="C32" s="34"/>
      <c r="D32" s="34"/>
      <c r="E32" s="34"/>
      <c r="F32" s="34"/>
      <c r="G32" s="35"/>
      <c r="H32" s="37"/>
    </row>
    <row r="33" spans="1:8">
      <c r="A33" s="63"/>
      <c r="B33" s="35" t="s">
        <v>12</v>
      </c>
      <c r="C33" s="34"/>
      <c r="D33" s="34"/>
      <c r="E33" s="34">
        <f>C36*0.024</f>
        <v>36.288000000000004</v>
      </c>
      <c r="F33" s="34"/>
      <c r="G33" s="65">
        <f>H33/24</f>
        <v>63</v>
      </c>
      <c r="H33" s="66">
        <f>C36</f>
        <v>1512</v>
      </c>
    </row>
    <row r="34" spans="1:8">
      <c r="A34" s="63"/>
      <c r="B34" s="35" t="s">
        <v>13</v>
      </c>
      <c r="C34" s="34"/>
      <c r="D34" s="34">
        <f>C36/2</f>
        <v>756</v>
      </c>
      <c r="E34" s="34"/>
      <c r="F34" s="34"/>
      <c r="G34" s="65"/>
      <c r="H34" s="66"/>
    </row>
    <row r="35" spans="1:8">
      <c r="A35" s="63"/>
      <c r="B35" s="35" t="s">
        <v>14</v>
      </c>
      <c r="C35" s="34"/>
      <c r="D35" s="34">
        <f>G33</f>
        <v>63</v>
      </c>
      <c r="E35" s="34"/>
      <c r="F35" s="34"/>
      <c r="G35" s="65"/>
      <c r="H35" s="66"/>
    </row>
    <row r="36" spans="1:8">
      <c r="A36" s="64"/>
      <c r="B36" s="35" t="s">
        <v>10</v>
      </c>
      <c r="C36" s="34">
        <v>1512</v>
      </c>
      <c r="D36" s="34"/>
      <c r="E36" s="34"/>
      <c r="F36" s="34"/>
      <c r="G36" s="65"/>
      <c r="H36" s="66"/>
    </row>
    <row r="37" spans="1:8">
      <c r="A37" s="17"/>
      <c r="B37" s="4"/>
      <c r="C37" s="7"/>
      <c r="D37" s="7"/>
      <c r="E37" s="7"/>
      <c r="F37" s="7"/>
      <c r="G37" s="2"/>
      <c r="H37" s="18"/>
    </row>
    <row r="38" spans="1:8">
      <c r="A38" s="62" t="s">
        <v>36</v>
      </c>
      <c r="B38" s="33" t="s">
        <v>29</v>
      </c>
      <c r="C38" s="44"/>
      <c r="D38" s="44"/>
      <c r="E38" s="44"/>
      <c r="F38" s="44"/>
      <c r="G38" s="45"/>
      <c r="H38" s="45"/>
    </row>
    <row r="39" spans="1:8">
      <c r="A39" s="63"/>
      <c r="B39" s="1" t="s">
        <v>30</v>
      </c>
      <c r="C39" s="44"/>
      <c r="D39" s="44">
        <f>H39*4</f>
        <v>1536</v>
      </c>
      <c r="E39" s="44"/>
      <c r="F39" s="44"/>
      <c r="G39" s="62">
        <f>H39/12</f>
        <v>32</v>
      </c>
      <c r="H39" s="88">
        <f>C42</f>
        <v>384</v>
      </c>
    </row>
    <row r="40" spans="1:8">
      <c r="A40" s="63"/>
      <c r="B40" s="1" t="s">
        <v>31</v>
      </c>
      <c r="C40" s="44"/>
      <c r="D40" s="44">
        <f>G39</f>
        <v>32</v>
      </c>
      <c r="E40" s="44"/>
      <c r="F40" s="44"/>
      <c r="G40" s="63"/>
      <c r="H40" s="89"/>
    </row>
    <row r="41" spans="1:8">
      <c r="A41" s="63"/>
      <c r="B41" s="1" t="s">
        <v>32</v>
      </c>
      <c r="C41" s="44"/>
      <c r="D41" s="44">
        <f>G39*48</f>
        <v>1536</v>
      </c>
      <c r="E41" s="44"/>
      <c r="F41" s="44"/>
      <c r="G41" s="63"/>
      <c r="H41" s="89"/>
    </row>
    <row r="42" spans="1:8">
      <c r="A42" s="64"/>
      <c r="B42" s="43" t="s">
        <v>10</v>
      </c>
      <c r="C42" s="46">
        <v>384</v>
      </c>
      <c r="D42" s="46"/>
      <c r="E42" s="46"/>
      <c r="F42" s="46"/>
      <c r="G42" s="64"/>
      <c r="H42" s="90"/>
    </row>
    <row r="43" spans="1:8">
      <c r="A43" s="22" t="s">
        <v>9</v>
      </c>
      <c r="B43" s="22"/>
      <c r="C43" s="22"/>
      <c r="D43" s="22"/>
      <c r="E43" s="22"/>
      <c r="F43" s="22"/>
      <c r="G43" s="23">
        <f>SUM(G26:G42)</f>
        <v>229</v>
      </c>
      <c r="H43" s="24">
        <f>SUM(H26:H42)</f>
        <v>5916</v>
      </c>
    </row>
    <row r="44" spans="1:8">
      <c r="A44" s="17"/>
      <c r="B44" s="1"/>
      <c r="C44" s="7"/>
      <c r="D44" s="7"/>
      <c r="E44" s="7"/>
      <c r="F44" s="7"/>
      <c r="G44" s="9"/>
      <c r="H44" s="19"/>
    </row>
    <row r="45" spans="1:8">
      <c r="A45" s="62" t="s">
        <v>41</v>
      </c>
      <c r="B45" s="33" t="s">
        <v>15</v>
      </c>
      <c r="C45" s="34"/>
      <c r="D45" s="34"/>
      <c r="E45" s="34"/>
      <c r="F45" s="34"/>
      <c r="G45" s="38"/>
      <c r="H45" s="36"/>
    </row>
    <row r="46" spans="1:8">
      <c r="A46" s="63"/>
      <c r="B46" s="35" t="s">
        <v>16</v>
      </c>
      <c r="C46" s="34"/>
      <c r="D46" s="34">
        <f>C49/5</f>
        <v>732</v>
      </c>
      <c r="E46" s="34"/>
      <c r="F46" s="34"/>
      <c r="G46" s="67">
        <f>H46/30</f>
        <v>122</v>
      </c>
      <c r="H46" s="70">
        <f>C49</f>
        <v>3660</v>
      </c>
    </row>
    <row r="47" spans="1:8">
      <c r="A47" s="63"/>
      <c r="B47" s="35" t="s">
        <v>17</v>
      </c>
      <c r="C47" s="34"/>
      <c r="D47" s="34">
        <f>C49/5</f>
        <v>732</v>
      </c>
      <c r="E47" s="34"/>
      <c r="F47" s="34"/>
      <c r="G47" s="68"/>
      <c r="H47" s="71"/>
    </row>
    <row r="48" spans="1:8">
      <c r="A48" s="63"/>
      <c r="B48" s="35" t="s">
        <v>18</v>
      </c>
      <c r="C48" s="34"/>
      <c r="D48" s="34">
        <f>G46</f>
        <v>122</v>
      </c>
      <c r="E48" s="34"/>
      <c r="F48" s="34"/>
      <c r="G48" s="68"/>
      <c r="H48" s="71"/>
    </row>
    <row r="49" spans="1:8">
      <c r="A49" s="64"/>
      <c r="B49" s="35" t="s">
        <v>10</v>
      </c>
      <c r="C49" s="34">
        <v>3660</v>
      </c>
      <c r="D49" s="34"/>
      <c r="E49" s="34"/>
      <c r="F49" s="34"/>
      <c r="G49" s="69"/>
      <c r="H49" s="72"/>
    </row>
    <row r="50" spans="1:8">
      <c r="A50" s="17"/>
      <c r="B50" s="2"/>
      <c r="C50" s="7"/>
      <c r="D50" s="7"/>
      <c r="E50" s="7"/>
      <c r="F50" s="7"/>
      <c r="G50" s="9"/>
      <c r="H50" s="19"/>
    </row>
    <row r="51" spans="1:8">
      <c r="A51" s="62" t="s">
        <v>41</v>
      </c>
      <c r="B51" s="33" t="s">
        <v>37</v>
      </c>
      <c r="C51" s="39"/>
      <c r="D51" s="34"/>
      <c r="E51" s="34"/>
      <c r="F51" s="34"/>
      <c r="G51" s="40"/>
      <c r="H51" s="40"/>
    </row>
    <row r="52" spans="1:8">
      <c r="A52" s="63"/>
      <c r="B52" s="1" t="s">
        <v>38</v>
      </c>
      <c r="C52" s="39"/>
      <c r="D52" s="34"/>
      <c r="E52" s="34">
        <f>H52*0.035</f>
        <v>14.280000000000001</v>
      </c>
      <c r="F52" s="34"/>
      <c r="G52" s="91">
        <f>H52/24</f>
        <v>17</v>
      </c>
      <c r="H52" s="94">
        <f>C55</f>
        <v>408</v>
      </c>
    </row>
    <row r="53" spans="1:8">
      <c r="A53" s="63"/>
      <c r="B53" s="1" t="s">
        <v>39</v>
      </c>
      <c r="C53" s="39"/>
      <c r="D53" s="34">
        <f>H52/2</f>
        <v>204</v>
      </c>
      <c r="E53" s="34"/>
      <c r="F53" s="34"/>
      <c r="G53" s="92"/>
      <c r="H53" s="95"/>
    </row>
    <row r="54" spans="1:8">
      <c r="A54" s="63"/>
      <c r="B54" s="1" t="s">
        <v>40</v>
      </c>
      <c r="C54" s="39"/>
      <c r="D54" s="34">
        <f>G52</f>
        <v>17</v>
      </c>
      <c r="E54" s="34"/>
      <c r="F54" s="34"/>
      <c r="G54" s="92"/>
      <c r="H54" s="95"/>
    </row>
    <row r="55" spans="1:8">
      <c r="A55" s="64"/>
      <c r="B55" s="1" t="s">
        <v>10</v>
      </c>
      <c r="C55" s="39">
        <v>408</v>
      </c>
      <c r="D55" s="34"/>
      <c r="E55" s="34"/>
      <c r="F55" s="34"/>
      <c r="G55" s="93"/>
      <c r="H55" s="96"/>
    </row>
    <row r="56" spans="1:8">
      <c r="A56" s="17"/>
      <c r="B56" s="1"/>
      <c r="C56" s="7"/>
      <c r="D56" s="7"/>
      <c r="E56" s="7"/>
      <c r="F56" s="7"/>
      <c r="G56" s="9"/>
      <c r="H56" s="19"/>
    </row>
    <row r="57" spans="1:8">
      <c r="A57" s="62" t="s">
        <v>41</v>
      </c>
      <c r="B57" s="33" t="s">
        <v>11</v>
      </c>
      <c r="C57" s="34"/>
      <c r="D57" s="34"/>
      <c r="E57" s="34"/>
      <c r="F57" s="34"/>
      <c r="G57" s="35"/>
      <c r="H57" s="37"/>
    </row>
    <row r="58" spans="1:8">
      <c r="A58" s="63"/>
      <c r="B58" s="35" t="s">
        <v>12</v>
      </c>
      <c r="C58" s="34"/>
      <c r="D58" s="34"/>
      <c r="E58" s="34">
        <f>C61*0.024</f>
        <v>43.2</v>
      </c>
      <c r="F58" s="34"/>
      <c r="G58" s="65">
        <f>H58/24</f>
        <v>75</v>
      </c>
      <c r="H58" s="66">
        <f>C61</f>
        <v>1800</v>
      </c>
    </row>
    <row r="59" spans="1:8">
      <c r="A59" s="63"/>
      <c r="B59" s="35" t="s">
        <v>13</v>
      </c>
      <c r="C59" s="34"/>
      <c r="D59" s="34">
        <f>C61/2</f>
        <v>900</v>
      </c>
      <c r="E59" s="34"/>
      <c r="F59" s="34"/>
      <c r="G59" s="65"/>
      <c r="H59" s="66"/>
    </row>
    <row r="60" spans="1:8">
      <c r="A60" s="63"/>
      <c r="B60" s="35" t="s">
        <v>14</v>
      </c>
      <c r="C60" s="34"/>
      <c r="D60" s="34">
        <f>G58</f>
        <v>75</v>
      </c>
      <c r="E60" s="34"/>
      <c r="F60" s="34"/>
      <c r="G60" s="65"/>
      <c r="H60" s="66"/>
    </row>
    <row r="61" spans="1:8">
      <c r="A61" s="64"/>
      <c r="B61" s="35" t="s">
        <v>10</v>
      </c>
      <c r="C61" s="34">
        <v>1800</v>
      </c>
      <c r="D61" s="34"/>
      <c r="E61" s="34"/>
      <c r="F61" s="34"/>
      <c r="G61" s="65"/>
      <c r="H61" s="66"/>
    </row>
    <row r="62" spans="1:8">
      <c r="A62" s="17"/>
      <c r="B62" s="4"/>
      <c r="C62" s="7"/>
      <c r="D62" s="7"/>
      <c r="E62" s="7"/>
      <c r="F62" s="7"/>
      <c r="G62" s="8"/>
      <c r="H62" s="18"/>
    </row>
    <row r="63" spans="1:8">
      <c r="A63" s="62" t="s">
        <v>41</v>
      </c>
      <c r="B63" s="33" t="s">
        <v>19</v>
      </c>
      <c r="C63" s="34"/>
      <c r="D63" s="34"/>
      <c r="E63" s="34"/>
      <c r="F63" s="34"/>
      <c r="G63" s="35"/>
      <c r="H63" s="36"/>
    </row>
    <row r="64" spans="1:8">
      <c r="A64" s="63"/>
      <c r="B64" s="1" t="s">
        <v>20</v>
      </c>
      <c r="C64" s="34"/>
      <c r="D64" s="34">
        <f>C69*2</f>
        <v>2136</v>
      </c>
      <c r="E64" s="34"/>
      <c r="F64" s="34"/>
      <c r="G64" s="67">
        <f>H64/12</f>
        <v>89</v>
      </c>
      <c r="H64" s="70">
        <f>C69</f>
        <v>1068</v>
      </c>
    </row>
    <row r="65" spans="1:8">
      <c r="A65" s="63"/>
      <c r="B65" s="1" t="s">
        <v>21</v>
      </c>
      <c r="C65" s="34"/>
      <c r="D65" s="34">
        <f>G64</f>
        <v>89</v>
      </c>
      <c r="E65" s="34"/>
      <c r="F65" s="34"/>
      <c r="G65" s="68"/>
      <c r="H65" s="71"/>
    </row>
    <row r="66" spans="1:8">
      <c r="A66" s="63"/>
      <c r="B66" s="1" t="s">
        <v>22</v>
      </c>
      <c r="C66" s="34"/>
      <c r="D66" s="34">
        <f>C69*2</f>
        <v>2136</v>
      </c>
      <c r="E66" s="34"/>
      <c r="F66" s="34"/>
      <c r="G66" s="68"/>
      <c r="H66" s="71"/>
    </row>
    <row r="67" spans="1:8">
      <c r="A67" s="63"/>
      <c r="B67" s="1" t="s">
        <v>23</v>
      </c>
      <c r="C67" s="34"/>
      <c r="D67" s="34">
        <f>C69*2</f>
        <v>2136</v>
      </c>
      <c r="E67" s="34"/>
      <c r="F67" s="34"/>
      <c r="G67" s="68"/>
      <c r="H67" s="71"/>
    </row>
    <row r="68" spans="1:8">
      <c r="A68" s="63"/>
      <c r="B68" s="1" t="s">
        <v>24</v>
      </c>
      <c r="C68" s="34"/>
      <c r="D68" s="34">
        <f>C69*2</f>
        <v>2136</v>
      </c>
      <c r="E68" s="34"/>
      <c r="F68" s="34"/>
      <c r="G68" s="68"/>
      <c r="H68" s="71"/>
    </row>
    <row r="69" spans="1:8">
      <c r="A69" s="63"/>
      <c r="B69" s="41" t="s">
        <v>10</v>
      </c>
      <c r="C69" s="42">
        <v>1068</v>
      </c>
      <c r="D69" s="42"/>
      <c r="E69" s="42"/>
      <c r="F69" s="42"/>
      <c r="G69" s="68"/>
      <c r="H69" s="71"/>
    </row>
    <row r="70" spans="1:8">
      <c r="A70" s="17"/>
      <c r="B70" s="1"/>
      <c r="C70" s="7"/>
      <c r="D70" s="7"/>
      <c r="E70" s="7"/>
      <c r="F70" s="7"/>
      <c r="G70" s="9"/>
      <c r="H70" s="19"/>
    </row>
    <row r="71" spans="1:8">
      <c r="A71" s="62" t="s">
        <v>41</v>
      </c>
      <c r="B71" s="33" t="s">
        <v>29</v>
      </c>
      <c r="C71" s="44"/>
      <c r="D71" s="44"/>
      <c r="E71" s="44"/>
      <c r="F71" s="44"/>
      <c r="G71" s="45"/>
      <c r="H71" s="45"/>
    </row>
    <row r="72" spans="1:8">
      <c r="A72" s="63"/>
      <c r="B72" s="1" t="s">
        <v>30</v>
      </c>
      <c r="C72" s="44"/>
      <c r="D72" s="44">
        <f>H72*4</f>
        <v>2064</v>
      </c>
      <c r="E72" s="44"/>
      <c r="F72" s="44"/>
      <c r="G72" s="62">
        <f>H72/12</f>
        <v>43</v>
      </c>
      <c r="H72" s="88">
        <f>C75</f>
        <v>516</v>
      </c>
    </row>
    <row r="73" spans="1:8">
      <c r="A73" s="63"/>
      <c r="B73" s="1" t="s">
        <v>31</v>
      </c>
      <c r="C73" s="44"/>
      <c r="D73" s="44">
        <f>G72</f>
        <v>43</v>
      </c>
      <c r="E73" s="44"/>
      <c r="F73" s="44"/>
      <c r="G73" s="63"/>
      <c r="H73" s="89"/>
    </row>
    <row r="74" spans="1:8">
      <c r="A74" s="63"/>
      <c r="B74" s="1" t="s">
        <v>32</v>
      </c>
      <c r="C74" s="44"/>
      <c r="D74" s="44">
        <f>G72*48</f>
        <v>2064</v>
      </c>
      <c r="E74" s="44"/>
      <c r="F74" s="44"/>
      <c r="G74" s="63"/>
      <c r="H74" s="89"/>
    </row>
    <row r="75" spans="1:8">
      <c r="A75" s="64"/>
      <c r="B75" s="43" t="s">
        <v>10</v>
      </c>
      <c r="C75" s="46">
        <v>516</v>
      </c>
      <c r="D75" s="46"/>
      <c r="E75" s="46"/>
      <c r="F75" s="46"/>
      <c r="G75" s="64"/>
      <c r="H75" s="90"/>
    </row>
    <row r="76" spans="1:8">
      <c r="A76" s="22" t="s">
        <v>9</v>
      </c>
      <c r="B76" s="22"/>
      <c r="C76" s="22"/>
      <c r="D76" s="22"/>
      <c r="E76" s="22"/>
      <c r="F76" s="22"/>
      <c r="G76" s="23">
        <f>SUM(G45:G75)</f>
        <v>346</v>
      </c>
      <c r="H76" s="24">
        <f>SUM(H45:H75)</f>
        <v>7452</v>
      </c>
    </row>
    <row r="77" spans="1:8">
      <c r="A77" s="17"/>
      <c r="B77" s="2"/>
      <c r="C77" s="7"/>
      <c r="D77" s="7"/>
      <c r="E77" s="7"/>
      <c r="F77" s="7"/>
      <c r="G77" s="9"/>
      <c r="H77" s="19"/>
    </row>
    <row r="78" spans="1:8">
      <c r="A78" s="62" t="s">
        <v>42</v>
      </c>
      <c r="B78" s="33" t="s">
        <v>37</v>
      </c>
      <c r="C78" s="39"/>
      <c r="D78" s="34"/>
      <c r="E78" s="34"/>
      <c r="F78" s="34"/>
      <c r="G78" s="40"/>
      <c r="H78" s="40"/>
    </row>
    <row r="79" spans="1:8">
      <c r="A79" s="63"/>
      <c r="B79" s="1" t="s">
        <v>38</v>
      </c>
      <c r="C79" s="39"/>
      <c r="D79" s="34"/>
      <c r="E79" s="34">
        <f>H79*0.035</f>
        <v>5.0400000000000009</v>
      </c>
      <c r="F79" s="34"/>
      <c r="G79" s="91">
        <f>H79/24</f>
        <v>6</v>
      </c>
      <c r="H79" s="94">
        <f>C82</f>
        <v>144</v>
      </c>
    </row>
    <row r="80" spans="1:8">
      <c r="A80" s="63"/>
      <c r="B80" s="1" t="s">
        <v>39</v>
      </c>
      <c r="C80" s="39"/>
      <c r="D80" s="34">
        <f>H79/2</f>
        <v>72</v>
      </c>
      <c r="E80" s="34"/>
      <c r="F80" s="34"/>
      <c r="G80" s="92"/>
      <c r="H80" s="95"/>
    </row>
    <row r="81" spans="1:8">
      <c r="A81" s="63"/>
      <c r="B81" s="1" t="s">
        <v>40</v>
      </c>
      <c r="C81" s="39"/>
      <c r="D81" s="34">
        <f>G79</f>
        <v>6</v>
      </c>
      <c r="E81" s="34"/>
      <c r="F81" s="34"/>
      <c r="G81" s="92"/>
      <c r="H81" s="95"/>
    </row>
    <row r="82" spans="1:8">
      <c r="A82" s="64"/>
      <c r="B82" s="1" t="s">
        <v>10</v>
      </c>
      <c r="C82" s="39">
        <v>144</v>
      </c>
      <c r="D82" s="34"/>
      <c r="E82" s="34"/>
      <c r="F82" s="34"/>
      <c r="G82" s="93"/>
      <c r="H82" s="96"/>
    </row>
    <row r="83" spans="1:8">
      <c r="A83" s="17"/>
      <c r="B83" s="1"/>
      <c r="C83" s="7"/>
      <c r="D83" s="7"/>
      <c r="E83" s="7"/>
      <c r="F83" s="7"/>
      <c r="G83" s="9"/>
      <c r="H83" s="19"/>
    </row>
    <row r="84" spans="1:8">
      <c r="A84" s="62" t="s">
        <v>42</v>
      </c>
      <c r="B84" s="33" t="s">
        <v>11</v>
      </c>
      <c r="C84" s="34"/>
      <c r="D84" s="34"/>
      <c r="E84" s="34"/>
      <c r="F84" s="34"/>
      <c r="G84" s="35"/>
      <c r="H84" s="37"/>
    </row>
    <row r="85" spans="1:8">
      <c r="A85" s="63"/>
      <c r="B85" s="35" t="s">
        <v>12</v>
      </c>
      <c r="C85" s="34"/>
      <c r="D85" s="34"/>
      <c r="E85" s="34">
        <f>C88*0.024</f>
        <v>35.136000000000003</v>
      </c>
      <c r="F85" s="34"/>
      <c r="G85" s="65">
        <f>H85/24</f>
        <v>61</v>
      </c>
      <c r="H85" s="66">
        <f>C88</f>
        <v>1464</v>
      </c>
    </row>
    <row r="86" spans="1:8">
      <c r="A86" s="63"/>
      <c r="B86" s="35" t="s">
        <v>13</v>
      </c>
      <c r="C86" s="34"/>
      <c r="D86" s="34">
        <f>C88/2</f>
        <v>732</v>
      </c>
      <c r="E86" s="34"/>
      <c r="F86" s="34"/>
      <c r="G86" s="65"/>
      <c r="H86" s="66"/>
    </row>
    <row r="87" spans="1:8">
      <c r="A87" s="63"/>
      <c r="B87" s="35" t="s">
        <v>14</v>
      </c>
      <c r="C87" s="34"/>
      <c r="D87" s="34">
        <f>G85</f>
        <v>61</v>
      </c>
      <c r="E87" s="34"/>
      <c r="F87" s="34"/>
      <c r="G87" s="65"/>
      <c r="H87" s="66"/>
    </row>
    <row r="88" spans="1:8">
      <c r="A88" s="64"/>
      <c r="B88" s="35" t="s">
        <v>10</v>
      </c>
      <c r="C88" s="34">
        <v>1464</v>
      </c>
      <c r="D88" s="34"/>
      <c r="E88" s="34"/>
      <c r="F88" s="34"/>
      <c r="G88" s="65"/>
      <c r="H88" s="66"/>
    </row>
    <row r="89" spans="1:8">
      <c r="A89" s="17"/>
      <c r="B89" s="4"/>
      <c r="C89" s="7"/>
      <c r="D89" s="7"/>
      <c r="E89" s="7"/>
      <c r="F89" s="7"/>
      <c r="G89" s="8"/>
      <c r="H89" s="18"/>
    </row>
    <row r="90" spans="1:8">
      <c r="A90" s="62" t="s">
        <v>42</v>
      </c>
      <c r="B90" s="33" t="s">
        <v>19</v>
      </c>
      <c r="C90" s="34"/>
      <c r="D90" s="34"/>
      <c r="E90" s="34"/>
      <c r="F90" s="34"/>
      <c r="G90" s="35"/>
      <c r="H90" s="36"/>
    </row>
    <row r="91" spans="1:8">
      <c r="A91" s="63"/>
      <c r="B91" s="1" t="s">
        <v>20</v>
      </c>
      <c r="C91" s="34"/>
      <c r="D91" s="34">
        <f>C96*2</f>
        <v>1536</v>
      </c>
      <c r="E91" s="34"/>
      <c r="F91" s="34"/>
      <c r="G91" s="67">
        <f>H91/12</f>
        <v>64</v>
      </c>
      <c r="H91" s="70">
        <f>C96</f>
        <v>768</v>
      </c>
    </row>
    <row r="92" spans="1:8">
      <c r="A92" s="63"/>
      <c r="B92" s="1" t="s">
        <v>21</v>
      </c>
      <c r="C92" s="34"/>
      <c r="D92" s="34">
        <f>G91</f>
        <v>64</v>
      </c>
      <c r="E92" s="34"/>
      <c r="F92" s="34"/>
      <c r="G92" s="68"/>
      <c r="H92" s="71"/>
    </row>
    <row r="93" spans="1:8">
      <c r="A93" s="63"/>
      <c r="B93" s="1" t="s">
        <v>22</v>
      </c>
      <c r="C93" s="34"/>
      <c r="D93" s="34">
        <f>C96*2</f>
        <v>1536</v>
      </c>
      <c r="E93" s="34"/>
      <c r="F93" s="34"/>
      <c r="G93" s="68"/>
      <c r="H93" s="71"/>
    </row>
    <row r="94" spans="1:8">
      <c r="A94" s="63"/>
      <c r="B94" s="1" t="s">
        <v>23</v>
      </c>
      <c r="C94" s="34"/>
      <c r="D94" s="34">
        <f>C96*2</f>
        <v>1536</v>
      </c>
      <c r="E94" s="34"/>
      <c r="F94" s="34"/>
      <c r="G94" s="68"/>
      <c r="H94" s="71"/>
    </row>
    <row r="95" spans="1:8">
      <c r="A95" s="63"/>
      <c r="B95" s="1" t="s">
        <v>24</v>
      </c>
      <c r="C95" s="34"/>
      <c r="D95" s="34">
        <f>C96*2</f>
        <v>1536</v>
      </c>
      <c r="E95" s="34"/>
      <c r="F95" s="34"/>
      <c r="G95" s="68"/>
      <c r="H95" s="71"/>
    </row>
    <row r="96" spans="1:8">
      <c r="A96" s="63"/>
      <c r="B96" s="41" t="s">
        <v>10</v>
      </c>
      <c r="C96" s="42">
        <v>768</v>
      </c>
      <c r="D96" s="42"/>
      <c r="E96" s="42"/>
      <c r="F96" s="42"/>
      <c r="G96" s="68"/>
      <c r="H96" s="71"/>
    </row>
    <row r="97" spans="1:8">
      <c r="A97" s="22" t="s">
        <v>9</v>
      </c>
      <c r="B97" s="22"/>
      <c r="C97" s="22"/>
      <c r="D97" s="22"/>
      <c r="E97" s="22"/>
      <c r="F97" s="22"/>
      <c r="G97" s="23">
        <f>SUM(G78:G96)</f>
        <v>131</v>
      </c>
      <c r="H97" s="24">
        <f>SUM(H78:H96)</f>
        <v>2376</v>
      </c>
    </row>
    <row r="98" spans="1:8">
      <c r="A98" s="17"/>
      <c r="B98" s="1"/>
      <c r="C98" s="7"/>
      <c r="D98" s="7"/>
      <c r="E98" s="7"/>
      <c r="F98" s="7"/>
      <c r="G98" s="9"/>
      <c r="H98" s="19"/>
    </row>
    <row r="99" spans="1:8">
      <c r="A99" s="62" t="s">
        <v>43</v>
      </c>
      <c r="B99" s="33" t="s">
        <v>26</v>
      </c>
      <c r="C99" s="34"/>
      <c r="D99" s="34"/>
      <c r="E99" s="34"/>
      <c r="F99" s="34"/>
      <c r="G99" s="35"/>
      <c r="H99" s="36"/>
    </row>
    <row r="100" spans="1:8">
      <c r="A100" s="63"/>
      <c r="B100" s="1" t="s">
        <v>27</v>
      </c>
      <c r="C100" s="34"/>
      <c r="D100" s="34">
        <f>C102</f>
        <v>2616</v>
      </c>
      <c r="E100" s="34"/>
      <c r="F100" s="34"/>
      <c r="G100" s="67">
        <f>H100/24</f>
        <v>109</v>
      </c>
      <c r="H100" s="70">
        <f>C102</f>
        <v>2616</v>
      </c>
    </row>
    <row r="101" spans="1:8">
      <c r="A101" s="63"/>
      <c r="B101" s="1" t="s">
        <v>28</v>
      </c>
      <c r="C101" s="34"/>
      <c r="D101" s="34">
        <f>G100</f>
        <v>109</v>
      </c>
      <c r="E101" s="34"/>
      <c r="F101" s="34"/>
      <c r="G101" s="68"/>
      <c r="H101" s="71"/>
    </row>
    <row r="102" spans="1:8">
      <c r="A102" s="64"/>
      <c r="B102" s="1" t="s">
        <v>10</v>
      </c>
      <c r="C102" s="34">
        <v>2616</v>
      </c>
      <c r="D102" s="34"/>
      <c r="E102" s="34"/>
      <c r="F102" s="34"/>
      <c r="G102" s="69"/>
      <c r="H102" s="72"/>
    </row>
    <row r="103" spans="1:8">
      <c r="A103" s="17"/>
      <c r="B103" s="4"/>
      <c r="C103" s="7"/>
      <c r="D103" s="7"/>
      <c r="E103" s="7"/>
      <c r="F103" s="7"/>
      <c r="G103" s="11"/>
      <c r="H103" s="21"/>
    </row>
    <row r="104" spans="1:8">
      <c r="A104" s="62" t="s">
        <v>43</v>
      </c>
      <c r="B104" s="33" t="s">
        <v>11</v>
      </c>
      <c r="C104" s="34"/>
      <c r="D104" s="34"/>
      <c r="E104" s="34"/>
      <c r="F104" s="34"/>
      <c r="G104" s="35"/>
      <c r="H104" s="37"/>
    </row>
    <row r="105" spans="1:8">
      <c r="A105" s="63"/>
      <c r="B105" s="35" t="s">
        <v>12</v>
      </c>
      <c r="C105" s="34"/>
      <c r="D105" s="34"/>
      <c r="E105" s="34">
        <f>C108*0.024</f>
        <v>84.671999999999997</v>
      </c>
      <c r="F105" s="34"/>
      <c r="G105" s="65">
        <f>H105/24</f>
        <v>147</v>
      </c>
      <c r="H105" s="66">
        <f>C108</f>
        <v>3528</v>
      </c>
    </row>
    <row r="106" spans="1:8">
      <c r="A106" s="63"/>
      <c r="B106" s="35" t="s">
        <v>13</v>
      </c>
      <c r="C106" s="34"/>
      <c r="D106" s="34">
        <f>C108/2</f>
        <v>1764</v>
      </c>
      <c r="E106" s="34"/>
      <c r="F106" s="34"/>
      <c r="G106" s="65"/>
      <c r="H106" s="66"/>
    </row>
    <row r="107" spans="1:8">
      <c r="A107" s="63"/>
      <c r="B107" s="35" t="s">
        <v>14</v>
      </c>
      <c r="C107" s="34"/>
      <c r="D107" s="34">
        <f>G105</f>
        <v>147</v>
      </c>
      <c r="E107" s="34"/>
      <c r="F107" s="34"/>
      <c r="G107" s="65"/>
      <c r="H107" s="66"/>
    </row>
    <row r="108" spans="1:8">
      <c r="A108" s="64"/>
      <c r="B108" s="35" t="s">
        <v>10</v>
      </c>
      <c r="C108" s="34">
        <v>3528</v>
      </c>
      <c r="D108" s="34"/>
      <c r="E108" s="34"/>
      <c r="F108" s="34"/>
      <c r="G108" s="65"/>
      <c r="H108" s="66"/>
    </row>
    <row r="109" spans="1:8">
      <c r="A109" s="22" t="s">
        <v>9</v>
      </c>
      <c r="B109" s="22"/>
      <c r="C109" s="22"/>
      <c r="D109" s="22"/>
      <c r="E109" s="22"/>
      <c r="F109" s="22"/>
      <c r="G109" s="23">
        <f>SUM(G98:G108)</f>
        <v>256</v>
      </c>
      <c r="H109" s="24">
        <f>SUM(H98:H108)</f>
        <v>6144</v>
      </c>
    </row>
    <row r="110" spans="1:8">
      <c r="A110" s="17"/>
      <c r="B110" s="1"/>
      <c r="C110" s="7"/>
      <c r="D110" s="7"/>
      <c r="E110" s="7"/>
      <c r="F110" s="7"/>
      <c r="G110" s="9"/>
      <c r="H110" s="19"/>
    </row>
    <row r="111" spans="1:8">
      <c r="A111" s="62" t="s">
        <v>47</v>
      </c>
      <c r="B111" s="33" t="s">
        <v>15</v>
      </c>
      <c r="C111" s="34"/>
      <c r="D111" s="34"/>
      <c r="E111" s="34"/>
      <c r="F111" s="34"/>
      <c r="G111" s="38"/>
      <c r="H111" s="36"/>
    </row>
    <row r="112" spans="1:8">
      <c r="A112" s="63"/>
      <c r="B112" s="35" t="s">
        <v>16</v>
      </c>
      <c r="C112" s="34"/>
      <c r="D112" s="34">
        <f>C115/5</f>
        <v>324</v>
      </c>
      <c r="E112" s="34"/>
      <c r="F112" s="34"/>
      <c r="G112" s="67">
        <f>H112/30</f>
        <v>54</v>
      </c>
      <c r="H112" s="70">
        <f>C115</f>
        <v>1620</v>
      </c>
    </row>
    <row r="113" spans="1:8">
      <c r="A113" s="63"/>
      <c r="B113" s="35" t="s">
        <v>17</v>
      </c>
      <c r="C113" s="34"/>
      <c r="D113" s="34">
        <f>C115/5</f>
        <v>324</v>
      </c>
      <c r="E113" s="34"/>
      <c r="F113" s="34"/>
      <c r="G113" s="68"/>
      <c r="H113" s="71"/>
    </row>
    <row r="114" spans="1:8">
      <c r="A114" s="63"/>
      <c r="B114" s="35" t="s">
        <v>18</v>
      </c>
      <c r="C114" s="34"/>
      <c r="D114" s="34">
        <f>G112</f>
        <v>54</v>
      </c>
      <c r="E114" s="34"/>
      <c r="F114" s="34"/>
      <c r="G114" s="68"/>
      <c r="H114" s="71"/>
    </row>
    <row r="115" spans="1:8">
      <c r="A115" s="64"/>
      <c r="B115" s="35" t="s">
        <v>10</v>
      </c>
      <c r="C115" s="34">
        <v>1620</v>
      </c>
      <c r="D115" s="34"/>
      <c r="E115" s="34"/>
      <c r="F115" s="34"/>
      <c r="G115" s="69"/>
      <c r="H115" s="72"/>
    </row>
    <row r="116" spans="1:8">
      <c r="A116" s="17"/>
      <c r="B116" s="2"/>
      <c r="C116" s="7"/>
      <c r="D116" s="7"/>
      <c r="E116" s="7"/>
      <c r="F116" s="7"/>
      <c r="G116" s="9"/>
      <c r="H116" s="19"/>
    </row>
    <row r="117" spans="1:8">
      <c r="A117" s="62" t="s">
        <v>47</v>
      </c>
      <c r="B117" s="33" t="s">
        <v>44</v>
      </c>
      <c r="C117" s="34"/>
      <c r="D117" s="34"/>
      <c r="E117" s="34"/>
      <c r="F117" s="34"/>
      <c r="G117" s="35"/>
      <c r="H117" s="36"/>
    </row>
    <row r="118" spans="1:8">
      <c r="A118" s="63"/>
      <c r="B118" s="1" t="s">
        <v>45</v>
      </c>
      <c r="C118" s="34"/>
      <c r="D118" s="34">
        <f>C120*2</f>
        <v>1248</v>
      </c>
      <c r="E118" s="34"/>
      <c r="F118" s="34"/>
      <c r="G118" s="67">
        <f>H118/24</f>
        <v>26</v>
      </c>
      <c r="H118" s="70">
        <f>C120</f>
        <v>624</v>
      </c>
    </row>
    <row r="119" spans="1:8">
      <c r="A119" s="63"/>
      <c r="B119" s="1" t="s">
        <v>46</v>
      </c>
      <c r="C119" s="34"/>
      <c r="D119" s="34">
        <f>G118</f>
        <v>26</v>
      </c>
      <c r="E119" s="34"/>
      <c r="F119" s="34"/>
      <c r="G119" s="68"/>
      <c r="H119" s="71"/>
    </row>
    <row r="120" spans="1:8">
      <c r="A120" s="64"/>
      <c r="B120" s="1" t="s">
        <v>10</v>
      </c>
      <c r="C120" s="34">
        <v>624</v>
      </c>
      <c r="D120" s="34"/>
      <c r="E120" s="34"/>
      <c r="F120" s="34"/>
      <c r="G120" s="69"/>
      <c r="H120" s="72"/>
    </row>
    <row r="121" spans="1:8">
      <c r="A121" s="17"/>
      <c r="B121" s="1"/>
      <c r="C121" s="7"/>
      <c r="D121" s="7"/>
      <c r="E121" s="7"/>
      <c r="F121" s="7"/>
      <c r="G121" s="9"/>
      <c r="H121" s="19"/>
    </row>
    <row r="122" spans="1:8">
      <c r="A122" s="62" t="s">
        <v>47</v>
      </c>
      <c r="B122" s="33" t="s">
        <v>11</v>
      </c>
      <c r="C122" s="34"/>
      <c r="D122" s="34"/>
      <c r="E122" s="34"/>
      <c r="F122" s="34"/>
      <c r="G122" s="35"/>
      <c r="H122" s="37"/>
    </row>
    <row r="123" spans="1:8">
      <c r="A123" s="63"/>
      <c r="B123" s="35" t="s">
        <v>12</v>
      </c>
      <c r="C123" s="34"/>
      <c r="D123" s="34"/>
      <c r="E123" s="34">
        <f>C126*0.024</f>
        <v>56.448</v>
      </c>
      <c r="F123" s="34"/>
      <c r="G123" s="65">
        <f>H123/24</f>
        <v>98</v>
      </c>
      <c r="H123" s="66">
        <f>C126</f>
        <v>2352</v>
      </c>
    </row>
    <row r="124" spans="1:8">
      <c r="A124" s="63"/>
      <c r="B124" s="35" t="s">
        <v>13</v>
      </c>
      <c r="C124" s="34"/>
      <c r="D124" s="34">
        <f>C126/2</f>
        <v>1176</v>
      </c>
      <c r="E124" s="34"/>
      <c r="F124" s="34"/>
      <c r="G124" s="65"/>
      <c r="H124" s="66"/>
    </row>
    <row r="125" spans="1:8">
      <c r="A125" s="63"/>
      <c r="B125" s="35" t="s">
        <v>14</v>
      </c>
      <c r="C125" s="34"/>
      <c r="D125" s="34">
        <f>G123</f>
        <v>98</v>
      </c>
      <c r="E125" s="34"/>
      <c r="F125" s="34"/>
      <c r="G125" s="65"/>
      <c r="H125" s="66"/>
    </row>
    <row r="126" spans="1:8">
      <c r="A126" s="64"/>
      <c r="B126" s="35" t="s">
        <v>10</v>
      </c>
      <c r="C126" s="34">
        <v>2352</v>
      </c>
      <c r="D126" s="34"/>
      <c r="E126" s="34"/>
      <c r="F126" s="34"/>
      <c r="G126" s="65"/>
      <c r="H126" s="66"/>
    </row>
    <row r="127" spans="1:8">
      <c r="A127" s="22" t="s">
        <v>9</v>
      </c>
      <c r="B127" s="22"/>
      <c r="C127" s="22"/>
      <c r="D127" s="22"/>
      <c r="E127" s="22"/>
      <c r="F127" s="22"/>
      <c r="G127" s="23">
        <f>SUM(G111:G126)</f>
        <v>178</v>
      </c>
      <c r="H127" s="24">
        <f>SUM(H111:H126)</f>
        <v>4596</v>
      </c>
    </row>
    <row r="128" spans="1:8">
      <c r="A128" s="62" t="s">
        <v>52</v>
      </c>
      <c r="B128" s="33" t="s">
        <v>15</v>
      </c>
      <c r="C128" s="34"/>
      <c r="D128" s="34"/>
      <c r="E128" s="34"/>
      <c r="F128" s="34"/>
      <c r="G128" s="38"/>
      <c r="H128" s="36"/>
    </row>
    <row r="129" spans="1:8">
      <c r="A129" s="63"/>
      <c r="B129" s="35" t="s">
        <v>16</v>
      </c>
      <c r="C129" s="34"/>
      <c r="D129" s="34">
        <f>C132/5</f>
        <v>48</v>
      </c>
      <c r="E129" s="34"/>
      <c r="F129" s="34"/>
      <c r="G129" s="67">
        <f>H129/30</f>
        <v>8</v>
      </c>
      <c r="H129" s="70">
        <f>C132</f>
        <v>240</v>
      </c>
    </row>
    <row r="130" spans="1:8">
      <c r="A130" s="63"/>
      <c r="B130" s="35" t="s">
        <v>17</v>
      </c>
      <c r="C130" s="34"/>
      <c r="D130" s="34">
        <f>C132/5</f>
        <v>48</v>
      </c>
      <c r="E130" s="34"/>
      <c r="F130" s="34"/>
      <c r="G130" s="68"/>
      <c r="H130" s="71"/>
    </row>
    <row r="131" spans="1:8">
      <c r="A131" s="63"/>
      <c r="B131" s="35" t="s">
        <v>18</v>
      </c>
      <c r="C131" s="34"/>
      <c r="D131" s="34">
        <f>G129</f>
        <v>8</v>
      </c>
      <c r="E131" s="34"/>
      <c r="F131" s="34"/>
      <c r="G131" s="68"/>
      <c r="H131" s="71"/>
    </row>
    <row r="132" spans="1:8">
      <c r="A132" s="64"/>
      <c r="B132" s="35" t="s">
        <v>10</v>
      </c>
      <c r="C132" s="34">
        <v>240</v>
      </c>
      <c r="D132" s="34"/>
      <c r="E132" s="34"/>
      <c r="F132" s="34"/>
      <c r="G132" s="69"/>
      <c r="H132" s="72"/>
    </row>
    <row r="133" spans="1:8">
      <c r="A133" s="17"/>
      <c r="B133" s="4"/>
      <c r="C133" s="7"/>
      <c r="D133" s="7"/>
      <c r="E133" s="7"/>
      <c r="F133" s="7"/>
      <c r="G133" s="2"/>
      <c r="H133" s="18"/>
    </row>
    <row r="134" spans="1:8">
      <c r="A134" s="62" t="s">
        <v>52</v>
      </c>
      <c r="B134" s="33" t="s">
        <v>48</v>
      </c>
      <c r="C134" s="39"/>
      <c r="D134" s="34"/>
      <c r="E134" s="34"/>
      <c r="F134" s="34"/>
      <c r="G134" s="40"/>
      <c r="H134" s="58"/>
    </row>
    <row r="135" spans="1:8">
      <c r="A135" s="63"/>
      <c r="B135" s="1" t="s">
        <v>49</v>
      </c>
      <c r="C135" s="39"/>
      <c r="D135" s="34"/>
      <c r="E135" s="34">
        <f>C138*0.075</f>
        <v>18.149999999999999</v>
      </c>
      <c r="F135" s="34"/>
      <c r="G135" s="73">
        <f>H135/22</f>
        <v>11</v>
      </c>
      <c r="H135" s="74">
        <f>C138</f>
        <v>242</v>
      </c>
    </row>
    <row r="136" spans="1:8">
      <c r="A136" s="63"/>
      <c r="B136" s="1" t="s">
        <v>50</v>
      </c>
      <c r="C136" s="39"/>
      <c r="D136" s="34">
        <f>G135*25</f>
        <v>275</v>
      </c>
      <c r="E136" s="34"/>
      <c r="F136" s="34"/>
      <c r="G136" s="73"/>
      <c r="H136" s="74"/>
    </row>
    <row r="137" spans="1:8">
      <c r="A137" s="63"/>
      <c r="B137" s="1" t="s">
        <v>51</v>
      </c>
      <c r="C137" s="39"/>
      <c r="D137" s="34">
        <f>G135</f>
        <v>11</v>
      </c>
      <c r="E137" s="34"/>
      <c r="F137" s="34"/>
      <c r="G137" s="73"/>
      <c r="H137" s="74"/>
    </row>
    <row r="138" spans="1:8">
      <c r="A138" s="64"/>
      <c r="B138" s="1" t="s">
        <v>10</v>
      </c>
      <c r="C138" s="39">
        <v>242</v>
      </c>
      <c r="D138" s="34"/>
      <c r="E138" s="34"/>
      <c r="F138" s="34"/>
      <c r="G138" s="73"/>
      <c r="H138" s="74"/>
    </row>
    <row r="139" spans="1:8">
      <c r="A139" s="17"/>
      <c r="B139" s="4"/>
      <c r="C139" s="7"/>
      <c r="D139" s="7"/>
      <c r="E139" s="7"/>
      <c r="F139" s="7"/>
      <c r="G139" s="8"/>
      <c r="H139" s="18"/>
    </row>
    <row r="140" spans="1:8">
      <c r="A140" s="62" t="s">
        <v>52</v>
      </c>
      <c r="B140" s="33" t="s">
        <v>11</v>
      </c>
      <c r="C140" s="34"/>
      <c r="D140" s="34"/>
      <c r="E140" s="34"/>
      <c r="F140" s="34"/>
      <c r="G140" s="35"/>
      <c r="H140" s="37"/>
    </row>
    <row r="141" spans="1:8">
      <c r="A141" s="63"/>
      <c r="B141" s="35" t="s">
        <v>12</v>
      </c>
      <c r="C141" s="34"/>
      <c r="D141" s="34"/>
      <c r="E141" s="34">
        <f>C144*0.024</f>
        <v>86.4</v>
      </c>
      <c r="F141" s="34"/>
      <c r="G141" s="65">
        <f>H141/24</f>
        <v>150</v>
      </c>
      <c r="H141" s="66">
        <f>C144</f>
        <v>3600</v>
      </c>
    </row>
    <row r="142" spans="1:8">
      <c r="A142" s="63"/>
      <c r="B142" s="35" t="s">
        <v>13</v>
      </c>
      <c r="C142" s="34"/>
      <c r="D142" s="34">
        <f>C144/2</f>
        <v>1800</v>
      </c>
      <c r="E142" s="34"/>
      <c r="F142" s="34"/>
      <c r="G142" s="65"/>
      <c r="H142" s="66"/>
    </row>
    <row r="143" spans="1:8">
      <c r="A143" s="63"/>
      <c r="B143" s="35" t="s">
        <v>14</v>
      </c>
      <c r="C143" s="34"/>
      <c r="D143" s="34">
        <f>G141</f>
        <v>150</v>
      </c>
      <c r="E143" s="34"/>
      <c r="F143" s="34"/>
      <c r="G143" s="65"/>
      <c r="H143" s="66"/>
    </row>
    <row r="144" spans="1:8">
      <c r="A144" s="64"/>
      <c r="B144" s="35" t="s">
        <v>10</v>
      </c>
      <c r="C144" s="34">
        <v>3600</v>
      </c>
      <c r="D144" s="34"/>
      <c r="E144" s="34"/>
      <c r="F144" s="34"/>
      <c r="G144" s="65"/>
      <c r="H144" s="66"/>
    </row>
    <row r="145" spans="1:8">
      <c r="A145" s="22" t="s">
        <v>9</v>
      </c>
      <c r="B145" s="22"/>
      <c r="C145" s="22"/>
      <c r="D145" s="22"/>
      <c r="E145" s="22"/>
      <c r="F145" s="22"/>
      <c r="G145" s="23">
        <f>SUM(G129:G144)</f>
        <v>169</v>
      </c>
      <c r="H145" s="24">
        <f>SUM(H129:H144)</f>
        <v>4082</v>
      </c>
    </row>
    <row r="146" spans="1:8">
      <c r="A146" s="17"/>
      <c r="B146" s="4"/>
      <c r="C146" s="7"/>
      <c r="D146" s="7"/>
      <c r="E146" s="7"/>
      <c r="F146" s="7"/>
      <c r="G146" s="2"/>
      <c r="H146" s="18"/>
    </row>
    <row r="147" spans="1:8">
      <c r="A147" s="62" t="s">
        <v>53</v>
      </c>
      <c r="B147" s="33" t="s">
        <v>48</v>
      </c>
      <c r="C147" s="39"/>
      <c r="D147" s="34"/>
      <c r="E147" s="34"/>
      <c r="F147" s="34"/>
      <c r="G147" s="40"/>
      <c r="H147" s="58"/>
    </row>
    <row r="148" spans="1:8">
      <c r="A148" s="63"/>
      <c r="B148" s="1" t="s">
        <v>49</v>
      </c>
      <c r="C148" s="39"/>
      <c r="D148" s="34"/>
      <c r="E148" s="34">
        <f>C151*0.075</f>
        <v>6.6</v>
      </c>
      <c r="F148" s="34"/>
      <c r="G148" s="73">
        <f>H148/22</f>
        <v>4</v>
      </c>
      <c r="H148" s="74">
        <f>C151</f>
        <v>88</v>
      </c>
    </row>
    <row r="149" spans="1:8">
      <c r="A149" s="63"/>
      <c r="B149" s="1" t="s">
        <v>50</v>
      </c>
      <c r="C149" s="39"/>
      <c r="D149" s="34">
        <f>G148*25</f>
        <v>100</v>
      </c>
      <c r="E149" s="34"/>
      <c r="F149" s="34"/>
      <c r="G149" s="73"/>
      <c r="H149" s="74"/>
    </row>
    <row r="150" spans="1:8">
      <c r="A150" s="63"/>
      <c r="B150" s="1" t="s">
        <v>51</v>
      </c>
      <c r="C150" s="39"/>
      <c r="D150" s="34">
        <f>G148</f>
        <v>4</v>
      </c>
      <c r="E150" s="34"/>
      <c r="F150" s="34"/>
      <c r="G150" s="73"/>
      <c r="H150" s="74"/>
    </row>
    <row r="151" spans="1:8">
      <c r="A151" s="64"/>
      <c r="B151" s="1" t="s">
        <v>10</v>
      </c>
      <c r="C151" s="39">
        <v>88</v>
      </c>
      <c r="D151" s="34"/>
      <c r="E151" s="34"/>
      <c r="F151" s="34"/>
      <c r="G151" s="73"/>
      <c r="H151" s="74"/>
    </row>
    <row r="152" spans="1:8">
      <c r="A152" s="17"/>
      <c r="B152" s="1"/>
      <c r="C152" s="7"/>
      <c r="D152" s="7"/>
      <c r="E152" s="7"/>
      <c r="F152" s="7"/>
      <c r="G152" s="9"/>
      <c r="H152" s="19"/>
    </row>
    <row r="153" spans="1:8">
      <c r="A153" s="62" t="s">
        <v>53</v>
      </c>
      <c r="B153" s="33" t="s">
        <v>26</v>
      </c>
      <c r="C153" s="34"/>
      <c r="D153" s="34"/>
      <c r="E153" s="34"/>
      <c r="F153" s="34"/>
      <c r="G153" s="35"/>
      <c r="H153" s="36"/>
    </row>
    <row r="154" spans="1:8">
      <c r="A154" s="63"/>
      <c r="B154" s="1" t="s">
        <v>27</v>
      </c>
      <c r="C154" s="34"/>
      <c r="D154" s="34">
        <f>C156</f>
        <v>552</v>
      </c>
      <c r="E154" s="34"/>
      <c r="F154" s="34"/>
      <c r="G154" s="67">
        <f>H154/24</f>
        <v>23</v>
      </c>
      <c r="H154" s="70">
        <f>C156</f>
        <v>552</v>
      </c>
    </row>
    <row r="155" spans="1:8">
      <c r="A155" s="63"/>
      <c r="B155" s="1" t="s">
        <v>28</v>
      </c>
      <c r="C155" s="34"/>
      <c r="D155" s="34">
        <f>G154</f>
        <v>23</v>
      </c>
      <c r="E155" s="34"/>
      <c r="F155" s="34"/>
      <c r="G155" s="68"/>
      <c r="H155" s="71"/>
    </row>
    <row r="156" spans="1:8">
      <c r="A156" s="64"/>
      <c r="B156" s="1" t="s">
        <v>10</v>
      </c>
      <c r="C156" s="34">
        <v>552</v>
      </c>
      <c r="D156" s="34"/>
      <c r="E156" s="34"/>
      <c r="F156" s="34"/>
      <c r="G156" s="69"/>
      <c r="H156" s="72"/>
    </row>
    <row r="157" spans="1:8">
      <c r="A157" s="17"/>
      <c r="B157" s="2"/>
      <c r="C157" s="7"/>
      <c r="D157" s="7"/>
      <c r="E157" s="7"/>
      <c r="F157" s="7"/>
      <c r="G157" s="9"/>
      <c r="H157" s="19"/>
    </row>
    <row r="158" spans="1:8">
      <c r="A158" s="62" t="s">
        <v>53</v>
      </c>
      <c r="B158" s="33" t="s">
        <v>44</v>
      </c>
      <c r="C158" s="34"/>
      <c r="D158" s="34"/>
      <c r="E158" s="34"/>
      <c r="F158" s="34"/>
      <c r="G158" s="35"/>
      <c r="H158" s="36"/>
    </row>
    <row r="159" spans="1:8">
      <c r="A159" s="63"/>
      <c r="B159" s="1" t="s">
        <v>45</v>
      </c>
      <c r="C159" s="34"/>
      <c r="D159" s="34">
        <f>C161*2</f>
        <v>432</v>
      </c>
      <c r="E159" s="34"/>
      <c r="F159" s="34"/>
      <c r="G159" s="67">
        <f>H159/24</f>
        <v>9</v>
      </c>
      <c r="H159" s="70">
        <f>C161</f>
        <v>216</v>
      </c>
    </row>
    <row r="160" spans="1:8">
      <c r="A160" s="63"/>
      <c r="B160" s="1" t="s">
        <v>46</v>
      </c>
      <c r="C160" s="34"/>
      <c r="D160" s="34">
        <f>G159</f>
        <v>9</v>
      </c>
      <c r="E160" s="34"/>
      <c r="F160" s="34"/>
      <c r="G160" s="68"/>
      <c r="H160" s="71"/>
    </row>
    <row r="161" spans="1:8">
      <c r="A161" s="64"/>
      <c r="B161" s="1" t="s">
        <v>10</v>
      </c>
      <c r="C161" s="34">
        <v>216</v>
      </c>
      <c r="D161" s="34"/>
      <c r="E161" s="34"/>
      <c r="F161" s="34"/>
      <c r="G161" s="69"/>
      <c r="H161" s="72"/>
    </row>
    <row r="162" spans="1:8">
      <c r="A162" s="17"/>
      <c r="B162" s="1"/>
      <c r="C162" s="7"/>
      <c r="D162" s="7"/>
      <c r="E162" s="7"/>
      <c r="F162" s="7"/>
      <c r="G162" s="9"/>
      <c r="H162" s="19"/>
    </row>
    <row r="163" spans="1:8">
      <c r="A163" s="62" t="s">
        <v>53</v>
      </c>
      <c r="B163" s="33" t="s">
        <v>11</v>
      </c>
      <c r="C163" s="34"/>
      <c r="D163" s="34"/>
      <c r="E163" s="34"/>
      <c r="F163" s="34"/>
      <c r="G163" s="35"/>
      <c r="H163" s="37"/>
    </row>
    <row r="164" spans="1:8">
      <c r="A164" s="63"/>
      <c r="B164" s="35" t="s">
        <v>12</v>
      </c>
      <c r="C164" s="34"/>
      <c r="D164" s="34"/>
      <c r="E164" s="34">
        <f>C167*0.024</f>
        <v>83.52</v>
      </c>
      <c r="F164" s="34"/>
      <c r="G164" s="65">
        <f>H164/24</f>
        <v>145</v>
      </c>
      <c r="H164" s="66">
        <f>C167</f>
        <v>3480</v>
      </c>
    </row>
    <row r="165" spans="1:8">
      <c r="A165" s="63"/>
      <c r="B165" s="35" t="s">
        <v>13</v>
      </c>
      <c r="C165" s="34"/>
      <c r="D165" s="34">
        <f>C167/2</f>
        <v>1740</v>
      </c>
      <c r="E165" s="34"/>
      <c r="F165" s="34"/>
      <c r="G165" s="65"/>
      <c r="H165" s="66"/>
    </row>
    <row r="166" spans="1:8">
      <c r="A166" s="63"/>
      <c r="B166" s="35" t="s">
        <v>14</v>
      </c>
      <c r="C166" s="34"/>
      <c r="D166" s="34">
        <f>G164</f>
        <v>145</v>
      </c>
      <c r="E166" s="34"/>
      <c r="F166" s="34"/>
      <c r="G166" s="65"/>
      <c r="H166" s="66"/>
    </row>
    <row r="167" spans="1:8">
      <c r="A167" s="64"/>
      <c r="B167" s="35" t="s">
        <v>10</v>
      </c>
      <c r="C167" s="34">
        <v>3480</v>
      </c>
      <c r="D167" s="34"/>
      <c r="E167" s="34"/>
      <c r="F167" s="34"/>
      <c r="G167" s="65"/>
      <c r="H167" s="66"/>
    </row>
    <row r="168" spans="1:8">
      <c r="A168" s="17"/>
      <c r="B168" s="4"/>
      <c r="C168" s="7"/>
      <c r="D168" s="7"/>
      <c r="E168" s="7"/>
      <c r="F168" s="7"/>
      <c r="G168" s="11"/>
      <c r="H168" s="21"/>
    </row>
    <row r="169" spans="1:8">
      <c r="A169" s="62" t="s">
        <v>53</v>
      </c>
      <c r="B169" s="33" t="s">
        <v>19</v>
      </c>
      <c r="C169" s="34"/>
      <c r="D169" s="34"/>
      <c r="E169" s="34"/>
      <c r="F169" s="34"/>
      <c r="G169" s="35"/>
      <c r="H169" s="36"/>
    </row>
    <row r="170" spans="1:8">
      <c r="A170" s="63"/>
      <c r="B170" s="1" t="s">
        <v>20</v>
      </c>
      <c r="C170" s="34"/>
      <c r="D170" s="34">
        <f>C175*2</f>
        <v>2184</v>
      </c>
      <c r="E170" s="34"/>
      <c r="F170" s="34"/>
      <c r="G170" s="67">
        <f>H170/12</f>
        <v>91</v>
      </c>
      <c r="H170" s="70">
        <f>C175</f>
        <v>1092</v>
      </c>
    </row>
    <row r="171" spans="1:8">
      <c r="A171" s="63"/>
      <c r="B171" s="1" t="s">
        <v>21</v>
      </c>
      <c r="C171" s="34"/>
      <c r="D171" s="34">
        <f>G170</f>
        <v>91</v>
      </c>
      <c r="E171" s="34"/>
      <c r="F171" s="34"/>
      <c r="G171" s="68"/>
      <c r="H171" s="71"/>
    </row>
    <row r="172" spans="1:8">
      <c r="A172" s="63"/>
      <c r="B172" s="1" t="s">
        <v>22</v>
      </c>
      <c r="C172" s="34"/>
      <c r="D172" s="34">
        <f>C175*2</f>
        <v>2184</v>
      </c>
      <c r="E172" s="34"/>
      <c r="F172" s="34"/>
      <c r="G172" s="68"/>
      <c r="H172" s="71"/>
    </row>
    <row r="173" spans="1:8">
      <c r="A173" s="63"/>
      <c r="B173" s="1" t="s">
        <v>23</v>
      </c>
      <c r="C173" s="34"/>
      <c r="D173" s="34">
        <f>C175*2</f>
        <v>2184</v>
      </c>
      <c r="E173" s="34"/>
      <c r="F173" s="34"/>
      <c r="G173" s="68"/>
      <c r="H173" s="71"/>
    </row>
    <row r="174" spans="1:8">
      <c r="A174" s="63"/>
      <c r="B174" s="1" t="s">
        <v>24</v>
      </c>
      <c r="C174" s="34"/>
      <c r="D174" s="34">
        <f>C175*2</f>
        <v>2184</v>
      </c>
      <c r="E174" s="34"/>
      <c r="F174" s="34"/>
      <c r="G174" s="68"/>
      <c r="H174" s="71"/>
    </row>
    <row r="175" spans="1:8">
      <c r="A175" s="63"/>
      <c r="B175" s="41" t="s">
        <v>10</v>
      </c>
      <c r="C175" s="42">
        <v>1092</v>
      </c>
      <c r="D175" s="42"/>
      <c r="E175" s="42"/>
      <c r="F175" s="42"/>
      <c r="G175" s="68"/>
      <c r="H175" s="71"/>
    </row>
    <row r="176" spans="1:8">
      <c r="A176" s="22" t="s">
        <v>9</v>
      </c>
      <c r="B176" s="22"/>
      <c r="C176" s="22"/>
      <c r="D176" s="22"/>
      <c r="E176" s="22"/>
      <c r="F176" s="22"/>
      <c r="G176" s="23">
        <f>SUM(G147:G175)</f>
        <v>272</v>
      </c>
      <c r="H176" s="24">
        <f>SUM(H147:H175)</f>
        <v>5428</v>
      </c>
    </row>
    <row r="177" spans="1:8">
      <c r="A177" s="17"/>
      <c r="B177" s="2"/>
      <c r="C177" s="7"/>
      <c r="D177" s="7"/>
      <c r="E177" s="7"/>
      <c r="F177" s="7"/>
      <c r="G177" s="9"/>
      <c r="H177" s="19"/>
    </row>
    <row r="178" spans="1:8">
      <c r="A178" s="62" t="s">
        <v>54</v>
      </c>
      <c r="B178" s="33" t="s">
        <v>15</v>
      </c>
      <c r="C178" s="34"/>
      <c r="D178" s="34"/>
      <c r="E178" s="34"/>
      <c r="F178" s="34"/>
      <c r="G178" s="38"/>
      <c r="H178" s="36"/>
    </row>
    <row r="179" spans="1:8">
      <c r="A179" s="63"/>
      <c r="B179" s="35" t="s">
        <v>16</v>
      </c>
      <c r="C179" s="34"/>
      <c r="D179" s="34">
        <f>C182/5</f>
        <v>708</v>
      </c>
      <c r="E179" s="34"/>
      <c r="F179" s="34"/>
      <c r="G179" s="67">
        <f>H179/30</f>
        <v>118</v>
      </c>
      <c r="H179" s="70">
        <f>C182</f>
        <v>3540</v>
      </c>
    </row>
    <row r="180" spans="1:8">
      <c r="A180" s="63"/>
      <c r="B180" s="35" t="s">
        <v>17</v>
      </c>
      <c r="C180" s="34"/>
      <c r="D180" s="34">
        <f>C182/5</f>
        <v>708</v>
      </c>
      <c r="E180" s="34"/>
      <c r="F180" s="34"/>
      <c r="G180" s="68"/>
      <c r="H180" s="71"/>
    </row>
    <row r="181" spans="1:8">
      <c r="A181" s="63"/>
      <c r="B181" s="35" t="s">
        <v>18</v>
      </c>
      <c r="C181" s="34"/>
      <c r="D181" s="34">
        <f>G179</f>
        <v>118</v>
      </c>
      <c r="E181" s="34"/>
      <c r="F181" s="34"/>
      <c r="G181" s="68"/>
      <c r="H181" s="71"/>
    </row>
    <row r="182" spans="1:8">
      <c r="A182" s="64"/>
      <c r="B182" s="35" t="s">
        <v>10</v>
      </c>
      <c r="C182" s="34">
        <v>3540</v>
      </c>
      <c r="D182" s="34"/>
      <c r="E182" s="34"/>
      <c r="F182" s="34"/>
      <c r="G182" s="69"/>
      <c r="H182" s="72"/>
    </row>
    <row r="183" spans="1:8">
      <c r="A183" s="17"/>
      <c r="B183" s="2"/>
      <c r="C183" s="7"/>
      <c r="D183" s="7"/>
      <c r="E183" s="7"/>
      <c r="F183" s="7"/>
      <c r="G183" s="9"/>
      <c r="H183" s="19"/>
    </row>
    <row r="184" spans="1:8">
      <c r="A184" s="62" t="s">
        <v>54</v>
      </c>
      <c r="B184" s="33" t="s">
        <v>48</v>
      </c>
      <c r="C184" s="39"/>
      <c r="D184" s="34"/>
      <c r="E184" s="34"/>
      <c r="F184" s="34"/>
      <c r="G184" s="40"/>
      <c r="H184" s="58"/>
    </row>
    <row r="185" spans="1:8">
      <c r="A185" s="63"/>
      <c r="B185" s="1" t="s">
        <v>49</v>
      </c>
      <c r="C185" s="39"/>
      <c r="D185" s="34"/>
      <c r="E185" s="34">
        <f>C188*0.075</f>
        <v>41.25</v>
      </c>
      <c r="F185" s="34"/>
      <c r="G185" s="73">
        <f>H185/22</f>
        <v>25</v>
      </c>
      <c r="H185" s="74">
        <f>C188</f>
        <v>550</v>
      </c>
    </row>
    <row r="186" spans="1:8">
      <c r="A186" s="63"/>
      <c r="B186" s="1" t="s">
        <v>50</v>
      </c>
      <c r="C186" s="39"/>
      <c r="D186" s="34">
        <f>G185*25</f>
        <v>625</v>
      </c>
      <c r="E186" s="34"/>
      <c r="F186" s="34"/>
      <c r="G186" s="73"/>
      <c r="H186" s="74"/>
    </row>
    <row r="187" spans="1:8">
      <c r="A187" s="63"/>
      <c r="B187" s="1" t="s">
        <v>51</v>
      </c>
      <c r="C187" s="39"/>
      <c r="D187" s="34">
        <f>G185</f>
        <v>25</v>
      </c>
      <c r="E187" s="34"/>
      <c r="F187" s="34"/>
      <c r="G187" s="73"/>
      <c r="H187" s="74"/>
    </row>
    <row r="188" spans="1:8">
      <c r="A188" s="64"/>
      <c r="B188" s="1" t="s">
        <v>10</v>
      </c>
      <c r="C188" s="39">
        <v>550</v>
      </c>
      <c r="D188" s="34"/>
      <c r="E188" s="34"/>
      <c r="F188" s="34"/>
      <c r="G188" s="73"/>
      <c r="H188" s="74"/>
    </row>
    <row r="189" spans="1:8">
      <c r="A189" s="17"/>
      <c r="B189" s="2"/>
      <c r="C189" s="3"/>
      <c r="D189" s="3"/>
      <c r="E189" s="3"/>
      <c r="F189" s="3"/>
      <c r="G189" s="6"/>
      <c r="H189" s="19"/>
    </row>
    <row r="190" spans="1:8">
      <c r="A190" s="62" t="s">
        <v>54</v>
      </c>
      <c r="B190" s="33" t="s">
        <v>44</v>
      </c>
      <c r="C190" s="34"/>
      <c r="D190" s="34"/>
      <c r="E190" s="34"/>
      <c r="F190" s="34"/>
      <c r="G190" s="35"/>
      <c r="H190" s="36"/>
    </row>
    <row r="191" spans="1:8">
      <c r="A191" s="63"/>
      <c r="B191" s="1" t="s">
        <v>45</v>
      </c>
      <c r="C191" s="34"/>
      <c r="D191" s="34">
        <f>C193*2</f>
        <v>816</v>
      </c>
      <c r="E191" s="34"/>
      <c r="F191" s="34"/>
      <c r="G191" s="67">
        <f>H191/24</f>
        <v>17</v>
      </c>
      <c r="H191" s="70">
        <f>C193</f>
        <v>408</v>
      </c>
    </row>
    <row r="192" spans="1:8">
      <c r="A192" s="63"/>
      <c r="B192" s="1" t="s">
        <v>46</v>
      </c>
      <c r="C192" s="34"/>
      <c r="D192" s="34">
        <f>G191</f>
        <v>17</v>
      </c>
      <c r="E192" s="34"/>
      <c r="F192" s="34"/>
      <c r="G192" s="68"/>
      <c r="H192" s="71"/>
    </row>
    <row r="193" spans="1:8">
      <c r="A193" s="64"/>
      <c r="B193" s="1" t="s">
        <v>10</v>
      </c>
      <c r="C193" s="34">
        <v>408</v>
      </c>
      <c r="D193" s="34"/>
      <c r="E193" s="34"/>
      <c r="F193" s="34"/>
      <c r="G193" s="69"/>
      <c r="H193" s="72"/>
    </row>
    <row r="194" spans="1:8">
      <c r="A194" s="17"/>
      <c r="B194" s="1"/>
      <c r="C194" s="7"/>
      <c r="D194" s="7"/>
      <c r="E194" s="7"/>
      <c r="F194" s="7"/>
      <c r="G194" s="9"/>
      <c r="H194" s="19"/>
    </row>
    <row r="195" spans="1:8">
      <c r="A195" s="62" t="s">
        <v>54</v>
      </c>
      <c r="B195" s="33" t="s">
        <v>11</v>
      </c>
      <c r="C195" s="34"/>
      <c r="D195" s="34"/>
      <c r="E195" s="34"/>
      <c r="F195" s="34"/>
      <c r="G195" s="35"/>
      <c r="H195" s="37"/>
    </row>
    <row r="196" spans="1:8">
      <c r="A196" s="63"/>
      <c r="B196" s="35" t="s">
        <v>12</v>
      </c>
      <c r="C196" s="34"/>
      <c r="D196" s="34"/>
      <c r="E196" s="34">
        <f>C199*0.024</f>
        <v>82.944000000000003</v>
      </c>
      <c r="F196" s="34"/>
      <c r="G196" s="65">
        <f>H196/24</f>
        <v>144</v>
      </c>
      <c r="H196" s="66">
        <f>C199</f>
        <v>3456</v>
      </c>
    </row>
    <row r="197" spans="1:8">
      <c r="A197" s="63"/>
      <c r="B197" s="35" t="s">
        <v>13</v>
      </c>
      <c r="C197" s="34"/>
      <c r="D197" s="34">
        <f>C199/2</f>
        <v>1728</v>
      </c>
      <c r="E197" s="34"/>
      <c r="F197" s="34"/>
      <c r="G197" s="65"/>
      <c r="H197" s="66"/>
    </row>
    <row r="198" spans="1:8">
      <c r="A198" s="63"/>
      <c r="B198" s="35" t="s">
        <v>14</v>
      </c>
      <c r="C198" s="34"/>
      <c r="D198" s="34">
        <f>G196</f>
        <v>144</v>
      </c>
      <c r="E198" s="34"/>
      <c r="F198" s="34"/>
      <c r="G198" s="65"/>
      <c r="H198" s="66"/>
    </row>
    <row r="199" spans="1:8">
      <c r="A199" s="64"/>
      <c r="B199" s="35" t="s">
        <v>10</v>
      </c>
      <c r="C199" s="34">
        <v>3456</v>
      </c>
      <c r="D199" s="34"/>
      <c r="E199" s="34"/>
      <c r="F199" s="34"/>
      <c r="G199" s="65"/>
      <c r="H199" s="66"/>
    </row>
    <row r="200" spans="1:8">
      <c r="A200" s="22" t="s">
        <v>9</v>
      </c>
      <c r="B200" s="22"/>
      <c r="C200" s="22"/>
      <c r="D200" s="22"/>
      <c r="E200" s="22"/>
      <c r="F200" s="22"/>
      <c r="G200" s="23">
        <f>SUM(G178:G199)</f>
        <v>304</v>
      </c>
      <c r="H200" s="24">
        <f>SUM(H178:H199)</f>
        <v>7954</v>
      </c>
    </row>
    <row r="201" spans="1:8">
      <c r="A201" s="17"/>
      <c r="B201" s="2"/>
      <c r="C201" s="7"/>
      <c r="D201" s="7"/>
      <c r="E201" s="7"/>
      <c r="F201" s="7"/>
      <c r="G201" s="9"/>
      <c r="H201" s="19"/>
    </row>
    <row r="202" spans="1:8">
      <c r="A202" s="62" t="s">
        <v>55</v>
      </c>
      <c r="B202" s="33" t="s">
        <v>15</v>
      </c>
      <c r="C202" s="34"/>
      <c r="D202" s="34"/>
      <c r="E202" s="34"/>
      <c r="F202" s="34"/>
      <c r="G202" s="38"/>
      <c r="H202" s="36"/>
    </row>
    <row r="203" spans="1:8">
      <c r="A203" s="63"/>
      <c r="B203" s="35" t="s">
        <v>16</v>
      </c>
      <c r="C203" s="34"/>
      <c r="D203" s="34">
        <f>C206/5</f>
        <v>360</v>
      </c>
      <c r="E203" s="34"/>
      <c r="F203" s="34"/>
      <c r="G203" s="67">
        <f>H203/30</f>
        <v>60</v>
      </c>
      <c r="H203" s="70">
        <f>C206</f>
        <v>1800</v>
      </c>
    </row>
    <row r="204" spans="1:8">
      <c r="A204" s="63"/>
      <c r="B204" s="35" t="s">
        <v>17</v>
      </c>
      <c r="C204" s="34"/>
      <c r="D204" s="34">
        <f>C206/5</f>
        <v>360</v>
      </c>
      <c r="E204" s="34"/>
      <c r="F204" s="34"/>
      <c r="G204" s="68"/>
      <c r="H204" s="71"/>
    </row>
    <row r="205" spans="1:8">
      <c r="A205" s="63"/>
      <c r="B205" s="35" t="s">
        <v>18</v>
      </c>
      <c r="C205" s="34"/>
      <c r="D205" s="34">
        <f>G203</f>
        <v>60</v>
      </c>
      <c r="E205" s="34"/>
      <c r="F205" s="34"/>
      <c r="G205" s="68"/>
      <c r="H205" s="71"/>
    </row>
    <row r="206" spans="1:8">
      <c r="A206" s="64"/>
      <c r="B206" s="35" t="s">
        <v>10</v>
      </c>
      <c r="C206" s="34">
        <v>1800</v>
      </c>
      <c r="D206" s="34"/>
      <c r="E206" s="34"/>
      <c r="F206" s="34"/>
      <c r="G206" s="69"/>
      <c r="H206" s="72"/>
    </row>
    <row r="207" spans="1:8">
      <c r="A207" s="17"/>
      <c r="B207" s="2"/>
      <c r="C207" s="7"/>
      <c r="D207" s="7"/>
      <c r="E207" s="7"/>
      <c r="F207" s="7"/>
      <c r="G207" s="9"/>
      <c r="H207" s="19"/>
    </row>
    <row r="208" spans="1:8">
      <c r="A208" s="62" t="s">
        <v>55</v>
      </c>
      <c r="B208" s="33" t="s">
        <v>44</v>
      </c>
      <c r="C208" s="34"/>
      <c r="D208" s="34"/>
      <c r="E208" s="34"/>
      <c r="F208" s="34"/>
      <c r="G208" s="35"/>
      <c r="H208" s="36"/>
    </row>
    <row r="209" spans="1:8">
      <c r="A209" s="63"/>
      <c r="B209" s="1" t="s">
        <v>45</v>
      </c>
      <c r="C209" s="34"/>
      <c r="D209" s="34">
        <f>C211*2</f>
        <v>912</v>
      </c>
      <c r="E209" s="34"/>
      <c r="F209" s="34"/>
      <c r="G209" s="67">
        <f>H209/24</f>
        <v>19</v>
      </c>
      <c r="H209" s="70">
        <f>C211</f>
        <v>456</v>
      </c>
    </row>
    <row r="210" spans="1:8">
      <c r="A210" s="63"/>
      <c r="B210" s="1" t="s">
        <v>46</v>
      </c>
      <c r="C210" s="34"/>
      <c r="D210" s="34">
        <f>G209</f>
        <v>19</v>
      </c>
      <c r="E210" s="34"/>
      <c r="F210" s="34"/>
      <c r="G210" s="68"/>
      <c r="H210" s="71"/>
    </row>
    <row r="211" spans="1:8">
      <c r="A211" s="64"/>
      <c r="B211" s="1" t="s">
        <v>10</v>
      </c>
      <c r="C211" s="34">
        <v>456</v>
      </c>
      <c r="D211" s="34"/>
      <c r="E211" s="34"/>
      <c r="F211" s="34"/>
      <c r="G211" s="69"/>
      <c r="H211" s="72"/>
    </row>
    <row r="212" spans="1:8">
      <c r="A212" s="17"/>
      <c r="B212" s="1"/>
      <c r="C212" s="7"/>
      <c r="D212" s="7"/>
      <c r="E212" s="7"/>
      <c r="F212" s="7"/>
      <c r="G212" s="9"/>
      <c r="H212" s="19"/>
    </row>
    <row r="213" spans="1:8">
      <c r="A213" s="62" t="s">
        <v>55</v>
      </c>
      <c r="B213" s="33" t="s">
        <v>11</v>
      </c>
      <c r="C213" s="34"/>
      <c r="D213" s="34"/>
      <c r="E213" s="34"/>
      <c r="F213" s="34"/>
      <c r="G213" s="35"/>
      <c r="H213" s="37"/>
    </row>
    <row r="214" spans="1:8">
      <c r="A214" s="63"/>
      <c r="B214" s="35" t="s">
        <v>12</v>
      </c>
      <c r="C214" s="34"/>
      <c r="D214" s="34"/>
      <c r="E214" s="34">
        <f>C217*0.024</f>
        <v>89.28</v>
      </c>
      <c r="F214" s="34"/>
      <c r="G214" s="65">
        <f>H214/24</f>
        <v>155</v>
      </c>
      <c r="H214" s="66">
        <f>C217</f>
        <v>3720</v>
      </c>
    </row>
    <row r="215" spans="1:8">
      <c r="A215" s="63"/>
      <c r="B215" s="35" t="s">
        <v>13</v>
      </c>
      <c r="C215" s="34"/>
      <c r="D215" s="34">
        <f>C217/2</f>
        <v>1860</v>
      </c>
      <c r="E215" s="34"/>
      <c r="F215" s="34"/>
      <c r="G215" s="65"/>
      <c r="H215" s="66"/>
    </row>
    <row r="216" spans="1:8">
      <c r="A216" s="63"/>
      <c r="B216" s="35" t="s">
        <v>14</v>
      </c>
      <c r="C216" s="34"/>
      <c r="D216" s="34">
        <f>G214</f>
        <v>155</v>
      </c>
      <c r="E216" s="34"/>
      <c r="F216" s="34"/>
      <c r="G216" s="65"/>
      <c r="H216" s="66"/>
    </row>
    <row r="217" spans="1:8">
      <c r="A217" s="64"/>
      <c r="B217" s="35" t="s">
        <v>10</v>
      </c>
      <c r="C217" s="34">
        <v>3720</v>
      </c>
      <c r="D217" s="34"/>
      <c r="E217" s="34"/>
      <c r="F217" s="34"/>
      <c r="G217" s="65"/>
      <c r="H217" s="66"/>
    </row>
    <row r="218" spans="1:8">
      <c r="A218" s="22" t="s">
        <v>9</v>
      </c>
      <c r="B218" s="22"/>
      <c r="C218" s="22"/>
      <c r="D218" s="22"/>
      <c r="E218" s="22"/>
      <c r="F218" s="22"/>
      <c r="G218" s="23">
        <f>SUM(G202:G217)</f>
        <v>234</v>
      </c>
      <c r="H218" s="24">
        <f>SUM(H202:H217)</f>
        <v>5976</v>
      </c>
    </row>
    <row r="219" spans="1:8">
      <c r="A219" s="17"/>
      <c r="B219" s="2"/>
      <c r="C219" s="7"/>
      <c r="D219" s="7"/>
      <c r="E219" s="7"/>
      <c r="F219" s="7"/>
      <c r="G219" s="9"/>
      <c r="H219" s="19"/>
    </row>
    <row r="220" spans="1:8">
      <c r="A220" s="62" t="s">
        <v>59</v>
      </c>
      <c r="B220" s="33" t="s">
        <v>56</v>
      </c>
      <c r="C220" s="59"/>
      <c r="D220" s="59"/>
      <c r="E220" s="59"/>
      <c r="F220" s="59"/>
      <c r="G220" s="60"/>
      <c r="H220" s="61"/>
    </row>
    <row r="221" spans="1:8">
      <c r="A221" s="63"/>
      <c r="B221" s="1" t="s">
        <v>57</v>
      </c>
      <c r="C221" s="34"/>
      <c r="D221" s="34">
        <f>D222*24</f>
        <v>1008</v>
      </c>
      <c r="E221" s="34"/>
      <c r="F221" s="34"/>
      <c r="G221" s="65">
        <f>H221/24</f>
        <v>42</v>
      </c>
      <c r="H221" s="97">
        <f>C223</f>
        <v>1008</v>
      </c>
    </row>
    <row r="222" spans="1:8">
      <c r="A222" s="63"/>
      <c r="B222" s="1" t="s">
        <v>58</v>
      </c>
      <c r="C222" s="34"/>
      <c r="D222" s="34">
        <f>G221</f>
        <v>42</v>
      </c>
      <c r="E222" s="34"/>
      <c r="F222" s="34"/>
      <c r="G222" s="65"/>
      <c r="H222" s="97"/>
    </row>
    <row r="223" spans="1:8">
      <c r="A223" s="64"/>
      <c r="B223" s="1" t="s">
        <v>10</v>
      </c>
      <c r="C223" s="34">
        <v>1008</v>
      </c>
      <c r="D223" s="34"/>
      <c r="E223" s="34"/>
      <c r="F223" s="34"/>
      <c r="G223" s="65"/>
      <c r="H223" s="97"/>
    </row>
    <row r="224" spans="1:8">
      <c r="A224" s="17"/>
      <c r="B224" s="2"/>
      <c r="C224" s="7"/>
      <c r="D224" s="7"/>
      <c r="E224" s="7"/>
      <c r="F224" s="7"/>
      <c r="G224" s="9"/>
      <c r="H224" s="19"/>
    </row>
    <row r="225" spans="1:8">
      <c r="A225" s="62" t="s">
        <v>59</v>
      </c>
      <c r="B225" s="33" t="s">
        <v>25</v>
      </c>
      <c r="C225" s="34"/>
      <c r="D225" s="34"/>
      <c r="E225" s="34"/>
      <c r="F225" s="34"/>
      <c r="G225" s="38"/>
      <c r="H225" s="36"/>
    </row>
    <row r="226" spans="1:8">
      <c r="A226" s="63"/>
      <c r="B226" s="35" t="s">
        <v>12</v>
      </c>
      <c r="C226" s="34"/>
      <c r="D226" s="34"/>
      <c r="E226" s="34">
        <f>C229*0.024</f>
        <v>50.688000000000002</v>
      </c>
      <c r="F226" s="34"/>
      <c r="G226" s="67">
        <f>H226/24</f>
        <v>88</v>
      </c>
      <c r="H226" s="70">
        <f>C229</f>
        <v>2112</v>
      </c>
    </row>
    <row r="227" spans="1:8">
      <c r="A227" s="63"/>
      <c r="B227" s="35" t="s">
        <v>13</v>
      </c>
      <c r="C227" s="34"/>
      <c r="D227" s="34">
        <f>C229/2</f>
        <v>1056</v>
      </c>
      <c r="E227" s="34"/>
      <c r="F227" s="34"/>
      <c r="G227" s="68"/>
      <c r="H227" s="71"/>
    </row>
    <row r="228" spans="1:8">
      <c r="A228" s="63"/>
      <c r="B228" s="35" t="s">
        <v>14</v>
      </c>
      <c r="C228" s="34"/>
      <c r="D228" s="34">
        <f>G226</f>
        <v>88</v>
      </c>
      <c r="E228" s="34"/>
      <c r="F228" s="34"/>
      <c r="G228" s="68"/>
      <c r="H228" s="71"/>
    </row>
    <row r="229" spans="1:8">
      <c r="A229" s="64"/>
      <c r="B229" s="35" t="s">
        <v>10</v>
      </c>
      <c r="C229" s="34">
        <v>2112</v>
      </c>
      <c r="D229" s="34"/>
      <c r="E229" s="34"/>
      <c r="F229" s="34"/>
      <c r="G229" s="69"/>
      <c r="H229" s="72"/>
    </row>
    <row r="230" spans="1:8">
      <c r="A230" s="17"/>
      <c r="B230" s="1"/>
      <c r="C230" s="7"/>
      <c r="D230" s="7"/>
      <c r="E230" s="7"/>
      <c r="F230" s="7"/>
      <c r="G230" s="9"/>
      <c r="H230" s="19"/>
    </row>
    <row r="231" spans="1:8">
      <c r="A231" s="62" t="s">
        <v>59</v>
      </c>
      <c r="B231" s="33" t="s">
        <v>26</v>
      </c>
      <c r="C231" s="34"/>
      <c r="D231" s="34"/>
      <c r="E231" s="34"/>
      <c r="F231" s="34"/>
      <c r="G231" s="35"/>
      <c r="H231" s="36"/>
    </row>
    <row r="232" spans="1:8">
      <c r="A232" s="63"/>
      <c r="B232" s="1" t="s">
        <v>27</v>
      </c>
      <c r="C232" s="34"/>
      <c r="D232" s="34">
        <f>C234</f>
        <v>120</v>
      </c>
      <c r="E232" s="34"/>
      <c r="F232" s="34"/>
      <c r="G232" s="67">
        <f>H232/24</f>
        <v>5</v>
      </c>
      <c r="H232" s="70">
        <f>C234</f>
        <v>120</v>
      </c>
    </row>
    <row r="233" spans="1:8">
      <c r="A233" s="63"/>
      <c r="B233" s="1" t="s">
        <v>28</v>
      </c>
      <c r="C233" s="34"/>
      <c r="D233" s="34">
        <f>G232</f>
        <v>5</v>
      </c>
      <c r="E233" s="34"/>
      <c r="F233" s="34"/>
      <c r="G233" s="68"/>
      <c r="H233" s="71"/>
    </row>
    <row r="234" spans="1:8">
      <c r="A234" s="64"/>
      <c r="B234" s="1" t="s">
        <v>10</v>
      </c>
      <c r="C234" s="34">
        <v>120</v>
      </c>
      <c r="D234" s="34"/>
      <c r="E234" s="34"/>
      <c r="F234" s="34"/>
      <c r="G234" s="69"/>
      <c r="H234" s="72"/>
    </row>
    <row r="235" spans="1:8">
      <c r="A235" s="17"/>
      <c r="B235" s="2"/>
      <c r="C235" s="7"/>
      <c r="D235" s="7"/>
      <c r="E235" s="7"/>
      <c r="F235" s="7"/>
      <c r="G235" s="9"/>
      <c r="H235" s="19"/>
    </row>
    <row r="236" spans="1:8">
      <c r="A236" s="62" t="s">
        <v>59</v>
      </c>
      <c r="B236" s="33" t="s">
        <v>44</v>
      </c>
      <c r="C236" s="34"/>
      <c r="D236" s="34"/>
      <c r="E236" s="34"/>
      <c r="F236" s="34"/>
      <c r="G236" s="35"/>
      <c r="H236" s="36"/>
    </row>
    <row r="237" spans="1:8">
      <c r="A237" s="63"/>
      <c r="B237" s="1" t="s">
        <v>45</v>
      </c>
      <c r="C237" s="34"/>
      <c r="D237" s="34">
        <f>C239*2</f>
        <v>336</v>
      </c>
      <c r="E237" s="34"/>
      <c r="F237" s="34"/>
      <c r="G237" s="67">
        <f>H237/24</f>
        <v>7</v>
      </c>
      <c r="H237" s="70">
        <f>C239</f>
        <v>168</v>
      </c>
    </row>
    <row r="238" spans="1:8">
      <c r="A238" s="63"/>
      <c r="B238" s="1" t="s">
        <v>46</v>
      </c>
      <c r="C238" s="34"/>
      <c r="D238" s="34">
        <f>G237</f>
        <v>7</v>
      </c>
      <c r="E238" s="34"/>
      <c r="F238" s="34"/>
      <c r="G238" s="68"/>
      <c r="H238" s="71"/>
    </row>
    <row r="239" spans="1:8">
      <c r="A239" s="64"/>
      <c r="B239" s="1" t="s">
        <v>10</v>
      </c>
      <c r="C239" s="34">
        <v>168</v>
      </c>
      <c r="D239" s="34"/>
      <c r="E239" s="34"/>
      <c r="F239" s="34"/>
      <c r="G239" s="69"/>
      <c r="H239" s="72"/>
    </row>
    <row r="240" spans="1:8">
      <c r="A240" s="17"/>
      <c r="B240" s="1"/>
      <c r="C240" s="7"/>
      <c r="D240" s="7"/>
      <c r="E240" s="7"/>
      <c r="F240" s="7"/>
      <c r="G240" s="9"/>
      <c r="H240" s="19"/>
    </row>
    <row r="241" spans="1:8">
      <c r="A241" s="62" t="s">
        <v>59</v>
      </c>
      <c r="B241" s="33" t="s">
        <v>11</v>
      </c>
      <c r="C241" s="34"/>
      <c r="D241" s="34"/>
      <c r="E241" s="34"/>
      <c r="F241" s="34"/>
      <c r="G241" s="35"/>
      <c r="H241" s="37"/>
    </row>
    <row r="242" spans="1:8">
      <c r="A242" s="63"/>
      <c r="B242" s="35" t="s">
        <v>12</v>
      </c>
      <c r="C242" s="34"/>
      <c r="D242" s="34"/>
      <c r="E242" s="34">
        <f>C245*0.024</f>
        <v>12.096</v>
      </c>
      <c r="F242" s="34"/>
      <c r="G242" s="65">
        <f>H242/24</f>
        <v>21</v>
      </c>
      <c r="H242" s="66">
        <f>C245</f>
        <v>504</v>
      </c>
    </row>
    <row r="243" spans="1:8">
      <c r="A243" s="63"/>
      <c r="B243" s="35" t="s">
        <v>13</v>
      </c>
      <c r="C243" s="34"/>
      <c r="D243" s="34">
        <f>C245/2</f>
        <v>252</v>
      </c>
      <c r="E243" s="34"/>
      <c r="F243" s="34"/>
      <c r="G243" s="65"/>
      <c r="H243" s="66"/>
    </row>
    <row r="244" spans="1:8">
      <c r="A244" s="63"/>
      <c r="B244" s="35" t="s">
        <v>14</v>
      </c>
      <c r="C244" s="34"/>
      <c r="D244" s="34">
        <f>G242</f>
        <v>21</v>
      </c>
      <c r="E244" s="34"/>
      <c r="F244" s="34"/>
      <c r="G244" s="65"/>
      <c r="H244" s="66"/>
    </row>
    <row r="245" spans="1:8">
      <c r="A245" s="64"/>
      <c r="B245" s="35" t="s">
        <v>10</v>
      </c>
      <c r="C245" s="34">
        <v>504</v>
      </c>
      <c r="D245" s="34"/>
      <c r="E245" s="34"/>
      <c r="F245" s="34"/>
      <c r="G245" s="65"/>
      <c r="H245" s="66"/>
    </row>
    <row r="246" spans="1:8">
      <c r="A246" s="22" t="s">
        <v>9</v>
      </c>
      <c r="B246" s="22"/>
      <c r="C246" s="22"/>
      <c r="D246" s="22"/>
      <c r="E246" s="22"/>
      <c r="F246" s="22"/>
      <c r="G246" s="23">
        <f>SUM(G220:G245)</f>
        <v>163</v>
      </c>
      <c r="H246" s="24">
        <f>SUM(H220:H245)</f>
        <v>3912</v>
      </c>
    </row>
    <row r="247" spans="1:8">
      <c r="A247" s="17"/>
      <c r="B247" s="2"/>
      <c r="C247" s="7"/>
      <c r="D247" s="7"/>
      <c r="E247" s="7"/>
      <c r="F247" s="7"/>
      <c r="G247" s="9"/>
      <c r="H247" s="19"/>
    </row>
    <row r="248" spans="1:8">
      <c r="A248" s="62" t="s">
        <v>60</v>
      </c>
      <c r="B248" s="33" t="s">
        <v>15</v>
      </c>
      <c r="C248" s="34"/>
      <c r="D248" s="34"/>
      <c r="E248" s="34"/>
      <c r="F248" s="34"/>
      <c r="G248" s="38"/>
      <c r="H248" s="36"/>
    </row>
    <row r="249" spans="1:8">
      <c r="A249" s="63"/>
      <c r="B249" s="35" t="s">
        <v>16</v>
      </c>
      <c r="C249" s="34"/>
      <c r="D249" s="34">
        <f>C252/5</f>
        <v>1098</v>
      </c>
      <c r="E249" s="34"/>
      <c r="F249" s="34"/>
      <c r="G249" s="67">
        <f>H249/30</f>
        <v>183</v>
      </c>
      <c r="H249" s="70">
        <f>C252</f>
        <v>5490</v>
      </c>
    </row>
    <row r="250" spans="1:8">
      <c r="A250" s="63"/>
      <c r="B250" s="35" t="s">
        <v>17</v>
      </c>
      <c r="C250" s="34"/>
      <c r="D250" s="34">
        <f>C252/5</f>
        <v>1098</v>
      </c>
      <c r="E250" s="34"/>
      <c r="F250" s="34"/>
      <c r="G250" s="68"/>
      <c r="H250" s="71"/>
    </row>
    <row r="251" spans="1:8">
      <c r="A251" s="63"/>
      <c r="B251" s="35" t="s">
        <v>18</v>
      </c>
      <c r="C251" s="34"/>
      <c r="D251" s="34">
        <f>G249</f>
        <v>183</v>
      </c>
      <c r="E251" s="34"/>
      <c r="F251" s="34"/>
      <c r="G251" s="68"/>
      <c r="H251" s="71"/>
    </row>
    <row r="252" spans="1:8">
      <c r="A252" s="64"/>
      <c r="B252" s="35" t="s">
        <v>10</v>
      </c>
      <c r="C252" s="34">
        <v>5490</v>
      </c>
      <c r="D252" s="34"/>
      <c r="E252" s="34"/>
      <c r="F252" s="34"/>
      <c r="G252" s="69"/>
      <c r="H252" s="72"/>
    </row>
    <row r="253" spans="1:8">
      <c r="A253" s="17"/>
      <c r="B253" s="1"/>
      <c r="C253" s="7"/>
      <c r="D253" s="7"/>
      <c r="E253" s="7"/>
      <c r="F253" s="7"/>
      <c r="G253" s="9"/>
      <c r="H253" s="19"/>
    </row>
    <row r="254" spans="1:8">
      <c r="A254" s="62" t="s">
        <v>60</v>
      </c>
      <c r="B254" s="33" t="s">
        <v>11</v>
      </c>
      <c r="C254" s="34"/>
      <c r="D254" s="34"/>
      <c r="E254" s="34"/>
      <c r="F254" s="34"/>
      <c r="G254" s="35"/>
      <c r="H254" s="37"/>
    </row>
    <row r="255" spans="1:8">
      <c r="A255" s="63"/>
      <c r="B255" s="35" t="s">
        <v>12</v>
      </c>
      <c r="C255" s="34"/>
      <c r="D255" s="34"/>
      <c r="E255" s="34">
        <f>C258*0.024</f>
        <v>35.712000000000003</v>
      </c>
      <c r="F255" s="34"/>
      <c r="G255" s="65">
        <f>H255/24</f>
        <v>62</v>
      </c>
      <c r="H255" s="66">
        <f>C258</f>
        <v>1488</v>
      </c>
    </row>
    <row r="256" spans="1:8">
      <c r="A256" s="63"/>
      <c r="B256" s="35" t="s">
        <v>13</v>
      </c>
      <c r="C256" s="34"/>
      <c r="D256" s="34">
        <f>C258/2</f>
        <v>744</v>
      </c>
      <c r="E256" s="34"/>
      <c r="F256" s="34"/>
      <c r="G256" s="65"/>
      <c r="H256" s="66"/>
    </row>
    <row r="257" spans="1:8">
      <c r="A257" s="63"/>
      <c r="B257" s="35" t="s">
        <v>14</v>
      </c>
      <c r="C257" s="34"/>
      <c r="D257" s="34">
        <f>G255</f>
        <v>62</v>
      </c>
      <c r="E257" s="34"/>
      <c r="F257" s="34"/>
      <c r="G257" s="65"/>
      <c r="H257" s="66"/>
    </row>
    <row r="258" spans="1:8">
      <c r="A258" s="64"/>
      <c r="B258" s="35" t="s">
        <v>10</v>
      </c>
      <c r="C258" s="34">
        <v>1488</v>
      </c>
      <c r="D258" s="34"/>
      <c r="E258" s="34"/>
      <c r="F258" s="34"/>
      <c r="G258" s="65"/>
      <c r="H258" s="66"/>
    </row>
    <row r="259" spans="1:8">
      <c r="A259" s="17"/>
      <c r="B259" s="4"/>
      <c r="C259" s="7"/>
      <c r="D259" s="7"/>
      <c r="E259" s="7"/>
      <c r="F259" s="7"/>
      <c r="G259" s="8"/>
      <c r="H259" s="18"/>
    </row>
    <row r="260" spans="1:8">
      <c r="A260" s="62" t="s">
        <v>60</v>
      </c>
      <c r="B260" s="33" t="s">
        <v>19</v>
      </c>
      <c r="C260" s="34"/>
      <c r="D260" s="34"/>
      <c r="E260" s="34"/>
      <c r="F260" s="34"/>
      <c r="G260" s="35"/>
      <c r="H260" s="36"/>
    </row>
    <row r="261" spans="1:8">
      <c r="A261" s="63"/>
      <c r="B261" s="1" t="s">
        <v>20</v>
      </c>
      <c r="C261" s="34"/>
      <c r="D261" s="34">
        <f>C266*2</f>
        <v>1440</v>
      </c>
      <c r="E261" s="34"/>
      <c r="F261" s="34"/>
      <c r="G261" s="67">
        <f>H261/12</f>
        <v>60</v>
      </c>
      <c r="H261" s="70">
        <f>C266</f>
        <v>720</v>
      </c>
    </row>
    <row r="262" spans="1:8">
      <c r="A262" s="63"/>
      <c r="B262" s="1" t="s">
        <v>21</v>
      </c>
      <c r="C262" s="34"/>
      <c r="D262" s="34">
        <f>G261</f>
        <v>60</v>
      </c>
      <c r="E262" s="34"/>
      <c r="F262" s="34"/>
      <c r="G262" s="68"/>
      <c r="H262" s="71"/>
    </row>
    <row r="263" spans="1:8">
      <c r="A263" s="63"/>
      <c r="B263" s="1" t="s">
        <v>22</v>
      </c>
      <c r="C263" s="34"/>
      <c r="D263" s="34">
        <f>C266*2</f>
        <v>1440</v>
      </c>
      <c r="E263" s="34"/>
      <c r="F263" s="34"/>
      <c r="G263" s="68"/>
      <c r="H263" s="71"/>
    </row>
    <row r="264" spans="1:8">
      <c r="A264" s="63"/>
      <c r="B264" s="1" t="s">
        <v>23</v>
      </c>
      <c r="C264" s="34"/>
      <c r="D264" s="34">
        <f>C266*2</f>
        <v>1440</v>
      </c>
      <c r="E264" s="34"/>
      <c r="F264" s="34"/>
      <c r="G264" s="68"/>
      <c r="H264" s="71"/>
    </row>
    <row r="265" spans="1:8">
      <c r="A265" s="63"/>
      <c r="B265" s="1" t="s">
        <v>24</v>
      </c>
      <c r="C265" s="34"/>
      <c r="D265" s="34">
        <f>C266*2</f>
        <v>1440</v>
      </c>
      <c r="E265" s="34"/>
      <c r="F265" s="34"/>
      <c r="G265" s="68"/>
      <c r="H265" s="71"/>
    </row>
    <row r="266" spans="1:8">
      <c r="A266" s="63"/>
      <c r="B266" s="41" t="s">
        <v>10</v>
      </c>
      <c r="C266" s="42">
        <v>720</v>
      </c>
      <c r="D266" s="42"/>
      <c r="E266" s="42"/>
      <c r="F266" s="42"/>
      <c r="G266" s="68"/>
      <c r="H266" s="71"/>
    </row>
    <row r="267" spans="1:8">
      <c r="A267" s="22" t="s">
        <v>9</v>
      </c>
      <c r="B267" s="22"/>
      <c r="C267" s="22"/>
      <c r="D267" s="22"/>
      <c r="E267" s="22"/>
      <c r="F267" s="22"/>
      <c r="G267" s="23">
        <f>SUM(G248:G266)</f>
        <v>305</v>
      </c>
      <c r="H267" s="24">
        <f>SUM(H248:H266)</f>
        <v>7698</v>
      </c>
    </row>
    <row r="268" spans="1:8">
      <c r="A268" s="17"/>
      <c r="B268" s="2"/>
      <c r="C268" s="7"/>
      <c r="D268" s="7"/>
      <c r="E268" s="7"/>
      <c r="F268" s="7"/>
      <c r="G268" s="9"/>
      <c r="H268" s="19"/>
    </row>
    <row r="269" spans="1:8">
      <c r="A269" s="62" t="s">
        <v>61</v>
      </c>
      <c r="B269" s="33" t="s">
        <v>15</v>
      </c>
      <c r="C269" s="34"/>
      <c r="D269" s="34"/>
      <c r="E269" s="34"/>
      <c r="F269" s="34"/>
      <c r="G269" s="38"/>
      <c r="H269" s="36"/>
    </row>
    <row r="270" spans="1:8">
      <c r="A270" s="63"/>
      <c r="B270" s="35" t="s">
        <v>16</v>
      </c>
      <c r="C270" s="34"/>
      <c r="D270" s="34">
        <f>C273/5</f>
        <v>456</v>
      </c>
      <c r="E270" s="34"/>
      <c r="F270" s="34"/>
      <c r="G270" s="67">
        <f>H270/30</f>
        <v>76</v>
      </c>
      <c r="H270" s="70">
        <f>C273</f>
        <v>2280</v>
      </c>
    </row>
    <row r="271" spans="1:8">
      <c r="A271" s="63"/>
      <c r="B271" s="35" t="s">
        <v>17</v>
      </c>
      <c r="C271" s="34"/>
      <c r="D271" s="34">
        <f>C273/5</f>
        <v>456</v>
      </c>
      <c r="E271" s="34"/>
      <c r="F271" s="34"/>
      <c r="G271" s="68"/>
      <c r="H271" s="71"/>
    </row>
    <row r="272" spans="1:8">
      <c r="A272" s="63"/>
      <c r="B272" s="35" t="s">
        <v>18</v>
      </c>
      <c r="C272" s="34"/>
      <c r="D272" s="34">
        <f>G270</f>
        <v>76</v>
      </c>
      <c r="E272" s="34"/>
      <c r="F272" s="34"/>
      <c r="G272" s="68"/>
      <c r="H272" s="71"/>
    </row>
    <row r="273" spans="1:8">
      <c r="A273" s="64"/>
      <c r="B273" s="35" t="s">
        <v>10</v>
      </c>
      <c r="C273" s="34">
        <v>2280</v>
      </c>
      <c r="D273" s="34"/>
      <c r="E273" s="34"/>
      <c r="F273" s="34"/>
      <c r="G273" s="69"/>
      <c r="H273" s="72"/>
    </row>
    <row r="274" spans="1:8">
      <c r="A274" s="17"/>
      <c r="B274" s="1"/>
      <c r="C274" s="7"/>
      <c r="D274" s="7"/>
      <c r="E274" s="7"/>
      <c r="F274" s="7"/>
      <c r="G274" s="9"/>
      <c r="H274" s="19"/>
    </row>
    <row r="275" spans="1:8">
      <c r="A275" s="62" t="s">
        <v>61</v>
      </c>
      <c r="B275" s="33" t="s">
        <v>11</v>
      </c>
      <c r="C275" s="34"/>
      <c r="D275" s="34"/>
      <c r="E275" s="34"/>
      <c r="F275" s="34"/>
      <c r="G275" s="35"/>
      <c r="H275" s="37"/>
    </row>
    <row r="276" spans="1:8">
      <c r="A276" s="63"/>
      <c r="B276" s="35" t="s">
        <v>12</v>
      </c>
      <c r="C276" s="34"/>
      <c r="D276" s="34"/>
      <c r="E276" s="34">
        <f>C279*0.024</f>
        <v>92.16</v>
      </c>
      <c r="F276" s="34"/>
      <c r="G276" s="65">
        <f>H276/24</f>
        <v>160</v>
      </c>
      <c r="H276" s="66">
        <f>C279</f>
        <v>3840</v>
      </c>
    </row>
    <row r="277" spans="1:8">
      <c r="A277" s="63"/>
      <c r="B277" s="35" t="s">
        <v>13</v>
      </c>
      <c r="C277" s="34"/>
      <c r="D277" s="34">
        <f>C279/2</f>
        <v>1920</v>
      </c>
      <c r="E277" s="34"/>
      <c r="F277" s="34"/>
      <c r="G277" s="65"/>
      <c r="H277" s="66"/>
    </row>
    <row r="278" spans="1:8">
      <c r="A278" s="63"/>
      <c r="B278" s="35" t="s">
        <v>14</v>
      </c>
      <c r="C278" s="34"/>
      <c r="D278" s="34">
        <f>G276</f>
        <v>160</v>
      </c>
      <c r="E278" s="34"/>
      <c r="F278" s="34"/>
      <c r="G278" s="65"/>
      <c r="H278" s="66"/>
    </row>
    <row r="279" spans="1:8">
      <c r="A279" s="64"/>
      <c r="B279" s="35" t="s">
        <v>10</v>
      </c>
      <c r="C279" s="34">
        <v>3840</v>
      </c>
      <c r="D279" s="34"/>
      <c r="E279" s="34"/>
      <c r="F279" s="34"/>
      <c r="G279" s="65"/>
      <c r="H279" s="66"/>
    </row>
    <row r="280" spans="1:8">
      <c r="A280" s="17"/>
      <c r="B280" s="4"/>
      <c r="C280" s="7"/>
      <c r="D280" s="7"/>
      <c r="E280" s="7"/>
      <c r="F280" s="7"/>
      <c r="G280" s="8"/>
      <c r="H280" s="18"/>
    </row>
    <row r="281" spans="1:8">
      <c r="A281" s="62" t="s">
        <v>61</v>
      </c>
      <c r="B281" s="33" t="s">
        <v>19</v>
      </c>
      <c r="C281" s="34"/>
      <c r="D281" s="34"/>
      <c r="E281" s="34"/>
      <c r="F281" s="34"/>
      <c r="G281" s="35"/>
      <c r="H281" s="36"/>
    </row>
    <row r="282" spans="1:8">
      <c r="A282" s="63"/>
      <c r="B282" s="1" t="s">
        <v>20</v>
      </c>
      <c r="C282" s="34"/>
      <c r="D282" s="34">
        <f>C287*2</f>
        <v>1824</v>
      </c>
      <c r="E282" s="34"/>
      <c r="F282" s="34"/>
      <c r="G282" s="67">
        <f>H282/12</f>
        <v>76</v>
      </c>
      <c r="H282" s="70">
        <f>C287</f>
        <v>912</v>
      </c>
    </row>
    <row r="283" spans="1:8">
      <c r="A283" s="63"/>
      <c r="B283" s="1" t="s">
        <v>21</v>
      </c>
      <c r="C283" s="34"/>
      <c r="D283" s="34">
        <f>G282</f>
        <v>76</v>
      </c>
      <c r="E283" s="34"/>
      <c r="F283" s="34"/>
      <c r="G283" s="68"/>
      <c r="H283" s="71"/>
    </row>
    <row r="284" spans="1:8">
      <c r="A284" s="63"/>
      <c r="B284" s="1" t="s">
        <v>22</v>
      </c>
      <c r="C284" s="34"/>
      <c r="D284" s="34">
        <f>C287*2</f>
        <v>1824</v>
      </c>
      <c r="E284" s="34"/>
      <c r="F284" s="34"/>
      <c r="G284" s="68"/>
      <c r="H284" s="71"/>
    </row>
    <row r="285" spans="1:8">
      <c r="A285" s="63"/>
      <c r="B285" s="1" t="s">
        <v>23</v>
      </c>
      <c r="C285" s="34"/>
      <c r="D285" s="34">
        <f>C287*2</f>
        <v>1824</v>
      </c>
      <c r="E285" s="34"/>
      <c r="F285" s="34"/>
      <c r="G285" s="68"/>
      <c r="H285" s="71"/>
    </row>
    <row r="286" spans="1:8">
      <c r="A286" s="63"/>
      <c r="B286" s="1" t="s">
        <v>24</v>
      </c>
      <c r="C286" s="34"/>
      <c r="D286" s="34">
        <f>C287*2</f>
        <v>1824</v>
      </c>
      <c r="E286" s="34"/>
      <c r="F286" s="34"/>
      <c r="G286" s="68"/>
      <c r="H286" s="71"/>
    </row>
    <row r="287" spans="1:8">
      <c r="A287" s="63"/>
      <c r="B287" s="41" t="s">
        <v>10</v>
      </c>
      <c r="C287" s="42">
        <v>912</v>
      </c>
      <c r="D287" s="42"/>
      <c r="E287" s="42"/>
      <c r="F287" s="42"/>
      <c r="G287" s="68"/>
      <c r="H287" s="71"/>
    </row>
    <row r="288" spans="1:8">
      <c r="A288" s="22" t="s">
        <v>9</v>
      </c>
      <c r="B288" s="22"/>
      <c r="C288" s="22"/>
      <c r="D288" s="22"/>
      <c r="E288" s="22"/>
      <c r="F288" s="22"/>
      <c r="G288" s="23">
        <f>SUM(G269:G287)</f>
        <v>312</v>
      </c>
      <c r="H288" s="24">
        <f>SUM(H269:H287)</f>
        <v>7032</v>
      </c>
    </row>
    <row r="289" spans="1:8">
      <c r="A289" s="17"/>
      <c r="B289" s="1"/>
      <c r="C289" s="7"/>
      <c r="D289" s="7"/>
      <c r="E289" s="7"/>
      <c r="F289" s="7"/>
      <c r="G289" s="9"/>
      <c r="H289" s="19"/>
    </row>
    <row r="290" spans="1:8">
      <c r="A290" s="62" t="s">
        <v>62</v>
      </c>
      <c r="B290" s="33" t="s">
        <v>26</v>
      </c>
      <c r="C290" s="34"/>
      <c r="D290" s="34"/>
      <c r="E290" s="34"/>
      <c r="F290" s="34"/>
      <c r="G290" s="35"/>
      <c r="H290" s="36"/>
    </row>
    <row r="291" spans="1:8">
      <c r="A291" s="63"/>
      <c r="B291" s="1" t="s">
        <v>27</v>
      </c>
      <c r="C291" s="34"/>
      <c r="D291" s="34">
        <f>C293</f>
        <v>480</v>
      </c>
      <c r="E291" s="34"/>
      <c r="F291" s="34"/>
      <c r="G291" s="67">
        <f>H291/24</f>
        <v>20</v>
      </c>
      <c r="H291" s="70">
        <f>C293</f>
        <v>480</v>
      </c>
    </row>
    <row r="292" spans="1:8">
      <c r="A292" s="63"/>
      <c r="B292" s="1" t="s">
        <v>28</v>
      </c>
      <c r="C292" s="34"/>
      <c r="D292" s="34">
        <f>G291</f>
        <v>20</v>
      </c>
      <c r="E292" s="34"/>
      <c r="F292" s="34"/>
      <c r="G292" s="68"/>
      <c r="H292" s="71"/>
    </row>
    <row r="293" spans="1:8">
      <c r="A293" s="64"/>
      <c r="B293" s="1" t="s">
        <v>10</v>
      </c>
      <c r="C293" s="34">
        <v>480</v>
      </c>
      <c r="D293" s="34"/>
      <c r="E293" s="34"/>
      <c r="F293" s="34"/>
      <c r="G293" s="69"/>
      <c r="H293" s="72"/>
    </row>
    <row r="294" spans="1:8">
      <c r="A294" s="17"/>
      <c r="B294" s="2"/>
      <c r="C294" s="7"/>
      <c r="D294" s="7"/>
      <c r="E294" s="7"/>
      <c r="F294" s="7"/>
      <c r="G294" s="9"/>
      <c r="H294" s="19"/>
    </row>
    <row r="295" spans="1:8">
      <c r="A295" s="62" t="s">
        <v>62</v>
      </c>
      <c r="B295" s="33" t="s">
        <v>44</v>
      </c>
      <c r="C295" s="34"/>
      <c r="D295" s="34"/>
      <c r="E295" s="34"/>
      <c r="F295" s="34"/>
      <c r="G295" s="35"/>
      <c r="H295" s="36"/>
    </row>
    <row r="296" spans="1:8">
      <c r="A296" s="63"/>
      <c r="B296" s="1" t="s">
        <v>45</v>
      </c>
      <c r="C296" s="34"/>
      <c r="D296" s="34">
        <f>C298*2</f>
        <v>1104</v>
      </c>
      <c r="E296" s="34"/>
      <c r="F296" s="34"/>
      <c r="G296" s="67">
        <f>H296/24</f>
        <v>23</v>
      </c>
      <c r="H296" s="70">
        <f>C298</f>
        <v>552</v>
      </c>
    </row>
    <row r="297" spans="1:8">
      <c r="A297" s="63"/>
      <c r="B297" s="1" t="s">
        <v>46</v>
      </c>
      <c r="C297" s="34"/>
      <c r="D297" s="34">
        <f>G296</f>
        <v>23</v>
      </c>
      <c r="E297" s="34"/>
      <c r="F297" s="34"/>
      <c r="G297" s="68"/>
      <c r="H297" s="71"/>
    </row>
    <row r="298" spans="1:8">
      <c r="A298" s="64"/>
      <c r="B298" s="1" t="s">
        <v>10</v>
      </c>
      <c r="C298" s="34">
        <v>552</v>
      </c>
      <c r="D298" s="34"/>
      <c r="E298" s="34"/>
      <c r="F298" s="34"/>
      <c r="G298" s="69"/>
      <c r="H298" s="72"/>
    </row>
    <row r="299" spans="1:8">
      <c r="A299" s="17"/>
      <c r="B299" s="1"/>
      <c r="C299" s="7"/>
      <c r="D299" s="7"/>
      <c r="E299" s="7"/>
      <c r="F299" s="7"/>
      <c r="G299" s="9"/>
      <c r="H299" s="19"/>
    </row>
    <row r="300" spans="1:8">
      <c r="A300" s="62" t="s">
        <v>62</v>
      </c>
      <c r="B300" s="33" t="s">
        <v>11</v>
      </c>
      <c r="C300" s="34"/>
      <c r="D300" s="34"/>
      <c r="E300" s="34"/>
      <c r="F300" s="34"/>
      <c r="G300" s="35"/>
      <c r="H300" s="37"/>
    </row>
    <row r="301" spans="1:8">
      <c r="A301" s="63"/>
      <c r="B301" s="35" t="s">
        <v>12</v>
      </c>
      <c r="C301" s="34"/>
      <c r="D301" s="34"/>
      <c r="E301" s="34">
        <f>C304*0.024</f>
        <v>82.367999999999995</v>
      </c>
      <c r="F301" s="34"/>
      <c r="G301" s="65">
        <f>H301/24</f>
        <v>143</v>
      </c>
      <c r="H301" s="66">
        <f>C304</f>
        <v>3432</v>
      </c>
    </row>
    <row r="302" spans="1:8">
      <c r="A302" s="63"/>
      <c r="B302" s="35" t="s">
        <v>13</v>
      </c>
      <c r="C302" s="34"/>
      <c r="D302" s="34">
        <f>C304/2</f>
        <v>1716</v>
      </c>
      <c r="E302" s="34"/>
      <c r="F302" s="34"/>
      <c r="G302" s="65"/>
      <c r="H302" s="66"/>
    </row>
    <row r="303" spans="1:8">
      <c r="A303" s="63"/>
      <c r="B303" s="35" t="s">
        <v>14</v>
      </c>
      <c r="C303" s="34"/>
      <c r="D303" s="34">
        <f>G301</f>
        <v>143</v>
      </c>
      <c r="E303" s="34"/>
      <c r="F303" s="34"/>
      <c r="G303" s="65"/>
      <c r="H303" s="66"/>
    </row>
    <row r="304" spans="1:8">
      <c r="A304" s="64"/>
      <c r="B304" s="35" t="s">
        <v>10</v>
      </c>
      <c r="C304" s="34">
        <v>3432</v>
      </c>
      <c r="D304" s="34"/>
      <c r="E304" s="34"/>
      <c r="F304" s="34"/>
      <c r="G304" s="65"/>
      <c r="H304" s="66"/>
    </row>
    <row r="305" spans="1:8">
      <c r="A305" s="22" t="s">
        <v>9</v>
      </c>
      <c r="B305" s="22"/>
      <c r="C305" s="22"/>
      <c r="D305" s="22"/>
      <c r="E305" s="22"/>
      <c r="F305" s="22"/>
      <c r="G305" s="23">
        <f>SUM(G290:G304)</f>
        <v>186</v>
      </c>
      <c r="H305" s="24">
        <f>SUM(H290:H304)</f>
        <v>4464</v>
      </c>
    </row>
    <row r="306" spans="1:8">
      <c r="A306" s="17"/>
      <c r="B306" s="1"/>
      <c r="C306" s="7"/>
      <c r="D306" s="7"/>
      <c r="E306" s="7"/>
      <c r="F306" s="7"/>
      <c r="G306" s="9"/>
      <c r="H306" s="19"/>
    </row>
    <row r="307" spans="1:8">
      <c r="A307" s="62" t="s">
        <v>63</v>
      </c>
      <c r="B307" s="33" t="s">
        <v>15</v>
      </c>
      <c r="C307" s="34"/>
      <c r="D307" s="34"/>
      <c r="E307" s="34"/>
      <c r="F307" s="34"/>
      <c r="G307" s="38"/>
      <c r="H307" s="36"/>
    </row>
    <row r="308" spans="1:8">
      <c r="A308" s="63"/>
      <c r="B308" s="35" t="s">
        <v>16</v>
      </c>
      <c r="C308" s="34"/>
      <c r="D308" s="34">
        <f>C311/5</f>
        <v>1020</v>
      </c>
      <c r="E308" s="34"/>
      <c r="F308" s="34"/>
      <c r="G308" s="67">
        <f>H308/30</f>
        <v>170</v>
      </c>
      <c r="H308" s="70">
        <f>C311</f>
        <v>5100</v>
      </c>
    </row>
    <row r="309" spans="1:8">
      <c r="A309" s="63"/>
      <c r="B309" s="35" t="s">
        <v>17</v>
      </c>
      <c r="C309" s="34"/>
      <c r="D309" s="34">
        <f>C311/5</f>
        <v>1020</v>
      </c>
      <c r="E309" s="34"/>
      <c r="F309" s="34"/>
      <c r="G309" s="68"/>
      <c r="H309" s="71"/>
    </row>
    <row r="310" spans="1:8">
      <c r="A310" s="63"/>
      <c r="B310" s="35" t="s">
        <v>18</v>
      </c>
      <c r="C310" s="34"/>
      <c r="D310" s="34">
        <f>G308</f>
        <v>170</v>
      </c>
      <c r="E310" s="34"/>
      <c r="F310" s="34"/>
      <c r="G310" s="68"/>
      <c r="H310" s="71"/>
    </row>
    <row r="311" spans="1:8">
      <c r="A311" s="64"/>
      <c r="B311" s="35" t="s">
        <v>10</v>
      </c>
      <c r="C311" s="34">
        <v>5100</v>
      </c>
      <c r="D311" s="34"/>
      <c r="E311" s="34"/>
      <c r="F311" s="34"/>
      <c r="G311" s="69"/>
      <c r="H311" s="72"/>
    </row>
    <row r="312" spans="1:8">
      <c r="A312" s="17"/>
      <c r="B312" s="1"/>
      <c r="C312" s="7"/>
      <c r="D312" s="7"/>
      <c r="E312" s="7"/>
      <c r="F312" s="7"/>
      <c r="G312" s="9"/>
      <c r="H312" s="19"/>
    </row>
    <row r="313" spans="1:8">
      <c r="A313" s="62" t="s">
        <v>63</v>
      </c>
      <c r="B313" s="33" t="s">
        <v>26</v>
      </c>
      <c r="C313" s="34"/>
      <c r="D313" s="34"/>
      <c r="E313" s="34"/>
      <c r="F313" s="34"/>
      <c r="G313" s="35"/>
      <c r="H313" s="36"/>
    </row>
    <row r="314" spans="1:8">
      <c r="A314" s="63"/>
      <c r="B314" s="1" t="s">
        <v>27</v>
      </c>
      <c r="C314" s="34"/>
      <c r="D314" s="34">
        <f>C316</f>
        <v>288</v>
      </c>
      <c r="E314" s="34"/>
      <c r="F314" s="34"/>
      <c r="G314" s="67">
        <f>H314/24</f>
        <v>12</v>
      </c>
      <c r="H314" s="70">
        <f>C316</f>
        <v>288</v>
      </c>
    </row>
    <row r="315" spans="1:8">
      <c r="A315" s="63"/>
      <c r="B315" s="1" t="s">
        <v>28</v>
      </c>
      <c r="C315" s="34"/>
      <c r="D315" s="34">
        <f>G314</f>
        <v>12</v>
      </c>
      <c r="E315" s="34"/>
      <c r="F315" s="34"/>
      <c r="G315" s="68"/>
      <c r="H315" s="71"/>
    </row>
    <row r="316" spans="1:8">
      <c r="A316" s="64"/>
      <c r="B316" s="1" t="s">
        <v>10</v>
      </c>
      <c r="C316" s="34">
        <v>288</v>
      </c>
      <c r="D316" s="34"/>
      <c r="E316" s="34"/>
      <c r="F316" s="34"/>
      <c r="G316" s="69"/>
      <c r="H316" s="72"/>
    </row>
    <row r="317" spans="1:8">
      <c r="A317" s="17"/>
      <c r="B317" s="2"/>
      <c r="C317" s="7"/>
      <c r="D317" s="7"/>
      <c r="E317" s="7"/>
      <c r="F317" s="7"/>
      <c r="G317" s="9"/>
      <c r="H317" s="19"/>
    </row>
    <row r="318" spans="1:8">
      <c r="A318" s="62" t="s">
        <v>63</v>
      </c>
      <c r="B318" s="33" t="s">
        <v>44</v>
      </c>
      <c r="C318" s="34"/>
      <c r="D318" s="34"/>
      <c r="E318" s="34"/>
      <c r="F318" s="34"/>
      <c r="G318" s="35"/>
      <c r="H318" s="36"/>
    </row>
    <row r="319" spans="1:8">
      <c r="A319" s="63"/>
      <c r="B319" s="1" t="s">
        <v>45</v>
      </c>
      <c r="C319" s="34"/>
      <c r="D319" s="34">
        <f>C321*2</f>
        <v>48</v>
      </c>
      <c r="E319" s="34"/>
      <c r="F319" s="34"/>
      <c r="G319" s="67">
        <f>H319/24</f>
        <v>1</v>
      </c>
      <c r="H319" s="70">
        <f>C321</f>
        <v>24</v>
      </c>
    </row>
    <row r="320" spans="1:8">
      <c r="A320" s="63"/>
      <c r="B320" s="1" t="s">
        <v>46</v>
      </c>
      <c r="C320" s="34"/>
      <c r="D320" s="34">
        <f>G319</f>
        <v>1</v>
      </c>
      <c r="E320" s="34"/>
      <c r="F320" s="34"/>
      <c r="G320" s="68"/>
      <c r="H320" s="71"/>
    </row>
    <row r="321" spans="1:8">
      <c r="A321" s="64"/>
      <c r="B321" s="1" t="s">
        <v>10</v>
      </c>
      <c r="C321" s="34">
        <v>24</v>
      </c>
      <c r="D321" s="34"/>
      <c r="E321" s="34"/>
      <c r="F321" s="34"/>
      <c r="G321" s="69"/>
      <c r="H321" s="72"/>
    </row>
    <row r="322" spans="1:8">
      <c r="A322" s="17"/>
      <c r="B322" s="1"/>
      <c r="C322" s="7"/>
      <c r="D322" s="7"/>
      <c r="E322" s="7"/>
      <c r="F322" s="7"/>
      <c r="G322" s="9"/>
      <c r="H322" s="19"/>
    </row>
    <row r="323" spans="1:8">
      <c r="A323" s="62" t="s">
        <v>63</v>
      </c>
      <c r="B323" s="33" t="s">
        <v>11</v>
      </c>
      <c r="C323" s="34"/>
      <c r="D323" s="34"/>
      <c r="E323" s="34"/>
      <c r="F323" s="34"/>
      <c r="G323" s="35"/>
      <c r="H323" s="37"/>
    </row>
    <row r="324" spans="1:8">
      <c r="A324" s="63"/>
      <c r="B324" s="35" t="s">
        <v>12</v>
      </c>
      <c r="C324" s="34"/>
      <c r="D324" s="34"/>
      <c r="E324" s="34">
        <f>C327*0.024</f>
        <v>8.0640000000000001</v>
      </c>
      <c r="F324" s="34"/>
      <c r="G324" s="65">
        <f>H324/24</f>
        <v>14</v>
      </c>
      <c r="H324" s="66">
        <f>C327</f>
        <v>336</v>
      </c>
    </row>
    <row r="325" spans="1:8">
      <c r="A325" s="63"/>
      <c r="B325" s="35" t="s">
        <v>13</v>
      </c>
      <c r="C325" s="34"/>
      <c r="D325" s="34">
        <f>C327/2</f>
        <v>168</v>
      </c>
      <c r="E325" s="34"/>
      <c r="F325" s="34"/>
      <c r="G325" s="65"/>
      <c r="H325" s="66"/>
    </row>
    <row r="326" spans="1:8">
      <c r="A326" s="63"/>
      <c r="B326" s="35" t="s">
        <v>14</v>
      </c>
      <c r="C326" s="34"/>
      <c r="D326" s="34">
        <f>G324</f>
        <v>14</v>
      </c>
      <c r="E326" s="34"/>
      <c r="F326" s="34"/>
      <c r="G326" s="65"/>
      <c r="H326" s="66"/>
    </row>
    <row r="327" spans="1:8">
      <c r="A327" s="64"/>
      <c r="B327" s="35" t="s">
        <v>10</v>
      </c>
      <c r="C327" s="34">
        <v>336</v>
      </c>
      <c r="D327" s="34"/>
      <c r="E327" s="34"/>
      <c r="F327" s="34"/>
      <c r="G327" s="65"/>
      <c r="H327" s="66"/>
    </row>
    <row r="328" spans="1:8">
      <c r="A328" s="17"/>
      <c r="B328" s="1"/>
      <c r="C328" s="7"/>
      <c r="D328" s="7"/>
      <c r="E328" s="7"/>
      <c r="F328" s="7"/>
      <c r="G328" s="9"/>
      <c r="H328" s="19"/>
    </row>
    <row r="329" spans="1:8">
      <c r="A329" s="62" t="s">
        <v>63</v>
      </c>
      <c r="B329" s="33" t="s">
        <v>19</v>
      </c>
      <c r="C329" s="34"/>
      <c r="D329" s="34"/>
      <c r="E329" s="34"/>
      <c r="F329" s="34"/>
      <c r="G329" s="35"/>
      <c r="H329" s="36"/>
    </row>
    <row r="330" spans="1:8">
      <c r="A330" s="63"/>
      <c r="B330" s="1" t="s">
        <v>20</v>
      </c>
      <c r="C330" s="34"/>
      <c r="D330" s="34">
        <f>C335*2</f>
        <v>2400</v>
      </c>
      <c r="E330" s="34"/>
      <c r="F330" s="34"/>
      <c r="G330" s="67">
        <f>H330/12</f>
        <v>100</v>
      </c>
      <c r="H330" s="70">
        <f>C335</f>
        <v>1200</v>
      </c>
    </row>
    <row r="331" spans="1:8">
      <c r="A331" s="63"/>
      <c r="B331" s="1" t="s">
        <v>21</v>
      </c>
      <c r="C331" s="34"/>
      <c r="D331" s="34">
        <f>G330</f>
        <v>100</v>
      </c>
      <c r="E331" s="34"/>
      <c r="F331" s="34"/>
      <c r="G331" s="68"/>
      <c r="H331" s="71"/>
    </row>
    <row r="332" spans="1:8">
      <c r="A332" s="63"/>
      <c r="B332" s="1" t="s">
        <v>22</v>
      </c>
      <c r="C332" s="34"/>
      <c r="D332" s="34">
        <f>C335*2</f>
        <v>2400</v>
      </c>
      <c r="E332" s="34"/>
      <c r="F332" s="34"/>
      <c r="G332" s="68"/>
      <c r="H332" s="71"/>
    </row>
    <row r="333" spans="1:8">
      <c r="A333" s="63"/>
      <c r="B333" s="1" t="s">
        <v>23</v>
      </c>
      <c r="C333" s="34"/>
      <c r="D333" s="34">
        <f>C335*2</f>
        <v>2400</v>
      </c>
      <c r="E333" s="34"/>
      <c r="F333" s="34"/>
      <c r="G333" s="68"/>
      <c r="H333" s="71"/>
    </row>
    <row r="334" spans="1:8">
      <c r="A334" s="63"/>
      <c r="B334" s="1" t="s">
        <v>24</v>
      </c>
      <c r="C334" s="34"/>
      <c r="D334" s="34">
        <f>C335*2</f>
        <v>2400</v>
      </c>
      <c r="E334" s="34"/>
      <c r="F334" s="34"/>
      <c r="G334" s="68"/>
      <c r="H334" s="71"/>
    </row>
    <row r="335" spans="1:8">
      <c r="A335" s="63"/>
      <c r="B335" s="41" t="s">
        <v>10</v>
      </c>
      <c r="C335" s="42">
        <v>1200</v>
      </c>
      <c r="D335" s="42"/>
      <c r="E335" s="42"/>
      <c r="F335" s="42"/>
      <c r="G335" s="68"/>
      <c r="H335" s="71"/>
    </row>
    <row r="336" spans="1:8">
      <c r="A336" s="22" t="s">
        <v>9</v>
      </c>
      <c r="B336" s="22"/>
      <c r="C336" s="22"/>
      <c r="D336" s="22"/>
      <c r="E336" s="22"/>
      <c r="F336" s="22"/>
      <c r="G336" s="23">
        <f>SUM(G307:G335)</f>
        <v>297</v>
      </c>
      <c r="H336" s="24">
        <f>SUM(H307:H335)</f>
        <v>6948</v>
      </c>
    </row>
    <row r="337" spans="1:8">
      <c r="A337" s="17"/>
      <c r="B337" s="1"/>
      <c r="C337" s="7"/>
      <c r="D337" s="7"/>
      <c r="E337" s="7"/>
      <c r="F337" s="7"/>
      <c r="G337" s="9"/>
      <c r="H337" s="19"/>
    </row>
    <row r="338" spans="1:8">
      <c r="A338" s="62" t="s">
        <v>64</v>
      </c>
      <c r="B338" s="33" t="s">
        <v>15</v>
      </c>
      <c r="C338" s="34"/>
      <c r="D338" s="34"/>
      <c r="E338" s="34"/>
      <c r="F338" s="34"/>
      <c r="G338" s="38"/>
      <c r="H338" s="36"/>
    </row>
    <row r="339" spans="1:8">
      <c r="A339" s="63"/>
      <c r="B339" s="35" t="s">
        <v>16</v>
      </c>
      <c r="C339" s="34"/>
      <c r="D339" s="34">
        <f>C342/5</f>
        <v>258</v>
      </c>
      <c r="E339" s="34"/>
      <c r="F339" s="34"/>
      <c r="G339" s="67">
        <f>H339/30</f>
        <v>43</v>
      </c>
      <c r="H339" s="70">
        <f>C342</f>
        <v>1290</v>
      </c>
    </row>
    <row r="340" spans="1:8">
      <c r="A340" s="63"/>
      <c r="B340" s="35" t="s">
        <v>17</v>
      </c>
      <c r="C340" s="34"/>
      <c r="D340" s="34">
        <f>C342/5</f>
        <v>258</v>
      </c>
      <c r="E340" s="34"/>
      <c r="F340" s="34"/>
      <c r="G340" s="68"/>
      <c r="H340" s="71"/>
    </row>
    <row r="341" spans="1:8">
      <c r="A341" s="63"/>
      <c r="B341" s="35" t="s">
        <v>18</v>
      </c>
      <c r="C341" s="34"/>
      <c r="D341" s="34">
        <f>G339</f>
        <v>43</v>
      </c>
      <c r="E341" s="34"/>
      <c r="F341" s="34"/>
      <c r="G341" s="68"/>
      <c r="H341" s="71"/>
    </row>
    <row r="342" spans="1:8">
      <c r="A342" s="64"/>
      <c r="B342" s="35" t="s">
        <v>10</v>
      </c>
      <c r="C342" s="34">
        <v>1290</v>
      </c>
      <c r="D342" s="34"/>
      <c r="E342" s="34"/>
      <c r="F342" s="34"/>
      <c r="G342" s="69"/>
      <c r="H342" s="72"/>
    </row>
    <row r="343" spans="1:8">
      <c r="A343" s="17"/>
      <c r="B343" s="1"/>
      <c r="C343" s="7"/>
      <c r="D343" s="7"/>
      <c r="E343" s="7"/>
      <c r="F343" s="7"/>
      <c r="G343" s="9"/>
      <c r="H343" s="19"/>
    </row>
    <row r="344" spans="1:8">
      <c r="A344" s="62" t="s">
        <v>64</v>
      </c>
      <c r="B344" s="33" t="s">
        <v>26</v>
      </c>
      <c r="C344" s="34"/>
      <c r="D344" s="34"/>
      <c r="E344" s="34"/>
      <c r="F344" s="34"/>
      <c r="G344" s="35"/>
      <c r="H344" s="36"/>
    </row>
    <row r="345" spans="1:8">
      <c r="A345" s="63"/>
      <c r="B345" s="1" t="s">
        <v>27</v>
      </c>
      <c r="C345" s="34"/>
      <c r="D345" s="34">
        <f>C347</f>
        <v>768</v>
      </c>
      <c r="E345" s="34"/>
      <c r="F345" s="34"/>
      <c r="G345" s="67">
        <f>H345/24</f>
        <v>32</v>
      </c>
      <c r="H345" s="70">
        <f>C347</f>
        <v>768</v>
      </c>
    </row>
    <row r="346" spans="1:8">
      <c r="A346" s="63"/>
      <c r="B346" s="1" t="s">
        <v>28</v>
      </c>
      <c r="C346" s="34"/>
      <c r="D346" s="34">
        <f>G345</f>
        <v>32</v>
      </c>
      <c r="E346" s="34"/>
      <c r="F346" s="34"/>
      <c r="G346" s="68"/>
      <c r="H346" s="71"/>
    </row>
    <row r="347" spans="1:8">
      <c r="A347" s="64"/>
      <c r="B347" s="1" t="s">
        <v>10</v>
      </c>
      <c r="C347" s="34">
        <v>768</v>
      </c>
      <c r="D347" s="34"/>
      <c r="E347" s="34"/>
      <c r="F347" s="34"/>
      <c r="G347" s="69"/>
      <c r="H347" s="72"/>
    </row>
    <row r="348" spans="1:8">
      <c r="A348" s="17"/>
      <c r="B348" s="2"/>
      <c r="C348" s="7"/>
      <c r="D348" s="7"/>
      <c r="E348" s="7"/>
      <c r="F348" s="7"/>
      <c r="G348" s="9"/>
      <c r="H348" s="19"/>
    </row>
    <row r="349" spans="1:8">
      <c r="A349" s="62" t="s">
        <v>64</v>
      </c>
      <c r="B349" s="33" t="s">
        <v>44</v>
      </c>
      <c r="C349" s="34"/>
      <c r="D349" s="34"/>
      <c r="E349" s="34"/>
      <c r="F349" s="34"/>
      <c r="G349" s="35"/>
      <c r="H349" s="36"/>
    </row>
    <row r="350" spans="1:8">
      <c r="A350" s="63"/>
      <c r="B350" s="1" t="s">
        <v>45</v>
      </c>
      <c r="C350" s="34"/>
      <c r="D350" s="34">
        <f>C352*2</f>
        <v>480</v>
      </c>
      <c r="E350" s="34"/>
      <c r="F350" s="34"/>
      <c r="G350" s="67">
        <f>H350/24</f>
        <v>10</v>
      </c>
      <c r="H350" s="70">
        <f>C352</f>
        <v>240</v>
      </c>
    </row>
    <row r="351" spans="1:8">
      <c r="A351" s="63"/>
      <c r="B351" s="1" t="s">
        <v>46</v>
      </c>
      <c r="C351" s="34"/>
      <c r="D351" s="34">
        <f>G350</f>
        <v>10</v>
      </c>
      <c r="E351" s="34"/>
      <c r="F351" s="34"/>
      <c r="G351" s="68"/>
      <c r="H351" s="71"/>
    </row>
    <row r="352" spans="1:8">
      <c r="A352" s="64"/>
      <c r="B352" s="1" t="s">
        <v>10</v>
      </c>
      <c r="C352" s="34">
        <v>240</v>
      </c>
      <c r="D352" s="34"/>
      <c r="E352" s="34"/>
      <c r="F352" s="34"/>
      <c r="G352" s="69"/>
      <c r="H352" s="72"/>
    </row>
    <row r="353" spans="1:8">
      <c r="A353" s="17"/>
      <c r="B353" s="1"/>
      <c r="C353" s="7"/>
      <c r="D353" s="7"/>
      <c r="E353" s="7"/>
      <c r="F353" s="7"/>
      <c r="G353" s="9"/>
      <c r="H353" s="19"/>
    </row>
    <row r="354" spans="1:8">
      <c r="A354" s="62" t="s">
        <v>64</v>
      </c>
      <c r="B354" s="33" t="s">
        <v>11</v>
      </c>
      <c r="C354" s="34"/>
      <c r="D354" s="34"/>
      <c r="E354" s="34"/>
      <c r="F354" s="34"/>
      <c r="G354" s="35"/>
      <c r="H354" s="37"/>
    </row>
    <row r="355" spans="1:8">
      <c r="A355" s="63"/>
      <c r="B355" s="35" t="s">
        <v>12</v>
      </c>
      <c r="C355" s="34"/>
      <c r="D355" s="34"/>
      <c r="E355" s="34">
        <f>C358*0.024</f>
        <v>84.096000000000004</v>
      </c>
      <c r="F355" s="34"/>
      <c r="G355" s="65">
        <f>H355/24</f>
        <v>146</v>
      </c>
      <c r="H355" s="66">
        <f>C358</f>
        <v>3504</v>
      </c>
    </row>
    <row r="356" spans="1:8">
      <c r="A356" s="63"/>
      <c r="B356" s="35" t="s">
        <v>13</v>
      </c>
      <c r="C356" s="34"/>
      <c r="D356" s="34">
        <f>C358/2</f>
        <v>1752</v>
      </c>
      <c r="E356" s="34"/>
      <c r="F356" s="34"/>
      <c r="G356" s="65"/>
      <c r="H356" s="66"/>
    </row>
    <row r="357" spans="1:8">
      <c r="A357" s="63"/>
      <c r="B357" s="35" t="s">
        <v>14</v>
      </c>
      <c r="C357" s="34"/>
      <c r="D357" s="34">
        <f>G355</f>
        <v>146</v>
      </c>
      <c r="E357" s="34"/>
      <c r="F357" s="34"/>
      <c r="G357" s="65"/>
      <c r="H357" s="66"/>
    </row>
    <row r="358" spans="1:8">
      <c r="A358" s="64"/>
      <c r="B358" s="35" t="s">
        <v>10</v>
      </c>
      <c r="C358" s="34">
        <v>3504</v>
      </c>
      <c r="D358" s="34"/>
      <c r="E358" s="34"/>
      <c r="F358" s="34"/>
      <c r="G358" s="65"/>
      <c r="H358" s="66"/>
    </row>
    <row r="359" spans="1:8">
      <c r="A359" s="22" t="s">
        <v>9</v>
      </c>
      <c r="B359" s="22"/>
      <c r="C359" s="22"/>
      <c r="D359" s="22"/>
      <c r="E359" s="22"/>
      <c r="F359" s="22"/>
      <c r="G359" s="23">
        <f>SUM(G338:G358)</f>
        <v>231</v>
      </c>
      <c r="H359" s="24">
        <f>SUM(H338:H358)</f>
        <v>5802</v>
      </c>
    </row>
    <row r="360" spans="1:8">
      <c r="A360" s="17"/>
      <c r="B360" s="1"/>
      <c r="C360" s="7"/>
      <c r="D360" s="7"/>
      <c r="E360" s="7"/>
      <c r="F360" s="7"/>
      <c r="G360" s="9"/>
      <c r="H360" s="19"/>
    </row>
    <row r="361" spans="1:8">
      <c r="A361" s="62" t="s">
        <v>65</v>
      </c>
      <c r="B361" s="33" t="s">
        <v>26</v>
      </c>
      <c r="C361" s="34"/>
      <c r="D361" s="34"/>
      <c r="E361" s="34"/>
      <c r="F361" s="34"/>
      <c r="G361" s="35"/>
      <c r="H361" s="36"/>
    </row>
    <row r="362" spans="1:8">
      <c r="A362" s="63"/>
      <c r="B362" s="1" t="s">
        <v>27</v>
      </c>
      <c r="C362" s="34"/>
      <c r="D362" s="34">
        <f>C364</f>
        <v>1272</v>
      </c>
      <c r="E362" s="34"/>
      <c r="F362" s="34"/>
      <c r="G362" s="67">
        <f>H362/24</f>
        <v>53</v>
      </c>
      <c r="H362" s="70">
        <f>C364</f>
        <v>1272</v>
      </c>
    </row>
    <row r="363" spans="1:8">
      <c r="A363" s="63"/>
      <c r="B363" s="1" t="s">
        <v>28</v>
      </c>
      <c r="C363" s="34"/>
      <c r="D363" s="34">
        <f>G362</f>
        <v>53</v>
      </c>
      <c r="E363" s="34"/>
      <c r="F363" s="34"/>
      <c r="G363" s="68"/>
      <c r="H363" s="71"/>
    </row>
    <row r="364" spans="1:8">
      <c r="A364" s="64"/>
      <c r="B364" s="1" t="s">
        <v>10</v>
      </c>
      <c r="C364" s="34">
        <v>1272</v>
      </c>
      <c r="D364" s="34"/>
      <c r="E364" s="34"/>
      <c r="F364" s="34"/>
      <c r="G364" s="69"/>
      <c r="H364" s="72"/>
    </row>
    <row r="365" spans="1:8">
      <c r="A365" s="17"/>
      <c r="B365" s="2"/>
      <c r="C365" s="7"/>
      <c r="D365" s="7"/>
      <c r="E365" s="7"/>
      <c r="F365" s="7"/>
      <c r="G365" s="9"/>
      <c r="H365" s="19"/>
    </row>
    <row r="366" spans="1:8">
      <c r="A366" s="62" t="s">
        <v>65</v>
      </c>
      <c r="B366" s="33" t="s">
        <v>44</v>
      </c>
      <c r="C366" s="34"/>
      <c r="D366" s="34"/>
      <c r="E366" s="34"/>
      <c r="F366" s="34"/>
      <c r="G366" s="35"/>
      <c r="H366" s="36"/>
    </row>
    <row r="367" spans="1:8">
      <c r="A367" s="63"/>
      <c r="B367" s="1" t="s">
        <v>45</v>
      </c>
      <c r="C367" s="34"/>
      <c r="D367" s="34">
        <f>C369*2</f>
        <v>1968</v>
      </c>
      <c r="E367" s="34"/>
      <c r="F367" s="34"/>
      <c r="G367" s="67">
        <f>H367/24</f>
        <v>41</v>
      </c>
      <c r="H367" s="70">
        <f>C369</f>
        <v>984</v>
      </c>
    </row>
    <row r="368" spans="1:8">
      <c r="A368" s="63"/>
      <c r="B368" s="1" t="s">
        <v>46</v>
      </c>
      <c r="C368" s="34"/>
      <c r="D368" s="34">
        <f>G367</f>
        <v>41</v>
      </c>
      <c r="E368" s="34"/>
      <c r="F368" s="34"/>
      <c r="G368" s="68"/>
      <c r="H368" s="71"/>
    </row>
    <row r="369" spans="1:8">
      <c r="A369" s="64"/>
      <c r="B369" s="1" t="s">
        <v>10</v>
      </c>
      <c r="C369" s="34">
        <v>984</v>
      </c>
      <c r="D369" s="34"/>
      <c r="E369" s="34"/>
      <c r="F369" s="34"/>
      <c r="G369" s="69"/>
      <c r="H369" s="72"/>
    </row>
    <row r="370" spans="1:8">
      <c r="A370" s="17"/>
      <c r="B370" s="1"/>
      <c r="C370" s="7"/>
      <c r="D370" s="7"/>
      <c r="E370" s="7"/>
      <c r="F370" s="7"/>
      <c r="G370" s="9"/>
      <c r="H370" s="19"/>
    </row>
    <row r="371" spans="1:8">
      <c r="A371" s="62" t="s">
        <v>65</v>
      </c>
      <c r="B371" s="33" t="s">
        <v>11</v>
      </c>
      <c r="C371" s="34"/>
      <c r="D371" s="34"/>
      <c r="E371" s="34"/>
      <c r="F371" s="34"/>
      <c r="G371" s="35"/>
      <c r="H371" s="37"/>
    </row>
    <row r="372" spans="1:8">
      <c r="A372" s="63"/>
      <c r="B372" s="35" t="s">
        <v>12</v>
      </c>
      <c r="C372" s="34"/>
      <c r="D372" s="34"/>
      <c r="E372" s="34">
        <f>C375*0.024</f>
        <v>89.856000000000009</v>
      </c>
      <c r="F372" s="34"/>
      <c r="G372" s="65">
        <f>H372/24</f>
        <v>156</v>
      </c>
      <c r="H372" s="66">
        <f>C375</f>
        <v>3744</v>
      </c>
    </row>
    <row r="373" spans="1:8">
      <c r="A373" s="63"/>
      <c r="B373" s="35" t="s">
        <v>13</v>
      </c>
      <c r="C373" s="34"/>
      <c r="D373" s="34">
        <f>C375/2</f>
        <v>1872</v>
      </c>
      <c r="E373" s="34"/>
      <c r="F373" s="34"/>
      <c r="G373" s="65"/>
      <c r="H373" s="66"/>
    </row>
    <row r="374" spans="1:8">
      <c r="A374" s="63"/>
      <c r="B374" s="35" t="s">
        <v>14</v>
      </c>
      <c r="C374" s="34"/>
      <c r="D374" s="34">
        <f>G372</f>
        <v>156</v>
      </c>
      <c r="E374" s="34"/>
      <c r="F374" s="34"/>
      <c r="G374" s="65"/>
      <c r="H374" s="66"/>
    </row>
    <row r="375" spans="1:8">
      <c r="A375" s="64"/>
      <c r="B375" s="35" t="s">
        <v>10</v>
      </c>
      <c r="C375" s="34">
        <v>3744</v>
      </c>
      <c r="D375" s="34"/>
      <c r="E375" s="34"/>
      <c r="F375" s="34"/>
      <c r="G375" s="65"/>
      <c r="H375" s="66"/>
    </row>
    <row r="376" spans="1:8">
      <c r="A376" s="22" t="s">
        <v>9</v>
      </c>
      <c r="B376" s="22"/>
      <c r="C376" s="22"/>
      <c r="D376" s="22"/>
      <c r="E376" s="22"/>
      <c r="F376" s="22"/>
      <c r="G376" s="23">
        <f>SUM(G361:G375)</f>
        <v>250</v>
      </c>
      <c r="H376" s="24">
        <f>SUM(H361:H375)</f>
        <v>6000</v>
      </c>
    </row>
    <row r="377" spans="1:8">
      <c r="A377" s="17"/>
      <c r="B377" s="1"/>
      <c r="C377" s="7"/>
      <c r="D377" s="7"/>
      <c r="E377" s="7"/>
      <c r="F377" s="7"/>
      <c r="G377" s="9"/>
      <c r="H377" s="19"/>
    </row>
    <row r="378" spans="1:8">
      <c r="A378" s="17"/>
      <c r="B378" s="1"/>
      <c r="C378" s="7"/>
      <c r="D378" s="7"/>
      <c r="E378" s="7"/>
      <c r="F378" s="7"/>
      <c r="G378" s="9"/>
      <c r="H378" s="19"/>
    </row>
    <row r="379" spans="1:8">
      <c r="A379" s="17"/>
      <c r="B379" s="1"/>
      <c r="C379" s="7"/>
      <c r="D379" s="7"/>
      <c r="E379" s="7"/>
      <c r="F379" s="7"/>
      <c r="G379" s="9"/>
      <c r="H379" s="19"/>
    </row>
    <row r="380" spans="1:8">
      <c r="A380" s="17"/>
      <c r="B380" s="1"/>
      <c r="C380" s="7"/>
      <c r="D380" s="7"/>
      <c r="E380" s="7"/>
      <c r="F380" s="7"/>
      <c r="G380" s="9"/>
      <c r="H380" s="19"/>
    </row>
    <row r="381" spans="1:8">
      <c r="A381" s="17"/>
      <c r="B381" s="1"/>
      <c r="C381" s="7"/>
      <c r="D381" s="7"/>
      <c r="E381" s="7"/>
      <c r="F381" s="7"/>
      <c r="G381" s="9"/>
      <c r="H381" s="19"/>
    </row>
    <row r="382" spans="1:8">
      <c r="A382" s="17"/>
      <c r="B382" s="1"/>
      <c r="C382" s="7"/>
      <c r="D382" s="7"/>
      <c r="E382" s="7"/>
      <c r="F382" s="7"/>
      <c r="G382" s="9"/>
      <c r="H382" s="19"/>
    </row>
    <row r="383" spans="1:8">
      <c r="A383" s="17"/>
      <c r="B383" s="1"/>
      <c r="C383" s="7"/>
      <c r="D383" s="7"/>
      <c r="E383" s="7"/>
      <c r="F383" s="7"/>
      <c r="G383" s="9"/>
      <c r="H383" s="19"/>
    </row>
    <row r="384" spans="1:8">
      <c r="A384" s="17"/>
      <c r="B384" s="1"/>
      <c r="C384" s="7"/>
      <c r="D384" s="7"/>
      <c r="E384" s="7"/>
      <c r="F384" s="7"/>
      <c r="G384" s="9"/>
      <c r="H384" s="19"/>
    </row>
    <row r="385" spans="1:8">
      <c r="A385" s="17"/>
      <c r="B385" s="1"/>
      <c r="C385" s="7"/>
      <c r="D385" s="7"/>
      <c r="E385" s="7"/>
      <c r="F385" s="7"/>
      <c r="G385" s="9"/>
      <c r="H385" s="19"/>
    </row>
    <row r="386" spans="1:8">
      <c r="A386" s="17"/>
      <c r="B386" s="1"/>
      <c r="C386" s="7"/>
      <c r="D386" s="7"/>
      <c r="E386" s="7"/>
      <c r="F386" s="7"/>
      <c r="G386" s="9"/>
      <c r="H386" s="19"/>
    </row>
    <row r="387" spans="1:8">
      <c r="A387" s="17"/>
      <c r="B387" s="1"/>
      <c r="C387" s="7"/>
      <c r="D387" s="7"/>
      <c r="E387" s="7"/>
      <c r="F387" s="7"/>
      <c r="G387" s="9"/>
      <c r="H387" s="19"/>
    </row>
    <row r="388" spans="1:8">
      <c r="A388" s="17"/>
      <c r="B388" s="1"/>
      <c r="C388" s="7"/>
      <c r="D388" s="7"/>
      <c r="E388" s="7"/>
      <c r="F388" s="7"/>
      <c r="G388" s="9"/>
      <c r="H388" s="19"/>
    </row>
    <row r="389" spans="1:8">
      <c r="A389" s="17"/>
      <c r="B389" s="1"/>
      <c r="C389" s="7"/>
      <c r="D389" s="7"/>
      <c r="E389" s="7"/>
      <c r="F389" s="7"/>
      <c r="G389" s="9"/>
      <c r="H389" s="19"/>
    </row>
    <row r="390" spans="1:8">
      <c r="A390" s="17"/>
      <c r="B390" s="1"/>
      <c r="C390" s="7"/>
      <c r="D390" s="7"/>
      <c r="E390" s="7"/>
      <c r="F390" s="7"/>
      <c r="G390" s="9"/>
      <c r="H390" s="19"/>
    </row>
    <row r="391" spans="1:8">
      <c r="A391" s="17"/>
      <c r="B391" s="1"/>
      <c r="C391" s="7"/>
      <c r="D391" s="7"/>
      <c r="E391" s="7"/>
      <c r="F391" s="7"/>
      <c r="G391" s="9"/>
      <c r="H391" s="19"/>
    </row>
    <row r="392" spans="1:8">
      <c r="A392" s="17"/>
      <c r="B392" s="1"/>
      <c r="C392" s="7"/>
      <c r="D392" s="7"/>
      <c r="E392" s="7"/>
      <c r="F392" s="7"/>
      <c r="G392" s="9"/>
      <c r="H392" s="19"/>
    </row>
    <row r="393" spans="1:8">
      <c r="A393" s="17"/>
      <c r="B393" s="1"/>
      <c r="C393" s="7"/>
      <c r="D393" s="7"/>
      <c r="E393" s="7"/>
      <c r="F393" s="7"/>
      <c r="G393" s="9"/>
      <c r="H393" s="19"/>
    </row>
    <row r="394" spans="1:8">
      <c r="A394" s="17"/>
      <c r="B394" s="1"/>
      <c r="C394" s="7"/>
      <c r="D394" s="7"/>
      <c r="E394" s="7"/>
      <c r="F394" s="7"/>
      <c r="G394" s="9"/>
      <c r="H394" s="19"/>
    </row>
    <row r="395" spans="1:8">
      <c r="A395" s="17"/>
      <c r="B395" s="1"/>
      <c r="C395" s="7"/>
      <c r="D395" s="7"/>
      <c r="E395" s="7"/>
      <c r="F395" s="7"/>
      <c r="G395" s="9"/>
      <c r="H395" s="19"/>
    </row>
    <row r="396" spans="1:8">
      <c r="A396" s="17"/>
      <c r="B396" s="1"/>
      <c r="C396" s="7"/>
      <c r="D396" s="7"/>
      <c r="E396" s="7"/>
      <c r="F396" s="7"/>
      <c r="G396" s="9"/>
      <c r="H396" s="19"/>
    </row>
    <row r="397" spans="1:8">
      <c r="A397" s="17"/>
      <c r="B397" s="1"/>
      <c r="C397" s="7"/>
      <c r="D397" s="7"/>
      <c r="E397" s="7"/>
      <c r="F397" s="7"/>
      <c r="G397" s="9"/>
      <c r="H397" s="19"/>
    </row>
    <row r="398" spans="1:8">
      <c r="A398" s="17"/>
      <c r="B398" s="1"/>
      <c r="C398" s="7"/>
      <c r="D398" s="7"/>
      <c r="E398" s="7"/>
      <c r="F398" s="7"/>
      <c r="G398" s="9"/>
      <c r="H398" s="19"/>
    </row>
    <row r="399" spans="1:8">
      <c r="A399" s="17"/>
      <c r="B399" s="1"/>
      <c r="C399" s="7"/>
      <c r="D399" s="7"/>
      <c r="E399" s="7"/>
      <c r="F399" s="7"/>
      <c r="G399" s="9"/>
      <c r="H399" s="19"/>
    </row>
    <row r="400" spans="1:8">
      <c r="A400" s="17"/>
      <c r="B400" s="1"/>
      <c r="C400" s="7"/>
      <c r="D400" s="7"/>
      <c r="E400" s="7"/>
      <c r="F400" s="7"/>
      <c r="G400" s="9"/>
      <c r="H400" s="19"/>
    </row>
    <row r="401" spans="1:8">
      <c r="A401" s="17"/>
      <c r="B401" s="1"/>
      <c r="C401" s="7"/>
      <c r="D401" s="7"/>
      <c r="E401" s="7"/>
      <c r="F401" s="7"/>
      <c r="G401" s="9"/>
      <c r="H401" s="19"/>
    </row>
    <row r="402" spans="1:8">
      <c r="A402" s="17"/>
      <c r="B402" s="1"/>
      <c r="C402" s="7"/>
      <c r="D402" s="7"/>
      <c r="E402" s="7"/>
      <c r="F402" s="7"/>
      <c r="G402" s="9"/>
      <c r="H402" s="19"/>
    </row>
    <row r="403" spans="1:8">
      <c r="A403" s="17"/>
      <c r="B403" s="1"/>
      <c r="C403" s="7"/>
      <c r="D403" s="7"/>
      <c r="E403" s="7"/>
      <c r="F403" s="7"/>
      <c r="G403" s="9"/>
      <c r="H403" s="19"/>
    </row>
    <row r="404" spans="1:8">
      <c r="A404" s="17"/>
      <c r="B404" s="1"/>
      <c r="C404" s="7"/>
      <c r="D404" s="7"/>
      <c r="E404" s="7"/>
      <c r="F404" s="7"/>
      <c r="G404" s="9"/>
      <c r="H404" s="19"/>
    </row>
    <row r="405" spans="1:8">
      <c r="A405" s="17"/>
      <c r="B405" s="1"/>
      <c r="C405" s="7"/>
      <c r="D405" s="7"/>
      <c r="E405" s="7"/>
      <c r="F405" s="7"/>
      <c r="G405" s="9"/>
      <c r="H405" s="19"/>
    </row>
    <row r="406" spans="1:8">
      <c r="A406" s="17"/>
      <c r="B406" s="1"/>
      <c r="C406" s="7"/>
      <c r="D406" s="7"/>
      <c r="E406" s="7"/>
      <c r="F406" s="7"/>
      <c r="G406" s="9"/>
      <c r="H406" s="19"/>
    </row>
    <row r="407" spans="1:8">
      <c r="A407" s="17"/>
      <c r="B407" s="1"/>
      <c r="C407" s="7"/>
      <c r="D407" s="7"/>
      <c r="E407" s="7"/>
      <c r="F407" s="7"/>
      <c r="G407" s="9"/>
      <c r="H407" s="19"/>
    </row>
    <row r="408" spans="1:8">
      <c r="A408" s="17"/>
      <c r="B408" s="1"/>
      <c r="C408" s="7"/>
      <c r="D408" s="7"/>
      <c r="E408" s="7"/>
      <c r="F408" s="7"/>
      <c r="G408" s="9"/>
      <c r="H408" s="19"/>
    </row>
    <row r="409" spans="1:8">
      <c r="A409" s="17"/>
      <c r="B409" s="1"/>
      <c r="C409" s="7"/>
      <c r="D409" s="7"/>
      <c r="E409" s="7"/>
      <c r="F409" s="7"/>
      <c r="G409" s="9"/>
      <c r="H409" s="19"/>
    </row>
    <row r="410" spans="1:8">
      <c r="A410" s="17"/>
      <c r="B410" s="1"/>
      <c r="C410" s="7"/>
      <c r="D410" s="7"/>
      <c r="E410" s="7"/>
      <c r="F410" s="7"/>
      <c r="G410" s="9"/>
      <c r="H410" s="19"/>
    </row>
    <row r="411" spans="1:8">
      <c r="A411" s="17"/>
      <c r="B411" s="1"/>
      <c r="C411" s="7"/>
      <c r="D411" s="7"/>
      <c r="E411" s="7"/>
      <c r="F411" s="7"/>
      <c r="G411" s="9"/>
      <c r="H411" s="19"/>
    </row>
    <row r="412" spans="1:8">
      <c r="A412" s="17"/>
      <c r="B412" s="1"/>
      <c r="C412" s="7"/>
      <c r="D412" s="7"/>
      <c r="E412" s="7"/>
      <c r="F412" s="7"/>
      <c r="G412" s="9"/>
      <c r="H412" s="19"/>
    </row>
    <row r="413" spans="1:8">
      <c r="A413" s="17"/>
      <c r="B413" s="1"/>
      <c r="C413" s="7"/>
      <c r="D413" s="7"/>
      <c r="E413" s="7"/>
      <c r="F413" s="7"/>
      <c r="G413" s="9"/>
      <c r="H413" s="19"/>
    </row>
    <row r="414" spans="1:8">
      <c r="A414" s="17"/>
      <c r="B414" s="1"/>
      <c r="C414" s="7"/>
      <c r="D414" s="7"/>
      <c r="E414" s="7"/>
      <c r="F414" s="7"/>
      <c r="G414" s="9"/>
      <c r="H414" s="19"/>
    </row>
    <row r="415" spans="1:8">
      <c r="A415" s="17"/>
      <c r="B415" s="1"/>
      <c r="C415" s="7"/>
      <c r="D415" s="7"/>
      <c r="E415" s="7"/>
      <c r="F415" s="7"/>
      <c r="G415" s="9"/>
      <c r="H415" s="19"/>
    </row>
    <row r="416" spans="1:8">
      <c r="A416" s="17"/>
      <c r="B416" s="1"/>
      <c r="C416" s="7"/>
      <c r="D416" s="7"/>
      <c r="E416" s="7"/>
      <c r="F416" s="7"/>
      <c r="G416" s="9"/>
      <c r="H416" s="19"/>
    </row>
    <row r="417" spans="1:8">
      <c r="A417" s="17"/>
      <c r="B417" s="1"/>
      <c r="C417" s="7"/>
      <c r="D417" s="7"/>
      <c r="E417" s="7"/>
      <c r="F417" s="7"/>
      <c r="G417" s="9"/>
      <c r="H417" s="19"/>
    </row>
    <row r="418" spans="1:8">
      <c r="A418" s="17"/>
      <c r="B418" s="1"/>
      <c r="C418" s="7"/>
      <c r="D418" s="7"/>
      <c r="E418" s="7"/>
      <c r="F418" s="7"/>
      <c r="G418" s="9"/>
      <c r="H418" s="19"/>
    </row>
    <row r="419" spans="1:8">
      <c r="A419" s="17"/>
      <c r="B419" s="1"/>
      <c r="C419" s="7"/>
      <c r="D419" s="7"/>
      <c r="E419" s="7"/>
      <c r="F419" s="7"/>
      <c r="G419" s="9"/>
      <c r="H419" s="19"/>
    </row>
    <row r="420" spans="1:8">
      <c r="A420" s="17"/>
      <c r="B420" s="1"/>
      <c r="C420" s="7"/>
      <c r="D420" s="7"/>
      <c r="E420" s="7"/>
      <c r="F420" s="7"/>
      <c r="G420" s="9"/>
      <c r="H420" s="19"/>
    </row>
    <row r="421" spans="1:8" ht="15.75" thickBot="1">
      <c r="A421" s="47" t="s">
        <v>33</v>
      </c>
      <c r="B421" s="48"/>
      <c r="C421" s="49">
        <f>SUM(C4:C420)</f>
        <v>98860</v>
      </c>
      <c r="D421" s="50"/>
      <c r="E421" s="50"/>
      <c r="F421" s="50"/>
      <c r="G421" s="50"/>
      <c r="H421" s="51"/>
    </row>
    <row r="422" spans="1:8">
      <c r="A422" s="52"/>
      <c r="B422" s="52"/>
      <c r="C422" s="52"/>
      <c r="D422" s="52"/>
      <c r="E422" s="52"/>
      <c r="F422" s="52"/>
      <c r="G422" s="52"/>
      <c r="H422" s="53"/>
    </row>
    <row r="423" spans="1:8">
      <c r="A423" s="52"/>
      <c r="B423" s="52"/>
      <c r="C423" s="52"/>
      <c r="D423" s="52"/>
      <c r="E423" s="52"/>
      <c r="F423" s="52"/>
      <c r="G423" s="52"/>
      <c r="H423" s="53"/>
    </row>
    <row r="424" spans="1:8">
      <c r="A424" s="52"/>
      <c r="B424" s="52"/>
      <c r="C424" s="52"/>
      <c r="D424" s="52"/>
      <c r="E424" s="52"/>
      <c r="F424" s="52"/>
      <c r="G424" s="52"/>
      <c r="H424" s="53"/>
    </row>
    <row r="425" spans="1:8">
      <c r="A425" s="52"/>
      <c r="B425" s="52"/>
      <c r="C425" s="52"/>
      <c r="D425" s="52"/>
      <c r="E425" s="52"/>
      <c r="F425" s="52"/>
      <c r="G425" s="52"/>
      <c r="H425" s="53"/>
    </row>
    <row r="426" spans="1:8">
      <c r="A426" s="52"/>
      <c r="B426" s="52"/>
      <c r="C426" s="52"/>
      <c r="D426" s="52"/>
      <c r="E426" s="52"/>
      <c r="F426" s="52"/>
      <c r="G426" s="52"/>
      <c r="H426" s="53"/>
    </row>
    <row r="427" spans="1:8">
      <c r="A427" s="52"/>
      <c r="B427" s="52"/>
      <c r="C427" s="52"/>
      <c r="D427" s="52"/>
      <c r="E427" s="52"/>
      <c r="F427" s="52"/>
      <c r="G427" s="52"/>
      <c r="H427" s="53"/>
    </row>
    <row r="428" spans="1:8">
      <c r="A428" s="52"/>
      <c r="B428" s="52"/>
      <c r="C428" s="52"/>
      <c r="D428" s="52"/>
      <c r="E428" s="52"/>
      <c r="F428" s="52"/>
      <c r="G428" s="52"/>
      <c r="H428" s="53"/>
    </row>
    <row r="429" spans="1:8">
      <c r="A429" s="52"/>
      <c r="B429" s="52"/>
      <c r="C429" s="52"/>
      <c r="D429" s="52"/>
      <c r="E429" s="52"/>
      <c r="F429" s="52"/>
      <c r="G429" s="52"/>
      <c r="H429" s="53"/>
    </row>
    <row r="430" spans="1:8">
      <c r="A430" s="52"/>
      <c r="B430" s="52"/>
      <c r="C430" s="52"/>
      <c r="D430" s="52"/>
      <c r="E430" s="52"/>
      <c r="F430" s="52"/>
      <c r="G430" s="52"/>
      <c r="H430" s="53"/>
    </row>
    <row r="431" spans="1:8">
      <c r="A431" s="52"/>
      <c r="B431" s="52"/>
      <c r="C431" s="52"/>
      <c r="D431" s="52"/>
      <c r="E431" s="52"/>
      <c r="F431" s="52"/>
      <c r="G431" s="52"/>
      <c r="H431" s="53"/>
    </row>
    <row r="432" spans="1:8">
      <c r="A432" s="52"/>
      <c r="B432" s="52"/>
      <c r="C432" s="52"/>
      <c r="D432" s="52"/>
      <c r="E432" s="52"/>
      <c r="F432" s="52"/>
      <c r="G432" s="52"/>
      <c r="H432" s="53"/>
    </row>
    <row r="433" spans="1:8">
      <c r="A433" s="52"/>
      <c r="B433" s="52"/>
      <c r="C433" s="52"/>
      <c r="D433" s="52"/>
      <c r="E433" s="52"/>
      <c r="F433" s="52"/>
      <c r="G433" s="52"/>
      <c r="H433" s="53"/>
    </row>
    <row r="434" spans="1:8">
      <c r="A434" s="52"/>
      <c r="B434" s="52"/>
      <c r="C434" s="52"/>
      <c r="D434" s="52"/>
      <c r="E434" s="52"/>
      <c r="F434" s="52"/>
      <c r="G434" s="52"/>
      <c r="H434" s="53"/>
    </row>
    <row r="435" spans="1:8">
      <c r="A435" s="52"/>
      <c r="B435" s="52"/>
      <c r="C435" s="52"/>
      <c r="D435" s="52"/>
      <c r="E435" s="52"/>
      <c r="F435" s="52"/>
      <c r="G435" s="52"/>
      <c r="H435" s="53"/>
    </row>
    <row r="436" spans="1:8">
      <c r="A436" s="52"/>
      <c r="B436" s="52"/>
      <c r="C436" s="52"/>
      <c r="D436" s="52"/>
      <c r="E436" s="52"/>
      <c r="F436" s="52"/>
      <c r="G436" s="52"/>
      <c r="H436" s="53"/>
    </row>
    <row r="437" spans="1:8">
      <c r="A437" s="52"/>
      <c r="B437" s="52"/>
      <c r="C437" s="52"/>
      <c r="D437" s="52"/>
      <c r="E437" s="52"/>
      <c r="F437" s="52"/>
      <c r="G437" s="52"/>
      <c r="H437" s="53"/>
    </row>
    <row r="438" spans="1:8">
      <c r="A438" s="52"/>
      <c r="B438" s="52"/>
      <c r="C438" s="52"/>
      <c r="D438" s="52"/>
      <c r="E438" s="52"/>
      <c r="F438" s="52"/>
      <c r="G438" s="52"/>
      <c r="H438" s="53"/>
    </row>
    <row r="439" spans="1:8">
      <c r="A439" s="52"/>
      <c r="B439" s="52"/>
      <c r="C439" s="52"/>
      <c r="D439" s="52"/>
      <c r="E439" s="52"/>
      <c r="F439" s="52"/>
      <c r="G439" s="52"/>
      <c r="H439" s="53"/>
    </row>
    <row r="440" spans="1:8">
      <c r="A440" s="52"/>
      <c r="B440" s="52"/>
      <c r="C440" s="52"/>
      <c r="D440" s="52"/>
      <c r="E440" s="52"/>
      <c r="F440" s="52"/>
      <c r="G440" s="52"/>
      <c r="H440" s="53"/>
    </row>
    <row r="441" spans="1:8">
      <c r="A441" s="52"/>
      <c r="B441" s="52"/>
      <c r="C441" s="52"/>
      <c r="D441" s="52"/>
      <c r="E441" s="52"/>
      <c r="F441" s="52"/>
      <c r="G441" s="52"/>
      <c r="H441" s="53"/>
    </row>
    <row r="442" spans="1:8">
      <c r="A442" s="52"/>
      <c r="B442" s="52"/>
      <c r="C442" s="52"/>
      <c r="D442" s="52"/>
      <c r="E442" s="52"/>
      <c r="F442" s="52"/>
      <c r="G442" s="52"/>
      <c r="H442" s="53"/>
    </row>
    <row r="443" spans="1:8">
      <c r="A443" s="52"/>
      <c r="B443" s="52"/>
      <c r="C443" s="52"/>
      <c r="D443" s="52"/>
      <c r="E443" s="52"/>
      <c r="F443" s="52"/>
      <c r="G443" s="52"/>
      <c r="H443" s="53"/>
    </row>
    <row r="444" spans="1:8">
      <c r="A444" s="52"/>
      <c r="B444" s="52"/>
      <c r="C444" s="52"/>
      <c r="D444" s="52"/>
      <c r="E444" s="52"/>
      <c r="F444" s="52"/>
      <c r="G444" s="52"/>
      <c r="H444" s="53"/>
    </row>
    <row r="445" spans="1:8">
      <c r="A445" s="52"/>
      <c r="B445" s="52"/>
      <c r="C445" s="52"/>
      <c r="D445" s="52"/>
      <c r="E445" s="52"/>
      <c r="F445" s="52"/>
      <c r="G445" s="52"/>
      <c r="H445" s="53"/>
    </row>
    <row r="446" spans="1:8">
      <c r="A446" s="52"/>
      <c r="B446" s="52"/>
      <c r="C446" s="52"/>
      <c r="D446" s="52"/>
      <c r="E446" s="52"/>
      <c r="F446" s="52"/>
      <c r="G446" s="52"/>
      <c r="H446" s="53"/>
    </row>
    <row r="447" spans="1:8">
      <c r="A447" s="52"/>
      <c r="B447" s="52"/>
      <c r="C447" s="52"/>
      <c r="D447" s="52"/>
      <c r="E447" s="52"/>
      <c r="F447" s="52"/>
      <c r="G447" s="52"/>
      <c r="H447" s="53"/>
    </row>
    <row r="448" spans="1:8">
      <c r="A448" s="52"/>
      <c r="B448" s="52"/>
      <c r="C448" s="52"/>
      <c r="D448" s="52"/>
      <c r="E448" s="52"/>
      <c r="F448" s="52"/>
      <c r="G448" s="52"/>
      <c r="H448" s="53"/>
    </row>
    <row r="449" spans="1:8">
      <c r="A449" s="52"/>
      <c r="B449" s="52"/>
      <c r="C449" s="52"/>
      <c r="D449" s="52"/>
      <c r="E449" s="52"/>
      <c r="F449" s="52"/>
      <c r="G449" s="52"/>
      <c r="H449" s="53"/>
    </row>
    <row r="450" spans="1:8">
      <c r="A450" s="52"/>
      <c r="B450" s="52"/>
      <c r="C450" s="52"/>
      <c r="D450" s="52"/>
      <c r="E450" s="52"/>
      <c r="F450" s="52"/>
      <c r="G450" s="52"/>
      <c r="H450" s="53"/>
    </row>
    <row r="451" spans="1:8">
      <c r="A451" s="52"/>
      <c r="B451" s="52"/>
      <c r="C451" s="52"/>
      <c r="D451" s="52"/>
      <c r="E451" s="52"/>
      <c r="F451" s="52"/>
      <c r="G451" s="52"/>
      <c r="H451" s="53"/>
    </row>
    <row r="452" spans="1:8">
      <c r="A452" s="52"/>
      <c r="B452" s="52"/>
      <c r="C452" s="52"/>
      <c r="D452" s="52"/>
      <c r="E452" s="52"/>
      <c r="F452" s="52"/>
      <c r="G452" s="52"/>
      <c r="H452" s="53"/>
    </row>
    <row r="453" spans="1:8">
      <c r="A453" s="52"/>
      <c r="B453" s="52"/>
      <c r="C453" s="52"/>
      <c r="D453" s="52"/>
      <c r="E453" s="52"/>
      <c r="F453" s="52"/>
      <c r="G453" s="52"/>
      <c r="H453" s="53"/>
    </row>
    <row r="454" spans="1:8">
      <c r="A454" s="52"/>
      <c r="B454" s="52"/>
      <c r="C454" s="52"/>
      <c r="D454" s="52"/>
      <c r="E454" s="52"/>
      <c r="F454" s="52"/>
      <c r="G454" s="52"/>
      <c r="H454" s="53"/>
    </row>
    <row r="455" spans="1:8">
      <c r="A455" s="52"/>
      <c r="B455" s="52"/>
      <c r="C455" s="52"/>
      <c r="D455" s="52"/>
      <c r="E455" s="52"/>
      <c r="F455" s="52"/>
      <c r="G455" s="52"/>
      <c r="H455" s="53"/>
    </row>
    <row r="456" spans="1:8">
      <c r="A456" s="52"/>
      <c r="B456" s="52"/>
      <c r="C456" s="52"/>
      <c r="D456" s="52"/>
      <c r="E456" s="52"/>
      <c r="F456" s="52"/>
      <c r="G456" s="52"/>
      <c r="H456" s="53"/>
    </row>
    <row r="457" spans="1:8">
      <c r="A457" s="52"/>
      <c r="B457" s="52"/>
      <c r="C457" s="52"/>
      <c r="D457" s="52"/>
      <c r="E457" s="52"/>
      <c r="F457" s="52"/>
      <c r="G457" s="52"/>
      <c r="H457" s="53"/>
    </row>
    <row r="458" spans="1:8">
      <c r="A458" s="52"/>
      <c r="B458" s="52"/>
      <c r="C458" s="52"/>
      <c r="D458" s="52"/>
      <c r="E458" s="52"/>
      <c r="F458" s="52"/>
      <c r="G458" s="52"/>
      <c r="H458" s="53"/>
    </row>
    <row r="459" spans="1:8">
      <c r="A459" s="52"/>
      <c r="B459" s="52"/>
      <c r="C459" s="52"/>
      <c r="D459" s="52"/>
      <c r="E459" s="52"/>
      <c r="F459" s="52"/>
      <c r="G459" s="52"/>
      <c r="H459" s="53"/>
    </row>
  </sheetData>
  <mergeCells count="187">
    <mergeCell ref="A361:A364"/>
    <mergeCell ref="G362:G364"/>
    <mergeCell ref="H362:H364"/>
    <mergeCell ref="A366:A369"/>
    <mergeCell ref="G367:G369"/>
    <mergeCell ref="H367:H369"/>
    <mergeCell ref="A371:A375"/>
    <mergeCell ref="G372:G375"/>
    <mergeCell ref="H372:H375"/>
    <mergeCell ref="A323:A327"/>
    <mergeCell ref="G324:G327"/>
    <mergeCell ref="H324:H327"/>
    <mergeCell ref="A329:A335"/>
    <mergeCell ref="G330:G335"/>
    <mergeCell ref="H330:H335"/>
    <mergeCell ref="A307:A311"/>
    <mergeCell ref="G308:G311"/>
    <mergeCell ref="H308:H311"/>
    <mergeCell ref="A313:A316"/>
    <mergeCell ref="G314:G316"/>
    <mergeCell ref="H314:H316"/>
    <mergeCell ref="A318:A321"/>
    <mergeCell ref="G319:G321"/>
    <mergeCell ref="H319:H321"/>
    <mergeCell ref="A236:A239"/>
    <mergeCell ref="G237:G239"/>
    <mergeCell ref="H237:H239"/>
    <mergeCell ref="A241:A245"/>
    <mergeCell ref="G242:G245"/>
    <mergeCell ref="H242:H245"/>
    <mergeCell ref="A225:A229"/>
    <mergeCell ref="G226:G229"/>
    <mergeCell ref="H226:H229"/>
    <mergeCell ref="A231:A234"/>
    <mergeCell ref="G232:G234"/>
    <mergeCell ref="H232:H234"/>
    <mergeCell ref="A213:A217"/>
    <mergeCell ref="G214:G217"/>
    <mergeCell ref="H214:H217"/>
    <mergeCell ref="A220:A223"/>
    <mergeCell ref="G221:G223"/>
    <mergeCell ref="H221:H223"/>
    <mergeCell ref="A202:A206"/>
    <mergeCell ref="G203:G206"/>
    <mergeCell ref="H203:H206"/>
    <mergeCell ref="A208:A211"/>
    <mergeCell ref="G209:G211"/>
    <mergeCell ref="H209:H211"/>
    <mergeCell ref="A90:A96"/>
    <mergeCell ref="G91:G96"/>
    <mergeCell ref="H91:H96"/>
    <mergeCell ref="A78:A82"/>
    <mergeCell ref="G79:G82"/>
    <mergeCell ref="H79:H82"/>
    <mergeCell ref="A84:A88"/>
    <mergeCell ref="G85:G88"/>
    <mergeCell ref="H85:H88"/>
    <mergeCell ref="A63:A69"/>
    <mergeCell ref="G64:G69"/>
    <mergeCell ref="H64:H69"/>
    <mergeCell ref="A71:A75"/>
    <mergeCell ref="G72:G75"/>
    <mergeCell ref="H72:H75"/>
    <mergeCell ref="A51:A55"/>
    <mergeCell ref="G52:G55"/>
    <mergeCell ref="H52:H55"/>
    <mergeCell ref="A57:A61"/>
    <mergeCell ref="G58:G61"/>
    <mergeCell ref="H58:H61"/>
    <mergeCell ref="A38:A42"/>
    <mergeCell ref="G39:G42"/>
    <mergeCell ref="H39:H42"/>
    <mergeCell ref="A45:A49"/>
    <mergeCell ref="G46:G49"/>
    <mergeCell ref="H46:H49"/>
    <mergeCell ref="A26:A30"/>
    <mergeCell ref="G27:G30"/>
    <mergeCell ref="H27:H30"/>
    <mergeCell ref="A32:A36"/>
    <mergeCell ref="G33:G36"/>
    <mergeCell ref="H33:H36"/>
    <mergeCell ref="A18:A22"/>
    <mergeCell ref="G19:G22"/>
    <mergeCell ref="H19:H22"/>
    <mergeCell ref="A1:H1"/>
    <mergeCell ref="A2:A3"/>
    <mergeCell ref="B2:B3"/>
    <mergeCell ref="C2:C3"/>
    <mergeCell ref="D2:E2"/>
    <mergeCell ref="F2:F3"/>
    <mergeCell ref="G2:H2"/>
    <mergeCell ref="A5:A9"/>
    <mergeCell ref="G6:G9"/>
    <mergeCell ref="H6:H9"/>
    <mergeCell ref="A13:A16"/>
    <mergeCell ref="G14:G16"/>
    <mergeCell ref="H14:H16"/>
    <mergeCell ref="A99:A102"/>
    <mergeCell ref="G100:G102"/>
    <mergeCell ref="H100:H102"/>
    <mergeCell ref="A104:A108"/>
    <mergeCell ref="G105:G108"/>
    <mergeCell ref="H105:H108"/>
    <mergeCell ref="A111:A115"/>
    <mergeCell ref="G112:G115"/>
    <mergeCell ref="H112:H115"/>
    <mergeCell ref="A117:A120"/>
    <mergeCell ref="G118:G120"/>
    <mergeCell ref="H118:H120"/>
    <mergeCell ref="A122:A126"/>
    <mergeCell ref="G123:G126"/>
    <mergeCell ref="H123:H126"/>
    <mergeCell ref="A128:A132"/>
    <mergeCell ref="G129:G132"/>
    <mergeCell ref="H129:H132"/>
    <mergeCell ref="A134:A138"/>
    <mergeCell ref="G135:G138"/>
    <mergeCell ref="H135:H138"/>
    <mergeCell ref="A140:A144"/>
    <mergeCell ref="G141:G144"/>
    <mergeCell ref="H141:H144"/>
    <mergeCell ref="A147:A151"/>
    <mergeCell ref="G148:G151"/>
    <mergeCell ref="H148:H151"/>
    <mergeCell ref="A153:A156"/>
    <mergeCell ref="G154:G156"/>
    <mergeCell ref="H154:H156"/>
    <mergeCell ref="A158:A161"/>
    <mergeCell ref="G159:G161"/>
    <mergeCell ref="H159:H161"/>
    <mergeCell ref="A163:A167"/>
    <mergeCell ref="G164:G167"/>
    <mergeCell ref="H164:H167"/>
    <mergeCell ref="A169:A175"/>
    <mergeCell ref="G170:G175"/>
    <mergeCell ref="H170:H175"/>
    <mergeCell ref="A178:A182"/>
    <mergeCell ref="G179:G182"/>
    <mergeCell ref="H179:H182"/>
    <mergeCell ref="A195:A199"/>
    <mergeCell ref="G196:G199"/>
    <mergeCell ref="H196:H199"/>
    <mergeCell ref="A184:A188"/>
    <mergeCell ref="G185:G188"/>
    <mergeCell ref="H185:H188"/>
    <mergeCell ref="A190:A193"/>
    <mergeCell ref="G191:G193"/>
    <mergeCell ref="H191:H193"/>
    <mergeCell ref="A248:A252"/>
    <mergeCell ref="G249:G252"/>
    <mergeCell ref="H249:H252"/>
    <mergeCell ref="A254:A258"/>
    <mergeCell ref="G255:G258"/>
    <mergeCell ref="H255:H258"/>
    <mergeCell ref="A260:A266"/>
    <mergeCell ref="G261:G266"/>
    <mergeCell ref="H261:H266"/>
    <mergeCell ref="A269:A273"/>
    <mergeCell ref="G270:G273"/>
    <mergeCell ref="H270:H273"/>
    <mergeCell ref="A275:A279"/>
    <mergeCell ref="G276:G279"/>
    <mergeCell ref="H276:H279"/>
    <mergeCell ref="A281:A287"/>
    <mergeCell ref="G282:G287"/>
    <mergeCell ref="H282:H287"/>
    <mergeCell ref="A290:A293"/>
    <mergeCell ref="G291:G293"/>
    <mergeCell ref="H291:H293"/>
    <mergeCell ref="A295:A298"/>
    <mergeCell ref="G296:G298"/>
    <mergeCell ref="H296:H298"/>
    <mergeCell ref="A300:A304"/>
    <mergeCell ref="G301:G304"/>
    <mergeCell ref="H301:H304"/>
    <mergeCell ref="A354:A358"/>
    <mergeCell ref="G355:G358"/>
    <mergeCell ref="H355:H358"/>
    <mergeCell ref="A338:A342"/>
    <mergeCell ref="G339:G342"/>
    <mergeCell ref="H339:H342"/>
    <mergeCell ref="A344:A347"/>
    <mergeCell ref="G345:G347"/>
    <mergeCell ref="H345:H347"/>
    <mergeCell ref="A349:A352"/>
    <mergeCell ref="G350:G352"/>
    <mergeCell ref="H350:H35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2020-21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pataka</dc:creator>
  <cp:lastModifiedBy>pataka</cp:lastModifiedBy>
  <cp:lastPrinted>2017-07-12T06:27:10Z</cp:lastPrinted>
  <dcterms:created xsi:type="dcterms:W3CDTF">2017-07-12T05:59:20Z</dcterms:created>
  <dcterms:modified xsi:type="dcterms:W3CDTF">2021-04-23T05:37:41Z</dcterms:modified>
</cp:coreProperties>
</file>