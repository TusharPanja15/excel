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20" yWindow="-120" windowWidth="20730" windowHeight="11160"/>
  </bookViews>
  <sheets>
    <sheet name="April 2021-22" sheetId="25" r:id="rId1"/>
    <sheet name="May 2021" sheetId="26" r:id="rId2"/>
    <sheet name="June 2021" sheetId="27" r:id="rId3"/>
  </sheets>
  <externalReferences>
    <externalReference r:id="rId4"/>
  </externalReferences>
  <definedNames>
    <definedName name="_xlnm._FilterDatabase" localSheetId="0" hidden="1">'April 2021-22'!$A$2:$O$43</definedName>
    <definedName name="_xlnm._FilterDatabase" localSheetId="2" hidden="1">'June 2021'!$A$2:$O$43</definedName>
    <definedName name="_xlnm._FilterDatabase" localSheetId="1" hidden="1">'May 2021'!$A$2:$O$43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25" i="27"/>
  <c r="N18"/>
  <c r="N21" s="1"/>
  <c r="N28"/>
  <c r="N11"/>
  <c r="N32"/>
  <c r="N4"/>
  <c r="N14"/>
  <c r="J48"/>
  <c r="G48"/>
  <c r="N35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K36" s="1"/>
  <c r="K37" s="1"/>
  <c r="K38" s="1"/>
  <c r="K39" s="1"/>
  <c r="K40" s="1"/>
  <c r="K41" s="1"/>
  <c r="K42" s="1"/>
  <c r="K43" s="1"/>
  <c r="K44" s="1"/>
  <c r="K45" s="1"/>
  <c r="K46" s="1"/>
  <c r="K47" s="1"/>
  <c r="N11" i="26"/>
  <c r="N5" i="27" l="1"/>
  <c r="N7" s="1"/>
  <c r="N32" i="26"/>
  <c r="N35" s="1"/>
  <c r="N25"/>
  <c r="N28" s="1"/>
  <c r="N18"/>
  <c r="N21" s="1"/>
  <c r="N14"/>
  <c r="J48" l="1"/>
  <c r="G48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K36" s="1"/>
  <c r="K37" s="1"/>
  <c r="K38" s="1"/>
  <c r="K39" s="1"/>
  <c r="K40" s="1"/>
  <c r="K41" s="1"/>
  <c r="K42" s="1"/>
  <c r="K43" s="1"/>
  <c r="K44" s="1"/>
  <c r="K45" s="1"/>
  <c r="K46" s="1"/>
  <c r="K47" s="1"/>
  <c r="O4" i="25"/>
  <c r="M10"/>
  <c r="N14" s="1"/>
  <c r="N19"/>
  <c r="M17"/>
  <c r="N21" s="1"/>
  <c r="N5" i="26" l="1"/>
  <c r="M31" i="25"/>
  <c r="N35" s="1"/>
  <c r="N33"/>
  <c r="N12" l="1"/>
  <c r="J48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K36" s="1"/>
  <c r="K37" s="1"/>
  <c r="K38" s="1"/>
  <c r="K39" s="1"/>
  <c r="K40" s="1"/>
  <c r="K41" s="1"/>
  <c r="K42" s="1"/>
  <c r="K43" s="1"/>
  <c r="K44" s="1"/>
  <c r="K45" s="1"/>
  <c r="K46" s="1"/>
  <c r="K47" s="1"/>
  <c r="G48"/>
  <c r="O5" l="1"/>
  <c r="O7" s="1"/>
  <c r="N4" i="26" l="1"/>
  <c r="N7" s="1"/>
</calcChain>
</file>

<file path=xl/sharedStrings.xml><?xml version="1.0" encoding="utf-8"?>
<sst xmlns="http://schemas.openxmlformats.org/spreadsheetml/2006/main" count="250" uniqueCount="86">
  <si>
    <t>PARTICULAR</t>
  </si>
  <si>
    <t>INVOICE NO.</t>
  </si>
  <si>
    <t>DATE OF ARRIVAL</t>
  </si>
  <si>
    <t>RECEPIT QUANTITY</t>
  </si>
  <si>
    <t>ISSUED FOR BLEND</t>
  </si>
  <si>
    <t>CLOSING  STOCK</t>
  </si>
  <si>
    <t>INVOICE DATE</t>
  </si>
  <si>
    <t>BLAND NO.</t>
  </si>
  <si>
    <t>PART NO.</t>
  </si>
  <si>
    <t>Opening Stock</t>
  </si>
  <si>
    <t>Less</t>
  </si>
  <si>
    <t>Deff</t>
  </si>
  <si>
    <t>Bt.</t>
  </si>
  <si>
    <t>Dk.</t>
  </si>
  <si>
    <t>E-Way Bill No.</t>
  </si>
  <si>
    <t>Truck No.</t>
  </si>
  <si>
    <t>GML-07</t>
  </si>
  <si>
    <t>5 Kg-14</t>
  </si>
  <si>
    <t>01.04.2021</t>
  </si>
  <si>
    <t>02.04.2021</t>
  </si>
  <si>
    <t>Issued For Blend</t>
  </si>
  <si>
    <t>Part no.03</t>
  </si>
  <si>
    <t>Part no.01</t>
  </si>
  <si>
    <t>Gsl-1</t>
  </si>
  <si>
    <t>Part no.02</t>
  </si>
  <si>
    <t>Part no.04</t>
  </si>
  <si>
    <t>Part no.05</t>
  </si>
  <si>
    <t>03.04.2021</t>
  </si>
  <si>
    <t>07.04.2021</t>
  </si>
  <si>
    <t>08.04.2021</t>
  </si>
  <si>
    <t>09.04.2021</t>
  </si>
  <si>
    <t>16.04.2021</t>
  </si>
  <si>
    <t>17.04.2021</t>
  </si>
  <si>
    <t>Gsl-2</t>
  </si>
  <si>
    <t>21.04.2021</t>
  </si>
  <si>
    <t>23.04.2021</t>
  </si>
  <si>
    <t>24.04.2021</t>
  </si>
  <si>
    <t>26.04.2021</t>
  </si>
  <si>
    <t>Part no. 02</t>
  </si>
  <si>
    <t>5Kg-01</t>
  </si>
  <si>
    <t>29.04.2021</t>
  </si>
  <si>
    <t>GPL-01</t>
  </si>
  <si>
    <t>Gpl-1</t>
  </si>
  <si>
    <t>Gsl-3</t>
  </si>
  <si>
    <t>GSL-3</t>
  </si>
  <si>
    <t>Total Quantity</t>
  </si>
  <si>
    <t>Quantity per part</t>
  </si>
  <si>
    <t>Total parts used</t>
  </si>
  <si>
    <t>Remaining Quantity</t>
  </si>
  <si>
    <t>Gpl-01</t>
  </si>
  <si>
    <t>BLEND NO.</t>
  </si>
  <si>
    <t>03.05.2021</t>
  </si>
  <si>
    <t>01.05.2021</t>
  </si>
  <si>
    <t>Part no. 03</t>
  </si>
  <si>
    <t>04.05.2021</t>
  </si>
  <si>
    <t>Part no. 04</t>
  </si>
  <si>
    <t>05.05.2021</t>
  </si>
  <si>
    <t>06.05.2021</t>
  </si>
  <si>
    <t>07.05.2021</t>
  </si>
  <si>
    <t>12.05.2021</t>
  </si>
  <si>
    <t>Gml-1</t>
  </si>
  <si>
    <t>Gml-01</t>
  </si>
  <si>
    <t>17.05.2021</t>
  </si>
  <si>
    <t>Gsl-4</t>
  </si>
  <si>
    <t>Gsl-04</t>
  </si>
  <si>
    <t>18.05.2021</t>
  </si>
  <si>
    <t>Part no. 05</t>
  </si>
  <si>
    <t>27.05.2021</t>
  </si>
  <si>
    <t>01.06.2021</t>
  </si>
  <si>
    <t>ORIGINAL TEA STOCK REGISTER FOR THE MONTH OF JUNE 2021</t>
  </si>
  <si>
    <t>TOTAL FOR THE MONTH OF JUNE 2021</t>
  </si>
  <si>
    <t>ORIGINAL TEA STOCK REGISTER FOR THE MONTH OF MAY 2021</t>
  </si>
  <si>
    <t>TOTAL FOR THE MONTH OF MAY2021</t>
  </si>
  <si>
    <t>TOTAL FOR THE MONTH OF APRIL 2021</t>
  </si>
  <si>
    <t>ORIGINAL TEA STOCK REGISTER FOR THE MONTH OF APRIL 2021</t>
  </si>
  <si>
    <t>03.06.2021</t>
  </si>
  <si>
    <t>5Kg-02</t>
  </si>
  <si>
    <t>Part no. 01</t>
  </si>
  <si>
    <t>04.06.2021</t>
  </si>
  <si>
    <t>05.06.2021</t>
  </si>
  <si>
    <t>07.06.2021</t>
  </si>
  <si>
    <t>Gsl-5</t>
  </si>
  <si>
    <t>Gsl-05</t>
  </si>
  <si>
    <t>09.06.2021</t>
  </si>
  <si>
    <t>12.06.2021</t>
  </si>
  <si>
    <t>15.06.2021</t>
  </si>
</sst>
</file>

<file path=xl/styles.xml><?xml version="1.0" encoding="utf-8"?>
<styleSheet xmlns="http://schemas.openxmlformats.org/spreadsheetml/2006/main">
  <numFmts count="1">
    <numFmt numFmtId="164" formatCode="0.0"/>
  </numFmts>
  <fonts count="9">
    <font>
      <sz val="11"/>
      <color theme="1"/>
      <name val="Calibri"/>
      <family val="2"/>
      <scheme val="minor"/>
    </font>
    <font>
      <b/>
      <i/>
      <sz val="18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3" fillId="0" borderId="4" xfId="0" applyNumberFormat="1" applyFont="1" applyBorder="1" applyAlignment="1">
      <alignment vertical="center"/>
    </xf>
    <xf numFmtId="2" fontId="3" fillId="0" borderId="2" xfId="0" applyNumberFormat="1" applyFont="1" applyBorder="1" applyAlignment="1">
      <alignment horizontal="right" vertical="center"/>
    </xf>
    <xf numFmtId="0" fontId="3" fillId="0" borderId="14" xfId="0" applyNumberFormat="1" applyFont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164" fontId="4" fillId="0" borderId="11" xfId="0" applyNumberFormat="1" applyFont="1" applyBorder="1" applyAlignment="1">
      <alignment horizontal="right"/>
    </xf>
    <xf numFmtId="0" fontId="4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2" fontId="4" fillId="0" borderId="1" xfId="0" applyNumberFormat="1" applyFont="1" applyBorder="1" applyAlignment="1">
      <alignment horizontal="right"/>
    </xf>
    <xf numFmtId="2" fontId="4" fillId="0" borderId="5" xfId="0" applyNumberFormat="1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2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2" fontId="4" fillId="0" borderId="21" xfId="0" applyNumberFormat="1" applyFont="1" applyBorder="1" applyAlignment="1">
      <alignment horizontal="right"/>
    </xf>
    <xf numFmtId="2" fontId="4" fillId="0" borderId="11" xfId="0" applyNumberFormat="1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4" fillId="0" borderId="21" xfId="0" applyFont="1" applyBorder="1" applyAlignment="1">
      <alignment horizontal="right"/>
    </xf>
    <xf numFmtId="0" fontId="4" fillId="0" borderId="17" xfId="0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2" fontId="4" fillId="0" borderId="11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/>
    </xf>
    <xf numFmtId="0" fontId="4" fillId="0" borderId="22" xfId="0" applyFont="1" applyBorder="1" applyAlignment="1">
      <alignment horizontal="right"/>
    </xf>
    <xf numFmtId="2" fontId="4" fillId="0" borderId="2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0" fontId="4" fillId="0" borderId="15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4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4" fillId="0" borderId="9" xfId="0" applyFont="1" applyBorder="1" applyAlignment="1">
      <alignment horizontal="left"/>
    </xf>
    <xf numFmtId="2" fontId="4" fillId="0" borderId="2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1" fontId="4" fillId="0" borderId="4" xfId="0" applyNumberFormat="1" applyFont="1" applyBorder="1" applyAlignment="1">
      <alignment vertical="center"/>
    </xf>
    <xf numFmtId="1" fontId="4" fillId="0" borderId="2" xfId="0" applyNumberFormat="1" applyFont="1" applyBorder="1" applyAlignment="1">
      <alignment vertical="center"/>
    </xf>
    <xf numFmtId="0" fontId="5" fillId="0" borderId="10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5" fillId="0" borderId="11" xfId="0" applyFont="1" applyBorder="1" applyAlignment="1">
      <alignment horizontal="center"/>
    </xf>
    <xf numFmtId="1" fontId="5" fillId="0" borderId="11" xfId="0" applyNumberFormat="1" applyFont="1" applyBorder="1" applyAlignment="1">
      <alignment horizontal="center"/>
    </xf>
    <xf numFmtId="164" fontId="5" fillId="0" borderId="11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2" fontId="2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0" fillId="2" borderId="23" xfId="0" applyFill="1" applyBorder="1" applyAlignment="1">
      <alignment horizontal="center"/>
    </xf>
    <xf numFmtId="2" fontId="7" fillId="2" borderId="5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7" fillId="0" borderId="0" xfId="0" applyFont="1" applyFill="1" applyAlignment="1">
      <alignment horizontal="center" wrapText="1"/>
    </xf>
    <xf numFmtId="164" fontId="7" fillId="2" borderId="12" xfId="0" applyNumberFormat="1" applyFont="1" applyFill="1" applyBorder="1" applyAlignment="1">
      <alignment horizontal="center" vertical="center" wrapText="1"/>
    </xf>
    <xf numFmtId="2" fontId="7" fillId="2" borderId="8" xfId="0" applyNumberFormat="1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/>
    </xf>
    <xf numFmtId="164" fontId="7" fillId="2" borderId="0" xfId="0" applyNumberFormat="1" applyFont="1" applyFill="1" applyBorder="1" applyAlignment="1">
      <alignment horizontal="center"/>
    </xf>
    <xf numFmtId="1" fontId="7" fillId="2" borderId="0" xfId="0" applyNumberFormat="1" applyFont="1" applyFill="1" applyBorder="1" applyAlignment="1">
      <alignment horizontal="center"/>
    </xf>
    <xf numFmtId="0" fontId="0" fillId="2" borderId="27" xfId="0" applyFill="1" applyBorder="1"/>
    <xf numFmtId="0" fontId="7" fillId="2" borderId="9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8" fillId="2" borderId="24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2" fontId="1" fillId="3" borderId="8" xfId="0" applyNumberFormat="1" applyFont="1" applyFill="1" applyBorder="1" applyAlignment="1">
      <alignment horizontal="center" vertical="center"/>
    </xf>
    <xf numFmtId="2" fontId="1" fillId="3" borderId="13" xfId="0" applyNumberFormat="1" applyFont="1" applyFill="1" applyBorder="1" applyAlignment="1">
      <alignment horizontal="center" vertical="center"/>
    </xf>
    <xf numFmtId="2" fontId="1" fillId="3" borderId="23" xfId="0" applyNumberFormat="1" applyFont="1" applyFill="1" applyBorder="1" applyAlignment="1">
      <alignment horizontal="center" vertical="center"/>
    </xf>
    <xf numFmtId="2" fontId="1" fillId="3" borderId="30" xfId="0" applyNumberFormat="1" applyFont="1" applyFill="1" applyBorder="1" applyAlignment="1">
      <alignment horizontal="center" vertical="center"/>
    </xf>
    <xf numFmtId="2" fontId="2" fillId="3" borderId="8" xfId="0" applyNumberFormat="1" applyFont="1" applyFill="1" applyBorder="1" applyAlignment="1">
      <alignment horizontal="center"/>
    </xf>
    <xf numFmtId="2" fontId="2" fillId="3" borderId="13" xfId="0" applyNumberFormat="1" applyFont="1" applyFill="1" applyBorder="1" applyAlignment="1">
      <alignment horizontal="center"/>
    </xf>
    <xf numFmtId="2" fontId="2" fillId="3" borderId="0" xfId="0" applyNumberFormat="1" applyFont="1" applyFill="1" applyBorder="1" applyAlignment="1">
      <alignment horizontal="center"/>
    </xf>
    <xf numFmtId="2" fontId="2" fillId="3" borderId="29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.K%20STATEMENT%20-2021-2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1-22"/>
      <sheetName val="May 2021"/>
      <sheetName val="June 2021"/>
      <sheetName val="July 2021"/>
      <sheetName val="August 2021"/>
      <sheetName val="September 2021"/>
      <sheetName val="October 2021"/>
    </sheetNames>
    <sheetDataSet>
      <sheetData sheetId="0"/>
      <sheetData sheetId="1">
        <row r="6">
          <cell r="K6">
            <v>454804.3</v>
          </cell>
        </row>
      </sheetData>
      <sheetData sheetId="2">
        <row r="6">
          <cell r="K6">
            <v>363609.8</v>
          </cell>
        </row>
      </sheetData>
      <sheetData sheetId="3"/>
      <sheetData sheetId="4"/>
      <sheetData sheetId="5">
        <row r="6">
          <cell r="K6">
            <v>114072.5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8"/>
  <sheetViews>
    <sheetView tabSelected="1" zoomScaleNormal="100" workbookViewId="0">
      <pane ySplit="2" topLeftCell="A3" activePane="bottomLeft" state="frozen"/>
      <selection pane="bottomLeft" activeCell="A2" sqref="A2"/>
    </sheetView>
  </sheetViews>
  <sheetFormatPr defaultRowHeight="15"/>
  <cols>
    <col min="1" max="1" width="10.140625" style="5" bestFit="1" customWidth="1"/>
    <col min="2" max="2" width="20.85546875" style="5" bestFit="1" customWidth="1"/>
    <col min="3" max="3" width="7.85546875" style="5" bestFit="1" customWidth="1"/>
    <col min="4" max="4" width="14" style="5" customWidth="1"/>
    <col min="5" max="5" width="9.85546875" style="56" customWidth="1"/>
    <col min="6" max="6" width="17.5703125" style="5" bestFit="1" customWidth="1"/>
    <col min="7" max="7" width="10.28515625" style="53" bestFit="1" customWidth="1"/>
    <col min="8" max="8" width="13.140625" style="5" bestFit="1" customWidth="1"/>
    <col min="9" max="9" width="13.140625" style="5" customWidth="1"/>
    <col min="10" max="10" width="9.85546875" style="6" customWidth="1"/>
    <col min="11" max="11" width="10" style="6" bestFit="1" customWidth="1"/>
    <col min="12" max="13" width="9.140625" style="5"/>
    <col min="14" max="14" width="9.28515625" style="5" bestFit="1" customWidth="1"/>
    <col min="15" max="15" width="16.42578125" style="5" bestFit="1" customWidth="1"/>
    <col min="16" max="16384" width="9.140625" style="5"/>
  </cols>
  <sheetData>
    <row r="1" spans="1:15" ht="15.75" thickBot="1">
      <c r="A1" s="88" t="s">
        <v>74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5" s="56" customFormat="1" ht="45.75" thickBot="1">
      <c r="A2" s="20" t="s">
        <v>2</v>
      </c>
      <c r="B2" s="21" t="s">
        <v>0</v>
      </c>
      <c r="C2" s="22" t="s">
        <v>7</v>
      </c>
      <c r="D2" s="20" t="s">
        <v>8</v>
      </c>
      <c r="E2" s="20" t="s">
        <v>6</v>
      </c>
      <c r="F2" s="20" t="s">
        <v>1</v>
      </c>
      <c r="G2" s="23" t="s">
        <v>3</v>
      </c>
      <c r="H2" s="24" t="s">
        <v>15</v>
      </c>
      <c r="I2" s="20" t="s">
        <v>14</v>
      </c>
      <c r="J2" s="20" t="s">
        <v>4</v>
      </c>
      <c r="K2" s="25" t="s">
        <v>5</v>
      </c>
    </row>
    <row r="3" spans="1:15">
      <c r="A3" s="26" t="s">
        <v>18</v>
      </c>
      <c r="B3" s="8" t="s">
        <v>9</v>
      </c>
      <c r="C3" s="27"/>
      <c r="D3" s="26"/>
      <c r="E3" s="32"/>
      <c r="F3" s="26"/>
      <c r="G3" s="50"/>
      <c r="H3" s="35"/>
      <c r="I3" s="45"/>
      <c r="J3" s="31"/>
      <c r="K3" s="28">
        <v>666070.9</v>
      </c>
    </row>
    <row r="4" spans="1:15">
      <c r="A4" s="10" t="s">
        <v>19</v>
      </c>
      <c r="B4" s="12" t="s">
        <v>20</v>
      </c>
      <c r="C4" s="59" t="s">
        <v>23</v>
      </c>
      <c r="D4" s="60" t="s">
        <v>22</v>
      </c>
      <c r="E4" s="61"/>
      <c r="F4" s="60"/>
      <c r="G4" s="62"/>
      <c r="H4" s="63"/>
      <c r="I4" s="64"/>
      <c r="J4" s="65">
        <v>7225.4</v>
      </c>
      <c r="K4" s="29">
        <f>SUM(K3+G4-J4)</f>
        <v>658845.5</v>
      </c>
      <c r="N4" s="5" t="s">
        <v>13</v>
      </c>
      <c r="O4" s="7">
        <f>506029</f>
        <v>506029</v>
      </c>
    </row>
    <row r="5" spans="1:15">
      <c r="A5" s="10" t="s">
        <v>27</v>
      </c>
      <c r="B5" s="12" t="s">
        <v>20</v>
      </c>
      <c r="C5" s="59" t="s">
        <v>23</v>
      </c>
      <c r="D5" s="60" t="s">
        <v>24</v>
      </c>
      <c r="E5" s="61"/>
      <c r="F5" s="60"/>
      <c r="G5" s="62"/>
      <c r="H5" s="63"/>
      <c r="I5" s="64"/>
      <c r="J5" s="65">
        <v>7225.4</v>
      </c>
      <c r="K5" s="29">
        <f t="shared" ref="K5:K47" si="0">SUM(K4+G5-J5)</f>
        <v>651620.1</v>
      </c>
      <c r="N5" s="5" t="s">
        <v>12</v>
      </c>
      <c r="O5" s="7">
        <f>K47-N14-N21-N28-N35</f>
        <v>506028.99999999965</v>
      </c>
    </row>
    <row r="6" spans="1:15" s="56" customFormat="1">
      <c r="A6" s="10" t="s">
        <v>28</v>
      </c>
      <c r="B6" s="12" t="s">
        <v>20</v>
      </c>
      <c r="C6" s="59" t="s">
        <v>23</v>
      </c>
      <c r="D6" s="60" t="s">
        <v>21</v>
      </c>
      <c r="E6" s="61"/>
      <c r="F6" s="60"/>
      <c r="G6" s="62"/>
      <c r="H6" s="63"/>
      <c r="I6" s="64"/>
      <c r="J6" s="65">
        <v>7225.4</v>
      </c>
      <c r="K6" s="29">
        <f t="shared" si="0"/>
        <v>644394.69999999995</v>
      </c>
    </row>
    <row r="7" spans="1:15" s="56" customFormat="1">
      <c r="A7" s="10" t="s">
        <v>29</v>
      </c>
      <c r="B7" s="12" t="s">
        <v>20</v>
      </c>
      <c r="C7" s="59" t="s">
        <v>23</v>
      </c>
      <c r="D7" s="60" t="s">
        <v>25</v>
      </c>
      <c r="E7" s="61"/>
      <c r="F7" s="60"/>
      <c r="G7" s="62"/>
      <c r="H7" s="63"/>
      <c r="I7" s="64"/>
      <c r="J7" s="65">
        <v>7225.4</v>
      </c>
      <c r="K7" s="29">
        <f>SUM(K6+G7-J7)</f>
        <v>637169.29999999993</v>
      </c>
      <c r="N7" s="89" t="s">
        <v>11</v>
      </c>
      <c r="O7" s="90">
        <f>O4-O5</f>
        <v>0</v>
      </c>
    </row>
    <row r="8" spans="1:15">
      <c r="A8" s="10" t="s">
        <v>30</v>
      </c>
      <c r="B8" s="12" t="s">
        <v>20</v>
      </c>
      <c r="C8" s="59" t="s">
        <v>23</v>
      </c>
      <c r="D8" s="60" t="s">
        <v>26</v>
      </c>
      <c r="E8" s="61"/>
      <c r="F8" s="60"/>
      <c r="G8" s="62"/>
      <c r="H8" s="63"/>
      <c r="I8" s="64"/>
      <c r="J8" s="65">
        <v>7226</v>
      </c>
      <c r="K8" s="29">
        <f t="shared" si="0"/>
        <v>629943.29999999993</v>
      </c>
      <c r="N8" s="89"/>
      <c r="O8" s="90"/>
    </row>
    <row r="9" spans="1:15">
      <c r="A9" s="10" t="s">
        <v>31</v>
      </c>
      <c r="B9" s="12" t="s">
        <v>20</v>
      </c>
      <c r="C9" s="59" t="s">
        <v>33</v>
      </c>
      <c r="D9" s="60" t="s">
        <v>22</v>
      </c>
      <c r="E9" s="61"/>
      <c r="F9" s="60"/>
      <c r="G9" s="62"/>
      <c r="H9" s="63"/>
      <c r="I9" s="64"/>
      <c r="J9" s="65">
        <v>7370.8</v>
      </c>
      <c r="K9" s="29">
        <f t="shared" si="0"/>
        <v>622572.49999999988</v>
      </c>
      <c r="M9" s="46"/>
    </row>
    <row r="10" spans="1:15" ht="15" customHeight="1">
      <c r="A10" s="10" t="s">
        <v>32</v>
      </c>
      <c r="B10" s="12" t="s">
        <v>20</v>
      </c>
      <c r="C10" s="59" t="s">
        <v>33</v>
      </c>
      <c r="D10" s="60" t="s">
        <v>24</v>
      </c>
      <c r="E10" s="34"/>
      <c r="F10" s="10"/>
      <c r="G10" s="51"/>
      <c r="H10" s="36"/>
      <c r="I10" s="14"/>
      <c r="J10" s="11">
        <v>7370.8</v>
      </c>
      <c r="K10" s="29">
        <f t="shared" si="0"/>
        <v>615201.69999999984</v>
      </c>
      <c r="M10" s="67">
        <f>J17*1</f>
        <v>7239.04</v>
      </c>
      <c r="N10" s="68" t="s">
        <v>44</v>
      </c>
    </row>
    <row r="11" spans="1:15" ht="15.75" customHeight="1">
      <c r="A11" s="10" t="s">
        <v>34</v>
      </c>
      <c r="B11" s="12" t="s">
        <v>20</v>
      </c>
      <c r="C11" s="59" t="s">
        <v>33</v>
      </c>
      <c r="D11" s="60" t="s">
        <v>21</v>
      </c>
      <c r="E11" s="34"/>
      <c r="F11" s="10"/>
      <c r="G11" s="51"/>
      <c r="H11" s="36"/>
      <c r="I11" s="14"/>
      <c r="J11" s="11">
        <v>7370.8</v>
      </c>
      <c r="K11" s="29">
        <f t="shared" si="0"/>
        <v>607830.89999999979</v>
      </c>
      <c r="M11" s="69"/>
      <c r="N11" s="67">
        <v>36195.199999999997</v>
      </c>
      <c r="O11" s="7"/>
    </row>
    <row r="12" spans="1:15">
      <c r="A12" s="10" t="s">
        <v>35</v>
      </c>
      <c r="B12" s="12" t="s">
        <v>20</v>
      </c>
      <c r="C12" s="59" t="s">
        <v>33</v>
      </c>
      <c r="D12" s="60" t="s">
        <v>25</v>
      </c>
      <c r="E12" s="34"/>
      <c r="F12" s="10"/>
      <c r="G12" s="51"/>
      <c r="H12" s="36"/>
      <c r="I12" s="14"/>
      <c r="J12" s="11">
        <v>7370.8</v>
      </c>
      <c r="K12" s="29">
        <f t="shared" si="0"/>
        <v>600460.09999999974</v>
      </c>
      <c r="M12" s="69"/>
      <c r="N12" s="67">
        <f>N11/5</f>
        <v>7239.0399999999991</v>
      </c>
    </row>
    <row r="13" spans="1:15">
      <c r="A13" s="10" t="s">
        <v>35</v>
      </c>
      <c r="B13" s="13" t="s">
        <v>20</v>
      </c>
      <c r="C13" s="59" t="s">
        <v>33</v>
      </c>
      <c r="D13" s="60" t="s">
        <v>26</v>
      </c>
      <c r="E13" s="34"/>
      <c r="F13" s="10"/>
      <c r="G13" s="51"/>
      <c r="H13" s="36"/>
      <c r="I13" s="14"/>
      <c r="J13" s="11">
        <v>7370.8</v>
      </c>
      <c r="K13" s="29">
        <f t="shared" si="0"/>
        <v>593089.2999999997</v>
      </c>
      <c r="M13" s="69"/>
      <c r="N13" s="69"/>
    </row>
    <row r="14" spans="1:15">
      <c r="A14" s="10" t="s">
        <v>36</v>
      </c>
      <c r="B14" s="12" t="s">
        <v>20</v>
      </c>
      <c r="C14" s="59" t="s">
        <v>39</v>
      </c>
      <c r="D14" s="60" t="s">
        <v>22</v>
      </c>
      <c r="E14" s="33"/>
      <c r="F14" s="10"/>
      <c r="G14" s="51"/>
      <c r="H14" s="4"/>
      <c r="I14" s="4"/>
      <c r="J14" s="11">
        <v>7130.46</v>
      </c>
      <c r="K14" s="29">
        <f t="shared" si="0"/>
        <v>585958.83999999973</v>
      </c>
      <c r="M14" s="69" t="s">
        <v>10</v>
      </c>
      <c r="N14" s="67">
        <f>N11-M10</f>
        <v>28956.159999999996</v>
      </c>
    </row>
    <row r="15" spans="1:15">
      <c r="A15" s="10" t="s">
        <v>37</v>
      </c>
      <c r="B15" s="12" t="s">
        <v>20</v>
      </c>
      <c r="C15" s="59" t="s">
        <v>39</v>
      </c>
      <c r="D15" s="60" t="s">
        <v>38</v>
      </c>
      <c r="E15" s="33"/>
      <c r="F15" s="10"/>
      <c r="G15" s="51"/>
      <c r="H15" s="4"/>
      <c r="I15" s="4"/>
      <c r="J15" s="11">
        <v>7130.46</v>
      </c>
      <c r="K15" s="29">
        <f t="shared" si="0"/>
        <v>578828.37999999977</v>
      </c>
      <c r="N15" s="7"/>
    </row>
    <row r="16" spans="1:15">
      <c r="A16" s="10" t="s">
        <v>37</v>
      </c>
      <c r="B16" s="12" t="s">
        <v>20</v>
      </c>
      <c r="C16" s="59" t="s">
        <v>42</v>
      </c>
      <c r="D16" s="60" t="s">
        <v>22</v>
      </c>
      <c r="E16" s="34"/>
      <c r="F16" s="10"/>
      <c r="G16" s="51"/>
      <c r="H16" s="14"/>
      <c r="I16" s="4"/>
      <c r="J16" s="11">
        <v>3042.56</v>
      </c>
      <c r="K16" s="29">
        <f t="shared" si="0"/>
        <v>575785.81999999972</v>
      </c>
      <c r="N16" s="7"/>
    </row>
    <row r="17" spans="1:14">
      <c r="A17" s="10" t="s">
        <v>40</v>
      </c>
      <c r="B17" s="12" t="s">
        <v>20</v>
      </c>
      <c r="C17" s="59" t="s">
        <v>43</v>
      </c>
      <c r="D17" s="60" t="s">
        <v>22</v>
      </c>
      <c r="E17" s="3"/>
      <c r="F17" s="3"/>
      <c r="G17" s="2"/>
      <c r="H17" s="1"/>
      <c r="I17" s="4"/>
      <c r="J17" s="11">
        <v>7239.04</v>
      </c>
      <c r="K17" s="29">
        <f t="shared" si="0"/>
        <v>568546.77999999968</v>
      </c>
      <c r="M17" s="67">
        <f>J16*1</f>
        <v>3042.56</v>
      </c>
      <c r="N17" s="68" t="s">
        <v>41</v>
      </c>
    </row>
    <row r="18" spans="1:14">
      <c r="A18" s="10"/>
      <c r="B18" s="12"/>
      <c r="C18" s="37"/>
      <c r="D18" s="10"/>
      <c r="E18" s="34"/>
      <c r="F18" s="10"/>
      <c r="G18" s="51"/>
      <c r="H18" s="1"/>
      <c r="I18" s="4"/>
      <c r="J18" s="11"/>
      <c r="K18" s="29">
        <f t="shared" si="0"/>
        <v>568546.77999999968</v>
      </c>
      <c r="M18" s="70"/>
      <c r="N18" s="67">
        <v>15212.8</v>
      </c>
    </row>
    <row r="19" spans="1:14">
      <c r="A19" s="10"/>
      <c r="B19" s="12"/>
      <c r="C19" s="37"/>
      <c r="D19" s="10"/>
      <c r="E19" s="3"/>
      <c r="F19" s="3"/>
      <c r="G19" s="2"/>
      <c r="H19" s="1"/>
      <c r="I19" s="4"/>
      <c r="J19" s="11"/>
      <c r="K19" s="29">
        <f t="shared" si="0"/>
        <v>568546.77999999968</v>
      </c>
      <c r="M19" s="69"/>
      <c r="N19" s="67">
        <f>N18/5</f>
        <v>3042.56</v>
      </c>
    </row>
    <row r="20" spans="1:14">
      <c r="A20" s="10"/>
      <c r="B20" s="12"/>
      <c r="C20" s="37"/>
      <c r="D20" s="10"/>
      <c r="E20" s="3"/>
      <c r="F20" s="3"/>
      <c r="G20" s="2"/>
      <c r="H20" s="1"/>
      <c r="I20" s="4"/>
      <c r="J20" s="11"/>
      <c r="K20" s="29">
        <f t="shared" si="0"/>
        <v>568546.77999999968</v>
      </c>
      <c r="M20" s="69"/>
      <c r="N20" s="69"/>
    </row>
    <row r="21" spans="1:14">
      <c r="A21" s="10"/>
      <c r="B21" s="12"/>
      <c r="C21" s="37"/>
      <c r="D21" s="10"/>
      <c r="E21" s="3"/>
      <c r="F21" s="3"/>
      <c r="G21" s="2"/>
      <c r="H21" s="1"/>
      <c r="I21" s="4"/>
      <c r="J21" s="11"/>
      <c r="K21" s="29">
        <f t="shared" si="0"/>
        <v>568546.77999999968</v>
      </c>
      <c r="M21" s="69" t="s">
        <v>10</v>
      </c>
      <c r="N21" s="67">
        <f>N18-M17</f>
        <v>12170.24</v>
      </c>
    </row>
    <row r="22" spans="1:14">
      <c r="A22" s="10"/>
      <c r="B22" s="12"/>
      <c r="C22" s="37"/>
      <c r="D22" s="10"/>
      <c r="E22" s="3"/>
      <c r="F22" s="3"/>
      <c r="G22" s="2"/>
      <c r="H22" s="1"/>
      <c r="I22" s="4"/>
      <c r="J22" s="11"/>
      <c r="K22" s="29">
        <f t="shared" si="0"/>
        <v>568546.77999999968</v>
      </c>
      <c r="N22" s="7"/>
    </row>
    <row r="23" spans="1:14">
      <c r="A23" s="10"/>
      <c r="B23" s="12"/>
      <c r="C23" s="37"/>
      <c r="D23" s="10"/>
      <c r="E23" s="3"/>
      <c r="F23" s="10"/>
      <c r="G23" s="55"/>
      <c r="H23" s="58"/>
      <c r="I23" s="4"/>
      <c r="J23" s="11"/>
      <c r="K23" s="29">
        <f t="shared" si="0"/>
        <v>568546.77999999968</v>
      </c>
    </row>
    <row r="24" spans="1:14">
      <c r="A24" s="10"/>
      <c r="B24" s="12"/>
      <c r="C24" s="37"/>
      <c r="D24" s="10"/>
      <c r="E24" s="3"/>
      <c r="F24" s="3"/>
      <c r="G24" s="2"/>
      <c r="H24" s="57"/>
      <c r="I24" s="4"/>
      <c r="J24" s="11"/>
      <c r="K24" s="29">
        <f t="shared" si="0"/>
        <v>568546.77999999968</v>
      </c>
      <c r="M24" s="67">
        <v>0</v>
      </c>
      <c r="N24" s="68" t="s">
        <v>16</v>
      </c>
    </row>
    <row r="25" spans="1:14">
      <c r="A25" s="10"/>
      <c r="B25" s="12"/>
      <c r="C25" s="37"/>
      <c r="D25" s="10"/>
      <c r="E25" s="3"/>
      <c r="F25" s="3"/>
      <c r="G25" s="2"/>
      <c r="H25" s="1"/>
      <c r="I25" s="4"/>
      <c r="J25" s="11"/>
      <c r="K25" s="29">
        <f t="shared" si="0"/>
        <v>568546.77999999968</v>
      </c>
      <c r="M25" s="69"/>
      <c r="N25" s="67"/>
    </row>
    <row r="26" spans="1:14">
      <c r="A26" s="10"/>
      <c r="B26" s="12"/>
      <c r="C26" s="37"/>
      <c r="D26" s="10"/>
      <c r="E26" s="3"/>
      <c r="F26" s="3"/>
      <c r="G26" s="2"/>
      <c r="H26" s="1"/>
      <c r="I26" s="4"/>
      <c r="J26" s="11"/>
      <c r="K26" s="29">
        <f t="shared" si="0"/>
        <v>568546.77999999968</v>
      </c>
      <c r="M26" s="69"/>
      <c r="N26" s="67"/>
    </row>
    <row r="27" spans="1:14">
      <c r="A27" s="10"/>
      <c r="B27" s="12"/>
      <c r="C27" s="37"/>
      <c r="D27" s="10"/>
      <c r="E27" s="3"/>
      <c r="F27" s="3"/>
      <c r="G27" s="2"/>
      <c r="H27" s="1"/>
      <c r="I27" s="4"/>
      <c r="J27" s="11"/>
      <c r="K27" s="29">
        <f t="shared" si="0"/>
        <v>568546.77999999968</v>
      </c>
      <c r="M27" s="69"/>
      <c r="N27" s="69"/>
    </row>
    <row r="28" spans="1:14">
      <c r="A28" s="10"/>
      <c r="B28" s="12"/>
      <c r="C28" s="37"/>
      <c r="D28" s="10"/>
      <c r="E28" s="3"/>
      <c r="F28" s="3"/>
      <c r="G28" s="2"/>
      <c r="H28" s="1"/>
      <c r="I28" s="4"/>
      <c r="J28" s="11"/>
      <c r="K28" s="29">
        <f t="shared" si="0"/>
        <v>568546.77999999968</v>
      </c>
      <c r="M28" s="69" t="s">
        <v>10</v>
      </c>
      <c r="N28" s="67">
        <v>0</v>
      </c>
    </row>
    <row r="29" spans="1:14">
      <c r="A29" s="10"/>
      <c r="B29" s="12"/>
      <c r="C29" s="37"/>
      <c r="D29" s="10"/>
      <c r="E29" s="3"/>
      <c r="F29" s="3"/>
      <c r="G29" s="2"/>
      <c r="H29" s="1"/>
      <c r="I29" s="4"/>
      <c r="J29" s="11"/>
      <c r="K29" s="29">
        <f t="shared" si="0"/>
        <v>568546.77999999968</v>
      </c>
    </row>
    <row r="30" spans="1:14">
      <c r="A30" s="10"/>
      <c r="B30" s="9"/>
      <c r="C30" s="37"/>
      <c r="D30" s="10"/>
      <c r="E30" s="3"/>
      <c r="F30" s="3"/>
      <c r="G30" s="2"/>
      <c r="H30" s="1"/>
      <c r="I30" s="4"/>
      <c r="J30" s="11"/>
      <c r="K30" s="29">
        <f t="shared" si="0"/>
        <v>568546.77999999968</v>
      </c>
    </row>
    <row r="31" spans="1:14">
      <c r="A31" s="10"/>
      <c r="B31" s="12"/>
      <c r="C31" s="37"/>
      <c r="D31" s="10"/>
      <c r="E31" s="3"/>
      <c r="F31" s="3"/>
      <c r="G31" s="2"/>
      <c r="H31" s="1"/>
      <c r="I31" s="4"/>
      <c r="J31" s="11"/>
      <c r="K31" s="29">
        <f t="shared" si="0"/>
        <v>568546.77999999968</v>
      </c>
      <c r="M31" s="67">
        <f>J14*2</f>
        <v>14260.92</v>
      </c>
      <c r="N31" s="68" t="s">
        <v>17</v>
      </c>
    </row>
    <row r="32" spans="1:14">
      <c r="A32" s="10"/>
      <c r="B32" s="9"/>
      <c r="C32" s="37"/>
      <c r="D32" s="10"/>
      <c r="E32" s="3"/>
      <c r="F32" s="3"/>
      <c r="G32" s="2"/>
      <c r="H32" s="1"/>
      <c r="I32" s="4"/>
      <c r="J32" s="11"/>
      <c r="K32" s="29">
        <f t="shared" si="0"/>
        <v>568546.77999999968</v>
      </c>
      <c r="M32" s="69"/>
      <c r="N32" s="67">
        <v>35652.300000000003</v>
      </c>
    </row>
    <row r="33" spans="1:14">
      <c r="A33" s="10"/>
      <c r="B33" s="12"/>
      <c r="C33" s="37"/>
      <c r="D33" s="10"/>
      <c r="E33" s="34"/>
      <c r="F33" s="10"/>
      <c r="G33" s="51"/>
      <c r="H33" s="14"/>
      <c r="I33" s="4"/>
      <c r="J33" s="11"/>
      <c r="K33" s="29">
        <f t="shared" si="0"/>
        <v>568546.77999999968</v>
      </c>
      <c r="M33" s="69"/>
      <c r="N33" s="67">
        <f>N32/5</f>
        <v>7130.4600000000009</v>
      </c>
    </row>
    <row r="34" spans="1:14">
      <c r="A34" s="10"/>
      <c r="B34" s="12"/>
      <c r="C34" s="37"/>
      <c r="D34" s="10"/>
      <c r="E34" s="3"/>
      <c r="F34" s="3"/>
      <c r="G34" s="2"/>
      <c r="H34" s="1"/>
      <c r="I34" s="4"/>
      <c r="J34" s="11"/>
      <c r="K34" s="29">
        <f t="shared" si="0"/>
        <v>568546.77999999968</v>
      </c>
      <c r="M34" s="69"/>
      <c r="N34" s="67"/>
    </row>
    <row r="35" spans="1:14">
      <c r="A35" s="10"/>
      <c r="B35" s="9"/>
      <c r="C35" s="37"/>
      <c r="D35" s="10"/>
      <c r="E35" s="3"/>
      <c r="F35" s="3"/>
      <c r="G35" s="2"/>
      <c r="H35" s="1"/>
      <c r="I35" s="4"/>
      <c r="J35" s="11"/>
      <c r="K35" s="29">
        <f t="shared" si="0"/>
        <v>568546.77999999968</v>
      </c>
      <c r="M35" s="69" t="s">
        <v>10</v>
      </c>
      <c r="N35" s="67">
        <f>N32-M31</f>
        <v>21391.380000000005</v>
      </c>
    </row>
    <row r="36" spans="1:14">
      <c r="A36" s="10"/>
      <c r="B36" s="12"/>
      <c r="C36" s="37"/>
      <c r="D36" s="10"/>
      <c r="E36" s="34"/>
      <c r="F36" s="10"/>
      <c r="G36" s="51"/>
      <c r="H36" s="14"/>
      <c r="I36" s="38"/>
      <c r="J36" s="11"/>
      <c r="K36" s="29">
        <f t="shared" si="0"/>
        <v>568546.77999999968</v>
      </c>
    </row>
    <row r="37" spans="1:14">
      <c r="A37" s="10"/>
      <c r="B37" s="13"/>
      <c r="C37" s="37"/>
      <c r="D37" s="10"/>
      <c r="E37" s="34"/>
      <c r="F37" s="10"/>
      <c r="G37" s="51"/>
      <c r="H37" s="36"/>
      <c r="I37" s="36"/>
      <c r="J37" s="11"/>
      <c r="K37" s="29">
        <f t="shared" si="0"/>
        <v>568546.77999999968</v>
      </c>
    </row>
    <row r="38" spans="1:14">
      <c r="A38" s="10"/>
      <c r="B38" s="12"/>
      <c r="C38" s="37"/>
      <c r="D38" s="10"/>
      <c r="E38" s="34"/>
      <c r="F38" s="10"/>
      <c r="G38" s="51"/>
      <c r="H38" s="36"/>
      <c r="I38" s="36"/>
      <c r="J38" s="11"/>
      <c r="K38" s="29">
        <f t="shared" si="0"/>
        <v>568546.77999999968</v>
      </c>
    </row>
    <row r="39" spans="1:14">
      <c r="A39" s="10"/>
      <c r="B39" s="9"/>
      <c r="C39" s="37"/>
      <c r="D39" s="10"/>
      <c r="E39" s="34"/>
      <c r="F39" s="10"/>
      <c r="G39" s="51"/>
      <c r="H39" s="14"/>
      <c r="I39" s="38"/>
      <c r="J39" s="11"/>
      <c r="K39" s="29">
        <f t="shared" si="0"/>
        <v>568546.77999999968</v>
      </c>
    </row>
    <row r="40" spans="1:14">
      <c r="A40" s="10"/>
      <c r="B40" s="12"/>
      <c r="C40" s="37"/>
      <c r="D40" s="10"/>
      <c r="E40" s="34"/>
      <c r="F40" s="10"/>
      <c r="G40" s="51"/>
      <c r="H40" s="14"/>
      <c r="I40" s="38"/>
      <c r="J40" s="11"/>
      <c r="K40" s="29">
        <f t="shared" si="0"/>
        <v>568546.77999999968</v>
      </c>
    </row>
    <row r="41" spans="1:14">
      <c r="A41" s="10"/>
      <c r="B41" s="13"/>
      <c r="C41" s="37"/>
      <c r="D41" s="10"/>
      <c r="E41" s="34"/>
      <c r="F41" s="10"/>
      <c r="G41" s="51"/>
      <c r="H41" s="38"/>
      <c r="I41" s="36"/>
      <c r="J41" s="11"/>
      <c r="K41" s="29">
        <f t="shared" si="0"/>
        <v>568546.77999999968</v>
      </c>
    </row>
    <row r="42" spans="1:14">
      <c r="A42" s="10"/>
      <c r="B42" s="12"/>
      <c r="C42" s="37"/>
      <c r="D42" s="10"/>
      <c r="E42" s="34"/>
      <c r="F42" s="10"/>
      <c r="G42" s="51"/>
      <c r="H42" s="36"/>
      <c r="I42" s="36"/>
      <c r="J42" s="11"/>
      <c r="K42" s="29">
        <f t="shared" si="0"/>
        <v>568546.77999999968</v>
      </c>
    </row>
    <row r="43" spans="1:14">
      <c r="A43" s="10"/>
      <c r="B43" s="9"/>
      <c r="C43" s="37"/>
      <c r="D43" s="10"/>
      <c r="E43" s="34"/>
      <c r="F43" s="10"/>
      <c r="G43" s="51"/>
      <c r="H43" s="36"/>
      <c r="I43" s="36"/>
      <c r="J43" s="11"/>
      <c r="K43" s="29">
        <f t="shared" si="0"/>
        <v>568546.77999999968</v>
      </c>
    </row>
    <row r="44" spans="1:14">
      <c r="A44" s="10"/>
      <c r="B44" s="9"/>
      <c r="C44" s="37"/>
      <c r="D44" s="10"/>
      <c r="E44" s="34"/>
      <c r="F44" s="10"/>
      <c r="G44" s="51"/>
      <c r="H44" s="36"/>
      <c r="I44" s="36"/>
      <c r="J44" s="30"/>
      <c r="K44" s="29">
        <f t="shared" si="0"/>
        <v>568546.77999999968</v>
      </c>
    </row>
    <row r="45" spans="1:14">
      <c r="A45" s="10"/>
      <c r="B45" s="9"/>
      <c r="C45" s="37"/>
      <c r="D45" s="10"/>
      <c r="E45" s="34"/>
      <c r="F45" s="10"/>
      <c r="G45" s="51"/>
      <c r="H45" s="36"/>
      <c r="I45" s="36"/>
      <c r="J45" s="30"/>
      <c r="K45" s="29">
        <f t="shared" si="0"/>
        <v>568546.77999999968</v>
      </c>
    </row>
    <row r="46" spans="1:14">
      <c r="A46" s="10"/>
      <c r="B46" s="9"/>
      <c r="C46" s="37"/>
      <c r="D46" s="10"/>
      <c r="E46" s="34"/>
      <c r="F46" s="10"/>
      <c r="G46" s="51"/>
      <c r="H46" s="36"/>
      <c r="I46" s="36"/>
      <c r="J46" s="30"/>
      <c r="K46" s="29">
        <f t="shared" si="0"/>
        <v>568546.77999999968</v>
      </c>
    </row>
    <row r="47" spans="1:14" ht="15.75" thickBot="1">
      <c r="A47" s="39"/>
      <c r="B47" s="40"/>
      <c r="C47" s="41"/>
      <c r="D47" s="39"/>
      <c r="E47" s="42"/>
      <c r="F47" s="39"/>
      <c r="G47" s="52"/>
      <c r="H47" s="43"/>
      <c r="I47" s="43"/>
      <c r="J47" s="44"/>
      <c r="K47" s="29">
        <f t="shared" si="0"/>
        <v>568546.77999999968</v>
      </c>
    </row>
    <row r="48" spans="1:14" ht="15.75" thickBot="1">
      <c r="A48" s="54" t="s">
        <v>73</v>
      </c>
      <c r="B48" s="16"/>
      <c r="C48" s="47"/>
      <c r="D48" s="15"/>
      <c r="E48" s="16"/>
      <c r="F48" s="48"/>
      <c r="G48" s="18">
        <f>SUM(G3:G47)</f>
        <v>0</v>
      </c>
      <c r="H48" s="15"/>
      <c r="I48" s="49"/>
      <c r="J48" s="17">
        <f>SUM(J3:J47)</f>
        <v>97524.12000000001</v>
      </c>
      <c r="K48" s="19"/>
    </row>
  </sheetData>
  <mergeCells count="3">
    <mergeCell ref="A1:K1"/>
    <mergeCell ref="N7:N8"/>
    <mergeCell ref="O7:O8"/>
  </mergeCells>
  <pageMargins left="0.16" right="0.16" top="0.34" bottom="0.3" header="0.23" footer="0.21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48"/>
  <sheetViews>
    <sheetView zoomScaleNormal="100" workbookViewId="0">
      <pane ySplit="2" topLeftCell="A3" activePane="bottomLeft" state="frozen"/>
      <selection pane="bottomLeft" activeCell="C21" sqref="C21"/>
    </sheetView>
  </sheetViews>
  <sheetFormatPr defaultRowHeight="15"/>
  <cols>
    <col min="1" max="1" width="10.140625" style="5" bestFit="1" customWidth="1"/>
    <col min="2" max="2" width="19.42578125" style="5" customWidth="1"/>
    <col min="3" max="3" width="7.85546875" style="5" bestFit="1" customWidth="1"/>
    <col min="4" max="4" width="14" style="5" customWidth="1"/>
    <col min="5" max="5" width="9.85546875" style="66" customWidth="1"/>
    <col min="6" max="6" width="17.5703125" style="5" bestFit="1" customWidth="1"/>
    <col min="7" max="7" width="10.28515625" style="53" bestFit="1" customWidth="1"/>
    <col min="8" max="8" width="13.140625" style="5" bestFit="1" customWidth="1"/>
    <col min="9" max="9" width="13.140625" style="5" customWidth="1"/>
    <col min="10" max="10" width="9.85546875" style="6" customWidth="1"/>
    <col min="11" max="11" width="10" style="6" bestFit="1" customWidth="1"/>
    <col min="12" max="12" width="6.140625" style="5" customWidth="1"/>
    <col min="13" max="13" width="19" style="5" customWidth="1"/>
    <col min="14" max="14" width="11.28515625" style="5" customWidth="1"/>
    <col min="15" max="15" width="11.85546875" style="5" customWidth="1"/>
    <col min="16" max="16" width="6" style="5" customWidth="1"/>
    <col min="17" max="17" width="8" style="5" customWidth="1"/>
    <col min="18" max="16384" width="9.140625" style="5"/>
  </cols>
  <sheetData>
    <row r="1" spans="1:15" ht="15.75" thickBot="1">
      <c r="A1" s="88" t="s">
        <v>71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5" s="66" customFormat="1" ht="45.75" thickBot="1">
      <c r="A2" s="20" t="s">
        <v>2</v>
      </c>
      <c r="B2" s="21" t="s">
        <v>0</v>
      </c>
      <c r="C2" s="22" t="s">
        <v>50</v>
      </c>
      <c r="D2" s="20" t="s">
        <v>8</v>
      </c>
      <c r="E2" s="20" t="s">
        <v>6</v>
      </c>
      <c r="F2" s="20" t="s">
        <v>1</v>
      </c>
      <c r="G2" s="23" t="s">
        <v>3</v>
      </c>
      <c r="H2" s="24" t="s">
        <v>15</v>
      </c>
      <c r="I2" s="20" t="s">
        <v>14</v>
      </c>
      <c r="J2" s="20" t="s">
        <v>4</v>
      </c>
      <c r="K2" s="25" t="s">
        <v>5</v>
      </c>
    </row>
    <row r="3" spans="1:15" ht="15.75" thickBot="1">
      <c r="A3" s="26" t="s">
        <v>52</v>
      </c>
      <c r="B3" s="8" t="s">
        <v>9</v>
      </c>
      <c r="C3" s="27"/>
      <c r="D3" s="26"/>
      <c r="E3" s="32"/>
      <c r="F3" s="26"/>
      <c r="G3" s="50"/>
      <c r="H3" s="35"/>
      <c r="I3" s="45"/>
      <c r="J3" s="31"/>
      <c r="K3" s="28">
        <v>568546.78</v>
      </c>
    </row>
    <row r="4" spans="1:15">
      <c r="A4" s="10" t="s">
        <v>52</v>
      </c>
      <c r="B4" s="12" t="s">
        <v>20</v>
      </c>
      <c r="C4" s="59" t="s">
        <v>42</v>
      </c>
      <c r="D4" s="60" t="s">
        <v>22</v>
      </c>
      <c r="E4" s="34"/>
      <c r="F4" s="10"/>
      <c r="G4" s="51"/>
      <c r="H4" s="14"/>
      <c r="I4" s="4"/>
      <c r="J4" s="11">
        <v>3042.56</v>
      </c>
      <c r="K4" s="29">
        <f>SUM(K3+G4-J4)</f>
        <v>565504.22</v>
      </c>
      <c r="M4" s="82" t="s">
        <v>13</v>
      </c>
      <c r="N4" s="100">
        <f>'[1]May 2021'!$K$6</f>
        <v>454804.3</v>
      </c>
      <c r="O4" s="101"/>
    </row>
    <row r="5" spans="1:15">
      <c r="A5" s="10" t="s">
        <v>51</v>
      </c>
      <c r="B5" s="12" t="s">
        <v>20</v>
      </c>
      <c r="C5" s="59" t="s">
        <v>43</v>
      </c>
      <c r="D5" s="60" t="s">
        <v>24</v>
      </c>
      <c r="E5" s="3"/>
      <c r="F5" s="3"/>
      <c r="G5" s="2"/>
      <c r="H5" s="1"/>
      <c r="I5" s="4"/>
      <c r="J5" s="11">
        <v>7239.04</v>
      </c>
      <c r="K5" s="29">
        <f t="shared" ref="K5:K47" si="0">SUM(K4+G5-J5)</f>
        <v>558265.17999999993</v>
      </c>
      <c r="M5" s="83" t="s">
        <v>12</v>
      </c>
      <c r="N5" s="102">
        <f>K47-N14-N21-N28-N35</f>
        <v>454804.30000000005</v>
      </c>
      <c r="O5" s="103"/>
    </row>
    <row r="6" spans="1:15" s="66" customFormat="1" ht="15.75" thickBot="1">
      <c r="A6" s="10" t="s">
        <v>51</v>
      </c>
      <c r="B6" s="12" t="s">
        <v>20</v>
      </c>
      <c r="C6" s="59" t="s">
        <v>39</v>
      </c>
      <c r="D6" s="60" t="s">
        <v>53</v>
      </c>
      <c r="E6" s="33"/>
      <c r="F6" s="10"/>
      <c r="G6" s="51"/>
      <c r="H6" s="4"/>
      <c r="I6" s="4"/>
      <c r="J6" s="11">
        <v>7130.46</v>
      </c>
      <c r="K6" s="29">
        <f t="shared" si="0"/>
        <v>551134.71999999997</v>
      </c>
      <c r="M6" s="84"/>
      <c r="N6" s="85"/>
      <c r="O6" s="86"/>
    </row>
    <row r="7" spans="1:15" s="66" customFormat="1" ht="15" customHeight="1">
      <c r="A7" s="10" t="s">
        <v>54</v>
      </c>
      <c r="B7" s="12" t="s">
        <v>20</v>
      </c>
      <c r="C7" s="59" t="s">
        <v>39</v>
      </c>
      <c r="D7" s="60" t="s">
        <v>55</v>
      </c>
      <c r="E7" s="33"/>
      <c r="F7" s="10"/>
      <c r="G7" s="51"/>
      <c r="H7" s="4"/>
      <c r="I7" s="4"/>
      <c r="J7" s="11">
        <v>7130.46</v>
      </c>
      <c r="K7" s="29">
        <f>SUM(K6+G7-J7)</f>
        <v>544004.26</v>
      </c>
      <c r="M7" s="94" t="s">
        <v>11</v>
      </c>
      <c r="N7" s="96">
        <f>N4-N5</f>
        <v>0</v>
      </c>
      <c r="O7" s="97"/>
    </row>
    <row r="8" spans="1:15" ht="15" customHeight="1" thickBot="1">
      <c r="A8" s="10" t="s">
        <v>56</v>
      </c>
      <c r="B8" s="12" t="s">
        <v>20</v>
      </c>
      <c r="C8" s="59" t="s">
        <v>43</v>
      </c>
      <c r="D8" s="60" t="s">
        <v>21</v>
      </c>
      <c r="E8" s="3"/>
      <c r="F8" s="3"/>
      <c r="G8" s="2"/>
      <c r="H8" s="1"/>
      <c r="I8" s="4"/>
      <c r="J8" s="11">
        <v>7239.04</v>
      </c>
      <c r="K8" s="29">
        <f t="shared" si="0"/>
        <v>536765.22</v>
      </c>
      <c r="M8" s="95"/>
      <c r="N8" s="98"/>
      <c r="O8" s="99"/>
    </row>
    <row r="9" spans="1:15" ht="15.75" thickBot="1">
      <c r="A9" s="10" t="s">
        <v>57</v>
      </c>
      <c r="B9" s="12" t="s">
        <v>20</v>
      </c>
      <c r="C9" s="59" t="s">
        <v>43</v>
      </c>
      <c r="D9" s="60" t="s">
        <v>25</v>
      </c>
      <c r="E9" s="3"/>
      <c r="F9" s="3"/>
      <c r="G9" s="2"/>
      <c r="H9" s="1"/>
      <c r="I9" s="4"/>
      <c r="J9" s="11">
        <v>7239.04</v>
      </c>
      <c r="K9" s="29">
        <f t="shared" si="0"/>
        <v>529526.17999999993</v>
      </c>
      <c r="M9" s="46"/>
    </row>
    <row r="10" spans="1:15" ht="15" customHeight="1">
      <c r="A10" s="10" t="s">
        <v>58</v>
      </c>
      <c r="B10" s="12" t="s">
        <v>20</v>
      </c>
      <c r="C10" s="59" t="s">
        <v>43</v>
      </c>
      <c r="D10" s="60" t="s">
        <v>26</v>
      </c>
      <c r="E10" s="3"/>
      <c r="F10" s="3"/>
      <c r="G10" s="2"/>
      <c r="H10" s="1"/>
      <c r="I10" s="4"/>
      <c r="J10" s="11">
        <v>7239.08</v>
      </c>
      <c r="K10" s="29">
        <f t="shared" si="0"/>
        <v>522287.09999999992</v>
      </c>
      <c r="M10" s="75" t="s">
        <v>45</v>
      </c>
      <c r="N10" s="76">
        <v>35224</v>
      </c>
      <c r="O10" s="91" t="s">
        <v>64</v>
      </c>
    </row>
    <row r="11" spans="1:15" ht="15.75" customHeight="1">
      <c r="A11" s="10" t="s">
        <v>59</v>
      </c>
      <c r="B11" s="12" t="s">
        <v>20</v>
      </c>
      <c r="C11" s="59" t="s">
        <v>60</v>
      </c>
      <c r="D11" s="60" t="s">
        <v>22</v>
      </c>
      <c r="E11" s="34"/>
      <c r="F11" s="10"/>
      <c r="G11" s="51"/>
      <c r="H11" s="36"/>
      <c r="I11" s="14"/>
      <c r="J11" s="11">
        <v>3200.1</v>
      </c>
      <c r="K11" s="29">
        <f t="shared" si="0"/>
        <v>519086.99999999994</v>
      </c>
      <c r="M11" s="77" t="s">
        <v>46</v>
      </c>
      <c r="N11" s="78">
        <f>N10/5</f>
        <v>7044.8</v>
      </c>
      <c r="O11" s="92"/>
    </row>
    <row r="12" spans="1:15">
      <c r="A12" s="10" t="s">
        <v>62</v>
      </c>
      <c r="B12" s="12" t="s">
        <v>20</v>
      </c>
      <c r="C12" s="59" t="s">
        <v>63</v>
      </c>
      <c r="D12" s="60" t="s">
        <v>22</v>
      </c>
      <c r="E12" s="34"/>
      <c r="F12" s="10"/>
      <c r="G12" s="51"/>
      <c r="H12" s="36"/>
      <c r="I12" s="14"/>
      <c r="J12" s="11">
        <v>7044.8</v>
      </c>
      <c r="K12" s="29">
        <f t="shared" si="0"/>
        <v>512042.19999999995</v>
      </c>
      <c r="M12" s="77" t="s">
        <v>47</v>
      </c>
      <c r="N12" s="79">
        <v>4</v>
      </c>
      <c r="O12" s="92"/>
    </row>
    <row r="13" spans="1:15" ht="15.75" thickBot="1">
      <c r="A13" s="10" t="s">
        <v>62</v>
      </c>
      <c r="B13" s="12" t="s">
        <v>20</v>
      </c>
      <c r="C13" s="59" t="s">
        <v>60</v>
      </c>
      <c r="D13" s="60" t="s">
        <v>24</v>
      </c>
      <c r="E13" s="34"/>
      <c r="F13" s="10"/>
      <c r="G13" s="51"/>
      <c r="H13" s="36"/>
      <c r="I13" s="14"/>
      <c r="J13" s="11">
        <v>3200.1</v>
      </c>
      <c r="K13" s="29">
        <f t="shared" si="0"/>
        <v>508842.1</v>
      </c>
      <c r="M13" s="80"/>
      <c r="N13" s="71"/>
      <c r="O13" s="92"/>
    </row>
    <row r="14" spans="1:15" ht="15.75" thickBot="1">
      <c r="A14" s="10" t="s">
        <v>65</v>
      </c>
      <c r="B14" s="12" t="s">
        <v>20</v>
      </c>
      <c r="C14" s="59" t="s">
        <v>39</v>
      </c>
      <c r="D14" s="60" t="s">
        <v>66</v>
      </c>
      <c r="E14" s="33"/>
      <c r="F14" s="10"/>
      <c r="G14" s="51"/>
      <c r="H14" s="4"/>
      <c r="I14" s="4"/>
      <c r="J14" s="11">
        <v>7130.5</v>
      </c>
      <c r="K14" s="29">
        <f t="shared" si="0"/>
        <v>501711.6</v>
      </c>
      <c r="M14" s="81" t="s">
        <v>48</v>
      </c>
      <c r="N14" s="72">
        <f>N10-(N11*N12)</f>
        <v>7044.7999999999993</v>
      </c>
      <c r="O14" s="93"/>
    </row>
    <row r="15" spans="1:15">
      <c r="A15" s="10" t="s">
        <v>34</v>
      </c>
      <c r="B15" s="12" t="s">
        <v>20</v>
      </c>
      <c r="C15" s="59" t="s">
        <v>63</v>
      </c>
      <c r="D15" s="60" t="s">
        <v>24</v>
      </c>
      <c r="E15" s="34"/>
      <c r="F15" s="10"/>
      <c r="G15" s="51"/>
      <c r="H15" s="36"/>
      <c r="I15" s="14"/>
      <c r="J15" s="11">
        <v>7044.8</v>
      </c>
      <c r="K15" s="29">
        <f t="shared" si="0"/>
        <v>494666.8</v>
      </c>
      <c r="N15" s="7"/>
    </row>
    <row r="16" spans="1:15" ht="15.75" thickBot="1">
      <c r="A16" s="10" t="s">
        <v>34</v>
      </c>
      <c r="B16" s="12" t="s">
        <v>20</v>
      </c>
      <c r="C16" s="59" t="s">
        <v>63</v>
      </c>
      <c r="D16" s="60" t="s">
        <v>21</v>
      </c>
      <c r="E16" s="34"/>
      <c r="F16" s="10"/>
      <c r="G16" s="51"/>
      <c r="H16" s="36"/>
      <c r="I16" s="14"/>
      <c r="J16" s="11">
        <v>7044.8</v>
      </c>
      <c r="K16" s="29">
        <f t="shared" si="0"/>
        <v>487622</v>
      </c>
      <c r="N16" s="7"/>
    </row>
    <row r="17" spans="1:15">
      <c r="A17" s="10" t="s">
        <v>36</v>
      </c>
      <c r="B17" s="12" t="s">
        <v>20</v>
      </c>
      <c r="C17" s="59" t="s">
        <v>63</v>
      </c>
      <c r="D17" s="60" t="s">
        <v>25</v>
      </c>
      <c r="E17" s="34"/>
      <c r="F17" s="10"/>
      <c r="G17" s="51"/>
      <c r="H17" s="36"/>
      <c r="I17" s="14"/>
      <c r="J17" s="11">
        <v>7044.8</v>
      </c>
      <c r="K17" s="29">
        <f t="shared" si="0"/>
        <v>480577.2</v>
      </c>
      <c r="M17" s="75" t="s">
        <v>45</v>
      </c>
      <c r="N17" s="76">
        <v>12170.24</v>
      </c>
      <c r="O17" s="91" t="s">
        <v>49</v>
      </c>
    </row>
    <row r="18" spans="1:15">
      <c r="A18" s="10" t="s">
        <v>67</v>
      </c>
      <c r="B18" s="12" t="s">
        <v>20</v>
      </c>
      <c r="C18" s="59" t="s">
        <v>42</v>
      </c>
      <c r="D18" s="60" t="s">
        <v>24</v>
      </c>
      <c r="E18" s="34"/>
      <c r="F18" s="10"/>
      <c r="G18" s="51"/>
      <c r="H18" s="14"/>
      <c r="I18" s="4"/>
      <c r="J18" s="11">
        <v>3042.56</v>
      </c>
      <c r="K18" s="29">
        <f t="shared" si="0"/>
        <v>477534.64</v>
      </c>
      <c r="M18" s="77" t="s">
        <v>46</v>
      </c>
      <c r="N18" s="78">
        <f>N17/4</f>
        <v>3042.56</v>
      </c>
      <c r="O18" s="92"/>
    </row>
    <row r="19" spans="1:15">
      <c r="A19" s="10"/>
      <c r="B19" s="12"/>
      <c r="C19" s="37"/>
      <c r="D19" s="10"/>
      <c r="E19" s="3"/>
      <c r="F19" s="3"/>
      <c r="G19" s="2"/>
      <c r="H19" s="1"/>
      <c r="I19" s="4"/>
      <c r="J19" s="11"/>
      <c r="K19" s="29">
        <f t="shared" si="0"/>
        <v>477534.64</v>
      </c>
      <c r="M19" s="77" t="s">
        <v>47</v>
      </c>
      <c r="N19" s="79">
        <v>2</v>
      </c>
      <c r="O19" s="92"/>
    </row>
    <row r="20" spans="1:15" ht="15.75" thickBot="1">
      <c r="A20" s="10"/>
      <c r="B20" s="12"/>
      <c r="C20" s="37"/>
      <c r="D20" s="10"/>
      <c r="E20" s="3"/>
      <c r="F20" s="3"/>
      <c r="G20" s="2"/>
      <c r="H20" s="1"/>
      <c r="I20" s="4"/>
      <c r="J20" s="11"/>
      <c r="K20" s="29">
        <f t="shared" si="0"/>
        <v>477534.64</v>
      </c>
      <c r="M20" s="80"/>
      <c r="N20" s="71"/>
      <c r="O20" s="92"/>
    </row>
    <row r="21" spans="1:15" ht="15.75" thickBot="1">
      <c r="A21" s="10"/>
      <c r="B21" s="12"/>
      <c r="C21" s="37"/>
      <c r="D21" s="10"/>
      <c r="E21" s="3"/>
      <c r="F21" s="3"/>
      <c r="G21" s="2"/>
      <c r="H21" s="1"/>
      <c r="I21" s="4"/>
      <c r="J21" s="11"/>
      <c r="K21" s="29">
        <f t="shared" si="0"/>
        <v>477534.64</v>
      </c>
      <c r="M21" s="81" t="s">
        <v>48</v>
      </c>
      <c r="N21" s="72">
        <f>N17-(N18*N19)</f>
        <v>6085.12</v>
      </c>
      <c r="O21" s="93"/>
    </row>
    <row r="22" spans="1:15">
      <c r="A22" s="10"/>
      <c r="B22" s="12"/>
      <c r="C22" s="37"/>
      <c r="D22" s="10"/>
      <c r="E22" s="3"/>
      <c r="F22" s="3"/>
      <c r="G22" s="2"/>
      <c r="H22" s="1"/>
      <c r="I22" s="4"/>
      <c r="J22" s="11"/>
      <c r="K22" s="29">
        <f t="shared" si="0"/>
        <v>477534.64</v>
      </c>
      <c r="N22" s="7"/>
    </row>
    <row r="23" spans="1:15" ht="15.75" thickBot="1">
      <c r="A23" s="10"/>
      <c r="B23" s="12"/>
      <c r="C23" s="37"/>
      <c r="D23" s="10"/>
      <c r="E23" s="3"/>
      <c r="F23" s="10"/>
      <c r="G23" s="55"/>
      <c r="H23" s="58"/>
      <c r="I23" s="4"/>
      <c r="J23" s="11"/>
      <c r="K23" s="29">
        <f t="shared" si="0"/>
        <v>477534.64</v>
      </c>
    </row>
    <row r="24" spans="1:15" ht="15" customHeight="1">
      <c r="A24" s="10"/>
      <c r="B24" s="12"/>
      <c r="C24" s="37"/>
      <c r="D24" s="10"/>
      <c r="E24" s="3"/>
      <c r="F24" s="3"/>
      <c r="G24" s="2"/>
      <c r="H24" s="57"/>
      <c r="I24" s="4"/>
      <c r="J24" s="11"/>
      <c r="K24" s="29">
        <f t="shared" si="0"/>
        <v>477534.64</v>
      </c>
      <c r="M24" s="75" t="s">
        <v>45</v>
      </c>
      <c r="N24" s="76">
        <v>16000.7</v>
      </c>
      <c r="O24" s="91" t="s">
        <v>61</v>
      </c>
    </row>
    <row r="25" spans="1:15" ht="15" customHeight="1">
      <c r="A25" s="10"/>
      <c r="B25" s="12"/>
      <c r="C25" s="37"/>
      <c r="D25" s="10"/>
      <c r="E25" s="3"/>
      <c r="F25" s="3"/>
      <c r="G25" s="2"/>
      <c r="H25" s="1"/>
      <c r="I25" s="4"/>
      <c r="J25" s="11"/>
      <c r="K25" s="29">
        <f t="shared" si="0"/>
        <v>477534.64</v>
      </c>
      <c r="M25" s="77" t="s">
        <v>46</v>
      </c>
      <c r="N25" s="78">
        <f>N24/5</f>
        <v>3200.1400000000003</v>
      </c>
      <c r="O25" s="92"/>
    </row>
    <row r="26" spans="1:15" ht="15" customHeight="1">
      <c r="A26" s="10"/>
      <c r="B26" s="12"/>
      <c r="C26" s="37"/>
      <c r="D26" s="10"/>
      <c r="E26" s="3"/>
      <c r="F26" s="3"/>
      <c r="G26" s="2"/>
      <c r="H26" s="1"/>
      <c r="I26" s="4"/>
      <c r="J26" s="11"/>
      <c r="K26" s="29">
        <f t="shared" si="0"/>
        <v>477534.64</v>
      </c>
      <c r="M26" s="77" t="s">
        <v>47</v>
      </c>
      <c r="N26" s="79">
        <v>2</v>
      </c>
      <c r="O26" s="92"/>
    </row>
    <row r="27" spans="1:15" ht="15.75" customHeight="1" thickBot="1">
      <c r="A27" s="10"/>
      <c r="B27" s="12"/>
      <c r="C27" s="37"/>
      <c r="D27" s="10"/>
      <c r="E27" s="3"/>
      <c r="F27" s="3"/>
      <c r="G27" s="2"/>
      <c r="H27" s="1"/>
      <c r="I27" s="4"/>
      <c r="J27" s="11"/>
      <c r="K27" s="29">
        <f t="shared" si="0"/>
        <v>477534.64</v>
      </c>
      <c r="M27" s="80"/>
      <c r="N27" s="71"/>
      <c r="O27" s="92"/>
    </row>
    <row r="28" spans="1:15" ht="15.75" customHeight="1" thickBot="1">
      <c r="A28" s="10"/>
      <c r="B28" s="12"/>
      <c r="C28" s="37"/>
      <c r="D28" s="10"/>
      <c r="E28" s="3"/>
      <c r="F28" s="3"/>
      <c r="G28" s="2"/>
      <c r="H28" s="1"/>
      <c r="I28" s="4"/>
      <c r="J28" s="11"/>
      <c r="K28" s="29">
        <f t="shared" si="0"/>
        <v>477534.64</v>
      </c>
      <c r="M28" s="81" t="s">
        <v>48</v>
      </c>
      <c r="N28" s="72">
        <f>N24-(N25*N26)</f>
        <v>9600.42</v>
      </c>
      <c r="O28" s="93"/>
    </row>
    <row r="29" spans="1:15">
      <c r="A29" s="10"/>
      <c r="B29" s="12"/>
      <c r="C29" s="37"/>
      <c r="D29" s="10"/>
      <c r="E29" s="3"/>
      <c r="F29" s="3"/>
      <c r="G29" s="2"/>
      <c r="H29" s="1"/>
      <c r="I29" s="4"/>
      <c r="J29" s="11"/>
      <c r="K29" s="29">
        <f t="shared" si="0"/>
        <v>477534.64</v>
      </c>
    </row>
    <row r="30" spans="1:15" ht="15.75" thickBot="1">
      <c r="A30" s="10"/>
      <c r="B30" s="9"/>
      <c r="C30" s="37"/>
      <c r="D30" s="10"/>
      <c r="E30" s="3"/>
      <c r="F30" s="3"/>
      <c r="G30" s="2"/>
      <c r="H30" s="1"/>
      <c r="I30" s="4"/>
      <c r="J30" s="11"/>
      <c r="K30" s="29">
        <f t="shared" si="0"/>
        <v>477534.64</v>
      </c>
    </row>
    <row r="31" spans="1:15">
      <c r="A31" s="10"/>
      <c r="B31" s="12"/>
      <c r="C31" s="37"/>
      <c r="D31" s="10"/>
      <c r="E31" s="3"/>
      <c r="F31" s="3"/>
      <c r="G31" s="2"/>
      <c r="H31" s="1"/>
      <c r="I31" s="4"/>
      <c r="J31" s="11"/>
      <c r="K31" s="29">
        <f t="shared" si="0"/>
        <v>477534.64</v>
      </c>
      <c r="M31" s="75" t="s">
        <v>45</v>
      </c>
      <c r="N31" s="76">
        <v>21391.38</v>
      </c>
      <c r="O31" s="91" t="s">
        <v>39</v>
      </c>
    </row>
    <row r="32" spans="1:15">
      <c r="A32" s="10"/>
      <c r="B32" s="9"/>
      <c r="C32" s="37"/>
      <c r="D32" s="10"/>
      <c r="E32" s="3"/>
      <c r="F32" s="3"/>
      <c r="G32" s="2"/>
      <c r="H32" s="1"/>
      <c r="I32" s="4"/>
      <c r="J32" s="11"/>
      <c r="K32" s="29">
        <f t="shared" si="0"/>
        <v>477534.64</v>
      </c>
      <c r="M32" s="77" t="s">
        <v>46</v>
      </c>
      <c r="N32" s="78">
        <f>N31/3</f>
        <v>7130.46</v>
      </c>
      <c r="O32" s="92"/>
    </row>
    <row r="33" spans="1:15">
      <c r="A33" s="10"/>
      <c r="B33" s="12"/>
      <c r="C33" s="37"/>
      <c r="D33" s="10"/>
      <c r="E33" s="34"/>
      <c r="F33" s="10"/>
      <c r="G33" s="51"/>
      <c r="H33" s="14"/>
      <c r="I33" s="4"/>
      <c r="J33" s="11"/>
      <c r="K33" s="29">
        <f t="shared" si="0"/>
        <v>477534.64</v>
      </c>
      <c r="M33" s="77" t="s">
        <v>47</v>
      </c>
      <c r="N33" s="79">
        <v>3</v>
      </c>
      <c r="O33" s="92"/>
    </row>
    <row r="34" spans="1:15" ht="15.75" thickBot="1">
      <c r="A34" s="10"/>
      <c r="B34" s="12"/>
      <c r="C34" s="37"/>
      <c r="D34" s="10"/>
      <c r="E34" s="3"/>
      <c r="F34" s="3"/>
      <c r="G34" s="2"/>
      <c r="H34" s="1"/>
      <c r="I34" s="4"/>
      <c r="J34" s="11"/>
      <c r="K34" s="29">
        <f t="shared" si="0"/>
        <v>477534.64</v>
      </c>
      <c r="M34" s="80"/>
      <c r="N34" s="71"/>
      <c r="O34" s="92"/>
    </row>
    <row r="35" spans="1:15" ht="15.75" thickBot="1">
      <c r="A35" s="10"/>
      <c r="B35" s="9"/>
      <c r="C35" s="37"/>
      <c r="D35" s="10"/>
      <c r="E35" s="3"/>
      <c r="F35" s="3"/>
      <c r="G35" s="2"/>
      <c r="H35" s="1"/>
      <c r="I35" s="4"/>
      <c r="J35" s="11"/>
      <c r="K35" s="29">
        <f t="shared" si="0"/>
        <v>477534.64</v>
      </c>
      <c r="M35" s="81" t="s">
        <v>48</v>
      </c>
      <c r="N35" s="72">
        <f>N31-(N32*N33)</f>
        <v>0</v>
      </c>
      <c r="O35" s="93"/>
    </row>
    <row r="36" spans="1:15">
      <c r="A36" s="10"/>
      <c r="B36" s="12"/>
      <c r="C36" s="37"/>
      <c r="D36" s="10"/>
      <c r="E36" s="34"/>
      <c r="F36" s="10"/>
      <c r="G36" s="51"/>
      <c r="H36" s="14"/>
      <c r="I36" s="38"/>
      <c r="J36" s="11"/>
      <c r="K36" s="29">
        <f t="shared" si="0"/>
        <v>477534.64</v>
      </c>
    </row>
    <row r="37" spans="1:15" ht="18" customHeight="1">
      <c r="A37" s="10"/>
      <c r="B37" s="13"/>
      <c r="C37" s="37"/>
      <c r="D37" s="10"/>
      <c r="E37" s="34"/>
      <c r="F37" s="10"/>
      <c r="G37" s="51"/>
      <c r="H37" s="36"/>
      <c r="I37" s="36"/>
      <c r="J37" s="11"/>
      <c r="K37" s="29">
        <f t="shared" si="0"/>
        <v>477534.64</v>
      </c>
      <c r="M37" s="73"/>
    </row>
    <row r="38" spans="1:15" ht="15" customHeight="1">
      <c r="A38" s="10"/>
      <c r="B38" s="12"/>
      <c r="C38" s="37"/>
      <c r="D38" s="10"/>
      <c r="E38" s="34"/>
      <c r="F38" s="10"/>
      <c r="G38" s="51"/>
      <c r="H38" s="36"/>
      <c r="I38" s="36"/>
      <c r="J38" s="11"/>
      <c r="K38" s="29">
        <f t="shared" si="0"/>
        <v>477534.64</v>
      </c>
      <c r="M38" s="74"/>
    </row>
    <row r="39" spans="1:15" ht="15" customHeight="1">
      <c r="A39" s="10"/>
      <c r="B39" s="9"/>
      <c r="C39" s="37"/>
      <c r="D39" s="10"/>
      <c r="E39" s="34"/>
      <c r="F39" s="10"/>
      <c r="G39" s="51"/>
      <c r="H39" s="14"/>
      <c r="I39" s="38"/>
      <c r="J39" s="11"/>
      <c r="K39" s="29">
        <f t="shared" si="0"/>
        <v>477534.64</v>
      </c>
      <c r="M39" s="73"/>
    </row>
    <row r="40" spans="1:15" ht="15.75" customHeight="1">
      <c r="A40" s="10"/>
      <c r="B40" s="12"/>
      <c r="C40" s="37"/>
      <c r="D40" s="10"/>
      <c r="E40" s="34"/>
      <c r="F40" s="10"/>
      <c r="G40" s="51"/>
      <c r="H40" s="14"/>
      <c r="I40" s="38"/>
      <c r="J40" s="11"/>
      <c r="K40" s="29">
        <f t="shared" si="0"/>
        <v>477534.64</v>
      </c>
      <c r="M40" s="73"/>
    </row>
    <row r="41" spans="1:15" ht="15.75" customHeight="1">
      <c r="A41" s="10"/>
      <c r="B41" s="13"/>
      <c r="C41" s="37"/>
      <c r="D41" s="10"/>
      <c r="E41" s="34"/>
      <c r="F41" s="10"/>
      <c r="G41" s="51"/>
      <c r="H41" s="38"/>
      <c r="I41" s="36"/>
      <c r="J41" s="11"/>
      <c r="K41" s="29">
        <f t="shared" si="0"/>
        <v>477534.64</v>
      </c>
      <c r="M41" s="74"/>
    </row>
    <row r="42" spans="1:15" ht="15" customHeight="1">
      <c r="A42" s="10"/>
      <c r="B42" s="12"/>
      <c r="C42" s="37"/>
      <c r="D42" s="10"/>
      <c r="E42" s="34"/>
      <c r="F42" s="10"/>
      <c r="G42" s="51"/>
      <c r="H42" s="36"/>
      <c r="I42" s="36"/>
      <c r="J42" s="11"/>
      <c r="K42" s="29">
        <f t="shared" si="0"/>
        <v>477534.64</v>
      </c>
      <c r="M42" s="73"/>
    </row>
    <row r="43" spans="1:15" ht="17.25" customHeight="1">
      <c r="A43" s="10"/>
      <c r="B43" s="9"/>
      <c r="C43" s="37"/>
      <c r="D43" s="10"/>
      <c r="E43" s="34"/>
      <c r="F43" s="10"/>
      <c r="G43" s="51"/>
      <c r="H43" s="36"/>
      <c r="I43" s="36"/>
      <c r="J43" s="11"/>
      <c r="K43" s="29">
        <f t="shared" si="0"/>
        <v>477534.64</v>
      </c>
      <c r="M43" s="74"/>
    </row>
    <row r="44" spans="1:15" ht="15" customHeight="1">
      <c r="A44" s="10"/>
      <c r="B44" s="9"/>
      <c r="C44" s="37"/>
      <c r="D44" s="10"/>
      <c r="E44" s="34"/>
      <c r="F44" s="10"/>
      <c r="G44" s="51"/>
      <c r="H44" s="36"/>
      <c r="I44" s="36"/>
      <c r="J44" s="30"/>
      <c r="K44" s="29">
        <f t="shared" si="0"/>
        <v>477534.64</v>
      </c>
      <c r="M44" s="73"/>
    </row>
    <row r="45" spans="1:15">
      <c r="A45" s="10"/>
      <c r="B45" s="9"/>
      <c r="C45" s="37"/>
      <c r="D45" s="10"/>
      <c r="E45" s="34"/>
      <c r="F45" s="10"/>
      <c r="G45" s="51"/>
      <c r="H45" s="36"/>
      <c r="I45" s="36"/>
      <c r="J45" s="30"/>
      <c r="K45" s="29">
        <f t="shared" si="0"/>
        <v>477534.64</v>
      </c>
    </row>
    <row r="46" spans="1:15">
      <c r="A46" s="10"/>
      <c r="B46" s="9"/>
      <c r="C46" s="37"/>
      <c r="D46" s="10"/>
      <c r="E46" s="34"/>
      <c r="F46" s="10"/>
      <c r="G46" s="51"/>
      <c r="H46" s="36"/>
      <c r="I46" s="36"/>
      <c r="J46" s="30"/>
      <c r="K46" s="29">
        <f t="shared" si="0"/>
        <v>477534.64</v>
      </c>
    </row>
    <row r="47" spans="1:15" ht="15.75" thickBot="1">
      <c r="A47" s="39"/>
      <c r="B47" s="40"/>
      <c r="C47" s="41"/>
      <c r="D47" s="39"/>
      <c r="E47" s="42"/>
      <c r="F47" s="39"/>
      <c r="G47" s="52"/>
      <c r="H47" s="43"/>
      <c r="I47" s="43"/>
      <c r="J47" s="44"/>
      <c r="K47" s="29">
        <f t="shared" si="0"/>
        <v>477534.64</v>
      </c>
    </row>
    <row r="48" spans="1:15" ht="15.75" thickBot="1">
      <c r="A48" s="54" t="s">
        <v>72</v>
      </c>
      <c r="B48" s="16"/>
      <c r="C48" s="47"/>
      <c r="D48" s="15"/>
      <c r="E48" s="16"/>
      <c r="F48" s="48"/>
      <c r="G48" s="18">
        <f>SUM(G3:G47)</f>
        <v>0</v>
      </c>
      <c r="H48" s="15"/>
      <c r="I48" s="49"/>
      <c r="J48" s="17">
        <f>SUM(J3:J47)</f>
        <v>91012.14</v>
      </c>
      <c r="K48" s="19"/>
    </row>
  </sheetData>
  <mergeCells count="9">
    <mergeCell ref="A1:K1"/>
    <mergeCell ref="O10:O14"/>
    <mergeCell ref="O17:O21"/>
    <mergeCell ref="O24:O28"/>
    <mergeCell ref="O31:O35"/>
    <mergeCell ref="M7:M8"/>
    <mergeCell ref="N7:O8"/>
    <mergeCell ref="N4:O4"/>
    <mergeCell ref="N5:O5"/>
  </mergeCells>
  <pageMargins left="0.16" right="0.16" top="0.34" bottom="0.3" header="0.23" footer="0.21"/>
  <pageSetup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8"/>
  <sheetViews>
    <sheetView zoomScaleNormal="100" workbookViewId="0">
      <pane ySplit="2" topLeftCell="A3" activePane="bottomLeft" state="frozen"/>
      <selection pane="bottomLeft" activeCell="J12" sqref="J12"/>
    </sheetView>
  </sheetViews>
  <sheetFormatPr defaultRowHeight="15"/>
  <cols>
    <col min="1" max="1" width="10.140625" style="5" bestFit="1" customWidth="1"/>
    <col min="2" max="2" width="19.42578125" style="5" customWidth="1"/>
    <col min="3" max="3" width="7.85546875" style="5" bestFit="1" customWidth="1"/>
    <col min="4" max="4" width="14" style="5" customWidth="1"/>
    <col min="5" max="5" width="9.85546875" style="87" customWidth="1"/>
    <col min="6" max="6" width="17.5703125" style="5" bestFit="1" customWidth="1"/>
    <col min="7" max="7" width="10.28515625" style="53" bestFit="1" customWidth="1"/>
    <col min="8" max="8" width="13.140625" style="5" bestFit="1" customWidth="1"/>
    <col min="9" max="9" width="13.140625" style="5" customWidth="1"/>
    <col min="10" max="10" width="9.85546875" style="6" customWidth="1"/>
    <col min="11" max="11" width="10" style="6" bestFit="1" customWidth="1"/>
    <col min="12" max="12" width="6.140625" style="5" customWidth="1"/>
    <col min="13" max="13" width="19" style="5" customWidth="1"/>
    <col min="14" max="14" width="11.28515625" style="5" customWidth="1"/>
    <col min="15" max="15" width="11.85546875" style="5" customWidth="1"/>
    <col min="16" max="16" width="6" style="5" customWidth="1"/>
    <col min="17" max="17" width="8" style="5" customWidth="1"/>
    <col min="18" max="16384" width="9.140625" style="5"/>
  </cols>
  <sheetData>
    <row r="1" spans="1:15" ht="15.75" thickBot="1">
      <c r="A1" s="88" t="s">
        <v>69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5" s="87" customFormat="1" ht="45.75" thickBot="1">
      <c r="A2" s="20" t="s">
        <v>2</v>
      </c>
      <c r="B2" s="21" t="s">
        <v>0</v>
      </c>
      <c r="C2" s="22" t="s">
        <v>50</v>
      </c>
      <c r="D2" s="20" t="s">
        <v>8</v>
      </c>
      <c r="E2" s="20" t="s">
        <v>6</v>
      </c>
      <c r="F2" s="20" t="s">
        <v>1</v>
      </c>
      <c r="G2" s="23" t="s">
        <v>3</v>
      </c>
      <c r="H2" s="24" t="s">
        <v>15</v>
      </c>
      <c r="I2" s="20" t="s">
        <v>14</v>
      </c>
      <c r="J2" s="20" t="s">
        <v>4</v>
      </c>
      <c r="K2" s="25" t="s">
        <v>5</v>
      </c>
    </row>
    <row r="3" spans="1:15" ht="15.75" thickBot="1">
      <c r="A3" s="26" t="s">
        <v>68</v>
      </c>
      <c r="B3" s="8" t="s">
        <v>9</v>
      </c>
      <c r="C3" s="27"/>
      <c r="D3" s="26"/>
      <c r="E3" s="32"/>
      <c r="F3" s="26"/>
      <c r="G3" s="50"/>
      <c r="H3" s="35"/>
      <c r="I3" s="45"/>
      <c r="J3" s="31"/>
      <c r="K3" s="28">
        <v>477534.64</v>
      </c>
    </row>
    <row r="4" spans="1:15">
      <c r="A4" s="26" t="s">
        <v>68</v>
      </c>
      <c r="B4" s="12" t="s">
        <v>20</v>
      </c>
      <c r="C4" s="59" t="s">
        <v>63</v>
      </c>
      <c r="D4" s="60" t="s">
        <v>26</v>
      </c>
      <c r="E4" s="34"/>
      <c r="F4" s="10"/>
      <c r="G4" s="51"/>
      <c r="H4" s="14"/>
      <c r="I4" s="4"/>
      <c r="J4" s="29">
        <v>7044.84</v>
      </c>
      <c r="K4" s="29">
        <f>SUM(K3+G4-J4)</f>
        <v>470489.8</v>
      </c>
      <c r="M4" s="82" t="s">
        <v>13</v>
      </c>
      <c r="N4" s="100">
        <f>'[1]June 2021'!$K$6</f>
        <v>363609.8</v>
      </c>
      <c r="O4" s="101"/>
    </row>
    <row r="5" spans="1:15">
      <c r="A5" s="10" t="s">
        <v>75</v>
      </c>
      <c r="B5" s="12" t="s">
        <v>20</v>
      </c>
      <c r="C5" s="59" t="s">
        <v>60</v>
      </c>
      <c r="D5" s="60" t="s">
        <v>21</v>
      </c>
      <c r="E5" s="3"/>
      <c r="F5" s="3"/>
      <c r="G5" s="2"/>
      <c r="H5" s="1"/>
      <c r="I5" s="4"/>
      <c r="J5" s="29">
        <v>3200.1</v>
      </c>
      <c r="K5" s="29">
        <f t="shared" ref="K5:K47" si="0">SUM(K4+G5-J5)</f>
        <v>467289.7</v>
      </c>
      <c r="M5" s="83" t="s">
        <v>12</v>
      </c>
      <c r="N5" s="102">
        <f>K47-N14-N21-N28-N35</f>
        <v>363609.8</v>
      </c>
      <c r="O5" s="103"/>
    </row>
    <row r="6" spans="1:15" s="87" customFormat="1" ht="15.75" thickBot="1">
      <c r="A6" s="10" t="s">
        <v>78</v>
      </c>
      <c r="B6" s="12" t="s">
        <v>20</v>
      </c>
      <c r="C6" s="59" t="s">
        <v>76</v>
      </c>
      <c r="D6" s="60" t="s">
        <v>77</v>
      </c>
      <c r="E6" s="33"/>
      <c r="F6" s="10"/>
      <c r="G6" s="51"/>
      <c r="H6" s="4"/>
      <c r="I6" s="4"/>
      <c r="J6" s="29">
        <v>7064</v>
      </c>
      <c r="K6" s="29">
        <f t="shared" si="0"/>
        <v>460225.7</v>
      </c>
      <c r="M6" s="84"/>
      <c r="N6" s="85"/>
      <c r="O6" s="86"/>
    </row>
    <row r="7" spans="1:15" s="87" customFormat="1" ht="15" customHeight="1">
      <c r="A7" s="10" t="s">
        <v>79</v>
      </c>
      <c r="B7" s="12" t="s">
        <v>20</v>
      </c>
      <c r="C7" s="59" t="s">
        <v>76</v>
      </c>
      <c r="D7" s="60" t="s">
        <v>38</v>
      </c>
      <c r="E7" s="33"/>
      <c r="F7" s="10"/>
      <c r="G7" s="51"/>
      <c r="H7" s="4"/>
      <c r="I7" s="4"/>
      <c r="J7" s="29">
        <v>7064</v>
      </c>
      <c r="K7" s="29">
        <f>SUM(K6+G7-J7)</f>
        <v>453161.7</v>
      </c>
      <c r="M7" s="94" t="s">
        <v>11</v>
      </c>
      <c r="N7" s="96">
        <f>N4-N5</f>
        <v>0</v>
      </c>
      <c r="O7" s="97"/>
    </row>
    <row r="8" spans="1:15" ht="15" customHeight="1" thickBot="1">
      <c r="A8" s="10" t="s">
        <v>80</v>
      </c>
      <c r="B8" s="12" t="s">
        <v>20</v>
      </c>
      <c r="C8" s="59" t="s">
        <v>60</v>
      </c>
      <c r="D8" s="60" t="s">
        <v>25</v>
      </c>
      <c r="E8" s="3"/>
      <c r="F8" s="3"/>
      <c r="G8" s="2"/>
      <c r="H8" s="1"/>
      <c r="I8" s="4"/>
      <c r="J8" s="29">
        <v>3200.1</v>
      </c>
      <c r="K8" s="29">
        <f t="shared" si="0"/>
        <v>449961.60000000003</v>
      </c>
      <c r="M8" s="95"/>
      <c r="N8" s="98"/>
      <c r="O8" s="99"/>
    </row>
    <row r="9" spans="1:15" ht="15.75" thickBot="1">
      <c r="A9" s="10" t="s">
        <v>83</v>
      </c>
      <c r="B9" s="12" t="s">
        <v>20</v>
      </c>
      <c r="C9" s="59" t="s">
        <v>81</v>
      </c>
      <c r="D9" s="60" t="s">
        <v>22</v>
      </c>
      <c r="E9" s="3"/>
      <c r="F9" s="3"/>
      <c r="G9" s="2"/>
      <c r="H9" s="1"/>
      <c r="I9" s="4"/>
      <c r="J9" s="29">
        <v>7457.9</v>
      </c>
      <c r="K9" s="29">
        <f t="shared" si="0"/>
        <v>442503.7</v>
      </c>
      <c r="M9" s="46"/>
    </row>
    <row r="10" spans="1:15" ht="15" customHeight="1">
      <c r="A10" s="10" t="s">
        <v>84</v>
      </c>
      <c r="B10" s="12" t="s">
        <v>20</v>
      </c>
      <c r="C10" s="59" t="s">
        <v>60</v>
      </c>
      <c r="D10" s="60" t="s">
        <v>26</v>
      </c>
      <c r="E10" s="3"/>
      <c r="F10" s="3"/>
      <c r="G10" s="2"/>
      <c r="H10" s="1"/>
      <c r="I10" s="4"/>
      <c r="J10" s="29">
        <v>3200.18</v>
      </c>
      <c r="K10" s="29">
        <f t="shared" si="0"/>
        <v>439303.52</v>
      </c>
      <c r="M10" s="75" t="s">
        <v>45</v>
      </c>
      <c r="N10" s="76">
        <v>37289.5</v>
      </c>
      <c r="O10" s="91" t="s">
        <v>82</v>
      </c>
    </row>
    <row r="11" spans="1:15" ht="15.75" customHeight="1">
      <c r="A11" s="10" t="s">
        <v>85</v>
      </c>
      <c r="B11" s="12" t="s">
        <v>20</v>
      </c>
      <c r="C11" s="59" t="s">
        <v>81</v>
      </c>
      <c r="D11" s="60" t="s">
        <v>24</v>
      </c>
      <c r="E11" s="34"/>
      <c r="F11" s="10"/>
      <c r="G11" s="51"/>
      <c r="H11" s="36"/>
      <c r="I11" s="14"/>
      <c r="J11" s="29">
        <v>7457.9</v>
      </c>
      <c r="K11" s="29">
        <f t="shared" si="0"/>
        <v>431845.62</v>
      </c>
      <c r="M11" s="77" t="s">
        <v>46</v>
      </c>
      <c r="N11" s="78">
        <f>N10/5</f>
        <v>7457.9</v>
      </c>
      <c r="O11" s="92"/>
    </row>
    <row r="12" spans="1:15">
      <c r="A12" s="10"/>
      <c r="B12" s="12"/>
      <c r="C12" s="59"/>
      <c r="D12" s="60"/>
      <c r="E12" s="34"/>
      <c r="F12" s="10"/>
      <c r="G12" s="51"/>
      <c r="H12" s="36"/>
      <c r="I12" s="14"/>
      <c r="J12" s="11"/>
      <c r="K12" s="29">
        <f t="shared" si="0"/>
        <v>431845.62</v>
      </c>
      <c r="M12" s="77" t="s">
        <v>47</v>
      </c>
      <c r="N12" s="79">
        <v>2</v>
      </c>
      <c r="O12" s="92"/>
    </row>
    <row r="13" spans="1:15" ht="15.75" thickBot="1">
      <c r="A13" s="10"/>
      <c r="B13" s="12"/>
      <c r="C13" s="59"/>
      <c r="D13" s="60"/>
      <c r="E13" s="34"/>
      <c r="F13" s="10"/>
      <c r="G13" s="51"/>
      <c r="H13" s="36"/>
      <c r="I13" s="14"/>
      <c r="J13" s="11"/>
      <c r="K13" s="29">
        <f t="shared" si="0"/>
        <v>431845.62</v>
      </c>
      <c r="M13" s="80"/>
      <c r="N13" s="71"/>
      <c r="O13" s="92"/>
    </row>
    <row r="14" spans="1:15" ht="15.75" thickBot="1">
      <c r="A14" s="10"/>
      <c r="B14" s="12"/>
      <c r="C14" s="59"/>
      <c r="D14" s="60"/>
      <c r="E14" s="33"/>
      <c r="F14" s="10"/>
      <c r="G14" s="51"/>
      <c r="H14" s="4"/>
      <c r="I14" s="4"/>
      <c r="J14" s="11"/>
      <c r="K14" s="29">
        <f t="shared" si="0"/>
        <v>431845.62</v>
      </c>
      <c r="M14" s="81" t="s">
        <v>48</v>
      </c>
      <c r="N14" s="72">
        <f>N10-(N11*N12)</f>
        <v>22373.7</v>
      </c>
      <c r="O14" s="93"/>
    </row>
    <row r="15" spans="1:15">
      <c r="A15" s="10"/>
      <c r="B15" s="12"/>
      <c r="C15" s="59"/>
      <c r="D15" s="60"/>
      <c r="E15" s="34"/>
      <c r="F15" s="10"/>
      <c r="G15" s="51"/>
      <c r="H15" s="36"/>
      <c r="I15" s="14"/>
      <c r="J15" s="11"/>
      <c r="K15" s="29">
        <f t="shared" si="0"/>
        <v>431845.62</v>
      </c>
      <c r="N15" s="7"/>
    </row>
    <row r="16" spans="1:15" ht="15.75" thickBot="1">
      <c r="A16" s="10"/>
      <c r="B16" s="12"/>
      <c r="C16" s="59"/>
      <c r="D16" s="60"/>
      <c r="E16" s="34"/>
      <c r="F16" s="10"/>
      <c r="G16" s="51"/>
      <c r="H16" s="36"/>
      <c r="I16" s="14"/>
      <c r="J16" s="11"/>
      <c r="K16" s="29">
        <f t="shared" si="0"/>
        <v>431845.62</v>
      </c>
      <c r="N16" s="7"/>
    </row>
    <row r="17" spans="1:15">
      <c r="A17" s="10"/>
      <c r="B17" s="12"/>
      <c r="C17" s="59"/>
      <c r="D17" s="60"/>
      <c r="E17" s="34"/>
      <c r="F17" s="10"/>
      <c r="G17" s="51"/>
      <c r="H17" s="36"/>
      <c r="I17" s="14"/>
      <c r="J17" s="11"/>
      <c r="K17" s="29">
        <f t="shared" si="0"/>
        <v>431845.62</v>
      </c>
      <c r="M17" s="75" t="s">
        <v>45</v>
      </c>
      <c r="N17" s="76">
        <v>6085.12</v>
      </c>
      <c r="O17" s="91" t="s">
        <v>49</v>
      </c>
    </row>
    <row r="18" spans="1:15">
      <c r="A18" s="10"/>
      <c r="B18" s="12"/>
      <c r="C18" s="59"/>
      <c r="D18" s="60"/>
      <c r="E18" s="34"/>
      <c r="F18" s="10"/>
      <c r="G18" s="51"/>
      <c r="H18" s="14"/>
      <c r="I18" s="4"/>
      <c r="J18" s="11"/>
      <c r="K18" s="29">
        <f t="shared" si="0"/>
        <v>431845.62</v>
      </c>
      <c r="M18" s="77" t="s">
        <v>46</v>
      </c>
      <c r="N18" s="78">
        <f>N17/2</f>
        <v>3042.56</v>
      </c>
      <c r="O18" s="92"/>
    </row>
    <row r="19" spans="1:15">
      <c r="A19" s="10"/>
      <c r="B19" s="12"/>
      <c r="C19" s="37"/>
      <c r="D19" s="10"/>
      <c r="E19" s="3"/>
      <c r="F19" s="3"/>
      <c r="G19" s="2"/>
      <c r="H19" s="1"/>
      <c r="I19" s="4"/>
      <c r="J19" s="11"/>
      <c r="K19" s="29">
        <f t="shared" si="0"/>
        <v>431845.62</v>
      </c>
      <c r="M19" s="77" t="s">
        <v>47</v>
      </c>
      <c r="N19" s="79">
        <v>0</v>
      </c>
      <c r="O19" s="92"/>
    </row>
    <row r="20" spans="1:15" ht="15.75" thickBot="1">
      <c r="A20" s="10"/>
      <c r="B20" s="12"/>
      <c r="C20" s="37"/>
      <c r="D20" s="10"/>
      <c r="E20" s="3"/>
      <c r="F20" s="3"/>
      <c r="G20" s="2"/>
      <c r="H20" s="1"/>
      <c r="I20" s="4"/>
      <c r="J20" s="11"/>
      <c r="K20" s="29">
        <f t="shared" si="0"/>
        <v>431845.62</v>
      </c>
      <c r="M20" s="80"/>
      <c r="N20" s="71"/>
      <c r="O20" s="92"/>
    </row>
    <row r="21" spans="1:15" ht="15.75" thickBot="1">
      <c r="A21" s="10"/>
      <c r="B21" s="12"/>
      <c r="C21" s="37"/>
      <c r="D21" s="10"/>
      <c r="E21" s="3"/>
      <c r="F21" s="3"/>
      <c r="G21" s="2"/>
      <c r="H21" s="1"/>
      <c r="I21" s="4"/>
      <c r="J21" s="11"/>
      <c r="K21" s="29">
        <f t="shared" si="0"/>
        <v>431845.62</v>
      </c>
      <c r="M21" s="81" t="s">
        <v>48</v>
      </c>
      <c r="N21" s="72">
        <f>N17-(N18*N19)</f>
        <v>6085.12</v>
      </c>
      <c r="O21" s="93"/>
    </row>
    <row r="22" spans="1:15">
      <c r="A22" s="10"/>
      <c r="B22" s="12"/>
      <c r="C22" s="37"/>
      <c r="D22" s="10"/>
      <c r="E22" s="3"/>
      <c r="F22" s="3"/>
      <c r="G22" s="2"/>
      <c r="H22" s="1"/>
      <c r="I22" s="4"/>
      <c r="J22" s="11"/>
      <c r="K22" s="29">
        <f t="shared" si="0"/>
        <v>431845.62</v>
      </c>
      <c r="N22" s="7"/>
    </row>
    <row r="23" spans="1:15" ht="15.75" thickBot="1">
      <c r="A23" s="10"/>
      <c r="B23" s="12"/>
      <c r="C23" s="37"/>
      <c r="D23" s="10"/>
      <c r="E23" s="3"/>
      <c r="F23" s="10"/>
      <c r="G23" s="55"/>
      <c r="H23" s="58"/>
      <c r="I23" s="4"/>
      <c r="J23" s="11"/>
      <c r="K23" s="29">
        <f t="shared" si="0"/>
        <v>431845.62</v>
      </c>
    </row>
    <row r="24" spans="1:15" ht="15" customHeight="1">
      <c r="A24" s="10"/>
      <c r="B24" s="12"/>
      <c r="C24" s="37"/>
      <c r="D24" s="10"/>
      <c r="E24" s="3"/>
      <c r="F24" s="3"/>
      <c r="G24" s="2"/>
      <c r="H24" s="57"/>
      <c r="I24" s="4"/>
      <c r="J24" s="11"/>
      <c r="K24" s="29">
        <f t="shared" si="0"/>
        <v>431845.62</v>
      </c>
      <c r="M24" s="75" t="s">
        <v>45</v>
      </c>
      <c r="N24" s="76">
        <v>18585</v>
      </c>
      <c r="O24" s="91" t="s">
        <v>61</v>
      </c>
    </row>
    <row r="25" spans="1:15" ht="15" customHeight="1">
      <c r="A25" s="10"/>
      <c r="B25" s="12"/>
      <c r="C25" s="37"/>
      <c r="D25" s="10"/>
      <c r="E25" s="3"/>
      <c r="F25" s="3"/>
      <c r="G25" s="2"/>
      <c r="H25" s="1"/>
      <c r="I25" s="4"/>
      <c r="J25" s="11"/>
      <c r="K25" s="29">
        <f t="shared" si="0"/>
        <v>431845.62</v>
      </c>
      <c r="M25" s="77" t="s">
        <v>46</v>
      </c>
      <c r="N25" s="78">
        <f>N24/5</f>
        <v>3717</v>
      </c>
      <c r="O25" s="92"/>
    </row>
    <row r="26" spans="1:15" ht="15" customHeight="1">
      <c r="A26" s="10"/>
      <c r="B26" s="12"/>
      <c r="C26" s="37"/>
      <c r="D26" s="10"/>
      <c r="E26" s="3"/>
      <c r="F26" s="3"/>
      <c r="G26" s="2"/>
      <c r="H26" s="1"/>
      <c r="I26" s="4"/>
      <c r="J26" s="11"/>
      <c r="K26" s="29">
        <f t="shared" si="0"/>
        <v>431845.62</v>
      </c>
      <c r="M26" s="77" t="s">
        <v>47</v>
      </c>
      <c r="N26" s="79">
        <v>0</v>
      </c>
      <c r="O26" s="92"/>
    </row>
    <row r="27" spans="1:15" ht="15.75" customHeight="1" thickBot="1">
      <c r="A27" s="10"/>
      <c r="B27" s="12"/>
      <c r="C27" s="37"/>
      <c r="D27" s="10"/>
      <c r="E27" s="3"/>
      <c r="F27" s="3"/>
      <c r="G27" s="2"/>
      <c r="H27" s="1"/>
      <c r="I27" s="4"/>
      <c r="J27" s="11"/>
      <c r="K27" s="29">
        <f t="shared" si="0"/>
        <v>431845.62</v>
      </c>
      <c r="M27" s="80"/>
      <c r="N27" s="71"/>
      <c r="O27" s="92"/>
    </row>
    <row r="28" spans="1:15" ht="15.75" customHeight="1" thickBot="1">
      <c r="A28" s="10"/>
      <c r="B28" s="12"/>
      <c r="C28" s="37"/>
      <c r="D28" s="10"/>
      <c r="E28" s="3"/>
      <c r="F28" s="3"/>
      <c r="G28" s="2"/>
      <c r="H28" s="1"/>
      <c r="I28" s="4"/>
      <c r="J28" s="11"/>
      <c r="K28" s="29">
        <f t="shared" si="0"/>
        <v>431845.62</v>
      </c>
      <c r="M28" s="81" t="s">
        <v>48</v>
      </c>
      <c r="N28" s="72">
        <f>N24-(N25*N26)</f>
        <v>18585</v>
      </c>
      <c r="O28" s="93"/>
    </row>
    <row r="29" spans="1:15">
      <c r="A29" s="10"/>
      <c r="B29" s="12"/>
      <c r="C29" s="37"/>
      <c r="D29" s="10"/>
      <c r="E29" s="3"/>
      <c r="F29" s="3"/>
      <c r="G29" s="2"/>
      <c r="H29" s="1"/>
      <c r="I29" s="4"/>
      <c r="J29" s="11"/>
      <c r="K29" s="29">
        <f t="shared" si="0"/>
        <v>431845.62</v>
      </c>
    </row>
    <row r="30" spans="1:15" ht="15.75" thickBot="1">
      <c r="A30" s="10"/>
      <c r="B30" s="9"/>
      <c r="C30" s="37"/>
      <c r="D30" s="10"/>
      <c r="E30" s="3"/>
      <c r="F30" s="3"/>
      <c r="G30" s="2"/>
      <c r="H30" s="1"/>
      <c r="I30" s="4"/>
      <c r="J30" s="11"/>
      <c r="K30" s="29">
        <f t="shared" si="0"/>
        <v>431845.62</v>
      </c>
    </row>
    <row r="31" spans="1:15">
      <c r="A31" s="10"/>
      <c r="B31" s="12"/>
      <c r="C31" s="37"/>
      <c r="D31" s="10"/>
      <c r="E31" s="3"/>
      <c r="F31" s="3"/>
      <c r="G31" s="2"/>
      <c r="H31" s="1"/>
      <c r="I31" s="4"/>
      <c r="J31" s="11"/>
      <c r="K31" s="29">
        <f t="shared" si="0"/>
        <v>431845.62</v>
      </c>
      <c r="M31" s="75" t="s">
        <v>45</v>
      </c>
      <c r="N31" s="76">
        <v>35320</v>
      </c>
      <c r="O31" s="91" t="s">
        <v>76</v>
      </c>
    </row>
    <row r="32" spans="1:15">
      <c r="A32" s="10"/>
      <c r="B32" s="9"/>
      <c r="C32" s="37"/>
      <c r="D32" s="10"/>
      <c r="E32" s="3"/>
      <c r="F32" s="3"/>
      <c r="G32" s="2"/>
      <c r="H32" s="1"/>
      <c r="I32" s="4"/>
      <c r="J32" s="11"/>
      <c r="K32" s="29">
        <f t="shared" si="0"/>
        <v>431845.62</v>
      </c>
      <c r="M32" s="77" t="s">
        <v>46</v>
      </c>
      <c r="N32" s="78">
        <f>N31/5</f>
        <v>7064</v>
      </c>
      <c r="O32" s="92"/>
    </row>
    <row r="33" spans="1:15">
      <c r="A33" s="10"/>
      <c r="B33" s="12"/>
      <c r="C33" s="37"/>
      <c r="D33" s="10"/>
      <c r="E33" s="34"/>
      <c r="F33" s="10"/>
      <c r="G33" s="51"/>
      <c r="H33" s="14"/>
      <c r="I33" s="4"/>
      <c r="J33" s="11"/>
      <c r="K33" s="29">
        <f t="shared" si="0"/>
        <v>431845.62</v>
      </c>
      <c r="M33" s="77" t="s">
        <v>47</v>
      </c>
      <c r="N33" s="79">
        <v>2</v>
      </c>
      <c r="O33" s="92"/>
    </row>
    <row r="34" spans="1:15" ht="15.75" thickBot="1">
      <c r="A34" s="10"/>
      <c r="B34" s="12"/>
      <c r="C34" s="37"/>
      <c r="D34" s="10"/>
      <c r="E34" s="3"/>
      <c r="F34" s="3"/>
      <c r="G34" s="2"/>
      <c r="H34" s="1"/>
      <c r="I34" s="4"/>
      <c r="J34" s="11"/>
      <c r="K34" s="29">
        <f t="shared" si="0"/>
        <v>431845.62</v>
      </c>
      <c r="M34" s="80"/>
      <c r="N34" s="71"/>
      <c r="O34" s="92"/>
    </row>
    <row r="35" spans="1:15" ht="15.75" thickBot="1">
      <c r="A35" s="10"/>
      <c r="B35" s="9"/>
      <c r="C35" s="37"/>
      <c r="D35" s="10"/>
      <c r="E35" s="3"/>
      <c r="F35" s="3"/>
      <c r="G35" s="2"/>
      <c r="H35" s="1"/>
      <c r="I35" s="4"/>
      <c r="J35" s="11"/>
      <c r="K35" s="29">
        <f t="shared" si="0"/>
        <v>431845.62</v>
      </c>
      <c r="M35" s="81" t="s">
        <v>48</v>
      </c>
      <c r="N35" s="72">
        <f>N31-(N32*N33)</f>
        <v>21192</v>
      </c>
      <c r="O35" s="93"/>
    </row>
    <row r="36" spans="1:15">
      <c r="A36" s="10"/>
      <c r="B36" s="12"/>
      <c r="C36" s="37"/>
      <c r="D36" s="10"/>
      <c r="E36" s="34"/>
      <c r="F36" s="10"/>
      <c r="G36" s="51"/>
      <c r="H36" s="14"/>
      <c r="I36" s="38"/>
      <c r="J36" s="11"/>
      <c r="K36" s="29">
        <f t="shared" si="0"/>
        <v>431845.62</v>
      </c>
    </row>
    <row r="37" spans="1:15" ht="18" customHeight="1">
      <c r="A37" s="10"/>
      <c r="B37" s="13"/>
      <c r="C37" s="37"/>
      <c r="D37" s="10"/>
      <c r="E37" s="34"/>
      <c r="F37" s="10"/>
      <c r="G37" s="51"/>
      <c r="H37" s="36"/>
      <c r="I37" s="36"/>
      <c r="J37" s="11"/>
      <c r="K37" s="29">
        <f t="shared" si="0"/>
        <v>431845.62</v>
      </c>
      <c r="M37" s="73"/>
    </row>
    <row r="38" spans="1:15" ht="15" customHeight="1">
      <c r="A38" s="10"/>
      <c r="B38" s="12"/>
      <c r="C38" s="37"/>
      <c r="D38" s="10"/>
      <c r="E38" s="34"/>
      <c r="F38" s="10"/>
      <c r="G38" s="51"/>
      <c r="H38" s="36"/>
      <c r="I38" s="36"/>
      <c r="J38" s="11"/>
      <c r="K38" s="29">
        <f t="shared" si="0"/>
        <v>431845.62</v>
      </c>
      <c r="M38" s="74"/>
    </row>
    <row r="39" spans="1:15" ht="15" customHeight="1">
      <c r="A39" s="10"/>
      <c r="B39" s="9"/>
      <c r="C39" s="37"/>
      <c r="D39" s="10"/>
      <c r="E39" s="34"/>
      <c r="F39" s="10"/>
      <c r="G39" s="51"/>
      <c r="H39" s="14"/>
      <c r="I39" s="38"/>
      <c r="J39" s="11"/>
      <c r="K39" s="29">
        <f t="shared" si="0"/>
        <v>431845.62</v>
      </c>
      <c r="M39" s="73"/>
    </row>
    <row r="40" spans="1:15" ht="15.75" customHeight="1">
      <c r="A40" s="10"/>
      <c r="B40" s="12"/>
      <c r="C40" s="37"/>
      <c r="D40" s="10"/>
      <c r="E40" s="34"/>
      <c r="F40" s="10"/>
      <c r="G40" s="51"/>
      <c r="H40" s="14"/>
      <c r="I40" s="38"/>
      <c r="J40" s="11"/>
      <c r="K40" s="29">
        <f t="shared" si="0"/>
        <v>431845.62</v>
      </c>
      <c r="M40" s="73"/>
    </row>
    <row r="41" spans="1:15" ht="15.75" customHeight="1">
      <c r="A41" s="10"/>
      <c r="B41" s="13"/>
      <c r="C41" s="37"/>
      <c r="D41" s="10"/>
      <c r="E41" s="34"/>
      <c r="F41" s="10"/>
      <c r="G41" s="51"/>
      <c r="H41" s="38"/>
      <c r="I41" s="36"/>
      <c r="J41" s="11"/>
      <c r="K41" s="29">
        <f t="shared" si="0"/>
        <v>431845.62</v>
      </c>
      <c r="M41" s="74"/>
    </row>
    <row r="42" spans="1:15" ht="15" customHeight="1">
      <c r="A42" s="10"/>
      <c r="B42" s="12"/>
      <c r="C42" s="37"/>
      <c r="D42" s="10"/>
      <c r="E42" s="34"/>
      <c r="F42" s="10"/>
      <c r="G42" s="51"/>
      <c r="H42" s="36"/>
      <c r="I42" s="36"/>
      <c r="J42" s="11"/>
      <c r="K42" s="29">
        <f t="shared" si="0"/>
        <v>431845.62</v>
      </c>
      <c r="M42" s="73"/>
    </row>
    <row r="43" spans="1:15" ht="17.25" customHeight="1">
      <c r="A43" s="10"/>
      <c r="B43" s="9"/>
      <c r="C43" s="37"/>
      <c r="D43" s="10"/>
      <c r="E43" s="34"/>
      <c r="F43" s="10"/>
      <c r="G43" s="51"/>
      <c r="H43" s="36"/>
      <c r="I43" s="36"/>
      <c r="J43" s="11"/>
      <c r="K43" s="29">
        <f t="shared" si="0"/>
        <v>431845.62</v>
      </c>
      <c r="M43" s="74"/>
    </row>
    <row r="44" spans="1:15" ht="15" customHeight="1">
      <c r="A44" s="10"/>
      <c r="B44" s="9"/>
      <c r="C44" s="37"/>
      <c r="D44" s="10"/>
      <c r="E44" s="34"/>
      <c r="F44" s="10"/>
      <c r="G44" s="51"/>
      <c r="H44" s="36"/>
      <c r="I44" s="36"/>
      <c r="J44" s="30"/>
      <c r="K44" s="29">
        <f t="shared" si="0"/>
        <v>431845.62</v>
      </c>
      <c r="M44" s="73"/>
    </row>
    <row r="45" spans="1:15">
      <c r="A45" s="10"/>
      <c r="B45" s="9"/>
      <c r="C45" s="37"/>
      <c r="D45" s="10"/>
      <c r="E45" s="34"/>
      <c r="F45" s="10"/>
      <c r="G45" s="51"/>
      <c r="H45" s="36"/>
      <c r="I45" s="36"/>
      <c r="J45" s="30"/>
      <c r="K45" s="29">
        <f t="shared" si="0"/>
        <v>431845.62</v>
      </c>
    </row>
    <row r="46" spans="1:15">
      <c r="A46" s="10"/>
      <c r="B46" s="9"/>
      <c r="C46" s="37"/>
      <c r="D46" s="10"/>
      <c r="E46" s="34"/>
      <c r="F46" s="10"/>
      <c r="G46" s="51"/>
      <c r="H46" s="36"/>
      <c r="I46" s="36"/>
      <c r="J46" s="30"/>
      <c r="K46" s="29">
        <f t="shared" si="0"/>
        <v>431845.62</v>
      </c>
    </row>
    <row r="47" spans="1:15" ht="15.75" thickBot="1">
      <c r="A47" s="39"/>
      <c r="B47" s="40"/>
      <c r="C47" s="41"/>
      <c r="D47" s="39"/>
      <c r="E47" s="42"/>
      <c r="F47" s="39"/>
      <c r="G47" s="52"/>
      <c r="H47" s="43"/>
      <c r="I47" s="43"/>
      <c r="J47" s="44"/>
      <c r="K47" s="29">
        <f t="shared" si="0"/>
        <v>431845.62</v>
      </c>
    </row>
    <row r="48" spans="1:15" ht="15.75" thickBot="1">
      <c r="A48" s="54" t="s">
        <v>70</v>
      </c>
      <c r="B48" s="16"/>
      <c r="C48" s="47"/>
      <c r="D48" s="15"/>
      <c r="E48" s="16"/>
      <c r="F48" s="48"/>
      <c r="G48" s="18">
        <f>SUM(G3:G47)</f>
        <v>0</v>
      </c>
      <c r="H48" s="15"/>
      <c r="I48" s="49"/>
      <c r="J48" s="17">
        <f>SUM(J3:J47)</f>
        <v>45689.020000000004</v>
      </c>
      <c r="K48" s="19"/>
    </row>
  </sheetData>
  <mergeCells count="9">
    <mergeCell ref="O17:O21"/>
    <mergeCell ref="O24:O28"/>
    <mergeCell ref="O31:O35"/>
    <mergeCell ref="A1:K1"/>
    <mergeCell ref="N4:O4"/>
    <mergeCell ref="N5:O5"/>
    <mergeCell ref="M7:M8"/>
    <mergeCell ref="N7:O8"/>
    <mergeCell ref="O10:O14"/>
  </mergeCells>
  <pageMargins left="0.16" right="0.16" top="0.34" bottom="0.3" header="0.23" footer="0.21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April 2021-22</vt:lpstr>
      <vt:lpstr>May 2021</vt:lpstr>
      <vt:lpstr>June 2021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</dc:creator>
  <cp:lastModifiedBy>pataka</cp:lastModifiedBy>
  <cp:lastPrinted>2020-12-22T06:47:08Z</cp:lastPrinted>
  <dcterms:created xsi:type="dcterms:W3CDTF">2017-04-20T06:09:09Z</dcterms:created>
  <dcterms:modified xsi:type="dcterms:W3CDTF">2021-10-06T10:45:10Z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106e69ae-a096-4be8-bea6-0b773f0e29f2</vt:lpwstr>
  </property>
</Properties>
</file>