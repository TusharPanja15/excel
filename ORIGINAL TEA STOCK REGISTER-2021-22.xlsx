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iya\Downloads\excel-main\excel-main\"/>
    </mc:Choice>
  </mc:AlternateContent>
  <xr:revisionPtr revIDLastSave="0" documentId="13_ncr:1_{9A069912-7FC5-4C54-ABC3-055650F901FB}" xr6:coauthVersionLast="45" xr6:coauthVersionMax="45" xr10:uidLastSave="{00000000-0000-0000-0000-000000000000}"/>
  <bookViews>
    <workbookView xWindow="-120" yWindow="-120" windowWidth="20730" windowHeight="11160" activeTab="2" xr2:uid="{00000000-000D-0000-FFFF-FFFF00000000}"/>
  </bookViews>
  <sheets>
    <sheet name="April 2021-22" sheetId="25" r:id="rId1"/>
    <sheet name="May 2021" sheetId="26" r:id="rId2"/>
    <sheet name="June 2021" sheetId="27" r:id="rId3"/>
  </sheets>
  <externalReferences>
    <externalReference r:id="rId4"/>
  </externalReferences>
  <definedNames>
    <definedName name="_xlnm._FilterDatabase" localSheetId="0" hidden="1">'April 2021-22'!$A$2:$O$43</definedName>
    <definedName name="_xlnm._FilterDatabase" localSheetId="2" hidden="1">'June 2021'!$A$2:$O$43</definedName>
    <definedName name="_xlnm._FilterDatabase" localSheetId="1" hidden="1">'May 2021'!$A$2:$O$43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4" i="27" l="1"/>
  <c r="N11" i="27"/>
  <c r="N14" i="27" s="1"/>
  <c r="N18" i="27"/>
  <c r="N21" i="27" s="1"/>
  <c r="N25" i="27"/>
  <c r="J48" i="27"/>
  <c r="G48" i="27"/>
  <c r="N32" i="27"/>
  <c r="N35" i="27" s="1"/>
  <c r="N28" i="27"/>
  <c r="K4" i="27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N11" i="26"/>
  <c r="N5" i="27" l="1"/>
  <c r="N7" i="27" s="1"/>
  <c r="N32" i="26"/>
  <c r="N35" i="26" s="1"/>
  <c r="N25" i="26"/>
  <c r="N28" i="26" s="1"/>
  <c r="N18" i="26"/>
  <c r="N21" i="26" s="1"/>
  <c r="N14" i="26"/>
  <c r="J48" i="26" l="1"/>
  <c r="G48" i="26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O4" i="25"/>
  <c r="M10" i="25"/>
  <c r="N14" i="25" s="1"/>
  <c r="N19" i="25"/>
  <c r="M17" i="25"/>
  <c r="N21" i="25" s="1"/>
  <c r="N5" i="26" l="1"/>
  <c r="M31" i="25"/>
  <c r="N35" i="25" s="1"/>
  <c r="N33" i="25"/>
  <c r="N12" i="25" l="1"/>
  <c r="J48" i="25"/>
  <c r="K4" i="25"/>
  <c r="K5" i="25" s="1"/>
  <c r="K6" i="25" s="1"/>
  <c r="K7" i="25" s="1"/>
  <c r="K8" i="25" s="1"/>
  <c r="K9" i="25" s="1"/>
  <c r="K10" i="25" s="1"/>
  <c r="K11" i="25" s="1"/>
  <c r="K12" i="25" s="1"/>
  <c r="K13" i="25" s="1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G48" i="25"/>
  <c r="O5" i="25" l="1"/>
  <c r="O7" i="25" s="1"/>
  <c r="N4" i="26" l="1"/>
  <c r="N7" i="26" s="1"/>
</calcChain>
</file>

<file path=xl/sharedStrings.xml><?xml version="1.0" encoding="utf-8"?>
<sst xmlns="http://schemas.openxmlformats.org/spreadsheetml/2006/main" count="218" uniqueCount="75">
  <si>
    <t>PARTICULAR</t>
  </si>
  <si>
    <t>INVOICE NO.</t>
  </si>
  <si>
    <t>DATE OF ARRIVAL</t>
  </si>
  <si>
    <t>RECEPIT QUANTITY</t>
  </si>
  <si>
    <t>ISSUED FOR BLEND</t>
  </si>
  <si>
    <t>CLOSING  STOCK</t>
  </si>
  <si>
    <t>INVOICE DATE</t>
  </si>
  <si>
    <t>BLAND NO.</t>
  </si>
  <si>
    <t>PART NO.</t>
  </si>
  <si>
    <t>Opening Stock</t>
  </si>
  <si>
    <t>Less</t>
  </si>
  <si>
    <t>Deff</t>
  </si>
  <si>
    <t>Bt.</t>
  </si>
  <si>
    <t>Dk.</t>
  </si>
  <si>
    <t>E-Way Bill No.</t>
  </si>
  <si>
    <t>Truck No.</t>
  </si>
  <si>
    <t>GML-07</t>
  </si>
  <si>
    <t>5 Kg-14</t>
  </si>
  <si>
    <t>01.04.2021</t>
  </si>
  <si>
    <t>02.04.2021</t>
  </si>
  <si>
    <t>Issued For Blend</t>
  </si>
  <si>
    <t>Part no.03</t>
  </si>
  <si>
    <t>Part no.01</t>
  </si>
  <si>
    <t>Gsl-1</t>
  </si>
  <si>
    <t>Part no.02</t>
  </si>
  <si>
    <t>Part no.04</t>
  </si>
  <si>
    <t>Part no.05</t>
  </si>
  <si>
    <t>03.04.2021</t>
  </si>
  <si>
    <t>07.04.2021</t>
  </si>
  <si>
    <t>08.04.2021</t>
  </si>
  <si>
    <t>09.04.2021</t>
  </si>
  <si>
    <t>16.04.2021</t>
  </si>
  <si>
    <t>17.04.2021</t>
  </si>
  <si>
    <t>Gsl-2</t>
  </si>
  <si>
    <t>21.04.2021</t>
  </si>
  <si>
    <t>23.04.2021</t>
  </si>
  <si>
    <t>24.04.2021</t>
  </si>
  <si>
    <t>26.04.2021</t>
  </si>
  <si>
    <t>Part no. 02</t>
  </si>
  <si>
    <t>5Kg-01</t>
  </si>
  <si>
    <t>29.04.2021</t>
  </si>
  <si>
    <t>GPL-01</t>
  </si>
  <si>
    <t>Gpl-1</t>
  </si>
  <si>
    <t>Gsl-3</t>
  </si>
  <si>
    <t>GSL-3</t>
  </si>
  <si>
    <t>Total Quantity</t>
  </si>
  <si>
    <t>Quantity per part</t>
  </si>
  <si>
    <t>Total parts used</t>
  </si>
  <si>
    <t>Remaining Quantity</t>
  </si>
  <si>
    <t>Gpl-01</t>
  </si>
  <si>
    <t>BLEND NO.</t>
  </si>
  <si>
    <t>03.05.2021</t>
  </si>
  <si>
    <t>01.05.2021</t>
  </si>
  <si>
    <t>Part no. 03</t>
  </si>
  <si>
    <t>04.05.2021</t>
  </si>
  <si>
    <t>Part no. 04</t>
  </si>
  <si>
    <t>05.05.2021</t>
  </si>
  <si>
    <t>06.05.2021</t>
  </si>
  <si>
    <t>07.05.2021</t>
  </si>
  <si>
    <t>12.05.2021</t>
  </si>
  <si>
    <t>Gml-1</t>
  </si>
  <si>
    <t>Gml-01</t>
  </si>
  <si>
    <t>17.05.2021</t>
  </si>
  <si>
    <t>Gsl-4</t>
  </si>
  <si>
    <t>Gsl-04</t>
  </si>
  <si>
    <t>18.05.2021</t>
  </si>
  <si>
    <t>Part no. 05</t>
  </si>
  <si>
    <t>27.05.2021</t>
  </si>
  <si>
    <t>01.06.2021</t>
  </si>
  <si>
    <t>ORIGINAL TEA STOCK REGISTER FOR THE MONTH OF JUNE 2021</t>
  </si>
  <si>
    <t>TOTAL FOR THE MONTH OF JUNE 2021</t>
  </si>
  <si>
    <t>ORIGINAL TEA STOCK REGISTER FOR THE MONTH OF MAY 2021</t>
  </si>
  <si>
    <t>TOTAL FOR THE MONTH OF MAY2021</t>
  </si>
  <si>
    <t>TOTAL FOR THE MONTH OF APRIL 2021</t>
  </si>
  <si>
    <t>ORIGINAL TEA STOCK REGISTER FOR THE MONTH OF APRIL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</si>
</sst>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3" fillId="0" borderId="4" xfId="0" applyNumberFormat="1" applyFont="1" applyBorder="1" applyAlignment="1">
      <alignment vertical="center"/>
    </xf>
    <xf numFmtId="2" fontId="3" fillId="0" borderId="2" xfId="0" applyNumberFormat="1" applyFont="1" applyBorder="1" applyAlignment="1">
      <alignment horizontal="right" vertical="center"/>
    </xf>
    <xf numFmtId="0" fontId="3" fillId="0" borderId="14" xfId="0" applyNumberFormat="1" applyFont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164" fontId="4" fillId="0" borderId="11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" fontId="4" fillId="0" borderId="1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2" fontId="4" fillId="0" borderId="1" xfId="0" applyNumberFormat="1" applyFont="1" applyBorder="1" applyAlignment="1">
      <alignment horizontal="right"/>
    </xf>
    <xf numFmtId="2" fontId="4" fillId="0" borderId="5" xfId="0" applyNumberFormat="1" applyFont="1" applyBorder="1" applyAlignment="1">
      <alignment horizontal="right"/>
    </xf>
    <xf numFmtId="0" fontId="4" fillId="0" borderId="6" xfId="0" applyFont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2" fontId="4" fillId="0" borderId="21" xfId="0" applyNumberFormat="1" applyFont="1" applyBorder="1" applyAlignment="1">
      <alignment horizontal="right"/>
    </xf>
    <xf numFmtId="2" fontId="4" fillId="0" borderId="11" xfId="0" applyNumberFormat="1" applyFont="1" applyBorder="1" applyAlignment="1">
      <alignment horizontal="right"/>
    </xf>
    <xf numFmtId="0" fontId="4" fillId="0" borderId="11" xfId="0" applyFont="1" applyBorder="1" applyAlignment="1">
      <alignment horizontal="right"/>
    </xf>
    <xf numFmtId="0" fontId="4" fillId="0" borderId="21" xfId="0" applyFont="1" applyBorder="1" applyAlignment="1">
      <alignment horizontal="right"/>
    </xf>
    <xf numFmtId="0" fontId="4" fillId="0" borderId="17" xfId="0" applyFont="1" applyBorder="1" applyAlignment="1">
      <alignment horizontal="center" vertical="center"/>
    </xf>
    <xf numFmtId="2" fontId="4" fillId="0" borderId="14" xfId="0" applyNumberFormat="1" applyFont="1" applyBorder="1" applyAlignment="1">
      <alignment horizontal="center"/>
    </xf>
    <xf numFmtId="0" fontId="4" fillId="0" borderId="1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2" fontId="4" fillId="0" borderId="11" xfId="0" applyNumberFormat="1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1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/>
    </xf>
    <xf numFmtId="0" fontId="4" fillId="0" borderId="22" xfId="0" applyFont="1" applyBorder="1" applyAlignment="1">
      <alignment horizontal="right"/>
    </xf>
    <xf numFmtId="2" fontId="4" fillId="0" borderId="21" xfId="0" applyNumberFormat="1" applyFont="1" applyBorder="1" applyAlignment="1">
      <alignment horizontal="center" wrapText="1"/>
    </xf>
    <xf numFmtId="164" fontId="2" fillId="0" borderId="0" xfId="0" applyNumberFormat="1" applyFont="1" applyAlignment="1">
      <alignment horizontal="center"/>
    </xf>
    <xf numFmtId="0" fontId="4" fillId="0" borderId="6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4" fillId="0" borderId="15" xfId="0" applyFont="1" applyBorder="1" applyAlignment="1">
      <alignment horizontal="right" vertical="center"/>
    </xf>
    <xf numFmtId="0" fontId="4" fillId="0" borderId="2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4" fillId="0" borderId="9" xfId="0" applyFont="1" applyBorder="1" applyAlignment="1">
      <alignment horizontal="left"/>
    </xf>
    <xf numFmtId="2" fontId="4" fillId="0" borderId="2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1" fontId="4" fillId="0" borderId="4" xfId="0" applyNumberFormat="1" applyFont="1" applyBorder="1" applyAlignment="1">
      <alignment vertical="center"/>
    </xf>
    <xf numFmtId="1" fontId="4" fillId="0" borderId="2" xfId="0" applyNumberFormat="1" applyFont="1" applyBorder="1" applyAlignment="1">
      <alignment vertical="center"/>
    </xf>
    <xf numFmtId="0" fontId="5" fillId="0" borderId="10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5" fillId="0" borderId="11" xfId="0" applyFont="1" applyBorder="1" applyAlignment="1">
      <alignment horizontal="center"/>
    </xf>
    <xf numFmtId="1" fontId="5" fillId="0" borderId="11" xfId="0" applyNumberFormat="1" applyFont="1" applyBorder="1" applyAlignment="1">
      <alignment horizontal="center"/>
    </xf>
    <xf numFmtId="164" fontId="5" fillId="0" borderId="11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2" fontId="2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0" fillId="2" borderId="23" xfId="0" applyFill="1" applyBorder="1" applyAlignment="1">
      <alignment horizontal="center"/>
    </xf>
    <xf numFmtId="2" fontId="7" fillId="2" borderId="5" xfId="0" applyNumberFormat="1" applyFont="1" applyFill="1" applyBorder="1" applyAlignment="1">
      <alignment horizontal="center" vertical="center" wrapText="1"/>
    </xf>
    <xf numFmtId="0" fontId="0" fillId="0" borderId="0" xfId="0" applyFill="1"/>
    <xf numFmtId="0" fontId="7" fillId="0" borderId="0" xfId="0" applyFont="1" applyFill="1" applyAlignment="1">
      <alignment horizontal="center" wrapText="1"/>
    </xf>
    <xf numFmtId="164" fontId="7" fillId="2" borderId="12" xfId="0" applyNumberFormat="1" applyFont="1" applyFill="1" applyBorder="1" applyAlignment="1">
      <alignment horizontal="center" vertical="center" wrapText="1"/>
    </xf>
    <xf numFmtId="2" fontId="7" fillId="2" borderId="8" xfId="0" applyNumberFormat="1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/>
    </xf>
    <xf numFmtId="164" fontId="7" fillId="2" borderId="0" xfId="0" applyNumberFormat="1" applyFont="1" applyFill="1" applyBorder="1" applyAlignment="1">
      <alignment horizontal="center"/>
    </xf>
    <xf numFmtId="1" fontId="7" fillId="2" borderId="0" xfId="0" applyNumberFormat="1" applyFont="1" applyFill="1" applyBorder="1" applyAlignment="1">
      <alignment horizontal="center"/>
    </xf>
    <xf numFmtId="0" fontId="0" fillId="2" borderId="27" xfId="0" applyFill="1" applyBorder="1"/>
    <xf numFmtId="0" fontId="7" fillId="2" borderId="9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8" fillId="2" borderId="24" xfId="0" applyFont="1" applyFill="1" applyBorder="1" applyAlignment="1">
      <alignment horizontal="center" vertical="center" wrapText="1"/>
    </xf>
    <xf numFmtId="0" fontId="8" fillId="2" borderId="26" xfId="0" applyFont="1" applyFill="1" applyBorder="1" applyAlignment="1">
      <alignment horizontal="center" vertical="center" wrapText="1"/>
    </xf>
    <xf numFmtId="0" fontId="8" fillId="2" borderId="28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2" fontId="1" fillId="3" borderId="8" xfId="0" applyNumberFormat="1" applyFont="1" applyFill="1" applyBorder="1" applyAlignment="1">
      <alignment horizontal="center" vertical="center"/>
    </xf>
    <xf numFmtId="2" fontId="1" fillId="3" borderId="13" xfId="0" applyNumberFormat="1" applyFont="1" applyFill="1" applyBorder="1" applyAlignment="1">
      <alignment horizontal="center" vertical="center"/>
    </xf>
    <xf numFmtId="2" fontId="1" fillId="3" borderId="23" xfId="0" applyNumberFormat="1" applyFont="1" applyFill="1" applyBorder="1" applyAlignment="1">
      <alignment horizontal="center" vertical="center"/>
    </xf>
    <xf numFmtId="2" fontId="1" fillId="3" borderId="30" xfId="0" applyNumberFormat="1" applyFont="1" applyFill="1" applyBorder="1" applyAlignment="1">
      <alignment horizontal="center" vertical="center"/>
    </xf>
    <xf numFmtId="2" fontId="2" fillId="3" borderId="8" xfId="0" applyNumberFormat="1" applyFont="1" applyFill="1" applyBorder="1" applyAlignment="1">
      <alignment horizontal="center"/>
    </xf>
    <xf numFmtId="2" fontId="2" fillId="3" borderId="13" xfId="0" applyNumberFormat="1" applyFont="1" applyFill="1" applyBorder="1" applyAlignment="1">
      <alignment horizontal="center"/>
    </xf>
    <xf numFmtId="2" fontId="2" fillId="3" borderId="0" xfId="0" applyNumberFormat="1" applyFont="1" applyFill="1" applyBorder="1" applyAlignment="1">
      <alignment horizontal="center"/>
    </xf>
    <xf numFmtId="2" fontId="2" fillId="3" borderId="2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 2021-22"/>
      <sheetName val="May 2021"/>
      <sheetName val="June 2021"/>
    </sheetNames>
    <sheetDataSet>
      <sheetData sheetId="0"/>
      <sheetData sheetId="1">
        <row r="6">
          <cell r="K6">
            <v>454804.3</v>
          </cell>
        </row>
      </sheetData>
      <sheetData sheetId="2">
        <row r="6">
          <cell r="K6">
            <v>454804.3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8"/>
  <sheetViews>
    <sheetView zoomScaleNormal="100" workbookViewId="0">
      <pane ySplit="2" topLeftCell="A36" activePane="bottomLeft" state="frozen"/>
      <selection pane="bottomLeft" activeCell="A2" sqref="A2"/>
    </sheetView>
  </sheetViews>
  <sheetFormatPr defaultRowHeight="15" x14ac:dyDescent="0.25"/>
  <cols>
    <col min="1" max="1" width="10.140625" style="5" bestFit="1" customWidth="1"/>
    <col min="2" max="2" width="20.85546875" style="5" bestFit="1" customWidth="1"/>
    <col min="3" max="3" width="7.85546875" style="5" bestFit="1" customWidth="1"/>
    <col min="4" max="4" width="14" style="5" customWidth="1"/>
    <col min="5" max="5" width="9.85546875" style="5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3" width="9.140625" style="5"/>
    <col min="14" max="14" width="9.28515625" style="5" bestFit="1" customWidth="1"/>
    <col min="15" max="15" width="16.42578125" style="5" bestFit="1" customWidth="1"/>
    <col min="16" max="16384" width="9.140625" style="5"/>
  </cols>
  <sheetData>
    <row r="1" spans="1:15" ht="15.75" thickBot="1" x14ac:dyDescent="0.3">
      <c r="A1" s="88" t="s">
        <v>74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5" s="56" customFormat="1" ht="45.75" thickBot="1" x14ac:dyDescent="0.3">
      <c r="A2" s="20" t="s">
        <v>2</v>
      </c>
      <c r="B2" s="21" t="s">
        <v>0</v>
      </c>
      <c r="C2" s="22" t="s">
        <v>7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 x14ac:dyDescent="0.25">
      <c r="A3" s="26" t="s">
        <v>18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666070.9</v>
      </c>
    </row>
    <row r="4" spans="1:15" x14ac:dyDescent="0.25">
      <c r="A4" s="10" t="s">
        <v>19</v>
      </c>
      <c r="B4" s="12" t="s">
        <v>20</v>
      </c>
      <c r="C4" s="59" t="s">
        <v>23</v>
      </c>
      <c r="D4" s="60" t="s">
        <v>22</v>
      </c>
      <c r="E4" s="61"/>
      <c r="F4" s="60"/>
      <c r="G4" s="62"/>
      <c r="H4" s="63"/>
      <c r="I4" s="64"/>
      <c r="J4" s="65">
        <v>7225.4</v>
      </c>
      <c r="K4" s="29">
        <f>SUM(K3+G4-J4)</f>
        <v>658845.5</v>
      </c>
      <c r="N4" s="5" t="s">
        <v>13</v>
      </c>
      <c r="O4" s="7">
        <f>506029</f>
        <v>506029</v>
      </c>
    </row>
    <row r="5" spans="1:15" x14ac:dyDescent="0.25">
      <c r="A5" s="10" t="s">
        <v>27</v>
      </c>
      <c r="B5" s="12" t="s">
        <v>20</v>
      </c>
      <c r="C5" s="59" t="s">
        <v>23</v>
      </c>
      <c r="D5" s="60" t="s">
        <v>24</v>
      </c>
      <c r="E5" s="61"/>
      <c r="F5" s="60"/>
      <c r="G5" s="62"/>
      <c r="H5" s="63"/>
      <c r="I5" s="64"/>
      <c r="J5" s="65">
        <v>7225.4</v>
      </c>
      <c r="K5" s="29">
        <f t="shared" ref="K5:K47" si="0">SUM(K4+G5-J5)</f>
        <v>651620.1</v>
      </c>
      <c r="N5" s="5" t="s">
        <v>12</v>
      </c>
      <c r="O5" s="7">
        <f>K47-N14-N21-N28-N35</f>
        <v>506028.99999999965</v>
      </c>
    </row>
    <row r="6" spans="1:15" s="56" customFormat="1" x14ac:dyDescent="0.2">
      <c r="A6" s="10" t="s">
        <v>28</v>
      </c>
      <c r="B6" s="12" t="s">
        <v>20</v>
      </c>
      <c r="C6" s="59" t="s">
        <v>23</v>
      </c>
      <c r="D6" s="60" t="s">
        <v>21</v>
      </c>
      <c r="E6" s="61"/>
      <c r="F6" s="60"/>
      <c r="G6" s="62"/>
      <c r="H6" s="63"/>
      <c r="I6" s="64"/>
      <c r="J6" s="65">
        <v>7225.4</v>
      </c>
      <c r="K6" s="29">
        <f t="shared" si="0"/>
        <v>644394.69999999995</v>
      </c>
    </row>
    <row r="7" spans="1:15" s="56" customFormat="1" x14ac:dyDescent="0.2">
      <c r="A7" s="10" t="s">
        <v>29</v>
      </c>
      <c r="B7" s="12" t="s">
        <v>20</v>
      </c>
      <c r="C7" s="59" t="s">
        <v>23</v>
      </c>
      <c r="D7" s="60" t="s">
        <v>25</v>
      </c>
      <c r="E7" s="61"/>
      <c r="F7" s="60"/>
      <c r="G7" s="62"/>
      <c r="H7" s="63"/>
      <c r="I7" s="64"/>
      <c r="J7" s="65">
        <v>7225.4</v>
      </c>
      <c r="K7" s="29">
        <f>SUM(K6+G7-J7)</f>
        <v>637169.29999999993</v>
      </c>
      <c r="N7" s="89" t="s">
        <v>11</v>
      </c>
      <c r="O7" s="90">
        <f>O4-O5</f>
        <v>0</v>
      </c>
    </row>
    <row r="8" spans="1:15" x14ac:dyDescent="0.25">
      <c r="A8" s="10" t="s">
        <v>30</v>
      </c>
      <c r="B8" s="12" t="s">
        <v>20</v>
      </c>
      <c r="C8" s="59" t="s">
        <v>23</v>
      </c>
      <c r="D8" s="60" t="s">
        <v>26</v>
      </c>
      <c r="E8" s="61"/>
      <c r="F8" s="60"/>
      <c r="G8" s="62"/>
      <c r="H8" s="63"/>
      <c r="I8" s="64"/>
      <c r="J8" s="65">
        <v>7226</v>
      </c>
      <c r="K8" s="29">
        <f t="shared" si="0"/>
        <v>629943.29999999993</v>
      </c>
      <c r="N8" s="89"/>
      <c r="O8" s="90"/>
    </row>
    <row r="9" spans="1:15" x14ac:dyDescent="0.25">
      <c r="A9" s="10" t="s">
        <v>31</v>
      </c>
      <c r="B9" s="12" t="s">
        <v>20</v>
      </c>
      <c r="C9" s="59" t="s">
        <v>33</v>
      </c>
      <c r="D9" s="60" t="s">
        <v>22</v>
      </c>
      <c r="E9" s="61"/>
      <c r="F9" s="60"/>
      <c r="G9" s="62"/>
      <c r="H9" s="63"/>
      <c r="I9" s="64"/>
      <c r="J9" s="65">
        <v>7370.8</v>
      </c>
      <c r="K9" s="29">
        <f t="shared" si="0"/>
        <v>622572.49999999988</v>
      </c>
      <c r="M9" s="46"/>
    </row>
    <row r="10" spans="1:15" ht="15" customHeight="1" x14ac:dyDescent="0.25">
      <c r="A10" s="10" t="s">
        <v>32</v>
      </c>
      <c r="B10" s="12" t="s">
        <v>20</v>
      </c>
      <c r="C10" s="59" t="s">
        <v>33</v>
      </c>
      <c r="D10" s="60" t="s">
        <v>24</v>
      </c>
      <c r="E10" s="34"/>
      <c r="F10" s="10"/>
      <c r="G10" s="51"/>
      <c r="H10" s="36"/>
      <c r="I10" s="14"/>
      <c r="J10" s="11">
        <v>7370.8</v>
      </c>
      <c r="K10" s="29">
        <f t="shared" si="0"/>
        <v>615201.69999999984</v>
      </c>
      <c r="M10" s="67">
        <f>J17*1</f>
        <v>7239.04</v>
      </c>
      <c r="N10" s="68" t="s">
        <v>44</v>
      </c>
    </row>
    <row r="11" spans="1:15" ht="15.75" customHeight="1" x14ac:dyDescent="0.25">
      <c r="A11" s="10" t="s">
        <v>34</v>
      </c>
      <c r="B11" s="12" t="s">
        <v>20</v>
      </c>
      <c r="C11" s="59" t="s">
        <v>33</v>
      </c>
      <c r="D11" s="60" t="s">
        <v>21</v>
      </c>
      <c r="E11" s="34"/>
      <c r="F11" s="10"/>
      <c r="G11" s="51"/>
      <c r="H11" s="36"/>
      <c r="I11" s="14"/>
      <c r="J11" s="11">
        <v>7370.8</v>
      </c>
      <c r="K11" s="29">
        <f t="shared" si="0"/>
        <v>607830.89999999979</v>
      </c>
      <c r="M11" s="69"/>
      <c r="N11" s="67">
        <v>36195.199999999997</v>
      </c>
      <c r="O11" s="7"/>
    </row>
    <row r="12" spans="1:15" x14ac:dyDescent="0.25">
      <c r="A12" s="10" t="s">
        <v>35</v>
      </c>
      <c r="B12" s="12" t="s">
        <v>20</v>
      </c>
      <c r="C12" s="59" t="s">
        <v>33</v>
      </c>
      <c r="D12" s="60" t="s">
        <v>25</v>
      </c>
      <c r="E12" s="34"/>
      <c r="F12" s="10"/>
      <c r="G12" s="51"/>
      <c r="H12" s="36"/>
      <c r="I12" s="14"/>
      <c r="J12" s="11">
        <v>7370.8</v>
      </c>
      <c r="K12" s="29">
        <f t="shared" si="0"/>
        <v>600460.09999999974</v>
      </c>
      <c r="M12" s="69"/>
      <c r="N12" s="67">
        <f>N11/5</f>
        <v>7239.0399999999991</v>
      </c>
    </row>
    <row r="13" spans="1:15" x14ac:dyDescent="0.25">
      <c r="A13" s="10" t="s">
        <v>35</v>
      </c>
      <c r="B13" s="13" t="s">
        <v>20</v>
      </c>
      <c r="C13" s="59" t="s">
        <v>33</v>
      </c>
      <c r="D13" s="60" t="s">
        <v>26</v>
      </c>
      <c r="E13" s="34"/>
      <c r="F13" s="10"/>
      <c r="G13" s="51"/>
      <c r="H13" s="36"/>
      <c r="I13" s="14"/>
      <c r="J13" s="11">
        <v>7370.8</v>
      </c>
      <c r="K13" s="29">
        <f t="shared" si="0"/>
        <v>593089.2999999997</v>
      </c>
      <c r="M13" s="69"/>
      <c r="N13" s="69"/>
    </row>
    <row r="14" spans="1:15" x14ac:dyDescent="0.25">
      <c r="A14" s="10" t="s">
        <v>36</v>
      </c>
      <c r="B14" s="12" t="s">
        <v>20</v>
      </c>
      <c r="C14" s="59" t="s">
        <v>39</v>
      </c>
      <c r="D14" s="60" t="s">
        <v>22</v>
      </c>
      <c r="E14" s="33"/>
      <c r="F14" s="10"/>
      <c r="G14" s="51"/>
      <c r="H14" s="4"/>
      <c r="I14" s="4"/>
      <c r="J14" s="11">
        <v>7130.46</v>
      </c>
      <c r="K14" s="29">
        <f t="shared" si="0"/>
        <v>585958.83999999973</v>
      </c>
      <c r="M14" s="69" t="s">
        <v>10</v>
      </c>
      <c r="N14" s="67">
        <f>N11-M10</f>
        <v>28956.159999999996</v>
      </c>
    </row>
    <row r="15" spans="1:15" x14ac:dyDescent="0.25">
      <c r="A15" s="10" t="s">
        <v>37</v>
      </c>
      <c r="B15" s="12" t="s">
        <v>20</v>
      </c>
      <c r="C15" s="59" t="s">
        <v>39</v>
      </c>
      <c r="D15" s="60" t="s">
        <v>38</v>
      </c>
      <c r="E15" s="33"/>
      <c r="F15" s="10"/>
      <c r="G15" s="51"/>
      <c r="H15" s="4"/>
      <c r="I15" s="4"/>
      <c r="J15" s="11">
        <v>7130.46</v>
      </c>
      <c r="K15" s="29">
        <f t="shared" si="0"/>
        <v>578828.37999999977</v>
      </c>
      <c r="N15" s="7"/>
    </row>
    <row r="16" spans="1:15" x14ac:dyDescent="0.25">
      <c r="A16" s="10" t="s">
        <v>37</v>
      </c>
      <c r="B16" s="12" t="s">
        <v>20</v>
      </c>
      <c r="C16" s="59" t="s">
        <v>42</v>
      </c>
      <c r="D16" s="60" t="s">
        <v>22</v>
      </c>
      <c r="E16" s="34"/>
      <c r="F16" s="10"/>
      <c r="G16" s="51"/>
      <c r="H16" s="14"/>
      <c r="I16" s="4"/>
      <c r="J16" s="11">
        <v>3042.56</v>
      </c>
      <c r="K16" s="29">
        <f t="shared" si="0"/>
        <v>575785.81999999972</v>
      </c>
      <c r="N16" s="7"/>
    </row>
    <row r="17" spans="1:14" x14ac:dyDescent="0.25">
      <c r="A17" s="10" t="s">
        <v>40</v>
      </c>
      <c r="B17" s="12" t="s">
        <v>20</v>
      </c>
      <c r="C17" s="59" t="s">
        <v>43</v>
      </c>
      <c r="D17" s="60" t="s">
        <v>22</v>
      </c>
      <c r="E17" s="3"/>
      <c r="F17" s="3"/>
      <c r="G17" s="2"/>
      <c r="H17" s="1"/>
      <c r="I17" s="4"/>
      <c r="J17" s="11">
        <v>7239.04</v>
      </c>
      <c r="K17" s="29">
        <f t="shared" si="0"/>
        <v>568546.77999999968</v>
      </c>
      <c r="M17" s="67">
        <f>J16*1</f>
        <v>3042.56</v>
      </c>
      <c r="N17" s="68" t="s">
        <v>41</v>
      </c>
    </row>
    <row r="18" spans="1:14" x14ac:dyDescent="0.25">
      <c r="A18" s="10"/>
      <c r="B18" s="12"/>
      <c r="C18" s="37"/>
      <c r="D18" s="10"/>
      <c r="E18" s="34"/>
      <c r="F18" s="10"/>
      <c r="G18" s="51"/>
      <c r="H18" s="1"/>
      <c r="I18" s="4"/>
      <c r="J18" s="11"/>
      <c r="K18" s="29">
        <f t="shared" si="0"/>
        <v>568546.77999999968</v>
      </c>
      <c r="M18" s="70"/>
      <c r="N18" s="67">
        <v>15212.8</v>
      </c>
    </row>
    <row r="19" spans="1:14" x14ac:dyDescent="0.25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568546.77999999968</v>
      </c>
      <c r="M19" s="69"/>
      <c r="N19" s="67">
        <f>N18/5</f>
        <v>3042.56</v>
      </c>
    </row>
    <row r="20" spans="1:14" x14ac:dyDescent="0.25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568546.77999999968</v>
      </c>
      <c r="M20" s="69"/>
      <c r="N20" s="69"/>
    </row>
    <row r="21" spans="1:14" x14ac:dyDescent="0.25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568546.77999999968</v>
      </c>
      <c r="M21" s="69" t="s">
        <v>10</v>
      </c>
      <c r="N21" s="67">
        <f>N18-M17</f>
        <v>12170.24</v>
      </c>
    </row>
    <row r="22" spans="1:14" x14ac:dyDescent="0.25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568546.77999999968</v>
      </c>
      <c r="N22" s="7"/>
    </row>
    <row r="23" spans="1:14" x14ac:dyDescent="0.25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568546.77999999968</v>
      </c>
    </row>
    <row r="24" spans="1:14" x14ac:dyDescent="0.25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568546.77999999968</v>
      </c>
      <c r="M24" s="67">
        <v>0</v>
      </c>
      <c r="N24" s="68" t="s">
        <v>16</v>
      </c>
    </row>
    <row r="25" spans="1:14" x14ac:dyDescent="0.25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568546.77999999968</v>
      </c>
      <c r="M25" s="69"/>
      <c r="N25" s="67"/>
    </row>
    <row r="26" spans="1:14" x14ac:dyDescent="0.25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568546.77999999968</v>
      </c>
      <c r="M26" s="69"/>
      <c r="N26" s="67"/>
    </row>
    <row r="27" spans="1:14" x14ac:dyDescent="0.25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568546.77999999968</v>
      </c>
      <c r="M27" s="69"/>
      <c r="N27" s="69"/>
    </row>
    <row r="28" spans="1:14" x14ac:dyDescent="0.25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568546.77999999968</v>
      </c>
      <c r="M28" s="69" t="s">
        <v>10</v>
      </c>
      <c r="N28" s="67">
        <v>0</v>
      </c>
    </row>
    <row r="29" spans="1:14" x14ac:dyDescent="0.25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568546.77999999968</v>
      </c>
    </row>
    <row r="30" spans="1:14" x14ac:dyDescent="0.25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568546.77999999968</v>
      </c>
    </row>
    <row r="31" spans="1:14" x14ac:dyDescent="0.25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568546.77999999968</v>
      </c>
      <c r="M31" s="67">
        <f>J14*2</f>
        <v>14260.92</v>
      </c>
      <c r="N31" s="68" t="s">
        <v>17</v>
      </c>
    </row>
    <row r="32" spans="1:14" x14ac:dyDescent="0.25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568546.77999999968</v>
      </c>
      <c r="M32" s="69"/>
      <c r="N32" s="67">
        <v>35652.300000000003</v>
      </c>
    </row>
    <row r="33" spans="1:14" x14ac:dyDescent="0.25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568546.77999999968</v>
      </c>
      <c r="M33" s="69"/>
      <c r="N33" s="67">
        <f>N32/5</f>
        <v>7130.4600000000009</v>
      </c>
    </row>
    <row r="34" spans="1:14" x14ac:dyDescent="0.25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568546.77999999968</v>
      </c>
      <c r="M34" s="69"/>
      <c r="N34" s="67"/>
    </row>
    <row r="35" spans="1:14" x14ac:dyDescent="0.25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568546.77999999968</v>
      </c>
      <c r="M35" s="69" t="s">
        <v>10</v>
      </c>
      <c r="N35" s="67">
        <f>N32-M31</f>
        <v>21391.380000000005</v>
      </c>
    </row>
    <row r="36" spans="1:14" x14ac:dyDescent="0.25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568546.77999999968</v>
      </c>
    </row>
    <row r="37" spans="1:14" x14ac:dyDescent="0.25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568546.77999999968</v>
      </c>
    </row>
    <row r="38" spans="1:14" x14ac:dyDescent="0.25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568546.77999999968</v>
      </c>
    </row>
    <row r="39" spans="1:14" x14ac:dyDescent="0.25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568546.77999999968</v>
      </c>
    </row>
    <row r="40" spans="1:14" x14ac:dyDescent="0.25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568546.77999999968</v>
      </c>
    </row>
    <row r="41" spans="1:14" x14ac:dyDescent="0.25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568546.77999999968</v>
      </c>
    </row>
    <row r="42" spans="1:14" x14ac:dyDescent="0.25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568546.77999999968</v>
      </c>
    </row>
    <row r="43" spans="1:14" x14ac:dyDescent="0.25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568546.77999999968</v>
      </c>
    </row>
    <row r="44" spans="1:14" x14ac:dyDescent="0.25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568546.77999999968</v>
      </c>
    </row>
    <row r="45" spans="1:14" x14ac:dyDescent="0.25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568546.77999999968</v>
      </c>
    </row>
    <row r="46" spans="1:14" x14ac:dyDescent="0.25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568546.77999999968</v>
      </c>
    </row>
    <row r="47" spans="1:14" ht="15.75" thickBot="1" x14ac:dyDescent="0.3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568546.77999999968</v>
      </c>
    </row>
    <row r="48" spans="1:14" ht="15.75" thickBot="1" x14ac:dyDescent="0.3">
      <c r="A48" s="54" t="s">
        <v>73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97524.12000000001</v>
      </c>
      <c r="K48" s="19"/>
    </row>
  </sheetData>
  <mergeCells count="3">
    <mergeCell ref="A1:K1"/>
    <mergeCell ref="N7:N8"/>
    <mergeCell ref="O7:O8"/>
  </mergeCells>
  <pageMargins left="0.16" right="0.16" top="0.34" bottom="0.3" header="0.23" footer="0.21"/>
  <pageSetup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8"/>
  <sheetViews>
    <sheetView zoomScaleNormal="100" workbookViewId="0">
      <pane ySplit="2" topLeftCell="A39" activePane="bottomLeft" state="frozen"/>
      <selection pane="bottomLeft" activeCell="A49" sqref="A49"/>
    </sheetView>
  </sheetViews>
  <sheetFormatPr defaultRowHeight="15" x14ac:dyDescent="0.25"/>
  <cols>
    <col min="1" max="1" width="10.140625" style="5" bestFit="1" customWidth="1"/>
    <col min="2" max="2" width="19.42578125" style="5" customWidth="1"/>
    <col min="3" max="3" width="7.85546875" style="5" bestFit="1" customWidth="1"/>
    <col min="4" max="4" width="14" style="5" customWidth="1"/>
    <col min="5" max="5" width="9.85546875" style="6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2" width="6.140625" style="5" customWidth="1"/>
    <col min="13" max="13" width="19" style="5" customWidth="1"/>
    <col min="14" max="14" width="11.28515625" style="5" customWidth="1"/>
    <col min="15" max="15" width="11.85546875" style="5" customWidth="1"/>
    <col min="16" max="16" width="6" style="5" customWidth="1"/>
    <col min="17" max="17" width="8" style="5" customWidth="1"/>
    <col min="18" max="16384" width="9.140625" style="5"/>
  </cols>
  <sheetData>
    <row r="1" spans="1:15" ht="15.75" thickBot="1" x14ac:dyDescent="0.3">
      <c r="A1" s="88" t="s">
        <v>71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5" s="66" customFormat="1" ht="45.75" thickBot="1" x14ac:dyDescent="0.3">
      <c r="A2" s="20" t="s">
        <v>2</v>
      </c>
      <c r="B2" s="21" t="s">
        <v>0</v>
      </c>
      <c r="C2" s="22" t="s">
        <v>50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 ht="15.75" thickBot="1" x14ac:dyDescent="0.3">
      <c r="A3" s="26" t="s">
        <v>52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568546.78</v>
      </c>
    </row>
    <row r="4" spans="1:15" x14ac:dyDescent="0.25">
      <c r="A4" s="10" t="s">
        <v>52</v>
      </c>
      <c r="B4" s="12" t="s">
        <v>20</v>
      </c>
      <c r="C4" s="59" t="s">
        <v>42</v>
      </c>
      <c r="D4" s="60" t="s">
        <v>22</v>
      </c>
      <c r="E4" s="34"/>
      <c r="F4" s="10"/>
      <c r="G4" s="51"/>
      <c r="H4" s="14"/>
      <c r="I4" s="4"/>
      <c r="J4" s="11">
        <v>3042.56</v>
      </c>
      <c r="K4" s="29">
        <f>SUM(K3+G4-J4)</f>
        <v>565504.22</v>
      </c>
      <c r="M4" s="82" t="s">
        <v>13</v>
      </c>
      <c r="N4" s="100">
        <f>'[1]May 2021'!$K$6</f>
        <v>454804.3</v>
      </c>
      <c r="O4" s="101"/>
    </row>
    <row r="5" spans="1:15" x14ac:dyDescent="0.25">
      <c r="A5" s="10" t="s">
        <v>51</v>
      </c>
      <c r="B5" s="12" t="s">
        <v>20</v>
      </c>
      <c r="C5" s="59" t="s">
        <v>43</v>
      </c>
      <c r="D5" s="60" t="s">
        <v>24</v>
      </c>
      <c r="E5" s="3"/>
      <c r="F5" s="3"/>
      <c r="G5" s="2"/>
      <c r="H5" s="1"/>
      <c r="I5" s="4"/>
      <c r="J5" s="11">
        <v>7239.04</v>
      </c>
      <c r="K5" s="29">
        <f t="shared" ref="K5:K47" si="0">SUM(K4+G5-J5)</f>
        <v>558265.17999999993</v>
      </c>
      <c r="M5" s="83" t="s">
        <v>12</v>
      </c>
      <c r="N5" s="102">
        <f>K47-N14-N21-N28-N35</f>
        <v>454804.30000000005</v>
      </c>
      <c r="O5" s="103"/>
    </row>
    <row r="6" spans="1:15" s="66" customFormat="1" ht="15.75" thickBot="1" x14ac:dyDescent="0.25">
      <c r="A6" s="10" t="s">
        <v>51</v>
      </c>
      <c r="B6" s="12" t="s">
        <v>20</v>
      </c>
      <c r="C6" s="59" t="s">
        <v>39</v>
      </c>
      <c r="D6" s="60" t="s">
        <v>53</v>
      </c>
      <c r="E6" s="33"/>
      <c r="F6" s="10"/>
      <c r="G6" s="51"/>
      <c r="H6" s="4"/>
      <c r="I6" s="4"/>
      <c r="J6" s="11">
        <v>7130.46</v>
      </c>
      <c r="K6" s="29">
        <f t="shared" si="0"/>
        <v>551134.71999999997</v>
      </c>
      <c r="M6" s="84"/>
      <c r="N6" s="85"/>
      <c r="O6" s="86"/>
    </row>
    <row r="7" spans="1:15" s="66" customFormat="1" ht="15" customHeight="1" x14ac:dyDescent="0.2">
      <c r="A7" s="10" t="s">
        <v>54</v>
      </c>
      <c r="B7" s="12" t="s">
        <v>20</v>
      </c>
      <c r="C7" s="59" t="s">
        <v>39</v>
      </c>
      <c r="D7" s="60" t="s">
        <v>55</v>
      </c>
      <c r="E7" s="33"/>
      <c r="F7" s="10"/>
      <c r="G7" s="51"/>
      <c r="H7" s="4"/>
      <c r="I7" s="4"/>
      <c r="J7" s="11">
        <v>7130.46</v>
      </c>
      <c r="K7" s="29">
        <f>SUM(K6+G7-J7)</f>
        <v>544004.26</v>
      </c>
      <c r="M7" s="94" t="s">
        <v>11</v>
      </c>
      <c r="N7" s="96">
        <f>N4-N5</f>
        <v>0</v>
      </c>
      <c r="O7" s="97"/>
    </row>
    <row r="8" spans="1:15" ht="15" customHeight="1" thickBot="1" x14ac:dyDescent="0.3">
      <c r="A8" s="10" t="s">
        <v>56</v>
      </c>
      <c r="B8" s="12" t="s">
        <v>20</v>
      </c>
      <c r="C8" s="59" t="s">
        <v>43</v>
      </c>
      <c r="D8" s="60" t="s">
        <v>21</v>
      </c>
      <c r="E8" s="3"/>
      <c r="F8" s="3"/>
      <c r="G8" s="2"/>
      <c r="H8" s="1"/>
      <c r="I8" s="4"/>
      <c r="J8" s="11">
        <v>7239.04</v>
      </c>
      <c r="K8" s="29">
        <f t="shared" si="0"/>
        <v>536765.22</v>
      </c>
      <c r="M8" s="95"/>
      <c r="N8" s="98"/>
      <c r="O8" s="99"/>
    </row>
    <row r="9" spans="1:15" ht="15.75" thickBot="1" x14ac:dyDescent="0.3">
      <c r="A9" s="10" t="s">
        <v>57</v>
      </c>
      <c r="B9" s="12" t="s">
        <v>20</v>
      </c>
      <c r="C9" s="59" t="s">
        <v>43</v>
      </c>
      <c r="D9" s="60" t="s">
        <v>25</v>
      </c>
      <c r="E9" s="3"/>
      <c r="F9" s="3"/>
      <c r="G9" s="2"/>
      <c r="H9" s="1"/>
      <c r="I9" s="4"/>
      <c r="J9" s="11">
        <v>7239.04</v>
      </c>
      <c r="K9" s="29">
        <f t="shared" si="0"/>
        <v>529526.17999999993</v>
      </c>
      <c r="M9" s="46"/>
    </row>
    <row r="10" spans="1:15" ht="15" customHeight="1" x14ac:dyDescent="0.25">
      <c r="A10" s="10" t="s">
        <v>58</v>
      </c>
      <c r="B10" s="12" t="s">
        <v>20</v>
      </c>
      <c r="C10" s="59" t="s">
        <v>43</v>
      </c>
      <c r="D10" s="60" t="s">
        <v>26</v>
      </c>
      <c r="E10" s="3"/>
      <c r="F10" s="3"/>
      <c r="G10" s="2"/>
      <c r="H10" s="1"/>
      <c r="I10" s="4"/>
      <c r="J10" s="11">
        <v>7239.08</v>
      </c>
      <c r="K10" s="29">
        <f t="shared" si="0"/>
        <v>522287.09999999992</v>
      </c>
      <c r="M10" s="75" t="s">
        <v>45</v>
      </c>
      <c r="N10" s="76">
        <v>35224</v>
      </c>
      <c r="O10" s="91" t="s">
        <v>64</v>
      </c>
    </row>
    <row r="11" spans="1:15" ht="15.75" customHeight="1" x14ac:dyDescent="0.25">
      <c r="A11" s="10" t="s">
        <v>59</v>
      </c>
      <c r="B11" s="12" t="s">
        <v>20</v>
      </c>
      <c r="C11" s="59" t="s">
        <v>60</v>
      </c>
      <c r="D11" s="60" t="s">
        <v>22</v>
      </c>
      <c r="E11" s="34"/>
      <c r="F11" s="10"/>
      <c r="G11" s="51"/>
      <c r="H11" s="36"/>
      <c r="I11" s="14"/>
      <c r="J11" s="11">
        <v>3200.1</v>
      </c>
      <c r="K11" s="29">
        <f t="shared" si="0"/>
        <v>519086.99999999994</v>
      </c>
      <c r="M11" s="77" t="s">
        <v>46</v>
      </c>
      <c r="N11" s="78">
        <f>N10/5</f>
        <v>7044.8</v>
      </c>
      <c r="O11" s="92"/>
    </row>
    <row r="12" spans="1:15" x14ac:dyDescent="0.25">
      <c r="A12" s="10" t="s">
        <v>62</v>
      </c>
      <c r="B12" s="12" t="s">
        <v>20</v>
      </c>
      <c r="C12" s="59" t="s">
        <v>63</v>
      </c>
      <c r="D12" s="60" t="s">
        <v>22</v>
      </c>
      <c r="E12" s="34"/>
      <c r="F12" s="10"/>
      <c r="G12" s="51"/>
      <c r="H12" s="36"/>
      <c r="I12" s="14"/>
      <c r="J12" s="11">
        <v>7044.8</v>
      </c>
      <c r="K12" s="29">
        <f t="shared" si="0"/>
        <v>512042.19999999995</v>
      </c>
      <c r="M12" s="77" t="s">
        <v>47</v>
      </c>
      <c r="N12" s="79">
        <v>4</v>
      </c>
      <c r="O12" s="92"/>
    </row>
    <row r="13" spans="1:15" ht="15.75" thickBot="1" x14ac:dyDescent="0.3">
      <c r="A13" s="10" t="s">
        <v>62</v>
      </c>
      <c r="B13" s="12" t="s">
        <v>20</v>
      </c>
      <c r="C13" s="59" t="s">
        <v>60</v>
      </c>
      <c r="D13" s="60" t="s">
        <v>24</v>
      </c>
      <c r="E13" s="34"/>
      <c r="F13" s="10"/>
      <c r="G13" s="51"/>
      <c r="H13" s="36"/>
      <c r="I13" s="14"/>
      <c r="J13" s="11">
        <v>3200.1</v>
      </c>
      <c r="K13" s="29">
        <f t="shared" si="0"/>
        <v>508842.1</v>
      </c>
      <c r="M13" s="80"/>
      <c r="N13" s="71"/>
      <c r="O13" s="92"/>
    </row>
    <row r="14" spans="1:15" ht="15.75" thickBot="1" x14ac:dyDescent="0.3">
      <c r="A14" s="10" t="s">
        <v>65</v>
      </c>
      <c r="B14" s="12" t="s">
        <v>20</v>
      </c>
      <c r="C14" s="59" t="s">
        <v>39</v>
      </c>
      <c r="D14" s="60" t="s">
        <v>66</v>
      </c>
      <c r="E14" s="33"/>
      <c r="F14" s="10"/>
      <c r="G14" s="51"/>
      <c r="H14" s="4"/>
      <c r="I14" s="4"/>
      <c r="J14" s="11">
        <v>7130.5</v>
      </c>
      <c r="K14" s="29">
        <f t="shared" si="0"/>
        <v>501711.6</v>
      </c>
      <c r="M14" s="81" t="s">
        <v>48</v>
      </c>
      <c r="N14" s="72">
        <f>N10-(N11*N12)</f>
        <v>7044.7999999999993</v>
      </c>
      <c r="O14" s="93"/>
    </row>
    <row r="15" spans="1:15" x14ac:dyDescent="0.25">
      <c r="A15" s="10" t="s">
        <v>34</v>
      </c>
      <c r="B15" s="12" t="s">
        <v>20</v>
      </c>
      <c r="C15" s="59" t="s">
        <v>63</v>
      </c>
      <c r="D15" s="60" t="s">
        <v>24</v>
      </c>
      <c r="E15" s="34"/>
      <c r="F15" s="10"/>
      <c r="G15" s="51"/>
      <c r="H15" s="36"/>
      <c r="I15" s="14"/>
      <c r="J15" s="11">
        <v>7044.8</v>
      </c>
      <c r="K15" s="29">
        <f t="shared" si="0"/>
        <v>494666.8</v>
      </c>
      <c r="N15" s="7"/>
    </row>
    <row r="16" spans="1:15" ht="15.75" thickBot="1" x14ac:dyDescent="0.3">
      <c r="A16" s="10" t="s">
        <v>34</v>
      </c>
      <c r="B16" s="12" t="s">
        <v>20</v>
      </c>
      <c r="C16" s="59" t="s">
        <v>63</v>
      </c>
      <c r="D16" s="60" t="s">
        <v>21</v>
      </c>
      <c r="E16" s="34"/>
      <c r="F16" s="10"/>
      <c r="G16" s="51"/>
      <c r="H16" s="36"/>
      <c r="I16" s="14"/>
      <c r="J16" s="11">
        <v>7044.8</v>
      </c>
      <c r="K16" s="29">
        <f t="shared" si="0"/>
        <v>487622</v>
      </c>
      <c r="N16" s="7"/>
    </row>
    <row r="17" spans="1:15" x14ac:dyDescent="0.25">
      <c r="A17" s="10" t="s">
        <v>36</v>
      </c>
      <c r="B17" s="12" t="s">
        <v>20</v>
      </c>
      <c r="C17" s="59" t="s">
        <v>63</v>
      </c>
      <c r="D17" s="60" t="s">
        <v>25</v>
      </c>
      <c r="E17" s="34"/>
      <c r="F17" s="10"/>
      <c r="G17" s="51"/>
      <c r="H17" s="36"/>
      <c r="I17" s="14"/>
      <c r="J17" s="11">
        <v>7044.8</v>
      </c>
      <c r="K17" s="29">
        <f t="shared" si="0"/>
        <v>480577.2</v>
      </c>
      <c r="M17" s="75" t="s">
        <v>45</v>
      </c>
      <c r="N17" s="76">
        <v>12170.24</v>
      </c>
      <c r="O17" s="91" t="s">
        <v>49</v>
      </c>
    </row>
    <row r="18" spans="1:15" x14ac:dyDescent="0.25">
      <c r="A18" s="10" t="s">
        <v>67</v>
      </c>
      <c r="B18" s="12" t="s">
        <v>20</v>
      </c>
      <c r="C18" s="59" t="s">
        <v>42</v>
      </c>
      <c r="D18" s="60" t="s">
        <v>24</v>
      </c>
      <c r="E18" s="34"/>
      <c r="F18" s="10"/>
      <c r="G18" s="51"/>
      <c r="H18" s="14"/>
      <c r="I18" s="4"/>
      <c r="J18" s="11">
        <v>3042.56</v>
      </c>
      <c r="K18" s="29">
        <f t="shared" si="0"/>
        <v>477534.64</v>
      </c>
      <c r="M18" s="77" t="s">
        <v>46</v>
      </c>
      <c r="N18" s="78">
        <f>N17/4</f>
        <v>3042.56</v>
      </c>
      <c r="O18" s="92"/>
    </row>
    <row r="19" spans="1:15" x14ac:dyDescent="0.25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477534.64</v>
      </c>
      <c r="M19" s="77" t="s">
        <v>47</v>
      </c>
      <c r="N19" s="79">
        <v>2</v>
      </c>
      <c r="O19" s="92"/>
    </row>
    <row r="20" spans="1:15" ht="15.75" thickBot="1" x14ac:dyDescent="0.3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477534.64</v>
      </c>
      <c r="M20" s="80"/>
      <c r="N20" s="71"/>
      <c r="O20" s="92"/>
    </row>
    <row r="21" spans="1:15" ht="15.75" thickBot="1" x14ac:dyDescent="0.3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477534.64</v>
      </c>
      <c r="M21" s="81" t="s">
        <v>48</v>
      </c>
      <c r="N21" s="72">
        <f>N17-(N18*N19)</f>
        <v>6085.12</v>
      </c>
      <c r="O21" s="93"/>
    </row>
    <row r="22" spans="1:15" x14ac:dyDescent="0.25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477534.64</v>
      </c>
      <c r="N22" s="7"/>
    </row>
    <row r="23" spans="1:15" ht="15.75" thickBot="1" x14ac:dyDescent="0.3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477534.64</v>
      </c>
    </row>
    <row r="24" spans="1:15" ht="15" customHeight="1" x14ac:dyDescent="0.25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477534.64</v>
      </c>
      <c r="M24" s="75" t="s">
        <v>45</v>
      </c>
      <c r="N24" s="76">
        <v>16000.7</v>
      </c>
      <c r="O24" s="91" t="s">
        <v>61</v>
      </c>
    </row>
    <row r="25" spans="1:15" ht="15" customHeight="1" x14ac:dyDescent="0.25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477534.64</v>
      </c>
      <c r="M25" s="77" t="s">
        <v>46</v>
      </c>
      <c r="N25" s="78">
        <f>N24/5</f>
        <v>3200.1400000000003</v>
      </c>
      <c r="O25" s="92"/>
    </row>
    <row r="26" spans="1:15" ht="15" customHeight="1" x14ac:dyDescent="0.25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477534.64</v>
      </c>
      <c r="M26" s="77" t="s">
        <v>47</v>
      </c>
      <c r="N26" s="79">
        <v>2</v>
      </c>
      <c r="O26" s="92"/>
    </row>
    <row r="27" spans="1:15" ht="15.75" customHeight="1" thickBot="1" x14ac:dyDescent="0.3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477534.64</v>
      </c>
      <c r="M27" s="80"/>
      <c r="N27" s="71"/>
      <c r="O27" s="92"/>
    </row>
    <row r="28" spans="1:15" ht="15.75" customHeight="1" thickBot="1" x14ac:dyDescent="0.3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477534.64</v>
      </c>
      <c r="M28" s="81" t="s">
        <v>48</v>
      </c>
      <c r="N28" s="72">
        <f>N24-(N25*N26)</f>
        <v>9600.42</v>
      </c>
      <c r="O28" s="93"/>
    </row>
    <row r="29" spans="1:15" x14ac:dyDescent="0.25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477534.64</v>
      </c>
    </row>
    <row r="30" spans="1:15" ht="15.75" thickBot="1" x14ac:dyDescent="0.3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477534.64</v>
      </c>
    </row>
    <row r="31" spans="1:15" x14ac:dyDescent="0.25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477534.64</v>
      </c>
      <c r="M31" s="75" t="s">
        <v>45</v>
      </c>
      <c r="N31" s="76">
        <v>21391.38</v>
      </c>
      <c r="O31" s="91" t="s">
        <v>39</v>
      </c>
    </row>
    <row r="32" spans="1:15" x14ac:dyDescent="0.25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477534.64</v>
      </c>
      <c r="M32" s="77" t="s">
        <v>46</v>
      </c>
      <c r="N32" s="78">
        <f>N31/3</f>
        <v>7130.46</v>
      </c>
      <c r="O32" s="92"/>
    </row>
    <row r="33" spans="1:15" x14ac:dyDescent="0.25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477534.64</v>
      </c>
      <c r="M33" s="77" t="s">
        <v>47</v>
      </c>
      <c r="N33" s="79">
        <v>3</v>
      </c>
      <c r="O33" s="92"/>
    </row>
    <row r="34" spans="1:15" ht="15.75" thickBot="1" x14ac:dyDescent="0.3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477534.64</v>
      </c>
      <c r="M34" s="80"/>
      <c r="N34" s="71"/>
      <c r="O34" s="92"/>
    </row>
    <row r="35" spans="1:15" ht="15.75" thickBot="1" x14ac:dyDescent="0.3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477534.64</v>
      </c>
      <c r="M35" s="81" t="s">
        <v>48</v>
      </c>
      <c r="N35" s="72">
        <f>N31-(N32*N33)</f>
        <v>0</v>
      </c>
      <c r="O35" s="93"/>
    </row>
    <row r="36" spans="1:15" x14ac:dyDescent="0.25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477534.64</v>
      </c>
    </row>
    <row r="37" spans="1:15" ht="18" customHeight="1" x14ac:dyDescent="0.25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477534.64</v>
      </c>
      <c r="M37" s="73"/>
    </row>
    <row r="38" spans="1:15" ht="15" customHeight="1" x14ac:dyDescent="0.25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477534.64</v>
      </c>
      <c r="M38" s="74"/>
    </row>
    <row r="39" spans="1:15" ht="15" customHeight="1" x14ac:dyDescent="0.25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477534.64</v>
      </c>
      <c r="M39" s="73"/>
    </row>
    <row r="40" spans="1:15" ht="15.75" customHeight="1" x14ac:dyDescent="0.25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477534.64</v>
      </c>
      <c r="M40" s="73"/>
    </row>
    <row r="41" spans="1:15" ht="15.75" customHeight="1" x14ac:dyDescent="0.25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477534.64</v>
      </c>
      <c r="M41" s="74"/>
    </row>
    <row r="42" spans="1:15" ht="15" customHeight="1" x14ac:dyDescent="0.25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477534.64</v>
      </c>
      <c r="M42" s="73"/>
    </row>
    <row r="43" spans="1:15" ht="17.25" customHeight="1" x14ac:dyDescent="0.25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477534.64</v>
      </c>
      <c r="M43" s="74"/>
    </row>
    <row r="44" spans="1:15" ht="15" customHeight="1" x14ac:dyDescent="0.25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477534.64</v>
      </c>
      <c r="M44" s="73"/>
    </row>
    <row r="45" spans="1:15" x14ac:dyDescent="0.25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477534.64</v>
      </c>
    </row>
    <row r="46" spans="1:15" x14ac:dyDescent="0.25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477534.64</v>
      </c>
    </row>
    <row r="47" spans="1:15" ht="15.75" thickBot="1" x14ac:dyDescent="0.3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477534.64</v>
      </c>
    </row>
    <row r="48" spans="1:15" ht="15.75" thickBot="1" x14ac:dyDescent="0.3">
      <c r="A48" s="54" t="s">
        <v>72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91012.14</v>
      </c>
      <c r="K48" s="19"/>
    </row>
  </sheetData>
  <mergeCells count="9">
    <mergeCell ref="A1:K1"/>
    <mergeCell ref="O10:O14"/>
    <mergeCell ref="O17:O21"/>
    <mergeCell ref="O24:O28"/>
    <mergeCell ref="O31:O35"/>
    <mergeCell ref="M7:M8"/>
    <mergeCell ref="N7:O8"/>
    <mergeCell ref="N4:O4"/>
    <mergeCell ref="N5:O5"/>
  </mergeCells>
  <pageMargins left="0.16" right="0.16" top="0.34" bottom="0.3" header="0.23" footer="0.21"/>
  <pageSetup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6BE18-651E-4818-951D-9E72F36A3681}">
  <dimension ref="A1:O48"/>
  <sheetViews>
    <sheetView tabSelected="1" zoomScaleNormal="100" workbookViewId="0">
      <pane ySplit="2" topLeftCell="A3" activePane="bottomLeft" state="frozen"/>
      <selection pane="bottomLeft" activeCell="N4" sqref="N4:O4"/>
    </sheetView>
  </sheetViews>
  <sheetFormatPr defaultRowHeight="15" x14ac:dyDescent="0.25"/>
  <cols>
    <col min="1" max="1" width="10.140625" style="5" bestFit="1" customWidth="1"/>
    <col min="2" max="2" width="19.42578125" style="5" customWidth="1"/>
    <col min="3" max="3" width="7.85546875" style="5" bestFit="1" customWidth="1"/>
    <col min="4" max="4" width="14" style="5" customWidth="1"/>
    <col min="5" max="5" width="9.85546875" style="87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2" width="6.140625" style="5" customWidth="1"/>
    <col min="13" max="13" width="19" style="5" customWidth="1"/>
    <col min="14" max="14" width="11.28515625" style="5" customWidth="1"/>
    <col min="15" max="15" width="11.85546875" style="5" customWidth="1"/>
    <col min="16" max="16" width="6" style="5" customWidth="1"/>
    <col min="17" max="17" width="8" style="5" customWidth="1"/>
    <col min="18" max="16384" width="9.140625" style="5"/>
  </cols>
  <sheetData>
    <row r="1" spans="1:15" ht="15.75" thickBot="1" x14ac:dyDescent="0.3">
      <c r="A1" s="88" t="s">
        <v>69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5" s="87" customFormat="1" ht="45.75" thickBot="1" x14ac:dyDescent="0.3">
      <c r="A2" s="20" t="s">
        <v>2</v>
      </c>
      <c r="B2" s="21" t="s">
        <v>0</v>
      </c>
      <c r="C2" s="22" t="s">
        <v>50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 ht="15.75" thickBot="1" x14ac:dyDescent="0.3">
      <c r="A3" s="26" t="s">
        <v>68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477534.64</v>
      </c>
    </row>
    <row r="4" spans="1:15" x14ac:dyDescent="0.25">
      <c r="A4" s="10"/>
      <c r="B4" s="12"/>
      <c r="C4" s="59"/>
      <c r="D4" s="60"/>
      <c r="E4" s="34"/>
      <c r="F4" s="10"/>
      <c r="G4" s="51"/>
      <c r="H4" s="14"/>
      <c r="I4" s="4"/>
      <c r="J4" s="11"/>
      <c r="K4" s="29">
        <f>SUM(K3+G4-J4)</f>
        <v>477534.64</v>
      </c>
      <c r="M4" s="82" t="s">
        <v>13</v>
      </c>
      <c r="N4" s="100">
        <f>'[1]June 2021'!$K$6</f>
        <v>454804.3</v>
      </c>
      <c r="O4" s="101"/>
    </row>
    <row r="5" spans="1:15" x14ac:dyDescent="0.25">
      <c r="A5" s="10"/>
      <c r="B5" s="12"/>
      <c r="C5" s="59"/>
      <c r="D5" s="60"/>
      <c r="E5" s="3"/>
      <c r="F5" s="3"/>
      <c r="G5" s="2"/>
      <c r="H5" s="1"/>
      <c r="I5" s="4"/>
      <c r="J5" s="11"/>
      <c r="K5" s="29">
        <f t="shared" ref="K5:K47" si="0">SUM(K4+G5-J5)</f>
        <v>477534.64</v>
      </c>
      <c r="M5" s="83" t="s">
        <v>12</v>
      </c>
      <c r="N5" s="102">
        <f>K47-N14-N21-N28-N35</f>
        <v>454804.30000000005</v>
      </c>
      <c r="O5" s="103"/>
    </row>
    <row r="6" spans="1:15" s="87" customFormat="1" ht="15.75" thickBot="1" x14ac:dyDescent="0.25">
      <c r="A6" s="10"/>
      <c r="B6" s="12"/>
      <c r="C6" s="59"/>
      <c r="D6" s="60"/>
      <c r="E6" s="33"/>
      <c r="F6" s="10"/>
      <c r="G6" s="51"/>
      <c r="H6" s="4"/>
      <c r="I6" s="4"/>
      <c r="J6" s="11"/>
      <c r="K6" s="29">
        <f t="shared" si="0"/>
        <v>477534.64</v>
      </c>
      <c r="M6" s="84"/>
      <c r="N6" s="85"/>
      <c r="O6" s="86"/>
    </row>
    <row r="7" spans="1:15" s="87" customFormat="1" ht="15" customHeight="1" x14ac:dyDescent="0.2">
      <c r="A7" s="10"/>
      <c r="B7" s="12"/>
      <c r="C7" s="59"/>
      <c r="D7" s="60"/>
      <c r="E7" s="33"/>
      <c r="F7" s="10"/>
      <c r="G7" s="51"/>
      <c r="H7" s="4"/>
      <c r="I7" s="4"/>
      <c r="J7" s="11"/>
      <c r="K7" s="29">
        <f>SUM(K6+G7-J7)</f>
        <v>477534.64</v>
      </c>
      <c r="M7" s="94" t="s">
        <v>11</v>
      </c>
      <c r="N7" s="96">
        <f>N4-N5</f>
        <v>0</v>
      </c>
      <c r="O7" s="97"/>
    </row>
    <row r="8" spans="1:15" ht="15" customHeight="1" thickBot="1" x14ac:dyDescent="0.3">
      <c r="A8" s="10"/>
      <c r="B8" s="12"/>
      <c r="C8" s="59"/>
      <c r="D8" s="60"/>
      <c r="E8" s="3"/>
      <c r="F8" s="3"/>
      <c r="G8" s="2"/>
      <c r="H8" s="1"/>
      <c r="I8" s="4"/>
      <c r="J8" s="11"/>
      <c r="K8" s="29">
        <f t="shared" si="0"/>
        <v>477534.64</v>
      </c>
      <c r="M8" s="95"/>
      <c r="N8" s="98"/>
      <c r="O8" s="99"/>
    </row>
    <row r="9" spans="1:15" ht="15.75" thickBot="1" x14ac:dyDescent="0.3">
      <c r="A9" s="10"/>
      <c r="B9" s="12"/>
      <c r="C9" s="59"/>
      <c r="D9" s="60"/>
      <c r="E9" s="3"/>
      <c r="F9" s="3"/>
      <c r="G9" s="2"/>
      <c r="H9" s="1"/>
      <c r="I9" s="4"/>
      <c r="J9" s="11"/>
      <c r="K9" s="29">
        <f t="shared" si="0"/>
        <v>477534.64</v>
      </c>
      <c r="M9" s="46"/>
    </row>
    <row r="10" spans="1:15" ht="15" customHeight="1" x14ac:dyDescent="0.25">
      <c r="A10" s="10"/>
      <c r="B10" s="12"/>
      <c r="C10" s="59"/>
      <c r="D10" s="60"/>
      <c r="E10" s="3"/>
      <c r="F10" s="3"/>
      <c r="G10" s="2"/>
      <c r="H10" s="1"/>
      <c r="I10" s="4"/>
      <c r="J10" s="11"/>
      <c r="K10" s="29">
        <f t="shared" si="0"/>
        <v>477534.64</v>
      </c>
      <c r="M10" s="75" t="s">
        <v>45</v>
      </c>
      <c r="N10" s="76">
        <v>7044.8</v>
      </c>
      <c r="O10" s="91" t="s">
        <v>64</v>
      </c>
    </row>
    <row r="11" spans="1:15" ht="15.75" customHeight="1" x14ac:dyDescent="0.25">
      <c r="A11" s="10"/>
      <c r="B11" s="12"/>
      <c r="C11" s="59"/>
      <c r="D11" s="60"/>
      <c r="E11" s="34"/>
      <c r="F11" s="10"/>
      <c r="G11" s="51"/>
      <c r="H11" s="36"/>
      <c r="I11" s="14"/>
      <c r="J11" s="11"/>
      <c r="K11" s="29">
        <f t="shared" si="0"/>
        <v>477534.64</v>
      </c>
      <c r="M11" s="77" t="s">
        <v>46</v>
      </c>
      <c r="N11" s="78">
        <f>N10/1</f>
        <v>7044.8</v>
      </c>
      <c r="O11" s="92"/>
    </row>
    <row r="12" spans="1:15" x14ac:dyDescent="0.25">
      <c r="A12" s="10"/>
      <c r="B12" s="12"/>
      <c r="C12" s="59"/>
      <c r="D12" s="60"/>
      <c r="E12" s="34"/>
      <c r="F12" s="10"/>
      <c r="G12" s="51"/>
      <c r="H12" s="36"/>
      <c r="I12" s="14"/>
      <c r="J12" s="11"/>
      <c r="K12" s="29">
        <f t="shared" si="0"/>
        <v>477534.64</v>
      </c>
      <c r="M12" s="77" t="s">
        <v>47</v>
      </c>
      <c r="N12" s="79">
        <v>0</v>
      </c>
      <c r="O12" s="92"/>
    </row>
    <row r="13" spans="1:15" ht="15.75" thickBot="1" x14ac:dyDescent="0.3">
      <c r="A13" s="10"/>
      <c r="B13" s="12"/>
      <c r="C13" s="59"/>
      <c r="D13" s="60"/>
      <c r="E13" s="34"/>
      <c r="F13" s="10"/>
      <c r="G13" s="51"/>
      <c r="H13" s="36"/>
      <c r="I13" s="14"/>
      <c r="J13" s="11"/>
      <c r="K13" s="29">
        <f t="shared" si="0"/>
        <v>477534.64</v>
      </c>
      <c r="M13" s="80"/>
      <c r="N13" s="71"/>
      <c r="O13" s="92"/>
    </row>
    <row r="14" spans="1:15" ht="15.75" thickBot="1" x14ac:dyDescent="0.3">
      <c r="A14" s="10"/>
      <c r="B14" s="12"/>
      <c r="C14" s="59"/>
      <c r="D14" s="60"/>
      <c r="E14" s="33"/>
      <c r="F14" s="10"/>
      <c r="G14" s="51"/>
      <c r="H14" s="4"/>
      <c r="I14" s="4"/>
      <c r="J14" s="11"/>
      <c r="K14" s="29">
        <f t="shared" si="0"/>
        <v>477534.64</v>
      </c>
      <c r="M14" s="81" t="s">
        <v>48</v>
      </c>
      <c r="N14" s="72">
        <f>N10-(N11*N12)</f>
        <v>7044.8</v>
      </c>
      <c r="O14" s="93"/>
    </row>
    <row r="15" spans="1:15" x14ac:dyDescent="0.25">
      <c r="A15" s="10"/>
      <c r="B15" s="12"/>
      <c r="C15" s="59"/>
      <c r="D15" s="60"/>
      <c r="E15" s="34"/>
      <c r="F15" s="10"/>
      <c r="G15" s="51"/>
      <c r="H15" s="36"/>
      <c r="I15" s="14"/>
      <c r="J15" s="11"/>
      <c r="K15" s="29">
        <f t="shared" si="0"/>
        <v>477534.64</v>
      </c>
      <c r="N15" s="7"/>
    </row>
    <row r="16" spans="1:15" ht="15.75" thickBot="1" x14ac:dyDescent="0.3">
      <c r="A16" s="10"/>
      <c r="B16" s="12"/>
      <c r="C16" s="59"/>
      <c r="D16" s="60"/>
      <c r="E16" s="34"/>
      <c r="F16" s="10"/>
      <c r="G16" s="51"/>
      <c r="H16" s="36"/>
      <c r="I16" s="14"/>
      <c r="J16" s="11"/>
      <c r="K16" s="29">
        <f t="shared" si="0"/>
        <v>477534.64</v>
      </c>
      <c r="N16" s="7"/>
    </row>
    <row r="17" spans="1:15" x14ac:dyDescent="0.25">
      <c r="A17" s="10"/>
      <c r="B17" s="12"/>
      <c r="C17" s="59"/>
      <c r="D17" s="60"/>
      <c r="E17" s="34"/>
      <c r="F17" s="10"/>
      <c r="G17" s="51"/>
      <c r="H17" s="36"/>
      <c r="I17" s="14"/>
      <c r="J17" s="11"/>
      <c r="K17" s="29">
        <f t="shared" si="0"/>
        <v>477534.64</v>
      </c>
      <c r="M17" s="75" t="s">
        <v>45</v>
      </c>
      <c r="N17" s="76">
        <v>6085.12</v>
      </c>
      <c r="O17" s="91" t="s">
        <v>49</v>
      </c>
    </row>
    <row r="18" spans="1:15" x14ac:dyDescent="0.25">
      <c r="A18" s="10"/>
      <c r="B18" s="12"/>
      <c r="C18" s="59"/>
      <c r="D18" s="60"/>
      <c r="E18" s="34"/>
      <c r="F18" s="10"/>
      <c r="G18" s="51"/>
      <c r="H18" s="14"/>
      <c r="I18" s="4"/>
      <c r="J18" s="11"/>
      <c r="K18" s="29">
        <f t="shared" si="0"/>
        <v>477534.64</v>
      </c>
      <c r="M18" s="77" t="s">
        <v>46</v>
      </c>
      <c r="N18" s="78">
        <f>N17/2</f>
        <v>3042.56</v>
      </c>
      <c r="O18" s="92"/>
    </row>
    <row r="19" spans="1:15" x14ac:dyDescent="0.25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477534.64</v>
      </c>
      <c r="M19" s="77" t="s">
        <v>47</v>
      </c>
      <c r="N19" s="79">
        <v>0</v>
      </c>
      <c r="O19" s="92"/>
    </row>
    <row r="20" spans="1:15" ht="15.75" thickBot="1" x14ac:dyDescent="0.3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477534.64</v>
      </c>
      <c r="M20" s="80"/>
      <c r="N20" s="71"/>
      <c r="O20" s="92"/>
    </row>
    <row r="21" spans="1:15" ht="15.75" thickBot="1" x14ac:dyDescent="0.3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477534.64</v>
      </c>
      <c r="M21" s="81" t="s">
        <v>48</v>
      </c>
      <c r="N21" s="72">
        <f>N17-(N18*N19)</f>
        <v>6085.12</v>
      </c>
      <c r="O21" s="93"/>
    </row>
    <row r="22" spans="1:15" x14ac:dyDescent="0.25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477534.64</v>
      </c>
      <c r="N22" s="7"/>
    </row>
    <row r="23" spans="1:15" ht="15.75" thickBot="1" x14ac:dyDescent="0.3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477534.64</v>
      </c>
    </row>
    <row r="24" spans="1:15" ht="15" customHeight="1" x14ac:dyDescent="0.25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477534.64</v>
      </c>
      <c r="M24" s="75" t="s">
        <v>45</v>
      </c>
      <c r="N24" s="76">
        <v>9600.42</v>
      </c>
      <c r="O24" s="91" t="s">
        <v>61</v>
      </c>
    </row>
    <row r="25" spans="1:15" ht="15" customHeight="1" x14ac:dyDescent="0.25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477534.64</v>
      </c>
      <c r="M25" s="77" t="s">
        <v>46</v>
      </c>
      <c r="N25" s="78">
        <f>N24/3</f>
        <v>3200.14</v>
      </c>
      <c r="O25" s="92"/>
    </row>
    <row r="26" spans="1:15" ht="15" customHeight="1" x14ac:dyDescent="0.25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477534.64</v>
      </c>
      <c r="M26" s="77" t="s">
        <v>47</v>
      </c>
      <c r="N26" s="79">
        <v>0</v>
      </c>
      <c r="O26" s="92"/>
    </row>
    <row r="27" spans="1:15" ht="15.75" customHeight="1" thickBot="1" x14ac:dyDescent="0.3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477534.64</v>
      </c>
      <c r="M27" s="80"/>
      <c r="N27" s="71"/>
      <c r="O27" s="92"/>
    </row>
    <row r="28" spans="1:15" ht="15.75" customHeight="1" thickBot="1" x14ac:dyDescent="0.3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477534.64</v>
      </c>
      <c r="M28" s="81" t="s">
        <v>48</v>
      </c>
      <c r="N28" s="72">
        <f>N24-(N25*N26)</f>
        <v>9600.42</v>
      </c>
      <c r="O28" s="93"/>
    </row>
    <row r="29" spans="1:15" x14ac:dyDescent="0.25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477534.64</v>
      </c>
    </row>
    <row r="30" spans="1:15" ht="15.75" thickBot="1" x14ac:dyDescent="0.3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477534.64</v>
      </c>
    </row>
    <row r="31" spans="1:15" x14ac:dyDescent="0.25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477534.64</v>
      </c>
      <c r="M31" s="75" t="s">
        <v>45</v>
      </c>
      <c r="N31" s="76">
        <v>21391.38</v>
      </c>
      <c r="O31" s="91" t="s">
        <v>39</v>
      </c>
    </row>
    <row r="32" spans="1:15" x14ac:dyDescent="0.25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477534.64</v>
      </c>
      <c r="M32" s="77" t="s">
        <v>46</v>
      </c>
      <c r="N32" s="78">
        <f>N31/3</f>
        <v>7130.46</v>
      </c>
      <c r="O32" s="92"/>
    </row>
    <row r="33" spans="1:15" x14ac:dyDescent="0.25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477534.64</v>
      </c>
      <c r="M33" s="77" t="s">
        <v>47</v>
      </c>
      <c r="N33" s="79">
        <v>3</v>
      </c>
      <c r="O33" s="92"/>
    </row>
    <row r="34" spans="1:15" ht="15.75" thickBot="1" x14ac:dyDescent="0.3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477534.64</v>
      </c>
      <c r="M34" s="80"/>
      <c r="N34" s="71"/>
      <c r="O34" s="92"/>
    </row>
    <row r="35" spans="1:15" ht="15.75" thickBot="1" x14ac:dyDescent="0.3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477534.64</v>
      </c>
      <c r="M35" s="81" t="s">
        <v>48</v>
      </c>
      <c r="N35" s="72">
        <f>N31-(N32*N33)</f>
        <v>0</v>
      </c>
      <c r="O35" s="93"/>
    </row>
    <row r="36" spans="1:15" x14ac:dyDescent="0.25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477534.64</v>
      </c>
    </row>
    <row r="37" spans="1:15" ht="18" customHeight="1" x14ac:dyDescent="0.25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477534.64</v>
      </c>
      <c r="M37" s="73"/>
    </row>
    <row r="38" spans="1:15" ht="15" customHeight="1" x14ac:dyDescent="0.25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477534.64</v>
      </c>
      <c r="M38" s="74"/>
    </row>
    <row r="39" spans="1:15" ht="15" customHeight="1" x14ac:dyDescent="0.25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477534.64</v>
      </c>
      <c r="M39" s="73"/>
    </row>
    <row r="40" spans="1:15" ht="15.75" customHeight="1" x14ac:dyDescent="0.25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477534.64</v>
      </c>
      <c r="M40" s="73"/>
    </row>
    <row r="41" spans="1:15" ht="15.75" customHeight="1" x14ac:dyDescent="0.25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477534.64</v>
      </c>
      <c r="M41" s="74"/>
    </row>
    <row r="42" spans="1:15" ht="15" customHeight="1" x14ac:dyDescent="0.25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477534.64</v>
      </c>
      <c r="M42" s="73"/>
    </row>
    <row r="43" spans="1:15" ht="17.25" customHeight="1" x14ac:dyDescent="0.25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477534.64</v>
      </c>
      <c r="M43" s="74"/>
    </row>
    <row r="44" spans="1:15" ht="15" customHeight="1" x14ac:dyDescent="0.25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477534.64</v>
      </c>
      <c r="M44" s="73"/>
    </row>
    <row r="45" spans="1:15" x14ac:dyDescent="0.25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477534.64</v>
      </c>
    </row>
    <row r="46" spans="1:15" x14ac:dyDescent="0.25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477534.64</v>
      </c>
    </row>
    <row r="47" spans="1:15" ht="15.75" thickBot="1" x14ac:dyDescent="0.3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477534.64</v>
      </c>
    </row>
    <row r="48" spans="1:15" ht="15.75" thickBot="1" x14ac:dyDescent="0.3">
      <c r="A48" s="54" t="s">
        <v>70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0</v>
      </c>
      <c r="K48" s="19"/>
    </row>
  </sheetData>
  <mergeCells count="9">
    <mergeCell ref="O17:O21"/>
    <mergeCell ref="O24:O28"/>
    <mergeCell ref="O31:O35"/>
    <mergeCell ref="A1:K1"/>
    <mergeCell ref="N4:O4"/>
    <mergeCell ref="N5:O5"/>
    <mergeCell ref="M7:M8"/>
    <mergeCell ref="N7:O8"/>
    <mergeCell ref="O10:O14"/>
  </mergeCells>
  <pageMargins left="0.16" right="0.16" top="0.34" bottom="0.3" header="0.23" footer="0.21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2021-22</vt:lpstr>
      <vt:lpstr>May 2021</vt:lpstr>
      <vt:lpstr>June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</dc:creator>
  <cp:lastModifiedBy>Raj</cp:lastModifiedBy>
  <cp:lastPrinted>2020-12-22T06:47:08Z</cp:lastPrinted>
  <dcterms:created xsi:type="dcterms:W3CDTF">2017-04-20T06:09:09Z</dcterms:created>
  <dcterms:modified xsi:type="dcterms:W3CDTF">2021-06-07T08:07:25Z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106e69ae-a096-4be8-bea6-0b773f0e29f2</vt:lpwstr>
  </property>
</Properties>
</file>