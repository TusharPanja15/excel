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/>
  </bookViews>
  <sheets>
    <sheet name="April 2021-22" sheetId="25" r:id="rId1"/>
    <sheet name="May 2021" sheetId="26" r:id="rId2"/>
    <sheet name="June 2021" sheetId="27" r:id="rId3"/>
  </sheets>
  <externalReferences>
    <externalReference r:id="rId4"/>
  </externalReferences>
  <definedNames>
    <definedName name="_xlnm._FilterDatabase" localSheetId="0" hidden="1">'April 2021-22'!$A$2:$O$43</definedName>
    <definedName name="_xlnm._FilterDatabase" localSheetId="2" hidden="1">'June 2021'!$A$2:$O$43</definedName>
    <definedName name="_xlnm._FilterDatabase" localSheetId="1" hidden="1">'May 2021'!$A$2:$O$43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5" i="27"/>
  <c r="N18"/>
  <c r="N21" s="1"/>
  <c r="N28"/>
  <c r="N11"/>
  <c r="N32"/>
  <c r="N4"/>
  <c r="N14"/>
  <c r="J48"/>
  <c r="G48"/>
  <c r="N35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N11" i="26"/>
  <c r="N5" i="27" l="1"/>
  <c r="N7" s="1"/>
  <c r="N32" i="26"/>
  <c r="N35" s="1"/>
  <c r="N25"/>
  <c r="N28" s="1"/>
  <c r="N18"/>
  <c r="N21" s="1"/>
  <c r="N14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19"/>
  <c r="M17"/>
  <c r="N21" s="1"/>
  <c r="N5" i="26" l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  <c r="N4" i="26" l="1"/>
  <c r="N7" s="1"/>
</calcChain>
</file>

<file path=xl/sharedStrings.xml><?xml version="1.0" encoding="utf-8"?>
<sst xmlns="http://schemas.openxmlformats.org/spreadsheetml/2006/main" count="250" uniqueCount="86">
  <si>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</si>
  <si>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</si>
  <si>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</si>
  <si>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</si>
  <si>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</si>
  <si>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</si>
  <si>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</si>
  <si>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</si>
  <si>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</si>
  <si>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</si>
  <si>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</si>
  <si>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</si>
  <si>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</si>
  <si>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</si>
  <si>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</si>
  <si>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</si>
  <si>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</si>
  <si>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5 Kg-14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</si>
  <si>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</si>
  <si>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</si>
  <si>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</si>
  <si>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</si>
  <si>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</si>
  <si>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</si>
  <si>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</si>
  <si>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</si>
  <si>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</si>
  <si>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</si>
  <si>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</si>
  <si>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</si>
  <si>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</si>
  <si>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</si>
  <si>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</si>
  <si>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</si>
  <si>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</si>
  <si>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</si>
  <si>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</si>
  <si>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</si>
  <si>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</si>
  <si>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</si>
  <si>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</si>
  <si>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</si>
  <si>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</si>
  <si>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</si>
  <si>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</si>
  <si>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</si>
  <si>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</si>
  <si>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</si>
  <si>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</si>
  <si>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</si>
  <si>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</si>
  <si>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</si>
  <si>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</si>
  <si>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</si>
  <si>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</si>
  <si>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</si>
  <si>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</si>
  <si>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</si>
  <si>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</si>
  <si>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</si>
  <si>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</si>
  <si>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</si>
  <si>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</si>
  <si>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</si>
  <si>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</si>
  <si>
    <t>18.05.2021</t>
  </si>
  <si>
    <t>Part no. 05</t>
  </si>
  <si>
    <t>27.05.2021</t>
  </si>
  <si>
    <t>01.06.2021</t>
  </si>
  <si>
    <t>ORIGINAL TEA STOCK REGISTER FOR THE MONTH OF JUNE 2021</t>
  </si>
  <si>
    <t>TOTAL FOR THE MONTH OF JUNE 2021</t>
  </si>
  <si>
    <t>ORIGINAL TEA STOCK REGISTER FOR THE MONTH OF MAY 2021</t>
  </si>
  <si>
    <t>TOTAL FOR THE MONTH OF MAY2021</t>
  </si>
  <si>
    <t>TOTAL FOR THE MONTH OF APRIL 2021</t>
  </si>
  <si>
    <t>ORIGINAL TEA STOCK REGISTER FOR THE MONTH OF APRIL 2021</t>
  </si>
  <si>
    <t>03.06.2021</t>
  </si>
  <si>
    <t>5Kg-02</t>
  </si>
  <si>
    <t>Part no. 01</t>
  </si>
  <si>
    <t>04.06.2021</t>
  </si>
  <si>
    <t>05.06.2021</t>
  </si>
  <si>
    <t>07.06.2021</t>
  </si>
  <si>
    <t>Gsl-5</t>
  </si>
  <si>
    <t>Gsl-05</t>
  </si>
  <si>
    <t>09.06.2021</t>
  </si>
  <si>
    <t>12.06.2021</t>
  </si>
  <si>
    <t>15.06.2021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</si>
</sst>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 refreshError="1"/>
      <sheetData sheetId="1">
        <row r="6">
          <cell r="K6">
            <v>454804.3</v>
          </cell>
        </row>
      </sheetData>
      <sheetData sheetId="2">
        <row r="6">
          <cell r="K6">
            <v>326076.09999999998</v>
          </cell>
        </row>
      </sheetData>
      <sheetData sheetId="3" refreshError="1"/>
      <sheetData sheetId="4">
        <row r="15">
          <cell r="N15">
            <v>104683.68</v>
          </cell>
        </row>
      </sheetData>
      <sheetData sheetId="5">
        <row r="6">
          <cell r="K6">
            <v>149997.5</v>
          </cell>
        </row>
      </sheetData>
      <sheetData sheetId="6">
        <row r="15">
          <cell r="N15">
            <v>43368.410400000008</v>
          </cell>
        </row>
      </sheetData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3" activePane="bottomLeft" state="frozen"/>
      <selection pane="bottomLeft" activeCell="A2" sqref="A2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88" t="s">
        <v>74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18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19</v>
      </c>
      <c r="B4" s="12" t="s">
        <v>20</v>
      </c>
      <c r="C4" s="59" t="s">
        <v>23</v>
      </c>
      <c r="D4" s="60" t="s">
        <v>22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27</v>
      </c>
      <c r="B5" s="12" t="s">
        <v>20</v>
      </c>
      <c r="C5" s="59" t="s">
        <v>23</v>
      </c>
      <c r="D5" s="60" t="s">
        <v>24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28</v>
      </c>
      <c r="B6" s="12" t="s">
        <v>20</v>
      </c>
      <c r="C6" s="59" t="s">
        <v>23</v>
      </c>
      <c r="D6" s="60" t="s">
        <v>21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29</v>
      </c>
      <c r="B7" s="12" t="s">
        <v>20</v>
      </c>
      <c r="C7" s="59" t="s">
        <v>23</v>
      </c>
      <c r="D7" s="60" t="s">
        <v>25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9" t="s">
        <v>11</v>
      </c>
      <c r="O7" s="90">
        <f>O4-O5</f>
        <v>0</v>
      </c>
    </row>
    <row r="8" spans="1:15">
      <c r="A8" s="10" t="s">
        <v>30</v>
      </c>
      <c r="B8" s="12" t="s">
        <v>20</v>
      </c>
      <c r="C8" s="59" t="s">
        <v>23</v>
      </c>
      <c r="D8" s="60" t="s">
        <v>26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9"/>
      <c r="O8" s="90"/>
    </row>
    <row r="9" spans="1:15">
      <c r="A9" s="10" t="s">
        <v>31</v>
      </c>
      <c r="B9" s="12" t="s">
        <v>20</v>
      </c>
      <c r="C9" s="59" t="s">
        <v>33</v>
      </c>
      <c r="D9" s="60" t="s">
        <v>22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32</v>
      </c>
      <c r="B10" s="12" t="s">
        <v>20</v>
      </c>
      <c r="C10" s="59" t="s">
        <v>33</v>
      </c>
      <c r="D10" s="60" t="s">
        <v>24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44</v>
      </c>
    </row>
    <row r="11" spans="1:15" ht="15.75" customHeight="1">
      <c r="A11" s="10" t="s">
        <v>34</v>
      </c>
      <c r="B11" s="12" t="s">
        <v>20</v>
      </c>
      <c r="C11" s="59" t="s">
        <v>33</v>
      </c>
      <c r="D11" s="60" t="s">
        <v>21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35</v>
      </c>
      <c r="B12" s="12" t="s">
        <v>20</v>
      </c>
      <c r="C12" s="59" t="s">
        <v>33</v>
      </c>
      <c r="D12" s="60" t="s">
        <v>25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35</v>
      </c>
      <c r="B13" s="13" t="s">
        <v>20</v>
      </c>
      <c r="C13" s="59" t="s">
        <v>33</v>
      </c>
      <c r="D13" s="60" t="s">
        <v>26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36</v>
      </c>
      <c r="B14" s="12" t="s">
        <v>20</v>
      </c>
      <c r="C14" s="59" t="s">
        <v>39</v>
      </c>
      <c r="D14" s="60" t="s">
        <v>22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37</v>
      </c>
      <c r="B15" s="12" t="s">
        <v>20</v>
      </c>
      <c r="C15" s="59" t="s">
        <v>39</v>
      </c>
      <c r="D15" s="60" t="s">
        <v>38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37</v>
      </c>
      <c r="B16" s="12" t="s">
        <v>20</v>
      </c>
      <c r="C16" s="59" t="s">
        <v>42</v>
      </c>
      <c r="D16" s="60" t="s">
        <v>22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40</v>
      </c>
      <c r="B17" s="12" t="s">
        <v>20</v>
      </c>
      <c r="C17" s="59" t="s">
        <v>43</v>
      </c>
      <c r="D17" s="60" t="s">
        <v>22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41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17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73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C21" sqref="C21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8" t="s">
        <v>71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66" customFormat="1" ht="45.75" thickBot="1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52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52</v>
      </c>
      <c r="B4" s="12" t="s">
        <v>20</v>
      </c>
      <c r="C4" s="59" t="s">
        <v>42</v>
      </c>
      <c r="D4" s="60" t="s">
        <v>22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100">
        <f>'[1]May 2021'!$K$6</f>
        <v>454804.3</v>
      </c>
      <c r="O4" s="101"/>
    </row>
    <row r="5" spans="1:15">
      <c r="A5" s="10" t="s">
        <v>51</v>
      </c>
      <c r="B5" s="12" t="s">
        <v>20</v>
      </c>
      <c r="C5" s="59" t="s">
        <v>43</v>
      </c>
      <c r="D5" s="60" t="s">
        <v>24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2">
        <f>K47-N14-N21-N28-N35</f>
        <v>454804.30000000005</v>
      </c>
      <c r="O5" s="103"/>
    </row>
    <row r="6" spans="1:15" s="66" customFormat="1" ht="15.75" thickBot="1">
      <c r="A6" s="10" t="s">
        <v>51</v>
      </c>
      <c r="B6" s="12" t="s">
        <v>20</v>
      </c>
      <c r="C6" s="59" t="s">
        <v>39</v>
      </c>
      <c r="D6" s="60" t="s">
        <v>53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>
      <c r="A7" s="10" t="s">
        <v>54</v>
      </c>
      <c r="B7" s="12" t="s">
        <v>20</v>
      </c>
      <c r="C7" s="59" t="s">
        <v>39</v>
      </c>
      <c r="D7" s="60" t="s">
        <v>55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4" t="s">
        <v>11</v>
      </c>
      <c r="N7" s="96">
        <f>N4-N5</f>
        <v>0</v>
      </c>
      <c r="O7" s="97"/>
    </row>
    <row r="8" spans="1:15" ht="15" customHeight="1" thickBot="1">
      <c r="A8" s="10" t="s">
        <v>56</v>
      </c>
      <c r="B8" s="12" t="s">
        <v>20</v>
      </c>
      <c r="C8" s="59" t="s">
        <v>43</v>
      </c>
      <c r="D8" s="60" t="s">
        <v>21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5"/>
      <c r="N8" s="98"/>
      <c r="O8" s="99"/>
    </row>
    <row r="9" spans="1:15" ht="15.75" thickBot="1">
      <c r="A9" s="10" t="s">
        <v>57</v>
      </c>
      <c r="B9" s="12" t="s">
        <v>20</v>
      </c>
      <c r="C9" s="59" t="s">
        <v>43</v>
      </c>
      <c r="D9" s="60" t="s">
        <v>25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58</v>
      </c>
      <c r="B10" s="12" t="s">
        <v>20</v>
      </c>
      <c r="C10" s="59" t="s">
        <v>43</v>
      </c>
      <c r="D10" s="60" t="s">
        <v>26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45</v>
      </c>
      <c r="N10" s="76">
        <v>35224</v>
      </c>
      <c r="O10" s="91" t="s">
        <v>64</v>
      </c>
    </row>
    <row r="11" spans="1:15" ht="15.75" customHeight="1">
      <c r="A11" s="10" t="s">
        <v>59</v>
      </c>
      <c r="B11" s="12" t="s">
        <v>20</v>
      </c>
      <c r="C11" s="59" t="s">
        <v>60</v>
      </c>
      <c r="D11" s="60" t="s">
        <v>22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46</v>
      </c>
      <c r="N11" s="78">
        <f>N10/5</f>
        <v>7044.8</v>
      </c>
      <c r="O11" s="92"/>
    </row>
    <row r="12" spans="1:15">
      <c r="A12" s="10" t="s">
        <v>62</v>
      </c>
      <c r="B12" s="12" t="s">
        <v>20</v>
      </c>
      <c r="C12" s="59" t="s">
        <v>63</v>
      </c>
      <c r="D12" s="60" t="s">
        <v>22</v>
      </c>
      <c r="E12" s="34"/>
      <c r="F12" s="10"/>
      <c r="G12" s="51"/>
      <c r="H12" s="36"/>
      <c r="I12" s="14"/>
      <c r="J12" s="11">
        <v>7044.8</v>
      </c>
      <c r="K12" s="29">
        <f t="shared" si="0"/>
        <v>512042.19999999995</v>
      </c>
      <c r="M12" s="77" t="s">
        <v>47</v>
      </c>
      <c r="N12" s="79">
        <v>4</v>
      </c>
      <c r="O12" s="92"/>
    </row>
    <row r="13" spans="1:15" ht="15.75" thickBot="1">
      <c r="A13" s="10" t="s">
        <v>62</v>
      </c>
      <c r="B13" s="12" t="s">
        <v>20</v>
      </c>
      <c r="C13" s="59" t="s">
        <v>60</v>
      </c>
      <c r="D13" s="60" t="s">
        <v>24</v>
      </c>
      <c r="E13" s="34"/>
      <c r="F13" s="10"/>
      <c r="G13" s="51"/>
      <c r="H13" s="36"/>
      <c r="I13" s="14"/>
      <c r="J13" s="11">
        <v>3200.1</v>
      </c>
      <c r="K13" s="29">
        <f t="shared" si="0"/>
        <v>508842.1</v>
      </c>
      <c r="M13" s="80"/>
      <c r="N13" s="71"/>
      <c r="O13" s="92"/>
    </row>
    <row r="14" spans="1:15" ht="15.75" thickBot="1">
      <c r="A14" s="10" t="s">
        <v>65</v>
      </c>
      <c r="B14" s="12" t="s">
        <v>20</v>
      </c>
      <c r="C14" s="59" t="s">
        <v>39</v>
      </c>
      <c r="D14" s="60" t="s">
        <v>66</v>
      </c>
      <c r="E14" s="33"/>
      <c r="F14" s="10"/>
      <c r="G14" s="51"/>
      <c r="H14" s="4"/>
      <c r="I14" s="4"/>
      <c r="J14" s="11">
        <v>7130.5</v>
      </c>
      <c r="K14" s="29">
        <f t="shared" si="0"/>
        <v>501711.6</v>
      </c>
      <c r="M14" s="81" t="s">
        <v>48</v>
      </c>
      <c r="N14" s="72">
        <f>N10-(N11*N12)</f>
        <v>7044.7999999999993</v>
      </c>
      <c r="O14" s="93"/>
    </row>
    <row r="15" spans="1:15">
      <c r="A15" s="10" t="s">
        <v>34</v>
      </c>
      <c r="B15" s="12" t="s">
        <v>20</v>
      </c>
      <c r="C15" s="59" t="s">
        <v>63</v>
      </c>
      <c r="D15" s="60" t="s">
        <v>24</v>
      </c>
      <c r="E15" s="34"/>
      <c r="F15" s="10"/>
      <c r="G15" s="51"/>
      <c r="H15" s="36"/>
      <c r="I15" s="14"/>
      <c r="J15" s="11">
        <v>7044.8</v>
      </c>
      <c r="K15" s="29">
        <f t="shared" si="0"/>
        <v>494666.8</v>
      </c>
      <c r="N15" s="7"/>
    </row>
    <row r="16" spans="1:15" ht="15.75" thickBot="1">
      <c r="A16" s="10" t="s">
        <v>34</v>
      </c>
      <c r="B16" s="12" t="s">
        <v>20</v>
      </c>
      <c r="C16" s="59" t="s">
        <v>63</v>
      </c>
      <c r="D16" s="60" t="s">
        <v>21</v>
      </c>
      <c r="E16" s="34"/>
      <c r="F16" s="10"/>
      <c r="G16" s="51"/>
      <c r="H16" s="36"/>
      <c r="I16" s="14"/>
      <c r="J16" s="11">
        <v>7044.8</v>
      </c>
      <c r="K16" s="29">
        <f t="shared" si="0"/>
        <v>487622</v>
      </c>
      <c r="N16" s="7"/>
    </row>
    <row r="17" spans="1:15">
      <c r="A17" s="10" t="s">
        <v>36</v>
      </c>
      <c r="B17" s="12" t="s">
        <v>20</v>
      </c>
      <c r="C17" s="59" t="s">
        <v>63</v>
      </c>
      <c r="D17" s="60" t="s">
        <v>25</v>
      </c>
      <c r="E17" s="34"/>
      <c r="F17" s="10"/>
      <c r="G17" s="51"/>
      <c r="H17" s="36"/>
      <c r="I17" s="14"/>
      <c r="J17" s="11">
        <v>7044.8</v>
      </c>
      <c r="K17" s="29">
        <f t="shared" si="0"/>
        <v>480577.2</v>
      </c>
      <c r="M17" s="75" t="s">
        <v>45</v>
      </c>
      <c r="N17" s="76">
        <v>12170.24</v>
      </c>
      <c r="O17" s="91" t="s">
        <v>49</v>
      </c>
    </row>
    <row r="18" spans="1:15">
      <c r="A18" s="10" t="s">
        <v>67</v>
      </c>
      <c r="B18" s="12" t="s">
        <v>20</v>
      </c>
      <c r="C18" s="59" t="s">
        <v>42</v>
      </c>
      <c r="D18" s="60" t="s">
        <v>24</v>
      </c>
      <c r="E18" s="34"/>
      <c r="F18" s="10"/>
      <c r="G18" s="51"/>
      <c r="H18" s="14"/>
      <c r="I18" s="4"/>
      <c r="J18" s="11">
        <v>3042.56</v>
      </c>
      <c r="K18" s="29">
        <f t="shared" si="0"/>
        <v>477534.64</v>
      </c>
      <c r="M18" s="77" t="s">
        <v>46</v>
      </c>
      <c r="N18" s="78">
        <f>N17/4</f>
        <v>3042.56</v>
      </c>
      <c r="O18" s="92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47</v>
      </c>
      <c r="N19" s="79">
        <v>2</v>
      </c>
      <c r="O19" s="92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2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48</v>
      </c>
      <c r="N21" s="72">
        <f>N17-(N18*N19)</f>
        <v>6085.12</v>
      </c>
      <c r="O21" s="93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45</v>
      </c>
      <c r="N24" s="76">
        <v>16000.7</v>
      </c>
      <c r="O24" s="91" t="s">
        <v>61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46</v>
      </c>
      <c r="N25" s="78">
        <f>N24/5</f>
        <v>3200.1400000000003</v>
      </c>
      <c r="O25" s="92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47</v>
      </c>
      <c r="N26" s="79">
        <v>2</v>
      </c>
      <c r="O26" s="92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2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48</v>
      </c>
      <c r="N28" s="72">
        <f>N24-(N25*N26)</f>
        <v>9600.42</v>
      </c>
      <c r="O28" s="93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45</v>
      </c>
      <c r="N31" s="76">
        <v>21391.38</v>
      </c>
      <c r="O31" s="91" t="s">
        <v>39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46</v>
      </c>
      <c r="N32" s="78">
        <f>N31/3</f>
        <v>7130.46</v>
      </c>
      <c r="O32" s="92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47</v>
      </c>
      <c r="N33" s="79">
        <v>3</v>
      </c>
      <c r="O33" s="92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2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48</v>
      </c>
      <c r="N35" s="72">
        <f>N31-(N32*N33)</f>
        <v>0</v>
      </c>
      <c r="O35" s="93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>
      <c r="A48" s="54" t="s">
        <v>72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91012.14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J12" sqref="J12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87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8" t="s">
        <v>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87" customFormat="1" ht="45.75" thickBot="1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68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477534.64</v>
      </c>
    </row>
    <row r="4" spans="1:15">
      <c r="A4" s="26" t="s">
        <v>68</v>
      </c>
      <c r="B4" s="12" t="s">
        <v>20</v>
      </c>
      <c r="C4" s="59" t="s">
        <v>63</v>
      </c>
      <c r="D4" s="60" t="s">
        <v>26</v>
      </c>
      <c r="E4" s="34"/>
      <c r="F4" s="10"/>
      <c r="G4" s="51"/>
      <c r="H4" s="14"/>
      <c r="I4" s="4"/>
      <c r="J4" s="29">
        <v>7044.84</v>
      </c>
      <c r="K4" s="29">
        <f>SUM(K3+G4-J4)</f>
        <v>470489.8</v>
      </c>
      <c r="M4" s="82" t="s">
        <v>13</v>
      </c>
      <c r="N4" s="100">
        <f>'[1]June 2021'!$K$6</f>
        <v>326076.09999999998</v>
      </c>
      <c r="O4" s="101"/>
    </row>
    <row r="5" spans="1:15">
      <c r="A5" s="10" t="s">
        <v>75</v>
      </c>
      <c r="B5" s="12" t="s">
        <v>20</v>
      </c>
      <c r="C5" s="59" t="s">
        <v>60</v>
      </c>
      <c r="D5" s="60" t="s">
        <v>21</v>
      </c>
      <c r="E5" s="3"/>
      <c r="F5" s="3"/>
      <c r="G5" s="2"/>
      <c r="H5" s="1"/>
      <c r="I5" s="4"/>
      <c r="J5" s="29">
        <v>3200.1</v>
      </c>
      <c r="K5" s="29">
        <f t="shared" ref="K5:K47" si="0">SUM(K4+G5-J5)</f>
        <v>467289.7</v>
      </c>
      <c r="M5" s="83" t="s">
        <v>12</v>
      </c>
      <c r="N5" s="102">
        <f>K47-N14-N21-N28-N35</f>
        <v>363609.8</v>
      </c>
      <c r="O5" s="103"/>
    </row>
    <row r="6" spans="1:15" s="87" customFormat="1" ht="15.75" thickBot="1">
      <c r="A6" s="10" t="s">
        <v>78</v>
      </c>
      <c r="B6" s="12" t="s">
        <v>20</v>
      </c>
      <c r="C6" s="59" t="s">
        <v>76</v>
      </c>
      <c r="D6" s="60" t="s">
        <v>77</v>
      </c>
      <c r="E6" s="33"/>
      <c r="F6" s="10"/>
      <c r="G6" s="51"/>
      <c r="H6" s="4"/>
      <c r="I6" s="4"/>
      <c r="J6" s="29">
        <v>7064</v>
      </c>
      <c r="K6" s="29">
        <f t="shared" si="0"/>
        <v>460225.7</v>
      </c>
      <c r="M6" s="84"/>
      <c r="N6" s="85"/>
      <c r="O6" s="86"/>
    </row>
    <row r="7" spans="1:15" s="87" customFormat="1" ht="15" customHeight="1">
      <c r="A7" s="10" t="s">
        <v>79</v>
      </c>
      <c r="B7" s="12" t="s">
        <v>20</v>
      </c>
      <c r="C7" s="59" t="s">
        <v>76</v>
      </c>
      <c r="D7" s="60" t="s">
        <v>38</v>
      </c>
      <c r="E7" s="33"/>
      <c r="F7" s="10"/>
      <c r="G7" s="51"/>
      <c r="H7" s="4"/>
      <c r="I7" s="4"/>
      <c r="J7" s="29">
        <v>7064</v>
      </c>
      <c r="K7" s="29">
        <f>SUM(K6+G7-J7)</f>
        <v>453161.7</v>
      </c>
      <c r="M7" s="94" t="s">
        <v>11</v>
      </c>
      <c r="N7" s="96">
        <f>N4-N5</f>
        <v>-37533.700000000012</v>
      </c>
      <c r="O7" s="97"/>
    </row>
    <row r="8" spans="1:15" ht="15" customHeight="1" thickBot="1">
      <c r="A8" s="10" t="s">
        <v>80</v>
      </c>
      <c r="B8" s="12" t="s">
        <v>20</v>
      </c>
      <c r="C8" s="59" t="s">
        <v>60</v>
      </c>
      <c r="D8" s="60" t="s">
        <v>25</v>
      </c>
      <c r="E8" s="3"/>
      <c r="F8" s="3"/>
      <c r="G8" s="2"/>
      <c r="H8" s="1"/>
      <c r="I8" s="4"/>
      <c r="J8" s="29">
        <v>3200.1</v>
      </c>
      <c r="K8" s="29">
        <f t="shared" si="0"/>
        <v>449961.60000000003</v>
      </c>
      <c r="M8" s="95"/>
      <c r="N8" s="98"/>
      <c r="O8" s="99"/>
    </row>
    <row r="9" spans="1:15" ht="15.75" thickBot="1">
      <c r="A9" s="10" t="s">
        <v>83</v>
      </c>
      <c r="B9" s="12" t="s">
        <v>20</v>
      </c>
      <c r="C9" s="59" t="s">
        <v>81</v>
      </c>
      <c r="D9" s="60" t="s">
        <v>22</v>
      </c>
      <c r="E9" s="3"/>
      <c r="F9" s="3"/>
      <c r="G9" s="2"/>
      <c r="H9" s="1"/>
      <c r="I9" s="4"/>
      <c r="J9" s="29">
        <v>7457.9</v>
      </c>
      <c r="K9" s="29">
        <f t="shared" si="0"/>
        <v>442503.7</v>
      </c>
      <c r="M9" s="46"/>
    </row>
    <row r="10" spans="1:15" ht="15" customHeight="1">
      <c r="A10" s="10" t="s">
        <v>84</v>
      </c>
      <c r="B10" s="12" t="s">
        <v>20</v>
      </c>
      <c r="C10" s="59" t="s">
        <v>60</v>
      </c>
      <c r="D10" s="60" t="s">
        <v>26</v>
      </c>
      <c r="E10" s="3"/>
      <c r="F10" s="3"/>
      <c r="G10" s="2"/>
      <c r="H10" s="1"/>
      <c r="I10" s="4"/>
      <c r="J10" s="29">
        <v>3200.18</v>
      </c>
      <c r="K10" s="29">
        <f t="shared" si="0"/>
        <v>439303.52</v>
      </c>
      <c r="M10" s="75" t="s">
        <v>45</v>
      </c>
      <c r="N10" s="76">
        <v>37289.5</v>
      </c>
      <c r="O10" s="91" t="s">
        <v>82</v>
      </c>
    </row>
    <row r="11" spans="1:15" ht="15.75" customHeight="1">
      <c r="A11" s="10" t="s">
        <v>85</v>
      </c>
      <c r="B11" s="12" t="s">
        <v>20</v>
      </c>
      <c r="C11" s="59" t="s">
        <v>81</v>
      </c>
      <c r="D11" s="60" t="s">
        <v>24</v>
      </c>
      <c r="E11" s="34"/>
      <c r="F11" s="10"/>
      <c r="G11" s="51"/>
      <c r="H11" s="36"/>
      <c r="I11" s="14"/>
      <c r="J11" s="29">
        <v>7457.9</v>
      </c>
      <c r="K11" s="29">
        <f t="shared" si="0"/>
        <v>431845.62</v>
      </c>
      <c r="M11" s="77" t="s">
        <v>46</v>
      </c>
      <c r="N11" s="78">
        <f>N10/5</f>
        <v>7457.9</v>
      </c>
      <c r="O11" s="92"/>
    </row>
    <row r="12" spans="1:1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431845.62</v>
      </c>
      <c r="M12" s="77" t="s">
        <v>47</v>
      </c>
      <c r="N12" s="79">
        <v>2</v>
      </c>
      <c r="O12" s="92"/>
    </row>
    <row r="13" spans="1:15" ht="15.75" thickBot="1">
      <c r="A13" s="10"/>
      <c r="B13" s="12"/>
      <c r="C13" s="59"/>
      <c r="D13" s="60"/>
      <c r="E13" s="34"/>
      <c r="F13" s="10"/>
      <c r="G13" s="51"/>
      <c r="H13" s="36"/>
      <c r="I13" s="14"/>
      <c r="J13" s="11"/>
      <c r="K13" s="29">
        <f t="shared" si="0"/>
        <v>431845.62</v>
      </c>
      <c r="M13" s="80"/>
      <c r="N13" s="71"/>
      <c r="O13" s="92"/>
    </row>
    <row r="14" spans="1:15" ht="15.75" thickBot="1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431845.62</v>
      </c>
      <c r="M14" s="81" t="s">
        <v>48</v>
      </c>
      <c r="N14" s="72">
        <f>N10-(N11*N12)</f>
        <v>22373.7</v>
      </c>
      <c r="O14" s="93"/>
    </row>
    <row r="15" spans="1:15">
      <c r="A15" s="10"/>
      <c r="B15" s="12"/>
      <c r="C15" s="59"/>
      <c r="D15" s="60"/>
      <c r="E15" s="34"/>
      <c r="F15" s="10"/>
      <c r="G15" s="51"/>
      <c r="H15" s="36"/>
      <c r="I15" s="14"/>
      <c r="J15" s="11"/>
      <c r="K15" s="29">
        <f t="shared" si="0"/>
        <v>431845.62</v>
      </c>
      <c r="N15" s="7"/>
    </row>
    <row r="16" spans="1:15" ht="15.75" thickBot="1">
      <c r="A16" s="10"/>
      <c r="B16" s="12"/>
      <c r="C16" s="59"/>
      <c r="D16" s="60"/>
      <c r="E16" s="34"/>
      <c r="F16" s="10"/>
      <c r="G16" s="51"/>
      <c r="H16" s="36"/>
      <c r="I16" s="14"/>
      <c r="J16" s="11"/>
      <c r="K16" s="29">
        <f t="shared" si="0"/>
        <v>431845.62</v>
      </c>
      <c r="N16" s="7"/>
    </row>
    <row r="17" spans="1:15">
      <c r="A17" s="10"/>
      <c r="B17" s="12"/>
      <c r="C17" s="59"/>
      <c r="D17" s="60"/>
      <c r="E17" s="34"/>
      <c r="F17" s="10"/>
      <c r="G17" s="51"/>
      <c r="H17" s="36"/>
      <c r="I17" s="14"/>
      <c r="J17" s="11"/>
      <c r="K17" s="29">
        <f t="shared" si="0"/>
        <v>431845.62</v>
      </c>
      <c r="M17" s="75" t="s">
        <v>45</v>
      </c>
      <c r="N17" s="76">
        <v>6085.12</v>
      </c>
      <c r="O17" s="91" t="s">
        <v>49</v>
      </c>
    </row>
    <row r="18" spans="1:15">
      <c r="A18" s="10"/>
      <c r="B18" s="12"/>
      <c r="C18" s="59"/>
      <c r="D18" s="60"/>
      <c r="E18" s="34"/>
      <c r="F18" s="10"/>
      <c r="G18" s="51"/>
      <c r="H18" s="14"/>
      <c r="I18" s="4"/>
      <c r="J18" s="11"/>
      <c r="K18" s="29">
        <f t="shared" si="0"/>
        <v>431845.62</v>
      </c>
      <c r="M18" s="77" t="s">
        <v>46</v>
      </c>
      <c r="N18" s="78">
        <f>N17/2</f>
        <v>3042.56</v>
      </c>
      <c r="O18" s="92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431845.62</v>
      </c>
      <c r="M19" s="77" t="s">
        <v>47</v>
      </c>
      <c r="N19" s="79">
        <v>0</v>
      </c>
      <c r="O19" s="92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431845.62</v>
      </c>
      <c r="M20" s="80"/>
      <c r="N20" s="71"/>
      <c r="O20" s="92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431845.62</v>
      </c>
      <c r="M21" s="81" t="s">
        <v>48</v>
      </c>
      <c r="N21" s="72">
        <f>N17-(N18*N19)</f>
        <v>6085.12</v>
      </c>
      <c r="O21" s="93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431845.62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431845.62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431845.62</v>
      </c>
      <c r="M24" s="75" t="s">
        <v>45</v>
      </c>
      <c r="N24" s="76">
        <v>18585</v>
      </c>
      <c r="O24" s="91" t="s">
        <v>61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431845.62</v>
      </c>
      <c r="M25" s="77" t="s">
        <v>46</v>
      </c>
      <c r="N25" s="78">
        <f>N24/5</f>
        <v>3717</v>
      </c>
      <c r="O25" s="92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431845.62</v>
      </c>
      <c r="M26" s="77" t="s">
        <v>47</v>
      </c>
      <c r="N26" s="79">
        <v>0</v>
      </c>
      <c r="O26" s="92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431845.62</v>
      </c>
      <c r="M27" s="80"/>
      <c r="N27" s="71"/>
      <c r="O27" s="92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431845.62</v>
      </c>
      <c r="M28" s="81" t="s">
        <v>48</v>
      </c>
      <c r="N28" s="72">
        <f>N24-(N25*N26)</f>
        <v>18585</v>
      </c>
      <c r="O28" s="93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431845.62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431845.62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431845.62</v>
      </c>
      <c r="M31" s="75" t="s">
        <v>45</v>
      </c>
      <c r="N31" s="76">
        <v>35320</v>
      </c>
      <c r="O31" s="91" t="s">
        <v>76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431845.62</v>
      </c>
      <c r="M32" s="77" t="s">
        <v>46</v>
      </c>
      <c r="N32" s="78">
        <f>N31/5</f>
        <v>7064</v>
      </c>
      <c r="O32" s="92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431845.62</v>
      </c>
      <c r="M33" s="77" t="s">
        <v>47</v>
      </c>
      <c r="N33" s="79">
        <v>2</v>
      </c>
      <c r="O33" s="92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431845.62</v>
      </c>
      <c r="M34" s="80"/>
      <c r="N34" s="71"/>
      <c r="O34" s="92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431845.62</v>
      </c>
      <c r="M35" s="81" t="s">
        <v>48</v>
      </c>
      <c r="N35" s="72">
        <f>N31-(N32*N33)</f>
        <v>21192</v>
      </c>
      <c r="O35" s="93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431845.62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431845.62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431845.62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431845.62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431845.62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431845.62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431845.62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431845.62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431845.62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431845.62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431845.62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431845.62</v>
      </c>
    </row>
    <row r="48" spans="1:15" ht="15.75" thickBot="1">
      <c r="A48" s="54" t="s">
        <v>70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45689.020000000004</v>
      </c>
      <c r="K48" s="19"/>
    </row>
  </sheetData>
  <mergeCells count="9">
    <mergeCell ref="O17:O21"/>
    <mergeCell ref="O24:O28"/>
    <mergeCell ref="O31:O35"/>
    <mergeCell ref="A1:K1"/>
    <mergeCell ref="N4:O4"/>
    <mergeCell ref="N5:O5"/>
    <mergeCell ref="M7:M8"/>
    <mergeCell ref="N7:O8"/>
    <mergeCell ref="O10:O14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2021-12-08T04:05:52Z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