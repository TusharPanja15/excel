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excel-main\"/>
    </mc:Choice>
  </mc:AlternateContent>
  <xr:revisionPtr revIDLastSave="0" documentId="13_ncr:1_{C8C1BDF7-B09E-45CA-BD96-0B04713C4E0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pril 2021-22" sheetId="25" r:id="rId1"/>
    <sheet name="May 2021" sheetId="26" r:id="rId2"/>
  </sheets>
  <externalReferences>
    <externalReference r:id="rId3"/>
  </externalReferences>
  <definedNames>
    <definedName name="_xlnm._FilterDatabase" localSheetId="0" hidden="1">'April 2021-22'!$A$2:$O$43</definedName>
    <definedName name="_xlnm._FilterDatabase" localSheetId="1" hidden="1">'May 2021'!$A$2:$O$43</definedName>
  </definedNames>
  <calcPr calcId="181029"/>
</workbook>
</file>

<file path=xl/calcChain.xml><?xml version="1.0" encoding="utf-8"?>
<calcChain xmlns="http://schemas.openxmlformats.org/spreadsheetml/2006/main">
  <c r="N11" i="26" l="1"/>
  <c r="N32" i="26" l="1"/>
  <c r="N35" i="26" s="1"/>
  <c r="N25" i="26"/>
  <c r="N28" i="26" s="1"/>
  <c r="N18" i="26"/>
  <c r="N21" i="26" s="1"/>
  <c r="N14" i="26"/>
  <c r="J48" i="26" l="1"/>
  <c r="G48" i="26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O4" i="25"/>
  <c r="M10" i="25"/>
  <c r="N14" i="25" s="1"/>
  <c r="N19" i="25"/>
  <c r="M17" i="25"/>
  <c r="N21" i="25" s="1"/>
  <c r="N5" i="26" l="1"/>
  <c r="M31" i="25"/>
  <c r="N35" i="25" s="1"/>
  <c r="N33" i="25"/>
  <c r="N12" i="25" l="1"/>
  <c r="J48" i="25"/>
  <c r="K4" i="25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G48" i="25"/>
  <c r="O5" i="25" l="1"/>
  <c r="O7" i="25" s="1"/>
  <c r="N4" i="26" l="1"/>
  <c r="N7" i="26" s="1"/>
</calcChain>
</file>

<file path=xl/sharedStrings.xml><?xml version="1.0" encoding="utf-8"?>
<sst xmlns="http://schemas.openxmlformats.org/spreadsheetml/2006/main" count="180" uniqueCount="70">
  <si>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</si>
  <si>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</si>
  <si>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</si>
  <si>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</si>
  <si>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</si>
  <si>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</si>
  <si>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</si>
  <si>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</si>
  <si>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</si>
  <si>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</si>
  <si>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</si>
  <si>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</si>
  <si>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</si>
  <si>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</si>
  <si>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</si>
  <si>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</si>
  <si>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</si>
  <si>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TOTAL FOR THE MONTH OF MARCH 2020-21</t>
  </si>
  <si>
    <t>5 Kg-14</t>
  </si>
  <si>
    <t>ORIGINAL TEA STOCK REGISTER FOR THE MONTH OF APRIL 2021-22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</si>
  <si>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</si>
  <si>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</si>
  <si>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</si>
  <si>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</si>
  <si>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</si>
  <si>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</si>
  <si>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</si>
  <si>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</si>
  <si>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</si>
  <si>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</si>
  <si>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</si>
  <si>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</si>
  <si>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</si>
  <si>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</si>
  <si>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</si>
  <si>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</si>
  <si>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</si>
  <si>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</si>
  <si>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</si>
  <si>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</si>
  <si>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</si>
  <si>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</si>
  <si>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</si>
  <si>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</si>
  <si>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</si>
  <si>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</si>
  <si>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</si>
  <si>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</si>
  <si>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</si>
  <si>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</si>
  <si>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</si>
  <si>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</si>
  <si>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</si>
  <si>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</si>
  <si>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</si>
  <si>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</si>
  <si>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</si>
  <si>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</si>
  <si>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</si>
  <si>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</si>
  <si>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</si>
  <si>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</si>
  <si>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</si>
  <si>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</si>
  <si>
    <t>17.05.2021</t>
  </si>
  <si>
    <t>Gsl-4</t>
  </si>
  <si>
    <t>Gsl-04</t>
  </si>
  <si>
    <t>18.05.2021</t>
  </si>
  <si>
    <t>Part no. 05</t>
  </si>
  <si>
    <t>27.05.2021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</si>
</sst>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2" borderId="23" xfId="0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164" fontId="7" fillId="2" borderId="12" xfId="0" applyNumberFormat="1" applyFont="1" applyFill="1" applyBorder="1" applyAlignment="1">
      <alignment horizontal="center" vertical="center" wrapText="1"/>
    </xf>
    <xf numFmtId="2" fontId="7" fillId="2" borderId="8" xfId="0" applyNumberFormat="1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/>
    </xf>
    <xf numFmtId="164" fontId="7" fillId="2" borderId="0" xfId="0" applyNumberFormat="1" applyFont="1" applyFill="1" applyBorder="1" applyAlignment="1">
      <alignment horizontal="center"/>
    </xf>
    <xf numFmtId="1" fontId="7" fillId="2" borderId="0" xfId="0" applyNumberFormat="1" applyFont="1" applyFill="1" applyBorder="1" applyAlignment="1">
      <alignment horizontal="center"/>
    </xf>
    <xf numFmtId="0" fontId="0" fillId="2" borderId="27" xfId="0" applyFill="1" applyBorder="1"/>
    <xf numFmtId="0" fontId="7" fillId="2" borderId="9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8" fillId="2" borderId="24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2" fontId="1" fillId="3" borderId="23" xfId="0" applyNumberFormat="1" applyFont="1" applyFill="1" applyBorder="1" applyAlignment="1">
      <alignment horizontal="center" vertical="center"/>
    </xf>
    <xf numFmtId="2" fontId="1" fillId="3" borderId="30" xfId="0" applyNumberFormat="1" applyFont="1" applyFill="1" applyBorder="1" applyAlignment="1">
      <alignment horizontal="center" vertical="center"/>
    </xf>
    <xf numFmtId="2" fontId="2" fillId="3" borderId="8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2" fillId="3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 refreshError="1"/>
      <sheetData sheetId="1">
        <row r="6">
          <cell r="K6">
            <v>454804.3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8"/>
  <sheetViews>
    <sheetView zoomScaleNormal="100" workbookViewId="0">
      <pane ySplit="2" topLeftCell="A3" activePane="bottomLeft" state="frozen"/>
      <selection pane="bottomLeft" activeCell="L7" sqref="L7"/>
    </sheetView>
  </sheetViews>
  <sheetFormatPr defaultRowHeight="15" x14ac:dyDescent="0.2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 x14ac:dyDescent="0.3">
      <c r="A1" s="87" t="s">
        <v>19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5" s="56" customFormat="1" ht="45.75" thickBot="1" x14ac:dyDescent="0.3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x14ac:dyDescent="0.25">
      <c r="A3" s="26" t="s">
        <v>20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 x14ac:dyDescent="0.25">
      <c r="A4" s="10" t="s">
        <v>21</v>
      </c>
      <c r="B4" s="12" t="s">
        <v>22</v>
      </c>
      <c r="C4" s="59" t="s">
        <v>25</v>
      </c>
      <c r="D4" s="60" t="s">
        <v>24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 x14ac:dyDescent="0.25">
      <c r="A5" s="10" t="s">
        <v>29</v>
      </c>
      <c r="B5" s="12" t="s">
        <v>22</v>
      </c>
      <c r="C5" s="59" t="s">
        <v>25</v>
      </c>
      <c r="D5" s="60" t="s">
        <v>26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 x14ac:dyDescent="0.2">
      <c r="A6" s="10" t="s">
        <v>30</v>
      </c>
      <c r="B6" s="12" t="s">
        <v>22</v>
      </c>
      <c r="C6" s="59" t="s">
        <v>25</v>
      </c>
      <c r="D6" s="60" t="s">
        <v>23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 x14ac:dyDescent="0.2">
      <c r="A7" s="10" t="s">
        <v>31</v>
      </c>
      <c r="B7" s="12" t="s">
        <v>22</v>
      </c>
      <c r="C7" s="59" t="s">
        <v>25</v>
      </c>
      <c r="D7" s="60" t="s">
        <v>27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8" t="s">
        <v>11</v>
      </c>
      <c r="O7" s="89">
        <f>O4-O5</f>
        <v>0</v>
      </c>
    </row>
    <row r="8" spans="1:15" x14ac:dyDescent="0.25">
      <c r="A8" s="10" t="s">
        <v>32</v>
      </c>
      <c r="B8" s="12" t="s">
        <v>22</v>
      </c>
      <c r="C8" s="59" t="s">
        <v>25</v>
      </c>
      <c r="D8" s="60" t="s">
        <v>28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8"/>
      <c r="O8" s="89"/>
    </row>
    <row r="9" spans="1:15" x14ac:dyDescent="0.25">
      <c r="A9" s="10" t="s">
        <v>33</v>
      </c>
      <c r="B9" s="12" t="s">
        <v>22</v>
      </c>
      <c r="C9" s="59" t="s">
        <v>35</v>
      </c>
      <c r="D9" s="60" t="s">
        <v>24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 x14ac:dyDescent="0.25">
      <c r="A10" s="10" t="s">
        <v>34</v>
      </c>
      <c r="B10" s="12" t="s">
        <v>22</v>
      </c>
      <c r="C10" s="59" t="s">
        <v>35</v>
      </c>
      <c r="D10" s="60" t="s">
        <v>26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46</v>
      </c>
    </row>
    <row r="11" spans="1:15" ht="15.75" customHeight="1" x14ac:dyDescent="0.25">
      <c r="A11" s="10" t="s">
        <v>36</v>
      </c>
      <c r="B11" s="12" t="s">
        <v>22</v>
      </c>
      <c r="C11" s="59" t="s">
        <v>35</v>
      </c>
      <c r="D11" s="60" t="s">
        <v>23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 x14ac:dyDescent="0.25">
      <c r="A12" s="10" t="s">
        <v>37</v>
      </c>
      <c r="B12" s="12" t="s">
        <v>22</v>
      </c>
      <c r="C12" s="59" t="s">
        <v>35</v>
      </c>
      <c r="D12" s="60" t="s">
        <v>27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 x14ac:dyDescent="0.25">
      <c r="A13" s="10" t="s">
        <v>37</v>
      </c>
      <c r="B13" s="13" t="s">
        <v>22</v>
      </c>
      <c r="C13" s="59" t="s">
        <v>35</v>
      </c>
      <c r="D13" s="60" t="s">
        <v>28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 x14ac:dyDescent="0.25">
      <c r="A14" s="10" t="s">
        <v>38</v>
      </c>
      <c r="B14" s="12" t="s">
        <v>22</v>
      </c>
      <c r="C14" s="59" t="s">
        <v>41</v>
      </c>
      <c r="D14" s="60" t="s">
        <v>24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 x14ac:dyDescent="0.25">
      <c r="A15" s="10" t="s">
        <v>39</v>
      </c>
      <c r="B15" s="12" t="s">
        <v>22</v>
      </c>
      <c r="C15" s="59" t="s">
        <v>41</v>
      </c>
      <c r="D15" s="60" t="s">
        <v>40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 x14ac:dyDescent="0.25">
      <c r="A16" s="10" t="s">
        <v>39</v>
      </c>
      <c r="B16" s="12" t="s">
        <v>22</v>
      </c>
      <c r="C16" s="59" t="s">
        <v>44</v>
      </c>
      <c r="D16" s="60" t="s">
        <v>24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 x14ac:dyDescent="0.25">
      <c r="A17" s="10" t="s">
        <v>42</v>
      </c>
      <c r="B17" s="12" t="s">
        <v>22</v>
      </c>
      <c r="C17" s="59" t="s">
        <v>45</v>
      </c>
      <c r="D17" s="60" t="s">
        <v>24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43</v>
      </c>
    </row>
    <row r="18" spans="1:14" x14ac:dyDescent="0.25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 x14ac:dyDescent="0.2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 x14ac:dyDescent="0.25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 x14ac:dyDescent="0.25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 x14ac:dyDescent="0.2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 x14ac:dyDescent="0.25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 x14ac:dyDescent="0.25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 x14ac:dyDescent="0.25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 x14ac:dyDescent="0.25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 x14ac:dyDescent="0.25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 x14ac:dyDescent="0.25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 x14ac:dyDescent="0.2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 x14ac:dyDescent="0.25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 x14ac:dyDescent="0.2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18</v>
      </c>
    </row>
    <row r="32" spans="1:14" x14ac:dyDescent="0.2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 x14ac:dyDescent="0.2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 x14ac:dyDescent="0.25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 x14ac:dyDescent="0.25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 x14ac:dyDescent="0.2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 x14ac:dyDescent="0.25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 x14ac:dyDescent="0.25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 x14ac:dyDescent="0.25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 x14ac:dyDescent="0.25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 x14ac:dyDescent="0.25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 x14ac:dyDescent="0.25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 x14ac:dyDescent="0.25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 x14ac:dyDescent="0.25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 x14ac:dyDescent="0.2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 x14ac:dyDescent="0.2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 x14ac:dyDescent="0.3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 x14ac:dyDescent="0.3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8"/>
  <sheetViews>
    <sheetView tabSelected="1" zoomScaleNormal="100" workbookViewId="0">
      <pane ySplit="2" topLeftCell="A4" activePane="bottomLeft" state="frozen"/>
      <selection pane="bottomLeft" activeCell="G19" sqref="G19"/>
    </sheetView>
  </sheetViews>
  <sheetFormatPr defaultRowHeight="15" x14ac:dyDescent="0.2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 x14ac:dyDescent="0.3">
      <c r="A1" s="87" t="s">
        <v>19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5" s="66" customFormat="1" ht="45.75" thickBot="1" x14ac:dyDescent="0.3">
      <c r="A2" s="20" t="s">
        <v>2</v>
      </c>
      <c r="B2" s="21" t="s">
        <v>0</v>
      </c>
      <c r="C2" s="22" t="s">
        <v>52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 x14ac:dyDescent="0.3">
      <c r="A3" s="26" t="s">
        <v>54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 x14ac:dyDescent="0.25">
      <c r="A4" s="10" t="s">
        <v>54</v>
      </c>
      <c r="B4" s="12" t="s">
        <v>22</v>
      </c>
      <c r="C4" s="59" t="s">
        <v>44</v>
      </c>
      <c r="D4" s="60" t="s">
        <v>24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82" t="s">
        <v>13</v>
      </c>
      <c r="N4" s="99">
        <f>'[1]May 2021'!$K$6</f>
        <v>454804.3</v>
      </c>
      <c r="O4" s="100"/>
    </row>
    <row r="5" spans="1:15" x14ac:dyDescent="0.25">
      <c r="A5" s="10" t="s">
        <v>53</v>
      </c>
      <c r="B5" s="12" t="s">
        <v>22</v>
      </c>
      <c r="C5" s="59" t="s">
        <v>45</v>
      </c>
      <c r="D5" s="60" t="s">
        <v>26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83" t="s">
        <v>12</v>
      </c>
      <c r="N5" s="101">
        <f>K47-N14-N21-N28-N35</f>
        <v>454804.30000000005</v>
      </c>
      <c r="O5" s="102"/>
    </row>
    <row r="6" spans="1:15" s="66" customFormat="1" ht="15.75" thickBot="1" x14ac:dyDescent="0.25">
      <c r="A6" s="10" t="s">
        <v>53</v>
      </c>
      <c r="B6" s="12" t="s">
        <v>22</v>
      </c>
      <c r="C6" s="59" t="s">
        <v>41</v>
      </c>
      <c r="D6" s="60" t="s">
        <v>55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  <c r="M6" s="84"/>
      <c r="N6" s="85"/>
      <c r="O6" s="86"/>
    </row>
    <row r="7" spans="1:15" s="66" customFormat="1" ht="15" customHeight="1" x14ac:dyDescent="0.2">
      <c r="A7" s="10" t="s">
        <v>56</v>
      </c>
      <c r="B7" s="12" t="s">
        <v>22</v>
      </c>
      <c r="C7" s="59" t="s">
        <v>41</v>
      </c>
      <c r="D7" s="60" t="s">
        <v>57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93" t="s">
        <v>11</v>
      </c>
      <c r="N7" s="95">
        <f>N4-N5</f>
        <v>0</v>
      </c>
      <c r="O7" s="96"/>
    </row>
    <row r="8" spans="1:15" ht="15" customHeight="1" thickBot="1" x14ac:dyDescent="0.3">
      <c r="A8" s="10" t="s">
        <v>58</v>
      </c>
      <c r="B8" s="12" t="s">
        <v>22</v>
      </c>
      <c r="C8" s="59" t="s">
        <v>45</v>
      </c>
      <c r="D8" s="60" t="s">
        <v>23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94"/>
      <c r="N8" s="97"/>
      <c r="O8" s="98"/>
    </row>
    <row r="9" spans="1:15" ht="15.75" thickBot="1" x14ac:dyDescent="0.3">
      <c r="A9" s="10" t="s">
        <v>59</v>
      </c>
      <c r="B9" s="12" t="s">
        <v>22</v>
      </c>
      <c r="C9" s="59" t="s">
        <v>45</v>
      </c>
      <c r="D9" s="60" t="s">
        <v>27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 x14ac:dyDescent="0.25">
      <c r="A10" s="10" t="s">
        <v>60</v>
      </c>
      <c r="B10" s="12" t="s">
        <v>22</v>
      </c>
      <c r="C10" s="59" t="s">
        <v>45</v>
      </c>
      <c r="D10" s="60" t="s">
        <v>28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5" t="s">
        <v>47</v>
      </c>
      <c r="N10" s="76">
        <v>35224</v>
      </c>
      <c r="O10" s="90" t="s">
        <v>66</v>
      </c>
    </row>
    <row r="11" spans="1:15" ht="15.75" customHeight="1" x14ac:dyDescent="0.25">
      <c r="A11" s="10" t="s">
        <v>61</v>
      </c>
      <c r="B11" s="12" t="s">
        <v>22</v>
      </c>
      <c r="C11" s="59" t="s">
        <v>62</v>
      </c>
      <c r="D11" s="60" t="s">
        <v>24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77" t="s">
        <v>48</v>
      </c>
      <c r="N11" s="78">
        <f>N10/5</f>
        <v>7044.8</v>
      </c>
      <c r="O11" s="91"/>
    </row>
    <row r="12" spans="1:15" x14ac:dyDescent="0.25">
      <c r="A12" s="10" t="s">
        <v>64</v>
      </c>
      <c r="B12" s="12" t="s">
        <v>22</v>
      </c>
      <c r="C12" s="59" t="s">
        <v>65</v>
      </c>
      <c r="D12" s="60" t="s">
        <v>24</v>
      </c>
      <c r="E12" s="34"/>
      <c r="F12" s="10"/>
      <c r="G12" s="51"/>
      <c r="H12" s="36"/>
      <c r="I12" s="14"/>
      <c r="J12" s="11">
        <v>7044.8</v>
      </c>
      <c r="K12" s="29">
        <f t="shared" si="0"/>
        <v>512042.19999999995</v>
      </c>
      <c r="M12" s="77" t="s">
        <v>49</v>
      </c>
      <c r="N12" s="79">
        <v>4</v>
      </c>
      <c r="O12" s="91"/>
    </row>
    <row r="13" spans="1:15" ht="15.75" thickBot="1" x14ac:dyDescent="0.3">
      <c r="A13" s="10" t="s">
        <v>64</v>
      </c>
      <c r="B13" s="12" t="s">
        <v>22</v>
      </c>
      <c r="C13" s="59" t="s">
        <v>62</v>
      </c>
      <c r="D13" s="60" t="s">
        <v>26</v>
      </c>
      <c r="E13" s="34"/>
      <c r="F13" s="10"/>
      <c r="G13" s="51"/>
      <c r="H13" s="36"/>
      <c r="I13" s="14"/>
      <c r="J13" s="11">
        <v>3200.1</v>
      </c>
      <c r="K13" s="29">
        <f t="shared" si="0"/>
        <v>508842.1</v>
      </c>
      <c r="M13" s="80"/>
      <c r="N13" s="71"/>
      <c r="O13" s="91"/>
    </row>
    <row r="14" spans="1:15" ht="15.75" thickBot="1" x14ac:dyDescent="0.3">
      <c r="A14" s="10" t="s">
        <v>67</v>
      </c>
      <c r="B14" s="12" t="s">
        <v>22</v>
      </c>
      <c r="C14" s="59" t="s">
        <v>41</v>
      </c>
      <c r="D14" s="60" t="s">
        <v>68</v>
      </c>
      <c r="E14" s="33"/>
      <c r="F14" s="10"/>
      <c r="G14" s="51"/>
      <c r="H14" s="4"/>
      <c r="I14" s="4"/>
      <c r="J14" s="11">
        <v>7130.5</v>
      </c>
      <c r="K14" s="29">
        <f t="shared" si="0"/>
        <v>501711.6</v>
      </c>
      <c r="M14" s="81" t="s">
        <v>50</v>
      </c>
      <c r="N14" s="72">
        <f>N10-(N11*N12)</f>
        <v>7044.7999999999993</v>
      </c>
      <c r="O14" s="92"/>
    </row>
    <row r="15" spans="1:15" x14ac:dyDescent="0.25">
      <c r="A15" s="10" t="s">
        <v>36</v>
      </c>
      <c r="B15" s="12" t="s">
        <v>22</v>
      </c>
      <c r="C15" s="59" t="s">
        <v>65</v>
      </c>
      <c r="D15" s="60" t="s">
        <v>26</v>
      </c>
      <c r="E15" s="34"/>
      <c r="F15" s="10"/>
      <c r="G15" s="51"/>
      <c r="H15" s="36"/>
      <c r="I15" s="14"/>
      <c r="J15" s="11">
        <v>7044.8</v>
      </c>
      <c r="K15" s="29">
        <f t="shared" si="0"/>
        <v>494666.8</v>
      </c>
      <c r="N15" s="7"/>
    </row>
    <row r="16" spans="1:15" ht="15.75" thickBot="1" x14ac:dyDescent="0.3">
      <c r="A16" s="10" t="s">
        <v>36</v>
      </c>
      <c r="B16" s="12" t="s">
        <v>22</v>
      </c>
      <c r="C16" s="59" t="s">
        <v>65</v>
      </c>
      <c r="D16" s="60" t="s">
        <v>23</v>
      </c>
      <c r="E16" s="34"/>
      <c r="F16" s="10"/>
      <c r="G16" s="51"/>
      <c r="H16" s="36"/>
      <c r="I16" s="14"/>
      <c r="J16" s="11">
        <v>7044.8</v>
      </c>
      <c r="K16" s="29">
        <f t="shared" si="0"/>
        <v>487622</v>
      </c>
      <c r="N16" s="7"/>
    </row>
    <row r="17" spans="1:15" x14ac:dyDescent="0.25">
      <c r="A17" s="10" t="s">
        <v>38</v>
      </c>
      <c r="B17" s="12" t="s">
        <v>22</v>
      </c>
      <c r="C17" s="59" t="s">
        <v>65</v>
      </c>
      <c r="D17" s="60" t="s">
        <v>27</v>
      </c>
      <c r="E17" s="34"/>
      <c r="F17" s="10"/>
      <c r="G17" s="51"/>
      <c r="H17" s="36"/>
      <c r="I17" s="14"/>
      <c r="J17" s="11">
        <v>7044.8</v>
      </c>
      <c r="K17" s="29">
        <f t="shared" si="0"/>
        <v>480577.2</v>
      </c>
      <c r="M17" s="75" t="s">
        <v>47</v>
      </c>
      <c r="N17" s="76">
        <v>12170.24</v>
      </c>
      <c r="O17" s="90" t="s">
        <v>51</v>
      </c>
    </row>
    <row r="18" spans="1:15" x14ac:dyDescent="0.25">
      <c r="A18" s="10" t="s">
        <v>69</v>
      </c>
      <c r="B18" s="12" t="s">
        <v>22</v>
      </c>
      <c r="C18" s="59" t="s">
        <v>44</v>
      </c>
      <c r="D18" s="60" t="s">
        <v>26</v>
      </c>
      <c r="E18" s="34"/>
      <c r="F18" s="10"/>
      <c r="G18" s="51"/>
      <c r="H18" s="14"/>
      <c r="I18" s="4"/>
      <c r="J18" s="11">
        <v>3042.56</v>
      </c>
      <c r="K18" s="29">
        <f t="shared" si="0"/>
        <v>477534.64</v>
      </c>
      <c r="M18" s="77" t="s">
        <v>48</v>
      </c>
      <c r="N18" s="78">
        <f>N17/4</f>
        <v>3042.56</v>
      </c>
      <c r="O18" s="91"/>
    </row>
    <row r="19" spans="1:15" x14ac:dyDescent="0.2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477534.64</v>
      </c>
      <c r="M19" s="77" t="s">
        <v>49</v>
      </c>
      <c r="N19" s="79">
        <v>2</v>
      </c>
      <c r="O19" s="91"/>
    </row>
    <row r="20" spans="1:15" ht="15.75" thickBot="1" x14ac:dyDescent="0.3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477534.64</v>
      </c>
      <c r="M20" s="80"/>
      <c r="N20" s="71"/>
      <c r="O20" s="91"/>
    </row>
    <row r="21" spans="1:15" ht="15.75" thickBot="1" x14ac:dyDescent="0.3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477534.64</v>
      </c>
      <c r="M21" s="81" t="s">
        <v>50</v>
      </c>
      <c r="N21" s="72">
        <f>N17-(N18*N19)</f>
        <v>6085.12</v>
      </c>
      <c r="O21" s="92"/>
    </row>
    <row r="22" spans="1:15" x14ac:dyDescent="0.2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477534.64</v>
      </c>
      <c r="N22" s="7"/>
    </row>
    <row r="23" spans="1:15" ht="15.75" thickBot="1" x14ac:dyDescent="0.3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477534.64</v>
      </c>
    </row>
    <row r="24" spans="1:15" ht="15" customHeight="1" x14ac:dyDescent="0.25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477534.64</v>
      </c>
      <c r="M24" s="75" t="s">
        <v>47</v>
      </c>
      <c r="N24" s="76">
        <v>16000.7</v>
      </c>
      <c r="O24" s="90" t="s">
        <v>63</v>
      </c>
    </row>
    <row r="25" spans="1:15" ht="15" customHeight="1" x14ac:dyDescent="0.25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477534.64</v>
      </c>
      <c r="M25" s="77" t="s">
        <v>48</v>
      </c>
      <c r="N25" s="78">
        <f>N24/5</f>
        <v>3200.1400000000003</v>
      </c>
      <c r="O25" s="91"/>
    </row>
    <row r="26" spans="1:15" ht="15" customHeight="1" x14ac:dyDescent="0.25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477534.64</v>
      </c>
      <c r="M26" s="77" t="s">
        <v>49</v>
      </c>
      <c r="N26" s="79">
        <v>2</v>
      </c>
      <c r="O26" s="91"/>
    </row>
    <row r="27" spans="1:15" ht="15.75" customHeight="1" thickBot="1" x14ac:dyDescent="0.3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477534.64</v>
      </c>
      <c r="M27" s="80"/>
      <c r="N27" s="71"/>
      <c r="O27" s="91"/>
    </row>
    <row r="28" spans="1:15" ht="15.75" customHeight="1" thickBot="1" x14ac:dyDescent="0.3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477534.64</v>
      </c>
      <c r="M28" s="81" t="s">
        <v>50</v>
      </c>
      <c r="N28" s="72">
        <f>N24-(N25*N26)</f>
        <v>9600.42</v>
      </c>
      <c r="O28" s="92"/>
    </row>
    <row r="29" spans="1:15" x14ac:dyDescent="0.2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477534.64</v>
      </c>
    </row>
    <row r="30" spans="1:15" ht="15.75" thickBot="1" x14ac:dyDescent="0.3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477534.64</v>
      </c>
    </row>
    <row r="31" spans="1:15" x14ac:dyDescent="0.2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477534.64</v>
      </c>
      <c r="M31" s="75" t="s">
        <v>47</v>
      </c>
      <c r="N31" s="76">
        <v>21391.38</v>
      </c>
      <c r="O31" s="90" t="s">
        <v>41</v>
      </c>
    </row>
    <row r="32" spans="1:15" x14ac:dyDescent="0.2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477534.64</v>
      </c>
      <c r="M32" s="77" t="s">
        <v>48</v>
      </c>
      <c r="N32" s="78">
        <f>N31/3</f>
        <v>7130.46</v>
      </c>
      <c r="O32" s="91"/>
    </row>
    <row r="33" spans="1:15" x14ac:dyDescent="0.2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477534.64</v>
      </c>
      <c r="M33" s="77" t="s">
        <v>49</v>
      </c>
      <c r="N33" s="79">
        <v>3</v>
      </c>
      <c r="O33" s="91"/>
    </row>
    <row r="34" spans="1:15" ht="15.75" thickBot="1" x14ac:dyDescent="0.3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477534.64</v>
      </c>
      <c r="M34" s="80"/>
      <c r="N34" s="71"/>
      <c r="O34" s="91"/>
    </row>
    <row r="35" spans="1:15" ht="15.75" thickBot="1" x14ac:dyDescent="0.3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477534.64</v>
      </c>
      <c r="M35" s="81" t="s">
        <v>50</v>
      </c>
      <c r="N35" s="72">
        <f>N31-(N32*N33)</f>
        <v>0</v>
      </c>
      <c r="O35" s="92"/>
    </row>
    <row r="36" spans="1:15" x14ac:dyDescent="0.2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477534.64</v>
      </c>
    </row>
    <row r="37" spans="1:15" ht="18" customHeight="1" x14ac:dyDescent="0.25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477534.64</v>
      </c>
      <c r="M37" s="73"/>
    </row>
    <row r="38" spans="1:15" ht="15" customHeight="1" x14ac:dyDescent="0.25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477534.64</v>
      </c>
      <c r="M38" s="74"/>
    </row>
    <row r="39" spans="1:15" ht="15" customHeight="1" x14ac:dyDescent="0.25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477534.64</v>
      </c>
      <c r="M39" s="73"/>
    </row>
    <row r="40" spans="1:15" ht="15.75" customHeight="1" x14ac:dyDescent="0.25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477534.64</v>
      </c>
      <c r="M40" s="73"/>
    </row>
    <row r="41" spans="1:15" ht="15.75" customHeight="1" x14ac:dyDescent="0.25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477534.64</v>
      </c>
      <c r="M41" s="74"/>
    </row>
    <row r="42" spans="1:15" ht="15" customHeight="1" x14ac:dyDescent="0.25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477534.64</v>
      </c>
      <c r="M42" s="73"/>
    </row>
    <row r="43" spans="1:15" ht="17.25" customHeight="1" x14ac:dyDescent="0.25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477534.64</v>
      </c>
      <c r="M43" s="74"/>
    </row>
    <row r="44" spans="1:15" ht="15" customHeight="1" x14ac:dyDescent="0.25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477534.64</v>
      </c>
      <c r="M44" s="73"/>
    </row>
    <row r="45" spans="1:15" x14ac:dyDescent="0.2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477534.64</v>
      </c>
    </row>
    <row r="46" spans="1:15" x14ac:dyDescent="0.2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477534.64</v>
      </c>
    </row>
    <row r="47" spans="1:15" ht="15.75" thickBot="1" x14ac:dyDescent="0.3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477534.64</v>
      </c>
    </row>
    <row r="48" spans="1:15" ht="15.75" thickBot="1" x14ac:dyDescent="0.3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91012.14</v>
      </c>
      <c r="K48" s="19"/>
    </row>
  </sheetData>
  <mergeCells count="9">
    <mergeCell ref="A1:K1"/>
    <mergeCell ref="O10:O14"/>
    <mergeCell ref="O17:O21"/>
    <mergeCell ref="O24:O28"/>
    <mergeCell ref="O31:O35"/>
    <mergeCell ref="M7:M8"/>
    <mergeCell ref="N7:O8"/>
    <mergeCell ref="N4:O4"/>
    <mergeCell ref="N5:O5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Raj</cp:lastModifiedBy>
  <cp:lastPrinted>2020-12-22T06:47:08Z</cp:lastPrinted>
  <dcterms:created xsi:type="dcterms:W3CDTF">2017-04-20T06:09:09Z</dcterms:created>
  <dcterms:modified xsi:type="dcterms:W3CDTF">2021-05-27T15:16:07Z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