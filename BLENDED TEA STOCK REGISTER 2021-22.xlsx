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2"/>
  </bookViews>
  <sheets>
    <sheet name="April 2021-22" sheetId="26" r:id="rId1"/>
    <sheet name="May 2021" sheetId="27" r:id="rId2"/>
    <sheet name="June 2021" sheetId="28" r:id="rId3"/>
    <sheet name="July 2021" sheetId="29" r:id="rId4"/>
  </sheets>
  <externalReferences>
    <externalReference r:id="rId5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2" i="28"/>
  <c r="G72" i="29"/>
  <c r="F72"/>
  <c r="E72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E37" i="28"/>
  <c r="K12"/>
  <c r="K32"/>
  <c r="K15" l="1"/>
  <c r="K22"/>
  <c r="K25" s="1"/>
  <c r="K35"/>
  <c r="G72"/>
  <c r="F72"/>
  <c r="E72"/>
  <c r="K47"/>
  <c r="K45"/>
  <c r="K37"/>
  <c r="L27"/>
  <c r="K27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s="1"/>
  <c r="K12" i="27" l="1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8" l="1"/>
  <c r="K6" s="1"/>
  <c r="K3" i="27" l="1"/>
  <c r="K6" s="1"/>
</calcChain>
</file>

<file path=xl/sharedStrings.xml><?xml version="1.0" encoding="utf-8"?>
<sst xmlns="http://schemas.openxmlformats.org/spreadsheetml/2006/main" count="527" uniqueCount="154">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</sst>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165" fontId="1" fillId="0" borderId="5" xfId="0" applyNumberFormat="1" applyFont="1" applyBorder="1" applyAlignment="1"/>
    <xf numFmtId="0" fontId="1" fillId="0" borderId="1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/>
      <sheetData sheetId="1">
        <row r="15">
          <cell r="N15">
            <v>43031.329999999994</v>
          </cell>
        </row>
      </sheetData>
      <sheetData sheetId="2">
        <row r="15">
          <cell r="N15">
            <v>65436.87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34" zoomScaleNormal="100" workbookViewId="0">
      <selection activeCell="A69" sqref="A69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82" t="s">
        <v>15</v>
      </c>
      <c r="B1" s="82"/>
      <c r="C1" s="82"/>
      <c r="D1" s="82"/>
      <c r="E1" s="82"/>
      <c r="F1" s="82"/>
      <c r="G1" s="82"/>
      <c r="H1" s="82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57898.33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62867.73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51901.130000000005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56750.530000000006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57832.530000000006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33073.130000000012</v>
      </c>
    </row>
    <row r="25" spans="1:14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24939.530000000013</v>
      </c>
      <c r="K31" s="83" t="s">
        <v>11</v>
      </c>
      <c r="L31" s="84">
        <f>L28-L29</f>
        <v>0</v>
      </c>
    </row>
    <row r="32" spans="1:14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83"/>
      <c r="L32" s="84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53</v>
      </c>
      <c r="L37" s="48">
        <v>147.41</v>
      </c>
    </row>
    <row r="38" spans="1:1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47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49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opLeftCell="A25" zoomScaleNormal="100" workbookViewId="0">
      <selection activeCell="C41" sqref="C41:E41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2" t="s">
        <v>61</v>
      </c>
      <c r="B1" s="82"/>
      <c r="C1" s="82"/>
      <c r="D1" s="82"/>
      <c r="E1" s="82"/>
      <c r="F1" s="82"/>
      <c r="G1" s="82"/>
      <c r="H1" s="82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62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4" t="s">
        <v>9</v>
      </c>
      <c r="K3" s="75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22870.02</v>
      </c>
      <c r="I4" s="54"/>
      <c r="J4" s="76" t="s">
        <v>10</v>
      </c>
      <c r="K4" s="77">
        <f>H71+K15+K35+K25+K45</f>
        <v>43031.330000000009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20494.02</v>
      </c>
      <c r="I5" s="54"/>
      <c r="J5" s="78"/>
      <c r="K5" s="79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27624.48</v>
      </c>
      <c r="I6" s="54"/>
      <c r="J6" s="86" t="s">
        <v>11</v>
      </c>
      <c r="K6" s="88">
        <f>K3-K4</f>
        <v>0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34863.519999999997</v>
      </c>
      <c r="I7" s="54"/>
      <c r="J7" s="87"/>
      <c r="K7" s="89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31767.519999999997</v>
      </c>
      <c r="I8" s="54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38897.979999999996</v>
      </c>
      <c r="I9" s="54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35669.979999999996</v>
      </c>
      <c r="I10" s="54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42909.02</v>
      </c>
      <c r="I11" s="54"/>
      <c r="J11" s="57" t="s">
        <v>56</v>
      </c>
      <c r="K11" s="66">
        <v>35224</v>
      </c>
      <c r="L11" s="85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39343.019999999997</v>
      </c>
      <c r="I12" s="54"/>
      <c r="J12" s="51" t="s">
        <v>57</v>
      </c>
      <c r="K12" s="50">
        <f>K11/5</f>
        <v>7044.8</v>
      </c>
      <c r="L12" s="85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46582.06</v>
      </c>
      <c r="I13" s="54"/>
      <c r="J13" s="51" t="s">
        <v>60</v>
      </c>
      <c r="K13" s="65">
        <v>4</v>
      </c>
      <c r="L13" s="85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43870.06</v>
      </c>
      <c r="I14" s="54"/>
      <c r="J14" s="60"/>
      <c r="K14" s="61"/>
      <c r="L14" s="85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51109.14</v>
      </c>
      <c r="I15" s="54"/>
      <c r="J15" s="63" t="s">
        <v>55</v>
      </c>
      <c r="K15" s="62">
        <f>K11-(K12*K13)</f>
        <v>7044.7999999999993</v>
      </c>
      <c r="L15" s="85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3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47533.919999999998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2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40241.919999999998</v>
      </c>
      <c r="I19" s="54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37553.919999999998</v>
      </c>
      <c r="I20" s="54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40754.019999999997</v>
      </c>
      <c r="I21" s="54"/>
      <c r="J21" s="57" t="s">
        <v>56</v>
      </c>
      <c r="K21" s="66">
        <v>12170.24</v>
      </c>
      <c r="L21" s="85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39542.019999999997</v>
      </c>
      <c r="I22" s="54"/>
      <c r="J22" s="51" t="s">
        <v>57</v>
      </c>
      <c r="K22" s="50">
        <f>K21/4</f>
        <v>3042.56</v>
      </c>
      <c r="L22" s="85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36198.019999999997</v>
      </c>
      <c r="I23" s="54"/>
      <c r="J23" s="51" t="s">
        <v>60</v>
      </c>
      <c r="K23" s="65">
        <v>2</v>
      </c>
      <c r="L23" s="85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85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35848.82</v>
      </c>
      <c r="I25" s="54"/>
      <c r="J25" s="63" t="s">
        <v>55</v>
      </c>
      <c r="K25" s="62">
        <f>K21-(K22*K23)</f>
        <v>6085.12</v>
      </c>
      <c r="L25" s="85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39048.92</v>
      </c>
      <c r="I26" s="54"/>
      <c r="J26" s="49"/>
      <c r="K26" s="49"/>
      <c r="L26" s="73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31710.92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28086.92</v>
      </c>
      <c r="I28" s="54"/>
      <c r="J28" s="49"/>
      <c r="K28" s="49"/>
      <c r="L28" s="72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35217.42</v>
      </c>
      <c r="I29" s="54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35360.03</v>
      </c>
      <c r="I30" s="54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33656.03</v>
      </c>
      <c r="I31" s="54"/>
      <c r="J31" s="57" t="s">
        <v>56</v>
      </c>
      <c r="K31" s="58">
        <v>16000.7</v>
      </c>
      <c r="L31" s="85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27512.03</v>
      </c>
      <c r="I32" s="54"/>
      <c r="J32" s="51" t="s">
        <v>57</v>
      </c>
      <c r="K32" s="50">
        <f>K31/5</f>
        <v>3200.1400000000003</v>
      </c>
      <c r="L32" s="85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34556.83</v>
      </c>
      <c r="I33" s="54"/>
      <c r="J33" s="51" t="s">
        <v>60</v>
      </c>
      <c r="K33" s="65">
        <v>2</v>
      </c>
      <c r="L33" s="85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41601.630000000005</v>
      </c>
      <c r="I34" s="54"/>
      <c r="J34" s="60"/>
      <c r="K34" s="61"/>
      <c r="L34" s="85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38121.630000000005</v>
      </c>
      <c r="I35" s="54"/>
      <c r="J35" s="63" t="s">
        <v>55</v>
      </c>
      <c r="K35" s="62">
        <f>K31-(K32*K33)</f>
        <v>9600.42</v>
      </c>
      <c r="L35" s="85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34833.630000000005</v>
      </c>
      <c r="I36" s="54"/>
      <c r="J36" s="49"/>
      <c r="K36" s="49"/>
      <c r="L36" s="73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41878.430000000008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39250.430000000008</v>
      </c>
      <c r="I38" s="54"/>
      <c r="J38" s="49"/>
      <c r="K38" s="49"/>
      <c r="L38" s="72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36184.430000000008</v>
      </c>
      <c r="I39" s="54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30352.430000000008</v>
      </c>
      <c r="I40" s="54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33394.990000000005</v>
      </c>
      <c r="I41" s="54"/>
      <c r="J41" s="57" t="s">
        <v>56</v>
      </c>
      <c r="K41" s="66">
        <f>21391.38</f>
        <v>21391.38</v>
      </c>
      <c r="L41" s="85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31662.990000000005</v>
      </c>
      <c r="I42" s="54"/>
      <c r="J42" s="51" t="s">
        <v>57</v>
      </c>
      <c r="K42" s="50">
        <f>K41/3</f>
        <v>7130.46</v>
      </c>
      <c r="L42" s="85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26050.990000000005</v>
      </c>
      <c r="I43" s="54"/>
      <c r="J43" s="51" t="s">
        <v>60</v>
      </c>
      <c r="K43" s="65">
        <v>3</v>
      </c>
      <c r="L43" s="85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24034.990000000005</v>
      </c>
      <c r="I44" s="54"/>
      <c r="J44" s="60"/>
      <c r="K44" s="61"/>
      <c r="L44" s="85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20300.990000000005</v>
      </c>
      <c r="I45" s="54"/>
      <c r="J45" s="63" t="s">
        <v>55</v>
      </c>
      <c r="K45" s="62">
        <f>K41-(K42*K43)</f>
        <v>0</v>
      </c>
      <c r="L45" s="85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20300.990000000005</v>
      </c>
      <c r="I46" s="54"/>
      <c r="J46" s="49"/>
      <c r="K46" s="49"/>
      <c r="L46" s="7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20300.990000000005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20300.990000000005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20300.990000000005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20300.990000000005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20300.990000000005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20300.990000000005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20300.990000000005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20300.990000000005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20300.990000000005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20300.990000000005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20300.990000000005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20300.990000000005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20300.990000000005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20300.990000000005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20300.990000000005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20300.990000000005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20300.990000000005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20300.990000000005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20300.990000000005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20300.990000000005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20300.990000000005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20300.990000000005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20300.990000000005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20300.990000000005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20300.990000000005</v>
      </c>
      <c r="I71" s="54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95"/>
  <sheetViews>
    <sheetView tabSelected="1" topLeftCell="A40" zoomScaleNormal="100" workbookViewId="0">
      <selection activeCell="A53" sqref="A53:G57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2" t="s">
        <v>95</v>
      </c>
      <c r="B1" s="82"/>
      <c r="C1" s="82"/>
      <c r="D1" s="82"/>
      <c r="E1" s="82"/>
      <c r="F1" s="82"/>
      <c r="G1" s="82"/>
      <c r="H1" s="82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91</v>
      </c>
      <c r="B3" s="19" t="s">
        <v>8</v>
      </c>
      <c r="C3" s="22"/>
      <c r="D3" s="3"/>
      <c r="E3" s="2"/>
      <c r="F3" s="71"/>
      <c r="G3" s="67"/>
      <c r="H3" s="30">
        <v>20300.990000000002</v>
      </c>
      <c r="I3" s="54"/>
      <c r="J3" s="74" t="s">
        <v>9</v>
      </c>
      <c r="K3" s="75">
        <f>'[1]June 2021'!$N$15</f>
        <v>65436.87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27345.83</v>
      </c>
      <c r="I4" s="54"/>
      <c r="J4" s="76" t="s">
        <v>10</v>
      </c>
      <c r="K4" s="77">
        <f>H71+K15+K35+K25+K45</f>
        <v>65436.869999999995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68" si="0">H4+E5+F5-G5</f>
        <v>27486.730000000003</v>
      </c>
      <c r="I5" s="54"/>
      <c r="J5" s="78"/>
      <c r="K5" s="79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23610.730000000003</v>
      </c>
      <c r="I6" s="54"/>
      <c r="J6" s="86" t="s">
        <v>11</v>
      </c>
      <c r="K6" s="88">
        <f>K3-K4</f>
        <v>0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21138.730000000003</v>
      </c>
      <c r="I7" s="54"/>
      <c r="J7" s="87"/>
      <c r="K7" s="89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24338.83</v>
      </c>
      <c r="I8" s="54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20978.83</v>
      </c>
      <c r="I9" s="54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28042.83</v>
      </c>
      <c r="I10" s="54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23632.83</v>
      </c>
      <c r="I11" s="54"/>
      <c r="J11" s="57" t="s">
        <v>56</v>
      </c>
      <c r="K11" s="66">
        <v>37533.699999999997</v>
      </c>
      <c r="L11" s="85" t="s">
        <v>122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30696.83</v>
      </c>
      <c r="I12" s="54"/>
      <c r="J12" s="51" t="s">
        <v>57</v>
      </c>
      <c r="K12" s="50">
        <f>K11/5</f>
        <v>7506.74</v>
      </c>
      <c r="L12" s="85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28272.83</v>
      </c>
      <c r="I13" s="54"/>
      <c r="J13" s="51" t="s">
        <v>60</v>
      </c>
      <c r="K13" s="65">
        <v>1</v>
      </c>
      <c r="L13" s="85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31472.93</v>
      </c>
      <c r="I14" s="54"/>
      <c r="J14" s="60"/>
      <c r="K14" s="61"/>
      <c r="L14" s="85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27236.93</v>
      </c>
      <c r="I15" s="54"/>
      <c r="J15" s="63" t="s">
        <v>55</v>
      </c>
      <c r="K15" s="62">
        <f>K11-(K12*K13)</f>
        <v>30026.959999999999</v>
      </c>
      <c r="L15" s="85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23156.93</v>
      </c>
      <c r="I16" s="54"/>
      <c r="J16" s="49"/>
      <c r="K16" s="49"/>
      <c r="L16" s="73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30614.83</v>
      </c>
      <c r="I17" s="54"/>
      <c r="J17" s="56" t="s">
        <v>58</v>
      </c>
      <c r="K17" s="66">
        <f>L17*0.4%</f>
        <v>150.13479999999998</v>
      </c>
      <c r="L17" s="73">
        <v>37533.699999999997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28238.83</v>
      </c>
      <c r="I18" s="54"/>
      <c r="J18" s="49"/>
      <c r="K18" s="49"/>
      <c r="L18" s="72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23966.83</v>
      </c>
      <c r="I19" s="54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19334.830000000002</v>
      </c>
      <c r="I20" s="54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22535.010000000002</v>
      </c>
      <c r="I21" s="54"/>
      <c r="J21" s="57" t="s">
        <v>56</v>
      </c>
      <c r="K21" s="66">
        <v>6085.12</v>
      </c>
      <c r="L21" s="85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22599.010000000002</v>
      </c>
      <c r="I22" s="54"/>
      <c r="J22" s="51" t="s">
        <v>57</v>
      </c>
      <c r="K22" s="50">
        <f>K21/2</f>
        <v>3042.56</v>
      </c>
      <c r="L22" s="85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17835.010000000002</v>
      </c>
      <c r="I23" s="54"/>
      <c r="J23" s="51" t="s">
        <v>60</v>
      </c>
      <c r="K23" s="65">
        <v>1</v>
      </c>
      <c r="L23" s="85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17835.010000000002</v>
      </c>
      <c r="I24" s="54"/>
      <c r="J24" s="60"/>
      <c r="K24" s="61"/>
      <c r="L24" s="85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15177.010000000002</v>
      </c>
      <c r="I25" s="54"/>
      <c r="J25" s="63" t="s">
        <v>55</v>
      </c>
      <c r="K25" s="62">
        <f>K21-(K22*K23)</f>
        <v>3042.56</v>
      </c>
      <c r="L25" s="85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22634.910000000003</v>
      </c>
      <c r="I26" s="54"/>
      <c r="J26" s="49"/>
      <c r="K26" s="49"/>
      <c r="L26" s="73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21304.910000000003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15562.910000000003</v>
      </c>
      <c r="I28" s="54"/>
      <c r="J28" s="49"/>
      <c r="K28" s="49"/>
      <c r="L28" s="72"/>
    </row>
    <row r="29" spans="1:12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11914.910000000003</v>
      </c>
      <c r="I29" s="54"/>
    </row>
    <row r="30" spans="1:12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19372.810000000005</v>
      </c>
      <c r="I30" s="54"/>
    </row>
    <row r="31" spans="1:12" ht="15" customHeight="1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16102.810000000005</v>
      </c>
      <c r="I31" s="54"/>
      <c r="J31" s="57" t="s">
        <v>56</v>
      </c>
      <c r="K31" s="58">
        <v>18585</v>
      </c>
      <c r="L31" s="85" t="s">
        <v>112</v>
      </c>
    </row>
    <row r="32" spans="1:12" ht="15" customHeight="1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13794.810000000005</v>
      </c>
      <c r="I32" s="54"/>
      <c r="J32" s="51" t="s">
        <v>57</v>
      </c>
      <c r="K32" s="50">
        <f>K31/5</f>
        <v>3717</v>
      </c>
      <c r="L32" s="85"/>
    </row>
    <row r="33" spans="1:16" ht="15" customHeight="1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8772.8100000000049</v>
      </c>
      <c r="I33" s="54"/>
      <c r="J33" s="51" t="s">
        <v>60</v>
      </c>
      <c r="K33" s="65">
        <v>1</v>
      </c>
      <c r="L33" s="85"/>
    </row>
    <row r="34" spans="1:16" ht="15.75" customHeight="1" thickBot="1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16230.710000000005</v>
      </c>
      <c r="I34" s="54"/>
      <c r="J34" s="60"/>
      <c r="K34" s="61"/>
      <c r="L34" s="85"/>
    </row>
    <row r="35" spans="1:16" ht="15.75" customHeight="1" thickBot="1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13686.710000000005</v>
      </c>
      <c r="I35" s="54"/>
      <c r="J35" s="63" t="s">
        <v>55</v>
      </c>
      <c r="K35" s="62">
        <f>K31-(K32*K33)</f>
        <v>14868</v>
      </c>
      <c r="L35" s="85"/>
    </row>
    <row r="36" spans="1:16" ht="15.75" customHeight="1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7302.7100000000046</v>
      </c>
      <c r="I36" s="54"/>
      <c r="J36" s="49"/>
      <c r="K36" s="49"/>
      <c r="L36" s="73" t="s">
        <v>75</v>
      </c>
    </row>
    <row r="37" spans="1:16" ht="15.75" customHeight="1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14768.910000000003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14909.810000000003</v>
      </c>
      <c r="I38" s="54"/>
      <c r="J38" s="49"/>
      <c r="K38" s="49"/>
      <c r="L38" s="72"/>
      <c r="P38" s="1"/>
    </row>
    <row r="39" spans="1:16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17952.370000000003</v>
      </c>
      <c r="I39" s="54"/>
      <c r="K39" s="10"/>
    </row>
    <row r="40" spans="1:16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13084.370000000003</v>
      </c>
      <c r="I40" s="54"/>
      <c r="K40" s="10"/>
    </row>
    <row r="41" spans="1:16" ht="15" customHeight="1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6390.3700000000026</v>
      </c>
      <c r="I41" s="54"/>
      <c r="J41" s="57" t="s">
        <v>56</v>
      </c>
      <c r="K41" s="66">
        <v>35320</v>
      </c>
      <c r="L41" s="85" t="s">
        <v>110</v>
      </c>
    </row>
    <row r="42" spans="1:16" ht="15.75" customHeight="1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13454.370000000003</v>
      </c>
      <c r="I42" s="54"/>
      <c r="J42" s="51" t="s">
        <v>57</v>
      </c>
      <c r="K42" s="50">
        <f>K41/5</f>
        <v>7064</v>
      </c>
      <c r="L42" s="85"/>
    </row>
    <row r="43" spans="1:16" ht="15.75" customHeight="1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7424.3700000000026</v>
      </c>
      <c r="I43" s="54"/>
      <c r="J43" s="51" t="s">
        <v>60</v>
      </c>
      <c r="K43" s="65">
        <v>5</v>
      </c>
      <c r="L43" s="85"/>
    </row>
    <row r="44" spans="1:16" ht="15.75" customHeight="1" thickBot="1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14488.370000000003</v>
      </c>
      <c r="I44" s="54"/>
      <c r="J44" s="60"/>
      <c r="K44" s="61"/>
      <c r="L44" s="85"/>
    </row>
    <row r="45" spans="1:16" ht="15.75" customHeight="1" thickBot="1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21552.370000000003</v>
      </c>
      <c r="I45" s="54"/>
      <c r="J45" s="63" t="s">
        <v>55</v>
      </c>
      <c r="K45" s="62">
        <f>K41-(K42*K43)</f>
        <v>0</v>
      </c>
      <c r="L45" s="85"/>
    </row>
    <row r="46" spans="1:16" ht="15" customHeight="1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21693.65</v>
      </c>
      <c r="I46" s="54"/>
      <c r="J46" s="49"/>
      <c r="K46" s="49"/>
      <c r="L46" s="73" t="s">
        <v>75</v>
      </c>
    </row>
    <row r="47" spans="1:16" ht="15" customHeight="1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13957.650000000001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10373.650000000001</v>
      </c>
      <c r="I48" s="54"/>
      <c r="J48" s="49"/>
      <c r="K48" s="49"/>
      <c r="L48" s="72"/>
    </row>
    <row r="49" spans="1:13">
      <c r="A49" s="12" t="s">
        <v>125</v>
      </c>
      <c r="B49" s="12" t="s">
        <v>21</v>
      </c>
      <c r="C49" s="12" t="s">
        <v>74</v>
      </c>
      <c r="D49" s="12" t="s">
        <v>24</v>
      </c>
      <c r="E49" s="26">
        <v>3717</v>
      </c>
      <c r="F49" s="26"/>
      <c r="G49" s="34"/>
      <c r="H49" s="29">
        <f t="shared" si="0"/>
        <v>14090.650000000001</v>
      </c>
      <c r="I49" s="54"/>
    </row>
    <row r="50" spans="1:13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21597.350000000002</v>
      </c>
      <c r="I50" s="54"/>
    </row>
    <row r="51" spans="1:13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17499.350000000002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80">
        <f t="shared" si="0"/>
        <v>17499.350000000002</v>
      </c>
      <c r="I52" s="54"/>
      <c r="J52" s="64"/>
      <c r="K52" s="64"/>
      <c r="L52" s="64"/>
      <c r="M52" s="64"/>
    </row>
    <row r="53" spans="1:13">
      <c r="A53" s="12"/>
      <c r="B53" s="20"/>
      <c r="C53" s="12"/>
      <c r="D53" s="12"/>
      <c r="E53" s="26"/>
      <c r="F53" s="26"/>
      <c r="G53" s="34"/>
      <c r="H53" s="29">
        <f t="shared" si="0"/>
        <v>17499.350000000002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40"/>
      <c r="F54" s="26"/>
      <c r="G54" s="34"/>
      <c r="H54" s="29">
        <f t="shared" si="0"/>
        <v>17499.350000000002</v>
      </c>
      <c r="I54" s="54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17499.350000000002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17499.350000000002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17499.350000000002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17499.350000000002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17499.350000000002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17499.350000000002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17499.350000000002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17499.350000000002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17499.350000000002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17499.350000000002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17499.350000000002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17499.350000000002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17499.350000000002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17499.350000000002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17499.350000000002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17499.350000000002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17499.350000000002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106818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95"/>
  <sheetViews>
    <sheetView zoomScaleNormal="100" workbookViewId="0">
      <selection activeCell="O7" sqref="O7"/>
    </sheetView>
  </sheetViews>
  <sheetFormatPr defaultRowHeight="15"/>
  <cols>
    <col min="1" max="1" width="13.140625" customWidth="1"/>
    <col min="2" max="2" width="20.42578125" style="6" bestFit="1" customWidth="1"/>
    <col min="3" max="3" width="6.7109375" style="7" bestFit="1" customWidth="1"/>
    <col min="4" max="4" width="9.42578125" bestFit="1" customWidth="1"/>
    <col min="5" max="5" width="8" bestFit="1" customWidth="1"/>
    <col min="6" max="6" width="6.7109375" style="27" bestFit="1" customWidth="1"/>
    <col min="7" max="7" width="13.140625" style="27" customWidth="1"/>
    <col min="8" max="8" width="11.28515625" style="32" bestFit="1" customWidth="1"/>
    <col min="9" max="9" width="8.85546875" style="32" customWidth="1"/>
  </cols>
  <sheetData>
    <row r="1" spans="1:9" ht="19.5" thickBot="1">
      <c r="A1" s="82" t="s">
        <v>95</v>
      </c>
      <c r="B1" s="82"/>
      <c r="C1" s="82"/>
      <c r="D1" s="82"/>
      <c r="E1" s="82"/>
      <c r="F1" s="82"/>
      <c r="G1" s="82"/>
      <c r="H1" s="82"/>
      <c r="I1" s="52"/>
    </row>
    <row r="2" spans="1:9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9" ht="15.75" thickBot="1">
      <c r="A3" s="81" t="s">
        <v>128</v>
      </c>
      <c r="B3" s="19" t="s">
        <v>8</v>
      </c>
      <c r="C3" s="22"/>
      <c r="D3" s="3"/>
      <c r="E3" s="2"/>
      <c r="F3" s="71"/>
      <c r="G3" s="67"/>
      <c r="H3" s="30">
        <v>17499.349999999999</v>
      </c>
      <c r="I3" s="54"/>
    </row>
    <row r="4" spans="1:9" ht="15.75" thickBot="1">
      <c r="A4" s="81" t="s">
        <v>128</v>
      </c>
      <c r="B4" s="20" t="s">
        <v>25</v>
      </c>
      <c r="C4" s="12"/>
      <c r="D4" s="12"/>
      <c r="E4" s="4"/>
      <c r="F4" s="71"/>
      <c r="G4" s="34">
        <v>2592</v>
      </c>
      <c r="H4" s="29">
        <f>H3+E4+F4-G4</f>
        <v>14907.349999999999</v>
      </c>
      <c r="I4" s="54"/>
    </row>
    <row r="5" spans="1:9" ht="15.75" thickBot="1">
      <c r="A5" s="81" t="s">
        <v>129</v>
      </c>
      <c r="B5" s="20" t="s">
        <v>25</v>
      </c>
      <c r="C5" s="12"/>
      <c r="D5" s="12"/>
      <c r="E5" s="4"/>
      <c r="F5" s="71"/>
      <c r="G5" s="34">
        <v>3384</v>
      </c>
      <c r="H5" s="29">
        <f t="shared" ref="H5:H68" si="0">H4+E5+F5-G5</f>
        <v>11523.349999999999</v>
      </c>
      <c r="I5" s="54"/>
    </row>
    <row r="6" spans="1:9" ht="15.75" customHeight="1" thickBot="1">
      <c r="A6" s="81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54"/>
    </row>
    <row r="7" spans="1:9" ht="15.75" customHeight="1" thickBot="1">
      <c r="A7" s="81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54"/>
    </row>
    <row r="8" spans="1:9" ht="15.75" thickBot="1">
      <c r="A8" s="81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54"/>
    </row>
    <row r="9" spans="1:9">
      <c r="A9" s="81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54"/>
    </row>
    <row r="10" spans="1:9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54"/>
    </row>
    <row r="11" spans="1:9" ht="15" customHeight="1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54"/>
    </row>
    <row r="12" spans="1:9" ht="15" customHeight="1">
      <c r="A12" s="12" t="s">
        <v>136</v>
      </c>
      <c r="B12" s="20" t="s">
        <v>25</v>
      </c>
      <c r="C12" s="12"/>
      <c r="D12" s="12"/>
      <c r="E12" s="4"/>
      <c r="F12" s="71"/>
      <c r="G12" s="34">
        <v>3560</v>
      </c>
      <c r="H12" s="29">
        <f t="shared" si="0"/>
        <v>-19590.650000000001</v>
      </c>
      <c r="I12" s="54"/>
    </row>
    <row r="13" spans="1:9" ht="15" customHeight="1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54"/>
    </row>
    <row r="14" spans="1:9" ht="15.75" customHeight="1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54"/>
    </row>
    <row r="15" spans="1:9" ht="15.75" customHeight="1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54"/>
    </row>
    <row r="16" spans="1:9" ht="15" customHeight="1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54"/>
    </row>
    <row r="17" spans="1:9" ht="15" customHeight="1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54"/>
    </row>
    <row r="18" spans="1:9" ht="15" customHeight="1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54"/>
    </row>
    <row r="19" spans="1:9" ht="15" customHeight="1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54"/>
    </row>
    <row r="20" spans="1:9" ht="15" customHeight="1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54"/>
    </row>
    <row r="21" spans="1:9" ht="15" customHeight="1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54"/>
    </row>
    <row r="22" spans="1:9" ht="15" customHeight="1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54"/>
    </row>
    <row r="23" spans="1:9" ht="15" customHeight="1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54"/>
    </row>
    <row r="24" spans="1:9" ht="15.75" customHeight="1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54"/>
    </row>
    <row r="25" spans="1:9" ht="15.75" customHeight="1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54"/>
    </row>
    <row r="26" spans="1:9" ht="15" customHeight="1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54"/>
    </row>
    <row r="27" spans="1:9" ht="15" customHeight="1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54"/>
    </row>
    <row r="28" spans="1:9" ht="15" customHeight="1">
      <c r="A28" s="12" t="s">
        <v>152</v>
      </c>
      <c r="B28" s="20" t="s">
        <v>25</v>
      </c>
      <c r="C28" s="12"/>
      <c r="D28" s="12"/>
      <c r="E28" s="26"/>
      <c r="F28" s="26"/>
      <c r="G28" s="34">
        <v>6780</v>
      </c>
      <c r="H28" s="29">
        <f t="shared" si="0"/>
        <v>-105672.65</v>
      </c>
      <c r="I28" s="54"/>
    </row>
    <row r="29" spans="1:9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54"/>
    </row>
    <row r="30" spans="1:9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54"/>
    </row>
    <row r="31" spans="1:9" ht="15" customHeight="1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54"/>
    </row>
    <row r="32" spans="1:9" ht="15" customHeight="1">
      <c r="A32" s="12"/>
      <c r="B32" s="12"/>
      <c r="C32" s="12"/>
      <c r="D32" s="12"/>
      <c r="E32" s="4"/>
      <c r="F32" s="26"/>
      <c r="G32" s="34"/>
      <c r="H32" s="29">
        <f t="shared" si="0"/>
        <v>-111492.65</v>
      </c>
      <c r="I32" s="54"/>
    </row>
    <row r="33" spans="1:12" ht="15" customHeight="1">
      <c r="A33" s="12"/>
      <c r="B33" s="12"/>
      <c r="C33" s="12"/>
      <c r="D33" s="12"/>
      <c r="E33" s="4"/>
      <c r="F33" s="26"/>
      <c r="G33" s="34"/>
      <c r="H33" s="29">
        <f t="shared" si="0"/>
        <v>-111492.65</v>
      </c>
      <c r="I33" s="54"/>
    </row>
    <row r="34" spans="1:12" ht="15.75" customHeight="1">
      <c r="A34" s="12"/>
      <c r="B34" s="12"/>
      <c r="C34" s="12"/>
      <c r="D34" s="12"/>
      <c r="E34" s="4"/>
      <c r="F34" s="26"/>
      <c r="G34" s="34"/>
      <c r="H34" s="29">
        <f t="shared" si="0"/>
        <v>-111492.65</v>
      </c>
      <c r="I34" s="54"/>
    </row>
    <row r="35" spans="1:12" ht="15.75" customHeight="1">
      <c r="A35" s="12"/>
      <c r="B35" s="12"/>
      <c r="C35" s="12"/>
      <c r="D35" s="12"/>
      <c r="E35" s="26"/>
      <c r="F35" s="26"/>
      <c r="G35" s="34"/>
      <c r="H35" s="29">
        <f t="shared" si="0"/>
        <v>-111492.65</v>
      </c>
      <c r="I35" s="54"/>
    </row>
    <row r="36" spans="1:12" ht="15.75" customHeight="1">
      <c r="A36" s="12"/>
      <c r="B36" s="12"/>
      <c r="C36" s="12"/>
      <c r="D36" s="12"/>
      <c r="E36" s="4"/>
      <c r="F36" s="26"/>
      <c r="G36" s="34"/>
      <c r="H36" s="29">
        <f t="shared" si="0"/>
        <v>-111492.65</v>
      </c>
      <c r="I36" s="54"/>
    </row>
    <row r="37" spans="1:12" ht="15.75" customHeight="1">
      <c r="A37" s="12"/>
      <c r="B37" s="12"/>
      <c r="C37" s="12"/>
      <c r="D37" s="12"/>
      <c r="E37" s="4"/>
      <c r="F37" s="26"/>
      <c r="G37" s="34"/>
      <c r="H37" s="29">
        <f t="shared" si="0"/>
        <v>-111492.65</v>
      </c>
      <c r="I37" s="54"/>
      <c r="L37" s="1"/>
    </row>
    <row r="38" spans="1:12" ht="15" customHeight="1">
      <c r="A38" s="12"/>
      <c r="B38" s="12"/>
      <c r="C38" s="12"/>
      <c r="D38" s="12"/>
      <c r="E38" s="4"/>
      <c r="F38" s="26"/>
      <c r="G38" s="34"/>
      <c r="H38" s="29">
        <f t="shared" si="0"/>
        <v>-111492.65</v>
      </c>
      <c r="I38" s="54"/>
      <c r="L38" s="1"/>
    </row>
    <row r="39" spans="1:12">
      <c r="A39" s="12"/>
      <c r="B39" s="12"/>
      <c r="C39" s="12"/>
      <c r="D39" s="12"/>
      <c r="E39" s="4"/>
      <c r="F39" s="26"/>
      <c r="G39" s="34"/>
      <c r="H39" s="29">
        <f t="shared" si="0"/>
        <v>-111492.65</v>
      </c>
      <c r="I39" s="54"/>
    </row>
    <row r="40" spans="1:12">
      <c r="A40" s="12"/>
      <c r="B40" s="12"/>
      <c r="C40" s="12"/>
      <c r="D40" s="12"/>
      <c r="E40" s="4"/>
      <c r="F40" s="26"/>
      <c r="G40" s="34"/>
      <c r="H40" s="29">
        <f t="shared" si="0"/>
        <v>-111492.65</v>
      </c>
      <c r="I40" s="54"/>
    </row>
    <row r="41" spans="1:12" ht="15" customHeight="1">
      <c r="A41" s="12"/>
      <c r="B41" s="20"/>
      <c r="C41" s="12"/>
      <c r="D41" s="12"/>
      <c r="E41" s="4"/>
      <c r="F41" s="26"/>
      <c r="G41" s="34"/>
      <c r="H41" s="29">
        <f t="shared" si="0"/>
        <v>-111492.65</v>
      </c>
      <c r="I41" s="54"/>
    </row>
    <row r="42" spans="1:12" ht="15.75" customHeight="1">
      <c r="A42" s="12"/>
      <c r="B42" s="12"/>
      <c r="C42" s="12"/>
      <c r="D42" s="12"/>
      <c r="E42" s="4"/>
      <c r="F42" s="26"/>
      <c r="G42" s="34"/>
      <c r="H42" s="29">
        <f t="shared" si="0"/>
        <v>-111492.65</v>
      </c>
      <c r="I42" s="54"/>
    </row>
    <row r="43" spans="1:12" ht="15.75" customHeight="1">
      <c r="A43" s="12"/>
      <c r="B43" s="12"/>
      <c r="C43" s="12"/>
      <c r="D43" s="12"/>
      <c r="E43" s="4"/>
      <c r="F43" s="26"/>
      <c r="G43" s="34"/>
      <c r="H43" s="29">
        <f t="shared" si="0"/>
        <v>-111492.65</v>
      </c>
      <c r="I43" s="54"/>
    </row>
    <row r="44" spans="1:12" ht="15.75" customHeight="1">
      <c r="A44" s="12"/>
      <c r="B44" s="20"/>
      <c r="C44" s="12"/>
      <c r="D44" s="12"/>
      <c r="E44" s="4"/>
      <c r="F44" s="26"/>
      <c r="G44" s="34"/>
      <c r="H44" s="29">
        <f t="shared" si="0"/>
        <v>-111492.65</v>
      </c>
      <c r="I44" s="54"/>
    </row>
    <row r="45" spans="1:12" ht="15.75" customHeight="1">
      <c r="A45" s="12"/>
      <c r="B45" s="20"/>
      <c r="C45" s="12"/>
      <c r="D45" s="12"/>
      <c r="E45" s="4"/>
      <c r="F45" s="26"/>
      <c r="G45" s="34"/>
      <c r="H45" s="29">
        <f t="shared" si="0"/>
        <v>-111492.65</v>
      </c>
      <c r="I45" s="54"/>
    </row>
    <row r="46" spans="1:12" ht="15" customHeight="1">
      <c r="A46" s="12"/>
      <c r="B46" s="20"/>
      <c r="C46" s="12"/>
      <c r="D46" s="12"/>
      <c r="E46" s="26"/>
      <c r="F46" s="26"/>
      <c r="G46" s="34"/>
      <c r="H46" s="29">
        <f t="shared" si="0"/>
        <v>-111492.65</v>
      </c>
      <c r="I46" s="54"/>
    </row>
    <row r="47" spans="1:12" ht="15" customHeight="1">
      <c r="A47" s="12"/>
      <c r="B47" s="20"/>
      <c r="C47" s="12"/>
      <c r="D47" s="12"/>
      <c r="E47" s="26"/>
      <c r="F47" s="26"/>
      <c r="G47" s="34"/>
      <c r="H47" s="29">
        <f t="shared" si="0"/>
        <v>-111492.65</v>
      </c>
      <c r="I47" s="54"/>
    </row>
    <row r="48" spans="1:12" ht="15" customHeight="1">
      <c r="A48" s="12"/>
      <c r="B48" s="20"/>
      <c r="C48" s="12"/>
      <c r="D48" s="12"/>
      <c r="E48" s="40"/>
      <c r="F48" s="26"/>
      <c r="G48" s="34"/>
      <c r="H48" s="29">
        <f t="shared" si="0"/>
        <v>-111492.65</v>
      </c>
      <c r="I48" s="54"/>
    </row>
    <row r="49" spans="1:9">
      <c r="A49" s="12"/>
      <c r="B49" s="12"/>
      <c r="C49" s="12"/>
      <c r="D49" s="12"/>
      <c r="E49" s="26"/>
      <c r="F49" s="26"/>
      <c r="G49" s="34"/>
      <c r="H49" s="29">
        <f t="shared" si="0"/>
        <v>-111492.65</v>
      </c>
      <c r="I49" s="54"/>
    </row>
    <row r="50" spans="1:9">
      <c r="A50" s="12"/>
      <c r="B50" s="12"/>
      <c r="C50" s="12"/>
      <c r="D50" s="12"/>
      <c r="E50" s="4"/>
      <c r="F50" s="26"/>
      <c r="G50" s="34"/>
      <c r="H50" s="29">
        <f t="shared" si="0"/>
        <v>-111492.65</v>
      </c>
      <c r="I50" s="54"/>
    </row>
    <row r="51" spans="1:9">
      <c r="A51" s="12"/>
      <c r="B51" s="20"/>
      <c r="C51" s="12"/>
      <c r="D51" s="12"/>
      <c r="E51" s="25"/>
      <c r="F51" s="26"/>
      <c r="G51" s="34"/>
      <c r="H51" s="29">
        <f t="shared" si="0"/>
        <v>-111492.65</v>
      </c>
      <c r="I51" s="54"/>
    </row>
    <row r="52" spans="1:9">
      <c r="A52" s="12"/>
      <c r="B52" s="12"/>
      <c r="C52" s="12"/>
      <c r="D52" s="12"/>
      <c r="E52" s="25"/>
      <c r="F52" s="42"/>
      <c r="G52" s="34"/>
      <c r="H52" s="80">
        <f t="shared" si="0"/>
        <v>-111492.65</v>
      </c>
      <c r="I52" s="54"/>
    </row>
    <row r="53" spans="1:9">
      <c r="A53" s="12"/>
      <c r="B53" s="20"/>
      <c r="C53" s="12"/>
      <c r="D53" s="12"/>
      <c r="E53" s="26"/>
      <c r="F53" s="26"/>
      <c r="G53" s="34"/>
      <c r="H53" s="29">
        <f t="shared" si="0"/>
        <v>-111492.65</v>
      </c>
      <c r="I53" s="54"/>
    </row>
    <row r="54" spans="1:9">
      <c r="A54" s="12"/>
      <c r="B54" s="20"/>
      <c r="C54" s="12"/>
      <c r="D54" s="12"/>
      <c r="E54" s="40"/>
      <c r="F54" s="26"/>
      <c r="G54" s="34"/>
      <c r="H54" s="29">
        <f t="shared" si="0"/>
        <v>-111492.65</v>
      </c>
      <c r="I54" s="54"/>
    </row>
    <row r="55" spans="1:9">
      <c r="A55" s="12"/>
      <c r="B55" s="12"/>
      <c r="C55" s="12"/>
      <c r="D55" s="12"/>
      <c r="E55" s="26"/>
      <c r="F55" s="26"/>
      <c r="G55" s="34"/>
      <c r="H55" s="29">
        <f t="shared" si="0"/>
        <v>-111492.65</v>
      </c>
      <c r="I55" s="54"/>
    </row>
    <row r="56" spans="1:9">
      <c r="A56" s="12"/>
      <c r="B56" s="12"/>
      <c r="C56" s="12"/>
      <c r="D56" s="12"/>
      <c r="E56" s="4"/>
      <c r="F56" s="26"/>
      <c r="G56" s="34"/>
      <c r="H56" s="29">
        <f t="shared" si="0"/>
        <v>-111492.65</v>
      </c>
      <c r="I56" s="54"/>
    </row>
    <row r="57" spans="1:9">
      <c r="A57" s="12"/>
      <c r="B57" s="20"/>
      <c r="C57" s="12"/>
      <c r="D57" s="12"/>
      <c r="E57" s="26"/>
      <c r="F57" s="26"/>
      <c r="G57" s="34"/>
      <c r="H57" s="29">
        <f t="shared" si="0"/>
        <v>-111492.65</v>
      </c>
      <c r="I57" s="54"/>
    </row>
    <row r="58" spans="1:9">
      <c r="A58" s="12"/>
      <c r="B58" s="20"/>
      <c r="C58" s="12"/>
      <c r="D58" s="12"/>
      <c r="E58" s="40"/>
      <c r="F58" s="26"/>
      <c r="G58" s="34"/>
      <c r="H58" s="29">
        <f t="shared" si="0"/>
        <v>-111492.65</v>
      </c>
      <c r="I58" s="54"/>
    </row>
    <row r="59" spans="1:9">
      <c r="A59" s="12"/>
      <c r="B59" s="12"/>
      <c r="C59" s="12"/>
      <c r="D59" s="12"/>
      <c r="E59" s="26"/>
      <c r="F59" s="26"/>
      <c r="G59" s="34"/>
      <c r="H59" s="29">
        <f t="shared" si="0"/>
        <v>-111492.65</v>
      </c>
      <c r="I59" s="54"/>
    </row>
    <row r="60" spans="1:9">
      <c r="A60" s="12"/>
      <c r="B60" s="12"/>
      <c r="C60" s="12"/>
      <c r="D60" s="12"/>
      <c r="E60" s="4"/>
      <c r="F60" s="26"/>
      <c r="G60" s="34"/>
      <c r="H60" s="29">
        <f t="shared" si="0"/>
        <v>-111492.65</v>
      </c>
      <c r="I60" s="54"/>
    </row>
    <row r="61" spans="1:9">
      <c r="A61" s="12"/>
      <c r="B61" s="20"/>
      <c r="C61" s="12"/>
      <c r="D61" s="12"/>
      <c r="E61" s="25"/>
      <c r="F61" s="26"/>
      <c r="G61" s="34"/>
      <c r="H61" s="29">
        <f t="shared" si="0"/>
        <v>-111492.65</v>
      </c>
      <c r="I61" s="54"/>
    </row>
    <row r="62" spans="1:9">
      <c r="A62" s="12"/>
      <c r="B62" s="20"/>
      <c r="C62" s="12"/>
      <c r="D62" s="12"/>
      <c r="E62" s="25"/>
      <c r="F62" s="26"/>
      <c r="G62" s="34"/>
      <c r="H62" s="29">
        <f t="shared" si="0"/>
        <v>-111492.65</v>
      </c>
      <c r="I62" s="54"/>
    </row>
    <row r="63" spans="1:9">
      <c r="A63" s="12"/>
      <c r="B63" s="20"/>
      <c r="C63" s="12"/>
      <c r="D63" s="12"/>
      <c r="E63" s="25"/>
      <c r="F63" s="26"/>
      <c r="G63" s="34"/>
      <c r="H63" s="29">
        <f t="shared" si="0"/>
        <v>-111492.65</v>
      </c>
      <c r="I63" s="54"/>
    </row>
    <row r="64" spans="1:9">
      <c r="A64" s="12"/>
      <c r="B64" s="20"/>
      <c r="C64" s="12"/>
      <c r="D64" s="12"/>
      <c r="E64" s="25"/>
      <c r="F64" s="26"/>
      <c r="G64" s="34"/>
      <c r="H64" s="29">
        <f t="shared" si="0"/>
        <v>-111492.65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-111492.65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-111492.65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-111492.65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-111492.65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-111492.65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-111492.65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-111492.65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128992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1">
    <mergeCell ref="A1:H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April 2021-22</vt:lpstr>
      <vt:lpstr>May 2021</vt:lpstr>
      <vt:lpstr>June 2021</vt:lpstr>
      <vt:lpstr>July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2020-12-22T05:58:15Z</cp:lastPrinted>
  <dcterms:created xsi:type="dcterms:W3CDTF">2017-04-20T06:09:09Z</dcterms:created>
  <dcterms:modified xsi:type="dcterms:W3CDTF">2021-10-01T06:56:41Z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