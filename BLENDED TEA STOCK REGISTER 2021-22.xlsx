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1" activeTab="6"/>
  </bookViews>
  <sheets>
    <sheet name="April 2021-22" sheetId="26" r:id="rId1"/>
    <sheet name="May 2021" sheetId="27" r:id="rId2"/>
    <sheet name="June 2021" sheetId="28" r:id="rId3"/>
    <sheet name="July 2021" sheetId="29" r:id="rId4"/>
    <sheet name="August 2021" sheetId="31" r:id="rId5"/>
    <sheet name="September 2021" sheetId="32" r:id="rId6"/>
    <sheet name="October 2021" sheetId="33" r:id="rId7"/>
  </sheets>
  <externalReferences>
    <externalReference r:id="rId8"/>
    <externalReference r:id="rId9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" i="33"/>
  <c r="E7"/>
  <c r="K42"/>
  <c r="G72" l="1"/>
  <c r="E72"/>
  <c r="K47"/>
  <c r="K45"/>
  <c r="K37"/>
  <c r="K32"/>
  <c r="K35" s="1"/>
  <c r="L27"/>
  <c r="K27"/>
  <c r="K22"/>
  <c r="K25" s="1"/>
  <c r="K17"/>
  <c r="K12"/>
  <c r="K15" s="1"/>
  <c r="F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F9" i="32"/>
  <c r="K3"/>
  <c r="K4" i="33" l="1"/>
  <c r="K6" s="1"/>
  <c r="K12" i="32"/>
  <c r="G72" l="1"/>
  <c r="F72"/>
  <c r="E72"/>
  <c r="L47"/>
  <c r="K47"/>
  <c r="K42"/>
  <c r="K45" s="1"/>
  <c r="K37"/>
  <c r="K32"/>
  <c r="K35" s="1"/>
  <c r="L27"/>
  <c r="K27"/>
  <c r="K22"/>
  <c r="K25" s="1"/>
  <c r="K17"/>
  <c r="K15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G5" i="31"/>
  <c r="K4" i="32" l="1"/>
  <c r="K6" s="1"/>
  <c r="G72" i="31"/>
  <c r="L47"/>
  <c r="K47"/>
  <c r="E72"/>
  <c r="K42"/>
  <c r="K45" s="1"/>
  <c r="K37"/>
  <c r="K32"/>
  <c r="K35" s="1"/>
  <c r="L27"/>
  <c r="K27"/>
  <c r="K22"/>
  <c r="K25" s="1"/>
  <c r="L17"/>
  <c r="K17" s="1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l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F72"/>
  <c r="K3" l="1"/>
  <c r="K6" s="1"/>
  <c r="G72" i="29" l="1"/>
  <c r="L47"/>
  <c r="K47"/>
  <c r="F46"/>
  <c r="F45"/>
  <c r="F44"/>
  <c r="F43"/>
  <c r="E43"/>
  <c r="E72" s="1"/>
  <c r="K42"/>
  <c r="K45" s="1"/>
  <c r="F41"/>
  <c r="K37"/>
  <c r="K35"/>
  <c r="F35"/>
  <c r="F34"/>
  <c r="F33"/>
  <c r="F72" s="1"/>
  <c r="K32"/>
  <c r="L27"/>
  <c r="K27"/>
  <c r="K22"/>
  <c r="K25" s="1"/>
  <c r="L17"/>
  <c r="K17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K3"/>
  <c r="F72" i="28"/>
  <c r="G72"/>
  <c r="K42"/>
  <c r="E37"/>
  <c r="E72" s="1"/>
  <c r="K12"/>
  <c r="K32"/>
  <c r="K6" i="29" l="1"/>
  <c r="K15" i="28"/>
  <c r="K22"/>
  <c r="K25" s="1"/>
  <c r="K35"/>
  <c r="K47"/>
  <c r="K45"/>
  <c r="K37"/>
  <c r="L27"/>
  <c r="K27" s="1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</calcChain>
</file>

<file path=xl/sharedStrings.xml><?xml version="1.0" encoding="utf-8"?>
<sst xmlns="http://schemas.openxmlformats.org/spreadsheetml/2006/main" count="740" uniqueCount="178">
  <si>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</si>
  <si>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</si>
  <si>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</si>
  <si>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</si>
  <si>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</si>
  <si>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</si>
  <si>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</si>
  <si>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</si>
  <si>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</si>
  <si>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</si>
  <si>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</si>
  <si>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</si>
  <si>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</si>
  <si>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</si>
  <si>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</si>
  <si>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</si>
  <si>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</si>
  <si>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</si>
  <si>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</si>
  <si>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</si>
  <si>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</si>
  <si>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</si>
  <si>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</si>
  <si>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</si>
  <si>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</si>
  <si>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</si>
  <si>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</si>
  <si>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</si>
  <si>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</si>
  <si>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</si>
  <si>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</si>
  <si>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</si>
  <si>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</si>
  <si>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</si>
  <si>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</si>
  <si>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</si>
  <si>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</si>
  <si>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</si>
  <si>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</si>
  <si>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</si>
  <si>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</si>
  <si>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</si>
  <si>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</si>
  <si>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</si>
  <si>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</si>
  <si>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</si>
  <si>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</si>
  <si>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</si>
  <si>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</si>
  <si>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</si>
  <si>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</si>
  <si>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</si>
  <si>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</si>
  <si>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</si>
  <si>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</si>
  <si>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</si>
  <si>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</si>
  <si>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</si>
  <si>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</si>
  <si>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</si>
  <si>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</si>
  <si>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</si>
  <si>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</si>
  <si>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</si>
  <si>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</si>
  <si>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</si>
  <si>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</si>
  <si>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</si>
  <si>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</si>
  <si>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</si>
  <si>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</si>
  <si>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</si>
  <si>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</si>
  <si>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</si>
  <si>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</si>
  <si>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</si>
  <si>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</si>
  <si>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</si>
  <si>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</si>
  <si>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</si>
  <si>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</si>
  <si>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</si>
  <si>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</si>
  <si>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</si>
  <si>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</si>
  <si>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</si>
  <si>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</si>
  <si>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</si>
  <si>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</si>
  <si>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</si>
  <si>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</si>
  <si>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</si>
  <si>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</si>
  <si>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</si>
  <si>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</si>
  <si>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</si>
  <si>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</si>
  <si>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</si>
  <si>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</si>
  <si>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</si>
  <si>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</si>
  <si>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</si>
  <si>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</si>
  <si>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</si>
  <si>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</si>
  <si>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</si>
  <si>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</si>
  <si>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</si>
  <si>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</si>
  <si>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</si>
  <si>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</si>
  <si>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</si>
  <si>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</si>
  <si>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</si>
  <si>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</si>
  <si>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</si>
  <si>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</si>
  <si>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</si>
  <si>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</si>
  <si>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</si>
  <si>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</si>
  <si>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</si>
  <si>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</si>
  <si>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</si>
  <si>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</si>
  <si>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</si>
  <si>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</si>
  <si>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</si>
  <si>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</si>
  <si>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</si>
  <si>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</si>
  <si>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</si>
  <si>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</si>
  <si>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</si>
  <si>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</si>
  <si>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</si>
  <si>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</si>
  <si>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</si>
  <si>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</si>
  <si>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</si>
  <si>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</si>
  <si>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</si>
  <si>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</si>
  <si>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</si>
  <si>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</si>
  <si>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</si>
  <si>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</si>
  <si>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</si>
  <si>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</si>
  <si>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</si>
  <si>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</si>
  <si>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</si>
  <si>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</si>
  <si>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</si>
  <si>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Gsl-07, 08, 09</t>
  </si>
  <si>
    <t>Gpl-02</t>
  </si>
  <si>
    <t>Gml-03</t>
  </si>
  <si>
    <t>Part no. 02, 03, 04, 05</t>
  </si>
  <si>
    <t>Gsl-07</t>
  </si>
  <si>
    <t>Part no. 01, 02, 03, 04, 05</t>
  </si>
  <si>
    <t>Gsl-08</t>
  </si>
  <si>
    <t>Gsl-09</t>
  </si>
  <si>
    <t>5Kg-03, 04, 05, 06</t>
  </si>
  <si>
    <t>5Kg-03</t>
  </si>
  <si>
    <t>5Kg-04</t>
  </si>
  <si>
    <t>5Kg-05</t>
  </si>
  <si>
    <t>5Kg-06</t>
  </si>
  <si>
    <t>Gsl-10</t>
  </si>
  <si>
    <t>01.08.2021</t>
  </si>
  <si>
    <t>02.08.2021</t>
  </si>
  <si>
    <t>01.09.2021</t>
  </si>
  <si>
    <t>Gsl-11</t>
  </si>
  <si>
    <t>Part no. 01</t>
  </si>
  <si>
    <t>Gml-04</t>
  </si>
  <si>
    <t>01.10.2021</t>
  </si>
  <si>
    <t>5Kg-07</t>
  </si>
  <si>
    <t>Part no. 01, 02</t>
  </si>
  <si>
    <t>Gsl-12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</si>
</sst>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164" fontId="7" fillId="2" borderId="2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taka/Desktop/New%20folder/excel-oct-edit/excel-oct-edit/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>
        <row r="15">
          <cell r="N15">
            <v>43031.329999999994</v>
          </cell>
        </row>
      </sheetData>
      <sheetData sheetId="2">
        <row r="15">
          <cell r="N15">
            <v>65372.87</v>
          </cell>
        </row>
      </sheetData>
      <sheetData sheetId="3"/>
      <sheetData sheetId="4">
        <row r="15">
          <cell r="N15">
            <v>104683.68</v>
          </cell>
        </row>
      </sheetData>
      <sheetData sheetId="5"/>
      <sheetData sheetId="6">
        <row r="15">
          <cell r="N15">
            <v>102356.81040000002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 refreshError="1"/>
      <sheetData sheetId="2" refreshError="1"/>
      <sheetData sheetId="3">
        <row r="15">
          <cell r="N15">
            <v>223476.00800000003</v>
          </cell>
        </row>
      </sheetData>
      <sheetData sheetId="4" refreshError="1"/>
      <sheetData sheetId="5">
        <row r="15">
          <cell r="N15">
            <v>69076.610400000005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zoomScaleNormal="100" workbookViewId="0">
      <selection activeCell="J13" sqref="J13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3" t="s">
        <v>15</v>
      </c>
      <c r="B1" s="83"/>
      <c r="C1" s="83"/>
      <c r="D1" s="83"/>
      <c r="E1" s="83"/>
      <c r="F1" s="83"/>
      <c r="G1" s="83"/>
      <c r="H1" s="83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59232.530000000006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34800.330000000009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17597.930000000011</v>
      </c>
      <c r="K29" t="s">
        <v>10</v>
      </c>
      <c r="L29" s="1">
        <f>H67+K41+K42+K49+K50+K57+K58+K65+K66</f>
        <v>83745.24000000002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26339.530000000013</v>
      </c>
      <c r="K31" s="84" t="s">
        <v>11</v>
      </c>
      <c r="L31" s="85">
        <f>L28-L29</f>
        <v>-1400.0000000000146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26486.940000000013</v>
      </c>
      <c r="K32" s="84"/>
      <c r="L32" s="85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21227.460000000014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21227.460000000014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21227.460000000014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21227.460000000014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21227.460000000014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21227.460000000014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21227.460000000014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21227.460000000014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21227.460000000014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21227.460000000014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21227.460000000014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21227.460000000014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21227.460000000014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21227.460000000014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21227.460000000014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21227.460000000014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21227.460000000014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21227.460000000014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21227.460000000014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21227.460000000014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21227.460000000014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21227.460000000014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21227.460000000014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21227.460000000014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/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59" zoomScaleNormal="100" workbookViewId="0">
      <selection sqref="A1:H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61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21227.46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24270.02</v>
      </c>
      <c r="I4" s="54"/>
      <c r="J4" s="76" t="s">
        <v>10</v>
      </c>
      <c r="K4" s="77">
        <f>H71+K15+K35+K25+K45</f>
        <v>44431.330000000009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21894.02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54"/>
      <c r="J6" s="87" t="s">
        <v>11</v>
      </c>
      <c r="K6" s="89">
        <f>K3-K4</f>
        <v>-1400.0000000000146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54"/>
      <c r="J7" s="88"/>
      <c r="K7" s="90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54"/>
      <c r="J11" s="57" t="s">
        <v>56</v>
      </c>
      <c r="K11" s="66">
        <v>35224</v>
      </c>
      <c r="L11" s="86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40743.019999999997</v>
      </c>
      <c r="I12" s="54"/>
      <c r="J12" s="51" t="s">
        <v>57</v>
      </c>
      <c r="K12" s="50">
        <f>K11/5</f>
        <v>7044.8</v>
      </c>
      <c r="L12" s="86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54"/>
      <c r="J13" s="51" t="s">
        <v>60</v>
      </c>
      <c r="K13" s="65">
        <v>4</v>
      </c>
      <c r="L13" s="86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54"/>
      <c r="J14" s="60"/>
      <c r="K14" s="61"/>
      <c r="L14" s="86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54"/>
      <c r="J15" s="63" t="s">
        <v>55</v>
      </c>
      <c r="K15" s="62">
        <f>K11-(K12*K13)</f>
        <v>7044.7999999999993</v>
      </c>
      <c r="L15" s="86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54"/>
      <c r="J21" s="57" t="s">
        <v>56</v>
      </c>
      <c r="K21" s="66">
        <v>12170.24</v>
      </c>
      <c r="L21" s="86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54"/>
      <c r="J22" s="51" t="s">
        <v>57</v>
      </c>
      <c r="K22" s="50">
        <f>K21/4</f>
        <v>3042.56</v>
      </c>
      <c r="L22" s="86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54"/>
      <c r="J23" s="51" t="s">
        <v>60</v>
      </c>
      <c r="K23" s="65">
        <v>2</v>
      </c>
      <c r="L23" s="86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54"/>
      <c r="J24" s="60"/>
      <c r="K24" s="61"/>
      <c r="L24" s="86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54"/>
      <c r="J25" s="63" t="s">
        <v>55</v>
      </c>
      <c r="K25" s="62">
        <f>K21-(K22*K23)</f>
        <v>6085.12</v>
      </c>
      <c r="L25" s="86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54"/>
      <c r="J31" s="57" t="s">
        <v>56</v>
      </c>
      <c r="K31" s="58">
        <v>16000.7</v>
      </c>
      <c r="L31" s="86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54"/>
      <c r="J32" s="51" t="s">
        <v>57</v>
      </c>
      <c r="K32" s="50">
        <f>K31/5</f>
        <v>3200.1400000000003</v>
      </c>
      <c r="L32" s="86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54"/>
      <c r="J33" s="51" t="s">
        <v>60</v>
      </c>
      <c r="K33" s="65">
        <v>2</v>
      </c>
      <c r="L33" s="86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54"/>
      <c r="J34" s="60"/>
      <c r="K34" s="61"/>
      <c r="L34" s="86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54"/>
      <c r="J35" s="63" t="s">
        <v>55</v>
      </c>
      <c r="K35" s="62">
        <f>K31-(K32*K33)</f>
        <v>9600.42</v>
      </c>
      <c r="L35" s="86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54"/>
      <c r="J41" s="57" t="s">
        <v>56</v>
      </c>
      <c r="K41" s="66">
        <f>21391.38</f>
        <v>21391.38</v>
      </c>
      <c r="L41" s="86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54"/>
      <c r="J42" s="51" t="s">
        <v>57</v>
      </c>
      <c r="K42" s="50">
        <f>K41/3</f>
        <v>7130.46</v>
      </c>
      <c r="L42" s="86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54"/>
      <c r="J43" s="51" t="s">
        <v>60</v>
      </c>
      <c r="K43" s="65">
        <v>3</v>
      </c>
      <c r="L43" s="86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54"/>
      <c r="J44" s="60"/>
      <c r="K44" s="61"/>
      <c r="L44" s="86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54"/>
      <c r="J45" s="63" t="s">
        <v>55</v>
      </c>
      <c r="K45" s="62">
        <f>K41-(K42*K43)</f>
        <v>0</v>
      </c>
      <c r="L45" s="86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opLeftCell="A38" zoomScaleNormal="100" workbookViewId="0">
      <selection activeCell="B43" sqref="B43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95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21700.99</v>
      </c>
      <c r="I3" s="54"/>
      <c r="J3" s="74" t="s">
        <v>9</v>
      </c>
      <c r="K3" s="75">
        <f>'[1]June 2021'!$N$15</f>
        <v>65372.87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28745.83</v>
      </c>
      <c r="I4" s="54"/>
      <c r="J4" s="76" t="s">
        <v>10</v>
      </c>
      <c r="K4" s="77">
        <f>H71+K15+K35+K25+K45</f>
        <v>66836.87000000001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52" si="0">H4+E5+F5-G5</f>
        <v>28886.730000000003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54"/>
      <c r="J6" s="87" t="s">
        <v>11</v>
      </c>
      <c r="K6" s="89">
        <f>K3-K4</f>
        <v>-1464.0000000000073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54"/>
      <c r="J7" s="88"/>
      <c r="K7" s="90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54"/>
      <c r="J11" s="57" t="s">
        <v>56</v>
      </c>
      <c r="K11" s="66">
        <v>37533.699999999997</v>
      </c>
      <c r="L11" s="86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32096.83</v>
      </c>
      <c r="I12" s="54"/>
      <c r="J12" s="51" t="s">
        <v>57</v>
      </c>
      <c r="K12" s="50">
        <f>K11/5</f>
        <v>7506.74</v>
      </c>
      <c r="L12" s="86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54"/>
      <c r="J13" s="51" t="s">
        <v>60</v>
      </c>
      <c r="K13" s="65">
        <v>1</v>
      </c>
      <c r="L13" s="86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54"/>
      <c r="J14" s="60"/>
      <c r="K14" s="61"/>
      <c r="L14" s="86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54"/>
      <c r="J15" s="63" t="s">
        <v>55</v>
      </c>
      <c r="K15" s="62">
        <f>K11-(K12*K13)</f>
        <v>30026.959999999999</v>
      </c>
      <c r="L15" s="86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54"/>
      <c r="J21" s="57" t="s">
        <v>56</v>
      </c>
      <c r="K21" s="66">
        <v>6085.12</v>
      </c>
      <c r="L21" s="86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54"/>
      <c r="J22" s="51" t="s">
        <v>57</v>
      </c>
      <c r="K22" s="50">
        <f>K21/2</f>
        <v>3042.56</v>
      </c>
      <c r="L22" s="86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54"/>
      <c r="J23" s="51" t="s">
        <v>60</v>
      </c>
      <c r="K23" s="65">
        <v>1</v>
      </c>
      <c r="L23" s="86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19235.010000000002</v>
      </c>
      <c r="I24" s="54"/>
      <c r="J24" s="60"/>
      <c r="K24" s="61"/>
      <c r="L24" s="86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16577.010000000002</v>
      </c>
      <c r="I25" s="54"/>
      <c r="J25" s="63" t="s">
        <v>55</v>
      </c>
      <c r="K25" s="62">
        <f>K21-(K22*K23)</f>
        <v>3042.56</v>
      </c>
      <c r="L25" s="86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24034.910000000003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22704.910000000003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16962.910000000003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13314.910000000003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20772.810000000005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17502.810000000005</v>
      </c>
      <c r="I31" s="54"/>
      <c r="J31" s="57" t="s">
        <v>56</v>
      </c>
      <c r="K31" s="58">
        <v>18585</v>
      </c>
      <c r="L31" s="86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15194.810000000005</v>
      </c>
      <c r="I32" s="54"/>
      <c r="J32" s="51" t="s">
        <v>57</v>
      </c>
      <c r="K32" s="50">
        <f>K31/5</f>
        <v>3717</v>
      </c>
      <c r="L32" s="86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10172.810000000005</v>
      </c>
      <c r="I33" s="54"/>
      <c r="J33" s="51" t="s">
        <v>60</v>
      </c>
      <c r="K33" s="65">
        <v>1</v>
      </c>
      <c r="L33" s="86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17630.710000000006</v>
      </c>
      <c r="I34" s="54"/>
      <c r="J34" s="60"/>
      <c r="K34" s="61"/>
      <c r="L34" s="86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15086.710000000006</v>
      </c>
      <c r="I35" s="54"/>
      <c r="J35" s="63" t="s">
        <v>55</v>
      </c>
      <c r="K35" s="62">
        <f>K31-(K32*K33)</f>
        <v>14868</v>
      </c>
      <c r="L35" s="86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8702.7100000000064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16168.910000000007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16309.810000000007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19352.370000000006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14484.370000000006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7790.3700000000063</v>
      </c>
      <c r="I41" s="54"/>
      <c r="J41" s="57" t="s">
        <v>56</v>
      </c>
      <c r="K41" s="66">
        <v>35320</v>
      </c>
      <c r="L41" s="86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14854.370000000006</v>
      </c>
      <c r="I42" s="54"/>
      <c r="J42" s="51" t="s">
        <v>57</v>
      </c>
      <c r="K42" s="50">
        <f>K41/5</f>
        <v>7064</v>
      </c>
      <c r="L42" s="86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8824.3700000000063</v>
      </c>
      <c r="I43" s="54"/>
      <c r="J43" s="51" t="s">
        <v>60</v>
      </c>
      <c r="K43" s="65">
        <v>5</v>
      </c>
      <c r="L43" s="86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15888.370000000006</v>
      </c>
      <c r="I44" s="54"/>
      <c r="J44" s="60"/>
      <c r="K44" s="61"/>
      <c r="L44" s="86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22952.370000000006</v>
      </c>
      <c r="I45" s="54"/>
      <c r="J45" s="63" t="s">
        <v>55</v>
      </c>
      <c r="K45" s="62">
        <f>K41-(K42*K43)</f>
        <v>0</v>
      </c>
      <c r="L45" s="86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23093.650000000005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15357.650000000005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11773.650000000005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15490.650000000005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22997.350000000006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18899.350000000006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18899.350000000006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18899.350000000006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1"/>
        <v>18899.350000000006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1"/>
        <v>18899.350000000006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1"/>
        <v>18899.350000000006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18899.350000000006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18899.350000000006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18899.350000000006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18899.350000000006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18899.350000000006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18899.350000000006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18899.350000000006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18899.350000000006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1"/>
        <v>18899.350000000006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1"/>
        <v>18899.350000000006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1"/>
        <v>18899.350000000006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1"/>
        <v>18899.350000000006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si="1"/>
        <v>18899.350000000006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18899.350000000006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18899.350000000006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5"/>
  <sheetViews>
    <sheetView topLeftCell="A28" zoomScaleNormal="100" workbookViewId="0">
      <selection activeCell="D34" sqref="D34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95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  <c r="J3" s="74" t="s">
        <v>9</v>
      </c>
      <c r="K3" s="75">
        <f>'[2]July 2021'!$N$15</f>
        <v>223476.00800000003</v>
      </c>
    </row>
    <row r="4" spans="1:12" ht="15.75" thickBot="1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 t="shared" ref="H4:H67" si="0">H3+E4+F4-G4</f>
        <v>14907.349999999999</v>
      </c>
      <c r="I4" s="54"/>
      <c r="J4" s="76" t="s">
        <v>10</v>
      </c>
      <c r="K4" s="77">
        <f>H71+K15+K35+K25+K45</f>
        <v>223798.19200000001</v>
      </c>
    </row>
    <row r="5" spans="1:12" ht="15.75" thickBot="1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si="0"/>
        <v>11523.349999999999</v>
      </c>
      <c r="I5" s="54"/>
      <c r="J5" s="78"/>
      <c r="K5" s="79"/>
    </row>
    <row r="6" spans="1:12" ht="15.75" customHeight="1" thickBot="1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  <c r="J6" s="87" t="s">
        <v>11</v>
      </c>
      <c r="K6" s="89">
        <f>K3-K4</f>
        <v>-322.18399999997928</v>
      </c>
    </row>
    <row r="7" spans="1:12" ht="15.75" customHeight="1" thickBot="1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  <c r="J7" s="88"/>
      <c r="K7" s="90"/>
    </row>
    <row r="8" spans="1:12" ht="15.75" thickBot="1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12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12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12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  <c r="J11" s="57" t="s">
        <v>56</v>
      </c>
      <c r="K11" s="66">
        <v>113109.9</v>
      </c>
      <c r="L11" s="86" t="s">
        <v>154</v>
      </c>
    </row>
    <row r="12" spans="1:12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  <c r="J12" s="51" t="s">
        <v>57</v>
      </c>
      <c r="K12" s="50">
        <f>K11/15</f>
        <v>7540.66</v>
      </c>
      <c r="L12" s="86"/>
    </row>
    <row r="13" spans="1:12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  <c r="J13" s="51" t="s">
        <v>60</v>
      </c>
      <c r="K13" s="65">
        <v>15</v>
      </c>
      <c r="L13" s="86"/>
    </row>
    <row r="14" spans="1:12" ht="15.75" customHeight="1" thickBo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  <c r="J14" s="60"/>
      <c r="K14" s="61"/>
      <c r="L14" s="86"/>
    </row>
    <row r="15" spans="1:12" ht="15.75" customHeight="1" thickBo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  <c r="J15" s="63" t="s">
        <v>55</v>
      </c>
      <c r="K15" s="62">
        <f>K11-(K12*K13)</f>
        <v>0</v>
      </c>
      <c r="L15" s="86"/>
    </row>
    <row r="16" spans="1:12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  <c r="J16" s="49"/>
      <c r="K16" s="49"/>
      <c r="L16" s="73" t="s">
        <v>75</v>
      </c>
    </row>
    <row r="17" spans="1:12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  <c r="J17" s="56" t="s">
        <v>58</v>
      </c>
      <c r="K17" s="66">
        <f>L17*0.4%</f>
        <v>452.43960000000004</v>
      </c>
      <c r="L17" s="73">
        <f>37522.3+37929.3+37658.3</f>
        <v>113109.90000000001</v>
      </c>
    </row>
    <row r="18" spans="1:12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  <c r="J18" s="49"/>
      <c r="K18" s="49"/>
      <c r="L18" s="72"/>
    </row>
    <row r="19" spans="1:12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12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12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  <c r="J21" s="57" t="s">
        <v>56</v>
      </c>
      <c r="K21" s="66">
        <v>18143.8</v>
      </c>
      <c r="L21" s="86" t="s">
        <v>155</v>
      </c>
    </row>
    <row r="22" spans="1:12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  <c r="J22" s="51" t="s">
        <v>57</v>
      </c>
      <c r="K22" s="50">
        <f>K21/5</f>
        <v>3628.7599999999998</v>
      </c>
      <c r="L22" s="86"/>
    </row>
    <row r="23" spans="1:12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  <c r="J23" s="51" t="s">
        <v>60</v>
      </c>
      <c r="K23" s="65">
        <v>5</v>
      </c>
      <c r="L23" s="86"/>
    </row>
    <row r="24" spans="1:12" ht="15.75" customHeight="1" thickBo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  <c r="J24" s="60"/>
      <c r="K24" s="61"/>
      <c r="L24" s="86"/>
    </row>
    <row r="25" spans="1:12" ht="15.75" customHeight="1" thickBo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  <c r="J25" s="63" t="s">
        <v>55</v>
      </c>
      <c r="K25" s="62">
        <f>K21-(K22*K23)</f>
        <v>0</v>
      </c>
      <c r="L25" s="86"/>
    </row>
    <row r="26" spans="1:12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  <c r="J26" s="49"/>
      <c r="K26" s="49"/>
      <c r="L26" s="73" t="s">
        <v>75</v>
      </c>
    </row>
    <row r="27" spans="1:12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  <c r="J27" s="56" t="s">
        <v>58</v>
      </c>
      <c r="K27" s="66">
        <f>L27*0.4%</f>
        <v>72.575199999999995</v>
      </c>
      <c r="L27" s="73">
        <f>18143.8</f>
        <v>18143.8</v>
      </c>
    </row>
    <row r="28" spans="1:12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  <c r="J28" s="49"/>
      <c r="K28" s="49"/>
      <c r="L28" s="72"/>
    </row>
    <row r="29" spans="1:12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  <c r="J31" s="57" t="s">
        <v>56</v>
      </c>
      <c r="K31" s="58">
        <v>9214.7999999999993</v>
      </c>
      <c r="L31" s="86" t="s">
        <v>156</v>
      </c>
    </row>
    <row r="32" spans="1:12" ht="15" customHeight="1">
      <c r="A32" s="12"/>
      <c r="B32" s="12" t="s">
        <v>21</v>
      </c>
      <c r="C32" s="12" t="s">
        <v>122</v>
      </c>
      <c r="D32" s="12" t="s">
        <v>157</v>
      </c>
      <c r="E32" s="26">
        <v>30026.959999999999</v>
      </c>
      <c r="F32" s="26">
        <v>150.13</v>
      </c>
      <c r="G32" s="34"/>
      <c r="H32" s="29">
        <f t="shared" si="0"/>
        <v>-81315.56</v>
      </c>
      <c r="I32" s="54"/>
      <c r="J32" s="51" t="s">
        <v>57</v>
      </c>
      <c r="K32" s="50">
        <f>K31/5</f>
        <v>1842.9599999999998</v>
      </c>
      <c r="L32" s="86"/>
    </row>
    <row r="33" spans="1:16" ht="15" customHeight="1">
      <c r="A33" s="12"/>
      <c r="B33" s="12" t="s">
        <v>21</v>
      </c>
      <c r="C33" s="12" t="s">
        <v>158</v>
      </c>
      <c r="D33" s="12" t="s">
        <v>159</v>
      </c>
      <c r="E33" s="4">
        <v>37522.300000000003</v>
      </c>
      <c r="F33" s="26">
        <f>E33*0.4%</f>
        <v>150.08920000000001</v>
      </c>
      <c r="G33" s="34"/>
      <c r="H33" s="29">
        <f t="shared" si="0"/>
        <v>-43643.170799999993</v>
      </c>
      <c r="I33" s="54"/>
      <c r="J33" s="51" t="s">
        <v>60</v>
      </c>
      <c r="K33" s="65">
        <v>5</v>
      </c>
      <c r="L33" s="86"/>
    </row>
    <row r="34" spans="1:16" ht="15.75" customHeight="1" thickBot="1">
      <c r="A34" s="12"/>
      <c r="B34" s="12" t="s">
        <v>21</v>
      </c>
      <c r="C34" s="12" t="s">
        <v>160</v>
      </c>
      <c r="D34" s="12" t="s">
        <v>159</v>
      </c>
      <c r="E34" s="4">
        <v>37929.300000000003</v>
      </c>
      <c r="F34" s="26">
        <f>E34*0.4%</f>
        <v>151.71720000000002</v>
      </c>
      <c r="G34" s="34"/>
      <c r="H34" s="29">
        <f t="shared" si="0"/>
        <v>-5562.1535999999896</v>
      </c>
      <c r="I34" s="54"/>
      <c r="J34" s="60"/>
      <c r="K34" s="61"/>
      <c r="L34" s="86"/>
    </row>
    <row r="35" spans="1:16" ht="15.75" customHeight="1" thickBot="1">
      <c r="A35" s="12"/>
      <c r="B35" s="12" t="s">
        <v>21</v>
      </c>
      <c r="C35" s="12" t="s">
        <v>161</v>
      </c>
      <c r="D35" s="12" t="s">
        <v>159</v>
      </c>
      <c r="E35" s="4">
        <v>37658.300000000003</v>
      </c>
      <c r="F35" s="26">
        <f>E35*0.4%</f>
        <v>150.63320000000002</v>
      </c>
      <c r="G35" s="34"/>
      <c r="H35" s="29">
        <f t="shared" si="0"/>
        <v>32246.779600000013</v>
      </c>
      <c r="I35" s="54"/>
      <c r="J35" s="63" t="s">
        <v>55</v>
      </c>
      <c r="K35" s="62">
        <f>K31-(K32*K33)</f>
        <v>0</v>
      </c>
      <c r="L35" s="86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32246.779600000013</v>
      </c>
      <c r="I36" s="54"/>
      <c r="J36" s="49"/>
      <c r="K36" s="49"/>
      <c r="L36" s="73" t="s">
        <v>75</v>
      </c>
    </row>
    <row r="37" spans="1:16" ht="15.75" customHeight="1">
      <c r="A37" s="12"/>
      <c r="B37" s="12" t="s">
        <v>21</v>
      </c>
      <c r="C37" s="12" t="s">
        <v>49</v>
      </c>
      <c r="D37" s="12" t="s">
        <v>68</v>
      </c>
      <c r="E37" s="4">
        <v>3042.56</v>
      </c>
      <c r="F37" s="26">
        <v>60.85</v>
      </c>
      <c r="G37" s="34"/>
      <c r="H37" s="29">
        <f t="shared" si="0"/>
        <v>35350.189600000012</v>
      </c>
      <c r="I37" s="54"/>
      <c r="J37" s="56" t="s">
        <v>58</v>
      </c>
      <c r="K37" s="59">
        <f>L37*0.4%</f>
        <v>36.859200000000001</v>
      </c>
      <c r="L37" s="73">
        <v>9214.7999999999993</v>
      </c>
      <c r="P37" s="1"/>
    </row>
    <row r="38" spans="1:16" ht="15" customHeight="1">
      <c r="A38" s="12"/>
      <c r="B38" s="12" t="s">
        <v>21</v>
      </c>
      <c r="C38" s="12" t="s">
        <v>155</v>
      </c>
      <c r="D38" s="12" t="s">
        <v>159</v>
      </c>
      <c r="E38" s="4">
        <v>18143.8</v>
      </c>
      <c r="F38" s="26">
        <v>72.58</v>
      </c>
      <c r="G38" s="34"/>
      <c r="H38" s="29">
        <f t="shared" si="0"/>
        <v>53566.569600000017</v>
      </c>
      <c r="I38" s="54"/>
      <c r="J38" s="49"/>
      <c r="K38" s="49"/>
      <c r="L38" s="72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53566.569600000017</v>
      </c>
      <c r="I39" s="54"/>
      <c r="K39" s="10"/>
    </row>
    <row r="40" spans="1:16">
      <c r="A40" s="12"/>
      <c r="B40" s="12" t="s">
        <v>21</v>
      </c>
      <c r="C40" s="12" t="s">
        <v>112</v>
      </c>
      <c r="D40" s="12" t="s">
        <v>157</v>
      </c>
      <c r="E40" s="4">
        <v>14868</v>
      </c>
      <c r="F40" s="26">
        <v>74.34</v>
      </c>
      <c r="G40" s="34"/>
      <c r="H40" s="29">
        <f t="shared" si="0"/>
        <v>68508.909600000014</v>
      </c>
      <c r="I40" s="54"/>
      <c r="K40" s="10"/>
    </row>
    <row r="41" spans="1:16" ht="15" customHeight="1">
      <c r="A41" s="12"/>
      <c r="B41" s="12" t="s">
        <v>21</v>
      </c>
      <c r="C41" s="12" t="s">
        <v>156</v>
      </c>
      <c r="D41" s="12" t="s">
        <v>159</v>
      </c>
      <c r="E41" s="4">
        <v>9214.7999999999993</v>
      </c>
      <c r="F41" s="26">
        <f>E41*0.4%</f>
        <v>36.859200000000001</v>
      </c>
      <c r="G41" s="34"/>
      <c r="H41" s="29">
        <f t="shared" si="0"/>
        <v>77760.568800000023</v>
      </c>
      <c r="I41" s="54"/>
      <c r="J41" s="57" t="s">
        <v>56</v>
      </c>
      <c r="K41" s="66">
        <v>145455.79999999999</v>
      </c>
      <c r="L41" s="86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77760.568800000023</v>
      </c>
      <c r="I42" s="54"/>
      <c r="J42" s="51" t="s">
        <v>57</v>
      </c>
      <c r="K42" s="50">
        <f>K41/20</f>
        <v>7272.7899999999991</v>
      </c>
      <c r="L42" s="86"/>
    </row>
    <row r="43" spans="1:16" ht="15.75" customHeight="1">
      <c r="A43" s="12"/>
      <c r="B43" s="12" t="s">
        <v>21</v>
      </c>
      <c r="C43" s="12" t="s">
        <v>163</v>
      </c>
      <c r="D43" s="12" t="s">
        <v>159</v>
      </c>
      <c r="E43" s="4">
        <f>35881-28</f>
        <v>35853</v>
      </c>
      <c r="F43" s="26">
        <f>E43*0.4%</f>
        <v>143.41200000000001</v>
      </c>
      <c r="G43" s="34"/>
      <c r="H43" s="29">
        <f t="shared" si="0"/>
        <v>113756.98080000002</v>
      </c>
      <c r="I43" s="54"/>
      <c r="J43" s="51" t="s">
        <v>60</v>
      </c>
      <c r="K43" s="65">
        <v>20</v>
      </c>
      <c r="L43" s="86"/>
    </row>
    <row r="44" spans="1:16" ht="15.75" customHeight="1" thickBot="1">
      <c r="A44" s="12"/>
      <c r="B44" s="12" t="s">
        <v>21</v>
      </c>
      <c r="C44" s="12" t="s">
        <v>164</v>
      </c>
      <c r="D44" s="12" t="s">
        <v>159</v>
      </c>
      <c r="E44" s="4">
        <v>37721.5</v>
      </c>
      <c r="F44" s="26">
        <f t="shared" ref="F44:F46" si="1">E44*0.4%</f>
        <v>150.886</v>
      </c>
      <c r="G44" s="34"/>
      <c r="H44" s="29">
        <f t="shared" si="0"/>
        <v>151629.36680000002</v>
      </c>
      <c r="I44" s="54"/>
      <c r="J44" s="60"/>
      <c r="K44" s="61"/>
      <c r="L44" s="86"/>
    </row>
    <row r="45" spans="1:16" ht="15.75" customHeight="1" thickBot="1">
      <c r="A45" s="12"/>
      <c r="B45" s="12" t="s">
        <v>21</v>
      </c>
      <c r="C45" s="12" t="s">
        <v>165</v>
      </c>
      <c r="D45" s="12" t="s">
        <v>159</v>
      </c>
      <c r="E45" s="4">
        <v>35956.5</v>
      </c>
      <c r="F45" s="26">
        <f t="shared" si="1"/>
        <v>143.82599999999999</v>
      </c>
      <c r="G45" s="34"/>
      <c r="H45" s="29">
        <f t="shared" si="0"/>
        <v>187729.69280000002</v>
      </c>
      <c r="I45" s="54"/>
      <c r="J45" s="63" t="s">
        <v>55</v>
      </c>
      <c r="K45" s="62">
        <f>K41-(K42*K43)</f>
        <v>0</v>
      </c>
      <c r="L45" s="86"/>
    </row>
    <row r="46" spans="1:16" ht="15" customHeight="1">
      <c r="A46" s="12"/>
      <c r="B46" s="12" t="s">
        <v>21</v>
      </c>
      <c r="C46" s="12" t="s">
        <v>166</v>
      </c>
      <c r="D46" s="12" t="s">
        <v>159</v>
      </c>
      <c r="E46" s="4">
        <v>35924.800000000003</v>
      </c>
      <c r="F46" s="26">
        <f t="shared" si="1"/>
        <v>143.69920000000002</v>
      </c>
      <c r="G46" s="34"/>
      <c r="H46" s="29">
        <f t="shared" si="0"/>
        <v>223798.19200000001</v>
      </c>
      <c r="I46" s="54"/>
      <c r="J46" s="49"/>
      <c r="K46" s="49"/>
      <c r="L46" s="7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223798.19200000001</v>
      </c>
      <c r="I47" s="54"/>
      <c r="J47" s="56" t="s">
        <v>58</v>
      </c>
      <c r="K47" s="59">
        <f>L47*0.4%</f>
        <v>581.82319999999993</v>
      </c>
      <c r="L47" s="7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223798.19200000001</v>
      </c>
      <c r="I48" s="54"/>
      <c r="J48" s="49"/>
      <c r="K48" s="49"/>
      <c r="L48" s="72"/>
    </row>
    <row r="49" spans="1:13" ht="15.75">
      <c r="A49" s="12"/>
      <c r="B49" s="12"/>
      <c r="C49" s="12"/>
      <c r="D49" s="12"/>
      <c r="E49" s="82"/>
      <c r="F49" s="26"/>
      <c r="G49" s="34"/>
      <c r="H49" s="29">
        <f t="shared" si="0"/>
        <v>223798.19200000001</v>
      </c>
      <c r="I49" s="54"/>
    </row>
    <row r="50" spans="1:13" ht="15.75">
      <c r="A50" s="12"/>
      <c r="B50" s="12"/>
      <c r="C50" s="12"/>
      <c r="D50" s="12"/>
      <c r="E50" s="82"/>
      <c r="F50" s="26"/>
      <c r="G50" s="34"/>
      <c r="H50" s="29">
        <f t="shared" si="0"/>
        <v>223798.19200000001</v>
      </c>
      <c r="I50" s="54"/>
    </row>
    <row r="51" spans="1:13" ht="15.75">
      <c r="A51" s="12"/>
      <c r="B51" s="20"/>
      <c r="C51" s="12"/>
      <c r="D51" s="12"/>
      <c r="E51" s="82"/>
      <c r="F51" s="26"/>
      <c r="G51" s="34"/>
      <c r="H51" s="29">
        <f t="shared" si="0"/>
        <v>223798.19200000001</v>
      </c>
      <c r="I51" s="54"/>
    </row>
    <row r="52" spans="1:13" ht="15.75">
      <c r="A52" s="12"/>
      <c r="B52" s="12"/>
      <c r="C52" s="12"/>
      <c r="D52" s="12"/>
      <c r="E52" s="82"/>
      <c r="F52" s="42"/>
      <c r="G52" s="34"/>
      <c r="H52" s="29">
        <f t="shared" si="0"/>
        <v>223798.19200000001</v>
      </c>
      <c r="I52" s="54"/>
      <c r="J52" s="64"/>
      <c r="K52" s="64"/>
      <c r="L52" s="64"/>
      <c r="M52" s="64"/>
    </row>
    <row r="53" spans="1:13" ht="15.75">
      <c r="A53" s="12"/>
      <c r="B53" s="20"/>
      <c r="C53" s="12"/>
      <c r="D53" s="12"/>
      <c r="E53" s="82"/>
      <c r="F53" s="26"/>
      <c r="G53" s="34"/>
      <c r="H53" s="29">
        <f t="shared" si="0"/>
        <v>223798.19200000001</v>
      </c>
      <c r="I53" s="54"/>
      <c r="J53" s="64"/>
      <c r="K53" s="64"/>
      <c r="L53" s="64"/>
      <c r="M53" s="64"/>
    </row>
    <row r="54" spans="1:13" ht="15.75">
      <c r="A54" s="12"/>
      <c r="B54" s="20"/>
      <c r="C54" s="12"/>
      <c r="D54" s="12"/>
      <c r="E54" s="82"/>
      <c r="F54" s="26"/>
      <c r="G54" s="34"/>
      <c r="H54" s="29">
        <f t="shared" si="0"/>
        <v>223798.19200000001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223798.19200000001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223798.19200000001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223798.19200000001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223798.19200000001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223798.19200000001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223798.19200000001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223798.19200000001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223798.19200000001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223798.19200000001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223798.19200000001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223798.19200000001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223798.19200000001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223798.19200000001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ref="H68:H71" si="2">H67+E68+F68-G68</f>
        <v>223798.19200000001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si="2"/>
        <v>223798.19200000001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2"/>
        <v>223798.19200000001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2"/>
        <v>223798.19200000001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333861.82</v>
      </c>
      <c r="F72" s="39">
        <f>SUM(F3:F71)</f>
        <v>1429.0220000000002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95"/>
  <sheetViews>
    <sheetView zoomScaleNormal="100" workbookViewId="0">
      <selection activeCell="G5" sqref="G5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95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168</v>
      </c>
      <c r="B3" s="19" t="s">
        <v>8</v>
      </c>
      <c r="C3" s="22"/>
      <c r="D3" s="3"/>
      <c r="E3" s="2"/>
      <c r="F3" s="71"/>
      <c r="G3" s="67"/>
      <c r="H3" s="30">
        <v>223798.19</v>
      </c>
      <c r="I3" s="54"/>
      <c r="J3" s="74" t="s">
        <v>9</v>
      </c>
      <c r="K3" s="75">
        <f>'[1]August 2021'!$N$15</f>
        <v>104683.68</v>
      </c>
    </row>
    <row r="4" spans="1:12" ht="15.75" thickBot="1">
      <c r="A4" s="18" t="s">
        <v>169</v>
      </c>
      <c r="B4" s="20" t="s">
        <v>25</v>
      </c>
      <c r="C4" s="12"/>
      <c r="D4" s="12"/>
      <c r="E4" s="4"/>
      <c r="F4" s="71"/>
      <c r="G4" s="34"/>
      <c r="H4" s="29">
        <f t="shared" ref="H4:H67" si="0">H3+E4+F4-G4</f>
        <v>223798.19</v>
      </c>
      <c r="I4" s="54"/>
      <c r="J4" s="76" t="s">
        <v>10</v>
      </c>
      <c r="K4" s="77">
        <f>H71+K15+K35+K25+K45</f>
        <v>104978.19</v>
      </c>
    </row>
    <row r="5" spans="1:12" ht="15.75" thickBot="1">
      <c r="A5" s="81"/>
      <c r="B5" s="20"/>
      <c r="C5" s="12"/>
      <c r="D5" s="12"/>
      <c r="E5" s="4"/>
      <c r="F5" s="71"/>
      <c r="G5" s="34">
        <f>118820</f>
        <v>118820</v>
      </c>
      <c r="H5" s="29">
        <f t="shared" si="0"/>
        <v>104978.19</v>
      </c>
      <c r="I5" s="54"/>
      <c r="J5" s="78"/>
      <c r="K5" s="79"/>
    </row>
    <row r="6" spans="1:12" ht="15.75" customHeight="1" thickBot="1">
      <c r="A6" s="81"/>
      <c r="B6" s="20"/>
      <c r="C6" s="12"/>
      <c r="D6" s="12"/>
      <c r="E6" s="4"/>
      <c r="F6" s="26"/>
      <c r="G6" s="34"/>
      <c r="H6" s="29">
        <f t="shared" si="0"/>
        <v>104978.19</v>
      </c>
      <c r="I6" s="54"/>
      <c r="J6" s="87" t="s">
        <v>11</v>
      </c>
      <c r="K6" s="89">
        <f>K3-K4</f>
        <v>-294.51000000000931</v>
      </c>
    </row>
    <row r="7" spans="1:12" ht="15.75" customHeight="1" thickBot="1">
      <c r="A7" s="81"/>
      <c r="B7" s="20"/>
      <c r="C7" s="12"/>
      <c r="D7" s="12"/>
      <c r="E7" s="26"/>
      <c r="F7" s="26"/>
      <c r="G7" s="34"/>
      <c r="H7" s="29">
        <f t="shared" si="0"/>
        <v>104978.19</v>
      </c>
      <c r="I7" s="54"/>
      <c r="J7" s="88"/>
      <c r="K7" s="90"/>
    </row>
    <row r="8" spans="1:12" ht="15.75" thickBot="1">
      <c r="A8" s="81"/>
      <c r="B8" s="20"/>
      <c r="C8" s="12"/>
      <c r="D8" s="12"/>
      <c r="E8" s="26"/>
      <c r="F8" s="26"/>
      <c r="G8" s="34"/>
      <c r="H8" s="29">
        <f t="shared" si="0"/>
        <v>104978.19</v>
      </c>
      <c r="I8" s="54"/>
    </row>
    <row r="9" spans="1:12">
      <c r="A9" s="81"/>
      <c r="B9" s="20"/>
      <c r="C9" s="12"/>
      <c r="D9" s="12"/>
      <c r="E9" s="4"/>
      <c r="F9" s="26"/>
      <c r="G9" s="34"/>
      <c r="H9" s="29">
        <f t="shared" si="0"/>
        <v>104978.19</v>
      </c>
      <c r="I9" s="54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104978.19</v>
      </c>
      <c r="I10" s="54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104978.19</v>
      </c>
      <c r="I11" s="54"/>
      <c r="J11" s="57" t="s">
        <v>56</v>
      </c>
      <c r="K11" s="66">
        <v>113109.9</v>
      </c>
      <c r="L11" s="86" t="s">
        <v>154</v>
      </c>
    </row>
    <row r="12" spans="1:12" ht="15" customHeight="1">
      <c r="A12" s="12"/>
      <c r="B12" s="20"/>
      <c r="C12" s="12"/>
      <c r="D12" s="12"/>
      <c r="E12" s="4"/>
      <c r="F12" s="71"/>
      <c r="G12" s="34"/>
      <c r="H12" s="29">
        <f t="shared" si="0"/>
        <v>104978.19</v>
      </c>
      <c r="I12" s="54"/>
      <c r="J12" s="51" t="s">
        <v>57</v>
      </c>
      <c r="K12" s="50">
        <f>K11/15</f>
        <v>7540.66</v>
      </c>
      <c r="L12" s="86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104978.19</v>
      </c>
      <c r="I13" s="54"/>
      <c r="J13" s="51" t="s">
        <v>60</v>
      </c>
      <c r="K13" s="65">
        <v>15</v>
      </c>
      <c r="L13" s="86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104978.19</v>
      </c>
      <c r="I14" s="54"/>
      <c r="J14" s="60"/>
      <c r="K14" s="61"/>
      <c r="L14" s="86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104978.19</v>
      </c>
      <c r="I15" s="54"/>
      <c r="J15" s="63" t="s">
        <v>55</v>
      </c>
      <c r="K15" s="62">
        <f>K11-(K12*K13)</f>
        <v>0</v>
      </c>
      <c r="L15" s="86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104978.19</v>
      </c>
      <c r="I16" s="54"/>
      <c r="J16" s="49"/>
      <c r="K16" s="49"/>
      <c r="L16" s="73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104978.19</v>
      </c>
      <c r="I17" s="54"/>
      <c r="J17" s="56" t="s">
        <v>58</v>
      </c>
      <c r="K17" s="66">
        <f>L17*0.4%</f>
        <v>452.43960000000004</v>
      </c>
      <c r="L17" s="73">
        <f>37522.3+37929.3+37658.3</f>
        <v>113109.90000000001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104978.19</v>
      </c>
      <c r="I18" s="54"/>
      <c r="J18" s="49"/>
      <c r="K18" s="49"/>
      <c r="L18" s="72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104978.19</v>
      </c>
      <c r="I19" s="54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104978.19</v>
      </c>
      <c r="I20" s="54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104978.19</v>
      </c>
      <c r="I21" s="54"/>
      <c r="J21" s="57" t="s">
        <v>56</v>
      </c>
      <c r="K21" s="66">
        <v>18143.8</v>
      </c>
      <c r="L21" s="8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104978.19</v>
      </c>
      <c r="I22" s="54"/>
      <c r="J22" s="51" t="s">
        <v>57</v>
      </c>
      <c r="K22" s="50">
        <f>K21/5</f>
        <v>3628.7599999999998</v>
      </c>
      <c r="L22" s="86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104978.19</v>
      </c>
      <c r="I23" s="54"/>
      <c r="J23" s="51" t="s">
        <v>60</v>
      </c>
      <c r="K23" s="65">
        <v>5</v>
      </c>
      <c r="L23" s="86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104978.19</v>
      </c>
      <c r="I24" s="54"/>
      <c r="J24" s="60"/>
      <c r="K24" s="61"/>
      <c r="L24" s="86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104978.19</v>
      </c>
      <c r="I25" s="54"/>
      <c r="J25" s="63" t="s">
        <v>55</v>
      </c>
      <c r="K25" s="62">
        <f>K21-(K22*K23)</f>
        <v>0</v>
      </c>
      <c r="L25" s="86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104978.19</v>
      </c>
      <c r="I26" s="54"/>
      <c r="J26" s="49"/>
      <c r="K26" s="49"/>
      <c r="L26" s="73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104978.19</v>
      </c>
      <c r="I27" s="54"/>
      <c r="J27" s="56" t="s">
        <v>58</v>
      </c>
      <c r="K27" s="66">
        <f>L27*0.4%</f>
        <v>72.575199999999995</v>
      </c>
      <c r="L27" s="73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104978.19</v>
      </c>
      <c r="I28" s="54"/>
      <c r="J28" s="49"/>
      <c r="K28" s="49"/>
      <c r="L28" s="72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104978.19</v>
      </c>
      <c r="I29" s="54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104978.19</v>
      </c>
      <c r="I30" s="54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104978.19</v>
      </c>
      <c r="I31" s="54"/>
      <c r="J31" s="57" t="s">
        <v>56</v>
      </c>
      <c r="K31" s="58">
        <v>9214.7999999999993</v>
      </c>
      <c r="L31" s="86" t="s">
        <v>156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104978.19</v>
      </c>
      <c r="I32" s="54"/>
      <c r="J32" s="51" t="s">
        <v>57</v>
      </c>
      <c r="K32" s="50">
        <f>K31/5</f>
        <v>1842.9599999999998</v>
      </c>
      <c r="L32" s="86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104978.19</v>
      </c>
      <c r="I33" s="54"/>
      <c r="J33" s="51" t="s">
        <v>60</v>
      </c>
      <c r="K33" s="65">
        <v>5</v>
      </c>
      <c r="L33" s="86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104978.19</v>
      </c>
      <c r="I34" s="54"/>
      <c r="J34" s="60"/>
      <c r="K34" s="61"/>
      <c r="L34" s="86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104978.19</v>
      </c>
      <c r="I35" s="54"/>
      <c r="J35" s="63" t="s">
        <v>55</v>
      </c>
      <c r="K35" s="62">
        <f>K31-(K32*K33)</f>
        <v>0</v>
      </c>
      <c r="L35" s="86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104978.19</v>
      </c>
      <c r="I36" s="54"/>
      <c r="J36" s="49"/>
      <c r="K36" s="49"/>
      <c r="L36" s="73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104978.19</v>
      </c>
      <c r="I37" s="54"/>
      <c r="J37" s="56" t="s">
        <v>58</v>
      </c>
      <c r="K37" s="59">
        <f>L37*0.4%</f>
        <v>36.859200000000001</v>
      </c>
      <c r="L37" s="73">
        <v>9214.7999999999993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104978.19</v>
      </c>
      <c r="I38" s="54"/>
      <c r="J38" s="49"/>
      <c r="K38" s="49"/>
      <c r="L38" s="72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104978.19</v>
      </c>
      <c r="I39" s="54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104978.19</v>
      </c>
      <c r="I40" s="54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104978.19</v>
      </c>
      <c r="I41" s="54"/>
      <c r="J41" s="57" t="s">
        <v>56</v>
      </c>
      <c r="K41" s="66">
        <v>145455.79999999999</v>
      </c>
      <c r="L41" s="86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104978.19</v>
      </c>
      <c r="I42" s="54"/>
      <c r="J42" s="51" t="s">
        <v>57</v>
      </c>
      <c r="K42" s="50">
        <f>K41/20</f>
        <v>7272.7899999999991</v>
      </c>
      <c r="L42" s="86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104978.19</v>
      </c>
      <c r="I43" s="54"/>
      <c r="J43" s="51" t="s">
        <v>60</v>
      </c>
      <c r="K43" s="65">
        <v>20</v>
      </c>
      <c r="L43" s="86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104978.19</v>
      </c>
      <c r="I44" s="54"/>
      <c r="J44" s="60"/>
      <c r="K44" s="61"/>
      <c r="L44" s="86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104978.19</v>
      </c>
      <c r="I45" s="54"/>
      <c r="J45" s="63" t="s">
        <v>55</v>
      </c>
      <c r="K45" s="62">
        <f>K41-(K42*K43)</f>
        <v>0</v>
      </c>
      <c r="L45" s="86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104978.19</v>
      </c>
      <c r="I46" s="54"/>
      <c r="J46" s="49"/>
      <c r="K46" s="49"/>
      <c r="L46" s="7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104978.19</v>
      </c>
      <c r="I47" s="54"/>
      <c r="J47" s="56" t="s">
        <v>58</v>
      </c>
      <c r="K47" s="59">
        <f>L47*0.4%</f>
        <v>581.82319999999993</v>
      </c>
      <c r="L47" s="7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104978.19</v>
      </c>
      <c r="I48" s="54"/>
      <c r="J48" s="49"/>
      <c r="K48" s="49"/>
      <c r="L48" s="72"/>
    </row>
    <row r="49" spans="1:13" ht="15.75">
      <c r="A49" s="12"/>
      <c r="B49" s="12"/>
      <c r="C49" s="12"/>
      <c r="D49" s="12"/>
      <c r="E49" s="82"/>
      <c r="F49" s="26"/>
      <c r="G49" s="34"/>
      <c r="H49" s="29">
        <f t="shared" si="0"/>
        <v>104978.19</v>
      </c>
      <c r="I49" s="54"/>
    </row>
    <row r="50" spans="1:13" ht="15.75">
      <c r="A50" s="12"/>
      <c r="B50" s="12"/>
      <c r="C50" s="12"/>
      <c r="D50" s="12"/>
      <c r="E50" s="82"/>
      <c r="F50" s="26"/>
      <c r="G50" s="34"/>
      <c r="H50" s="29">
        <f t="shared" si="0"/>
        <v>104978.19</v>
      </c>
      <c r="I50" s="54"/>
    </row>
    <row r="51" spans="1:13" ht="15.75">
      <c r="A51" s="12"/>
      <c r="B51" s="20"/>
      <c r="C51" s="12"/>
      <c r="D51" s="12"/>
      <c r="E51" s="82"/>
      <c r="F51" s="26"/>
      <c r="G51" s="34"/>
      <c r="H51" s="29">
        <f t="shared" si="0"/>
        <v>104978.19</v>
      </c>
      <c r="I51" s="54"/>
    </row>
    <row r="52" spans="1:13" ht="15.75">
      <c r="A52" s="12"/>
      <c r="B52" s="12"/>
      <c r="C52" s="12"/>
      <c r="D52" s="12"/>
      <c r="E52" s="82"/>
      <c r="F52" s="42"/>
      <c r="G52" s="34"/>
      <c r="H52" s="29">
        <f t="shared" si="0"/>
        <v>104978.19</v>
      </c>
      <c r="I52" s="54"/>
      <c r="J52" s="64"/>
      <c r="K52" s="64"/>
      <c r="L52" s="64"/>
      <c r="M52" s="64"/>
    </row>
    <row r="53" spans="1:13" ht="15.75">
      <c r="A53" s="12"/>
      <c r="B53" s="20"/>
      <c r="C53" s="12"/>
      <c r="D53" s="12"/>
      <c r="E53" s="82"/>
      <c r="F53" s="26"/>
      <c r="G53" s="34"/>
      <c r="H53" s="29">
        <f t="shared" si="0"/>
        <v>104978.19</v>
      </c>
      <c r="I53" s="54"/>
      <c r="J53" s="64"/>
      <c r="K53" s="64"/>
      <c r="L53" s="64"/>
      <c r="M53" s="64"/>
    </row>
    <row r="54" spans="1:13" ht="15.75">
      <c r="A54" s="12"/>
      <c r="B54" s="20"/>
      <c r="C54" s="12"/>
      <c r="D54" s="12"/>
      <c r="E54" s="82"/>
      <c r="F54" s="26"/>
      <c r="G54" s="34"/>
      <c r="H54" s="29">
        <f t="shared" si="0"/>
        <v>104978.19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104978.19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104978.19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104978.19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104978.19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104978.19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104978.19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104978.19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104978.19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104978.19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104978.19</v>
      </c>
      <c r="I64" s="54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104978.19</v>
      </c>
      <c r="I65" s="54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104978.19</v>
      </c>
      <c r="I66" s="54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104978.19</v>
      </c>
      <c r="I67" s="54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104978.19</v>
      </c>
      <c r="I68" s="54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104978.19</v>
      </c>
      <c r="I69" s="54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104978.19</v>
      </c>
      <c r="I70" s="54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104978.19</v>
      </c>
      <c r="I71" s="54"/>
    </row>
    <row r="72" spans="1:10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118820</v>
      </c>
      <c r="H72" s="30"/>
      <c r="I72" s="55"/>
    </row>
    <row r="73" spans="1:10">
      <c r="A73" s="2"/>
      <c r="B73" s="13"/>
      <c r="C73" s="9"/>
      <c r="D73" s="2"/>
      <c r="E73" s="2"/>
      <c r="F73" s="36"/>
      <c r="G73" s="67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64"/>
      <c r="I76" s="64"/>
    </row>
    <row r="77" spans="1:10">
      <c r="H77" s="64"/>
      <c r="I77" s="64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95"/>
  <sheetViews>
    <sheetView zoomScaleNormal="100" workbookViewId="0">
      <selection activeCell="B7" sqref="B7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95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170</v>
      </c>
      <c r="B3" s="19" t="s">
        <v>8</v>
      </c>
      <c r="C3" s="22"/>
      <c r="D3" s="3"/>
      <c r="E3" s="2"/>
      <c r="F3" s="71"/>
      <c r="G3" s="67"/>
      <c r="H3" s="30">
        <v>104978.19</v>
      </c>
      <c r="I3" s="54"/>
      <c r="J3" s="74" t="s">
        <v>9</v>
      </c>
      <c r="K3" s="75">
        <f>'[2]September 2021'!$N$15</f>
        <v>69076.610400000005</v>
      </c>
    </row>
    <row r="4" spans="1:12" ht="15.75" thickBot="1">
      <c r="A4" s="18"/>
      <c r="B4" s="20" t="s">
        <v>25</v>
      </c>
      <c r="C4" s="12"/>
      <c r="D4" s="12"/>
      <c r="E4" s="4"/>
      <c r="F4" s="71"/>
      <c r="G4" s="34">
        <v>126002</v>
      </c>
      <c r="H4" s="29">
        <f t="shared" ref="H4:H67" si="0">H3+E4+F4-G4</f>
        <v>-21023.809999999998</v>
      </c>
      <c r="I4" s="54"/>
      <c r="J4" s="76" t="s">
        <v>10</v>
      </c>
      <c r="K4" s="77">
        <f>H71+K15+K35+K25+K45</f>
        <v>69257.680399999997</v>
      </c>
    </row>
    <row r="5" spans="1:12" ht="15.75" thickBot="1">
      <c r="A5" s="81"/>
      <c r="B5" s="20"/>
      <c r="C5" s="12"/>
      <c r="D5" s="12"/>
      <c r="E5" s="4"/>
      <c r="F5" s="71"/>
      <c r="G5" s="34"/>
      <c r="H5" s="29">
        <f t="shared" si="0"/>
        <v>-21023.809999999998</v>
      </c>
      <c r="I5" s="54"/>
      <c r="J5" s="78"/>
      <c r="K5" s="79"/>
    </row>
    <row r="6" spans="1:12" ht="15.75" customHeight="1" thickBot="1">
      <c r="A6" s="81"/>
      <c r="B6" s="12" t="s">
        <v>21</v>
      </c>
      <c r="C6" s="12" t="s">
        <v>167</v>
      </c>
      <c r="D6" s="12" t="s">
        <v>159</v>
      </c>
      <c r="E6" s="4">
        <v>37635.599999999999</v>
      </c>
      <c r="F6" s="26">
        <v>150.54</v>
      </c>
      <c r="G6" s="34"/>
      <c r="H6" s="29">
        <f t="shared" si="0"/>
        <v>16762.330000000002</v>
      </c>
      <c r="I6" s="54"/>
      <c r="J6" s="87" t="s">
        <v>11</v>
      </c>
      <c r="K6" s="89">
        <f>K3-K4</f>
        <v>-181.06999999999243</v>
      </c>
    </row>
    <row r="7" spans="1:12" ht="15.75" customHeight="1" thickBot="1">
      <c r="A7" s="81"/>
      <c r="B7" s="12" t="s">
        <v>21</v>
      </c>
      <c r="C7" s="12" t="s">
        <v>171</v>
      </c>
      <c r="D7" s="12" t="s">
        <v>172</v>
      </c>
      <c r="E7" s="26">
        <v>7177.3</v>
      </c>
      <c r="F7" s="26"/>
      <c r="G7" s="34"/>
      <c r="H7" s="29">
        <f t="shared" si="0"/>
        <v>23939.63</v>
      </c>
      <c r="I7" s="54"/>
      <c r="J7" s="88"/>
      <c r="K7" s="90"/>
    </row>
    <row r="8" spans="1:12" ht="15.75" thickBot="1">
      <c r="A8" s="81"/>
      <c r="B8" s="20"/>
      <c r="C8" s="12"/>
      <c r="D8" s="12"/>
      <c r="E8" s="26"/>
      <c r="F8" s="26"/>
      <c r="G8" s="34"/>
      <c r="H8" s="29">
        <f t="shared" si="0"/>
        <v>23939.63</v>
      </c>
      <c r="I8" s="54"/>
    </row>
    <row r="9" spans="1:12">
      <c r="A9" s="81"/>
      <c r="B9" s="12" t="s">
        <v>21</v>
      </c>
      <c r="C9" s="12" t="s">
        <v>173</v>
      </c>
      <c r="D9" s="12" t="s">
        <v>159</v>
      </c>
      <c r="E9" s="4">
        <v>16542.599999999999</v>
      </c>
      <c r="F9" s="26">
        <f>E9*0.4%</f>
        <v>66.170400000000001</v>
      </c>
      <c r="G9" s="34"/>
      <c r="H9" s="29">
        <f t="shared" si="0"/>
        <v>40548.400399999999</v>
      </c>
      <c r="I9" s="54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40548.400399999999</v>
      </c>
      <c r="I10" s="54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40548.400399999999</v>
      </c>
      <c r="I11" s="54"/>
      <c r="J11" s="57" t="s">
        <v>56</v>
      </c>
      <c r="K11" s="66">
        <v>35886.6</v>
      </c>
      <c r="L11" s="86" t="s">
        <v>171</v>
      </c>
    </row>
    <row r="12" spans="1:12" ht="15" customHeight="1">
      <c r="A12" s="12"/>
      <c r="B12" s="20"/>
      <c r="C12" s="12"/>
      <c r="D12" s="12"/>
      <c r="E12" s="4"/>
      <c r="F12" s="71"/>
      <c r="G12" s="34"/>
      <c r="H12" s="29">
        <f t="shared" si="0"/>
        <v>40548.400399999999</v>
      </c>
      <c r="I12" s="54"/>
      <c r="J12" s="51" t="s">
        <v>57</v>
      </c>
      <c r="K12" s="50">
        <f>K11/5</f>
        <v>7177.32</v>
      </c>
      <c r="L12" s="86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40548.400399999999</v>
      </c>
      <c r="I13" s="54"/>
      <c r="J13" s="51" t="s">
        <v>60</v>
      </c>
      <c r="K13" s="65">
        <v>1</v>
      </c>
      <c r="L13" s="86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40548.400399999999</v>
      </c>
      <c r="I14" s="54"/>
      <c r="J14" s="60"/>
      <c r="K14" s="61"/>
      <c r="L14" s="86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40548.400399999999</v>
      </c>
      <c r="I15" s="54"/>
      <c r="J15" s="63" t="s">
        <v>55</v>
      </c>
      <c r="K15" s="62">
        <f>K11-(K12*K13)</f>
        <v>28709.279999999999</v>
      </c>
      <c r="L15" s="86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40548.400399999999</v>
      </c>
      <c r="I16" s="54"/>
      <c r="J16" s="49"/>
      <c r="K16" s="49"/>
      <c r="L16" s="73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40548.400399999999</v>
      </c>
      <c r="I17" s="54"/>
      <c r="J17" s="56" t="s">
        <v>58</v>
      </c>
      <c r="K17" s="66">
        <f>L17*0.4%</f>
        <v>143.54640000000001</v>
      </c>
      <c r="L17" s="73">
        <v>35886.6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40548.400399999999</v>
      </c>
      <c r="I18" s="54"/>
      <c r="J18" s="49"/>
      <c r="K18" s="49"/>
      <c r="L18" s="72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40548.400399999999</v>
      </c>
      <c r="I19" s="54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40548.400399999999</v>
      </c>
      <c r="I20" s="54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40548.400399999999</v>
      </c>
      <c r="I21" s="54"/>
      <c r="J21" s="57" t="s">
        <v>56</v>
      </c>
      <c r="K21" s="66">
        <v>18143.8</v>
      </c>
      <c r="L21" s="8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40548.400399999999</v>
      </c>
      <c r="I22" s="54"/>
      <c r="J22" s="51" t="s">
        <v>57</v>
      </c>
      <c r="K22" s="50">
        <f>K21/5</f>
        <v>3628.7599999999998</v>
      </c>
      <c r="L22" s="86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40548.400399999999</v>
      </c>
      <c r="I23" s="54"/>
      <c r="J23" s="51" t="s">
        <v>60</v>
      </c>
      <c r="K23" s="65">
        <v>5</v>
      </c>
      <c r="L23" s="86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40548.400399999999</v>
      </c>
      <c r="I24" s="54"/>
      <c r="J24" s="60"/>
      <c r="K24" s="61"/>
      <c r="L24" s="86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40548.400399999999</v>
      </c>
      <c r="I25" s="54"/>
      <c r="J25" s="63" t="s">
        <v>55</v>
      </c>
      <c r="K25" s="62">
        <f>K21-(K22*K23)</f>
        <v>0</v>
      </c>
      <c r="L25" s="86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40548.400399999999</v>
      </c>
      <c r="I26" s="54"/>
      <c r="J26" s="49"/>
      <c r="K26" s="49"/>
      <c r="L26" s="73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40548.400399999999</v>
      </c>
      <c r="I27" s="54"/>
      <c r="J27" s="56" t="s">
        <v>58</v>
      </c>
      <c r="K27" s="66">
        <f>L27*0.4%</f>
        <v>72.575199999999995</v>
      </c>
      <c r="L27" s="73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40548.400399999999</v>
      </c>
      <c r="I28" s="54"/>
      <c r="J28" s="49"/>
      <c r="K28" s="49"/>
      <c r="L28" s="72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40548.400399999999</v>
      </c>
      <c r="I29" s="54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40548.400399999999</v>
      </c>
      <c r="I30" s="54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40548.400399999999</v>
      </c>
      <c r="I31" s="54"/>
      <c r="J31" s="57" t="s">
        <v>56</v>
      </c>
      <c r="K31" s="58">
        <v>16512.599999999999</v>
      </c>
      <c r="L31" s="86" t="s">
        <v>173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40548.400399999999</v>
      </c>
      <c r="I32" s="54"/>
      <c r="J32" s="51" t="s">
        <v>57</v>
      </c>
      <c r="K32" s="50">
        <f>K31/5</f>
        <v>3302.5199999999995</v>
      </c>
      <c r="L32" s="86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40548.400399999999</v>
      </c>
      <c r="I33" s="54"/>
      <c r="J33" s="51" t="s">
        <v>60</v>
      </c>
      <c r="K33" s="65">
        <v>5</v>
      </c>
      <c r="L33" s="86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40548.400399999999</v>
      </c>
      <c r="I34" s="54"/>
      <c r="J34" s="60"/>
      <c r="K34" s="91"/>
      <c r="L34" s="86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40548.400399999999</v>
      </c>
      <c r="I35" s="54"/>
      <c r="J35" s="63" t="s">
        <v>55</v>
      </c>
      <c r="K35" s="62">
        <f>K31-(K32*K33)</f>
        <v>0</v>
      </c>
      <c r="L35" s="86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40548.400399999999</v>
      </c>
      <c r="I36" s="54"/>
      <c r="J36" s="49"/>
      <c r="K36" s="49"/>
      <c r="L36" s="73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40548.400399999999</v>
      </c>
      <c r="I37" s="54"/>
      <c r="J37" s="56" t="s">
        <v>58</v>
      </c>
      <c r="K37" s="59">
        <f>L37*0.4%</f>
        <v>66.050399999999996</v>
      </c>
      <c r="L37" s="73">
        <v>16512.599999999999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40548.400399999999</v>
      </c>
      <c r="I38" s="54"/>
      <c r="J38" s="49"/>
      <c r="K38" s="49"/>
      <c r="L38" s="72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40548.400399999999</v>
      </c>
      <c r="I39" s="54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40548.400399999999</v>
      </c>
      <c r="I40" s="54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40548.400399999999</v>
      </c>
      <c r="I41" s="54"/>
      <c r="J41" s="57" t="s">
        <v>56</v>
      </c>
      <c r="K41" s="66">
        <v>145455.79999999999</v>
      </c>
      <c r="L41" s="86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40548.400399999999</v>
      </c>
      <c r="I42" s="54"/>
      <c r="J42" s="51" t="s">
        <v>57</v>
      </c>
      <c r="K42" s="50">
        <f>K41/20</f>
        <v>7272.7899999999991</v>
      </c>
      <c r="L42" s="86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40548.400399999999</v>
      </c>
      <c r="I43" s="54"/>
      <c r="J43" s="51" t="s">
        <v>60</v>
      </c>
      <c r="K43" s="65">
        <v>20</v>
      </c>
      <c r="L43" s="86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40548.400399999999</v>
      </c>
      <c r="I44" s="54"/>
      <c r="J44" s="60"/>
      <c r="K44" s="61"/>
      <c r="L44" s="86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40548.400399999999</v>
      </c>
      <c r="I45" s="54"/>
      <c r="J45" s="63" t="s">
        <v>55</v>
      </c>
      <c r="K45" s="62">
        <f>K41-(K42*K43)</f>
        <v>0</v>
      </c>
      <c r="L45" s="86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40548.400399999999</v>
      </c>
      <c r="I46" s="54"/>
      <c r="J46" s="49"/>
      <c r="K46" s="49"/>
      <c r="L46" s="7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40548.400399999999</v>
      </c>
      <c r="I47" s="54"/>
      <c r="J47" s="56" t="s">
        <v>58</v>
      </c>
      <c r="K47" s="59">
        <f>L47*0.4%</f>
        <v>581.82319999999993</v>
      </c>
      <c r="L47" s="7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40548.400399999999</v>
      </c>
      <c r="I48" s="54"/>
      <c r="J48" s="49"/>
      <c r="K48" s="49"/>
      <c r="L48" s="72"/>
    </row>
    <row r="49" spans="1:13" ht="15.75">
      <c r="A49" s="12"/>
      <c r="B49" s="12"/>
      <c r="C49" s="12"/>
      <c r="D49" s="12"/>
      <c r="E49" s="82"/>
      <c r="F49" s="26"/>
      <c r="G49" s="34"/>
      <c r="H49" s="29">
        <f t="shared" si="0"/>
        <v>40548.400399999999</v>
      </c>
      <c r="I49" s="54"/>
    </row>
    <row r="50" spans="1:13" ht="15.75">
      <c r="A50" s="12"/>
      <c r="B50" s="12"/>
      <c r="C50" s="12"/>
      <c r="D50" s="12"/>
      <c r="E50" s="82"/>
      <c r="F50" s="26"/>
      <c r="G50" s="34"/>
      <c r="H50" s="29">
        <f t="shared" si="0"/>
        <v>40548.400399999999</v>
      </c>
      <c r="I50" s="54"/>
    </row>
    <row r="51" spans="1:13" ht="15.75">
      <c r="A51" s="12"/>
      <c r="B51" s="20"/>
      <c r="C51" s="12"/>
      <c r="D51" s="12"/>
      <c r="E51" s="82"/>
      <c r="F51" s="26"/>
      <c r="G51" s="34"/>
      <c r="H51" s="29">
        <f t="shared" si="0"/>
        <v>40548.400399999999</v>
      </c>
      <c r="I51" s="54"/>
    </row>
    <row r="52" spans="1:13" ht="15.75">
      <c r="A52" s="12"/>
      <c r="B52" s="12"/>
      <c r="C52" s="12"/>
      <c r="D52" s="12"/>
      <c r="E52" s="82"/>
      <c r="F52" s="42"/>
      <c r="G52" s="34"/>
      <c r="H52" s="29">
        <f t="shared" si="0"/>
        <v>40548.400399999999</v>
      </c>
      <c r="I52" s="54"/>
      <c r="J52" s="64"/>
      <c r="K52" s="64"/>
      <c r="L52" s="64"/>
      <c r="M52" s="64"/>
    </row>
    <row r="53" spans="1:13" ht="15.75">
      <c r="A53" s="12"/>
      <c r="B53" s="20"/>
      <c r="C53" s="12"/>
      <c r="D53" s="12"/>
      <c r="E53" s="82"/>
      <c r="F53" s="26"/>
      <c r="G53" s="34"/>
      <c r="H53" s="29">
        <f t="shared" si="0"/>
        <v>40548.400399999999</v>
      </c>
      <c r="I53" s="54"/>
      <c r="J53" s="64"/>
      <c r="K53" s="64"/>
      <c r="L53" s="64"/>
      <c r="M53" s="64"/>
    </row>
    <row r="54" spans="1:13" ht="15.75">
      <c r="A54" s="12"/>
      <c r="B54" s="20"/>
      <c r="C54" s="12"/>
      <c r="D54" s="12"/>
      <c r="E54" s="82"/>
      <c r="F54" s="26"/>
      <c r="G54" s="34"/>
      <c r="H54" s="29">
        <f t="shared" si="0"/>
        <v>40548.400399999999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40548.400399999999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40548.400399999999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40548.400399999999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40548.400399999999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40548.400399999999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40548.400399999999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40548.400399999999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40548.400399999999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40548.400399999999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40548.400399999999</v>
      </c>
      <c r="I64" s="54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40548.400399999999</v>
      </c>
      <c r="I65" s="54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40548.400399999999</v>
      </c>
      <c r="I66" s="54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40548.400399999999</v>
      </c>
      <c r="I67" s="54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40548.400399999999</v>
      </c>
      <c r="I68" s="54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40548.400399999999</v>
      </c>
      <c r="I69" s="54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40548.400399999999</v>
      </c>
      <c r="I70" s="54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40548.400399999999</v>
      </c>
      <c r="I71" s="54"/>
    </row>
    <row r="72" spans="1:10" ht="15.75" thickBot="1">
      <c r="A72" s="5" t="s">
        <v>88</v>
      </c>
      <c r="B72" s="21"/>
      <c r="C72" s="8"/>
      <c r="D72" s="11"/>
      <c r="E72" s="24">
        <f>SUM(E3:E71)</f>
        <v>61355.5</v>
      </c>
      <c r="F72" s="39">
        <f>SUM(F3:F71)</f>
        <v>216.71039999999999</v>
      </c>
      <c r="G72" s="35">
        <f>SUM(G3:G71)</f>
        <v>126002</v>
      </c>
      <c r="H72" s="30"/>
      <c r="I72" s="55"/>
    </row>
    <row r="73" spans="1:10">
      <c r="A73" s="2"/>
      <c r="B73" s="13"/>
      <c r="C73" s="9"/>
      <c r="D73" s="2"/>
      <c r="E73" s="2"/>
      <c r="F73" s="36"/>
      <c r="G73" s="67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64"/>
      <c r="I76" s="64"/>
    </row>
    <row r="77" spans="1:10">
      <c r="H77" s="64"/>
      <c r="I77" s="64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95"/>
  <sheetViews>
    <sheetView tabSelected="1" zoomScaleNormal="100" workbookViewId="0">
      <selection activeCell="K4" sqref="K4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3" t="s">
        <v>95</v>
      </c>
      <c r="B1" s="83"/>
      <c r="C1" s="83"/>
      <c r="D1" s="83"/>
      <c r="E1" s="83"/>
      <c r="F1" s="83"/>
      <c r="G1" s="83"/>
      <c r="H1" s="83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174</v>
      </c>
      <c r="B3" s="19" t="s">
        <v>8</v>
      </c>
      <c r="C3" s="22"/>
      <c r="D3" s="3"/>
      <c r="E3" s="2"/>
      <c r="F3" s="71"/>
      <c r="G3" s="67"/>
      <c r="H3" s="30">
        <v>40548.400000000001</v>
      </c>
      <c r="I3" s="54"/>
      <c r="J3" s="74" t="s">
        <v>9</v>
      </c>
      <c r="K3" s="75">
        <f>'[1]October 2021'!$N$15</f>
        <v>102356.81040000002</v>
      </c>
    </row>
    <row r="4" spans="1:12" ht="15.75" thickBot="1">
      <c r="A4" s="18" t="s">
        <v>174</v>
      </c>
      <c r="B4" s="20" t="s">
        <v>25</v>
      </c>
      <c r="C4" s="12"/>
      <c r="D4" s="12"/>
      <c r="E4" s="4"/>
      <c r="F4" s="71"/>
      <c r="G4" s="34">
        <v>5094</v>
      </c>
      <c r="H4" s="29">
        <f t="shared" ref="H4:H67" si="0">H3+E4+F4-G4</f>
        <v>35454.400000000001</v>
      </c>
      <c r="I4" s="54"/>
      <c r="J4" s="76" t="s">
        <v>10</v>
      </c>
      <c r="K4" s="77">
        <f>H71+K15+K35+K25+K45</f>
        <v>18481.380000000005</v>
      </c>
    </row>
    <row r="5" spans="1:12" ht="15.75" thickBot="1">
      <c r="A5" s="81"/>
      <c r="B5" s="20"/>
      <c r="C5" s="12"/>
      <c r="D5" s="12"/>
      <c r="E5" s="4"/>
      <c r="F5" s="71"/>
      <c r="G5" s="34">
        <v>74154</v>
      </c>
      <c r="H5" s="29">
        <f t="shared" si="0"/>
        <v>-38699.599999999999</v>
      </c>
      <c r="I5" s="54"/>
      <c r="J5" s="78"/>
      <c r="K5" s="79"/>
    </row>
    <row r="6" spans="1:12" ht="15.75" customHeight="1" thickBot="1">
      <c r="A6" s="81"/>
      <c r="B6" s="12"/>
      <c r="C6" s="12"/>
      <c r="D6" s="12"/>
      <c r="E6" s="4"/>
      <c r="F6" s="26"/>
      <c r="G6" s="34"/>
      <c r="H6" s="29">
        <f t="shared" si="0"/>
        <v>-38699.599999999999</v>
      </c>
      <c r="I6" s="54"/>
      <c r="J6" s="87" t="s">
        <v>11</v>
      </c>
      <c r="K6" s="89">
        <f>K3-K4</f>
        <v>83875.430400000012</v>
      </c>
    </row>
    <row r="7" spans="1:12" ht="15.75" customHeight="1" thickBot="1">
      <c r="A7" s="81"/>
      <c r="B7" s="12" t="s">
        <v>21</v>
      </c>
      <c r="C7" s="12" t="s">
        <v>175</v>
      </c>
      <c r="D7" s="12" t="s">
        <v>176</v>
      </c>
      <c r="E7" s="26">
        <f>7189.6*2</f>
        <v>14379.2</v>
      </c>
      <c r="F7" s="26"/>
      <c r="G7" s="34"/>
      <c r="H7" s="29">
        <f t="shared" si="0"/>
        <v>-24320.399999999998</v>
      </c>
      <c r="I7" s="54"/>
      <c r="J7" s="88"/>
      <c r="K7" s="90"/>
    </row>
    <row r="8" spans="1:12" ht="15.75" thickBot="1">
      <c r="A8" s="81"/>
      <c r="B8" s="20"/>
      <c r="C8" s="12"/>
      <c r="D8" s="12"/>
      <c r="E8" s="26"/>
      <c r="F8" s="26"/>
      <c r="G8" s="34"/>
      <c r="H8" s="29">
        <f t="shared" si="0"/>
        <v>-24320.399999999998</v>
      </c>
      <c r="I8" s="54"/>
    </row>
    <row r="9" spans="1:12">
      <c r="A9" s="81"/>
      <c r="B9" s="12"/>
      <c r="C9" s="12"/>
      <c r="D9" s="12"/>
      <c r="E9" s="4"/>
      <c r="F9" s="26"/>
      <c r="G9" s="34"/>
      <c r="H9" s="29">
        <f t="shared" si="0"/>
        <v>-24320.399999999998</v>
      </c>
      <c r="I9" s="54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-24320.399999999998</v>
      </c>
      <c r="I10" s="54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-24320.399999999998</v>
      </c>
      <c r="I11" s="54"/>
      <c r="J11" s="57" t="s">
        <v>56</v>
      </c>
      <c r="K11" s="66">
        <v>35388.400000000001</v>
      </c>
      <c r="L11" s="86" t="s">
        <v>177</v>
      </c>
    </row>
    <row r="12" spans="1:12" ht="15" customHeight="1">
      <c r="A12" s="12"/>
      <c r="B12" s="20"/>
      <c r="C12" s="12"/>
      <c r="D12" s="12"/>
      <c r="E12" s="4"/>
      <c r="F12" s="71"/>
      <c r="G12" s="34"/>
      <c r="H12" s="29">
        <f t="shared" si="0"/>
        <v>-24320.399999999998</v>
      </c>
      <c r="I12" s="54"/>
      <c r="J12" s="51" t="s">
        <v>57</v>
      </c>
      <c r="K12" s="50">
        <f>K11/5</f>
        <v>7077.68</v>
      </c>
      <c r="L12" s="86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-24320.399999999998</v>
      </c>
      <c r="I13" s="54"/>
      <c r="J13" s="51" t="s">
        <v>60</v>
      </c>
      <c r="K13" s="65">
        <v>2</v>
      </c>
      <c r="L13" s="86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-24320.399999999998</v>
      </c>
      <c r="I14" s="54"/>
      <c r="J14" s="60"/>
      <c r="K14" s="61"/>
      <c r="L14" s="86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-24320.399999999998</v>
      </c>
      <c r="I15" s="54"/>
      <c r="J15" s="63" t="s">
        <v>55</v>
      </c>
      <c r="K15" s="62">
        <f>K11-(K12*K13)</f>
        <v>21233.040000000001</v>
      </c>
      <c r="L15" s="86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-24320.399999999998</v>
      </c>
      <c r="I16" s="54"/>
      <c r="J16" s="49"/>
      <c r="K16" s="49"/>
      <c r="L16" s="73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-24320.399999999998</v>
      </c>
      <c r="I17" s="54"/>
      <c r="J17" s="56" t="s">
        <v>58</v>
      </c>
      <c r="K17" s="66">
        <f>L17*0.4%</f>
        <v>142.15536</v>
      </c>
      <c r="L17" s="73">
        <v>35538.839999999997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-24320.399999999998</v>
      </c>
      <c r="I18" s="54"/>
      <c r="J18" s="49"/>
      <c r="K18" s="49"/>
      <c r="L18" s="72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-24320.399999999998</v>
      </c>
      <c r="I19" s="54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-24320.399999999998</v>
      </c>
      <c r="I20" s="54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-24320.399999999998</v>
      </c>
      <c r="I21" s="54"/>
      <c r="J21" s="57" t="s">
        <v>56</v>
      </c>
      <c r="K21" s="66">
        <v>18143.8</v>
      </c>
      <c r="L21" s="8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-24320.399999999998</v>
      </c>
      <c r="I22" s="54"/>
      <c r="J22" s="51" t="s">
        <v>57</v>
      </c>
      <c r="K22" s="50">
        <f>K21/5</f>
        <v>3628.7599999999998</v>
      </c>
      <c r="L22" s="86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-24320.399999999998</v>
      </c>
      <c r="I23" s="54"/>
      <c r="J23" s="51" t="s">
        <v>60</v>
      </c>
      <c r="K23" s="65">
        <v>5</v>
      </c>
      <c r="L23" s="86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-24320.399999999998</v>
      </c>
      <c r="I24" s="54"/>
      <c r="J24" s="60"/>
      <c r="K24" s="61"/>
      <c r="L24" s="86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-24320.399999999998</v>
      </c>
      <c r="I25" s="54"/>
      <c r="J25" s="63" t="s">
        <v>55</v>
      </c>
      <c r="K25" s="62">
        <f>K21-(K22*K23)</f>
        <v>0</v>
      </c>
      <c r="L25" s="86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-24320.399999999998</v>
      </c>
      <c r="I26" s="54"/>
      <c r="J26" s="49"/>
      <c r="K26" s="49"/>
      <c r="L26" s="73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-24320.399999999998</v>
      </c>
      <c r="I27" s="54"/>
      <c r="J27" s="56" t="s">
        <v>58</v>
      </c>
      <c r="K27" s="66">
        <f>L27*0.4%</f>
        <v>72.575199999999995</v>
      </c>
      <c r="L27" s="73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-24320.399999999998</v>
      </c>
      <c r="I28" s="54"/>
      <c r="J28" s="49"/>
      <c r="K28" s="49"/>
      <c r="L28" s="72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-24320.399999999998</v>
      </c>
      <c r="I29" s="54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-24320.399999999998</v>
      </c>
      <c r="I30" s="54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-24320.399999999998</v>
      </c>
      <c r="I31" s="54"/>
      <c r="J31" s="57" t="s">
        <v>56</v>
      </c>
      <c r="K31" s="58">
        <v>16512.599999999999</v>
      </c>
      <c r="L31" s="86" t="s">
        <v>173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-24320.399999999998</v>
      </c>
      <c r="I32" s="54"/>
      <c r="J32" s="51" t="s">
        <v>57</v>
      </c>
      <c r="K32" s="50">
        <f>K31/5</f>
        <v>3302.5199999999995</v>
      </c>
      <c r="L32" s="86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-24320.399999999998</v>
      </c>
      <c r="I33" s="54"/>
      <c r="J33" s="51" t="s">
        <v>60</v>
      </c>
      <c r="K33" s="65">
        <v>5</v>
      </c>
      <c r="L33" s="86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-24320.399999999998</v>
      </c>
      <c r="I34" s="54"/>
      <c r="J34" s="60"/>
      <c r="K34" s="91"/>
      <c r="L34" s="86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-24320.399999999998</v>
      </c>
      <c r="I35" s="54"/>
      <c r="J35" s="63" t="s">
        <v>55</v>
      </c>
      <c r="K35" s="62">
        <f>K31-(K32*K33)</f>
        <v>0</v>
      </c>
      <c r="L35" s="86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-24320.399999999998</v>
      </c>
      <c r="I36" s="54"/>
      <c r="J36" s="49"/>
      <c r="K36" s="49"/>
      <c r="L36" s="73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-24320.399999999998</v>
      </c>
      <c r="I37" s="54"/>
      <c r="J37" s="56" t="s">
        <v>58</v>
      </c>
      <c r="K37" s="59">
        <f>L37*0.4%</f>
        <v>66.050399999999996</v>
      </c>
      <c r="L37" s="73">
        <v>16512.599999999999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-24320.399999999998</v>
      </c>
      <c r="I38" s="54"/>
      <c r="J38" s="49"/>
      <c r="K38" s="49"/>
      <c r="L38" s="72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-24320.399999999998</v>
      </c>
      <c r="I39" s="54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-24320.399999999998</v>
      </c>
      <c r="I40" s="54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-24320.399999999998</v>
      </c>
      <c r="I41" s="54"/>
      <c r="J41" s="57" t="s">
        <v>56</v>
      </c>
      <c r="K41" s="66">
        <v>35947.9</v>
      </c>
      <c r="L41" s="86" t="s">
        <v>175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-24320.399999999998</v>
      </c>
      <c r="I42" s="54"/>
      <c r="J42" s="51" t="s">
        <v>57</v>
      </c>
      <c r="K42" s="50">
        <f>K41/5</f>
        <v>7189.58</v>
      </c>
      <c r="L42" s="86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-24320.399999999998</v>
      </c>
      <c r="I43" s="54"/>
      <c r="J43" s="51" t="s">
        <v>60</v>
      </c>
      <c r="K43" s="65">
        <v>2</v>
      </c>
      <c r="L43" s="86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-24320.399999999998</v>
      </c>
      <c r="I44" s="54"/>
      <c r="J44" s="60"/>
      <c r="K44" s="61"/>
      <c r="L44" s="86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-24320.399999999998</v>
      </c>
      <c r="I45" s="54"/>
      <c r="J45" s="63" t="s">
        <v>55</v>
      </c>
      <c r="K45" s="62">
        <f>K41-(K42*K43)</f>
        <v>21568.74</v>
      </c>
      <c r="L45" s="86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-24320.399999999998</v>
      </c>
      <c r="I46" s="54"/>
      <c r="J46" s="49"/>
      <c r="K46" s="49"/>
      <c r="L46" s="7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-24320.399999999998</v>
      </c>
      <c r="I47" s="54"/>
      <c r="J47" s="56" t="s">
        <v>58</v>
      </c>
      <c r="K47" s="59">
        <f>L47*0.4%</f>
        <v>143.79160000000002</v>
      </c>
      <c r="L47" s="73">
        <v>35947.9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-24320.399999999998</v>
      </c>
      <c r="I48" s="54"/>
      <c r="J48" s="49"/>
      <c r="K48" s="49"/>
      <c r="L48" s="72"/>
    </row>
    <row r="49" spans="1:13" ht="15.75">
      <c r="A49" s="12"/>
      <c r="B49" s="12"/>
      <c r="C49" s="12"/>
      <c r="D49" s="12"/>
      <c r="E49" s="82"/>
      <c r="F49" s="26"/>
      <c r="G49" s="34"/>
      <c r="H49" s="29">
        <f t="shared" si="0"/>
        <v>-24320.399999999998</v>
      </c>
      <c r="I49" s="54"/>
    </row>
    <row r="50" spans="1:13" ht="15.75">
      <c r="A50" s="12"/>
      <c r="B50" s="12"/>
      <c r="C50" s="12"/>
      <c r="D50" s="12"/>
      <c r="E50" s="82"/>
      <c r="F50" s="26"/>
      <c r="G50" s="34"/>
      <c r="H50" s="29">
        <f t="shared" si="0"/>
        <v>-24320.399999999998</v>
      </c>
      <c r="I50" s="54"/>
    </row>
    <row r="51" spans="1:13" ht="15.75">
      <c r="A51" s="12"/>
      <c r="B51" s="20"/>
      <c r="C51" s="12"/>
      <c r="D51" s="12"/>
      <c r="E51" s="82"/>
      <c r="F51" s="26"/>
      <c r="G51" s="34"/>
      <c r="H51" s="29">
        <f t="shared" si="0"/>
        <v>-24320.399999999998</v>
      </c>
      <c r="I51" s="54"/>
    </row>
    <row r="52" spans="1:13" ht="15.75">
      <c r="A52" s="12"/>
      <c r="B52" s="12"/>
      <c r="C52" s="12"/>
      <c r="D52" s="12"/>
      <c r="E52" s="82"/>
      <c r="F52" s="42"/>
      <c r="G52" s="34"/>
      <c r="H52" s="29">
        <f t="shared" si="0"/>
        <v>-24320.399999999998</v>
      </c>
      <c r="I52" s="54"/>
      <c r="J52" s="64"/>
      <c r="K52" s="64"/>
      <c r="L52" s="64"/>
      <c r="M52" s="64"/>
    </row>
    <row r="53" spans="1:13" ht="15.75">
      <c r="A53" s="12"/>
      <c r="B53" s="20"/>
      <c r="C53" s="12"/>
      <c r="D53" s="12"/>
      <c r="E53" s="82"/>
      <c r="F53" s="26"/>
      <c r="G53" s="34"/>
      <c r="H53" s="29">
        <f t="shared" si="0"/>
        <v>-24320.399999999998</v>
      </c>
      <c r="I53" s="54"/>
      <c r="J53" s="64"/>
      <c r="K53" s="64"/>
      <c r="L53" s="64"/>
      <c r="M53" s="64"/>
    </row>
    <row r="54" spans="1:13" ht="15.75">
      <c r="A54" s="12"/>
      <c r="B54" s="20"/>
      <c r="C54" s="12"/>
      <c r="D54" s="12"/>
      <c r="E54" s="82"/>
      <c r="F54" s="26"/>
      <c r="G54" s="34"/>
      <c r="H54" s="29">
        <f t="shared" si="0"/>
        <v>-24320.399999999998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-24320.399999999998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-24320.399999999998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-24320.399999999998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-24320.399999999998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-24320.399999999998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-24320.399999999998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-24320.399999999998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-24320.399999999998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-24320.399999999998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-24320.399999999998</v>
      </c>
      <c r="I64" s="54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-24320.399999999998</v>
      </c>
      <c r="I65" s="54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-24320.399999999998</v>
      </c>
      <c r="I66" s="54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-24320.399999999998</v>
      </c>
      <c r="I67" s="54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-24320.399999999998</v>
      </c>
      <c r="I68" s="54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-24320.399999999998</v>
      </c>
      <c r="I69" s="54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-24320.399999999998</v>
      </c>
      <c r="I70" s="54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-24320.399999999998</v>
      </c>
      <c r="I71" s="54"/>
    </row>
    <row r="72" spans="1:10" ht="15.75" thickBot="1">
      <c r="A72" s="5" t="s">
        <v>88</v>
      </c>
      <c r="B72" s="21"/>
      <c r="C72" s="8"/>
      <c r="D72" s="11"/>
      <c r="E72" s="24">
        <f>SUM(E3:E71)</f>
        <v>14379.2</v>
      </c>
      <c r="F72" s="39">
        <f>SUM(F3:F71)</f>
        <v>0</v>
      </c>
      <c r="G72" s="35">
        <f>SUM(G3:G71)</f>
        <v>79248</v>
      </c>
      <c r="H72" s="30"/>
      <c r="I72" s="55"/>
    </row>
    <row r="73" spans="1:10">
      <c r="A73" s="2"/>
      <c r="B73" s="13"/>
      <c r="C73" s="9"/>
      <c r="D73" s="2"/>
      <c r="E73" s="2"/>
      <c r="F73" s="36"/>
      <c r="G73" s="67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64"/>
      <c r="I76" s="64"/>
    </row>
    <row r="77" spans="1:10">
      <c r="H77" s="64"/>
      <c r="I77" s="64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2021-10-08T06:06:57Z</cp:lastPrinted>
  <dcterms:created xsi:type="dcterms:W3CDTF">2017-04-20T06:09:09Z</dcterms:created>
  <dcterms:modified xsi:type="dcterms:W3CDTF">2021-10-20T07:05:15Z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