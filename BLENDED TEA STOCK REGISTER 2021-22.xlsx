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firstSheet="2" activeTab="8"/>
  </bookViews>
  <sheets>
    <sheet name="April 2021-22" sheetId="26" r:id="rId1"/>
    <sheet name="May 2021" sheetId="27" r:id="rId2"/>
    <sheet name="June 2021" sheetId="28" r:id="rId3"/>
    <sheet name="July 2021" sheetId="29" r:id="rId4"/>
    <sheet name="August 2021" sheetId="31" r:id="rId5"/>
    <sheet name="September 2021" sheetId="32" r:id="rId6"/>
    <sheet name="October 2021" sheetId="33" r:id="rId7"/>
    <sheet name="November 2021" sheetId="34" r:id="rId8"/>
    <sheet name="December 2021" sheetId="35" r:id="rId9"/>
  </sheets>
  <externalReferences>
    <externalReference r:id="rId10"/>
    <externalReference r:id="rId11"/>
  </externalReferences>
  <definedNames>
    <definedName name="_xlnm._FilterDatabase" localSheetId="0" hidden="1">'April 2021-22'!$A$3:$H$68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2" i="35"/>
  <c r="E7"/>
  <c r="E72" s="1"/>
  <c r="H4"/>
  <c r="H5" s="1"/>
  <c r="H6" s="1"/>
  <c r="G72"/>
  <c r="F72"/>
  <c r="K47"/>
  <c r="K42"/>
  <c r="K45" s="1"/>
  <c r="K37"/>
  <c r="K32"/>
  <c r="K35" s="1"/>
  <c r="K27"/>
  <c r="K22"/>
  <c r="K25" s="1"/>
  <c r="K17"/>
  <c r="K15"/>
  <c r="M5"/>
  <c r="M5" i="34"/>
  <c r="H7" i="35" l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s="1"/>
  <c r="E14" i="33"/>
  <c r="G72" i="34" l="1"/>
  <c r="F72"/>
  <c r="K47"/>
  <c r="K42"/>
  <c r="K45" s="1"/>
  <c r="K37"/>
  <c r="K32"/>
  <c r="K35" s="1"/>
  <c r="K27"/>
  <c r="K22"/>
  <c r="K25" s="1"/>
  <c r="K17"/>
  <c r="K12"/>
  <c r="K15" s="1"/>
  <c r="E72"/>
  <c r="K42" i="33" l="1"/>
  <c r="G72" l="1"/>
  <c r="E72"/>
  <c r="K47"/>
  <c r="K45"/>
  <c r="K37"/>
  <c r="K32"/>
  <c r="K35" s="1"/>
  <c r="K27"/>
  <c r="K22"/>
  <c r="K25" s="1"/>
  <c r="K17"/>
  <c r="K12"/>
  <c r="K15" s="1"/>
  <c r="F72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3" i="34" s="1"/>
  <c r="H4" s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F9" i="32"/>
  <c r="K3"/>
  <c r="K4" i="34" l="1"/>
  <c r="H54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i="33"/>
  <c r="K12" i="32"/>
  <c r="G72" l="1"/>
  <c r="F72"/>
  <c r="E72"/>
  <c r="L47"/>
  <c r="K47"/>
  <c r="K42"/>
  <c r="K45" s="1"/>
  <c r="K37"/>
  <c r="K32"/>
  <c r="K35" s="1"/>
  <c r="L27"/>
  <c r="K27"/>
  <c r="K22"/>
  <c r="K25" s="1"/>
  <c r="K17"/>
  <c r="K15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G5" i="31"/>
  <c r="K4" i="32" l="1"/>
  <c r="K6" s="1"/>
  <c r="G72" i="31"/>
  <c r="L47"/>
  <c r="K47"/>
  <c r="E72"/>
  <c r="K42"/>
  <c r="K45" s="1"/>
  <c r="K37"/>
  <c r="K32"/>
  <c r="K35" s="1"/>
  <c r="L27"/>
  <c r="K27"/>
  <c r="K22"/>
  <c r="K25" s="1"/>
  <c r="L17"/>
  <c r="K17" s="1"/>
  <c r="K12"/>
  <c r="K15" s="1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l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s="1"/>
  <c r="F72"/>
  <c r="G72" i="29" l="1"/>
  <c r="L47"/>
  <c r="K47"/>
  <c r="F46"/>
  <c r="F45"/>
  <c r="F44"/>
  <c r="F43"/>
  <c r="E43"/>
  <c r="E72" s="1"/>
  <c r="K42"/>
  <c r="K45" s="1"/>
  <c r="F41"/>
  <c r="K37"/>
  <c r="K35"/>
  <c r="F35"/>
  <c r="F34"/>
  <c r="F33"/>
  <c r="F72" s="1"/>
  <c r="K32"/>
  <c r="L27"/>
  <c r="K27"/>
  <c r="K22"/>
  <c r="K25" s="1"/>
  <c r="L17"/>
  <c r="K17"/>
  <c r="K12"/>
  <c r="K15" s="1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s="1"/>
  <c r="K3"/>
  <c r="F72" i="28"/>
  <c r="G72"/>
  <c r="K42"/>
  <c r="E37"/>
  <c r="E72" s="1"/>
  <c r="K12"/>
  <c r="K32"/>
  <c r="K6" i="29" l="1"/>
  <c r="K15" i="28"/>
  <c r="K22"/>
  <c r="K25" s="1"/>
  <c r="K35"/>
  <c r="K47"/>
  <c r="K45"/>
  <c r="K37"/>
  <c r="L27"/>
  <c r="K27" s="1"/>
  <c r="K17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l="1"/>
  <c r="K12" i="27"/>
  <c r="L47"/>
  <c r="K47" s="1"/>
  <c r="L27"/>
  <c r="K27" s="1"/>
  <c r="L37"/>
  <c r="K37" s="1"/>
  <c r="K17"/>
  <c r="H4" l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32"/>
  <c r="L38" i="26"/>
  <c r="K41" i="27" l="1"/>
  <c r="K22"/>
  <c r="K35" l="1"/>
  <c r="K42"/>
  <c r="K25"/>
  <c r="K15"/>
  <c r="G72"/>
  <c r="F72"/>
  <c r="E72"/>
  <c r="L28" i="26"/>
  <c r="J37"/>
  <c r="K41" s="1"/>
  <c r="J61"/>
  <c r="K65" s="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8" l="1"/>
  <c r="K6" s="1"/>
  <c r="K3" i="27" l="1"/>
  <c r="K6" s="1"/>
  <c r="K3" i="31" l="1"/>
  <c r="K6" s="1"/>
  <c r="K3" i="34" l="1"/>
  <c r="K6" s="1"/>
  <c r="K3" i="33"/>
  <c r="K6" s="1"/>
  <c r="K3" i="35" l="1"/>
  <c r="K6" s="1"/>
</calcChain>
</file>

<file path=xl/sharedStrings.xml><?xml version="1.0" encoding="utf-8"?>
<sst xmlns="http://schemas.openxmlformats.org/spreadsheetml/2006/main" count="1171" uniqueCount="284">
  <si>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</si>
  <si>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</si>
  <si>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</si>
  <si>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</si>
  <si>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</si>
  <si>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</si>
  <si>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</si>
  <si>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</si>
  <si>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</si>
  <si>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</si>
  <si>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</si>
  <si>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</si>
  <si>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</si>
  <si>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</si>
  <si>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</si>
  <si>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</si>
  <si>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</si>
  <si>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</si>
  <si>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</si>
  <si>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</si>
  <si>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</si>
  <si>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</si>
  <si>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</si>
  <si>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</si>
  <si>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</si>
  <si>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</si>
  <si>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</si>
  <si>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</si>
  <si>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</si>
  <si>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</si>
  <si>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</si>
  <si>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</si>
  <si>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</si>
  <si>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</si>
  <si>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</si>
  <si>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</si>
  <si>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</si>
  <si>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</si>
  <si>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</si>
  <si>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</si>
  <si>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</si>
  <si>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</si>
  <si>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</si>
  <si>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</si>
  <si>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</si>
  <si>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</si>
  <si>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</si>
  <si>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</si>
  <si>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</si>
  <si>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</si>
  <si>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</si>
  <si>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</si>
  <si>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</si>
  <si>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</si>
  <si>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</si>
  <si>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</si>
  <si>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</si>
  <si>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</si>
  <si>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</si>
  <si>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</si>
  <si>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</si>
  <si>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</si>
  <si>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</si>
  <si>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</si>
  <si>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</si>
  <si>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</si>
  <si>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</si>
  <si>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</si>
  <si>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</si>
  <si>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</si>
  <si>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</si>
  <si>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</si>
  <si>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</si>
  <si>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</si>
  <si>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</si>
  <si>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</si>
  <si>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</si>
  <si>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</si>
  <si>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</si>
  <si>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</si>
  <si>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</si>
  <si>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</si>
  <si>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</si>
  <si>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</si>
  <si>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</si>
  <si>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</si>
  <si>
    <t>29.05.2021</t>
  </si>
  <si>
    <t>31.05.2021</t>
  </si>
  <si>
    <t>TOTAL FOR THE MONTH OF JUNE 2021</t>
  </si>
  <si>
    <t>TOTAL FOR THE MONTH OF MAY 2021</t>
  </si>
  <si>
    <t>TOTAL FOR THE MONTH OF APRIL 2021</t>
  </si>
  <si>
    <t>01.06.2021</t>
  </si>
  <si>
    <t>15.05.2021</t>
  </si>
  <si>
    <t>17.05.2021</t>
  </si>
  <si>
    <t>18.05.2021</t>
  </si>
  <si>
    <t>BLEND TEA STOCK REGISTER FOR THE MONTH OF JUNE 2021</t>
  </si>
  <si>
    <t>02.06.2021</t>
  </si>
  <si>
    <t>03.06.2021</t>
  </si>
  <si>
    <t>04.06.2021</t>
  </si>
  <si>
    <t>05.06.2021</t>
  </si>
  <si>
    <t>07.06.2021</t>
  </si>
  <si>
    <t>08.06.2021</t>
  </si>
  <si>
    <t>09.06.2021</t>
  </si>
  <si>
    <t>10.06.2021</t>
  </si>
  <si>
    <t>11.06.2021</t>
  </si>
  <si>
    <t>12.06.2021</t>
  </si>
  <si>
    <t>13.06.2021</t>
  </si>
  <si>
    <t>14.06.2021</t>
  </si>
  <si>
    <t>15.06.2021</t>
  </si>
  <si>
    <t>5 Kg-02</t>
  </si>
  <si>
    <t>5Kg-02</t>
  </si>
  <si>
    <t>Gsl-05</t>
  </si>
  <si>
    <t>Gml-02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</si>
  <si>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</si>
  <si>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</si>
  <si>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</si>
  <si>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</si>
  <si>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</si>
  <si>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</si>
  <si>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</si>
  <si>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</si>
  <si>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</si>
  <si>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Gsl-06</t>
  </si>
  <si>
    <t>26.06.2021</t>
  </si>
  <si>
    <t>28.06.2021</t>
  </si>
  <si>
    <t>29.06.2021</t>
  </si>
  <si>
    <t>30.06.2021</t>
  </si>
  <si>
    <t>27.06.2021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</si>
  <si>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</si>
  <si>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</si>
  <si>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</si>
  <si>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</si>
  <si>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</si>
  <si>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</si>
  <si>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</si>
  <si>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</si>
  <si>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</si>
  <si>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</si>
  <si>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</si>
  <si>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</si>
  <si>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</si>
  <si>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</si>
  <si>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</si>
  <si>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</si>
  <si>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</si>
  <si>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</si>
  <si>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</si>
  <si>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</si>
  <si>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</si>
  <si>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</si>
  <si>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</si>
  <si>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</si>
  <si>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</si>
  <si>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</si>
  <si>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Gsl-07, 08, 09</t>
  </si>
  <si>
    <t>Gpl-02</t>
  </si>
  <si>
    <t>Gml-03</t>
  </si>
  <si>
    <t>Part no. 02, 03, 04, 05</t>
  </si>
  <si>
    <t>Gsl-07</t>
  </si>
  <si>
    <t>Part no. 01, 02, 03, 04, 05</t>
  </si>
  <si>
    <t>Gsl-08</t>
  </si>
  <si>
    <t>Gsl-09</t>
  </si>
  <si>
    <t>5Kg-03, 04, 05, 06</t>
  </si>
  <si>
    <t>5Kg-03</t>
  </si>
  <si>
    <t>5Kg-04</t>
  </si>
  <si>
    <t>5Kg-05</t>
  </si>
  <si>
    <t>5Kg-06</t>
  </si>
  <si>
    <t>Gsl-10</t>
  </si>
  <si>
    <t>01.08.2021</t>
  </si>
  <si>
    <t>02.08.2021</t>
  </si>
  <si>
    <t>01.09.2021</t>
  </si>
  <si>
    <t>Gsl-11</t>
  </si>
  <si>
    <t>Part no. 01</t>
  </si>
  <si>
    <t>Gml-04</t>
  </si>
  <si>
    <t>01.10.2021</t>
  </si>
  <si>
    <t>Gpl-03</t>
  </si>
  <si>
    <t>Gsl-11,12</t>
  </si>
  <si>
    <t>04.10.2021</t>
  </si>
  <si>
    <t>GSL-11</t>
  </si>
  <si>
    <t>PART NO. 02</t>
  </si>
  <si>
    <t>GML-4</t>
  </si>
  <si>
    <t>PART NO. 04</t>
  </si>
  <si>
    <t>05.10.2021</t>
  </si>
  <si>
    <t>5Kg-06,07</t>
  </si>
  <si>
    <t>06.10.2021</t>
  </si>
  <si>
    <t>5KG-6</t>
  </si>
  <si>
    <t>PART NO. 05</t>
  </si>
  <si>
    <t>08.10.2021</t>
  </si>
  <si>
    <t>PART NO. 3+4</t>
  </si>
  <si>
    <t>07.10.2021</t>
  </si>
  <si>
    <t>09.10.2021</t>
  </si>
  <si>
    <t>PART NO. 5</t>
  </si>
  <si>
    <t>11.10.2021</t>
  </si>
  <si>
    <t>12.10.2021</t>
  </si>
  <si>
    <t>13.10.2021</t>
  </si>
  <si>
    <t>14.10.2021</t>
  </si>
  <si>
    <t>5KG-7</t>
  </si>
  <si>
    <t>PART NO. 1</t>
  </si>
  <si>
    <t>18.10.2021</t>
  </si>
  <si>
    <t>GSL-12</t>
  </si>
  <si>
    <t>19.10.2021</t>
  </si>
  <si>
    <t>PART NO. 2</t>
  </si>
  <si>
    <t>20.10.2021</t>
  </si>
  <si>
    <t>21.10.2021</t>
  </si>
  <si>
    <t>22.10.2021</t>
  </si>
  <si>
    <t>PART NO. 3</t>
  </si>
  <si>
    <t>23.10.2021</t>
  </si>
  <si>
    <t>25.10.2021</t>
  </si>
  <si>
    <t>GPL-3</t>
  </si>
  <si>
    <t>26.10.2021</t>
  </si>
  <si>
    <t>27.10.2021</t>
  </si>
  <si>
    <t>GML-5</t>
  </si>
  <si>
    <t>Gml-04,5</t>
  </si>
  <si>
    <t>16.10.2021</t>
  </si>
  <si>
    <t>PART NO. 4</t>
  </si>
  <si>
    <t>28.10.2021</t>
  </si>
  <si>
    <t>BLEND TEA STOCK REGISTER FOR THE MONTH OF OCTOBER 2021</t>
  </si>
  <si>
    <t>BLEND TEA STOCK REGISTER FOR THE MONTH OF NOVEMBER 2021</t>
  </si>
  <si>
    <t>29.10.2021</t>
  </si>
  <si>
    <t>30.10.2021</t>
  </si>
  <si>
    <t>01.11.2021</t>
  </si>
  <si>
    <t>Blended tea received</t>
  </si>
  <si>
    <t>GSL-13</t>
  </si>
  <si>
    <t>02.11.2021</t>
  </si>
  <si>
    <t>03.11.2021</t>
  </si>
  <si>
    <t>Gml-5</t>
  </si>
  <si>
    <t>05.11.2021</t>
  </si>
  <si>
    <t>06.11.2021</t>
  </si>
  <si>
    <t>08.11.2021</t>
  </si>
  <si>
    <t>09.11.2021</t>
  </si>
  <si>
    <t>10.11.2021</t>
  </si>
  <si>
    <t>PART NO.4</t>
  </si>
  <si>
    <t>11.11.2021</t>
  </si>
  <si>
    <t>D.K STATEMENT -2021-22.xlsx</t>
  </si>
  <si>
    <t>DAILY PRODUCTION REGISTER-2021-22.xlsx</t>
  </si>
  <si>
    <t>12.11.2021</t>
  </si>
  <si>
    <t>5KG-8</t>
  </si>
  <si>
    <t>PART NO.1</t>
  </si>
  <si>
    <t>5Kg-7,8</t>
  </si>
  <si>
    <t>PART NO.5</t>
  </si>
  <si>
    <t>13.11.2021</t>
  </si>
  <si>
    <t>14.11.2021</t>
  </si>
  <si>
    <t>PART NO.2</t>
  </si>
  <si>
    <t>15.11.2021</t>
  </si>
  <si>
    <t>PART NO.3</t>
  </si>
  <si>
    <t>16.11.2021</t>
  </si>
  <si>
    <t>17.11.2021</t>
  </si>
  <si>
    <t>18.11.2021</t>
  </si>
  <si>
    <t>GSL-14</t>
  </si>
  <si>
    <t>19.11.2021</t>
  </si>
  <si>
    <t>20.11.2021</t>
  </si>
  <si>
    <t>22.11.2021</t>
  </si>
  <si>
    <t>23.11.2021</t>
  </si>
  <si>
    <t>24.11.2021</t>
  </si>
  <si>
    <t>25.11.2021</t>
  </si>
  <si>
    <t>26.11.2021</t>
  </si>
  <si>
    <t>27.11.2021</t>
  </si>
  <si>
    <t>29.11.2021</t>
  </si>
  <si>
    <t>30.11.2021</t>
  </si>
  <si>
    <t>GSL-15</t>
  </si>
  <si>
    <t>Gsl-13,14,15</t>
  </si>
  <si>
    <t>01.12.2021</t>
  </si>
  <si>
    <t>Gsl-15</t>
  </si>
  <si>
    <t xml:space="preserve">Issued For Production </t>
  </si>
  <si>
    <t>02.12.2021</t>
  </si>
  <si>
    <t>03.12.2021</t>
  </si>
  <si>
    <t>04.12.2021</t>
  </si>
  <si>
    <t>5KG-9</t>
  </si>
  <si>
    <t>5Kg-9</t>
  </si>
  <si>
    <t>06.12.2021</t>
  </si>
  <si>
    <t>07.12.2021</t>
  </si>
  <si>
    <t>PART NO. 4 &amp; 5</t>
  </si>
  <si>
    <t>08.12.2021</t>
  </si>
  <si>
    <t>09.12.2021</t>
  </si>
  <si>
    <t>10.12.2021</t>
  </si>
  <si>
    <t>Gpl -03</t>
  </si>
  <si>
    <t xml:space="preserve">Part No. 4 </t>
  </si>
  <si>
    <t>11.12.2021</t>
  </si>
  <si>
    <t>Part No. 3</t>
  </si>
  <si>
    <t>13.12.2021</t>
  </si>
  <si>
    <t>Part No. 5</t>
  </si>
  <si>
    <t>14.12.2021</t>
  </si>
  <si>
    <t>Part No. 4</t>
  </si>
  <si>
    <t>15.12.2021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</si>
</sst>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name val="Calibri"/>
      <family val="2"/>
      <scheme val="minor"/>
    </font>
    <font>
      <b/>
      <sz val="18"/>
      <name val="Calibri"/>
      <family val="2"/>
      <scheme val="minor"/>
    </font>
    <font>
      <b/>
      <sz val="18"/>
      <color rgb="FFFFFF00"/>
      <name val="Calibri"/>
      <family val="2"/>
      <scheme val="minor"/>
    </font>
    <font>
      <u/>
      <sz val="11"/>
      <color theme="10"/>
      <name val="Calibri"/>
      <charset val="13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</cellStyleXfs>
  <cellXfs count="202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0" fillId="0" borderId="0" xfId="0" applyBorder="1"/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1" fillId="3" borderId="10" xfId="0" applyFont="1" applyFill="1" applyBorder="1" applyAlignment="1">
      <alignment horizontal="center"/>
    </xf>
    <xf numFmtId="2" fontId="1" fillId="3" borderId="16" xfId="0" applyNumberFormat="1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2" fontId="1" fillId="3" borderId="18" xfId="0" applyNumberFormat="1" applyFont="1" applyFill="1" applyBorder="1" applyAlignment="1">
      <alignment horizontal="center"/>
    </xf>
    <xf numFmtId="0" fontId="0" fillId="3" borderId="17" xfId="0" applyFill="1" applyBorder="1"/>
    <xf numFmtId="0" fontId="0" fillId="3" borderId="18" xfId="0" applyFill="1" applyBorder="1"/>
    <xf numFmtId="165" fontId="1" fillId="0" borderId="5" xfId="0" applyNumberFormat="1" applyFont="1" applyBorder="1" applyAlignment="1"/>
    <xf numFmtId="0" fontId="1" fillId="0" borderId="12" xfId="0" applyFont="1" applyBorder="1" applyAlignment="1">
      <alignment horizontal="center"/>
    </xf>
    <xf numFmtId="164" fontId="7" fillId="2" borderId="21" xfId="0" applyNumberFormat="1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/>
    </xf>
    <xf numFmtId="2" fontId="2" fillId="3" borderId="3" xfId="0" applyNumberFormat="1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horizontal="center"/>
    </xf>
    <xf numFmtId="2" fontId="2" fillId="6" borderId="3" xfId="0" applyNumberFormat="1" applyFont="1" applyFill="1" applyBorder="1" applyAlignment="1">
      <alignment horizontal="center" vertical="center" wrapText="1"/>
    </xf>
    <xf numFmtId="0" fontId="6" fillId="3" borderId="31" xfId="0" applyFont="1" applyFill="1" applyBorder="1" applyAlignment="1">
      <alignment horizontal="center" vertical="center" wrapText="1"/>
    </xf>
    <xf numFmtId="164" fontId="2" fillId="3" borderId="23" xfId="0" applyNumberFormat="1" applyFont="1" applyFill="1" applyBorder="1" applyAlignment="1">
      <alignment horizontal="center" vertical="center" wrapText="1"/>
    </xf>
    <xf numFmtId="2" fontId="2" fillId="3" borderId="27" xfId="0" applyNumberFormat="1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/>
    </xf>
    <xf numFmtId="164" fontId="2" fillId="3" borderId="0" xfId="0" applyNumberFormat="1" applyFont="1" applyFill="1" applyBorder="1" applyAlignment="1">
      <alignment horizontal="center"/>
    </xf>
    <xf numFmtId="1" fontId="2" fillId="3" borderId="0" xfId="0" applyNumberFormat="1" applyFont="1" applyFill="1" applyBorder="1" applyAlignment="1">
      <alignment horizontal="center"/>
    </xf>
    <xf numFmtId="0" fontId="8" fillId="3" borderId="32" xfId="0" applyFont="1" applyFill="1" applyBorder="1"/>
    <xf numFmtId="0" fontId="2" fillId="3" borderId="33" xfId="0" applyFont="1" applyFill="1" applyBorder="1" applyAlignment="1">
      <alignment horizontal="center"/>
    </xf>
    <xf numFmtId="0" fontId="8" fillId="3" borderId="28" xfId="0" applyFont="1" applyFill="1" applyBorder="1"/>
    <xf numFmtId="0" fontId="8" fillId="3" borderId="0" xfId="0" applyFont="1" applyFill="1" applyBorder="1"/>
    <xf numFmtId="0" fontId="2" fillId="3" borderId="28" xfId="0" applyFont="1" applyFill="1" applyBorder="1" applyAlignment="1">
      <alignment horizontal="center" wrapText="1"/>
    </xf>
    <xf numFmtId="2" fontId="2" fillId="3" borderId="0" xfId="0" applyNumberFormat="1" applyFont="1" applyFill="1" applyBorder="1" applyAlignment="1">
      <alignment horizontal="center" vertical="center"/>
    </xf>
    <xf numFmtId="0" fontId="8" fillId="3" borderId="25" xfId="0" applyFont="1" applyFill="1" applyBorder="1"/>
    <xf numFmtId="0" fontId="8" fillId="3" borderId="22" xfId="0" applyFont="1" applyFill="1" applyBorder="1"/>
    <xf numFmtId="0" fontId="9" fillId="3" borderId="34" xfId="0" applyFont="1" applyFill="1" applyBorder="1" applyAlignment="1">
      <alignment vertical="center" wrapText="1"/>
    </xf>
    <xf numFmtId="0" fontId="1" fillId="7" borderId="10" xfId="0" applyFont="1" applyFill="1" applyBorder="1" applyAlignment="1">
      <alignment horizontal="center"/>
    </xf>
    <xf numFmtId="2" fontId="1" fillId="7" borderId="16" xfId="0" applyNumberFormat="1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2" fontId="1" fillId="7" borderId="18" xfId="0" applyNumberFormat="1" applyFont="1" applyFill="1" applyBorder="1" applyAlignment="1">
      <alignment horizontal="center"/>
    </xf>
    <xf numFmtId="0" fontId="0" fillId="7" borderId="17" xfId="0" applyFill="1" applyBorder="1"/>
    <xf numFmtId="0" fontId="0" fillId="7" borderId="18" xfId="0" applyFill="1" applyBorder="1"/>
    <xf numFmtId="164" fontId="1" fillId="5" borderId="23" xfId="0" applyNumberFormat="1" applyFont="1" applyFill="1" applyBorder="1" applyAlignment="1">
      <alignment horizontal="center" vertical="center" wrapText="1"/>
    </xf>
    <xf numFmtId="2" fontId="1" fillId="5" borderId="27" xfId="0" applyNumberFormat="1" applyFont="1" applyFill="1" applyBorder="1" applyAlignment="1">
      <alignment horizontal="center" vertical="center"/>
    </xf>
    <xf numFmtId="0" fontId="1" fillId="5" borderId="28" xfId="0" applyFont="1" applyFill="1" applyBorder="1" applyAlignment="1">
      <alignment horizontal="center"/>
    </xf>
    <xf numFmtId="164" fontId="1" fillId="5" borderId="0" xfId="0" applyNumberFormat="1" applyFont="1" applyFill="1" applyBorder="1" applyAlignment="1">
      <alignment horizontal="center"/>
    </xf>
    <xf numFmtId="1" fontId="1" fillId="5" borderId="0" xfId="0" applyNumberFormat="1" applyFont="1" applyFill="1" applyBorder="1" applyAlignment="1">
      <alignment horizontal="center"/>
    </xf>
    <xf numFmtId="0" fontId="0" fillId="5" borderId="32" xfId="0" applyFill="1" applyBorder="1"/>
    <xf numFmtId="0" fontId="0" fillId="5" borderId="8" xfId="0" applyFill="1" applyBorder="1" applyAlignment="1">
      <alignment horizontal="center"/>
    </xf>
    <xf numFmtId="0" fontId="1" fillId="5" borderId="33" xfId="0" applyFont="1" applyFill="1" applyBorder="1" applyAlignment="1">
      <alignment horizontal="center"/>
    </xf>
    <xf numFmtId="2" fontId="1" fillId="5" borderId="3" xfId="0" applyNumberFormat="1" applyFont="1" applyFill="1" applyBorder="1" applyAlignment="1">
      <alignment horizontal="center" vertical="center" wrapText="1"/>
    </xf>
    <xf numFmtId="0" fontId="0" fillId="5" borderId="28" xfId="0" applyFill="1" applyBorder="1"/>
    <xf numFmtId="0" fontId="0" fillId="5" borderId="0" xfId="0" applyFill="1" applyBorder="1"/>
    <xf numFmtId="0" fontId="6" fillId="5" borderId="31" xfId="0" applyFont="1" applyFill="1" applyBorder="1" applyAlignment="1">
      <alignment horizontal="center" vertical="center" wrapText="1"/>
    </xf>
    <xf numFmtId="0" fontId="1" fillId="5" borderId="28" xfId="0" applyFont="1" applyFill="1" applyBorder="1" applyAlignment="1">
      <alignment horizontal="center" wrapText="1"/>
    </xf>
    <xf numFmtId="2" fontId="1" fillId="5" borderId="0" xfId="0" applyNumberFormat="1" applyFont="1" applyFill="1" applyBorder="1" applyAlignment="1">
      <alignment horizontal="center" vertical="center"/>
    </xf>
    <xf numFmtId="0" fontId="0" fillId="5" borderId="25" xfId="0" applyFill="1" applyBorder="1"/>
    <xf numFmtId="0" fontId="0" fillId="5" borderId="22" xfId="0" applyFill="1" applyBorder="1"/>
    <xf numFmtId="0" fontId="5" fillId="5" borderId="34" xfId="0" applyFont="1" applyFill="1" applyBorder="1" applyAlignment="1">
      <alignment vertical="center" wrapText="1"/>
    </xf>
    <xf numFmtId="0" fontId="0" fillId="8" borderId="8" xfId="0" applyFill="1" applyBorder="1" applyAlignment="1">
      <alignment horizontal="center"/>
    </xf>
    <xf numFmtId="2" fontId="1" fillId="8" borderId="3" xfId="0" applyNumberFormat="1" applyFont="1" applyFill="1" applyBorder="1" applyAlignment="1">
      <alignment horizontal="center" vertical="center" wrapText="1"/>
    </xf>
    <xf numFmtId="164" fontId="1" fillId="8" borderId="0" xfId="0" applyNumberFormat="1" applyFont="1" applyFill="1" applyBorder="1" applyAlignment="1">
      <alignment horizontal="center"/>
    </xf>
    <xf numFmtId="1" fontId="1" fillId="8" borderId="0" xfId="0" applyNumberFormat="1" applyFont="1" applyFill="1" applyBorder="1" applyAlignment="1">
      <alignment horizontal="center"/>
    </xf>
    <xf numFmtId="0" fontId="0" fillId="8" borderId="0" xfId="0" applyFill="1" applyBorder="1"/>
    <xf numFmtId="0" fontId="1" fillId="8" borderId="0" xfId="0" applyFont="1" applyFill="1" applyBorder="1" applyAlignment="1">
      <alignment horizontal="center" vertical="center"/>
    </xf>
    <xf numFmtId="164" fontId="1" fillId="8" borderId="23" xfId="0" applyNumberFormat="1" applyFont="1" applyFill="1" applyBorder="1" applyAlignment="1">
      <alignment horizontal="center" vertical="center" wrapText="1"/>
    </xf>
    <xf numFmtId="164" fontId="1" fillId="8" borderId="27" xfId="0" applyNumberFormat="1" applyFont="1" applyFill="1" applyBorder="1" applyAlignment="1">
      <alignment horizontal="center" vertical="center"/>
    </xf>
    <xf numFmtId="0" fontId="1" fillId="8" borderId="28" xfId="0" applyFont="1" applyFill="1" applyBorder="1" applyAlignment="1">
      <alignment horizontal="center"/>
    </xf>
    <xf numFmtId="0" fontId="0" fillId="8" borderId="32" xfId="0" applyFill="1" applyBorder="1"/>
    <xf numFmtId="0" fontId="1" fillId="8" borderId="33" xfId="0" applyFont="1" applyFill="1" applyBorder="1" applyAlignment="1">
      <alignment horizontal="center"/>
    </xf>
    <xf numFmtId="0" fontId="0" fillId="8" borderId="28" xfId="0" applyFill="1" applyBorder="1"/>
    <xf numFmtId="0" fontId="6" fillId="8" borderId="31" xfId="0" applyFont="1" applyFill="1" applyBorder="1" applyAlignment="1">
      <alignment horizontal="center" vertical="center" wrapText="1"/>
    </xf>
    <xf numFmtId="0" fontId="1" fillId="8" borderId="28" xfId="0" applyFont="1" applyFill="1" applyBorder="1" applyAlignment="1">
      <alignment horizontal="center" wrapText="1"/>
    </xf>
    <xf numFmtId="0" fontId="0" fillId="8" borderId="25" xfId="0" applyFill="1" applyBorder="1"/>
    <xf numFmtId="0" fontId="0" fillId="8" borderId="22" xfId="0" applyFill="1" applyBorder="1"/>
    <xf numFmtId="0" fontId="5" fillId="8" borderId="34" xfId="0" applyFont="1" applyFill="1" applyBorder="1" applyAlignment="1">
      <alignment vertical="center" wrapText="1"/>
    </xf>
    <xf numFmtId="164" fontId="2" fillId="6" borderId="23" xfId="0" applyNumberFormat="1" applyFont="1" applyFill="1" applyBorder="1" applyAlignment="1">
      <alignment horizontal="center" vertical="center" wrapText="1"/>
    </xf>
    <xf numFmtId="2" fontId="2" fillId="6" borderId="27" xfId="0" applyNumberFormat="1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/>
    </xf>
    <xf numFmtId="164" fontId="2" fillId="6" borderId="0" xfId="0" applyNumberFormat="1" applyFont="1" applyFill="1" applyBorder="1" applyAlignment="1">
      <alignment horizontal="center"/>
    </xf>
    <xf numFmtId="1" fontId="2" fillId="6" borderId="0" xfId="0" applyNumberFormat="1" applyFont="1" applyFill="1" applyBorder="1" applyAlignment="1">
      <alignment horizontal="center"/>
    </xf>
    <xf numFmtId="0" fontId="8" fillId="6" borderId="32" xfId="0" applyFont="1" applyFill="1" applyBorder="1"/>
    <xf numFmtId="0" fontId="2" fillId="6" borderId="33" xfId="0" applyFont="1" applyFill="1" applyBorder="1" applyAlignment="1">
      <alignment horizontal="center"/>
    </xf>
    <xf numFmtId="0" fontId="8" fillId="6" borderId="28" xfId="0" applyFont="1" applyFill="1" applyBorder="1"/>
    <xf numFmtId="0" fontId="8" fillId="6" borderId="0" xfId="0" applyFont="1" applyFill="1" applyBorder="1"/>
    <xf numFmtId="0" fontId="6" fillId="6" borderId="31" xfId="0" applyFont="1" applyFill="1" applyBorder="1" applyAlignment="1">
      <alignment horizontal="center" vertical="center" wrapText="1"/>
    </xf>
    <xf numFmtId="0" fontId="2" fillId="6" borderId="28" xfId="0" applyFont="1" applyFill="1" applyBorder="1" applyAlignment="1">
      <alignment horizontal="center" wrapText="1"/>
    </xf>
    <xf numFmtId="0" fontId="2" fillId="6" borderId="0" xfId="0" applyFont="1" applyFill="1" applyBorder="1" applyAlignment="1">
      <alignment horizontal="center" vertical="center"/>
    </xf>
    <xf numFmtId="0" fontId="8" fillId="6" borderId="25" xfId="0" applyFont="1" applyFill="1" applyBorder="1"/>
    <xf numFmtId="0" fontId="8" fillId="6" borderId="22" xfId="0" applyFont="1" applyFill="1" applyBorder="1"/>
    <xf numFmtId="0" fontId="9" fillId="6" borderId="34" xfId="0" applyFont="1" applyFill="1" applyBorder="1" applyAlignment="1">
      <alignment vertical="center" wrapText="1"/>
    </xf>
    <xf numFmtId="2" fontId="1" fillId="0" borderId="1" xfId="0" applyNumberFormat="1" applyFont="1" applyBorder="1" applyAlignment="1"/>
    <xf numFmtId="0" fontId="1" fillId="2" borderId="5" xfId="0" applyFont="1" applyFill="1" applyBorder="1" applyAlignment="1">
      <alignment horizontal="center"/>
    </xf>
    <xf numFmtId="0" fontId="0" fillId="5" borderId="29" xfId="0" applyFill="1" applyBorder="1"/>
    <xf numFmtId="2" fontId="0" fillId="5" borderId="0" xfId="0" applyNumberFormat="1" applyFill="1" applyBorder="1"/>
    <xf numFmtId="0" fontId="0" fillId="5" borderId="26" xfId="0" applyFill="1" applyBorder="1"/>
    <xf numFmtId="164" fontId="0" fillId="3" borderId="23" xfId="0" applyNumberFormat="1" applyFill="1" applyBorder="1"/>
    <xf numFmtId="2" fontId="0" fillId="3" borderId="24" xfId="0" applyNumberFormat="1" applyFill="1" applyBorder="1"/>
    <xf numFmtId="0" fontId="0" fillId="3" borderId="28" xfId="0" applyFill="1" applyBorder="1"/>
    <xf numFmtId="164" fontId="0" fillId="3" borderId="0" xfId="0" applyNumberFormat="1" applyFill="1" applyBorder="1"/>
    <xf numFmtId="2" fontId="0" fillId="3" borderId="29" xfId="0" applyNumberFormat="1" applyFill="1" applyBorder="1"/>
    <xf numFmtId="0" fontId="0" fillId="3" borderId="0" xfId="0" applyFill="1" applyBorder="1"/>
    <xf numFmtId="0" fontId="0" fillId="3" borderId="29" xfId="0" applyFill="1" applyBorder="1"/>
    <xf numFmtId="2" fontId="0" fillId="3" borderId="0" xfId="0" applyNumberFormat="1" applyFill="1" applyBorder="1"/>
    <xf numFmtId="0" fontId="0" fillId="3" borderId="25" xfId="0" applyFill="1" applyBorder="1"/>
    <xf numFmtId="2" fontId="0" fillId="3" borderId="22" xfId="0" applyNumberFormat="1" applyFill="1" applyBorder="1"/>
    <xf numFmtId="0" fontId="0" fillId="3" borderId="26" xfId="0" applyFill="1" applyBorder="1"/>
    <xf numFmtId="0" fontId="10" fillId="3" borderId="27" xfId="0" applyFont="1" applyFill="1" applyBorder="1"/>
    <xf numFmtId="2" fontId="0" fillId="9" borderId="23" xfId="0" applyNumberFormat="1" applyFill="1" applyBorder="1"/>
    <xf numFmtId="0" fontId="10" fillId="9" borderId="27" xfId="0" applyFont="1" applyFill="1" applyBorder="1"/>
    <xf numFmtId="0" fontId="0" fillId="9" borderId="24" xfId="0" applyFill="1" applyBorder="1"/>
    <xf numFmtId="0" fontId="0" fillId="9" borderId="28" xfId="0" applyFill="1" applyBorder="1"/>
    <xf numFmtId="0" fontId="0" fillId="9" borderId="0" xfId="0" applyFill="1" applyBorder="1"/>
    <xf numFmtId="0" fontId="0" fillId="9" borderId="29" xfId="0" applyFill="1" applyBorder="1"/>
    <xf numFmtId="2" fontId="0" fillId="9" borderId="0" xfId="0" applyNumberFormat="1" applyFill="1" applyBorder="1"/>
    <xf numFmtId="0" fontId="0" fillId="9" borderId="25" xfId="0" applyFill="1" applyBorder="1"/>
    <xf numFmtId="2" fontId="0" fillId="9" borderId="22" xfId="0" applyNumberFormat="1" applyFill="1" applyBorder="1"/>
    <xf numFmtId="0" fontId="0" fillId="9" borderId="26" xfId="0" applyFill="1" applyBorder="1"/>
    <xf numFmtId="2" fontId="0" fillId="5" borderId="23" xfId="0" applyNumberFormat="1" applyFill="1" applyBorder="1"/>
    <xf numFmtId="0" fontId="0" fillId="5" borderId="24" xfId="0" applyFill="1" applyBorder="1"/>
    <xf numFmtId="2" fontId="0" fillId="8" borderId="23" xfId="0" applyNumberFormat="1" applyFill="1" applyBorder="1"/>
    <xf numFmtId="0" fontId="0" fillId="8" borderId="24" xfId="0" applyFill="1" applyBorder="1"/>
    <xf numFmtId="0" fontId="0" fillId="8" borderId="29" xfId="0" applyFill="1" applyBorder="1"/>
    <xf numFmtId="2" fontId="0" fillId="8" borderId="0" xfId="0" applyNumberFormat="1" applyFill="1" applyBorder="1"/>
    <xf numFmtId="2" fontId="0" fillId="8" borderId="22" xfId="0" applyNumberFormat="1" applyFill="1" applyBorder="1"/>
    <xf numFmtId="0" fontId="0" fillId="8" borderId="26" xfId="0" applyFill="1" applyBorder="1"/>
    <xf numFmtId="0" fontId="10" fillId="8" borderId="27" xfId="0" applyFont="1" applyFill="1" applyBorder="1"/>
    <xf numFmtId="0" fontId="10" fillId="5" borderId="27" xfId="0" applyFont="1" applyFill="1" applyBorder="1"/>
    <xf numFmtId="0" fontId="0" fillId="4" borderId="23" xfId="0" applyFill="1" applyBorder="1"/>
    <xf numFmtId="2" fontId="0" fillId="4" borderId="24" xfId="0" applyNumberFormat="1" applyFill="1" applyBorder="1"/>
    <xf numFmtId="0" fontId="0" fillId="4" borderId="25" xfId="0" applyFill="1" applyBorder="1"/>
    <xf numFmtId="2" fontId="0" fillId="4" borderId="26" xfId="0" applyNumberFormat="1" applyFill="1" applyBorder="1"/>
    <xf numFmtId="0" fontId="11" fillId="0" borderId="0" xfId="1" applyAlignment="1" applyProtection="1"/>
    <xf numFmtId="0" fontId="3" fillId="0" borderId="8" xfId="0" applyFont="1" applyBorder="1" applyAlignment="1">
      <alignment horizontal="center"/>
    </xf>
    <xf numFmtId="0" fontId="4" fillId="0" borderId="23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2" fontId="4" fillId="0" borderId="24" xfId="0" applyNumberFormat="1" applyFont="1" applyBorder="1" applyAlignment="1">
      <alignment horizontal="center" vertical="center"/>
    </xf>
    <xf numFmtId="2" fontId="4" fillId="0" borderId="26" xfId="0" applyNumberFormat="1" applyFont="1" applyBorder="1" applyAlignment="1">
      <alignment horizontal="center" vertical="center"/>
    </xf>
    <xf numFmtId="0" fontId="10" fillId="8" borderId="30" xfId="0" applyFont="1" applyFill="1" applyBorder="1" applyAlignment="1">
      <alignment horizontal="center" vertical="center" wrapText="1"/>
    </xf>
    <xf numFmtId="0" fontId="10" fillId="8" borderId="31" xfId="0" applyFont="1" applyFill="1" applyBorder="1" applyAlignment="1">
      <alignment horizontal="center" vertical="center" wrapText="1"/>
    </xf>
    <xf numFmtId="0" fontId="10" fillId="6" borderId="30" xfId="0" applyFont="1" applyFill="1" applyBorder="1" applyAlignment="1">
      <alignment horizontal="center" vertical="center" wrapText="1"/>
    </xf>
    <xf numFmtId="0" fontId="10" fillId="6" borderId="31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2" fontId="4" fillId="3" borderId="16" xfId="0" applyNumberFormat="1" applyFont="1" applyFill="1" applyBorder="1" applyAlignment="1">
      <alignment horizontal="center" vertical="center"/>
    </xf>
    <xf numFmtId="2" fontId="4" fillId="3" borderId="20" xfId="0" applyNumberFormat="1" applyFont="1" applyFill="1" applyBorder="1" applyAlignment="1">
      <alignment horizontal="center" vertical="center"/>
    </xf>
    <xf numFmtId="0" fontId="10" fillId="3" borderId="30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10" fillId="5" borderId="30" xfId="0" applyFont="1" applyFill="1" applyBorder="1" applyAlignment="1">
      <alignment horizontal="center" vertical="center" wrapText="1"/>
    </xf>
    <xf numFmtId="0" fontId="10" fillId="5" borderId="31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/>
    </xf>
    <xf numFmtId="0" fontId="4" fillId="7" borderId="19" xfId="0" applyFont="1" applyFill="1" applyBorder="1" applyAlignment="1">
      <alignment horizontal="center" vertical="center"/>
    </xf>
    <xf numFmtId="2" fontId="4" fillId="7" borderId="16" xfId="0" applyNumberFormat="1" applyFont="1" applyFill="1" applyBorder="1" applyAlignment="1">
      <alignment horizontal="center" vertical="center"/>
    </xf>
    <xf numFmtId="2" fontId="4" fillId="7" borderId="20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">
    <dxf>
      <font>
        <b val="0"/>
        <i val="0"/>
        <color rgb="FF00B050"/>
      </font>
    </dxf>
    <dxf>
      <font>
        <b val="0"/>
        <i val="0"/>
        <color rgb="FF00B050"/>
      </font>
    </dxf>
    <dxf>
      <font>
        <b val="0"/>
        <i val="0"/>
        <color rgb="FF00B050"/>
      </font>
    </dxf>
    <dxf>
      <font>
        <b val="0"/>
        <i val="0"/>
        <color rgb="FF00B050"/>
      </font>
    </dxf>
  </dxfs>
  <tableStyles count="0" defaultTableStyle="TableStyleMedium9" defaultPivotStyle="PivotStyleLight16"/>
  <colors>
    <mruColors>
      <color rgb="FF21FB45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taka/Desktop/New%20folder/excel-oct-edit/excel-oct-edit/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  <sheetName val="November 2021"/>
      <sheetName val="December 2021"/>
    </sheetNames>
    <sheetDataSet>
      <sheetData sheetId="0"/>
      <sheetData sheetId="1">
        <row r="15">
          <cell r="N15">
            <v>43031.329999999994</v>
          </cell>
        </row>
      </sheetData>
      <sheetData sheetId="2">
        <row r="15">
          <cell r="N15">
            <v>65372.87</v>
          </cell>
        </row>
      </sheetData>
      <sheetData sheetId="3"/>
      <sheetData sheetId="4">
        <row r="15">
          <cell r="N15">
            <v>104683.68</v>
          </cell>
        </row>
      </sheetData>
      <sheetData sheetId="5"/>
      <sheetData sheetId="6">
        <row r="15">
          <cell r="N15">
            <v>43368.410400000008</v>
          </cell>
        </row>
      </sheetData>
      <sheetData sheetId="7"/>
      <sheetData sheetId="8">
        <row r="15">
          <cell r="N15">
            <v>30031.840000000004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 refreshError="1"/>
      <sheetData sheetId="1" refreshError="1"/>
      <sheetData sheetId="2" refreshError="1"/>
      <sheetData sheetId="3">
        <row r="15">
          <cell r="N15">
            <v>223476.00800000003</v>
          </cell>
        </row>
      </sheetData>
      <sheetData sheetId="4" refreshError="1"/>
      <sheetData sheetId="5">
        <row r="15">
          <cell r="N15">
            <v>69076.610400000005</v>
          </cell>
        </row>
      </sheetData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DAILY%20PRODUCTION%20REGISTER-2021-22.xlsx" TargetMode="External"/><Relationship Id="rId1" Type="http://schemas.openxmlformats.org/officeDocument/2006/relationships/hyperlink" Target="D.K%20STATEMENT%20-2021-22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DAILY%20PRODUCTION%20REGISTER-2021-22.xlsx" TargetMode="External"/><Relationship Id="rId1" Type="http://schemas.openxmlformats.org/officeDocument/2006/relationships/hyperlink" Target="D.K%20STATEMENT%20-2021-22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A1:O70"/>
  <sheetViews>
    <sheetView zoomScaleNormal="100" workbookViewId="0">
      <selection activeCell="C43" sqref="C43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181" t="s">
        <v>15</v>
      </c>
      <c r="B1" s="181"/>
      <c r="C1" s="181"/>
      <c r="D1" s="181"/>
      <c r="E1" s="181"/>
      <c r="F1" s="181"/>
      <c r="G1" s="181"/>
      <c r="H1" s="181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14</v>
      </c>
      <c r="B3" s="19" t="s">
        <v>8</v>
      </c>
      <c r="C3" s="22"/>
      <c r="D3" s="3"/>
      <c r="E3" s="23"/>
      <c r="F3" s="37"/>
      <c r="G3" s="33"/>
      <c r="H3" s="28">
        <v>52072.93</v>
      </c>
    </row>
    <row r="4" spans="1:8">
      <c r="A4" s="12" t="s">
        <v>16</v>
      </c>
      <c r="B4" s="20" t="s">
        <v>21</v>
      </c>
      <c r="C4" s="12" t="s">
        <v>22</v>
      </c>
      <c r="D4" s="12" t="s">
        <v>24</v>
      </c>
      <c r="E4" s="25">
        <v>7225.4</v>
      </c>
      <c r="F4" s="38"/>
      <c r="G4" s="34"/>
      <c r="H4" s="29">
        <f>H3+E4+F4-G4</f>
        <v>59298.33</v>
      </c>
    </row>
    <row r="5" spans="1:8">
      <c r="A5" s="12" t="s">
        <v>16</v>
      </c>
      <c r="B5" s="12" t="s">
        <v>25</v>
      </c>
      <c r="C5" s="12"/>
      <c r="D5" s="12"/>
      <c r="E5" s="25"/>
      <c r="F5" s="26"/>
      <c r="G5" s="34">
        <v>2256</v>
      </c>
      <c r="H5" s="29">
        <f t="shared" ref="H5:H67" si="0">H4+E5+F5-G5</f>
        <v>57042.33</v>
      </c>
    </row>
    <row r="6" spans="1:8">
      <c r="A6" s="12" t="s">
        <v>17</v>
      </c>
      <c r="B6" s="20" t="s">
        <v>21</v>
      </c>
      <c r="C6" s="12" t="s">
        <v>22</v>
      </c>
      <c r="D6" s="12" t="s">
        <v>23</v>
      </c>
      <c r="E6" s="25">
        <v>7225.4</v>
      </c>
      <c r="F6" s="26"/>
      <c r="G6" s="34"/>
      <c r="H6" s="29">
        <f t="shared" si="0"/>
        <v>64267.73</v>
      </c>
    </row>
    <row r="7" spans="1:8">
      <c r="A7" s="12" t="s">
        <v>17</v>
      </c>
      <c r="B7" s="12" t="s">
        <v>25</v>
      </c>
      <c r="C7" s="12"/>
      <c r="D7" s="12"/>
      <c r="E7" s="25"/>
      <c r="F7" s="26"/>
      <c r="G7" s="34">
        <v>4824</v>
      </c>
      <c r="H7" s="29">
        <f t="shared" si="0"/>
        <v>59443.73</v>
      </c>
    </row>
    <row r="8" spans="1:8">
      <c r="A8" s="12" t="s">
        <v>18</v>
      </c>
      <c r="B8" s="20" t="s">
        <v>25</v>
      </c>
      <c r="C8" s="12"/>
      <c r="D8" s="12"/>
      <c r="E8" s="25"/>
      <c r="F8" s="26"/>
      <c r="G8" s="34">
        <v>5916</v>
      </c>
      <c r="H8" s="29">
        <f t="shared" si="0"/>
        <v>53527.73</v>
      </c>
    </row>
    <row r="9" spans="1:8">
      <c r="A9" s="12" t="s">
        <v>19</v>
      </c>
      <c r="B9" s="20" t="s">
        <v>25</v>
      </c>
      <c r="C9" s="12"/>
      <c r="D9" s="12"/>
      <c r="E9" s="25"/>
      <c r="F9" s="26"/>
      <c r="G9" s="34">
        <v>7452</v>
      </c>
      <c r="H9" s="29">
        <f t="shared" si="0"/>
        <v>46075.73</v>
      </c>
    </row>
    <row r="10" spans="1:8">
      <c r="A10" s="12" t="s">
        <v>20</v>
      </c>
      <c r="B10" s="12" t="s">
        <v>21</v>
      </c>
      <c r="C10" s="12" t="s">
        <v>22</v>
      </c>
      <c r="D10" s="12" t="s">
        <v>27</v>
      </c>
      <c r="E10" s="25">
        <v>7225.4</v>
      </c>
      <c r="F10" s="26"/>
      <c r="G10" s="34"/>
      <c r="H10" s="29">
        <f t="shared" si="0"/>
        <v>53301.130000000005</v>
      </c>
    </row>
    <row r="11" spans="1:8">
      <c r="A11" s="12" t="s">
        <v>20</v>
      </c>
      <c r="B11" s="12" t="s">
        <v>25</v>
      </c>
      <c r="C11" s="12"/>
      <c r="D11" s="12"/>
      <c r="E11" s="25"/>
      <c r="F11" s="26"/>
      <c r="G11" s="34">
        <v>2376</v>
      </c>
      <c r="H11" s="29">
        <f t="shared" si="0"/>
        <v>50925.130000000005</v>
      </c>
    </row>
    <row r="12" spans="1:8">
      <c r="A12" s="12" t="s">
        <v>28</v>
      </c>
      <c r="B12" s="12" t="s">
        <v>21</v>
      </c>
      <c r="C12" s="12" t="s">
        <v>22</v>
      </c>
      <c r="D12" s="12" t="s">
        <v>29</v>
      </c>
      <c r="E12" s="25">
        <v>7225.4</v>
      </c>
      <c r="F12" s="26"/>
      <c r="G12" s="34"/>
      <c r="H12" s="29">
        <f t="shared" si="0"/>
        <v>58150.530000000006</v>
      </c>
    </row>
    <row r="13" spans="1:8">
      <c r="A13" s="12" t="s">
        <v>28</v>
      </c>
      <c r="B13" s="20" t="s">
        <v>25</v>
      </c>
      <c r="C13" s="12"/>
      <c r="D13" s="12"/>
      <c r="E13" s="25"/>
      <c r="F13" s="26"/>
      <c r="G13" s="34">
        <v>6144</v>
      </c>
      <c r="H13" s="29">
        <f t="shared" si="0"/>
        <v>52006.530000000006</v>
      </c>
    </row>
    <row r="14" spans="1:8">
      <c r="A14" s="12" t="s">
        <v>26</v>
      </c>
      <c r="B14" s="12" t="s">
        <v>21</v>
      </c>
      <c r="C14" s="12" t="s">
        <v>22</v>
      </c>
      <c r="D14" s="12" t="s">
        <v>68</v>
      </c>
      <c r="E14" s="25">
        <v>7225.4</v>
      </c>
      <c r="F14" s="26"/>
      <c r="G14" s="34"/>
      <c r="H14" s="29">
        <f t="shared" si="0"/>
        <v>59231.930000000008</v>
      </c>
    </row>
    <row r="15" spans="1:8">
      <c r="A15" s="12" t="s">
        <v>26</v>
      </c>
      <c r="B15" s="20" t="s">
        <v>33</v>
      </c>
      <c r="C15" s="12"/>
      <c r="D15" s="12"/>
      <c r="E15" s="25"/>
      <c r="F15" s="26">
        <v>145</v>
      </c>
      <c r="G15" s="34"/>
      <c r="H15" s="29">
        <f t="shared" si="0"/>
        <v>59376.930000000008</v>
      </c>
    </row>
    <row r="16" spans="1:8" ht="15" customHeight="1">
      <c r="A16" s="12" t="s">
        <v>26</v>
      </c>
      <c r="B16" s="20" t="s">
        <v>25</v>
      </c>
      <c r="C16" s="12"/>
      <c r="D16" s="12"/>
      <c r="E16" s="25"/>
      <c r="F16" s="26"/>
      <c r="G16" s="34">
        <v>4596</v>
      </c>
      <c r="H16" s="29">
        <f t="shared" si="0"/>
        <v>54780.930000000008</v>
      </c>
    </row>
    <row r="17" spans="1:12" ht="15" customHeight="1">
      <c r="A17" s="12" t="s">
        <v>30</v>
      </c>
      <c r="B17" s="20" t="s">
        <v>25</v>
      </c>
      <c r="C17" s="12"/>
      <c r="D17" s="12"/>
      <c r="E17" s="25"/>
      <c r="F17" s="26"/>
      <c r="G17" s="34">
        <v>4082</v>
      </c>
      <c r="H17" s="29">
        <f t="shared" si="0"/>
        <v>50698.930000000008</v>
      </c>
    </row>
    <row r="18" spans="1:12" ht="15" customHeight="1">
      <c r="A18" s="12" t="s">
        <v>31</v>
      </c>
      <c r="B18" s="20" t="s">
        <v>25</v>
      </c>
      <c r="C18" s="12"/>
      <c r="D18" s="12"/>
      <c r="E18" s="25"/>
      <c r="F18" s="26"/>
      <c r="G18" s="34">
        <v>5428</v>
      </c>
      <c r="H18" s="29">
        <f t="shared" si="0"/>
        <v>45270.930000000008</v>
      </c>
    </row>
    <row r="19" spans="1:12" ht="15" customHeight="1">
      <c r="A19" s="12" t="s">
        <v>32</v>
      </c>
      <c r="B19" s="20" t="s">
        <v>25</v>
      </c>
      <c r="C19" s="12"/>
      <c r="D19" s="12"/>
      <c r="E19" s="25"/>
      <c r="F19" s="26"/>
      <c r="G19" s="34">
        <v>7954</v>
      </c>
      <c r="H19" s="29">
        <f t="shared" si="0"/>
        <v>37316.930000000008</v>
      </c>
    </row>
    <row r="20" spans="1:12" ht="15" customHeight="1">
      <c r="A20" s="12" t="s">
        <v>34</v>
      </c>
      <c r="B20" s="20" t="s">
        <v>25</v>
      </c>
      <c r="C20" s="12"/>
      <c r="D20" s="12"/>
      <c r="E20" s="25"/>
      <c r="F20" s="26"/>
      <c r="G20" s="34">
        <v>5976</v>
      </c>
      <c r="H20" s="29">
        <f t="shared" si="0"/>
        <v>31340.930000000008</v>
      </c>
    </row>
    <row r="21" spans="1:12" ht="15" customHeight="1">
      <c r="A21" s="12" t="s">
        <v>35</v>
      </c>
      <c r="B21" s="20" t="s">
        <v>25</v>
      </c>
      <c r="C21" s="12"/>
      <c r="D21" s="12"/>
      <c r="E21" s="25"/>
      <c r="F21" s="26"/>
      <c r="G21" s="34">
        <v>3912</v>
      </c>
      <c r="H21" s="29">
        <f t="shared" si="0"/>
        <v>27428.930000000008</v>
      </c>
    </row>
    <row r="22" spans="1:12" ht="15.75" customHeight="1">
      <c r="A22" s="12" t="s">
        <v>36</v>
      </c>
      <c r="B22" s="20" t="s">
        <v>21</v>
      </c>
      <c r="C22" s="12" t="s">
        <v>38</v>
      </c>
      <c r="D22" s="12" t="s">
        <v>24</v>
      </c>
      <c r="E22" s="25">
        <v>7370.8</v>
      </c>
      <c r="F22" s="26"/>
      <c r="G22" s="34"/>
      <c r="H22" s="29">
        <f>H21+E22+F22-G22</f>
        <v>34799.73000000001</v>
      </c>
    </row>
    <row r="23" spans="1:12" ht="15.75" customHeight="1">
      <c r="A23" s="12" t="s">
        <v>36</v>
      </c>
      <c r="B23" s="12" t="s">
        <v>25</v>
      </c>
      <c r="C23" s="12"/>
      <c r="D23" s="12"/>
      <c r="E23" s="40"/>
      <c r="F23" s="26"/>
      <c r="G23" s="34">
        <v>7698</v>
      </c>
      <c r="H23" s="29">
        <f t="shared" si="0"/>
        <v>27101.73000000001</v>
      </c>
    </row>
    <row r="24" spans="1:12">
      <c r="A24" s="12" t="s">
        <v>37</v>
      </c>
      <c r="B24" s="12" t="s">
        <v>21</v>
      </c>
      <c r="C24" s="12" t="s">
        <v>38</v>
      </c>
      <c r="D24" s="12" t="s">
        <v>23</v>
      </c>
      <c r="E24" s="25">
        <v>7370.8</v>
      </c>
      <c r="F24" s="26"/>
      <c r="G24" s="34"/>
      <c r="H24" s="29">
        <f t="shared" si="0"/>
        <v>34472.530000000013</v>
      </c>
    </row>
    <row r="25" spans="1:12">
      <c r="A25" s="12" t="s">
        <v>37</v>
      </c>
      <c r="B25" s="12" t="s">
        <v>25</v>
      </c>
      <c r="C25" s="12"/>
      <c r="D25" s="12"/>
      <c r="E25" s="25"/>
      <c r="F25" s="26"/>
      <c r="G25" s="34">
        <v>7032</v>
      </c>
      <c r="H25" s="29">
        <f t="shared" si="0"/>
        <v>27440.530000000013</v>
      </c>
    </row>
    <row r="26" spans="1:12">
      <c r="A26" s="12" t="s">
        <v>39</v>
      </c>
      <c r="B26" s="12" t="s">
        <v>25</v>
      </c>
      <c r="C26" s="12"/>
      <c r="D26" s="12"/>
      <c r="E26" s="40"/>
      <c r="F26" s="26"/>
      <c r="G26" s="34">
        <v>4464</v>
      </c>
      <c r="H26" s="29">
        <f t="shared" si="0"/>
        <v>22976.530000000013</v>
      </c>
    </row>
    <row r="27" spans="1:12">
      <c r="A27" s="12" t="s">
        <v>40</v>
      </c>
      <c r="B27" s="12" t="s">
        <v>25</v>
      </c>
      <c r="C27" s="12"/>
      <c r="D27" s="12"/>
      <c r="E27" s="25"/>
      <c r="F27" s="26"/>
      <c r="G27" s="34">
        <v>6948</v>
      </c>
      <c r="H27" s="29">
        <f>H26+E27+F27-G27</f>
        <v>16028.530000000013</v>
      </c>
    </row>
    <row r="28" spans="1:12">
      <c r="A28" s="12" t="s">
        <v>41</v>
      </c>
      <c r="B28" s="12" t="s">
        <v>21</v>
      </c>
      <c r="C28" s="12" t="s">
        <v>38</v>
      </c>
      <c r="D28" s="12" t="s">
        <v>27</v>
      </c>
      <c r="E28" s="25">
        <v>7370.8</v>
      </c>
      <c r="F28" s="26"/>
      <c r="G28" s="34"/>
      <c r="H28" s="29">
        <f t="shared" si="0"/>
        <v>23399.330000000013</v>
      </c>
      <c r="K28" s="176" t="s">
        <v>9</v>
      </c>
      <c r="L28" s="177">
        <f>82345.24</f>
        <v>82345.240000000005</v>
      </c>
    </row>
    <row r="29" spans="1:12" ht="15" customHeight="1">
      <c r="A29" s="12" t="s">
        <v>41</v>
      </c>
      <c r="B29" s="12" t="s">
        <v>25</v>
      </c>
      <c r="C29" s="12"/>
      <c r="D29" s="12"/>
      <c r="E29" s="25"/>
      <c r="F29" s="26"/>
      <c r="G29" s="34">
        <v>5802</v>
      </c>
      <c r="H29" s="29">
        <f t="shared" si="0"/>
        <v>17597.330000000013</v>
      </c>
      <c r="K29" s="178" t="s">
        <v>10</v>
      </c>
      <c r="L29" s="179">
        <f>H67+K41+K42+K49+K50+K57+K58+K65+K66</f>
        <v>83744.640000000029</v>
      </c>
    </row>
    <row r="30" spans="1:12" ht="15" customHeight="1">
      <c r="A30" s="12" t="s">
        <v>42</v>
      </c>
      <c r="B30" s="12" t="s">
        <v>25</v>
      </c>
      <c r="C30" s="12"/>
      <c r="D30" s="12"/>
      <c r="E30" s="40"/>
      <c r="F30" s="26"/>
      <c r="G30" s="34">
        <v>6000</v>
      </c>
      <c r="H30" s="29">
        <f t="shared" si="0"/>
        <v>11597.330000000013</v>
      </c>
    </row>
    <row r="31" spans="1:12" ht="15.75" customHeight="1">
      <c r="A31" s="12" t="s">
        <v>43</v>
      </c>
      <c r="B31" s="12" t="s">
        <v>21</v>
      </c>
      <c r="C31" s="12" t="s">
        <v>38</v>
      </c>
      <c r="D31" s="12" t="s">
        <v>44</v>
      </c>
      <c r="E31" s="25">
        <f>7370.8*2</f>
        <v>14741.6</v>
      </c>
      <c r="F31" s="26"/>
      <c r="G31" s="34"/>
      <c r="H31" s="29">
        <f t="shared" si="0"/>
        <v>26338.930000000015</v>
      </c>
      <c r="K31" s="182" t="s">
        <v>11</v>
      </c>
      <c r="L31" s="184">
        <f>L28-L29</f>
        <v>-1399.4000000000233</v>
      </c>
    </row>
    <row r="32" spans="1:12" ht="15.75" customHeight="1">
      <c r="A32" s="12" t="s">
        <v>43</v>
      </c>
      <c r="B32" s="12" t="s">
        <v>33</v>
      </c>
      <c r="C32" s="12"/>
      <c r="D32" s="12"/>
      <c r="E32" s="25"/>
      <c r="F32" s="26">
        <v>147.41</v>
      </c>
      <c r="G32" s="34"/>
      <c r="H32" s="29">
        <f t="shared" si="0"/>
        <v>26486.340000000015</v>
      </c>
      <c r="K32" s="183"/>
      <c r="L32" s="185"/>
    </row>
    <row r="33" spans="1:15" ht="15.75" customHeight="1">
      <c r="A33" s="12" t="s">
        <v>43</v>
      </c>
      <c r="B33" s="12" t="s">
        <v>25</v>
      </c>
      <c r="C33" s="12"/>
      <c r="D33" s="12"/>
      <c r="E33" s="40"/>
      <c r="F33" s="26"/>
      <c r="G33" s="34">
        <v>4008</v>
      </c>
      <c r="H33" s="29">
        <f t="shared" si="0"/>
        <v>22478.340000000015</v>
      </c>
      <c r="K33" s="44"/>
      <c r="L33" s="45"/>
    </row>
    <row r="34" spans="1:15" ht="15.75" customHeight="1">
      <c r="A34" s="12" t="s">
        <v>45</v>
      </c>
      <c r="B34" s="12" t="s">
        <v>21</v>
      </c>
      <c r="C34" s="12" t="s">
        <v>46</v>
      </c>
      <c r="D34" s="12" t="s">
        <v>24</v>
      </c>
      <c r="E34" s="40">
        <v>7130.46</v>
      </c>
      <c r="F34" s="26"/>
      <c r="G34" s="34"/>
      <c r="H34" s="29">
        <f t="shared" si="0"/>
        <v>29608.800000000014</v>
      </c>
      <c r="O34" s="1"/>
    </row>
    <row r="35" spans="1:15" ht="15" customHeight="1">
      <c r="A35" s="12" t="s">
        <v>45</v>
      </c>
      <c r="B35" s="12" t="s">
        <v>25</v>
      </c>
      <c r="C35" s="12"/>
      <c r="D35" s="12"/>
      <c r="E35" s="40"/>
      <c r="F35" s="26"/>
      <c r="G35" s="34">
        <v>3974</v>
      </c>
      <c r="H35" s="29">
        <f t="shared" si="0"/>
        <v>25634.800000000014</v>
      </c>
      <c r="O35" s="1"/>
    </row>
    <row r="36" spans="1:15">
      <c r="A36" s="12" t="s">
        <v>48</v>
      </c>
      <c r="B36" s="12" t="s">
        <v>21</v>
      </c>
      <c r="C36" s="12" t="s">
        <v>46</v>
      </c>
      <c r="D36" s="12" t="s">
        <v>23</v>
      </c>
      <c r="E36" s="40">
        <v>7130.46</v>
      </c>
      <c r="F36" s="26"/>
      <c r="G36" s="34"/>
      <c r="H36" s="29">
        <f t="shared" si="0"/>
        <v>32765.260000000013</v>
      </c>
      <c r="J36" s="10"/>
    </row>
    <row r="37" spans="1:15" ht="23.25">
      <c r="A37" s="12" t="s">
        <v>48</v>
      </c>
      <c r="B37" s="12" t="s">
        <v>21</v>
      </c>
      <c r="C37" s="12" t="s">
        <v>49</v>
      </c>
      <c r="D37" s="12" t="s">
        <v>24</v>
      </c>
      <c r="E37" s="40">
        <v>3042.56</v>
      </c>
      <c r="F37" s="26"/>
      <c r="G37" s="34"/>
      <c r="H37" s="29">
        <f t="shared" si="0"/>
        <v>35807.820000000014</v>
      </c>
      <c r="J37" s="144">
        <f>E41*1</f>
        <v>7239.04</v>
      </c>
      <c r="K37" s="155" t="s">
        <v>53</v>
      </c>
      <c r="L37" s="145">
        <v>147.41</v>
      </c>
    </row>
    <row r="38" spans="1:15" ht="15" customHeight="1">
      <c r="A38" s="12" t="s">
        <v>48</v>
      </c>
      <c r="B38" s="20" t="s">
        <v>25</v>
      </c>
      <c r="C38" s="12"/>
      <c r="D38" s="12"/>
      <c r="E38" s="40"/>
      <c r="F38" s="26"/>
      <c r="G38" s="34">
        <v>2634</v>
      </c>
      <c r="H38" s="29">
        <f t="shared" si="0"/>
        <v>33173.820000000014</v>
      </c>
      <c r="J38" s="146"/>
      <c r="K38" s="147">
        <v>36195.199999999997</v>
      </c>
      <c r="L38" s="148">
        <f>K38*0.4%</f>
        <v>144.7808</v>
      </c>
    </row>
    <row r="39" spans="1:15" ht="15" customHeight="1">
      <c r="A39" s="12" t="s">
        <v>50</v>
      </c>
      <c r="B39" s="12" t="s">
        <v>25</v>
      </c>
      <c r="C39" s="12"/>
      <c r="D39" s="12"/>
      <c r="E39" s="40"/>
      <c r="F39" s="26"/>
      <c r="G39" s="34">
        <v>5752</v>
      </c>
      <c r="H39" s="29">
        <f t="shared" si="0"/>
        <v>27421.820000000014</v>
      </c>
      <c r="J39" s="146"/>
      <c r="K39" s="149">
        <f>K38/5</f>
        <v>7239.0399999999991</v>
      </c>
      <c r="L39" s="150"/>
    </row>
    <row r="40" spans="1:15" ht="15.75" customHeight="1">
      <c r="A40" s="12" t="s">
        <v>51</v>
      </c>
      <c r="B40" s="20" t="s">
        <v>25</v>
      </c>
      <c r="C40" s="12"/>
      <c r="D40" s="12"/>
      <c r="E40" s="25"/>
      <c r="F40" s="26"/>
      <c r="G40" s="34">
        <v>3124</v>
      </c>
      <c r="H40" s="29">
        <f t="shared" si="0"/>
        <v>24297.820000000014</v>
      </c>
      <c r="J40" s="146"/>
      <c r="K40" s="149"/>
      <c r="L40" s="150"/>
    </row>
    <row r="41" spans="1:15" ht="15.75" customHeight="1">
      <c r="A41" s="12" t="s">
        <v>52</v>
      </c>
      <c r="B41" s="20" t="s">
        <v>21</v>
      </c>
      <c r="C41" s="12" t="s">
        <v>53</v>
      </c>
      <c r="D41" s="12" t="s">
        <v>24</v>
      </c>
      <c r="E41" s="25">
        <v>7239.04</v>
      </c>
      <c r="F41" s="26"/>
      <c r="G41" s="34"/>
      <c r="H41" s="29">
        <f t="shared" si="0"/>
        <v>31536.860000000015</v>
      </c>
      <c r="J41" s="146" t="s">
        <v>12</v>
      </c>
      <c r="K41" s="151">
        <f>K38-J37</f>
        <v>28956.159999999996</v>
      </c>
      <c r="L41" s="150"/>
    </row>
    <row r="42" spans="1:15">
      <c r="A42" s="12" t="s">
        <v>52</v>
      </c>
      <c r="B42" s="20" t="s">
        <v>25</v>
      </c>
      <c r="C42" s="12"/>
      <c r="D42" s="12"/>
      <c r="E42" s="40"/>
      <c r="F42" s="26"/>
      <c r="G42" s="34">
        <v>6806</v>
      </c>
      <c r="H42" s="29">
        <f t="shared" si="0"/>
        <v>24730.860000000015</v>
      </c>
      <c r="J42" s="152" t="s">
        <v>12</v>
      </c>
      <c r="K42" s="153">
        <v>0</v>
      </c>
      <c r="L42" s="154"/>
    </row>
    <row r="43" spans="1:15">
      <c r="A43" s="12" t="s">
        <v>54</v>
      </c>
      <c r="B43" s="12" t="s">
        <v>25</v>
      </c>
      <c r="C43" s="12"/>
      <c r="D43" s="12"/>
      <c r="E43" s="40"/>
      <c r="F43" s="26"/>
      <c r="G43" s="34">
        <v>3504</v>
      </c>
      <c r="H43" s="29">
        <f t="shared" si="0"/>
        <v>21226.860000000015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21226.860000000015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21226.860000000015</v>
      </c>
      <c r="J45" s="156">
        <f>E34*2</f>
        <v>14260.92</v>
      </c>
      <c r="K45" s="157" t="s">
        <v>47</v>
      </c>
      <c r="L45" s="158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21226.860000000015</v>
      </c>
      <c r="J46" s="159"/>
      <c r="K46" s="160">
        <v>35652.300000000003</v>
      </c>
      <c r="L46" s="161"/>
    </row>
    <row r="47" spans="1:15" ht="15" customHeight="1">
      <c r="A47" s="12"/>
      <c r="B47" s="12"/>
      <c r="C47" s="12"/>
      <c r="D47" s="12"/>
      <c r="E47" s="40"/>
      <c r="F47" s="26"/>
      <c r="G47" s="34"/>
      <c r="H47" s="29">
        <f t="shared" si="0"/>
        <v>21226.860000000015</v>
      </c>
      <c r="J47" s="159"/>
      <c r="K47" s="162">
        <f>K46/5</f>
        <v>7130.4600000000009</v>
      </c>
      <c r="L47" s="161"/>
    </row>
    <row r="48" spans="1:15" ht="15" customHeight="1">
      <c r="A48" s="12"/>
      <c r="B48" s="12"/>
      <c r="C48" s="12"/>
      <c r="D48" s="12"/>
      <c r="E48" s="25"/>
      <c r="F48" s="42"/>
      <c r="G48" s="34"/>
      <c r="H48" s="29">
        <f t="shared" si="0"/>
        <v>21226.860000000015</v>
      </c>
      <c r="J48" s="159"/>
      <c r="K48" s="160"/>
      <c r="L48" s="161"/>
    </row>
    <row r="49" spans="1:12" ht="15" customHeight="1">
      <c r="A49" s="12"/>
      <c r="B49" s="41"/>
      <c r="C49" s="12"/>
      <c r="D49" s="12"/>
      <c r="E49" s="25"/>
      <c r="F49" s="43"/>
      <c r="G49" s="34"/>
      <c r="H49" s="29">
        <f t="shared" si="0"/>
        <v>21226.860000000015</v>
      </c>
      <c r="J49" s="159" t="s">
        <v>12</v>
      </c>
      <c r="K49" s="162">
        <f>K46-J45</f>
        <v>21391.380000000005</v>
      </c>
      <c r="L49" s="161"/>
    </row>
    <row r="50" spans="1:12" ht="15.75" customHeight="1">
      <c r="A50" s="12"/>
      <c r="B50" s="20"/>
      <c r="C50" s="12"/>
      <c r="D50" s="12"/>
      <c r="E50" s="25"/>
      <c r="F50" s="26"/>
      <c r="G50" s="34"/>
      <c r="H50" s="29">
        <f t="shared" si="0"/>
        <v>21226.860000000015</v>
      </c>
      <c r="J50" s="163" t="s">
        <v>12</v>
      </c>
      <c r="K50" s="164">
        <v>0</v>
      </c>
      <c r="L50" s="165"/>
    </row>
    <row r="51" spans="1:12" ht="15.75" customHeight="1">
      <c r="A51" s="12"/>
      <c r="B51" s="20"/>
      <c r="C51" s="12"/>
      <c r="D51" s="12"/>
      <c r="E51" s="25"/>
      <c r="F51" s="26"/>
      <c r="G51" s="34"/>
      <c r="H51" s="29">
        <f t="shared" si="0"/>
        <v>21226.860000000015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21226.860000000015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21226.860000000015</v>
      </c>
      <c r="J53" s="168">
        <f>E11</f>
        <v>0</v>
      </c>
      <c r="K53" s="174" t="s">
        <v>13</v>
      </c>
      <c r="L53" s="16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21226.860000000015</v>
      </c>
      <c r="J54" s="118"/>
      <c r="K54" s="111"/>
      <c r="L54" s="170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21226.860000000015</v>
      </c>
      <c r="J55" s="118"/>
      <c r="K55" s="111"/>
      <c r="L55" s="170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21226.860000000015</v>
      </c>
      <c r="J56" s="118"/>
      <c r="K56" s="111"/>
      <c r="L56" s="170"/>
    </row>
    <row r="57" spans="1:12" ht="15" customHeight="1">
      <c r="A57" s="12"/>
      <c r="B57" s="20"/>
      <c r="C57" s="12"/>
      <c r="D57" s="12"/>
      <c r="E57" s="25"/>
      <c r="F57" s="26"/>
      <c r="G57" s="34"/>
      <c r="H57" s="29">
        <f t="shared" si="0"/>
        <v>21226.860000000015</v>
      </c>
      <c r="J57" s="118" t="s">
        <v>12</v>
      </c>
      <c r="K57" s="171">
        <v>0</v>
      </c>
      <c r="L57" s="170"/>
    </row>
    <row r="58" spans="1:12" ht="15" customHeight="1">
      <c r="A58" s="12"/>
      <c r="B58" s="20"/>
      <c r="C58" s="12"/>
      <c r="D58" s="12"/>
      <c r="E58" s="25"/>
      <c r="F58" s="26"/>
      <c r="G58" s="34"/>
      <c r="H58" s="29">
        <f t="shared" si="0"/>
        <v>21226.860000000015</v>
      </c>
      <c r="J58" s="121" t="s">
        <v>12</v>
      </c>
      <c r="K58" s="172">
        <v>0</v>
      </c>
      <c r="L58" s="173"/>
    </row>
    <row r="59" spans="1:12" ht="15" customHeight="1">
      <c r="A59" s="12"/>
      <c r="B59" s="20"/>
      <c r="C59" s="12"/>
      <c r="D59" s="12"/>
      <c r="E59" s="25"/>
      <c r="F59" s="26"/>
      <c r="G59" s="34"/>
      <c r="H59" s="29">
        <f t="shared" si="0"/>
        <v>21226.860000000015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21226.860000000015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21226.860000000015</v>
      </c>
      <c r="J61" s="166">
        <f>E37*1</f>
        <v>3042.56</v>
      </c>
      <c r="K61" s="175" t="s">
        <v>49</v>
      </c>
      <c r="L61" s="167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21226.860000000015</v>
      </c>
      <c r="J62" s="99"/>
      <c r="K62" s="100">
        <v>15212.8</v>
      </c>
      <c r="L62" s="141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21226.860000000015</v>
      </c>
      <c r="J63" s="99"/>
      <c r="K63" s="100">
        <f>K62/5</f>
        <v>3042.56</v>
      </c>
      <c r="L63" s="141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21226.860000000015</v>
      </c>
      <c r="J64" s="99"/>
      <c r="K64" s="100"/>
      <c r="L64" s="141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21226.860000000015</v>
      </c>
      <c r="J65" s="99" t="s">
        <v>12</v>
      </c>
      <c r="K65" s="142">
        <f>K62-J61</f>
        <v>12170.24</v>
      </c>
      <c r="L65" s="141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21226.860000000015</v>
      </c>
      <c r="J66" s="104" t="s">
        <v>12</v>
      </c>
      <c r="K66" s="105">
        <v>0</v>
      </c>
      <c r="L66" s="143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21226.860000000015</v>
      </c>
    </row>
    <row r="68" spans="1:12" ht="15.75" thickBot="1">
      <c r="A68" s="5" t="s">
        <v>90</v>
      </c>
      <c r="B68" s="21"/>
      <c r="C68" s="8"/>
      <c r="D68" s="11"/>
      <c r="E68" s="24">
        <f>SUM(E3:E67)</f>
        <v>97523.520000000019</v>
      </c>
      <c r="F68" s="39">
        <f>SUM(F3:F67)</f>
        <v>292.40999999999997</v>
      </c>
      <c r="G68" s="35">
        <f>SUM(G3:G67)</f>
        <v>128662</v>
      </c>
      <c r="H68" s="30"/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P95"/>
  <sheetViews>
    <sheetView zoomScaleNormal="100" workbookViewId="0">
      <selection activeCell="C52" sqref="C52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81" t="s">
        <v>61</v>
      </c>
      <c r="B1" s="181"/>
      <c r="C1" s="181"/>
      <c r="D1" s="181"/>
      <c r="E1" s="181"/>
      <c r="F1" s="181"/>
      <c r="G1" s="181"/>
      <c r="H1" s="181"/>
      <c r="I1" s="46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2" ht="15.75" thickBot="1">
      <c r="A3" s="18" t="s">
        <v>62</v>
      </c>
      <c r="B3" s="19" t="s">
        <v>8</v>
      </c>
      <c r="C3" s="22"/>
      <c r="D3" s="3"/>
      <c r="E3" s="2"/>
      <c r="F3" s="55"/>
      <c r="G3" s="51"/>
      <c r="H3" s="30">
        <v>21227.46</v>
      </c>
      <c r="I3" s="48"/>
      <c r="J3" s="56" t="s">
        <v>9</v>
      </c>
      <c r="K3" s="57">
        <f>'[1]May 2021'!$N$15</f>
        <v>43031.329999999994</v>
      </c>
    </row>
    <row r="4" spans="1:12">
      <c r="A4" s="18" t="s">
        <v>62</v>
      </c>
      <c r="B4" s="12" t="s">
        <v>21</v>
      </c>
      <c r="C4" s="12" t="s">
        <v>49</v>
      </c>
      <c r="D4" s="12" t="s">
        <v>23</v>
      </c>
      <c r="E4" s="4">
        <v>3042.56</v>
      </c>
      <c r="F4" s="55"/>
      <c r="G4" s="34"/>
      <c r="H4" s="29">
        <f>H3+E4+F4-G4</f>
        <v>24270.02</v>
      </c>
      <c r="I4" s="48"/>
      <c r="J4" s="58" t="s">
        <v>10</v>
      </c>
      <c r="K4" s="59">
        <f>H71+K15+K35+K25+K45</f>
        <v>44431.330000000009</v>
      </c>
    </row>
    <row r="5" spans="1:12" ht="15.75" thickBot="1">
      <c r="A5" s="12" t="s">
        <v>62</v>
      </c>
      <c r="B5" s="12" t="s">
        <v>25</v>
      </c>
      <c r="C5" s="12"/>
      <c r="D5" s="12"/>
      <c r="E5" s="4"/>
      <c r="F5" s="55"/>
      <c r="G5" s="34">
        <v>2376</v>
      </c>
      <c r="H5" s="29">
        <f t="shared" ref="H5:H68" si="0">H4+E5+F5-G5</f>
        <v>21894.02</v>
      </c>
      <c r="I5" s="48"/>
      <c r="J5" s="60"/>
      <c r="K5" s="61"/>
    </row>
    <row r="6" spans="1:12">
      <c r="A6" s="12" t="s">
        <v>63</v>
      </c>
      <c r="B6" s="20" t="s">
        <v>21</v>
      </c>
      <c r="C6" s="12" t="s">
        <v>46</v>
      </c>
      <c r="D6" s="12" t="s">
        <v>27</v>
      </c>
      <c r="E6" s="4">
        <v>7130.46</v>
      </c>
      <c r="F6" s="26"/>
      <c r="G6" s="34"/>
      <c r="H6" s="29">
        <f t="shared" si="0"/>
        <v>29024.48</v>
      </c>
      <c r="I6" s="48"/>
      <c r="J6" s="190" t="s">
        <v>11</v>
      </c>
      <c r="K6" s="192">
        <f>K3-K4</f>
        <v>-1400.0000000000146</v>
      </c>
    </row>
    <row r="7" spans="1:12" ht="15.75" thickBot="1">
      <c r="A7" s="12" t="s">
        <v>63</v>
      </c>
      <c r="B7" s="20" t="s">
        <v>21</v>
      </c>
      <c r="C7" s="12" t="s">
        <v>53</v>
      </c>
      <c r="D7" s="12" t="s">
        <v>23</v>
      </c>
      <c r="E7" s="26">
        <v>7239.04</v>
      </c>
      <c r="F7" s="26"/>
      <c r="G7" s="34"/>
      <c r="H7" s="29">
        <f t="shared" si="0"/>
        <v>36263.519999999997</v>
      </c>
      <c r="I7" s="48"/>
      <c r="J7" s="191"/>
      <c r="K7" s="193"/>
    </row>
    <row r="8" spans="1:12">
      <c r="A8" s="12" t="s">
        <v>63</v>
      </c>
      <c r="B8" s="20" t="s">
        <v>25</v>
      </c>
      <c r="C8" s="12"/>
      <c r="D8" s="12"/>
      <c r="E8" s="26"/>
      <c r="F8" s="26"/>
      <c r="G8" s="34">
        <v>3096</v>
      </c>
      <c r="H8" s="29">
        <f t="shared" si="0"/>
        <v>33167.519999999997</v>
      </c>
      <c r="I8" s="48"/>
    </row>
    <row r="9" spans="1:12">
      <c r="A9" s="12" t="s">
        <v>64</v>
      </c>
      <c r="B9" s="20" t="s">
        <v>21</v>
      </c>
      <c r="C9" s="12" t="s">
        <v>46</v>
      </c>
      <c r="D9" s="12" t="s">
        <v>29</v>
      </c>
      <c r="E9" s="4">
        <v>7130.46</v>
      </c>
      <c r="F9" s="26"/>
      <c r="G9" s="34"/>
      <c r="H9" s="29">
        <f t="shared" si="0"/>
        <v>40297.979999999996</v>
      </c>
      <c r="I9" s="48"/>
    </row>
    <row r="10" spans="1:12">
      <c r="A10" s="12" t="s">
        <v>64</v>
      </c>
      <c r="B10" s="12" t="s">
        <v>25</v>
      </c>
      <c r="C10" s="12"/>
      <c r="D10" s="12"/>
      <c r="E10" s="26"/>
      <c r="F10" s="26"/>
      <c r="G10" s="34">
        <v>3228</v>
      </c>
      <c r="H10" s="29">
        <f t="shared" si="0"/>
        <v>37069.979999999996</v>
      </c>
      <c r="I10" s="48"/>
    </row>
    <row r="11" spans="1:12" ht="15" customHeight="1">
      <c r="A11" s="12" t="s">
        <v>65</v>
      </c>
      <c r="B11" s="12" t="s">
        <v>21</v>
      </c>
      <c r="C11" s="12" t="s">
        <v>53</v>
      </c>
      <c r="D11" s="12" t="s">
        <v>27</v>
      </c>
      <c r="E11" s="26">
        <v>7239.04</v>
      </c>
      <c r="F11" s="26"/>
      <c r="G11" s="34"/>
      <c r="H11" s="29">
        <f t="shared" si="0"/>
        <v>44309.02</v>
      </c>
      <c r="I11" s="48"/>
      <c r="J11" s="70" t="s">
        <v>56</v>
      </c>
      <c r="K11" s="71">
        <v>35224</v>
      </c>
      <c r="L11" s="194" t="s">
        <v>76</v>
      </c>
    </row>
    <row r="12" spans="1:12" ht="15" customHeight="1">
      <c r="A12" s="12" t="s">
        <v>65</v>
      </c>
      <c r="B12" s="12" t="s">
        <v>25</v>
      </c>
      <c r="C12" s="12"/>
      <c r="D12" s="12"/>
      <c r="E12" s="4"/>
      <c r="F12" s="55"/>
      <c r="G12" s="34">
        <v>3566</v>
      </c>
      <c r="H12" s="29">
        <f t="shared" si="0"/>
        <v>40743.019999999997</v>
      </c>
      <c r="I12" s="48"/>
      <c r="J12" s="72" t="s">
        <v>57</v>
      </c>
      <c r="K12" s="73">
        <f>K11/5</f>
        <v>7044.8</v>
      </c>
      <c r="L12" s="195"/>
    </row>
    <row r="13" spans="1:12" ht="15" customHeight="1">
      <c r="A13" s="12" t="s">
        <v>66</v>
      </c>
      <c r="B13" s="12" t="s">
        <v>21</v>
      </c>
      <c r="C13" s="12" t="s">
        <v>53</v>
      </c>
      <c r="D13" s="12" t="s">
        <v>29</v>
      </c>
      <c r="E13" s="26">
        <v>7239.04</v>
      </c>
      <c r="F13" s="26"/>
      <c r="G13" s="34"/>
      <c r="H13" s="29">
        <f t="shared" si="0"/>
        <v>47982.06</v>
      </c>
      <c r="I13" s="48"/>
      <c r="J13" s="72" t="s">
        <v>60</v>
      </c>
      <c r="K13" s="74">
        <v>4</v>
      </c>
      <c r="L13" s="195"/>
    </row>
    <row r="14" spans="1:12" ht="15.75" customHeight="1" thickBot="1">
      <c r="A14" s="12" t="s">
        <v>66</v>
      </c>
      <c r="B14" s="20" t="s">
        <v>25</v>
      </c>
      <c r="C14" s="12"/>
      <c r="D14" s="12"/>
      <c r="E14" s="26"/>
      <c r="F14" s="26"/>
      <c r="G14" s="34">
        <v>2712</v>
      </c>
      <c r="H14" s="29">
        <f t="shared" si="0"/>
        <v>45270.06</v>
      </c>
      <c r="I14" s="48"/>
      <c r="J14" s="75"/>
      <c r="K14" s="65"/>
      <c r="L14" s="195"/>
    </row>
    <row r="15" spans="1:12" ht="15.75" customHeight="1" thickBot="1">
      <c r="A15" s="12" t="s">
        <v>67</v>
      </c>
      <c r="B15" s="12" t="s">
        <v>21</v>
      </c>
      <c r="C15" s="12" t="s">
        <v>53</v>
      </c>
      <c r="D15" s="12" t="s">
        <v>68</v>
      </c>
      <c r="E15" s="26">
        <v>7239.08</v>
      </c>
      <c r="F15" s="26"/>
      <c r="G15" s="34"/>
      <c r="H15" s="29">
        <f t="shared" si="0"/>
        <v>52509.14</v>
      </c>
      <c r="I15" s="48"/>
      <c r="J15" s="76" t="s">
        <v>55</v>
      </c>
      <c r="K15" s="66">
        <f>K11-(K12*K13)</f>
        <v>7044.7999999999993</v>
      </c>
      <c r="L15" s="195"/>
    </row>
    <row r="16" spans="1:12" ht="15" customHeight="1">
      <c r="A16" s="12" t="s">
        <v>67</v>
      </c>
      <c r="B16" s="12" t="s">
        <v>33</v>
      </c>
      <c r="C16" s="12"/>
      <c r="D16" s="12"/>
      <c r="E16" s="26"/>
      <c r="F16" s="26">
        <v>144.78</v>
      </c>
      <c r="G16" s="34"/>
      <c r="H16" s="29">
        <f t="shared" si="0"/>
        <v>52653.919999999998</v>
      </c>
      <c r="I16" s="48"/>
      <c r="J16" s="77"/>
      <c r="K16" s="78"/>
      <c r="L16" s="69" t="s">
        <v>75</v>
      </c>
    </row>
    <row r="17" spans="1:12" ht="15" customHeight="1">
      <c r="A17" s="12" t="s">
        <v>67</v>
      </c>
      <c r="B17" s="20" t="s">
        <v>25</v>
      </c>
      <c r="C17" s="12"/>
      <c r="D17" s="12"/>
      <c r="E17" s="26"/>
      <c r="F17" s="26"/>
      <c r="G17" s="34">
        <v>3720</v>
      </c>
      <c r="H17" s="29">
        <f t="shared" si="0"/>
        <v>48933.919999999998</v>
      </c>
      <c r="I17" s="48"/>
      <c r="J17" s="79" t="s">
        <v>58</v>
      </c>
      <c r="K17" s="80">
        <f>L17*0.4%</f>
        <v>140.89600000000002</v>
      </c>
      <c r="L17" s="69">
        <v>35224</v>
      </c>
    </row>
    <row r="18" spans="1:12" ht="15" customHeight="1">
      <c r="A18" s="12" t="s">
        <v>69</v>
      </c>
      <c r="B18" s="20" t="s">
        <v>25</v>
      </c>
      <c r="C18" s="12"/>
      <c r="D18" s="12"/>
      <c r="E18" s="26"/>
      <c r="F18" s="26"/>
      <c r="G18" s="34">
        <v>2744</v>
      </c>
      <c r="H18" s="29">
        <f t="shared" si="0"/>
        <v>46189.919999999998</v>
      </c>
      <c r="I18" s="48"/>
      <c r="J18" s="81"/>
      <c r="K18" s="82"/>
      <c r="L18" s="83"/>
    </row>
    <row r="19" spans="1:12" ht="15" customHeight="1">
      <c r="A19" s="12" t="s">
        <v>70</v>
      </c>
      <c r="B19" s="20" t="s">
        <v>25</v>
      </c>
      <c r="C19" s="12"/>
      <c r="D19" s="12"/>
      <c r="E19" s="26"/>
      <c r="F19" s="26"/>
      <c r="G19" s="34">
        <v>4548</v>
      </c>
      <c r="H19" s="29">
        <f t="shared" si="0"/>
        <v>41641.919999999998</v>
      </c>
      <c r="I19" s="48"/>
    </row>
    <row r="20" spans="1:12" ht="15" customHeight="1">
      <c r="A20" s="12" t="s">
        <v>71</v>
      </c>
      <c r="B20" s="20" t="s">
        <v>25</v>
      </c>
      <c r="C20" s="12"/>
      <c r="D20" s="12"/>
      <c r="E20" s="26"/>
      <c r="F20" s="26"/>
      <c r="G20" s="34">
        <v>2688</v>
      </c>
      <c r="H20" s="29">
        <f t="shared" si="0"/>
        <v>38953.919999999998</v>
      </c>
      <c r="I20" s="48"/>
    </row>
    <row r="21" spans="1:12" ht="15" customHeight="1">
      <c r="A21" s="12" t="s">
        <v>72</v>
      </c>
      <c r="B21" s="12" t="s">
        <v>21</v>
      </c>
      <c r="C21" s="12" t="s">
        <v>74</v>
      </c>
      <c r="D21" s="12" t="s">
        <v>24</v>
      </c>
      <c r="E21" s="26">
        <v>3200.1</v>
      </c>
      <c r="F21" s="26"/>
      <c r="G21" s="34"/>
      <c r="H21" s="29">
        <f t="shared" si="0"/>
        <v>42154.02</v>
      </c>
      <c r="I21" s="48"/>
      <c r="J21" s="90" t="s">
        <v>56</v>
      </c>
      <c r="K21" s="91">
        <v>12170.24</v>
      </c>
      <c r="L21" s="196" t="s">
        <v>49</v>
      </c>
    </row>
    <row r="22" spans="1:12" ht="15" customHeight="1">
      <c r="A22" s="12" t="s">
        <v>72</v>
      </c>
      <c r="B22" s="20" t="s">
        <v>25</v>
      </c>
      <c r="C22" s="12"/>
      <c r="D22" s="12"/>
      <c r="E22" s="26"/>
      <c r="F22" s="26"/>
      <c r="G22" s="34">
        <v>1212</v>
      </c>
      <c r="H22" s="29">
        <f t="shared" si="0"/>
        <v>40942.019999999997</v>
      </c>
      <c r="I22" s="48"/>
      <c r="J22" s="92" t="s">
        <v>57</v>
      </c>
      <c r="K22" s="93">
        <f>K21/4</f>
        <v>3042.56</v>
      </c>
      <c r="L22" s="197"/>
    </row>
    <row r="23" spans="1:12" ht="15" customHeight="1">
      <c r="A23" s="12" t="s">
        <v>73</v>
      </c>
      <c r="B23" s="20" t="s">
        <v>25</v>
      </c>
      <c r="C23" s="12"/>
      <c r="D23" s="12"/>
      <c r="E23" s="26"/>
      <c r="F23" s="26"/>
      <c r="G23" s="34">
        <v>3344</v>
      </c>
      <c r="H23" s="29">
        <f t="shared" si="0"/>
        <v>37598.019999999997</v>
      </c>
      <c r="I23" s="48"/>
      <c r="J23" s="92" t="s">
        <v>60</v>
      </c>
      <c r="K23" s="94">
        <v>2</v>
      </c>
      <c r="L23" s="197"/>
    </row>
    <row r="24" spans="1:12" ht="15.75" customHeight="1" thickBot="1">
      <c r="A24" s="12" t="s">
        <v>92</v>
      </c>
      <c r="B24" s="20" t="s">
        <v>25</v>
      </c>
      <c r="C24" s="12"/>
      <c r="D24" s="12"/>
      <c r="E24" s="26"/>
      <c r="F24" s="26"/>
      <c r="G24" s="34">
        <v>7394</v>
      </c>
      <c r="H24" s="29">
        <f t="shared" si="0"/>
        <v>30204.019999999997</v>
      </c>
      <c r="I24" s="48"/>
      <c r="J24" s="95"/>
      <c r="K24" s="96"/>
      <c r="L24" s="197"/>
    </row>
    <row r="25" spans="1:12" ht="15.75" customHeight="1" thickBot="1">
      <c r="A25" s="12" t="s">
        <v>93</v>
      </c>
      <c r="B25" s="12" t="s">
        <v>21</v>
      </c>
      <c r="C25" s="12" t="s">
        <v>76</v>
      </c>
      <c r="D25" s="12" t="s">
        <v>24</v>
      </c>
      <c r="E25" s="4">
        <v>7044.8</v>
      </c>
      <c r="F25" s="26"/>
      <c r="G25" s="34"/>
      <c r="H25" s="29">
        <f t="shared" si="0"/>
        <v>37248.82</v>
      </c>
      <c r="I25" s="48"/>
      <c r="J25" s="97" t="s">
        <v>55</v>
      </c>
      <c r="K25" s="98">
        <f>K21-(K22*K23)</f>
        <v>6085.12</v>
      </c>
      <c r="L25" s="197"/>
    </row>
    <row r="26" spans="1:12" ht="15" customHeight="1">
      <c r="A26" s="12" t="s">
        <v>93</v>
      </c>
      <c r="B26" s="12" t="s">
        <v>21</v>
      </c>
      <c r="C26" s="12" t="s">
        <v>74</v>
      </c>
      <c r="D26" s="12" t="s">
        <v>23</v>
      </c>
      <c r="E26" s="26">
        <v>3200.1</v>
      </c>
      <c r="F26" s="26"/>
      <c r="G26" s="34"/>
      <c r="H26" s="29">
        <f t="shared" si="0"/>
        <v>40448.92</v>
      </c>
      <c r="I26" s="48"/>
      <c r="J26" s="99"/>
      <c r="K26" s="100"/>
      <c r="L26" s="101" t="s">
        <v>75</v>
      </c>
    </row>
    <row r="27" spans="1:12" ht="15" customHeight="1">
      <c r="A27" s="12" t="s">
        <v>93</v>
      </c>
      <c r="B27" s="12" t="s">
        <v>25</v>
      </c>
      <c r="C27" s="12"/>
      <c r="D27" s="12"/>
      <c r="E27" s="26"/>
      <c r="F27" s="26"/>
      <c r="G27" s="34">
        <v>7338</v>
      </c>
      <c r="H27" s="29">
        <f t="shared" si="0"/>
        <v>33110.92</v>
      </c>
      <c r="I27" s="48"/>
      <c r="J27" s="102" t="s">
        <v>58</v>
      </c>
      <c r="K27" s="103">
        <f>L27*0.4%</f>
        <v>60.852000000000004</v>
      </c>
      <c r="L27" s="101">
        <f>3042.6*5</f>
        <v>15213</v>
      </c>
    </row>
    <row r="28" spans="1:12" ht="15" customHeight="1">
      <c r="A28" s="12" t="s">
        <v>94</v>
      </c>
      <c r="B28" s="12" t="s">
        <v>25</v>
      </c>
      <c r="C28" s="12"/>
      <c r="D28" s="12"/>
      <c r="E28" s="26"/>
      <c r="F28" s="26"/>
      <c r="G28" s="34">
        <v>3624</v>
      </c>
      <c r="H28" s="29">
        <f t="shared" si="0"/>
        <v>29486.92</v>
      </c>
      <c r="I28" s="48"/>
      <c r="J28" s="104"/>
      <c r="K28" s="105"/>
      <c r="L28" s="106"/>
    </row>
    <row r="29" spans="1:12">
      <c r="A29" s="12" t="s">
        <v>94</v>
      </c>
      <c r="B29" s="12" t="s">
        <v>21</v>
      </c>
      <c r="C29" s="12" t="s">
        <v>46</v>
      </c>
      <c r="D29" s="12" t="s">
        <v>68</v>
      </c>
      <c r="E29" s="4">
        <v>7130.5</v>
      </c>
      <c r="F29" s="26"/>
      <c r="G29" s="34"/>
      <c r="H29" s="29">
        <f t="shared" si="0"/>
        <v>36617.42</v>
      </c>
      <c r="I29" s="48"/>
    </row>
    <row r="30" spans="1:12">
      <c r="A30" s="12" t="s">
        <v>94</v>
      </c>
      <c r="B30" s="12" t="s">
        <v>33</v>
      </c>
      <c r="C30" s="12"/>
      <c r="D30" s="12"/>
      <c r="E30" s="26"/>
      <c r="F30" s="26">
        <v>142.61000000000001</v>
      </c>
      <c r="G30" s="34"/>
      <c r="H30" s="29">
        <f t="shared" si="0"/>
        <v>36760.03</v>
      </c>
      <c r="I30" s="48"/>
    </row>
    <row r="31" spans="1:12" ht="15" customHeight="1">
      <c r="A31" s="12" t="s">
        <v>77</v>
      </c>
      <c r="B31" s="12" t="s">
        <v>25</v>
      </c>
      <c r="C31" s="12"/>
      <c r="D31" s="12"/>
      <c r="E31" s="26"/>
      <c r="F31" s="26"/>
      <c r="G31" s="34">
        <v>1704</v>
      </c>
      <c r="H31" s="29">
        <f t="shared" si="0"/>
        <v>35056.03</v>
      </c>
      <c r="I31" s="48"/>
      <c r="J31" s="113" t="s">
        <v>56</v>
      </c>
      <c r="K31" s="114">
        <v>16000.7</v>
      </c>
      <c r="L31" s="186" t="s">
        <v>74</v>
      </c>
    </row>
    <row r="32" spans="1:12" ht="15" customHeight="1">
      <c r="A32" s="12" t="s">
        <v>78</v>
      </c>
      <c r="B32" s="12" t="s">
        <v>25</v>
      </c>
      <c r="C32" s="12"/>
      <c r="D32" s="12"/>
      <c r="E32" s="4"/>
      <c r="F32" s="26"/>
      <c r="G32" s="34">
        <v>6144</v>
      </c>
      <c r="H32" s="29">
        <f t="shared" si="0"/>
        <v>28912.03</v>
      </c>
      <c r="I32" s="48"/>
      <c r="J32" s="115" t="s">
        <v>57</v>
      </c>
      <c r="K32" s="109">
        <f>K31/5</f>
        <v>3200.1400000000003</v>
      </c>
      <c r="L32" s="187"/>
    </row>
    <row r="33" spans="1:16" ht="15" customHeight="1">
      <c r="A33" s="12" t="s">
        <v>79</v>
      </c>
      <c r="B33" s="12" t="s">
        <v>21</v>
      </c>
      <c r="C33" s="12" t="s">
        <v>76</v>
      </c>
      <c r="D33" s="12" t="s">
        <v>23</v>
      </c>
      <c r="E33" s="4">
        <v>7044.8</v>
      </c>
      <c r="F33" s="26"/>
      <c r="G33" s="34"/>
      <c r="H33" s="29">
        <f t="shared" si="0"/>
        <v>35956.83</v>
      </c>
      <c r="I33" s="48"/>
      <c r="J33" s="115" t="s">
        <v>60</v>
      </c>
      <c r="K33" s="110">
        <v>2</v>
      </c>
      <c r="L33" s="187"/>
    </row>
    <row r="34" spans="1:16" ht="15.75" customHeight="1" thickBot="1">
      <c r="A34" s="12" t="s">
        <v>79</v>
      </c>
      <c r="B34" s="12" t="s">
        <v>21</v>
      </c>
      <c r="C34" s="12" t="s">
        <v>76</v>
      </c>
      <c r="D34" s="12" t="s">
        <v>27</v>
      </c>
      <c r="E34" s="4">
        <v>7044.8</v>
      </c>
      <c r="F34" s="26"/>
      <c r="G34" s="34"/>
      <c r="H34" s="29">
        <f t="shared" si="0"/>
        <v>43001.630000000005</v>
      </c>
      <c r="I34" s="48"/>
      <c r="J34" s="116"/>
      <c r="K34" s="107"/>
      <c r="L34" s="187"/>
    </row>
    <row r="35" spans="1:16" ht="15.75" customHeight="1" thickBot="1">
      <c r="A35" s="12" t="s">
        <v>79</v>
      </c>
      <c r="B35" s="12" t="s">
        <v>25</v>
      </c>
      <c r="C35" s="12"/>
      <c r="D35" s="12"/>
      <c r="E35" s="26"/>
      <c r="F35" s="26"/>
      <c r="G35" s="34">
        <v>3480</v>
      </c>
      <c r="H35" s="29">
        <f t="shared" si="0"/>
        <v>39521.630000000005</v>
      </c>
      <c r="I35" s="48"/>
      <c r="J35" s="117" t="s">
        <v>55</v>
      </c>
      <c r="K35" s="108">
        <f>K31-(K32*K33)</f>
        <v>9600.42</v>
      </c>
      <c r="L35" s="187"/>
    </row>
    <row r="36" spans="1:16" ht="15.75" customHeight="1">
      <c r="A36" s="12" t="s">
        <v>80</v>
      </c>
      <c r="B36" s="12" t="s">
        <v>25</v>
      </c>
      <c r="C36" s="12"/>
      <c r="D36" s="12"/>
      <c r="E36" s="4"/>
      <c r="F36" s="26"/>
      <c r="G36" s="34">
        <v>3288</v>
      </c>
      <c r="H36" s="29">
        <f t="shared" si="0"/>
        <v>36233.630000000005</v>
      </c>
      <c r="I36" s="48"/>
      <c r="J36" s="118"/>
      <c r="K36" s="111"/>
      <c r="L36" s="119" t="s">
        <v>75</v>
      </c>
    </row>
    <row r="37" spans="1:16" ht="15.75" customHeight="1">
      <c r="A37" s="12" t="s">
        <v>81</v>
      </c>
      <c r="B37" s="12" t="s">
        <v>21</v>
      </c>
      <c r="C37" s="12" t="s">
        <v>76</v>
      </c>
      <c r="D37" s="12" t="s">
        <v>29</v>
      </c>
      <c r="E37" s="4">
        <v>7044.8</v>
      </c>
      <c r="F37" s="26"/>
      <c r="G37" s="34"/>
      <c r="H37" s="29">
        <f t="shared" si="0"/>
        <v>43278.430000000008</v>
      </c>
      <c r="I37" s="48"/>
      <c r="J37" s="120" t="s">
        <v>58</v>
      </c>
      <c r="K37" s="112">
        <f>L37*0.4%</f>
        <v>64.002800000000008</v>
      </c>
      <c r="L37" s="119">
        <f>16000.7</f>
        <v>16000.7</v>
      </c>
      <c r="P37" s="1"/>
    </row>
    <row r="38" spans="1:16" ht="15" customHeight="1">
      <c r="A38" s="12" t="s">
        <v>81</v>
      </c>
      <c r="B38" s="12" t="s">
        <v>25</v>
      </c>
      <c r="C38" s="12"/>
      <c r="D38" s="12"/>
      <c r="E38" s="4"/>
      <c r="F38" s="26"/>
      <c r="G38" s="34">
        <v>2628</v>
      </c>
      <c r="H38" s="29">
        <f t="shared" si="0"/>
        <v>40650.430000000008</v>
      </c>
      <c r="I38" s="48"/>
      <c r="J38" s="121"/>
      <c r="K38" s="122"/>
      <c r="L38" s="123"/>
      <c r="P38" s="1"/>
    </row>
    <row r="39" spans="1:16">
      <c r="A39" s="12" t="s">
        <v>82</v>
      </c>
      <c r="B39" s="12" t="s">
        <v>25</v>
      </c>
      <c r="C39" s="12"/>
      <c r="D39" s="12"/>
      <c r="E39" s="4"/>
      <c r="F39" s="26"/>
      <c r="G39" s="34">
        <v>3066</v>
      </c>
      <c r="H39" s="29">
        <f t="shared" si="0"/>
        <v>37584.430000000008</v>
      </c>
      <c r="I39"/>
      <c r="K39" s="10"/>
    </row>
    <row r="40" spans="1:16">
      <c r="A40" s="12" t="s">
        <v>83</v>
      </c>
      <c r="B40" s="12" t="s">
        <v>25</v>
      </c>
      <c r="C40" s="12"/>
      <c r="D40" s="12"/>
      <c r="E40" s="4"/>
      <c r="F40" s="26"/>
      <c r="G40" s="34">
        <v>5832</v>
      </c>
      <c r="H40" s="29">
        <f t="shared" si="0"/>
        <v>31752.430000000008</v>
      </c>
      <c r="I40"/>
      <c r="K40" s="10"/>
    </row>
    <row r="41" spans="1:16" ht="15" customHeight="1">
      <c r="A41" s="12" t="s">
        <v>84</v>
      </c>
      <c r="B41" s="20" t="s">
        <v>21</v>
      </c>
      <c r="C41" s="12" t="s">
        <v>49</v>
      </c>
      <c r="D41" s="12" t="s">
        <v>27</v>
      </c>
      <c r="E41" s="4">
        <v>3042.56</v>
      </c>
      <c r="F41" s="26"/>
      <c r="G41" s="34"/>
      <c r="H41" s="29">
        <f t="shared" si="0"/>
        <v>34794.990000000005</v>
      </c>
      <c r="I41" s="48"/>
      <c r="J41" s="124" t="s">
        <v>56</v>
      </c>
      <c r="K41" s="125">
        <f>21391.38</f>
        <v>21391.38</v>
      </c>
      <c r="L41" s="188" t="s">
        <v>59</v>
      </c>
    </row>
    <row r="42" spans="1:16" ht="15.75" customHeight="1">
      <c r="A42" s="12" t="s">
        <v>84</v>
      </c>
      <c r="B42" s="12" t="s">
        <v>25</v>
      </c>
      <c r="C42" s="12"/>
      <c r="D42" s="12"/>
      <c r="E42" s="4"/>
      <c r="F42" s="26"/>
      <c r="G42" s="34">
        <v>1732</v>
      </c>
      <c r="H42" s="29">
        <f t="shared" si="0"/>
        <v>33062.990000000005</v>
      </c>
      <c r="I42" s="48"/>
      <c r="J42" s="126" t="s">
        <v>57</v>
      </c>
      <c r="K42" s="127">
        <f>K41/3</f>
        <v>7130.46</v>
      </c>
      <c r="L42" s="189"/>
    </row>
    <row r="43" spans="1:16" ht="15.75" customHeight="1">
      <c r="A43" s="12" t="s">
        <v>85</v>
      </c>
      <c r="B43" s="12" t="s">
        <v>25</v>
      </c>
      <c r="C43" s="12"/>
      <c r="D43" s="12"/>
      <c r="E43" s="4"/>
      <c r="F43" s="26"/>
      <c r="G43" s="34">
        <v>5612</v>
      </c>
      <c r="H43" s="29">
        <f t="shared" si="0"/>
        <v>27450.990000000005</v>
      </c>
      <c r="I43" s="48"/>
      <c r="J43" s="126" t="s">
        <v>60</v>
      </c>
      <c r="K43" s="128">
        <v>3</v>
      </c>
      <c r="L43" s="189"/>
    </row>
    <row r="44" spans="1:16" ht="15.75" customHeight="1" thickBot="1">
      <c r="A44" s="12" t="s">
        <v>86</v>
      </c>
      <c r="B44" s="20" t="s">
        <v>25</v>
      </c>
      <c r="C44" s="12"/>
      <c r="D44" s="12"/>
      <c r="E44" s="26"/>
      <c r="F44" s="26"/>
      <c r="G44" s="34">
        <v>2016</v>
      </c>
      <c r="H44" s="29">
        <f t="shared" si="0"/>
        <v>25434.990000000005</v>
      </c>
      <c r="I44" s="48"/>
      <c r="J44" s="129"/>
      <c r="K44" s="67"/>
      <c r="L44" s="189"/>
    </row>
    <row r="45" spans="1:16" ht="15.75" customHeight="1" thickBot="1">
      <c r="A45" s="12" t="s">
        <v>87</v>
      </c>
      <c r="B45" s="20" t="s">
        <v>25</v>
      </c>
      <c r="C45" s="12"/>
      <c r="D45" s="12"/>
      <c r="E45" s="26"/>
      <c r="F45" s="26"/>
      <c r="G45" s="34">
        <v>3734</v>
      </c>
      <c r="H45" s="29">
        <f t="shared" si="0"/>
        <v>21700.990000000005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21700.990000000005</v>
      </c>
      <c r="I46" s="48"/>
      <c r="J46" s="131"/>
      <c r="K46" s="132"/>
      <c r="L46" s="133" t="s">
        <v>75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21700.990000000005</v>
      </c>
      <c r="I47" s="48"/>
      <c r="J47" s="134" t="s">
        <v>58</v>
      </c>
      <c r="K47" s="135">
        <f>L47*0.4%</f>
        <v>142.61000000000001</v>
      </c>
      <c r="L47" s="133">
        <f>7130.5*5</f>
        <v>35652.5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21700.990000000005</v>
      </c>
      <c r="I48" s="48"/>
      <c r="J48" s="136"/>
      <c r="K48" s="137"/>
      <c r="L48" s="138"/>
    </row>
    <row r="49" spans="1:13" ht="15.75" customHeight="1">
      <c r="A49" s="12"/>
      <c r="B49" s="20"/>
      <c r="C49" s="12"/>
      <c r="D49" s="12"/>
      <c r="E49" s="25"/>
      <c r="F49" s="26"/>
      <c r="G49" s="34"/>
      <c r="H49" s="29">
        <f t="shared" si="0"/>
        <v>21700.990000000005</v>
      </c>
      <c r="I49" s="48"/>
    </row>
    <row r="50" spans="1:13" ht="15.75" customHeight="1">
      <c r="A50" s="12"/>
      <c r="B50" s="20"/>
      <c r="C50" s="12"/>
      <c r="D50" s="12"/>
      <c r="E50" s="40"/>
      <c r="F50" s="26"/>
      <c r="G50" s="34"/>
      <c r="H50" s="29">
        <f t="shared" si="0"/>
        <v>21700.990000000005</v>
      </c>
      <c r="I50" s="48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21700.990000000005</v>
      </c>
      <c r="I51" s="48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21700.990000000005</v>
      </c>
      <c r="I52" s="48"/>
      <c r="J52" s="50"/>
      <c r="K52" s="50"/>
      <c r="L52" s="50"/>
      <c r="M52" s="50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21700.990000000005</v>
      </c>
      <c r="I53" s="48"/>
      <c r="J53" s="50"/>
      <c r="K53" s="50"/>
      <c r="L53" s="50"/>
      <c r="M53" s="50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21700.990000000005</v>
      </c>
      <c r="I54" s="48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21700.990000000005</v>
      </c>
      <c r="I55" s="48"/>
    </row>
    <row r="56" spans="1:13" ht="15" customHeight="1">
      <c r="A56" s="12"/>
      <c r="B56" s="20"/>
      <c r="C56" s="12"/>
      <c r="D56" s="12"/>
      <c r="E56" s="25"/>
      <c r="F56" s="26"/>
      <c r="G56" s="34"/>
      <c r="H56" s="29">
        <f t="shared" si="0"/>
        <v>21700.990000000005</v>
      </c>
      <c r="I56" s="48"/>
    </row>
    <row r="57" spans="1:13" ht="15" customHeight="1">
      <c r="A57" s="12"/>
      <c r="B57" s="20"/>
      <c r="C57" s="12"/>
      <c r="D57" s="12"/>
      <c r="E57" s="25"/>
      <c r="F57" s="26"/>
      <c r="G57" s="34"/>
      <c r="H57" s="29">
        <f t="shared" si="0"/>
        <v>21700.990000000005</v>
      </c>
      <c r="I57" s="48"/>
    </row>
    <row r="58" spans="1:13" ht="15" customHeight="1">
      <c r="A58" s="12"/>
      <c r="B58" s="12"/>
      <c r="C58" s="12"/>
      <c r="D58" s="12"/>
      <c r="E58" s="4"/>
      <c r="F58" s="26"/>
      <c r="G58" s="34"/>
      <c r="H58" s="29">
        <f t="shared" si="0"/>
        <v>21700.990000000005</v>
      </c>
      <c r="I58" s="48"/>
    </row>
    <row r="59" spans="1:13" ht="15.75" customHeight="1">
      <c r="A59" s="12"/>
      <c r="B59" s="20"/>
      <c r="C59" s="12"/>
      <c r="D59" s="12"/>
      <c r="E59" s="40"/>
      <c r="F59" s="26"/>
      <c r="G59" s="34"/>
      <c r="H59" s="29">
        <f t="shared" si="0"/>
        <v>21700.990000000005</v>
      </c>
      <c r="I59" s="48"/>
    </row>
    <row r="60" spans="1:13" ht="15.75" customHeight="1">
      <c r="A60" s="12"/>
      <c r="B60" s="20"/>
      <c r="C60" s="12"/>
      <c r="D60" s="12"/>
      <c r="E60" s="25"/>
      <c r="F60" s="26"/>
      <c r="G60" s="34"/>
      <c r="H60" s="29">
        <f t="shared" si="0"/>
        <v>21700.990000000005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21700.990000000005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21700.990000000005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21700.990000000005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21700.990000000005</v>
      </c>
      <c r="I64" s="48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21700.990000000005</v>
      </c>
      <c r="I65" s="48"/>
    </row>
    <row r="66" spans="1:9" ht="15" customHeight="1">
      <c r="A66" s="12"/>
      <c r="B66" s="20"/>
      <c r="C66" s="12"/>
      <c r="D66" s="12"/>
      <c r="E66" s="40"/>
      <c r="F66" s="26"/>
      <c r="G66" s="34"/>
      <c r="H66" s="29">
        <f t="shared" si="0"/>
        <v>21700.990000000005</v>
      </c>
      <c r="I66" s="48"/>
    </row>
    <row r="67" spans="1:9" ht="15" customHeight="1">
      <c r="A67" s="12"/>
      <c r="B67" s="20"/>
      <c r="C67" s="12"/>
      <c r="D67" s="12"/>
      <c r="E67" s="40"/>
      <c r="F67" s="26"/>
      <c r="G67" s="34"/>
      <c r="H67" s="29">
        <f t="shared" si="0"/>
        <v>21700.990000000005</v>
      </c>
      <c r="I67" s="48"/>
    </row>
    <row r="68" spans="1:9" ht="15" customHeight="1">
      <c r="A68" s="12"/>
      <c r="B68" s="20"/>
      <c r="C68" s="12"/>
      <c r="D68" s="12"/>
      <c r="E68" s="40"/>
      <c r="F68" s="26"/>
      <c r="G68" s="34"/>
      <c r="H68" s="29">
        <f t="shared" si="0"/>
        <v>21700.990000000005</v>
      </c>
      <c r="I68" s="48"/>
    </row>
    <row r="69" spans="1:9" ht="15.75" customHeight="1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21700.990000000005</v>
      </c>
      <c r="I69" s="48"/>
    </row>
    <row r="70" spans="1:9" ht="15.75" customHeight="1">
      <c r="A70" s="12"/>
      <c r="B70" s="12"/>
      <c r="C70" s="12"/>
      <c r="D70" s="12"/>
      <c r="E70" s="25"/>
      <c r="F70" s="26"/>
      <c r="G70" s="34"/>
      <c r="H70" s="29">
        <f t="shared" si="1"/>
        <v>21700.990000000005</v>
      </c>
      <c r="I70" s="48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21700.990000000005</v>
      </c>
      <c r="I71" s="48"/>
    </row>
    <row r="72" spans="1:9" ht="15.75" thickBot="1">
      <c r="A72" s="5" t="s">
        <v>89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90826</v>
      </c>
      <c r="H72" s="30"/>
      <c r="I72" s="49"/>
    </row>
    <row r="73" spans="1:9">
      <c r="A73" s="2"/>
      <c r="B73" s="13"/>
      <c r="C73" s="9"/>
      <c r="D73" s="2"/>
      <c r="E73" s="2"/>
      <c r="F73" s="36"/>
      <c r="G73" s="51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 ht="15" customHeight="1">
      <c r="H76" s="50"/>
      <c r="I76" s="50"/>
    </row>
    <row r="77" spans="1:9" ht="15" customHeight="1">
      <c r="H77" s="50"/>
      <c r="I77" s="50"/>
    </row>
    <row r="78" spans="1:9" ht="15" customHeight="1">
      <c r="H78"/>
      <c r="I78"/>
    </row>
    <row r="79" spans="1:9" ht="15.75" customHeight="1">
      <c r="H79"/>
      <c r="I79"/>
    </row>
    <row r="80" spans="1:9" ht="15.75" customHeight="1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P95"/>
  <sheetViews>
    <sheetView zoomScaleNormal="100" workbookViewId="0">
      <selection activeCell="M38" sqref="M38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10.2851562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81" t="s">
        <v>95</v>
      </c>
      <c r="B1" s="181"/>
      <c r="C1" s="181"/>
      <c r="D1" s="181"/>
      <c r="E1" s="181"/>
      <c r="F1" s="181"/>
      <c r="G1" s="181"/>
      <c r="H1" s="181"/>
      <c r="I1" s="46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2" ht="15.75" thickBot="1">
      <c r="A3" s="18" t="s">
        <v>91</v>
      </c>
      <c r="B3" s="19" t="s">
        <v>8</v>
      </c>
      <c r="C3" s="22"/>
      <c r="D3" s="3"/>
      <c r="E3" s="2"/>
      <c r="F3" s="55"/>
      <c r="G3" s="51"/>
      <c r="H3" s="30">
        <v>21700.99</v>
      </c>
      <c r="I3" s="48"/>
      <c r="J3" s="56" t="s">
        <v>9</v>
      </c>
      <c r="K3" s="57">
        <f>'[1]June 2021'!$N$15</f>
        <v>65372.87</v>
      </c>
    </row>
    <row r="4" spans="1:12" ht="15.75" thickBot="1">
      <c r="A4" s="18" t="s">
        <v>91</v>
      </c>
      <c r="B4" s="12" t="s">
        <v>21</v>
      </c>
      <c r="C4" s="12" t="s">
        <v>76</v>
      </c>
      <c r="D4" s="12" t="s">
        <v>68</v>
      </c>
      <c r="E4" s="4">
        <v>7044.84</v>
      </c>
      <c r="F4" s="55"/>
      <c r="G4" s="34"/>
      <c r="H4" s="29">
        <f>H3+E4+F4-G4</f>
        <v>28745.83</v>
      </c>
      <c r="I4" s="48"/>
      <c r="J4" s="58" t="s">
        <v>10</v>
      </c>
      <c r="K4" s="59">
        <f>H71+K15+K35+K25+K45</f>
        <v>66836.87000000001</v>
      </c>
    </row>
    <row r="5" spans="1:12" ht="15.75" thickBot="1">
      <c r="A5" s="18" t="s">
        <v>91</v>
      </c>
      <c r="B5" s="12" t="s">
        <v>33</v>
      </c>
      <c r="C5" s="12"/>
      <c r="D5" s="12"/>
      <c r="E5" s="4"/>
      <c r="F5" s="55">
        <v>140.9</v>
      </c>
      <c r="G5" s="34"/>
      <c r="H5" s="29">
        <f t="shared" ref="H5:H52" si="0">H4+E5+F5-G5</f>
        <v>28886.730000000003</v>
      </c>
      <c r="I5" s="48"/>
      <c r="J5" s="60"/>
      <c r="K5" s="61"/>
    </row>
    <row r="6" spans="1:12" ht="15.75" thickBot="1">
      <c r="A6" s="18" t="s">
        <v>91</v>
      </c>
      <c r="B6" s="12" t="s">
        <v>25</v>
      </c>
      <c r="C6" s="12"/>
      <c r="D6" s="12"/>
      <c r="E6" s="4"/>
      <c r="F6" s="26"/>
      <c r="G6" s="34">
        <v>3876</v>
      </c>
      <c r="H6" s="29">
        <f t="shared" si="0"/>
        <v>25010.730000000003</v>
      </c>
      <c r="I6" s="48"/>
      <c r="J6" s="190" t="s">
        <v>11</v>
      </c>
      <c r="K6" s="192">
        <f>K3-K4</f>
        <v>-1464.0000000000073</v>
      </c>
    </row>
    <row r="7" spans="1:12" ht="15.75" thickBot="1">
      <c r="A7" s="18" t="s">
        <v>96</v>
      </c>
      <c r="B7" s="20" t="s">
        <v>25</v>
      </c>
      <c r="C7" s="12"/>
      <c r="D7" s="12"/>
      <c r="E7" s="26"/>
      <c r="F7" s="26"/>
      <c r="G7" s="34">
        <v>2472</v>
      </c>
      <c r="H7" s="29">
        <f t="shared" si="0"/>
        <v>22538.730000000003</v>
      </c>
      <c r="I7" s="48"/>
      <c r="J7" s="191"/>
      <c r="K7" s="193"/>
    </row>
    <row r="8" spans="1:12" ht="15.75" thickBot="1">
      <c r="A8" s="18" t="s">
        <v>97</v>
      </c>
      <c r="B8" s="20" t="s">
        <v>21</v>
      </c>
      <c r="C8" s="12" t="s">
        <v>74</v>
      </c>
      <c r="D8" s="12" t="s">
        <v>27</v>
      </c>
      <c r="E8" s="26">
        <v>3200.1</v>
      </c>
      <c r="F8" s="26"/>
      <c r="G8" s="34"/>
      <c r="H8" s="29">
        <f t="shared" si="0"/>
        <v>25738.83</v>
      </c>
      <c r="I8" s="48"/>
    </row>
    <row r="9" spans="1:12">
      <c r="A9" s="18" t="s">
        <v>97</v>
      </c>
      <c r="B9" s="20" t="s">
        <v>25</v>
      </c>
      <c r="C9" s="12"/>
      <c r="D9" s="12"/>
      <c r="E9" s="4"/>
      <c r="F9" s="26"/>
      <c r="G9" s="34">
        <v>3360</v>
      </c>
      <c r="H9" s="29">
        <f t="shared" si="0"/>
        <v>22378.83</v>
      </c>
      <c r="I9" s="48"/>
    </row>
    <row r="10" spans="1:12">
      <c r="A10" s="12" t="s">
        <v>98</v>
      </c>
      <c r="B10" s="12" t="s">
        <v>21</v>
      </c>
      <c r="C10" s="12" t="s">
        <v>109</v>
      </c>
      <c r="D10" s="12" t="s">
        <v>24</v>
      </c>
      <c r="E10" s="4">
        <v>7064</v>
      </c>
      <c r="F10" s="26"/>
      <c r="G10" s="34"/>
      <c r="H10" s="29">
        <f t="shared" si="0"/>
        <v>29442.83</v>
      </c>
      <c r="I10" s="48"/>
    </row>
    <row r="11" spans="1:12" ht="15" customHeight="1">
      <c r="A11" s="12" t="s">
        <v>98</v>
      </c>
      <c r="B11" s="12" t="s">
        <v>25</v>
      </c>
      <c r="C11" s="12"/>
      <c r="D11" s="12"/>
      <c r="E11" s="26"/>
      <c r="F11" s="26"/>
      <c r="G11" s="34">
        <v>4410</v>
      </c>
      <c r="H11" s="29">
        <f t="shared" si="0"/>
        <v>25032.83</v>
      </c>
      <c r="I11" s="48"/>
      <c r="J11" s="70" t="s">
        <v>56</v>
      </c>
      <c r="K11" s="71">
        <v>37533.699999999997</v>
      </c>
      <c r="L11" s="194" t="s">
        <v>122</v>
      </c>
    </row>
    <row r="12" spans="1:12" ht="15" customHeight="1">
      <c r="A12" s="12" t="s">
        <v>99</v>
      </c>
      <c r="B12" s="12" t="s">
        <v>21</v>
      </c>
      <c r="C12" s="12" t="s">
        <v>109</v>
      </c>
      <c r="D12" s="12" t="s">
        <v>23</v>
      </c>
      <c r="E12" s="4">
        <v>7064</v>
      </c>
      <c r="F12" s="55"/>
      <c r="G12" s="34"/>
      <c r="H12" s="29">
        <f t="shared" si="0"/>
        <v>32096.83</v>
      </c>
      <c r="I12" s="48"/>
      <c r="J12" s="72" t="s">
        <v>57</v>
      </c>
      <c r="K12" s="73">
        <f>K11/5</f>
        <v>7506.74</v>
      </c>
      <c r="L12" s="195"/>
    </row>
    <row r="13" spans="1:12" ht="15" customHeight="1">
      <c r="A13" s="12" t="s">
        <v>99</v>
      </c>
      <c r="B13" s="12" t="s">
        <v>25</v>
      </c>
      <c r="C13" s="12"/>
      <c r="D13" s="12"/>
      <c r="E13" s="26"/>
      <c r="F13" s="26"/>
      <c r="G13" s="34">
        <v>2424</v>
      </c>
      <c r="H13" s="29">
        <f t="shared" si="0"/>
        <v>29672.83</v>
      </c>
      <c r="I13" s="48"/>
      <c r="J13" s="72" t="s">
        <v>60</v>
      </c>
      <c r="K13" s="74">
        <v>1</v>
      </c>
      <c r="L13" s="195"/>
    </row>
    <row r="14" spans="1:12" ht="15.75" customHeight="1" thickBot="1">
      <c r="A14" s="12" t="s">
        <v>100</v>
      </c>
      <c r="B14" s="20" t="s">
        <v>21</v>
      </c>
      <c r="C14" s="12" t="s">
        <v>74</v>
      </c>
      <c r="D14" s="12" t="s">
        <v>29</v>
      </c>
      <c r="E14" s="26">
        <v>3200.1</v>
      </c>
      <c r="F14" s="26"/>
      <c r="G14" s="34"/>
      <c r="H14" s="29">
        <f t="shared" si="0"/>
        <v>32872.93</v>
      </c>
      <c r="I14" s="48"/>
      <c r="J14" s="75"/>
      <c r="K14" s="65"/>
      <c r="L14" s="195"/>
    </row>
    <row r="15" spans="1:12" ht="15.75" customHeight="1" thickBot="1">
      <c r="A15" s="12" t="s">
        <v>100</v>
      </c>
      <c r="B15" s="20" t="s">
        <v>25</v>
      </c>
      <c r="C15" s="12"/>
      <c r="D15" s="12"/>
      <c r="E15" s="26"/>
      <c r="F15" s="26"/>
      <c r="G15" s="34">
        <v>4236</v>
      </c>
      <c r="H15" s="29">
        <f t="shared" si="0"/>
        <v>28636.93</v>
      </c>
      <c r="I15" s="48"/>
      <c r="J15" s="76" t="s">
        <v>55</v>
      </c>
      <c r="K15" s="66">
        <f>K11-(K12*K13)</f>
        <v>30026.959999999999</v>
      </c>
      <c r="L15" s="195"/>
    </row>
    <row r="16" spans="1:12" ht="15" customHeight="1">
      <c r="A16" s="12" t="s">
        <v>101</v>
      </c>
      <c r="B16" s="12" t="s">
        <v>25</v>
      </c>
      <c r="C16" s="12"/>
      <c r="D16" s="12"/>
      <c r="E16" s="26"/>
      <c r="F16" s="26"/>
      <c r="G16" s="34">
        <v>4080</v>
      </c>
      <c r="H16" s="29">
        <f t="shared" si="0"/>
        <v>24556.93</v>
      </c>
      <c r="I16" s="48"/>
      <c r="J16" s="77"/>
      <c r="K16" s="78"/>
      <c r="L16" s="69" t="s">
        <v>75</v>
      </c>
    </row>
    <row r="17" spans="1:12" ht="15" customHeight="1">
      <c r="A17" s="12" t="s">
        <v>102</v>
      </c>
      <c r="B17" s="20" t="s">
        <v>21</v>
      </c>
      <c r="C17" s="12" t="s">
        <v>111</v>
      </c>
      <c r="D17" s="12" t="s">
        <v>24</v>
      </c>
      <c r="E17" s="4">
        <v>7457.9</v>
      </c>
      <c r="F17" s="26"/>
      <c r="G17" s="34"/>
      <c r="H17" s="29">
        <f t="shared" si="0"/>
        <v>32014.83</v>
      </c>
      <c r="I17" s="48"/>
      <c r="J17" s="79" t="s">
        <v>58</v>
      </c>
      <c r="K17" s="80">
        <f>L17*0.4%</f>
        <v>150.13479999999998</v>
      </c>
      <c r="L17" s="69">
        <v>37533.699999999997</v>
      </c>
    </row>
    <row r="18" spans="1:12" ht="15" customHeight="1">
      <c r="A18" s="12" t="s">
        <v>102</v>
      </c>
      <c r="B18" s="20" t="s">
        <v>25</v>
      </c>
      <c r="C18" s="12"/>
      <c r="D18" s="12"/>
      <c r="E18" s="26"/>
      <c r="F18" s="26"/>
      <c r="G18" s="34">
        <v>2376</v>
      </c>
      <c r="H18" s="29">
        <f t="shared" si="0"/>
        <v>29638.83</v>
      </c>
      <c r="I18" s="48"/>
      <c r="J18" s="81"/>
      <c r="K18" s="82"/>
      <c r="L18" s="83"/>
    </row>
    <row r="19" spans="1:12" ht="15" customHeight="1">
      <c r="A19" s="12" t="s">
        <v>103</v>
      </c>
      <c r="B19" s="20" t="s">
        <v>25</v>
      </c>
      <c r="C19" s="12"/>
      <c r="D19" s="12"/>
      <c r="E19" s="26"/>
      <c r="F19" s="26"/>
      <c r="G19" s="34">
        <v>4272</v>
      </c>
      <c r="H19" s="29">
        <f t="shared" si="0"/>
        <v>25366.83</v>
      </c>
      <c r="I19" s="48"/>
    </row>
    <row r="20" spans="1:12" ht="15" customHeight="1">
      <c r="A20" s="12" t="s">
        <v>104</v>
      </c>
      <c r="B20" s="20" t="s">
        <v>25</v>
      </c>
      <c r="C20" s="12"/>
      <c r="D20" s="12"/>
      <c r="E20" s="26"/>
      <c r="F20" s="26"/>
      <c r="G20" s="34">
        <v>4632</v>
      </c>
      <c r="H20" s="29">
        <f t="shared" si="0"/>
        <v>20734.830000000002</v>
      </c>
      <c r="I20" s="48"/>
    </row>
    <row r="21" spans="1:12" ht="15" customHeight="1">
      <c r="A21" s="12" t="s">
        <v>105</v>
      </c>
      <c r="B21" s="12" t="s">
        <v>21</v>
      </c>
      <c r="C21" s="12" t="s">
        <v>74</v>
      </c>
      <c r="D21" s="12" t="s">
        <v>68</v>
      </c>
      <c r="E21" s="26">
        <v>3200.18</v>
      </c>
      <c r="F21" s="26"/>
      <c r="G21" s="34"/>
      <c r="H21" s="29">
        <f t="shared" si="0"/>
        <v>23935.010000000002</v>
      </c>
      <c r="I21" s="48"/>
      <c r="J21" s="90" t="s">
        <v>56</v>
      </c>
      <c r="K21" s="91">
        <v>6085.12</v>
      </c>
      <c r="L21" s="196" t="s">
        <v>49</v>
      </c>
    </row>
    <row r="22" spans="1:12" ht="15" customHeight="1">
      <c r="A22" s="12" t="s">
        <v>105</v>
      </c>
      <c r="B22" s="20" t="s">
        <v>33</v>
      </c>
      <c r="C22" s="12"/>
      <c r="D22" s="12"/>
      <c r="E22" s="26"/>
      <c r="F22" s="26">
        <v>64</v>
      </c>
      <c r="G22" s="34"/>
      <c r="H22" s="29">
        <f t="shared" si="0"/>
        <v>23999.010000000002</v>
      </c>
      <c r="I22" s="48"/>
      <c r="J22" s="92" t="s">
        <v>57</v>
      </c>
      <c r="K22" s="93">
        <f>K21/2</f>
        <v>3042.56</v>
      </c>
      <c r="L22" s="197"/>
    </row>
    <row r="23" spans="1:12" ht="15" customHeight="1">
      <c r="A23" s="12" t="s">
        <v>105</v>
      </c>
      <c r="B23" s="20" t="s">
        <v>25</v>
      </c>
      <c r="C23" s="12"/>
      <c r="D23" s="12"/>
      <c r="E23" s="26"/>
      <c r="F23" s="26"/>
      <c r="G23" s="34">
        <v>4764</v>
      </c>
      <c r="H23" s="29">
        <f t="shared" si="0"/>
        <v>19235.010000000002</v>
      </c>
      <c r="I23" s="48"/>
      <c r="J23" s="92" t="s">
        <v>60</v>
      </c>
      <c r="K23" s="94">
        <v>1</v>
      </c>
      <c r="L23" s="197"/>
    </row>
    <row r="24" spans="1:12" ht="15.75" customHeight="1" thickBot="1">
      <c r="A24" s="12" t="s">
        <v>106</v>
      </c>
      <c r="B24" s="20" t="s">
        <v>25</v>
      </c>
      <c r="C24" s="12"/>
      <c r="D24" s="12"/>
      <c r="E24" s="26"/>
      <c r="F24" s="26"/>
      <c r="G24" s="34"/>
      <c r="H24" s="29">
        <f t="shared" si="0"/>
        <v>19235.010000000002</v>
      </c>
      <c r="I24" s="48"/>
      <c r="J24" s="95"/>
      <c r="K24" s="96"/>
      <c r="L24" s="197"/>
    </row>
    <row r="25" spans="1:12" ht="15.75" customHeight="1" thickBot="1">
      <c r="A25" s="12" t="s">
        <v>107</v>
      </c>
      <c r="B25" s="20" t="s">
        <v>25</v>
      </c>
      <c r="C25" s="12"/>
      <c r="D25" s="12"/>
      <c r="E25" s="26"/>
      <c r="F25" s="26"/>
      <c r="G25" s="34">
        <v>2658</v>
      </c>
      <c r="H25" s="29">
        <f t="shared" si="0"/>
        <v>16577.010000000002</v>
      </c>
      <c r="I25" s="48"/>
      <c r="J25" s="97" t="s">
        <v>55</v>
      </c>
      <c r="K25" s="98">
        <f>K21-(K22*K23)</f>
        <v>3042.56</v>
      </c>
      <c r="L25" s="197"/>
    </row>
    <row r="26" spans="1:12" ht="15" customHeight="1">
      <c r="A26" s="12" t="s">
        <v>108</v>
      </c>
      <c r="B26" s="12" t="s">
        <v>21</v>
      </c>
      <c r="C26" s="12" t="s">
        <v>111</v>
      </c>
      <c r="D26" s="12" t="s">
        <v>23</v>
      </c>
      <c r="E26" s="4">
        <v>7457.9</v>
      </c>
      <c r="F26" s="26"/>
      <c r="G26" s="34"/>
      <c r="H26" s="29">
        <f t="shared" si="0"/>
        <v>24034.910000000003</v>
      </c>
      <c r="I26" s="48"/>
      <c r="J26" s="99"/>
      <c r="K26" s="100"/>
      <c r="L26" s="101" t="s">
        <v>75</v>
      </c>
    </row>
    <row r="27" spans="1:12" ht="15" customHeight="1">
      <c r="A27" s="12" t="s">
        <v>108</v>
      </c>
      <c r="B27" s="12" t="s">
        <v>25</v>
      </c>
      <c r="C27" s="12"/>
      <c r="D27" s="12"/>
      <c r="E27" s="26"/>
      <c r="F27" s="26"/>
      <c r="G27" s="34">
        <v>1330</v>
      </c>
      <c r="H27" s="29">
        <f t="shared" si="0"/>
        <v>22704.910000000003</v>
      </c>
      <c r="I27" s="48"/>
      <c r="J27" s="102" t="s">
        <v>58</v>
      </c>
      <c r="K27" s="103">
        <f>L27*0.4%</f>
        <v>60.852000000000004</v>
      </c>
      <c r="L27" s="101">
        <f>3042.6*5</f>
        <v>15213</v>
      </c>
    </row>
    <row r="28" spans="1:12" ht="15" customHeight="1">
      <c r="A28" s="12" t="s">
        <v>113</v>
      </c>
      <c r="B28" s="12" t="s">
        <v>25</v>
      </c>
      <c r="C28" s="12"/>
      <c r="D28" s="12"/>
      <c r="E28" s="26"/>
      <c r="F28" s="26"/>
      <c r="G28" s="34">
        <v>5742</v>
      </c>
      <c r="H28" s="29">
        <f t="shared" si="0"/>
        <v>16962.910000000003</v>
      </c>
      <c r="I28" s="48"/>
      <c r="J28" s="104"/>
      <c r="K28" s="105"/>
      <c r="L28" s="106"/>
    </row>
    <row r="29" spans="1:12">
      <c r="A29" s="12" t="s">
        <v>114</v>
      </c>
      <c r="B29" s="12" t="s">
        <v>25</v>
      </c>
      <c r="C29" s="12"/>
      <c r="D29" s="12"/>
      <c r="E29" s="4"/>
      <c r="F29" s="26"/>
      <c r="G29" s="34">
        <v>3648</v>
      </c>
      <c r="H29" s="29">
        <f t="shared" si="0"/>
        <v>13314.910000000003</v>
      </c>
      <c r="I29" s="48"/>
    </row>
    <row r="30" spans="1:12">
      <c r="A30" s="12" t="s">
        <v>115</v>
      </c>
      <c r="B30" s="12" t="s">
        <v>21</v>
      </c>
      <c r="C30" s="12" t="s">
        <v>111</v>
      </c>
      <c r="D30" s="12" t="s">
        <v>27</v>
      </c>
      <c r="E30" s="4">
        <v>7457.9</v>
      </c>
      <c r="F30" s="26"/>
      <c r="G30" s="34"/>
      <c r="H30" s="29">
        <f t="shared" si="0"/>
        <v>20772.810000000005</v>
      </c>
      <c r="I30" s="48"/>
    </row>
    <row r="31" spans="1:12" ht="15" customHeight="1">
      <c r="A31" s="12" t="s">
        <v>115</v>
      </c>
      <c r="B31" s="12" t="s">
        <v>25</v>
      </c>
      <c r="C31" s="12"/>
      <c r="D31" s="12"/>
      <c r="E31" s="26"/>
      <c r="F31" s="26"/>
      <c r="G31" s="34">
        <v>3270</v>
      </c>
      <c r="H31" s="29">
        <f t="shared" si="0"/>
        <v>17502.810000000005</v>
      </c>
      <c r="I31" s="48"/>
      <c r="J31" s="113" t="s">
        <v>56</v>
      </c>
      <c r="K31" s="114">
        <v>18585</v>
      </c>
      <c r="L31" s="186" t="s">
        <v>112</v>
      </c>
    </row>
    <row r="32" spans="1:12" ht="15" customHeight="1">
      <c r="A32" s="12" t="s">
        <v>116</v>
      </c>
      <c r="B32" s="12" t="s">
        <v>25</v>
      </c>
      <c r="C32" s="12"/>
      <c r="D32" s="12"/>
      <c r="E32" s="4"/>
      <c r="F32" s="26"/>
      <c r="G32" s="34">
        <v>2308</v>
      </c>
      <c r="H32" s="29">
        <f t="shared" si="0"/>
        <v>15194.810000000005</v>
      </c>
      <c r="I32" s="48"/>
      <c r="J32" s="115" t="s">
        <v>57</v>
      </c>
      <c r="K32" s="109">
        <f>K31/5</f>
        <v>3717</v>
      </c>
      <c r="L32" s="187"/>
    </row>
    <row r="33" spans="1:16" ht="15" customHeight="1">
      <c r="A33" s="12" t="s">
        <v>117</v>
      </c>
      <c r="B33" s="12" t="s">
        <v>25</v>
      </c>
      <c r="C33" s="12"/>
      <c r="D33" s="12"/>
      <c r="E33" s="4"/>
      <c r="F33" s="26"/>
      <c r="G33" s="34">
        <v>5022</v>
      </c>
      <c r="H33" s="29">
        <f t="shared" si="0"/>
        <v>10172.810000000005</v>
      </c>
      <c r="I33" s="48"/>
      <c r="J33" s="115" t="s">
        <v>60</v>
      </c>
      <c r="K33" s="110">
        <v>1</v>
      </c>
      <c r="L33" s="187"/>
    </row>
    <row r="34" spans="1:16" ht="15.75" customHeight="1" thickBot="1">
      <c r="A34" s="12" t="s">
        <v>118</v>
      </c>
      <c r="B34" s="12" t="s">
        <v>21</v>
      </c>
      <c r="C34" s="12" t="s">
        <v>111</v>
      </c>
      <c r="D34" s="12" t="s">
        <v>29</v>
      </c>
      <c r="E34" s="4">
        <v>7457.9</v>
      </c>
      <c r="F34" s="26"/>
      <c r="G34" s="34"/>
      <c r="H34" s="29">
        <f t="shared" si="0"/>
        <v>17630.710000000006</v>
      </c>
      <c r="I34" s="48"/>
      <c r="J34" s="116"/>
      <c r="K34" s="107"/>
      <c r="L34" s="187"/>
    </row>
    <row r="35" spans="1:16" ht="15.75" customHeight="1" thickBot="1">
      <c r="A35" s="12" t="s">
        <v>118</v>
      </c>
      <c r="B35" s="12" t="s">
        <v>25</v>
      </c>
      <c r="C35" s="12"/>
      <c r="D35" s="12"/>
      <c r="E35" s="26"/>
      <c r="F35" s="26"/>
      <c r="G35" s="34">
        <v>2544</v>
      </c>
      <c r="H35" s="29">
        <f t="shared" si="0"/>
        <v>15086.710000000006</v>
      </c>
      <c r="I35" s="48"/>
      <c r="J35" s="117" t="s">
        <v>55</v>
      </c>
      <c r="K35" s="108">
        <f>K31-(K32*K33)</f>
        <v>14868</v>
      </c>
      <c r="L35" s="187"/>
    </row>
    <row r="36" spans="1:16" ht="15.75" customHeight="1">
      <c r="A36" s="12" t="s">
        <v>119</v>
      </c>
      <c r="B36" s="12" t="s">
        <v>25</v>
      </c>
      <c r="C36" s="12"/>
      <c r="D36" s="12"/>
      <c r="E36" s="4"/>
      <c r="F36" s="26"/>
      <c r="G36" s="34">
        <v>6384</v>
      </c>
      <c r="H36" s="29">
        <f t="shared" si="0"/>
        <v>8702.7100000000064</v>
      </c>
      <c r="I36" s="48"/>
      <c r="J36" s="118"/>
      <c r="K36" s="111"/>
      <c r="L36" s="119" t="s">
        <v>75</v>
      </c>
    </row>
    <row r="37" spans="1:16" ht="15.75" customHeight="1">
      <c r="A37" s="12" t="s">
        <v>120</v>
      </c>
      <c r="B37" s="12" t="s">
        <v>21</v>
      </c>
      <c r="C37" s="12" t="s">
        <v>111</v>
      </c>
      <c r="D37" s="12" t="s">
        <v>68</v>
      </c>
      <c r="E37" s="4">
        <f>7457+9.2</f>
        <v>7466.2</v>
      </c>
      <c r="F37" s="26"/>
      <c r="G37" s="34"/>
      <c r="H37" s="29">
        <f t="shared" si="0"/>
        <v>16168.910000000007</v>
      </c>
      <c r="I37" s="48"/>
      <c r="J37" s="120" t="s">
        <v>58</v>
      </c>
      <c r="K37" s="112">
        <f>L37*0.4%</f>
        <v>74.34</v>
      </c>
      <c r="L37" s="119">
        <v>18585</v>
      </c>
      <c r="P37" s="1"/>
    </row>
    <row r="38" spans="1:16" ht="15" customHeight="1">
      <c r="A38" s="12" t="s">
        <v>120</v>
      </c>
      <c r="B38" s="12" t="s">
        <v>33</v>
      </c>
      <c r="C38" s="12"/>
      <c r="D38" s="12"/>
      <c r="E38" s="4"/>
      <c r="F38" s="26">
        <v>140.9</v>
      </c>
      <c r="G38" s="34"/>
      <c r="H38" s="29">
        <f t="shared" si="0"/>
        <v>16309.810000000007</v>
      </c>
      <c r="I38" s="48"/>
      <c r="J38" s="121"/>
      <c r="K38" s="122"/>
      <c r="L38" s="123"/>
      <c r="P38" s="1"/>
    </row>
    <row r="39" spans="1:16">
      <c r="A39" s="12" t="s">
        <v>120</v>
      </c>
      <c r="B39" s="12" t="s">
        <v>21</v>
      </c>
      <c r="C39" s="12" t="s">
        <v>49</v>
      </c>
      <c r="D39" s="12" t="s">
        <v>29</v>
      </c>
      <c r="E39" s="4">
        <v>3042.56</v>
      </c>
      <c r="F39" s="26"/>
      <c r="G39" s="34"/>
      <c r="H39" s="29">
        <f t="shared" si="0"/>
        <v>19352.370000000006</v>
      </c>
      <c r="I39" s="48"/>
      <c r="K39" s="10"/>
    </row>
    <row r="40" spans="1:16">
      <c r="A40" s="12" t="s">
        <v>120</v>
      </c>
      <c r="B40" s="12" t="s">
        <v>25</v>
      </c>
      <c r="C40" s="12"/>
      <c r="D40" s="12"/>
      <c r="E40" s="4"/>
      <c r="F40" s="26"/>
      <c r="G40" s="34">
        <v>4868</v>
      </c>
      <c r="H40" s="29">
        <f t="shared" si="0"/>
        <v>14484.370000000006</v>
      </c>
      <c r="I40" s="48"/>
      <c r="K40" s="10"/>
    </row>
    <row r="41" spans="1:16" ht="15" customHeight="1">
      <c r="A41" s="12" t="s">
        <v>121</v>
      </c>
      <c r="B41" s="20" t="s">
        <v>25</v>
      </c>
      <c r="C41" s="12"/>
      <c r="D41" s="12"/>
      <c r="E41" s="4"/>
      <c r="F41" s="26"/>
      <c r="G41" s="34">
        <v>6694</v>
      </c>
      <c r="H41" s="29">
        <f t="shared" si="0"/>
        <v>7790.3700000000063</v>
      </c>
      <c r="I41" s="48"/>
      <c r="J41" s="124" t="s">
        <v>56</v>
      </c>
      <c r="K41" s="125">
        <v>35320</v>
      </c>
      <c r="L41" s="188" t="s">
        <v>110</v>
      </c>
    </row>
    <row r="42" spans="1:16" ht="15.75" customHeight="1">
      <c r="A42" s="12" t="s">
        <v>123</v>
      </c>
      <c r="B42" s="12" t="s">
        <v>21</v>
      </c>
      <c r="C42" s="12" t="s">
        <v>109</v>
      </c>
      <c r="D42" s="12" t="s">
        <v>27</v>
      </c>
      <c r="E42" s="4">
        <v>7064</v>
      </c>
      <c r="F42" s="26"/>
      <c r="G42" s="34"/>
      <c r="H42" s="29">
        <f t="shared" si="0"/>
        <v>14854.370000000006</v>
      </c>
      <c r="I42" s="48"/>
      <c r="J42" s="126" t="s">
        <v>57</v>
      </c>
      <c r="K42" s="127">
        <f>K41/5</f>
        <v>7064</v>
      </c>
      <c r="L42" s="189"/>
    </row>
    <row r="43" spans="1:16" ht="15.75" customHeight="1">
      <c r="A43" s="12" t="s">
        <v>123</v>
      </c>
      <c r="B43" s="12" t="s">
        <v>25</v>
      </c>
      <c r="C43" s="12"/>
      <c r="D43" s="12"/>
      <c r="E43" s="4"/>
      <c r="F43" s="26"/>
      <c r="G43" s="34">
        <v>6030</v>
      </c>
      <c r="H43" s="29">
        <f t="shared" si="0"/>
        <v>8824.3700000000063</v>
      </c>
      <c r="I43" s="48"/>
      <c r="J43" s="126" t="s">
        <v>60</v>
      </c>
      <c r="K43" s="128">
        <v>5</v>
      </c>
      <c r="L43" s="189"/>
    </row>
    <row r="44" spans="1:16" ht="15.75" customHeight="1" thickBot="1">
      <c r="A44" s="12" t="s">
        <v>127</v>
      </c>
      <c r="B44" s="20" t="s">
        <v>21</v>
      </c>
      <c r="C44" s="12" t="s">
        <v>109</v>
      </c>
      <c r="D44" s="12" t="s">
        <v>29</v>
      </c>
      <c r="E44" s="4">
        <v>7064</v>
      </c>
      <c r="F44" s="26"/>
      <c r="G44" s="34"/>
      <c r="H44" s="29">
        <f t="shared" si="0"/>
        <v>15888.370000000006</v>
      </c>
      <c r="I44" s="48"/>
      <c r="J44" s="129"/>
      <c r="K44" s="67"/>
      <c r="L44" s="189"/>
    </row>
    <row r="45" spans="1:16" ht="15.75" customHeight="1" thickBot="1">
      <c r="A45" s="12" t="s">
        <v>124</v>
      </c>
      <c r="B45" s="20" t="s">
        <v>21</v>
      </c>
      <c r="C45" s="12" t="s">
        <v>109</v>
      </c>
      <c r="D45" s="12" t="s">
        <v>68</v>
      </c>
      <c r="E45" s="4">
        <v>7064</v>
      </c>
      <c r="F45" s="26"/>
      <c r="G45" s="34"/>
      <c r="H45" s="29">
        <f t="shared" si="0"/>
        <v>22952.370000000006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 t="s">
        <v>124</v>
      </c>
      <c r="B46" s="20" t="s">
        <v>33</v>
      </c>
      <c r="C46" s="12"/>
      <c r="D46" s="12"/>
      <c r="E46" s="26"/>
      <c r="F46" s="26">
        <v>141.28</v>
      </c>
      <c r="G46" s="34"/>
      <c r="H46" s="29">
        <f t="shared" si="0"/>
        <v>23093.650000000005</v>
      </c>
      <c r="I46" s="48"/>
      <c r="J46" s="131"/>
      <c r="K46" s="132"/>
      <c r="L46" s="133" t="s">
        <v>75</v>
      </c>
    </row>
    <row r="47" spans="1:16" ht="15" customHeight="1">
      <c r="A47" s="12" t="s">
        <v>124</v>
      </c>
      <c r="B47" s="20" t="s">
        <v>25</v>
      </c>
      <c r="C47" s="12"/>
      <c r="D47" s="12"/>
      <c r="E47" s="26"/>
      <c r="F47" s="26"/>
      <c r="G47" s="34">
        <v>7736</v>
      </c>
      <c r="H47" s="29">
        <f t="shared" si="0"/>
        <v>15357.650000000005</v>
      </c>
      <c r="I47" s="48"/>
      <c r="J47" s="134" t="s">
        <v>58</v>
      </c>
      <c r="K47" s="135">
        <f>L47*0.4%</f>
        <v>141.28</v>
      </c>
      <c r="L47" s="133">
        <v>35320</v>
      </c>
    </row>
    <row r="48" spans="1:16" ht="15" customHeight="1">
      <c r="A48" s="12" t="s">
        <v>125</v>
      </c>
      <c r="B48" s="20" t="s">
        <v>25</v>
      </c>
      <c r="C48" s="12"/>
      <c r="D48" s="12"/>
      <c r="E48" s="40"/>
      <c r="F48" s="26"/>
      <c r="G48" s="34">
        <v>3584</v>
      </c>
      <c r="H48" s="29">
        <f t="shared" si="0"/>
        <v>11773.650000000005</v>
      </c>
      <c r="I48" s="48"/>
      <c r="J48" s="136"/>
      <c r="K48" s="137"/>
      <c r="L48" s="138"/>
    </row>
    <row r="49" spans="1:13">
      <c r="A49" s="12" t="s">
        <v>125</v>
      </c>
      <c r="B49" s="12" t="s">
        <v>21</v>
      </c>
      <c r="C49" s="12" t="s">
        <v>74</v>
      </c>
      <c r="D49" s="12" t="s">
        <v>24</v>
      </c>
      <c r="E49" s="26">
        <v>3717</v>
      </c>
      <c r="F49" s="26"/>
      <c r="G49" s="34"/>
      <c r="H49" s="29">
        <f t="shared" si="0"/>
        <v>15490.650000000005</v>
      </c>
      <c r="I49" s="48"/>
    </row>
    <row r="50" spans="1:13">
      <c r="A50" s="12" t="s">
        <v>126</v>
      </c>
      <c r="B50" s="12" t="s">
        <v>21</v>
      </c>
      <c r="C50" s="12" t="s">
        <v>22</v>
      </c>
      <c r="D50" s="12" t="s">
        <v>24</v>
      </c>
      <c r="E50" s="4">
        <v>7506.7</v>
      </c>
      <c r="F50" s="26"/>
      <c r="G50" s="34"/>
      <c r="H50" s="29">
        <f t="shared" si="0"/>
        <v>22997.350000000006</v>
      </c>
      <c r="I50" s="48"/>
    </row>
    <row r="51" spans="1:13">
      <c r="A51" s="12" t="s">
        <v>126</v>
      </c>
      <c r="B51" s="20" t="s">
        <v>25</v>
      </c>
      <c r="C51" s="12"/>
      <c r="D51" s="12"/>
      <c r="E51" s="25"/>
      <c r="F51" s="26"/>
      <c r="G51" s="34">
        <v>4098</v>
      </c>
      <c r="H51" s="29">
        <f t="shared" si="0"/>
        <v>18899.350000000006</v>
      </c>
      <c r="I51" s="48"/>
    </row>
    <row r="52" spans="1:13">
      <c r="A52" s="12"/>
      <c r="B52" s="12"/>
      <c r="C52" s="12"/>
      <c r="D52" s="12"/>
      <c r="E52" s="25"/>
      <c r="F52" s="42"/>
      <c r="G52" s="34"/>
      <c r="H52" s="62">
        <f t="shared" si="0"/>
        <v>18899.350000000006</v>
      </c>
      <c r="I52" s="48"/>
      <c r="J52" s="50"/>
      <c r="K52" s="50"/>
      <c r="L52" s="50"/>
      <c r="M52" s="50"/>
    </row>
    <row r="53" spans="1:13">
      <c r="A53" s="12"/>
      <c r="B53" s="20"/>
      <c r="C53" s="12"/>
      <c r="D53" s="12"/>
      <c r="E53" s="26"/>
      <c r="F53" s="26"/>
      <c r="G53" s="34"/>
      <c r="H53" s="29">
        <f t="shared" ref="H53:H71" si="1">H52+E53+F53-G53</f>
        <v>18899.350000000006</v>
      </c>
      <c r="I53" s="48"/>
      <c r="J53" s="50"/>
      <c r="K53" s="50"/>
      <c r="L53" s="50"/>
      <c r="M53" s="50"/>
    </row>
    <row r="54" spans="1:13">
      <c r="A54" s="12"/>
      <c r="B54" s="20"/>
      <c r="C54" s="12"/>
      <c r="D54" s="12"/>
      <c r="E54" s="40"/>
      <c r="F54" s="26"/>
      <c r="G54" s="34"/>
      <c r="H54" s="29">
        <f t="shared" si="1"/>
        <v>18899.350000000006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si="1"/>
        <v>18899.350000000006</v>
      </c>
      <c r="I55" s="48"/>
    </row>
    <row r="56" spans="1:13">
      <c r="A56" s="12"/>
      <c r="B56" s="12"/>
      <c r="C56" s="12"/>
      <c r="D56" s="12"/>
      <c r="E56" s="4"/>
      <c r="F56" s="26"/>
      <c r="G56" s="34"/>
      <c r="H56" s="29">
        <f t="shared" si="1"/>
        <v>18899.350000000006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1"/>
        <v>18899.350000000006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1"/>
        <v>18899.350000000006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1"/>
        <v>18899.350000000006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1"/>
        <v>18899.350000000006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1"/>
        <v>18899.350000000006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1"/>
        <v>18899.350000000006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1"/>
        <v>18899.350000000006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1"/>
        <v>18899.350000000006</v>
      </c>
      <c r="I64" s="48"/>
    </row>
    <row r="65" spans="1:9">
      <c r="A65" s="12"/>
      <c r="B65" s="20"/>
      <c r="C65" s="12"/>
      <c r="D65" s="12"/>
      <c r="E65" s="25"/>
      <c r="F65" s="26"/>
      <c r="G65" s="34"/>
      <c r="H65" s="29">
        <f t="shared" si="1"/>
        <v>18899.350000000006</v>
      </c>
      <c r="I65" s="48"/>
    </row>
    <row r="66" spans="1:9">
      <c r="A66" s="12"/>
      <c r="B66" s="20"/>
      <c r="C66" s="12"/>
      <c r="D66" s="12"/>
      <c r="E66" s="40"/>
      <c r="F66" s="26"/>
      <c r="G66" s="34"/>
      <c r="H66" s="29">
        <f t="shared" si="1"/>
        <v>18899.350000000006</v>
      </c>
      <c r="I66" s="48"/>
    </row>
    <row r="67" spans="1:9">
      <c r="A67" s="12"/>
      <c r="B67" s="20"/>
      <c r="C67" s="12"/>
      <c r="D67" s="12"/>
      <c r="E67" s="40"/>
      <c r="F67" s="26"/>
      <c r="G67" s="34"/>
      <c r="H67" s="29">
        <f t="shared" si="1"/>
        <v>18899.350000000006</v>
      </c>
      <c r="I67" s="48"/>
    </row>
    <row r="68" spans="1:9">
      <c r="A68" s="12"/>
      <c r="B68" s="20"/>
      <c r="C68" s="12"/>
      <c r="D68" s="12"/>
      <c r="E68" s="40"/>
      <c r="F68" s="26"/>
      <c r="G68" s="34"/>
      <c r="H68" s="29">
        <f t="shared" si="1"/>
        <v>18899.350000000006</v>
      </c>
      <c r="I68" s="48"/>
    </row>
    <row r="69" spans="1:9">
      <c r="A69" s="12"/>
      <c r="B69" s="20"/>
      <c r="C69" s="12"/>
      <c r="D69" s="12"/>
      <c r="E69" s="25"/>
      <c r="F69" s="26"/>
      <c r="G69" s="34"/>
      <c r="H69" s="29">
        <f t="shared" si="1"/>
        <v>18899.350000000006</v>
      </c>
      <c r="I69" s="48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18899.350000000006</v>
      </c>
      <c r="I70" s="48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18899.350000000006</v>
      </c>
      <c r="I71" s="48"/>
    </row>
    <row r="72" spans="1:9" ht="15.75" thickBot="1">
      <c r="A72" s="5" t="s">
        <v>88</v>
      </c>
      <c r="B72" s="21"/>
      <c r="C72" s="8"/>
      <c r="D72" s="11"/>
      <c r="E72" s="24">
        <f>SUM(E3:E71)</f>
        <v>103529.28</v>
      </c>
      <c r="F72" s="39">
        <f>SUM(F3:F71)</f>
        <v>487.08000000000004</v>
      </c>
      <c r="G72" s="35">
        <f>SUM(G3:G71)</f>
        <v>106818</v>
      </c>
      <c r="H72" s="30"/>
      <c r="I72" s="49"/>
    </row>
    <row r="73" spans="1:9">
      <c r="A73" s="2"/>
      <c r="B73" s="13"/>
      <c r="C73" s="9"/>
      <c r="D73" s="2"/>
      <c r="E73" s="2"/>
      <c r="F73" s="36"/>
      <c r="G73" s="51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50"/>
      <c r="I76" s="50"/>
    </row>
    <row r="77" spans="1:9">
      <c r="H77" s="50"/>
      <c r="I77" s="50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P95"/>
  <sheetViews>
    <sheetView zoomScaleNormal="100" workbookViewId="0">
      <selection activeCell="G37" sqref="G37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81" t="s">
        <v>95</v>
      </c>
      <c r="B1" s="181"/>
      <c r="C1" s="181"/>
      <c r="D1" s="181"/>
      <c r="E1" s="181"/>
      <c r="F1" s="181"/>
      <c r="G1" s="181"/>
      <c r="H1" s="181"/>
      <c r="I1" s="46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2" ht="15.75" thickBot="1">
      <c r="A3" s="18" t="s">
        <v>91</v>
      </c>
      <c r="B3" s="19" t="s">
        <v>8</v>
      </c>
      <c r="C3" s="22"/>
      <c r="D3" s="3"/>
      <c r="E3" s="2"/>
      <c r="F3" s="55"/>
      <c r="G3" s="51"/>
      <c r="H3" s="30">
        <v>17499.349999999999</v>
      </c>
      <c r="I3" s="48"/>
      <c r="J3" s="84" t="s">
        <v>9</v>
      </c>
      <c r="K3" s="85">
        <f>'[2]July 2021'!$N$15</f>
        <v>223476.00800000003</v>
      </c>
    </row>
    <row r="4" spans="1:12" ht="15.75" thickBot="1">
      <c r="A4" s="63" t="s">
        <v>128</v>
      </c>
      <c r="B4" s="20" t="s">
        <v>25</v>
      </c>
      <c r="C4" s="12"/>
      <c r="D4" s="12"/>
      <c r="E4" s="4"/>
      <c r="F4" s="55"/>
      <c r="G4" s="34">
        <v>2592</v>
      </c>
      <c r="H4" s="29">
        <f t="shared" ref="H4:H67" si="0">H3+E4+F4-G4</f>
        <v>14907.349999999999</v>
      </c>
      <c r="I4" s="48"/>
      <c r="J4" s="86" t="s">
        <v>10</v>
      </c>
      <c r="K4" s="87">
        <f>H71+K15+K35+K25+K45</f>
        <v>223798.19200000001</v>
      </c>
    </row>
    <row r="5" spans="1:12" ht="15.75" thickBot="1">
      <c r="A5" s="63" t="s">
        <v>129</v>
      </c>
      <c r="B5" s="20" t="s">
        <v>25</v>
      </c>
      <c r="C5" s="12"/>
      <c r="D5" s="12"/>
      <c r="E5" s="4"/>
      <c r="F5" s="55"/>
      <c r="G5" s="34">
        <v>3384</v>
      </c>
      <c r="H5" s="29">
        <f t="shared" si="0"/>
        <v>11523.349999999999</v>
      </c>
      <c r="I5" s="48"/>
      <c r="J5" s="88"/>
      <c r="K5" s="89"/>
    </row>
    <row r="6" spans="1:12" ht="15.75" customHeight="1" thickBot="1">
      <c r="A6" s="63" t="s">
        <v>130</v>
      </c>
      <c r="B6" s="20" t="s">
        <v>25</v>
      </c>
      <c r="C6" s="12"/>
      <c r="D6" s="12"/>
      <c r="E6" s="4"/>
      <c r="F6" s="26"/>
      <c r="G6" s="34">
        <v>4128</v>
      </c>
      <c r="H6" s="29">
        <f t="shared" si="0"/>
        <v>7395.3499999999985</v>
      </c>
      <c r="I6" s="48"/>
      <c r="J6" s="198" t="s">
        <v>11</v>
      </c>
      <c r="K6" s="200">
        <f>K3-K4</f>
        <v>-322.18399999997928</v>
      </c>
    </row>
    <row r="7" spans="1:12" ht="15.75" customHeight="1" thickBot="1">
      <c r="A7" s="63" t="s">
        <v>131</v>
      </c>
      <c r="B7" s="20" t="s">
        <v>25</v>
      </c>
      <c r="C7" s="12"/>
      <c r="D7" s="12"/>
      <c r="E7" s="26"/>
      <c r="F7" s="26"/>
      <c r="G7" s="34">
        <v>3318</v>
      </c>
      <c r="H7" s="29">
        <f t="shared" si="0"/>
        <v>4077.3499999999985</v>
      </c>
      <c r="I7" s="48"/>
      <c r="J7" s="199"/>
      <c r="K7" s="201"/>
    </row>
    <row r="8" spans="1:12" ht="15.75" thickBot="1">
      <c r="A8" s="63" t="s">
        <v>132</v>
      </c>
      <c r="B8" s="20" t="s">
        <v>25</v>
      </c>
      <c r="C8" s="12"/>
      <c r="D8" s="12"/>
      <c r="E8" s="26"/>
      <c r="F8" s="26"/>
      <c r="G8" s="34">
        <v>5612</v>
      </c>
      <c r="H8" s="29">
        <f t="shared" si="0"/>
        <v>-1534.6500000000015</v>
      </c>
      <c r="I8" s="48"/>
    </row>
    <row r="9" spans="1:12">
      <c r="A9" s="63" t="s">
        <v>133</v>
      </c>
      <c r="B9" s="20" t="s">
        <v>25</v>
      </c>
      <c r="C9" s="12"/>
      <c r="D9" s="12"/>
      <c r="E9" s="4"/>
      <c r="F9" s="26"/>
      <c r="G9" s="34">
        <v>2400</v>
      </c>
      <c r="H9" s="29">
        <f t="shared" si="0"/>
        <v>-3934.6500000000015</v>
      </c>
      <c r="I9" s="48"/>
    </row>
    <row r="10" spans="1:12">
      <c r="A10" s="12" t="s">
        <v>134</v>
      </c>
      <c r="B10" s="20" t="s">
        <v>25</v>
      </c>
      <c r="C10" s="12"/>
      <c r="D10" s="12"/>
      <c r="E10" s="4"/>
      <c r="F10" s="26"/>
      <c r="G10" s="34">
        <v>5138</v>
      </c>
      <c r="H10" s="29">
        <f t="shared" si="0"/>
        <v>-9072.6500000000015</v>
      </c>
      <c r="I10" s="48"/>
    </row>
    <row r="11" spans="1:12" ht="15" customHeight="1">
      <c r="A11" s="12" t="s">
        <v>135</v>
      </c>
      <c r="B11" s="20" t="s">
        <v>25</v>
      </c>
      <c r="C11" s="12"/>
      <c r="D11" s="12"/>
      <c r="E11" s="26"/>
      <c r="F11" s="26"/>
      <c r="G11" s="34">
        <v>6958</v>
      </c>
      <c r="H11" s="29">
        <f t="shared" si="0"/>
        <v>-16030.650000000001</v>
      </c>
      <c r="I11" s="48"/>
      <c r="J11" s="70" t="s">
        <v>56</v>
      </c>
      <c r="K11" s="71">
        <v>113109.9</v>
      </c>
      <c r="L11" s="194" t="s">
        <v>154</v>
      </c>
    </row>
    <row r="12" spans="1:12" ht="15" customHeight="1">
      <c r="A12" s="12" t="s">
        <v>136</v>
      </c>
      <c r="B12" s="20" t="s">
        <v>25</v>
      </c>
      <c r="C12" s="12"/>
      <c r="D12" s="12"/>
      <c r="E12" s="4"/>
      <c r="F12" s="55"/>
      <c r="G12" s="34">
        <v>3560</v>
      </c>
      <c r="H12" s="29">
        <f t="shared" si="0"/>
        <v>-19590.650000000001</v>
      </c>
      <c r="I12" s="48"/>
      <c r="J12" s="72" t="s">
        <v>57</v>
      </c>
      <c r="K12" s="73">
        <f>K11/15</f>
        <v>7540.66</v>
      </c>
      <c r="L12" s="195"/>
    </row>
    <row r="13" spans="1:12" ht="15" customHeight="1">
      <c r="A13" s="12" t="s">
        <v>137</v>
      </c>
      <c r="B13" s="20" t="s">
        <v>25</v>
      </c>
      <c r="C13" s="12"/>
      <c r="D13" s="12"/>
      <c r="E13" s="26"/>
      <c r="F13" s="26"/>
      <c r="G13" s="34">
        <v>6562</v>
      </c>
      <c r="H13" s="29">
        <f t="shared" si="0"/>
        <v>-26152.65</v>
      </c>
      <c r="I13" s="48"/>
      <c r="J13" s="72" t="s">
        <v>60</v>
      </c>
      <c r="K13" s="74">
        <v>15</v>
      </c>
      <c r="L13" s="195"/>
    </row>
    <row r="14" spans="1:12" ht="15.75" customHeight="1" thickBot="1">
      <c r="A14" s="12" t="s">
        <v>138</v>
      </c>
      <c r="B14" s="20" t="s">
        <v>25</v>
      </c>
      <c r="C14" s="12"/>
      <c r="D14" s="12"/>
      <c r="E14" s="26"/>
      <c r="F14" s="26"/>
      <c r="G14" s="34">
        <v>3800</v>
      </c>
      <c r="H14" s="29">
        <f t="shared" si="0"/>
        <v>-29952.65</v>
      </c>
      <c r="I14" s="48"/>
      <c r="J14" s="75"/>
      <c r="K14" s="65"/>
      <c r="L14" s="195"/>
    </row>
    <row r="15" spans="1:12" ht="15.75" customHeight="1" thickBot="1">
      <c r="A15" s="12" t="s">
        <v>139</v>
      </c>
      <c r="B15" s="20" t="s">
        <v>25</v>
      </c>
      <c r="C15" s="12"/>
      <c r="D15" s="12"/>
      <c r="E15" s="26"/>
      <c r="F15" s="26"/>
      <c r="G15" s="34">
        <v>5400</v>
      </c>
      <c r="H15" s="29">
        <f t="shared" si="0"/>
        <v>-35352.65</v>
      </c>
      <c r="I15" s="48"/>
      <c r="J15" s="76" t="s">
        <v>55</v>
      </c>
      <c r="K15" s="66">
        <f>K11-(K12*K13)</f>
        <v>0</v>
      </c>
      <c r="L15" s="195"/>
    </row>
    <row r="16" spans="1:12" ht="15" customHeight="1">
      <c r="A16" s="12" t="s">
        <v>140</v>
      </c>
      <c r="B16" s="20" t="s">
        <v>25</v>
      </c>
      <c r="C16" s="12"/>
      <c r="D16" s="12"/>
      <c r="E16" s="26"/>
      <c r="F16" s="26"/>
      <c r="G16" s="34">
        <v>7850</v>
      </c>
      <c r="H16" s="29">
        <f t="shared" si="0"/>
        <v>-43202.65</v>
      </c>
      <c r="I16" s="48"/>
      <c r="J16" s="77"/>
      <c r="K16" s="78"/>
      <c r="L16" s="69" t="s">
        <v>75</v>
      </c>
    </row>
    <row r="17" spans="1:12" ht="15" customHeight="1">
      <c r="A17" s="12" t="s">
        <v>141</v>
      </c>
      <c r="B17" s="20" t="s">
        <v>25</v>
      </c>
      <c r="C17" s="12"/>
      <c r="D17" s="12"/>
      <c r="E17" s="4"/>
      <c r="F17" s="26"/>
      <c r="G17" s="34">
        <v>5922</v>
      </c>
      <c r="H17" s="29">
        <f t="shared" si="0"/>
        <v>-49124.65</v>
      </c>
      <c r="I17" s="48"/>
      <c r="J17" s="79" t="s">
        <v>58</v>
      </c>
      <c r="K17" s="80">
        <f>L17*0.4%</f>
        <v>452.43960000000004</v>
      </c>
      <c r="L17" s="69">
        <f>37522.3+37929.3+37658.3</f>
        <v>113109.90000000001</v>
      </c>
    </row>
    <row r="18" spans="1:12" ht="15" customHeight="1">
      <c r="A18" s="12" t="s">
        <v>142</v>
      </c>
      <c r="B18" s="20" t="s">
        <v>25</v>
      </c>
      <c r="C18" s="12"/>
      <c r="D18" s="12"/>
      <c r="E18" s="26"/>
      <c r="F18" s="26"/>
      <c r="G18" s="34">
        <v>1764</v>
      </c>
      <c r="H18" s="29">
        <f t="shared" si="0"/>
        <v>-50888.65</v>
      </c>
      <c r="I18" s="48"/>
      <c r="J18" s="81"/>
      <c r="K18" s="82"/>
      <c r="L18" s="83"/>
    </row>
    <row r="19" spans="1:12" ht="15" customHeight="1">
      <c r="A19" s="12" t="s">
        <v>143</v>
      </c>
      <c r="B19" s="20" t="s">
        <v>25</v>
      </c>
      <c r="C19" s="12"/>
      <c r="D19" s="12"/>
      <c r="E19" s="26"/>
      <c r="F19" s="26"/>
      <c r="G19" s="34">
        <v>4460</v>
      </c>
      <c r="H19" s="29">
        <f t="shared" si="0"/>
        <v>-55348.65</v>
      </c>
      <c r="I19" s="48"/>
    </row>
    <row r="20" spans="1:12" ht="15" customHeight="1">
      <c r="A20" s="12" t="s">
        <v>144</v>
      </c>
      <c r="B20" s="20" t="s">
        <v>25</v>
      </c>
      <c r="C20" s="12"/>
      <c r="D20" s="12"/>
      <c r="E20" s="26"/>
      <c r="F20" s="26"/>
      <c r="G20" s="34">
        <v>9278</v>
      </c>
      <c r="H20" s="29">
        <f t="shared" si="0"/>
        <v>-64626.65</v>
      </c>
      <c r="I20" s="48"/>
    </row>
    <row r="21" spans="1:12" ht="15" customHeight="1">
      <c r="A21" s="12" t="s">
        <v>145</v>
      </c>
      <c r="B21" s="20" t="s">
        <v>25</v>
      </c>
      <c r="C21" s="12"/>
      <c r="D21" s="12"/>
      <c r="E21" s="26"/>
      <c r="F21" s="26"/>
      <c r="G21" s="34">
        <v>7062</v>
      </c>
      <c r="H21" s="29">
        <f t="shared" si="0"/>
        <v>-71688.649999999994</v>
      </c>
      <c r="I21" s="48"/>
      <c r="J21" s="90" t="s">
        <v>56</v>
      </c>
      <c r="K21" s="91">
        <v>18143.8</v>
      </c>
      <c r="L21" s="196" t="s">
        <v>155</v>
      </c>
    </row>
    <row r="22" spans="1:12" ht="15" customHeight="1">
      <c r="A22" s="12" t="s">
        <v>146</v>
      </c>
      <c r="B22" s="20" t="s">
        <v>25</v>
      </c>
      <c r="C22" s="12"/>
      <c r="D22" s="12"/>
      <c r="E22" s="26"/>
      <c r="F22" s="26"/>
      <c r="G22" s="34">
        <v>3406</v>
      </c>
      <c r="H22" s="29">
        <f t="shared" si="0"/>
        <v>-75094.649999999994</v>
      </c>
      <c r="I22" s="48"/>
      <c r="J22" s="92" t="s">
        <v>57</v>
      </c>
      <c r="K22" s="93">
        <f>K21/5</f>
        <v>3628.7599999999998</v>
      </c>
      <c r="L22" s="197"/>
    </row>
    <row r="23" spans="1:12" ht="15" customHeight="1">
      <c r="A23" s="12" t="s">
        <v>147</v>
      </c>
      <c r="B23" s="20" t="s">
        <v>25</v>
      </c>
      <c r="C23" s="12"/>
      <c r="D23" s="12"/>
      <c r="E23" s="26"/>
      <c r="F23" s="26"/>
      <c r="G23" s="34">
        <v>3848</v>
      </c>
      <c r="H23" s="29">
        <f t="shared" si="0"/>
        <v>-78942.649999999994</v>
      </c>
      <c r="I23" s="48"/>
      <c r="J23" s="92" t="s">
        <v>60</v>
      </c>
      <c r="K23" s="94">
        <v>5</v>
      </c>
      <c r="L23" s="197"/>
    </row>
    <row r="24" spans="1:12" ht="15.75" customHeight="1" thickBot="1">
      <c r="A24" s="12" t="s">
        <v>148</v>
      </c>
      <c r="B24" s="20" t="s">
        <v>25</v>
      </c>
      <c r="C24" s="12"/>
      <c r="D24" s="12"/>
      <c r="E24" s="26"/>
      <c r="F24" s="26"/>
      <c r="G24" s="34">
        <v>4320</v>
      </c>
      <c r="H24" s="29">
        <f t="shared" si="0"/>
        <v>-83262.649999999994</v>
      </c>
      <c r="I24" s="48"/>
      <c r="J24" s="95"/>
      <c r="K24" s="96"/>
      <c r="L24" s="197"/>
    </row>
    <row r="25" spans="1:12" ht="15.75" customHeight="1" thickBot="1">
      <c r="A25" s="12" t="s">
        <v>149</v>
      </c>
      <c r="B25" s="20" t="s">
        <v>25</v>
      </c>
      <c r="C25" s="12"/>
      <c r="D25" s="12"/>
      <c r="E25" s="26"/>
      <c r="F25" s="26"/>
      <c r="G25" s="34">
        <v>5982</v>
      </c>
      <c r="H25" s="29">
        <f t="shared" si="0"/>
        <v>-89244.65</v>
      </c>
      <c r="I25" s="48"/>
      <c r="J25" s="97" t="s">
        <v>55</v>
      </c>
      <c r="K25" s="98">
        <f>K21-(K22*K23)</f>
        <v>0</v>
      </c>
      <c r="L25" s="197"/>
    </row>
    <row r="26" spans="1:12" ht="15" customHeight="1">
      <c r="A26" s="12" t="s">
        <v>150</v>
      </c>
      <c r="B26" s="20" t="s">
        <v>25</v>
      </c>
      <c r="C26" s="12"/>
      <c r="D26" s="12"/>
      <c r="E26" s="4"/>
      <c r="F26" s="26"/>
      <c r="G26" s="34">
        <v>4416</v>
      </c>
      <c r="H26" s="29">
        <f t="shared" si="0"/>
        <v>-93660.65</v>
      </c>
      <c r="I26" s="48"/>
      <c r="J26" s="99"/>
      <c r="K26" s="100"/>
      <c r="L26" s="101" t="s">
        <v>75</v>
      </c>
    </row>
    <row r="27" spans="1:12" ht="15" customHeight="1">
      <c r="A27" s="12" t="s">
        <v>151</v>
      </c>
      <c r="B27" s="20" t="s">
        <v>25</v>
      </c>
      <c r="C27" s="12"/>
      <c r="D27" s="12"/>
      <c r="E27" s="26"/>
      <c r="F27" s="26"/>
      <c r="G27" s="34">
        <v>5232</v>
      </c>
      <c r="H27" s="29">
        <f t="shared" si="0"/>
        <v>-98892.65</v>
      </c>
      <c r="I27" s="48"/>
      <c r="J27" s="102" t="s">
        <v>58</v>
      </c>
      <c r="K27" s="103">
        <f>L27*0.4%</f>
        <v>72.575199999999995</v>
      </c>
      <c r="L27" s="101">
        <f>18143.8</f>
        <v>18143.8</v>
      </c>
    </row>
    <row r="28" spans="1:12" ht="15" customHeight="1">
      <c r="A28" s="12" t="s">
        <v>152</v>
      </c>
      <c r="B28" s="20" t="s">
        <v>25</v>
      </c>
      <c r="C28" s="12"/>
      <c r="D28" s="12" t="s">
        <v>156</v>
      </c>
      <c r="E28" s="26"/>
      <c r="F28" s="26"/>
      <c r="G28" s="34">
        <v>6780</v>
      </c>
      <c r="H28" s="29">
        <f t="shared" si="0"/>
        <v>-105672.65</v>
      </c>
      <c r="I28" s="48"/>
      <c r="J28" s="104"/>
      <c r="K28" s="105"/>
      <c r="L28" s="106"/>
    </row>
    <row r="29" spans="1:12">
      <c r="A29" s="12" t="s">
        <v>153</v>
      </c>
      <c r="B29" s="20" t="s">
        <v>25</v>
      </c>
      <c r="C29" s="12"/>
      <c r="D29" s="12"/>
      <c r="E29" s="4"/>
      <c r="F29" s="26"/>
      <c r="G29" s="34">
        <v>5820</v>
      </c>
      <c r="H29" s="29">
        <f t="shared" si="0"/>
        <v>-111492.65</v>
      </c>
      <c r="I29" s="48"/>
    </row>
    <row r="30" spans="1:12" ht="15" customHeight="1">
      <c r="A30" s="12"/>
      <c r="B30" s="12"/>
      <c r="C30" s="12"/>
      <c r="D30" s="12"/>
      <c r="E30" s="4"/>
      <c r="F30" s="26"/>
      <c r="G30" s="34"/>
      <c r="H30" s="29">
        <f t="shared" si="0"/>
        <v>-111492.65</v>
      </c>
      <c r="I30" s="48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-111492.65</v>
      </c>
      <c r="I31" s="48"/>
      <c r="J31" s="113" t="s">
        <v>56</v>
      </c>
      <c r="K31" s="114">
        <v>9214.7999999999993</v>
      </c>
      <c r="L31" s="186" t="s">
        <v>156</v>
      </c>
    </row>
    <row r="32" spans="1:12" ht="15" customHeight="1">
      <c r="A32" s="12"/>
      <c r="B32" s="12" t="s">
        <v>21</v>
      </c>
      <c r="C32" s="12" t="s">
        <v>122</v>
      </c>
      <c r="D32" s="12"/>
      <c r="E32" s="26">
        <v>30026.959999999999</v>
      </c>
      <c r="F32" s="26">
        <v>150.13</v>
      </c>
      <c r="G32" s="34"/>
      <c r="H32" s="29">
        <f t="shared" si="0"/>
        <v>-81315.56</v>
      </c>
      <c r="I32" s="48"/>
      <c r="J32" s="115" t="s">
        <v>57</v>
      </c>
      <c r="K32" s="109">
        <f>K31/5</f>
        <v>1842.9599999999998</v>
      </c>
      <c r="L32" s="187"/>
    </row>
    <row r="33" spans="1:16" ht="15" customHeight="1">
      <c r="A33" s="12"/>
      <c r="B33" s="12" t="s">
        <v>21</v>
      </c>
      <c r="C33" s="12" t="s">
        <v>158</v>
      </c>
      <c r="D33" s="12"/>
      <c r="E33" s="26">
        <v>37522.300000000003</v>
      </c>
      <c r="F33" s="26">
        <f>E33*0.4%</f>
        <v>150.08920000000001</v>
      </c>
      <c r="G33" s="34"/>
      <c r="H33" s="29">
        <f t="shared" si="0"/>
        <v>-43643.170799999993</v>
      </c>
      <c r="I33" s="48"/>
      <c r="J33" s="115" t="s">
        <v>60</v>
      </c>
      <c r="K33" s="110">
        <v>5</v>
      </c>
      <c r="L33" s="187"/>
    </row>
    <row r="34" spans="1:16" ht="15.75" customHeight="1" thickBot="1">
      <c r="A34" s="12"/>
      <c r="B34" s="12" t="s">
        <v>21</v>
      </c>
      <c r="C34" s="12" t="s">
        <v>160</v>
      </c>
      <c r="D34" s="12"/>
      <c r="E34" s="26">
        <v>37929.300000000003</v>
      </c>
      <c r="F34" s="26">
        <f>E34*0.4%</f>
        <v>151.71720000000002</v>
      </c>
      <c r="G34" s="34"/>
      <c r="H34" s="29">
        <f t="shared" si="0"/>
        <v>-5562.1535999999896</v>
      </c>
      <c r="I34" s="48"/>
      <c r="J34" s="116"/>
      <c r="K34" s="107"/>
      <c r="L34" s="187"/>
    </row>
    <row r="35" spans="1:16" ht="15.75" customHeight="1" thickBot="1">
      <c r="A35" s="12"/>
      <c r="B35" s="12" t="s">
        <v>21</v>
      </c>
      <c r="C35" s="12" t="s">
        <v>161</v>
      </c>
      <c r="D35" s="12" t="s">
        <v>159</v>
      </c>
      <c r="E35" s="26">
        <v>37658.300000000003</v>
      </c>
      <c r="F35" s="26">
        <f>E35*0.4%</f>
        <v>150.63320000000002</v>
      </c>
      <c r="G35" s="34"/>
      <c r="H35" s="29">
        <f t="shared" si="0"/>
        <v>32246.779600000013</v>
      </c>
      <c r="I35" s="48"/>
      <c r="J35" s="117" t="s">
        <v>55</v>
      </c>
      <c r="K35" s="108">
        <f>K31-(K32*K33)</f>
        <v>0</v>
      </c>
      <c r="L35" s="187"/>
    </row>
    <row r="36" spans="1:16" ht="15.75" customHeight="1">
      <c r="A36" s="12"/>
      <c r="B36" s="12"/>
      <c r="C36" s="12"/>
      <c r="D36" s="12"/>
      <c r="E36" s="26"/>
      <c r="F36" s="26"/>
      <c r="G36" s="34"/>
      <c r="H36" s="29">
        <f t="shared" si="0"/>
        <v>32246.779600000013</v>
      </c>
      <c r="I36" s="48"/>
      <c r="J36" s="118"/>
      <c r="K36" s="111"/>
      <c r="L36" s="119" t="s">
        <v>75</v>
      </c>
    </row>
    <row r="37" spans="1:16" ht="15.75" customHeight="1">
      <c r="A37" s="12"/>
      <c r="B37" s="12" t="s">
        <v>21</v>
      </c>
      <c r="C37" s="12" t="s">
        <v>49</v>
      </c>
      <c r="D37" s="12" t="s">
        <v>68</v>
      </c>
      <c r="E37" s="26">
        <v>3042.56</v>
      </c>
      <c r="F37" s="26">
        <v>60.85</v>
      </c>
      <c r="G37" s="34"/>
      <c r="H37" s="29">
        <f t="shared" si="0"/>
        <v>35350.189600000012</v>
      </c>
      <c r="I37" s="48"/>
      <c r="J37" s="120" t="s">
        <v>58</v>
      </c>
      <c r="K37" s="112">
        <f>L37*0.4%</f>
        <v>36.859200000000001</v>
      </c>
      <c r="L37" s="119">
        <v>9214.7999999999993</v>
      </c>
      <c r="P37" s="1"/>
    </row>
    <row r="38" spans="1:16" ht="15" customHeight="1">
      <c r="A38" s="12"/>
      <c r="B38" s="12" t="s">
        <v>21</v>
      </c>
      <c r="C38" s="12" t="s">
        <v>155</v>
      </c>
      <c r="D38" s="12" t="s">
        <v>159</v>
      </c>
      <c r="E38" s="26">
        <v>18143.8</v>
      </c>
      <c r="F38" s="26">
        <v>72.58</v>
      </c>
      <c r="G38" s="34"/>
      <c r="H38" s="29">
        <f t="shared" si="0"/>
        <v>53566.569600000017</v>
      </c>
      <c r="I38" s="48"/>
      <c r="J38" s="121"/>
      <c r="K38" s="122"/>
      <c r="L38" s="123"/>
      <c r="P38" s="1"/>
    </row>
    <row r="39" spans="1:16">
      <c r="A39" s="12"/>
      <c r="B39" s="12"/>
      <c r="C39" s="12"/>
      <c r="D39" s="12"/>
      <c r="E39" s="26"/>
      <c r="F39" s="26"/>
      <c r="G39" s="34"/>
      <c r="H39" s="29">
        <f t="shared" si="0"/>
        <v>53566.569600000017</v>
      </c>
      <c r="I39" s="48"/>
      <c r="K39" s="10"/>
    </row>
    <row r="40" spans="1:16">
      <c r="A40" s="12"/>
      <c r="B40" s="12" t="s">
        <v>21</v>
      </c>
      <c r="C40" s="12" t="s">
        <v>112</v>
      </c>
      <c r="D40" s="12" t="s">
        <v>157</v>
      </c>
      <c r="E40" s="26">
        <v>14868</v>
      </c>
      <c r="F40" s="26">
        <v>74.34</v>
      </c>
      <c r="G40" s="34"/>
      <c r="H40" s="29">
        <f t="shared" si="0"/>
        <v>68508.909600000014</v>
      </c>
      <c r="I40" s="48"/>
      <c r="K40" s="10"/>
    </row>
    <row r="41" spans="1:16" ht="15" customHeight="1">
      <c r="A41" s="12"/>
      <c r="B41" s="12" t="s">
        <v>21</v>
      </c>
      <c r="C41" s="12" t="s">
        <v>156</v>
      </c>
      <c r="D41" s="12" t="s">
        <v>159</v>
      </c>
      <c r="E41" s="26">
        <v>9214.7999999999993</v>
      </c>
      <c r="F41" s="26">
        <f>E41*0.4%</f>
        <v>36.859200000000001</v>
      </c>
      <c r="G41" s="34"/>
      <c r="H41" s="29">
        <f t="shared" si="0"/>
        <v>77760.568800000023</v>
      </c>
      <c r="I41" s="48"/>
      <c r="J41" s="124" t="s">
        <v>56</v>
      </c>
      <c r="K41" s="125">
        <v>145455.79999999999</v>
      </c>
      <c r="L41" s="188" t="s">
        <v>162</v>
      </c>
    </row>
    <row r="42" spans="1:16" ht="15.75" customHeight="1">
      <c r="A42" s="12"/>
      <c r="B42" s="12"/>
      <c r="C42" s="12"/>
      <c r="D42" s="12"/>
      <c r="E42" s="26"/>
      <c r="F42" s="26"/>
      <c r="G42" s="34"/>
      <c r="H42" s="29">
        <f t="shared" si="0"/>
        <v>77760.568800000023</v>
      </c>
      <c r="I42" s="48"/>
      <c r="J42" s="126" t="s">
        <v>57</v>
      </c>
      <c r="K42" s="127">
        <f>K41/20</f>
        <v>7272.7899999999991</v>
      </c>
      <c r="L42" s="189"/>
    </row>
    <row r="43" spans="1:16" ht="15.75" customHeight="1">
      <c r="A43" s="12"/>
      <c r="B43" s="12" t="s">
        <v>21</v>
      </c>
      <c r="C43" s="12" t="s">
        <v>163</v>
      </c>
      <c r="D43" s="12" t="s">
        <v>159</v>
      </c>
      <c r="E43" s="26">
        <f>35881-28</f>
        <v>35853</v>
      </c>
      <c r="F43" s="26">
        <f>E43*0.4%</f>
        <v>143.41200000000001</v>
      </c>
      <c r="G43" s="34"/>
      <c r="H43" s="29">
        <f t="shared" si="0"/>
        <v>113756.98080000002</v>
      </c>
      <c r="I43" s="48"/>
      <c r="J43" s="126" t="s">
        <v>60</v>
      </c>
      <c r="K43" s="128">
        <v>20</v>
      </c>
      <c r="L43" s="189"/>
    </row>
    <row r="44" spans="1:16" ht="15.75" customHeight="1" thickBot="1">
      <c r="A44" s="12"/>
      <c r="B44" s="12" t="s">
        <v>21</v>
      </c>
      <c r="C44" s="12" t="s">
        <v>164</v>
      </c>
      <c r="D44" s="12" t="s">
        <v>159</v>
      </c>
      <c r="E44" s="26">
        <v>37721.5</v>
      </c>
      <c r="F44" s="26">
        <f t="shared" ref="F44:F46" si="1">E44*0.4%</f>
        <v>150.886</v>
      </c>
      <c r="G44" s="34"/>
      <c r="H44" s="29">
        <f t="shared" si="0"/>
        <v>151629.36680000002</v>
      </c>
      <c r="I44" s="48"/>
      <c r="J44" s="129"/>
      <c r="K44" s="67"/>
      <c r="L44" s="189"/>
    </row>
    <row r="45" spans="1:16" ht="15.75" customHeight="1" thickBot="1">
      <c r="A45" s="12"/>
      <c r="B45" s="12" t="s">
        <v>21</v>
      </c>
      <c r="C45" s="12" t="s">
        <v>165</v>
      </c>
      <c r="D45" s="12" t="s">
        <v>159</v>
      </c>
      <c r="E45" s="26">
        <v>35956.5</v>
      </c>
      <c r="F45" s="26">
        <f t="shared" si="1"/>
        <v>143.82599999999999</v>
      </c>
      <c r="G45" s="34"/>
      <c r="H45" s="29">
        <f t="shared" si="0"/>
        <v>187729.69280000002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/>
      <c r="B46" s="12" t="s">
        <v>21</v>
      </c>
      <c r="C46" s="12" t="s">
        <v>166</v>
      </c>
      <c r="D46" s="12" t="s">
        <v>159</v>
      </c>
      <c r="E46" s="26">
        <v>35924.800000000003</v>
      </c>
      <c r="F46" s="26">
        <f t="shared" si="1"/>
        <v>143.69920000000002</v>
      </c>
      <c r="G46" s="34"/>
      <c r="H46" s="29">
        <f t="shared" si="0"/>
        <v>223798.19200000001</v>
      </c>
      <c r="I46" s="48"/>
      <c r="J46" s="131"/>
      <c r="K46" s="132"/>
      <c r="L46" s="133" t="s">
        <v>75</v>
      </c>
    </row>
    <row r="47" spans="1:16" ht="15" customHeight="1">
      <c r="A47" s="12"/>
      <c r="B47" s="20"/>
      <c r="C47" s="12"/>
      <c r="D47" s="12"/>
      <c r="E47" s="26"/>
      <c r="F47" s="26"/>
      <c r="G47" s="34"/>
      <c r="H47" s="29">
        <f t="shared" si="0"/>
        <v>223798.19200000001</v>
      </c>
      <c r="I47" s="48"/>
      <c r="J47" s="134" t="s">
        <v>58</v>
      </c>
      <c r="K47" s="135">
        <f>L47*0.4%</f>
        <v>581.82319999999993</v>
      </c>
      <c r="L47" s="133">
        <f>35853+37721.5+35956.5+35924.8</f>
        <v>145455.79999999999</v>
      </c>
    </row>
    <row r="48" spans="1:16" ht="15" customHeight="1">
      <c r="A48" s="12"/>
      <c r="B48" s="20"/>
      <c r="C48" s="12"/>
      <c r="D48" s="12"/>
      <c r="E48" s="40"/>
      <c r="F48" s="26"/>
      <c r="G48" s="34"/>
      <c r="H48" s="29">
        <f t="shared" si="0"/>
        <v>223798.19200000001</v>
      </c>
      <c r="I48" s="48"/>
      <c r="J48" s="136"/>
      <c r="K48" s="137"/>
      <c r="L48" s="138"/>
    </row>
    <row r="49" spans="1:13" ht="15.75">
      <c r="A49" s="12"/>
      <c r="B49" s="12"/>
      <c r="C49" s="12"/>
      <c r="D49" s="12"/>
      <c r="E49" s="64"/>
      <c r="F49" s="26"/>
      <c r="G49" s="34"/>
      <c r="H49" s="29">
        <f t="shared" si="0"/>
        <v>223798.19200000001</v>
      </c>
      <c r="I49" s="48"/>
    </row>
    <row r="50" spans="1:13" ht="15.75">
      <c r="A50" s="12"/>
      <c r="B50" s="12"/>
      <c r="C50" s="12"/>
      <c r="D50" s="12"/>
      <c r="E50" s="64"/>
      <c r="F50" s="26"/>
      <c r="G50" s="34"/>
      <c r="H50" s="29">
        <f t="shared" si="0"/>
        <v>223798.19200000001</v>
      </c>
      <c r="I50" s="48"/>
    </row>
    <row r="51" spans="1:13" ht="15.75">
      <c r="A51" s="12"/>
      <c r="B51" s="20"/>
      <c r="C51" s="12"/>
      <c r="D51" s="12"/>
      <c r="E51" s="64"/>
      <c r="F51" s="26"/>
      <c r="G51" s="34"/>
      <c r="H51" s="29">
        <f t="shared" si="0"/>
        <v>223798.19200000001</v>
      </c>
      <c r="I51" s="48"/>
    </row>
    <row r="52" spans="1:13" ht="15.75">
      <c r="A52" s="12"/>
      <c r="B52" s="12"/>
      <c r="C52" s="12"/>
      <c r="D52" s="12"/>
      <c r="E52" s="64"/>
      <c r="F52" s="42"/>
      <c r="G52" s="34"/>
      <c r="H52" s="29">
        <f t="shared" si="0"/>
        <v>223798.19200000001</v>
      </c>
      <c r="I52" s="48"/>
      <c r="J52" s="50"/>
      <c r="K52" s="50"/>
      <c r="L52" s="50"/>
      <c r="M52" s="50"/>
    </row>
    <row r="53" spans="1:13" ht="15.75">
      <c r="A53" s="12"/>
      <c r="B53" s="20"/>
      <c r="C53" s="12"/>
      <c r="D53" s="12"/>
      <c r="E53" s="64"/>
      <c r="F53" s="26"/>
      <c r="G53" s="34"/>
      <c r="H53" s="29">
        <f t="shared" si="0"/>
        <v>223798.19200000001</v>
      </c>
      <c r="I53" s="48"/>
      <c r="J53" s="50"/>
      <c r="K53" s="50"/>
      <c r="L53" s="50"/>
      <c r="M53" s="50"/>
    </row>
    <row r="54" spans="1:13" ht="15.75">
      <c r="A54" s="12"/>
      <c r="B54" s="20"/>
      <c r="C54" s="12"/>
      <c r="D54" s="12"/>
      <c r="E54" s="64"/>
      <c r="F54" s="26"/>
      <c r="G54" s="34"/>
      <c r="H54" s="29">
        <f t="shared" si="0"/>
        <v>223798.19200000001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223798.19200000001</v>
      </c>
      <c r="I55" s="48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223798.19200000001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223798.19200000001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223798.19200000001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223798.19200000001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223798.19200000001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223798.19200000001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223798.19200000001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223798.19200000001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223798.19200000001</v>
      </c>
      <c r="I64" s="48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223798.19200000001</v>
      </c>
      <c r="I65" s="48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223798.19200000001</v>
      </c>
      <c r="I66" s="48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223798.19200000001</v>
      </c>
      <c r="I67" s="48"/>
    </row>
    <row r="68" spans="1:9">
      <c r="A68" s="12"/>
      <c r="B68" s="20"/>
      <c r="C68" s="12"/>
      <c r="D68" s="12"/>
      <c r="E68" s="40"/>
      <c r="F68" s="26"/>
      <c r="G68" s="34"/>
      <c r="H68" s="29">
        <f t="shared" ref="H68:H71" si="2">H67+E68+F68-G68</f>
        <v>223798.19200000001</v>
      </c>
      <c r="I68" s="48"/>
    </row>
    <row r="69" spans="1:9">
      <c r="A69" s="12"/>
      <c r="B69" s="20"/>
      <c r="C69" s="12"/>
      <c r="D69" s="12"/>
      <c r="E69" s="25"/>
      <c r="F69" s="26"/>
      <c r="G69" s="34"/>
      <c r="H69" s="29">
        <f t="shared" si="2"/>
        <v>223798.19200000001</v>
      </c>
      <c r="I69" s="48"/>
    </row>
    <row r="70" spans="1:9">
      <c r="A70" s="12"/>
      <c r="B70" s="12"/>
      <c r="C70" s="12"/>
      <c r="D70" s="12"/>
      <c r="E70" s="25"/>
      <c r="F70" s="26"/>
      <c r="G70" s="34"/>
      <c r="H70" s="29">
        <f t="shared" si="2"/>
        <v>223798.19200000001</v>
      </c>
      <c r="I70" s="48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2"/>
        <v>223798.19200000001</v>
      </c>
      <c r="I71" s="48"/>
    </row>
    <row r="72" spans="1:9" ht="15.75" thickBot="1">
      <c r="A72" s="5" t="s">
        <v>88</v>
      </c>
      <c r="B72" s="21"/>
      <c r="C72" s="8"/>
      <c r="D72" s="11"/>
      <c r="E72" s="24">
        <f>SUM(E3:E71)</f>
        <v>333861.82</v>
      </c>
      <c r="F72" s="39">
        <f>SUM(F3:F71)</f>
        <v>1429.0220000000002</v>
      </c>
      <c r="G72" s="35">
        <f>SUM(G3:G71)</f>
        <v>128992</v>
      </c>
      <c r="H72" s="30"/>
      <c r="I72" s="49"/>
    </row>
    <row r="73" spans="1:9">
      <c r="A73" s="2"/>
      <c r="B73" s="13"/>
      <c r="C73" s="9"/>
      <c r="D73" s="2"/>
      <c r="E73" s="2"/>
      <c r="F73" s="36"/>
      <c r="G73" s="51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50"/>
      <c r="I76" s="50"/>
    </row>
    <row r="77" spans="1:9">
      <c r="H77" s="50"/>
      <c r="I77" s="50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D050"/>
  </sheetPr>
  <dimension ref="A1:P95"/>
  <sheetViews>
    <sheetView zoomScaleNormal="100" workbookViewId="0">
      <selection activeCell="J3" sqref="J3:K7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81" t="s">
        <v>95</v>
      </c>
      <c r="B1" s="181"/>
      <c r="C1" s="181"/>
      <c r="D1" s="181"/>
      <c r="E1" s="181"/>
      <c r="F1" s="181"/>
      <c r="G1" s="181"/>
      <c r="H1" s="181"/>
      <c r="I1" s="46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2" ht="15.75" thickBot="1">
      <c r="A3" s="18" t="s">
        <v>168</v>
      </c>
      <c r="B3" s="19" t="s">
        <v>8</v>
      </c>
      <c r="C3" s="22"/>
      <c r="D3" s="3"/>
      <c r="E3" s="2"/>
      <c r="F3" s="55"/>
      <c r="G3" s="51"/>
      <c r="H3" s="30">
        <v>223798.19</v>
      </c>
      <c r="I3" s="48"/>
      <c r="J3" s="84" t="s">
        <v>9</v>
      </c>
      <c r="K3" s="85">
        <f>'[1]August 2021'!$N$15</f>
        <v>104683.68</v>
      </c>
    </row>
    <row r="4" spans="1:12" ht="15.75" thickBot="1">
      <c r="A4" s="18" t="s">
        <v>169</v>
      </c>
      <c r="B4" s="20" t="s">
        <v>25</v>
      </c>
      <c r="C4" s="12"/>
      <c r="D4" s="12"/>
      <c r="E4" s="4"/>
      <c r="F4" s="55"/>
      <c r="G4" s="34"/>
      <c r="H4" s="29">
        <f t="shared" ref="H4:H67" si="0">H3+E4+F4-G4</f>
        <v>223798.19</v>
      </c>
      <c r="I4" s="48"/>
      <c r="J4" s="86" t="s">
        <v>10</v>
      </c>
      <c r="K4" s="87">
        <f>H71+K15+K35+K25+K45</f>
        <v>104978.19</v>
      </c>
    </row>
    <row r="5" spans="1:12" ht="15.75" thickBot="1">
      <c r="A5" s="63"/>
      <c r="B5" s="20"/>
      <c r="C5" s="12"/>
      <c r="D5" s="12"/>
      <c r="E5" s="4"/>
      <c r="F5" s="55"/>
      <c r="G5" s="34">
        <f>118820</f>
        <v>118820</v>
      </c>
      <c r="H5" s="29">
        <f t="shared" si="0"/>
        <v>104978.19</v>
      </c>
      <c r="I5" s="48"/>
      <c r="J5" s="88"/>
      <c r="K5" s="89"/>
    </row>
    <row r="6" spans="1:12" ht="15.75" customHeight="1" thickBot="1">
      <c r="A6" s="63"/>
      <c r="B6" s="20"/>
      <c r="C6" s="12"/>
      <c r="D6" s="12"/>
      <c r="E6" s="4"/>
      <c r="F6" s="26"/>
      <c r="G6" s="34"/>
      <c r="H6" s="29">
        <f t="shared" si="0"/>
        <v>104978.19</v>
      </c>
      <c r="I6" s="48"/>
      <c r="J6" s="198" t="s">
        <v>11</v>
      </c>
      <c r="K6" s="200">
        <f>K3-K4</f>
        <v>-294.51000000000931</v>
      </c>
    </row>
    <row r="7" spans="1:12" ht="15.75" customHeight="1" thickBot="1">
      <c r="A7" s="63"/>
      <c r="B7" s="20"/>
      <c r="C7" s="12"/>
      <c r="D7" s="12"/>
      <c r="E7" s="26"/>
      <c r="F7" s="26"/>
      <c r="G7" s="34"/>
      <c r="H7" s="29">
        <f t="shared" si="0"/>
        <v>104978.19</v>
      </c>
      <c r="I7" s="48"/>
      <c r="J7" s="199"/>
      <c r="K7" s="201"/>
    </row>
    <row r="8" spans="1:12" ht="15.75" thickBot="1">
      <c r="A8" s="63"/>
      <c r="B8" s="20"/>
      <c r="C8" s="12"/>
      <c r="D8" s="12"/>
      <c r="E8" s="26"/>
      <c r="F8" s="26"/>
      <c r="G8" s="34"/>
      <c r="H8" s="29">
        <f t="shared" si="0"/>
        <v>104978.19</v>
      </c>
      <c r="I8" s="48"/>
    </row>
    <row r="9" spans="1:12">
      <c r="A9" s="63"/>
      <c r="B9" s="20"/>
      <c r="C9" s="12"/>
      <c r="D9" s="12"/>
      <c r="E9" s="4"/>
      <c r="F9" s="26"/>
      <c r="G9" s="34"/>
      <c r="H9" s="29">
        <f t="shared" si="0"/>
        <v>104978.19</v>
      </c>
      <c r="I9" s="48"/>
    </row>
    <row r="10" spans="1:12">
      <c r="A10" s="12"/>
      <c r="B10" s="20"/>
      <c r="C10" s="12"/>
      <c r="D10" s="12"/>
      <c r="E10" s="4"/>
      <c r="F10" s="26"/>
      <c r="G10" s="34"/>
      <c r="H10" s="29">
        <f t="shared" si="0"/>
        <v>104978.19</v>
      </c>
      <c r="I10" s="48"/>
    </row>
    <row r="11" spans="1:12" ht="15" customHeight="1">
      <c r="A11" s="12"/>
      <c r="B11" s="20"/>
      <c r="C11" s="12"/>
      <c r="D11" s="12"/>
      <c r="E11" s="26"/>
      <c r="F11" s="26"/>
      <c r="G11" s="34"/>
      <c r="H11" s="29">
        <f t="shared" si="0"/>
        <v>104978.19</v>
      </c>
      <c r="I11" s="48"/>
      <c r="J11" s="70" t="s">
        <v>56</v>
      </c>
      <c r="K11" s="71">
        <v>113109.9</v>
      </c>
      <c r="L11" s="194" t="s">
        <v>154</v>
      </c>
    </row>
    <row r="12" spans="1:12" ht="15" customHeight="1">
      <c r="A12" s="12"/>
      <c r="B12" s="20"/>
      <c r="C12" s="12"/>
      <c r="D12" s="12"/>
      <c r="E12" s="4"/>
      <c r="F12" s="55"/>
      <c r="G12" s="34"/>
      <c r="H12" s="29">
        <f t="shared" si="0"/>
        <v>104978.19</v>
      </c>
      <c r="I12" s="48"/>
      <c r="J12" s="72" t="s">
        <v>57</v>
      </c>
      <c r="K12" s="73">
        <f>K11/15</f>
        <v>7540.66</v>
      </c>
      <c r="L12" s="195"/>
    </row>
    <row r="13" spans="1:12" ht="15" customHeight="1">
      <c r="A13" s="12"/>
      <c r="B13" s="20"/>
      <c r="C13" s="12"/>
      <c r="D13" s="12"/>
      <c r="E13" s="26"/>
      <c r="F13" s="26"/>
      <c r="G13" s="34"/>
      <c r="H13" s="29">
        <f t="shared" si="0"/>
        <v>104978.19</v>
      </c>
      <c r="I13" s="48"/>
      <c r="J13" s="72" t="s">
        <v>60</v>
      </c>
      <c r="K13" s="74">
        <v>15</v>
      </c>
      <c r="L13" s="195"/>
    </row>
    <row r="14" spans="1:12" ht="15.75" customHeight="1" thickBot="1">
      <c r="A14" s="12"/>
      <c r="B14" s="20"/>
      <c r="C14" s="12"/>
      <c r="D14" s="12"/>
      <c r="E14" s="26"/>
      <c r="F14" s="26"/>
      <c r="G14" s="34"/>
      <c r="H14" s="29">
        <f t="shared" si="0"/>
        <v>104978.19</v>
      </c>
      <c r="I14" s="48"/>
      <c r="J14" s="75"/>
      <c r="K14" s="65"/>
      <c r="L14" s="195"/>
    </row>
    <row r="15" spans="1:12" ht="15.75" customHeight="1" thickBot="1">
      <c r="A15" s="12"/>
      <c r="B15" s="20"/>
      <c r="C15" s="12"/>
      <c r="D15" s="12"/>
      <c r="E15" s="26"/>
      <c r="F15" s="26"/>
      <c r="G15" s="34"/>
      <c r="H15" s="29">
        <f t="shared" si="0"/>
        <v>104978.19</v>
      </c>
      <c r="I15" s="48"/>
      <c r="J15" s="76" t="s">
        <v>55</v>
      </c>
      <c r="K15" s="66">
        <f>K11-(K12*K13)</f>
        <v>0</v>
      </c>
      <c r="L15" s="195"/>
    </row>
    <row r="16" spans="1:12" ht="15" customHeight="1">
      <c r="A16" s="12"/>
      <c r="B16" s="20"/>
      <c r="C16" s="12"/>
      <c r="D16" s="12"/>
      <c r="E16" s="26"/>
      <c r="F16" s="26"/>
      <c r="G16" s="34"/>
      <c r="H16" s="29">
        <f t="shared" si="0"/>
        <v>104978.19</v>
      </c>
      <c r="I16" s="48"/>
      <c r="J16" s="77"/>
      <c r="K16" s="78"/>
      <c r="L16" s="69" t="s">
        <v>75</v>
      </c>
    </row>
    <row r="17" spans="1:12" ht="15" customHeight="1">
      <c r="A17" s="12"/>
      <c r="B17" s="20"/>
      <c r="C17" s="12"/>
      <c r="D17" s="12"/>
      <c r="E17" s="4"/>
      <c r="F17" s="26"/>
      <c r="G17" s="34"/>
      <c r="H17" s="29">
        <f t="shared" si="0"/>
        <v>104978.19</v>
      </c>
      <c r="I17" s="48"/>
      <c r="J17" s="79" t="s">
        <v>58</v>
      </c>
      <c r="K17" s="80">
        <f>L17*0.4%</f>
        <v>452.43960000000004</v>
      </c>
      <c r="L17" s="69">
        <f>37522.3+37929.3+37658.3</f>
        <v>113109.90000000001</v>
      </c>
    </row>
    <row r="18" spans="1:12" ht="15" customHeight="1">
      <c r="A18" s="12"/>
      <c r="B18" s="20"/>
      <c r="C18" s="12"/>
      <c r="D18" s="12"/>
      <c r="E18" s="26"/>
      <c r="F18" s="26"/>
      <c r="G18" s="34"/>
      <c r="H18" s="29">
        <f t="shared" si="0"/>
        <v>104978.19</v>
      </c>
      <c r="I18" s="48"/>
      <c r="J18" s="81"/>
      <c r="K18" s="82"/>
      <c r="L18" s="83"/>
    </row>
    <row r="19" spans="1:12" ht="15" customHeight="1">
      <c r="A19" s="12"/>
      <c r="B19" s="20"/>
      <c r="C19" s="12"/>
      <c r="D19" s="12"/>
      <c r="E19" s="26"/>
      <c r="F19" s="26"/>
      <c r="G19" s="34"/>
      <c r="H19" s="29">
        <f t="shared" si="0"/>
        <v>104978.19</v>
      </c>
      <c r="I19" s="48"/>
    </row>
    <row r="20" spans="1:12" ht="15" customHeight="1">
      <c r="A20" s="12"/>
      <c r="B20" s="20"/>
      <c r="C20" s="12"/>
      <c r="D20" s="12"/>
      <c r="E20" s="26"/>
      <c r="F20" s="26"/>
      <c r="G20" s="34"/>
      <c r="H20" s="29">
        <f t="shared" si="0"/>
        <v>104978.19</v>
      </c>
      <c r="I20" s="48"/>
    </row>
    <row r="21" spans="1:12" ht="15" customHeight="1">
      <c r="A21" s="12"/>
      <c r="B21" s="20"/>
      <c r="C21" s="12"/>
      <c r="D21" s="12"/>
      <c r="E21" s="26"/>
      <c r="F21" s="26"/>
      <c r="G21" s="34"/>
      <c r="H21" s="29">
        <f t="shared" si="0"/>
        <v>104978.19</v>
      </c>
      <c r="I21" s="48"/>
      <c r="J21" s="90" t="s">
        <v>56</v>
      </c>
      <c r="K21" s="91">
        <v>18143.8</v>
      </c>
      <c r="L21" s="196" t="s">
        <v>155</v>
      </c>
    </row>
    <row r="22" spans="1:12" ht="15" customHeight="1">
      <c r="A22" s="12"/>
      <c r="B22" s="20"/>
      <c r="C22" s="12"/>
      <c r="D22" s="12"/>
      <c r="E22" s="26"/>
      <c r="F22" s="26"/>
      <c r="G22" s="34"/>
      <c r="H22" s="29">
        <f t="shared" si="0"/>
        <v>104978.19</v>
      </c>
      <c r="I22" s="48"/>
      <c r="J22" s="92" t="s">
        <v>57</v>
      </c>
      <c r="K22" s="93">
        <f>K21/5</f>
        <v>3628.7599999999998</v>
      </c>
      <c r="L22" s="197"/>
    </row>
    <row r="23" spans="1:12" ht="15" customHeight="1">
      <c r="A23" s="12"/>
      <c r="B23" s="20"/>
      <c r="C23" s="12"/>
      <c r="D23" s="12"/>
      <c r="E23" s="26"/>
      <c r="F23" s="26"/>
      <c r="G23" s="34"/>
      <c r="H23" s="29">
        <f t="shared" si="0"/>
        <v>104978.19</v>
      </c>
      <c r="I23" s="48"/>
      <c r="J23" s="92" t="s">
        <v>60</v>
      </c>
      <c r="K23" s="94">
        <v>5</v>
      </c>
      <c r="L23" s="197"/>
    </row>
    <row r="24" spans="1:12" ht="15.75" customHeight="1" thickBot="1">
      <c r="A24" s="12"/>
      <c r="B24" s="20"/>
      <c r="C24" s="12"/>
      <c r="D24" s="12"/>
      <c r="E24" s="26"/>
      <c r="F24" s="26"/>
      <c r="G24" s="34"/>
      <c r="H24" s="29">
        <f t="shared" si="0"/>
        <v>104978.19</v>
      </c>
      <c r="I24" s="48"/>
      <c r="J24" s="95"/>
      <c r="K24" s="96"/>
      <c r="L24" s="197"/>
    </row>
    <row r="25" spans="1:12" ht="15.75" customHeight="1" thickBot="1">
      <c r="A25" s="12"/>
      <c r="B25" s="20"/>
      <c r="C25" s="12"/>
      <c r="D25" s="12"/>
      <c r="E25" s="26"/>
      <c r="F25" s="26"/>
      <c r="G25" s="34"/>
      <c r="H25" s="29">
        <f t="shared" si="0"/>
        <v>104978.19</v>
      </c>
      <c r="I25" s="48"/>
      <c r="J25" s="97" t="s">
        <v>55</v>
      </c>
      <c r="K25" s="98">
        <f>K21-(K22*K23)</f>
        <v>0</v>
      </c>
      <c r="L25" s="197"/>
    </row>
    <row r="26" spans="1:12" ht="15" customHeight="1">
      <c r="A26" s="12"/>
      <c r="B26" s="20"/>
      <c r="C26" s="12"/>
      <c r="D26" s="12"/>
      <c r="E26" s="4"/>
      <c r="F26" s="26"/>
      <c r="G26" s="34"/>
      <c r="H26" s="29">
        <f t="shared" si="0"/>
        <v>104978.19</v>
      </c>
      <c r="I26" s="48"/>
      <c r="J26" s="99"/>
      <c r="K26" s="100"/>
      <c r="L26" s="101" t="s">
        <v>75</v>
      </c>
    </row>
    <row r="27" spans="1:12" ht="15" customHeight="1">
      <c r="A27" s="12"/>
      <c r="B27" s="20"/>
      <c r="C27" s="12"/>
      <c r="D27" s="12"/>
      <c r="E27" s="26"/>
      <c r="F27" s="26"/>
      <c r="G27" s="34"/>
      <c r="H27" s="29">
        <f t="shared" si="0"/>
        <v>104978.19</v>
      </c>
      <c r="I27" s="48"/>
      <c r="J27" s="102" t="s">
        <v>58</v>
      </c>
      <c r="K27" s="103">
        <f>L27*0.4%</f>
        <v>72.575199999999995</v>
      </c>
      <c r="L27" s="101">
        <f>18143.8</f>
        <v>18143.8</v>
      </c>
    </row>
    <row r="28" spans="1:12" ht="15" customHeight="1">
      <c r="A28" s="12"/>
      <c r="B28" s="20"/>
      <c r="C28" s="12"/>
      <c r="D28" s="12"/>
      <c r="E28" s="26"/>
      <c r="F28" s="26"/>
      <c r="G28" s="34"/>
      <c r="H28" s="29">
        <f t="shared" si="0"/>
        <v>104978.19</v>
      </c>
      <c r="I28" s="48"/>
      <c r="J28" s="104"/>
      <c r="K28" s="105"/>
      <c r="L28" s="106"/>
    </row>
    <row r="29" spans="1:12">
      <c r="A29" s="12"/>
      <c r="B29" s="20"/>
      <c r="C29" s="12"/>
      <c r="D29" s="12"/>
      <c r="E29" s="4"/>
      <c r="F29" s="26"/>
      <c r="G29" s="34"/>
      <c r="H29" s="29">
        <f t="shared" si="0"/>
        <v>104978.19</v>
      </c>
      <c r="I29" s="48"/>
    </row>
    <row r="30" spans="1:12">
      <c r="A30" s="12"/>
      <c r="B30" s="12"/>
      <c r="C30" s="12"/>
      <c r="D30" s="12"/>
      <c r="E30" s="4"/>
      <c r="F30" s="26"/>
      <c r="G30" s="34"/>
      <c r="H30" s="29">
        <f t="shared" si="0"/>
        <v>104978.19</v>
      </c>
      <c r="I30" s="48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104978.19</v>
      </c>
      <c r="I31" s="48"/>
      <c r="J31" s="113" t="s">
        <v>56</v>
      </c>
      <c r="K31" s="114">
        <v>9214.7999999999993</v>
      </c>
      <c r="L31" s="186" t="s">
        <v>156</v>
      </c>
    </row>
    <row r="32" spans="1:12" ht="15" customHeight="1">
      <c r="A32" s="12"/>
      <c r="B32" s="12"/>
      <c r="C32" s="12"/>
      <c r="D32" s="12"/>
      <c r="E32" s="26"/>
      <c r="F32" s="26"/>
      <c r="G32" s="34"/>
      <c r="H32" s="29">
        <f t="shared" si="0"/>
        <v>104978.19</v>
      </c>
      <c r="I32" s="48"/>
      <c r="J32" s="115" t="s">
        <v>57</v>
      </c>
      <c r="K32" s="109">
        <f>K31/5</f>
        <v>1842.9599999999998</v>
      </c>
      <c r="L32" s="187"/>
    </row>
    <row r="33" spans="1:16" ht="15" customHeight="1">
      <c r="A33" s="12"/>
      <c r="B33" s="12"/>
      <c r="C33" s="12"/>
      <c r="D33" s="12"/>
      <c r="E33" s="4"/>
      <c r="F33" s="26"/>
      <c r="G33" s="34"/>
      <c r="H33" s="29">
        <f t="shared" si="0"/>
        <v>104978.19</v>
      </c>
      <c r="I33" s="48"/>
      <c r="J33" s="115" t="s">
        <v>60</v>
      </c>
      <c r="K33" s="110">
        <v>5</v>
      </c>
      <c r="L33" s="187"/>
    </row>
    <row r="34" spans="1:16" ht="15.75" customHeight="1" thickBot="1">
      <c r="A34" s="12"/>
      <c r="B34" s="12"/>
      <c r="C34" s="12"/>
      <c r="D34" s="12"/>
      <c r="E34" s="4"/>
      <c r="F34" s="26"/>
      <c r="G34" s="34"/>
      <c r="H34" s="29">
        <f t="shared" si="0"/>
        <v>104978.19</v>
      </c>
      <c r="I34" s="48"/>
      <c r="J34" s="116"/>
      <c r="K34" s="107"/>
      <c r="L34" s="187"/>
    </row>
    <row r="35" spans="1:16" ht="15.75" customHeight="1" thickBot="1">
      <c r="A35" s="12"/>
      <c r="B35" s="12"/>
      <c r="C35" s="12"/>
      <c r="D35" s="12"/>
      <c r="E35" s="4"/>
      <c r="F35" s="26"/>
      <c r="G35" s="34"/>
      <c r="H35" s="29">
        <f t="shared" si="0"/>
        <v>104978.19</v>
      </c>
      <c r="I35" s="48"/>
      <c r="J35" s="117" t="s">
        <v>55</v>
      </c>
      <c r="K35" s="108">
        <f>K31-(K32*K33)</f>
        <v>0</v>
      </c>
      <c r="L35" s="187"/>
    </row>
    <row r="36" spans="1:16" ht="15.75" customHeight="1">
      <c r="A36" s="12"/>
      <c r="B36" s="12"/>
      <c r="C36" s="12"/>
      <c r="D36" s="12"/>
      <c r="E36" s="4"/>
      <c r="F36" s="26"/>
      <c r="G36" s="34"/>
      <c r="H36" s="29">
        <f t="shared" si="0"/>
        <v>104978.19</v>
      </c>
      <c r="I36" s="48"/>
      <c r="J36" s="118"/>
      <c r="K36" s="111"/>
      <c r="L36" s="119" t="s">
        <v>75</v>
      </c>
    </row>
    <row r="37" spans="1:16" ht="15.75" customHeight="1">
      <c r="A37" s="12"/>
      <c r="B37" s="12"/>
      <c r="C37" s="12"/>
      <c r="D37" s="12"/>
      <c r="E37" s="4"/>
      <c r="F37" s="26"/>
      <c r="G37" s="34"/>
      <c r="H37" s="29">
        <f t="shared" si="0"/>
        <v>104978.19</v>
      </c>
      <c r="I37" s="48"/>
      <c r="J37" s="120" t="s">
        <v>58</v>
      </c>
      <c r="K37" s="112">
        <f>L37*0.4%</f>
        <v>36.859200000000001</v>
      </c>
      <c r="L37" s="119">
        <v>9214.7999999999993</v>
      </c>
      <c r="P37" s="1"/>
    </row>
    <row r="38" spans="1:16" ht="15" customHeight="1">
      <c r="A38" s="12"/>
      <c r="B38" s="12"/>
      <c r="C38" s="12"/>
      <c r="D38" s="12"/>
      <c r="E38" s="4"/>
      <c r="F38" s="26"/>
      <c r="G38" s="34"/>
      <c r="H38" s="29">
        <f t="shared" si="0"/>
        <v>104978.19</v>
      </c>
      <c r="I38" s="48"/>
      <c r="J38" s="121"/>
      <c r="K38" s="122"/>
      <c r="L38" s="123"/>
      <c r="P38" s="1"/>
    </row>
    <row r="39" spans="1:16">
      <c r="A39" s="12"/>
      <c r="B39" s="12"/>
      <c r="C39" s="12"/>
      <c r="D39" s="12"/>
      <c r="E39" s="4"/>
      <c r="F39" s="26"/>
      <c r="G39" s="34"/>
      <c r="H39" s="29">
        <f t="shared" si="0"/>
        <v>104978.19</v>
      </c>
      <c r="I39" s="48"/>
      <c r="K39" s="10"/>
    </row>
    <row r="40" spans="1:16">
      <c r="A40" s="12"/>
      <c r="B40" s="12"/>
      <c r="C40" s="12"/>
      <c r="D40" s="12"/>
      <c r="E40" s="4"/>
      <c r="F40" s="26"/>
      <c r="G40" s="34"/>
      <c r="H40" s="29">
        <f t="shared" si="0"/>
        <v>104978.19</v>
      </c>
      <c r="I40" s="48"/>
      <c r="K40" s="10"/>
    </row>
    <row r="41" spans="1:16" ht="15" customHeight="1">
      <c r="A41" s="12"/>
      <c r="B41" s="12"/>
      <c r="C41" s="12"/>
      <c r="D41" s="12"/>
      <c r="E41" s="4"/>
      <c r="F41" s="26"/>
      <c r="G41" s="34"/>
      <c r="H41" s="29">
        <f t="shared" si="0"/>
        <v>104978.19</v>
      </c>
      <c r="I41" s="48"/>
      <c r="J41" s="124" t="s">
        <v>56</v>
      </c>
      <c r="K41" s="125">
        <v>145455.79999999999</v>
      </c>
      <c r="L41" s="188" t="s">
        <v>162</v>
      </c>
    </row>
    <row r="42" spans="1:16" ht="15.75" customHeight="1">
      <c r="A42" s="12"/>
      <c r="B42" s="12"/>
      <c r="C42" s="12"/>
      <c r="D42" s="12"/>
      <c r="E42" s="4"/>
      <c r="F42" s="26"/>
      <c r="G42" s="34"/>
      <c r="H42" s="29">
        <f t="shared" si="0"/>
        <v>104978.19</v>
      </c>
      <c r="I42" s="48"/>
      <c r="J42" s="126" t="s">
        <v>57</v>
      </c>
      <c r="K42" s="127">
        <f>K41/20</f>
        <v>7272.7899999999991</v>
      </c>
      <c r="L42" s="189"/>
    </row>
    <row r="43" spans="1:16" ht="15.75" customHeight="1">
      <c r="A43" s="12"/>
      <c r="B43" s="12"/>
      <c r="C43" s="12"/>
      <c r="D43" s="12"/>
      <c r="E43" s="4"/>
      <c r="F43" s="26"/>
      <c r="G43" s="34"/>
      <c r="H43" s="29">
        <f t="shared" si="0"/>
        <v>104978.19</v>
      </c>
      <c r="I43" s="48"/>
      <c r="J43" s="126" t="s">
        <v>60</v>
      </c>
      <c r="K43" s="128">
        <v>20</v>
      </c>
      <c r="L43" s="189"/>
    </row>
    <row r="44" spans="1:16" ht="15.75" customHeight="1" thickBot="1">
      <c r="A44" s="12"/>
      <c r="B44" s="12"/>
      <c r="C44" s="12"/>
      <c r="D44" s="12"/>
      <c r="E44" s="4"/>
      <c r="F44" s="26"/>
      <c r="G44" s="34"/>
      <c r="H44" s="29">
        <f t="shared" si="0"/>
        <v>104978.19</v>
      </c>
      <c r="I44" s="48"/>
      <c r="J44" s="129"/>
      <c r="K44" s="67"/>
      <c r="L44" s="189"/>
    </row>
    <row r="45" spans="1:16" ht="15.75" customHeight="1" thickBot="1">
      <c r="A45" s="12"/>
      <c r="B45" s="12"/>
      <c r="C45" s="12"/>
      <c r="D45" s="12"/>
      <c r="E45" s="4"/>
      <c r="F45" s="26"/>
      <c r="G45" s="34"/>
      <c r="H45" s="29">
        <f t="shared" si="0"/>
        <v>104978.19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/>
      <c r="B46" s="12"/>
      <c r="C46" s="12"/>
      <c r="D46" s="12"/>
      <c r="E46" s="4"/>
      <c r="F46" s="26"/>
      <c r="G46" s="34"/>
      <c r="H46" s="29">
        <f t="shared" si="0"/>
        <v>104978.19</v>
      </c>
      <c r="I46" s="48"/>
      <c r="J46" s="131"/>
      <c r="K46" s="132"/>
      <c r="L46" s="133" t="s">
        <v>75</v>
      </c>
    </row>
    <row r="47" spans="1:16" ht="15" customHeight="1">
      <c r="A47" s="12"/>
      <c r="B47" s="20"/>
      <c r="C47" s="12"/>
      <c r="D47" s="12"/>
      <c r="E47" s="26"/>
      <c r="F47" s="26"/>
      <c r="G47" s="34"/>
      <c r="H47" s="29">
        <f t="shared" si="0"/>
        <v>104978.19</v>
      </c>
      <c r="I47" s="48"/>
      <c r="J47" s="134" t="s">
        <v>58</v>
      </c>
      <c r="K47" s="135">
        <f>L47*0.4%</f>
        <v>581.82319999999993</v>
      </c>
      <c r="L47" s="133">
        <f>35853+37721.5+35956.5+35924.8</f>
        <v>145455.79999999999</v>
      </c>
    </row>
    <row r="48" spans="1:16" ht="15" customHeight="1">
      <c r="A48" s="12"/>
      <c r="B48" s="20"/>
      <c r="C48" s="12"/>
      <c r="D48" s="12"/>
      <c r="E48" s="40"/>
      <c r="F48" s="26"/>
      <c r="G48" s="34"/>
      <c r="H48" s="29">
        <f t="shared" si="0"/>
        <v>104978.19</v>
      </c>
      <c r="I48" s="48"/>
      <c r="J48" s="136"/>
      <c r="K48" s="137"/>
      <c r="L48" s="138"/>
    </row>
    <row r="49" spans="1:13" ht="15.75">
      <c r="A49" s="12"/>
      <c r="B49" s="12"/>
      <c r="C49" s="12"/>
      <c r="D49" s="12"/>
      <c r="E49" s="64"/>
      <c r="F49" s="26"/>
      <c r="G49" s="34"/>
      <c r="H49" s="29">
        <f t="shared" si="0"/>
        <v>104978.19</v>
      </c>
      <c r="I49" s="48"/>
    </row>
    <row r="50" spans="1:13" ht="15.75">
      <c r="A50" s="12"/>
      <c r="B50" s="12"/>
      <c r="C50" s="12"/>
      <c r="D50" s="12"/>
      <c r="E50" s="64"/>
      <c r="F50" s="26"/>
      <c r="G50" s="34"/>
      <c r="H50" s="29">
        <f t="shared" si="0"/>
        <v>104978.19</v>
      </c>
      <c r="I50" s="48"/>
    </row>
    <row r="51" spans="1:13" ht="15.75">
      <c r="A51" s="12"/>
      <c r="B51" s="20"/>
      <c r="C51" s="12"/>
      <c r="D51" s="12"/>
      <c r="E51" s="64"/>
      <c r="F51" s="26"/>
      <c r="G51" s="34"/>
      <c r="H51" s="29">
        <f t="shared" si="0"/>
        <v>104978.19</v>
      </c>
      <c r="I51" s="48"/>
    </row>
    <row r="52" spans="1:13" ht="15.75">
      <c r="A52" s="12"/>
      <c r="B52" s="12"/>
      <c r="C52" s="12"/>
      <c r="D52" s="12"/>
      <c r="E52" s="64"/>
      <c r="F52" s="42"/>
      <c r="G52" s="34"/>
      <c r="H52" s="29">
        <f t="shared" si="0"/>
        <v>104978.19</v>
      </c>
      <c r="I52" s="48"/>
      <c r="J52" s="50"/>
      <c r="K52" s="50"/>
      <c r="L52" s="50"/>
      <c r="M52" s="50"/>
    </row>
    <row r="53" spans="1:13" ht="15.75">
      <c r="A53" s="12"/>
      <c r="B53" s="20"/>
      <c r="C53" s="12"/>
      <c r="D53" s="12"/>
      <c r="E53" s="64"/>
      <c r="F53" s="26"/>
      <c r="G53" s="34"/>
      <c r="H53" s="29">
        <f t="shared" si="0"/>
        <v>104978.19</v>
      </c>
      <c r="I53" s="48"/>
      <c r="J53" s="50"/>
      <c r="K53" s="50"/>
      <c r="L53" s="50"/>
      <c r="M53" s="50"/>
    </row>
    <row r="54" spans="1:13" ht="15.75">
      <c r="A54" s="12"/>
      <c r="B54" s="20"/>
      <c r="C54" s="12"/>
      <c r="D54" s="12"/>
      <c r="E54" s="64"/>
      <c r="F54" s="26"/>
      <c r="G54" s="34"/>
      <c r="H54" s="29">
        <f t="shared" si="0"/>
        <v>104978.19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104978.19</v>
      </c>
      <c r="I55" s="48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104978.19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104978.19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104978.19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104978.19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104978.19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104978.19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104978.19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104978.19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104978.19</v>
      </c>
      <c r="I64" s="48"/>
    </row>
    <row r="65" spans="1:10">
      <c r="A65" s="12"/>
      <c r="B65" s="20"/>
      <c r="C65" s="12"/>
      <c r="D65" s="12"/>
      <c r="E65" s="25"/>
      <c r="F65" s="26"/>
      <c r="G65" s="34"/>
      <c r="H65" s="29">
        <f t="shared" si="0"/>
        <v>104978.19</v>
      </c>
      <c r="I65" s="48"/>
    </row>
    <row r="66" spans="1:10">
      <c r="A66" s="12"/>
      <c r="B66" s="20"/>
      <c r="C66" s="12"/>
      <c r="D66" s="12"/>
      <c r="E66" s="40"/>
      <c r="F66" s="26"/>
      <c r="G66" s="34"/>
      <c r="H66" s="29">
        <f t="shared" si="0"/>
        <v>104978.19</v>
      </c>
      <c r="I66" s="48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0"/>
        <v>104978.19</v>
      </c>
      <c r="I67" s="48"/>
    </row>
    <row r="68" spans="1:10">
      <c r="A68" s="12"/>
      <c r="B68" s="20"/>
      <c r="C68" s="12"/>
      <c r="D68" s="12"/>
      <c r="E68" s="40"/>
      <c r="F68" s="26"/>
      <c r="G68" s="34"/>
      <c r="H68" s="29">
        <f t="shared" ref="H68:H71" si="1">H67+E68+F68-G68</f>
        <v>104978.19</v>
      </c>
      <c r="I68" s="48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104978.19</v>
      </c>
      <c r="I69" s="48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104978.19</v>
      </c>
      <c r="I70" s="48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104978.19</v>
      </c>
      <c r="I71" s="48"/>
    </row>
    <row r="72" spans="1:10" ht="15.75" thickBot="1">
      <c r="A72" s="5" t="s">
        <v>88</v>
      </c>
      <c r="B72" s="21"/>
      <c r="C72" s="8"/>
      <c r="D72" s="11"/>
      <c r="E72" s="24">
        <f>SUM(E3:E71)</f>
        <v>0</v>
      </c>
      <c r="F72" s="39">
        <f>SUM(F3:F71)</f>
        <v>0</v>
      </c>
      <c r="G72" s="35">
        <f>SUM(G3:G71)</f>
        <v>118820</v>
      </c>
      <c r="H72" s="30"/>
      <c r="I72" s="49"/>
    </row>
    <row r="73" spans="1:10">
      <c r="A73" s="2"/>
      <c r="B73" s="13"/>
      <c r="C73" s="9"/>
      <c r="D73" s="2"/>
      <c r="E73" s="2"/>
      <c r="F73" s="36"/>
      <c r="G73" s="51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50"/>
      <c r="I76" s="50"/>
    </row>
    <row r="77" spans="1:10">
      <c r="H77" s="50"/>
      <c r="I77" s="50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A1:P95"/>
  <sheetViews>
    <sheetView zoomScaleNormal="100" workbookViewId="0">
      <selection activeCell="J11" sqref="J11:L48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81" t="s">
        <v>95</v>
      </c>
      <c r="B1" s="181"/>
      <c r="C1" s="181"/>
      <c r="D1" s="181"/>
      <c r="E1" s="181"/>
      <c r="F1" s="181"/>
      <c r="G1" s="181"/>
      <c r="H1" s="181"/>
      <c r="I1" s="46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2" ht="15.75" thickBot="1">
      <c r="A3" s="18" t="s">
        <v>170</v>
      </c>
      <c r="B3" s="19" t="s">
        <v>8</v>
      </c>
      <c r="C3" s="22"/>
      <c r="D3" s="3"/>
      <c r="E3" s="2"/>
      <c r="F3" s="55"/>
      <c r="G3" s="51"/>
      <c r="H3" s="30">
        <v>104978.19</v>
      </c>
      <c r="I3" s="48"/>
      <c r="J3" s="84" t="s">
        <v>9</v>
      </c>
      <c r="K3" s="85">
        <f>'[2]September 2021'!$N$15</f>
        <v>69076.610400000005</v>
      </c>
    </row>
    <row r="4" spans="1:12" ht="15.75" thickBot="1">
      <c r="A4" s="18"/>
      <c r="B4" s="20" t="s">
        <v>25</v>
      </c>
      <c r="C4" s="12"/>
      <c r="D4" s="12"/>
      <c r="E4" s="4"/>
      <c r="F4" s="55"/>
      <c r="G4" s="34">
        <v>126002</v>
      </c>
      <c r="H4" s="29">
        <f t="shared" ref="H4:H67" si="0">H3+E4+F4-G4</f>
        <v>-21023.809999999998</v>
      </c>
      <c r="I4" s="48"/>
      <c r="J4" s="86" t="s">
        <v>10</v>
      </c>
      <c r="K4" s="87">
        <f>H71+K15+K35+K25+K45</f>
        <v>69257.680399999997</v>
      </c>
    </row>
    <row r="5" spans="1:12" ht="15.75" thickBot="1">
      <c r="A5" s="63"/>
      <c r="B5" s="20"/>
      <c r="C5" s="12"/>
      <c r="D5" s="12"/>
      <c r="E5" s="4"/>
      <c r="F5" s="55"/>
      <c r="G5" s="34"/>
      <c r="H5" s="29">
        <f t="shared" si="0"/>
        <v>-21023.809999999998</v>
      </c>
      <c r="I5" s="48"/>
      <c r="J5" s="88"/>
      <c r="K5" s="89"/>
    </row>
    <row r="6" spans="1:12" ht="15.75" customHeight="1" thickBot="1">
      <c r="A6" s="63"/>
      <c r="B6" s="12" t="s">
        <v>21</v>
      </c>
      <c r="C6" s="12" t="s">
        <v>167</v>
      </c>
      <c r="D6" s="12" t="s">
        <v>159</v>
      </c>
      <c r="E6" s="4">
        <v>37635.599999999999</v>
      </c>
      <c r="F6" s="26">
        <v>150.54</v>
      </c>
      <c r="G6" s="34"/>
      <c r="H6" s="29">
        <f t="shared" si="0"/>
        <v>16762.330000000002</v>
      </c>
      <c r="I6" s="48"/>
      <c r="J6" s="198" t="s">
        <v>11</v>
      </c>
      <c r="K6" s="200">
        <f>K3-K4</f>
        <v>-181.06999999999243</v>
      </c>
    </row>
    <row r="7" spans="1:12" ht="15.75" customHeight="1" thickBot="1">
      <c r="A7" s="63"/>
      <c r="B7" s="12" t="s">
        <v>21</v>
      </c>
      <c r="C7" s="12" t="s">
        <v>171</v>
      </c>
      <c r="D7" s="12" t="s">
        <v>172</v>
      </c>
      <c r="E7" s="26">
        <v>7177.3</v>
      </c>
      <c r="F7" s="26"/>
      <c r="G7" s="34"/>
      <c r="H7" s="29">
        <f t="shared" si="0"/>
        <v>23939.63</v>
      </c>
      <c r="I7" s="48"/>
      <c r="J7" s="199"/>
      <c r="K7" s="201"/>
    </row>
    <row r="8" spans="1:12" ht="15.75" thickBot="1">
      <c r="A8" s="63"/>
      <c r="B8" s="20"/>
      <c r="C8" s="12"/>
      <c r="D8" s="12"/>
      <c r="E8" s="26"/>
      <c r="F8" s="26"/>
      <c r="G8" s="34"/>
      <c r="H8" s="29">
        <f t="shared" si="0"/>
        <v>23939.63</v>
      </c>
      <c r="I8" s="48"/>
    </row>
    <row r="9" spans="1:12">
      <c r="A9" s="63"/>
      <c r="B9" s="12" t="s">
        <v>21</v>
      </c>
      <c r="C9" s="12" t="s">
        <v>173</v>
      </c>
      <c r="D9" s="12" t="s">
        <v>159</v>
      </c>
      <c r="E9" s="4">
        <v>16542.599999999999</v>
      </c>
      <c r="F9" s="26">
        <f>E9*0.4%</f>
        <v>66.170400000000001</v>
      </c>
      <c r="G9" s="34"/>
      <c r="H9" s="29">
        <f t="shared" si="0"/>
        <v>40548.400399999999</v>
      </c>
      <c r="I9" s="48"/>
    </row>
    <row r="10" spans="1:12">
      <c r="A10" s="12"/>
      <c r="B10" s="20"/>
      <c r="C10" s="12"/>
      <c r="D10" s="12"/>
      <c r="E10" s="4"/>
      <c r="F10" s="26"/>
      <c r="G10" s="34"/>
      <c r="H10" s="29">
        <f t="shared" si="0"/>
        <v>40548.400399999999</v>
      </c>
      <c r="I10" s="48"/>
    </row>
    <row r="11" spans="1:12" ht="15" customHeight="1">
      <c r="A11" s="12"/>
      <c r="B11" s="20"/>
      <c r="C11" s="12"/>
      <c r="D11" s="12"/>
      <c r="E11" s="26"/>
      <c r="F11" s="26"/>
      <c r="G11" s="34"/>
      <c r="H11" s="29">
        <f t="shared" si="0"/>
        <v>40548.400399999999</v>
      </c>
      <c r="I11" s="48"/>
      <c r="J11" s="70" t="s">
        <v>56</v>
      </c>
      <c r="K11" s="71">
        <v>35886.6</v>
      </c>
      <c r="L11" s="194" t="s">
        <v>171</v>
      </c>
    </row>
    <row r="12" spans="1:12" ht="15" customHeight="1">
      <c r="A12" s="12"/>
      <c r="B12" s="20"/>
      <c r="C12" s="12"/>
      <c r="D12" s="12"/>
      <c r="E12" s="4"/>
      <c r="F12" s="55"/>
      <c r="G12" s="34"/>
      <c r="H12" s="29">
        <f t="shared" si="0"/>
        <v>40548.400399999999</v>
      </c>
      <c r="I12" s="48"/>
      <c r="J12" s="72" t="s">
        <v>57</v>
      </c>
      <c r="K12" s="73">
        <f>K11/5</f>
        <v>7177.32</v>
      </c>
      <c r="L12" s="195"/>
    </row>
    <row r="13" spans="1:12" ht="15" customHeight="1">
      <c r="A13" s="12"/>
      <c r="B13" s="20"/>
      <c r="C13" s="12"/>
      <c r="D13" s="12"/>
      <c r="E13" s="26"/>
      <c r="F13" s="26"/>
      <c r="G13" s="34"/>
      <c r="H13" s="29">
        <f t="shared" si="0"/>
        <v>40548.400399999999</v>
      </c>
      <c r="I13" s="48"/>
      <c r="J13" s="72" t="s">
        <v>60</v>
      </c>
      <c r="K13" s="74">
        <v>1</v>
      </c>
      <c r="L13" s="195"/>
    </row>
    <row r="14" spans="1:12" ht="15.75" customHeight="1" thickBot="1">
      <c r="A14" s="12"/>
      <c r="B14" s="20"/>
      <c r="C14" s="12"/>
      <c r="D14" s="12"/>
      <c r="E14" s="26"/>
      <c r="F14" s="26"/>
      <c r="G14" s="34"/>
      <c r="H14" s="29">
        <f t="shared" si="0"/>
        <v>40548.400399999999</v>
      </c>
      <c r="I14" s="48"/>
      <c r="J14" s="75"/>
      <c r="K14" s="65"/>
      <c r="L14" s="195"/>
    </row>
    <row r="15" spans="1:12" ht="15.75" customHeight="1" thickBot="1">
      <c r="A15" s="12"/>
      <c r="B15" s="20"/>
      <c r="C15" s="12"/>
      <c r="D15" s="12"/>
      <c r="E15" s="26"/>
      <c r="F15" s="26"/>
      <c r="G15" s="34"/>
      <c r="H15" s="29">
        <f t="shared" si="0"/>
        <v>40548.400399999999</v>
      </c>
      <c r="I15" s="48"/>
      <c r="J15" s="76" t="s">
        <v>55</v>
      </c>
      <c r="K15" s="66">
        <f>K11-(K12*K13)</f>
        <v>28709.279999999999</v>
      </c>
      <c r="L15" s="195"/>
    </row>
    <row r="16" spans="1:12" ht="15" customHeight="1">
      <c r="A16" s="12"/>
      <c r="B16" s="20"/>
      <c r="C16" s="12"/>
      <c r="D16" s="12"/>
      <c r="E16" s="26"/>
      <c r="F16" s="26"/>
      <c r="G16" s="34"/>
      <c r="H16" s="29">
        <f t="shared" si="0"/>
        <v>40548.400399999999</v>
      </c>
      <c r="I16" s="48"/>
      <c r="J16" s="77"/>
      <c r="K16" s="78"/>
      <c r="L16" s="69" t="s">
        <v>75</v>
      </c>
    </row>
    <row r="17" spans="1:12" ht="15" customHeight="1">
      <c r="A17" s="12"/>
      <c r="B17" s="20"/>
      <c r="C17" s="12"/>
      <c r="D17" s="12"/>
      <c r="E17" s="4"/>
      <c r="F17" s="26"/>
      <c r="G17" s="34"/>
      <c r="H17" s="29">
        <f t="shared" si="0"/>
        <v>40548.400399999999</v>
      </c>
      <c r="I17" s="48"/>
      <c r="J17" s="79" t="s">
        <v>58</v>
      </c>
      <c r="K17" s="80">
        <f>L17*0.4%</f>
        <v>143.54640000000001</v>
      </c>
      <c r="L17" s="69">
        <v>35886.6</v>
      </c>
    </row>
    <row r="18" spans="1:12" ht="15" customHeight="1">
      <c r="A18" s="12"/>
      <c r="B18" s="20"/>
      <c r="C18" s="12"/>
      <c r="D18" s="12"/>
      <c r="E18" s="26"/>
      <c r="F18" s="26"/>
      <c r="G18" s="34"/>
      <c r="H18" s="29">
        <f t="shared" si="0"/>
        <v>40548.400399999999</v>
      </c>
      <c r="I18" s="48"/>
      <c r="J18" s="81"/>
      <c r="K18" s="82"/>
      <c r="L18" s="83"/>
    </row>
    <row r="19" spans="1:12" ht="15" customHeight="1">
      <c r="A19" s="12"/>
      <c r="B19" s="20"/>
      <c r="C19" s="12"/>
      <c r="D19" s="12"/>
      <c r="E19" s="26"/>
      <c r="F19" s="26"/>
      <c r="G19" s="34"/>
      <c r="H19" s="29">
        <f t="shared" si="0"/>
        <v>40548.400399999999</v>
      </c>
      <c r="I19" s="48"/>
    </row>
    <row r="20" spans="1:12" ht="15" customHeight="1">
      <c r="A20" s="12"/>
      <c r="B20" s="20"/>
      <c r="C20" s="12"/>
      <c r="D20" s="12"/>
      <c r="E20" s="26"/>
      <c r="F20" s="26"/>
      <c r="G20" s="34"/>
      <c r="H20" s="29">
        <f t="shared" si="0"/>
        <v>40548.400399999999</v>
      </c>
      <c r="I20" s="48"/>
    </row>
    <row r="21" spans="1:12" ht="15" customHeight="1">
      <c r="A21" s="12"/>
      <c r="B21" s="20"/>
      <c r="C21" s="12"/>
      <c r="D21" s="12"/>
      <c r="E21" s="26"/>
      <c r="F21" s="26"/>
      <c r="G21" s="34"/>
      <c r="H21" s="29">
        <f t="shared" si="0"/>
        <v>40548.400399999999</v>
      </c>
      <c r="I21" s="48"/>
      <c r="J21" s="90" t="s">
        <v>56</v>
      </c>
      <c r="K21" s="91">
        <v>18143.8</v>
      </c>
      <c r="L21" s="196" t="s">
        <v>155</v>
      </c>
    </row>
    <row r="22" spans="1:12" ht="15" customHeight="1">
      <c r="A22" s="12"/>
      <c r="B22" s="20"/>
      <c r="C22" s="12"/>
      <c r="D22" s="12"/>
      <c r="E22" s="26"/>
      <c r="F22" s="26"/>
      <c r="G22" s="34"/>
      <c r="H22" s="29">
        <f t="shared" si="0"/>
        <v>40548.400399999999</v>
      </c>
      <c r="I22" s="48"/>
      <c r="J22" s="92" t="s">
        <v>57</v>
      </c>
      <c r="K22" s="93">
        <f>K21/5</f>
        <v>3628.7599999999998</v>
      </c>
      <c r="L22" s="197"/>
    </row>
    <row r="23" spans="1:12" ht="15" customHeight="1">
      <c r="A23" s="12"/>
      <c r="B23" s="20"/>
      <c r="C23" s="12"/>
      <c r="D23" s="12"/>
      <c r="E23" s="26"/>
      <c r="F23" s="26"/>
      <c r="G23" s="34"/>
      <c r="H23" s="29">
        <f t="shared" si="0"/>
        <v>40548.400399999999</v>
      </c>
      <c r="I23" s="48"/>
      <c r="J23" s="92" t="s">
        <v>60</v>
      </c>
      <c r="K23" s="94">
        <v>5</v>
      </c>
      <c r="L23" s="197"/>
    </row>
    <row r="24" spans="1:12" ht="15.75" customHeight="1" thickBot="1">
      <c r="A24" s="12"/>
      <c r="B24" s="20"/>
      <c r="C24" s="12"/>
      <c r="D24" s="12"/>
      <c r="E24" s="26"/>
      <c r="F24" s="26"/>
      <c r="G24" s="34"/>
      <c r="H24" s="29">
        <f t="shared" si="0"/>
        <v>40548.400399999999</v>
      </c>
      <c r="I24" s="48"/>
      <c r="J24" s="95"/>
      <c r="K24" s="96"/>
      <c r="L24" s="197"/>
    </row>
    <row r="25" spans="1:12" ht="15.75" customHeight="1" thickBot="1">
      <c r="A25" s="12"/>
      <c r="B25" s="20"/>
      <c r="C25" s="12"/>
      <c r="D25" s="12"/>
      <c r="E25" s="26"/>
      <c r="F25" s="26"/>
      <c r="G25" s="34"/>
      <c r="H25" s="29">
        <f t="shared" si="0"/>
        <v>40548.400399999999</v>
      </c>
      <c r="I25" s="48"/>
      <c r="J25" s="97" t="s">
        <v>55</v>
      </c>
      <c r="K25" s="98">
        <f>K21-(K22*K23)</f>
        <v>0</v>
      </c>
      <c r="L25" s="197"/>
    </row>
    <row r="26" spans="1:12" ht="15" customHeight="1">
      <c r="A26" s="12"/>
      <c r="B26" s="20"/>
      <c r="C26" s="12"/>
      <c r="D26" s="12"/>
      <c r="E26" s="4"/>
      <c r="F26" s="26"/>
      <c r="G26" s="34"/>
      <c r="H26" s="29">
        <f t="shared" si="0"/>
        <v>40548.400399999999</v>
      </c>
      <c r="I26" s="48"/>
      <c r="J26" s="99"/>
      <c r="K26" s="100"/>
      <c r="L26" s="101" t="s">
        <v>75</v>
      </c>
    </row>
    <row r="27" spans="1:12" ht="15" customHeight="1">
      <c r="A27" s="12"/>
      <c r="B27" s="20"/>
      <c r="C27" s="12"/>
      <c r="D27" s="12"/>
      <c r="E27" s="26"/>
      <c r="F27" s="26"/>
      <c r="G27" s="34"/>
      <c r="H27" s="29">
        <f t="shared" si="0"/>
        <v>40548.400399999999</v>
      </c>
      <c r="I27" s="48"/>
      <c r="J27" s="102" t="s">
        <v>58</v>
      </c>
      <c r="K27" s="103">
        <f>L27*0.4%</f>
        <v>72.575199999999995</v>
      </c>
      <c r="L27" s="101">
        <f>18143.8</f>
        <v>18143.8</v>
      </c>
    </row>
    <row r="28" spans="1:12" ht="15" customHeight="1">
      <c r="A28" s="12"/>
      <c r="B28" s="20"/>
      <c r="C28" s="12"/>
      <c r="D28" s="12"/>
      <c r="E28" s="26"/>
      <c r="F28" s="26"/>
      <c r="G28" s="34"/>
      <c r="H28" s="29">
        <f t="shared" si="0"/>
        <v>40548.400399999999</v>
      </c>
      <c r="I28" s="48"/>
      <c r="J28" s="104"/>
      <c r="K28" s="105"/>
      <c r="L28" s="106"/>
    </row>
    <row r="29" spans="1:12">
      <c r="A29" s="12"/>
      <c r="B29" s="20"/>
      <c r="C29" s="12"/>
      <c r="D29" s="12"/>
      <c r="E29" s="4"/>
      <c r="F29" s="26"/>
      <c r="G29" s="34"/>
      <c r="H29" s="29">
        <f t="shared" si="0"/>
        <v>40548.400399999999</v>
      </c>
      <c r="I29" s="48"/>
    </row>
    <row r="30" spans="1:12">
      <c r="A30" s="12"/>
      <c r="B30" s="12"/>
      <c r="C30" s="12"/>
      <c r="D30" s="12"/>
      <c r="E30" s="4"/>
      <c r="F30" s="26"/>
      <c r="G30" s="34"/>
      <c r="H30" s="29">
        <f t="shared" si="0"/>
        <v>40548.400399999999</v>
      </c>
      <c r="I30" s="48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40548.400399999999</v>
      </c>
      <c r="I31" s="48"/>
      <c r="J31" s="113" t="s">
        <v>56</v>
      </c>
      <c r="K31" s="114">
        <v>16512.599999999999</v>
      </c>
      <c r="L31" s="186" t="s">
        <v>173</v>
      </c>
    </row>
    <row r="32" spans="1:12" ht="15" customHeight="1">
      <c r="A32" s="12"/>
      <c r="B32" s="12"/>
      <c r="C32" s="12"/>
      <c r="D32" s="12"/>
      <c r="E32" s="26"/>
      <c r="F32" s="26"/>
      <c r="G32" s="34"/>
      <c r="H32" s="29">
        <f t="shared" si="0"/>
        <v>40548.400399999999</v>
      </c>
      <c r="I32" s="48"/>
      <c r="J32" s="115" t="s">
        <v>57</v>
      </c>
      <c r="K32" s="109">
        <f>K31/5</f>
        <v>3302.5199999999995</v>
      </c>
      <c r="L32" s="187"/>
    </row>
    <row r="33" spans="1:16" ht="15" customHeight="1">
      <c r="A33" s="12"/>
      <c r="B33" s="12"/>
      <c r="C33" s="12"/>
      <c r="D33" s="12"/>
      <c r="E33" s="4"/>
      <c r="F33" s="26"/>
      <c r="G33" s="34"/>
      <c r="H33" s="29">
        <f t="shared" si="0"/>
        <v>40548.400399999999</v>
      </c>
      <c r="I33" s="48"/>
      <c r="J33" s="115" t="s">
        <v>60</v>
      </c>
      <c r="K33" s="110">
        <v>5</v>
      </c>
      <c r="L33" s="187"/>
    </row>
    <row r="34" spans="1:16" ht="15.75" customHeight="1" thickBot="1">
      <c r="A34" s="12"/>
      <c r="B34" s="12"/>
      <c r="C34" s="12"/>
      <c r="D34" s="12"/>
      <c r="E34" s="4"/>
      <c r="F34" s="26"/>
      <c r="G34" s="34"/>
      <c r="H34" s="29">
        <f t="shared" si="0"/>
        <v>40548.400399999999</v>
      </c>
      <c r="I34" s="48"/>
      <c r="J34" s="116"/>
      <c r="K34" s="107"/>
      <c r="L34" s="187"/>
    </row>
    <row r="35" spans="1:16" ht="15.75" customHeight="1" thickBot="1">
      <c r="A35" s="12"/>
      <c r="B35" s="12"/>
      <c r="C35" s="12"/>
      <c r="D35" s="12"/>
      <c r="E35" s="4"/>
      <c r="F35" s="26"/>
      <c r="G35" s="34"/>
      <c r="H35" s="29">
        <f t="shared" si="0"/>
        <v>40548.400399999999</v>
      </c>
      <c r="I35" s="48"/>
      <c r="J35" s="117" t="s">
        <v>55</v>
      </c>
      <c r="K35" s="108">
        <f>K31-(K32*K33)</f>
        <v>0</v>
      </c>
      <c r="L35" s="187"/>
    </row>
    <row r="36" spans="1:16" ht="15.75" customHeight="1">
      <c r="A36" s="12"/>
      <c r="B36" s="12"/>
      <c r="C36" s="12"/>
      <c r="D36" s="12"/>
      <c r="E36" s="4"/>
      <c r="F36" s="26"/>
      <c r="G36" s="34"/>
      <c r="H36" s="29">
        <f t="shared" si="0"/>
        <v>40548.400399999999</v>
      </c>
      <c r="I36" s="48"/>
      <c r="J36" s="118"/>
      <c r="K36" s="111"/>
      <c r="L36" s="119" t="s">
        <v>75</v>
      </c>
    </row>
    <row r="37" spans="1:16" ht="15.75" customHeight="1">
      <c r="A37" s="12"/>
      <c r="B37" s="12"/>
      <c r="C37" s="12"/>
      <c r="D37" s="12"/>
      <c r="E37" s="4"/>
      <c r="F37" s="26"/>
      <c r="G37" s="34"/>
      <c r="H37" s="29">
        <f t="shared" si="0"/>
        <v>40548.400399999999</v>
      </c>
      <c r="I37" s="48"/>
      <c r="J37" s="120" t="s">
        <v>58</v>
      </c>
      <c r="K37" s="112">
        <f>L37*0.4%</f>
        <v>66.050399999999996</v>
      </c>
      <c r="L37" s="119">
        <v>16512.599999999999</v>
      </c>
      <c r="P37" s="1"/>
    </row>
    <row r="38" spans="1:16" ht="15" customHeight="1">
      <c r="A38" s="12"/>
      <c r="B38" s="12"/>
      <c r="C38" s="12"/>
      <c r="D38" s="12"/>
      <c r="E38" s="4"/>
      <c r="F38" s="26"/>
      <c r="G38" s="34"/>
      <c r="H38" s="29">
        <f t="shared" si="0"/>
        <v>40548.400399999999</v>
      </c>
      <c r="I38" s="48"/>
      <c r="J38" s="121"/>
      <c r="K38" s="122"/>
      <c r="L38" s="123"/>
      <c r="P38" s="1"/>
    </row>
    <row r="39" spans="1:16">
      <c r="A39" s="12"/>
      <c r="B39" s="12"/>
      <c r="C39" s="12"/>
      <c r="D39" s="12"/>
      <c r="E39" s="4"/>
      <c r="F39" s="26"/>
      <c r="G39" s="34"/>
      <c r="H39" s="29">
        <f t="shared" si="0"/>
        <v>40548.400399999999</v>
      </c>
      <c r="I39" s="48"/>
      <c r="K39" s="10"/>
    </row>
    <row r="40" spans="1:16">
      <c r="A40" s="12"/>
      <c r="B40" s="12"/>
      <c r="C40" s="12"/>
      <c r="D40" s="12"/>
      <c r="E40" s="4"/>
      <c r="F40" s="26"/>
      <c r="G40" s="34"/>
      <c r="H40" s="29">
        <f t="shared" si="0"/>
        <v>40548.400399999999</v>
      </c>
      <c r="I40" s="48"/>
      <c r="K40" s="10"/>
    </row>
    <row r="41" spans="1:16" ht="15" customHeight="1">
      <c r="A41" s="12"/>
      <c r="B41" s="12"/>
      <c r="C41" s="12"/>
      <c r="D41" s="12"/>
      <c r="E41" s="4"/>
      <c r="F41" s="26"/>
      <c r="G41" s="34"/>
      <c r="H41" s="29">
        <f t="shared" si="0"/>
        <v>40548.400399999999</v>
      </c>
      <c r="I41" s="48"/>
      <c r="J41" s="124" t="s">
        <v>56</v>
      </c>
      <c r="K41" s="125">
        <v>145455.79999999999</v>
      </c>
      <c r="L41" s="188" t="s">
        <v>162</v>
      </c>
    </row>
    <row r="42" spans="1:16" ht="15.75" customHeight="1">
      <c r="A42" s="12"/>
      <c r="B42" s="12"/>
      <c r="C42" s="12"/>
      <c r="D42" s="12"/>
      <c r="E42" s="4"/>
      <c r="F42" s="26"/>
      <c r="G42" s="34"/>
      <c r="H42" s="29">
        <f t="shared" si="0"/>
        <v>40548.400399999999</v>
      </c>
      <c r="I42" s="48"/>
      <c r="J42" s="126" t="s">
        <v>57</v>
      </c>
      <c r="K42" s="127">
        <f>K41/20</f>
        <v>7272.7899999999991</v>
      </c>
      <c r="L42" s="189"/>
    </row>
    <row r="43" spans="1:16" ht="15.75" customHeight="1">
      <c r="A43" s="12"/>
      <c r="B43" s="12"/>
      <c r="C43" s="12"/>
      <c r="D43" s="12"/>
      <c r="E43" s="4"/>
      <c r="F43" s="26"/>
      <c r="G43" s="34"/>
      <c r="H43" s="29">
        <f t="shared" si="0"/>
        <v>40548.400399999999</v>
      </c>
      <c r="I43" s="48"/>
      <c r="J43" s="126" t="s">
        <v>60</v>
      </c>
      <c r="K43" s="128">
        <v>20</v>
      </c>
      <c r="L43" s="189"/>
    </row>
    <row r="44" spans="1:16" ht="15.75" customHeight="1" thickBot="1">
      <c r="A44" s="12"/>
      <c r="B44" s="12"/>
      <c r="C44" s="12"/>
      <c r="D44" s="12"/>
      <c r="E44" s="4"/>
      <c r="F44" s="26"/>
      <c r="G44" s="34"/>
      <c r="H44" s="29">
        <f t="shared" si="0"/>
        <v>40548.400399999999</v>
      </c>
      <c r="I44" s="48"/>
      <c r="J44" s="129"/>
      <c r="K44" s="67"/>
      <c r="L44" s="189"/>
    </row>
    <row r="45" spans="1:16" ht="15.75" customHeight="1" thickBot="1">
      <c r="A45" s="12"/>
      <c r="B45" s="12"/>
      <c r="C45" s="12"/>
      <c r="D45" s="12"/>
      <c r="E45" s="4"/>
      <c r="F45" s="26"/>
      <c r="G45" s="34"/>
      <c r="H45" s="29">
        <f t="shared" si="0"/>
        <v>40548.400399999999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/>
      <c r="B46" s="12"/>
      <c r="C46" s="12"/>
      <c r="D46" s="12"/>
      <c r="E46" s="4"/>
      <c r="F46" s="26"/>
      <c r="G46" s="34"/>
      <c r="H46" s="29">
        <f t="shared" si="0"/>
        <v>40548.400399999999</v>
      </c>
      <c r="I46" s="48"/>
      <c r="J46" s="131"/>
      <c r="K46" s="132"/>
      <c r="L46" s="133" t="s">
        <v>75</v>
      </c>
    </row>
    <row r="47" spans="1:16" ht="15" customHeight="1">
      <c r="A47" s="12"/>
      <c r="B47" s="20"/>
      <c r="C47" s="12"/>
      <c r="D47" s="12"/>
      <c r="E47" s="26"/>
      <c r="F47" s="26"/>
      <c r="G47" s="34"/>
      <c r="H47" s="29">
        <f t="shared" si="0"/>
        <v>40548.400399999999</v>
      </c>
      <c r="I47" s="48"/>
      <c r="J47" s="134" t="s">
        <v>58</v>
      </c>
      <c r="K47" s="135">
        <f>L47*0.4%</f>
        <v>581.82319999999993</v>
      </c>
      <c r="L47" s="133">
        <f>35853+37721.5+35956.5+35924.8</f>
        <v>145455.79999999999</v>
      </c>
    </row>
    <row r="48" spans="1:16" ht="15" customHeight="1">
      <c r="A48" s="12"/>
      <c r="B48" s="20"/>
      <c r="C48" s="12"/>
      <c r="D48" s="12"/>
      <c r="E48" s="40"/>
      <c r="F48" s="26"/>
      <c r="G48" s="34"/>
      <c r="H48" s="29">
        <f t="shared" si="0"/>
        <v>40548.400399999999</v>
      </c>
      <c r="I48" s="48"/>
      <c r="J48" s="136"/>
      <c r="K48" s="137"/>
      <c r="L48" s="138"/>
    </row>
    <row r="49" spans="1:13" ht="15.75">
      <c r="A49" s="12"/>
      <c r="B49" s="12"/>
      <c r="C49" s="12"/>
      <c r="D49" s="12"/>
      <c r="E49" s="64"/>
      <c r="F49" s="26"/>
      <c r="G49" s="34"/>
      <c r="H49" s="29">
        <f t="shared" si="0"/>
        <v>40548.400399999999</v>
      </c>
      <c r="I49" s="48"/>
    </row>
    <row r="50" spans="1:13" ht="15.75">
      <c r="A50" s="12"/>
      <c r="B50" s="12"/>
      <c r="C50" s="12"/>
      <c r="D50" s="12"/>
      <c r="E50" s="64"/>
      <c r="F50" s="26"/>
      <c r="G50" s="34"/>
      <c r="H50" s="29">
        <f t="shared" si="0"/>
        <v>40548.400399999999</v>
      </c>
      <c r="I50" s="48"/>
    </row>
    <row r="51" spans="1:13" ht="15.75">
      <c r="A51" s="12"/>
      <c r="B51" s="20"/>
      <c r="C51" s="12"/>
      <c r="D51" s="12"/>
      <c r="E51" s="64"/>
      <c r="F51" s="26"/>
      <c r="G51" s="34"/>
      <c r="H51" s="29">
        <f t="shared" si="0"/>
        <v>40548.400399999999</v>
      </c>
      <c r="I51" s="48"/>
    </row>
    <row r="52" spans="1:13" ht="15.75">
      <c r="A52" s="12"/>
      <c r="B52" s="12"/>
      <c r="C52" s="12"/>
      <c r="D52" s="12"/>
      <c r="E52" s="64"/>
      <c r="F52" s="42"/>
      <c r="G52" s="34"/>
      <c r="H52" s="29">
        <f t="shared" si="0"/>
        <v>40548.400399999999</v>
      </c>
      <c r="I52" s="48"/>
      <c r="J52" s="50"/>
      <c r="K52" s="50"/>
      <c r="L52" s="50"/>
      <c r="M52" s="50"/>
    </row>
    <row r="53" spans="1:13" ht="15.75">
      <c r="A53" s="12"/>
      <c r="B53" s="20"/>
      <c r="C53" s="12"/>
      <c r="D53" s="12"/>
      <c r="E53" s="64"/>
      <c r="F53" s="26"/>
      <c r="G53" s="34"/>
      <c r="H53" s="29">
        <f t="shared" si="0"/>
        <v>40548.400399999999</v>
      </c>
      <c r="I53" s="48"/>
      <c r="J53" s="50"/>
      <c r="K53" s="50"/>
      <c r="L53" s="50"/>
      <c r="M53" s="50"/>
    </row>
    <row r="54" spans="1:13" ht="15.75">
      <c r="A54" s="12"/>
      <c r="B54" s="20"/>
      <c r="C54" s="12"/>
      <c r="D54" s="12"/>
      <c r="E54" s="64"/>
      <c r="F54" s="26"/>
      <c r="G54" s="34"/>
      <c r="H54" s="29">
        <f t="shared" si="0"/>
        <v>40548.400399999999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40548.400399999999</v>
      </c>
      <c r="I55" s="48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40548.400399999999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40548.400399999999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40548.400399999999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40548.400399999999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40548.400399999999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40548.400399999999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40548.400399999999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40548.400399999999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40548.400399999999</v>
      </c>
      <c r="I64" s="48"/>
    </row>
    <row r="65" spans="1:10">
      <c r="A65" s="12"/>
      <c r="B65" s="20"/>
      <c r="C65" s="12"/>
      <c r="D65" s="12"/>
      <c r="E65" s="25"/>
      <c r="F65" s="26"/>
      <c r="G65" s="34"/>
      <c r="H65" s="29">
        <f t="shared" si="0"/>
        <v>40548.400399999999</v>
      </c>
      <c r="I65" s="48"/>
    </row>
    <row r="66" spans="1:10">
      <c r="A66" s="12"/>
      <c r="B66" s="20"/>
      <c r="C66" s="12"/>
      <c r="D66" s="12"/>
      <c r="E66" s="40"/>
      <c r="F66" s="26"/>
      <c r="G66" s="34"/>
      <c r="H66" s="29">
        <f t="shared" si="0"/>
        <v>40548.400399999999</v>
      </c>
      <c r="I66" s="48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0"/>
        <v>40548.400399999999</v>
      </c>
      <c r="I67" s="48"/>
    </row>
    <row r="68" spans="1:10">
      <c r="A68" s="12"/>
      <c r="B68" s="20"/>
      <c r="C68" s="12"/>
      <c r="D68" s="12"/>
      <c r="E68" s="40"/>
      <c r="F68" s="26"/>
      <c r="G68" s="34"/>
      <c r="H68" s="29">
        <f t="shared" ref="H68:H71" si="1">H67+E68+F68-G68</f>
        <v>40548.400399999999</v>
      </c>
      <c r="I68" s="48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40548.400399999999</v>
      </c>
      <c r="I69" s="48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40548.400399999999</v>
      </c>
      <c r="I70" s="48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40548.400399999999</v>
      </c>
      <c r="I71" s="48"/>
    </row>
    <row r="72" spans="1:10" ht="15.75" thickBot="1">
      <c r="A72" s="5" t="s">
        <v>88</v>
      </c>
      <c r="B72" s="21"/>
      <c r="C72" s="8"/>
      <c r="D72" s="11"/>
      <c r="E72" s="24">
        <f>SUM(E3:E71)</f>
        <v>61355.5</v>
      </c>
      <c r="F72" s="39">
        <f>SUM(F3:F71)</f>
        <v>216.71039999999999</v>
      </c>
      <c r="G72" s="35">
        <f>SUM(G3:G71)</f>
        <v>126002</v>
      </c>
      <c r="H72" s="30"/>
      <c r="I72" s="49"/>
    </row>
    <row r="73" spans="1:10">
      <c r="A73" s="2"/>
      <c r="B73" s="13"/>
      <c r="C73" s="9"/>
      <c r="D73" s="2"/>
      <c r="E73" s="2"/>
      <c r="F73" s="36"/>
      <c r="G73" s="51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50"/>
      <c r="I76" s="50"/>
    </row>
    <row r="77" spans="1:10">
      <c r="H77" s="50"/>
      <c r="I77" s="50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F0"/>
    <pageSetUpPr fitToPage="1"/>
  </sheetPr>
  <dimension ref="A1:P95"/>
  <sheetViews>
    <sheetView topLeftCell="A34" zoomScaleNormal="100" workbookViewId="0">
      <selection activeCell="C48" sqref="C48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81" t="s">
        <v>216</v>
      </c>
      <c r="B1" s="181"/>
      <c r="C1" s="181"/>
      <c r="D1" s="181"/>
      <c r="E1" s="181"/>
      <c r="F1" s="181"/>
      <c r="G1" s="181"/>
      <c r="H1" s="181"/>
      <c r="I1" s="46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2" ht="15.75" thickBot="1">
      <c r="A3" s="18" t="s">
        <v>174</v>
      </c>
      <c r="B3" s="19" t="s">
        <v>8</v>
      </c>
      <c r="C3" s="22"/>
      <c r="D3" s="3"/>
      <c r="E3" s="2"/>
      <c r="F3" s="55"/>
      <c r="G3" s="51"/>
      <c r="H3" s="30">
        <v>40548.400000000001</v>
      </c>
      <c r="I3" s="48"/>
      <c r="J3" s="84" t="s">
        <v>9</v>
      </c>
      <c r="K3" s="85">
        <f>'[1]October 2021'!$N$15</f>
        <v>43368.410400000008</v>
      </c>
    </row>
    <row r="4" spans="1:12" ht="15.75" thickBot="1">
      <c r="A4" s="18" t="s">
        <v>174</v>
      </c>
      <c r="B4" s="20" t="s">
        <v>25</v>
      </c>
      <c r="C4" s="12"/>
      <c r="D4" s="12"/>
      <c r="E4" s="4"/>
      <c r="F4" s="55"/>
      <c r="G4" s="34">
        <v>5904</v>
      </c>
      <c r="H4" s="29">
        <f t="shared" ref="H4:H67" si="0">H3+E4+F4-G4</f>
        <v>34644.400000000001</v>
      </c>
      <c r="I4" s="48"/>
      <c r="J4" s="86" t="s">
        <v>10</v>
      </c>
      <c r="K4" s="87">
        <f>H71+K15+K35+K25+K45</f>
        <v>64669.619999999995</v>
      </c>
    </row>
    <row r="5" spans="1:12" ht="15.75" thickBot="1">
      <c r="A5" s="63" t="s">
        <v>177</v>
      </c>
      <c r="B5" s="20" t="s">
        <v>21</v>
      </c>
      <c r="C5" s="12" t="s">
        <v>180</v>
      </c>
      <c r="D5" s="140" t="s">
        <v>181</v>
      </c>
      <c r="E5" s="4">
        <v>3302.52</v>
      </c>
      <c r="F5" s="55"/>
      <c r="G5" s="34"/>
      <c r="H5" s="29">
        <f t="shared" si="0"/>
        <v>37946.92</v>
      </c>
      <c r="I5" s="48"/>
      <c r="J5" s="88"/>
      <c r="K5" s="89"/>
    </row>
    <row r="6" spans="1:12" ht="15.75" customHeight="1" thickBot="1">
      <c r="A6" s="63" t="s">
        <v>177</v>
      </c>
      <c r="B6" s="12" t="s">
        <v>21</v>
      </c>
      <c r="C6" s="12" t="s">
        <v>178</v>
      </c>
      <c r="D6" s="140" t="s">
        <v>179</v>
      </c>
      <c r="E6" s="4">
        <v>7177.3</v>
      </c>
      <c r="F6" s="26"/>
      <c r="G6" s="34"/>
      <c r="H6" s="29">
        <f t="shared" si="0"/>
        <v>45124.22</v>
      </c>
      <c r="I6" s="48"/>
      <c r="J6" s="198" t="s">
        <v>11</v>
      </c>
      <c r="K6" s="200">
        <f>K3-K4</f>
        <v>-21301.209599999987</v>
      </c>
    </row>
    <row r="7" spans="1:12" ht="15.75" customHeight="1" thickBot="1">
      <c r="A7" s="63" t="s">
        <v>177</v>
      </c>
      <c r="B7" s="20" t="s">
        <v>25</v>
      </c>
      <c r="C7" s="12"/>
      <c r="D7" s="12"/>
      <c r="E7" s="4"/>
      <c r="F7" s="55"/>
      <c r="G7" s="34">
        <v>4068</v>
      </c>
      <c r="H7" s="29">
        <f t="shared" si="0"/>
        <v>41056.22</v>
      </c>
      <c r="I7" s="48"/>
      <c r="J7" s="199"/>
      <c r="K7" s="201"/>
    </row>
    <row r="8" spans="1:12" ht="15.75" thickBot="1">
      <c r="A8" s="63" t="s">
        <v>182</v>
      </c>
      <c r="B8" s="20" t="s">
        <v>21</v>
      </c>
      <c r="C8" s="12" t="s">
        <v>185</v>
      </c>
      <c r="D8" s="12" t="s">
        <v>181</v>
      </c>
      <c r="E8" s="26">
        <v>7185</v>
      </c>
      <c r="F8" s="26"/>
      <c r="G8" s="34"/>
      <c r="H8" s="29">
        <f t="shared" si="0"/>
        <v>48241.22</v>
      </c>
      <c r="I8" s="48"/>
    </row>
    <row r="9" spans="1:12">
      <c r="A9" s="63" t="s">
        <v>182</v>
      </c>
      <c r="B9" s="20" t="s">
        <v>25</v>
      </c>
      <c r="C9" s="12"/>
      <c r="D9" s="12"/>
      <c r="E9" s="4"/>
      <c r="F9" s="55"/>
      <c r="G9" s="34">
        <v>7392</v>
      </c>
      <c r="H9" s="29">
        <f t="shared" si="0"/>
        <v>40849.22</v>
      </c>
      <c r="I9" s="48"/>
    </row>
    <row r="10" spans="1:12">
      <c r="A10" s="12" t="s">
        <v>184</v>
      </c>
      <c r="B10" s="20" t="s">
        <v>21</v>
      </c>
      <c r="C10" s="12" t="s">
        <v>185</v>
      </c>
      <c r="D10" s="12" t="s">
        <v>186</v>
      </c>
      <c r="E10" s="4">
        <v>7185</v>
      </c>
      <c r="F10" s="26"/>
      <c r="G10" s="34"/>
      <c r="H10" s="29">
        <f t="shared" si="0"/>
        <v>48034.22</v>
      </c>
      <c r="I10" s="48"/>
    </row>
    <row r="11" spans="1:12" ht="15" customHeight="1">
      <c r="A11" s="12" t="s">
        <v>184</v>
      </c>
      <c r="B11" s="20" t="s">
        <v>33</v>
      </c>
      <c r="C11" s="12"/>
      <c r="D11" s="12"/>
      <c r="E11" s="26"/>
      <c r="F11" s="26">
        <v>143.79</v>
      </c>
      <c r="G11" s="34"/>
      <c r="H11" s="29">
        <f t="shared" si="0"/>
        <v>48178.01</v>
      </c>
      <c r="I11" s="48"/>
      <c r="J11" s="70" t="s">
        <v>56</v>
      </c>
      <c r="K11" s="71">
        <v>35538.400000000001</v>
      </c>
      <c r="L11" s="194" t="s">
        <v>176</v>
      </c>
    </row>
    <row r="12" spans="1:12" ht="15" customHeight="1">
      <c r="A12" s="12" t="s">
        <v>184</v>
      </c>
      <c r="B12" s="20" t="s">
        <v>25</v>
      </c>
      <c r="C12" s="12"/>
      <c r="D12" s="12"/>
      <c r="E12" s="4"/>
      <c r="F12" s="55"/>
      <c r="G12" s="34">
        <v>4332</v>
      </c>
      <c r="H12" s="29">
        <f t="shared" si="0"/>
        <v>43846.01</v>
      </c>
      <c r="I12" s="48"/>
      <c r="J12" s="72" t="s">
        <v>57</v>
      </c>
      <c r="K12" s="73">
        <f>K11/5</f>
        <v>7107.68</v>
      </c>
      <c r="L12" s="195"/>
    </row>
    <row r="13" spans="1:12" ht="15" customHeight="1">
      <c r="A13" s="12" t="s">
        <v>189</v>
      </c>
      <c r="B13" s="20" t="s">
        <v>25</v>
      </c>
      <c r="C13" s="12"/>
      <c r="D13" s="12"/>
      <c r="E13" s="26"/>
      <c r="F13" s="26"/>
      <c r="G13" s="34">
        <v>5328</v>
      </c>
      <c r="H13" s="29">
        <f t="shared" si="0"/>
        <v>38518.01</v>
      </c>
      <c r="I13" s="48"/>
      <c r="J13" s="72" t="s">
        <v>60</v>
      </c>
      <c r="K13" s="74">
        <v>5</v>
      </c>
      <c r="L13" s="195"/>
    </row>
    <row r="14" spans="1:12" ht="15.75" customHeight="1" thickBot="1">
      <c r="A14" s="12" t="s">
        <v>187</v>
      </c>
      <c r="B14" s="20" t="s">
        <v>21</v>
      </c>
      <c r="C14" s="12" t="s">
        <v>178</v>
      </c>
      <c r="D14" s="12" t="s">
        <v>188</v>
      </c>
      <c r="E14" s="26">
        <f>7177.3*2</f>
        <v>14354.6</v>
      </c>
      <c r="F14" s="26"/>
      <c r="G14" s="34"/>
      <c r="H14" s="29">
        <f t="shared" si="0"/>
        <v>52872.61</v>
      </c>
      <c r="I14" s="48"/>
      <c r="J14" s="75"/>
      <c r="K14" s="65"/>
      <c r="L14" s="195"/>
    </row>
    <row r="15" spans="1:12" ht="15.75" customHeight="1" thickBot="1">
      <c r="A15" s="12" t="s">
        <v>187</v>
      </c>
      <c r="B15" s="12" t="s">
        <v>25</v>
      </c>
      <c r="C15" s="12"/>
      <c r="D15" s="12"/>
      <c r="E15" s="26"/>
      <c r="F15" s="26"/>
      <c r="G15" s="34">
        <v>6120</v>
      </c>
      <c r="H15" s="29">
        <f t="shared" si="0"/>
        <v>46752.61</v>
      </c>
      <c r="I15" s="48"/>
      <c r="J15" s="76" t="s">
        <v>55</v>
      </c>
      <c r="K15" s="66">
        <f>K11-(K12*K13)</f>
        <v>0</v>
      </c>
      <c r="L15" s="195"/>
    </row>
    <row r="16" spans="1:12" ht="15" customHeight="1">
      <c r="A16" s="12" t="s">
        <v>190</v>
      </c>
      <c r="B16" s="20" t="s">
        <v>21</v>
      </c>
      <c r="C16" s="12" t="s">
        <v>178</v>
      </c>
      <c r="D16" s="12" t="s">
        <v>191</v>
      </c>
      <c r="E16" s="26">
        <v>7177.3</v>
      </c>
      <c r="F16" s="26"/>
      <c r="G16" s="34"/>
      <c r="H16" s="29">
        <f t="shared" si="0"/>
        <v>53929.91</v>
      </c>
      <c r="I16" s="48"/>
      <c r="J16" s="77"/>
      <c r="K16" s="78"/>
      <c r="L16" s="69" t="s">
        <v>75</v>
      </c>
    </row>
    <row r="17" spans="1:12" ht="15" customHeight="1">
      <c r="A17" s="12" t="s">
        <v>190</v>
      </c>
      <c r="B17" s="20" t="s">
        <v>33</v>
      </c>
      <c r="C17" s="12"/>
      <c r="D17" s="12"/>
      <c r="E17" s="4"/>
      <c r="F17" s="26">
        <v>142.16</v>
      </c>
      <c r="G17" s="34"/>
      <c r="H17" s="29">
        <f t="shared" si="0"/>
        <v>54072.070000000007</v>
      </c>
      <c r="I17" s="48"/>
      <c r="J17" s="79" t="s">
        <v>58</v>
      </c>
      <c r="K17" s="80">
        <f>L17*0.4%</f>
        <v>142.15536</v>
      </c>
      <c r="L17" s="69">
        <v>35538.839999999997</v>
      </c>
    </row>
    <row r="18" spans="1:12" ht="15" customHeight="1">
      <c r="A18" s="12" t="s">
        <v>190</v>
      </c>
      <c r="B18" s="20" t="s">
        <v>25</v>
      </c>
      <c r="C18" s="12"/>
      <c r="D18" s="12"/>
      <c r="E18" s="26"/>
      <c r="F18" s="26"/>
      <c r="G18" s="34">
        <v>5490</v>
      </c>
      <c r="H18" s="29">
        <f>H17+E18+F18-G18</f>
        <v>48582.070000000007</v>
      </c>
      <c r="I18" s="48"/>
      <c r="J18" s="81"/>
      <c r="K18" s="82"/>
      <c r="L18" s="83"/>
    </row>
    <row r="19" spans="1:12" ht="15" customHeight="1">
      <c r="A19" s="12" t="s">
        <v>192</v>
      </c>
      <c r="B19" s="20" t="s">
        <v>25</v>
      </c>
      <c r="C19" s="12"/>
      <c r="D19" s="12"/>
      <c r="E19" s="26"/>
      <c r="F19" s="26"/>
      <c r="G19" s="34">
        <v>5780</v>
      </c>
      <c r="H19" s="29">
        <f t="shared" si="0"/>
        <v>42802.070000000007</v>
      </c>
      <c r="I19" s="48"/>
    </row>
    <row r="20" spans="1:12" ht="15" customHeight="1">
      <c r="A20" s="12" t="s">
        <v>193</v>
      </c>
      <c r="B20" s="20" t="s">
        <v>25</v>
      </c>
      <c r="C20" s="12"/>
      <c r="D20" s="12"/>
      <c r="E20" s="26"/>
      <c r="F20" s="26"/>
      <c r="G20" s="34">
        <v>5070</v>
      </c>
      <c r="H20" s="29">
        <f t="shared" si="0"/>
        <v>37732.070000000007</v>
      </c>
      <c r="I20" s="48"/>
    </row>
    <row r="21" spans="1:12" ht="15" customHeight="1">
      <c r="A21" s="12" t="s">
        <v>194</v>
      </c>
      <c r="B21" s="20" t="s">
        <v>25</v>
      </c>
      <c r="C21" s="12"/>
      <c r="D21" s="12"/>
      <c r="E21" s="26"/>
      <c r="F21" s="26"/>
      <c r="G21" s="34">
        <v>6846</v>
      </c>
      <c r="H21" s="29">
        <f t="shared" si="0"/>
        <v>30886.070000000007</v>
      </c>
      <c r="I21" s="48"/>
      <c r="J21" s="90" t="s">
        <v>56</v>
      </c>
      <c r="K21" s="91">
        <v>20042.099999999999</v>
      </c>
      <c r="L21" s="196" t="s">
        <v>175</v>
      </c>
    </row>
    <row r="22" spans="1:12" ht="15" customHeight="1">
      <c r="A22" s="12" t="s">
        <v>195</v>
      </c>
      <c r="B22" s="20" t="s">
        <v>21</v>
      </c>
      <c r="C22" s="12" t="s">
        <v>196</v>
      </c>
      <c r="D22" s="12" t="s">
        <v>197</v>
      </c>
      <c r="E22" s="26">
        <v>7189.6</v>
      </c>
      <c r="F22" s="26"/>
      <c r="G22" s="34"/>
      <c r="H22" s="29">
        <f t="shared" si="0"/>
        <v>38075.670000000006</v>
      </c>
      <c r="I22" s="48"/>
      <c r="J22" s="92" t="s">
        <v>57</v>
      </c>
      <c r="K22" s="93">
        <f>K21/5</f>
        <v>4008.4199999999996</v>
      </c>
      <c r="L22" s="197"/>
    </row>
    <row r="23" spans="1:12" ht="15" customHeight="1">
      <c r="A23" s="12" t="s">
        <v>195</v>
      </c>
      <c r="B23" s="20" t="s">
        <v>25</v>
      </c>
      <c r="C23" s="12"/>
      <c r="D23" s="12"/>
      <c r="E23" s="26"/>
      <c r="F23" s="26"/>
      <c r="G23" s="34">
        <v>5574</v>
      </c>
      <c r="H23" s="29">
        <f t="shared" si="0"/>
        <v>32501.670000000006</v>
      </c>
      <c r="I23" s="48"/>
      <c r="J23" s="92" t="s">
        <v>60</v>
      </c>
      <c r="K23" s="94">
        <v>1</v>
      </c>
      <c r="L23" s="197"/>
    </row>
    <row r="24" spans="1:12" ht="15.75" customHeight="1" thickBot="1">
      <c r="A24" s="12" t="s">
        <v>213</v>
      </c>
      <c r="B24" s="20" t="s">
        <v>25</v>
      </c>
      <c r="C24" s="12"/>
      <c r="D24" s="12"/>
      <c r="E24" s="26"/>
      <c r="F24" s="26"/>
      <c r="G24" s="34">
        <v>4690</v>
      </c>
      <c r="H24" s="29">
        <f t="shared" si="0"/>
        <v>27811.670000000006</v>
      </c>
      <c r="I24" s="48"/>
      <c r="J24" s="95"/>
      <c r="K24" s="96"/>
      <c r="L24" s="197"/>
    </row>
    <row r="25" spans="1:12" ht="15.75" customHeight="1" thickBot="1">
      <c r="A25" s="12" t="s">
        <v>198</v>
      </c>
      <c r="B25" s="20" t="s">
        <v>21</v>
      </c>
      <c r="C25" s="12" t="s">
        <v>180</v>
      </c>
      <c r="D25" s="12" t="s">
        <v>191</v>
      </c>
      <c r="E25" s="26">
        <v>3302.5</v>
      </c>
      <c r="F25" s="26"/>
      <c r="G25" s="34"/>
      <c r="H25" s="29">
        <f t="shared" si="0"/>
        <v>31114.170000000006</v>
      </c>
      <c r="I25" s="48"/>
      <c r="J25" s="97" t="s">
        <v>55</v>
      </c>
      <c r="K25" s="98">
        <f>K21-(K22*K23)</f>
        <v>16033.679999999998</v>
      </c>
      <c r="L25" s="197"/>
    </row>
    <row r="26" spans="1:12" ht="15" customHeight="1">
      <c r="A26" s="12" t="s">
        <v>198</v>
      </c>
      <c r="B26" s="20" t="s">
        <v>33</v>
      </c>
      <c r="C26" s="12"/>
      <c r="D26" s="12"/>
      <c r="E26" s="4"/>
      <c r="F26" s="26">
        <v>68.83</v>
      </c>
      <c r="G26" s="34"/>
      <c r="H26" s="29">
        <f t="shared" si="0"/>
        <v>31183.000000000007</v>
      </c>
      <c r="I26" s="48"/>
      <c r="J26" s="99"/>
      <c r="K26" s="100"/>
      <c r="L26" s="101" t="s">
        <v>75</v>
      </c>
    </row>
    <row r="27" spans="1:12" ht="15" customHeight="1">
      <c r="A27" s="12" t="s">
        <v>198</v>
      </c>
      <c r="B27" s="20" t="s">
        <v>21</v>
      </c>
      <c r="C27" s="12" t="s">
        <v>199</v>
      </c>
      <c r="D27" s="12" t="s">
        <v>197</v>
      </c>
      <c r="E27" s="26">
        <v>7107.7</v>
      </c>
      <c r="F27" s="26"/>
      <c r="G27" s="34"/>
      <c r="H27" s="29">
        <f t="shared" si="0"/>
        <v>38290.700000000004</v>
      </c>
      <c r="I27" s="48"/>
      <c r="J27" s="102" t="s">
        <v>58</v>
      </c>
      <c r="K27" s="103">
        <f>L27*0.4%</f>
        <v>80.168399999999991</v>
      </c>
      <c r="L27" s="101">
        <v>20042.099999999999</v>
      </c>
    </row>
    <row r="28" spans="1:12" ht="15" customHeight="1">
      <c r="A28" s="12" t="s">
        <v>198</v>
      </c>
      <c r="B28" s="20" t="s">
        <v>25</v>
      </c>
      <c r="C28" s="12"/>
      <c r="D28" s="12"/>
      <c r="E28" s="26"/>
      <c r="F28" s="26"/>
      <c r="G28" s="34">
        <v>1200</v>
      </c>
      <c r="H28" s="29">
        <f t="shared" si="0"/>
        <v>37090.700000000004</v>
      </c>
      <c r="I28" s="48"/>
      <c r="J28" s="104"/>
      <c r="K28" s="105"/>
      <c r="L28" s="106"/>
    </row>
    <row r="29" spans="1:12">
      <c r="A29" s="12" t="s">
        <v>200</v>
      </c>
      <c r="B29" s="20" t="s">
        <v>21</v>
      </c>
      <c r="C29" s="12" t="s">
        <v>199</v>
      </c>
      <c r="D29" s="12" t="s">
        <v>201</v>
      </c>
      <c r="E29" s="4">
        <v>7107.7</v>
      </c>
      <c r="F29" s="26"/>
      <c r="G29" s="34"/>
      <c r="H29" s="29">
        <f t="shared" si="0"/>
        <v>44198.400000000001</v>
      </c>
      <c r="I29" s="48"/>
    </row>
    <row r="30" spans="1:12">
      <c r="A30" s="12" t="s">
        <v>200</v>
      </c>
      <c r="B30" s="12" t="s">
        <v>25</v>
      </c>
      <c r="C30" s="12"/>
      <c r="D30" s="12"/>
      <c r="E30" s="4"/>
      <c r="F30" s="26"/>
      <c r="G30" s="34">
        <v>6360</v>
      </c>
      <c r="H30" s="29">
        <f t="shared" si="0"/>
        <v>37838.400000000001</v>
      </c>
      <c r="I30" s="48"/>
    </row>
    <row r="31" spans="1:12" ht="15" customHeight="1">
      <c r="A31" s="12" t="s">
        <v>202</v>
      </c>
      <c r="B31" s="12" t="s">
        <v>21</v>
      </c>
      <c r="C31" s="12" t="s">
        <v>196</v>
      </c>
      <c r="D31" s="12" t="s">
        <v>201</v>
      </c>
      <c r="E31" s="26">
        <v>7189.6</v>
      </c>
      <c r="F31" s="26"/>
      <c r="G31" s="34"/>
      <c r="H31" s="29">
        <f t="shared" si="0"/>
        <v>45028</v>
      </c>
      <c r="I31" s="48"/>
      <c r="J31" s="113" t="s">
        <v>56</v>
      </c>
      <c r="K31" s="114">
        <v>17209.5</v>
      </c>
      <c r="L31" s="186" t="s">
        <v>212</v>
      </c>
    </row>
    <row r="32" spans="1:12" ht="15" customHeight="1">
      <c r="A32" s="12" t="s">
        <v>202</v>
      </c>
      <c r="B32" s="12" t="s">
        <v>25</v>
      </c>
      <c r="C32" s="12"/>
      <c r="D32" s="12"/>
      <c r="E32" s="26"/>
      <c r="F32" s="26"/>
      <c r="G32" s="34">
        <v>3624</v>
      </c>
      <c r="H32" s="29">
        <f t="shared" si="0"/>
        <v>41404</v>
      </c>
      <c r="I32" s="48"/>
      <c r="J32" s="115" t="s">
        <v>57</v>
      </c>
      <c r="K32" s="109">
        <f>K31/5</f>
        <v>3441.9</v>
      </c>
      <c r="L32" s="187"/>
    </row>
    <row r="33" spans="1:16" ht="15" customHeight="1">
      <c r="A33" s="12" t="s">
        <v>203</v>
      </c>
      <c r="B33" s="12" t="s">
        <v>25</v>
      </c>
      <c r="C33" s="12"/>
      <c r="D33" s="12"/>
      <c r="E33" s="4"/>
      <c r="F33" s="26"/>
      <c r="G33" s="34">
        <v>4772</v>
      </c>
      <c r="H33" s="29">
        <f t="shared" si="0"/>
        <v>36632</v>
      </c>
      <c r="I33" s="48"/>
      <c r="J33" s="115" t="s">
        <v>60</v>
      </c>
      <c r="K33" s="110">
        <v>1</v>
      </c>
      <c r="L33" s="187"/>
    </row>
    <row r="34" spans="1:16" ht="15.75" customHeight="1" thickBot="1">
      <c r="A34" s="12" t="s">
        <v>204</v>
      </c>
      <c r="B34" s="12" t="s">
        <v>21</v>
      </c>
      <c r="C34" s="12" t="s">
        <v>196</v>
      </c>
      <c r="D34" s="12" t="s">
        <v>205</v>
      </c>
      <c r="E34" s="4">
        <v>7189.6</v>
      </c>
      <c r="F34" s="26"/>
      <c r="G34" s="34"/>
      <c r="H34" s="29">
        <f t="shared" si="0"/>
        <v>43821.599999999999</v>
      </c>
      <c r="I34" s="48"/>
      <c r="J34" s="116"/>
      <c r="K34" s="107"/>
      <c r="L34" s="187"/>
    </row>
    <row r="35" spans="1:16" ht="15.75" customHeight="1" thickBot="1">
      <c r="A35" s="12" t="s">
        <v>204</v>
      </c>
      <c r="B35" s="12" t="s">
        <v>25</v>
      </c>
      <c r="C35" s="12"/>
      <c r="D35" s="12"/>
      <c r="E35" s="4"/>
      <c r="F35" s="26"/>
      <c r="G35" s="34">
        <v>6734</v>
      </c>
      <c r="H35" s="29">
        <f t="shared" si="0"/>
        <v>37087.599999999999</v>
      </c>
      <c r="I35" s="48"/>
      <c r="J35" s="117" t="s">
        <v>55</v>
      </c>
      <c r="K35" s="108">
        <f>K31-(K32*K33)</f>
        <v>13767.6</v>
      </c>
      <c r="L35" s="187"/>
    </row>
    <row r="36" spans="1:16" ht="15.75" customHeight="1">
      <c r="A36" s="12" t="s">
        <v>206</v>
      </c>
      <c r="B36" s="12" t="s">
        <v>21</v>
      </c>
      <c r="C36" s="12" t="s">
        <v>199</v>
      </c>
      <c r="D36" s="12" t="s">
        <v>205</v>
      </c>
      <c r="E36" s="4">
        <v>7107.7</v>
      </c>
      <c r="F36" s="26"/>
      <c r="G36" s="34"/>
      <c r="H36" s="29">
        <f t="shared" si="0"/>
        <v>44195.299999999996</v>
      </c>
      <c r="I36" s="48"/>
      <c r="J36" s="118"/>
      <c r="K36" s="111"/>
      <c r="L36" s="119" t="s">
        <v>75</v>
      </c>
    </row>
    <row r="37" spans="1:16" ht="15.75" customHeight="1">
      <c r="A37" s="12" t="s">
        <v>206</v>
      </c>
      <c r="B37" s="12" t="s">
        <v>25</v>
      </c>
      <c r="C37" s="12"/>
      <c r="D37" s="12"/>
      <c r="E37" s="4"/>
      <c r="F37" s="26"/>
      <c r="G37" s="34">
        <v>6066</v>
      </c>
      <c r="H37" s="29">
        <f t="shared" si="0"/>
        <v>38129.299999999996</v>
      </c>
      <c r="I37" s="48"/>
      <c r="J37" s="120" t="s">
        <v>58</v>
      </c>
      <c r="K37" s="112">
        <f>L37*0.4%</f>
        <v>68.838000000000008</v>
      </c>
      <c r="L37" s="119">
        <v>17209.5</v>
      </c>
      <c r="P37" s="1"/>
    </row>
    <row r="38" spans="1:16" ht="15" customHeight="1">
      <c r="A38" s="12" t="s">
        <v>207</v>
      </c>
      <c r="B38" s="12" t="s">
        <v>21</v>
      </c>
      <c r="C38" s="12" t="s">
        <v>208</v>
      </c>
      <c r="D38" s="12" t="s">
        <v>197</v>
      </c>
      <c r="E38" s="4">
        <v>4008.4</v>
      </c>
      <c r="F38" s="26"/>
      <c r="G38" s="34"/>
      <c r="H38" s="29">
        <f t="shared" si="0"/>
        <v>42137.7</v>
      </c>
      <c r="I38" s="48"/>
      <c r="J38" s="121"/>
      <c r="K38" s="122"/>
      <c r="L38" s="123"/>
      <c r="P38" s="1"/>
    </row>
    <row r="39" spans="1:16">
      <c r="A39" s="12" t="s">
        <v>207</v>
      </c>
      <c r="B39" s="12" t="s">
        <v>25</v>
      </c>
      <c r="C39" s="12"/>
      <c r="D39" s="12"/>
      <c r="E39" s="4"/>
      <c r="F39" s="26"/>
      <c r="G39" s="34">
        <v>3996</v>
      </c>
      <c r="H39" s="29">
        <f t="shared" si="0"/>
        <v>38141.699999999997</v>
      </c>
      <c r="I39" s="48"/>
      <c r="K39" s="10"/>
    </row>
    <row r="40" spans="1:16">
      <c r="A40" s="12" t="s">
        <v>209</v>
      </c>
      <c r="B40" s="12" t="s">
        <v>21</v>
      </c>
      <c r="C40" s="12" t="s">
        <v>199</v>
      </c>
      <c r="D40" s="12" t="s">
        <v>214</v>
      </c>
      <c r="E40" s="4">
        <v>7107.7</v>
      </c>
      <c r="F40" s="26"/>
      <c r="G40" s="34"/>
      <c r="H40" s="29">
        <f t="shared" si="0"/>
        <v>45249.399999999994</v>
      </c>
      <c r="I40" s="48"/>
      <c r="K40" s="10"/>
    </row>
    <row r="41" spans="1:16" ht="15" customHeight="1">
      <c r="A41" s="12" t="s">
        <v>209</v>
      </c>
      <c r="B41" s="12" t="s">
        <v>25</v>
      </c>
      <c r="C41" s="12"/>
      <c r="D41" s="12"/>
      <c r="E41" s="4"/>
      <c r="F41" s="26"/>
      <c r="G41" s="34">
        <v>5136</v>
      </c>
      <c r="H41" s="29">
        <f t="shared" si="0"/>
        <v>40113.399999999994</v>
      </c>
      <c r="I41" s="48"/>
      <c r="J41" s="124" t="s">
        <v>56</v>
      </c>
      <c r="K41" s="125">
        <v>35947.9</v>
      </c>
      <c r="L41" s="188" t="s">
        <v>183</v>
      </c>
    </row>
    <row r="42" spans="1:16" ht="15.75" customHeight="1">
      <c r="A42" s="12" t="s">
        <v>210</v>
      </c>
      <c r="B42" s="12" t="s">
        <v>21</v>
      </c>
      <c r="C42" s="12" t="s">
        <v>199</v>
      </c>
      <c r="D42" s="12" t="s">
        <v>191</v>
      </c>
      <c r="E42" s="4">
        <v>7107.7</v>
      </c>
      <c r="F42" s="26"/>
      <c r="G42" s="34"/>
      <c r="H42" s="29">
        <f t="shared" si="0"/>
        <v>47221.099999999991</v>
      </c>
      <c r="I42" s="48"/>
      <c r="J42" s="126" t="s">
        <v>57</v>
      </c>
      <c r="K42" s="127">
        <f>K41/5</f>
        <v>7189.58</v>
      </c>
      <c r="L42" s="189"/>
    </row>
    <row r="43" spans="1:16" ht="15.75" customHeight="1">
      <c r="A43" s="12" t="s">
        <v>210</v>
      </c>
      <c r="B43" s="12" t="s">
        <v>33</v>
      </c>
      <c r="C43" s="12"/>
      <c r="D43" s="12"/>
      <c r="E43" s="4"/>
      <c r="F43" s="26">
        <v>142.16</v>
      </c>
      <c r="G43" s="34"/>
      <c r="H43" s="29">
        <f t="shared" si="0"/>
        <v>47363.259999999995</v>
      </c>
      <c r="I43" s="48"/>
      <c r="J43" s="126" t="s">
        <v>60</v>
      </c>
      <c r="K43" s="128">
        <v>4</v>
      </c>
      <c r="L43" s="189"/>
    </row>
    <row r="44" spans="1:16" ht="15.75" customHeight="1" thickBot="1">
      <c r="A44" s="12" t="s">
        <v>210</v>
      </c>
      <c r="B44" s="12" t="s">
        <v>21</v>
      </c>
      <c r="C44" s="12" t="s">
        <v>211</v>
      </c>
      <c r="D44" s="12" t="s">
        <v>197</v>
      </c>
      <c r="E44" s="4">
        <v>3441.9</v>
      </c>
      <c r="F44" s="26"/>
      <c r="G44" s="34"/>
      <c r="H44" s="29">
        <f t="shared" si="0"/>
        <v>50805.159999999996</v>
      </c>
      <c r="I44" s="48"/>
      <c r="J44" s="129"/>
      <c r="K44" s="67"/>
      <c r="L44" s="189"/>
    </row>
    <row r="45" spans="1:16" ht="15.75" customHeight="1" thickBot="1">
      <c r="A45" s="12" t="s">
        <v>210</v>
      </c>
      <c r="B45" s="12" t="s">
        <v>25</v>
      </c>
      <c r="C45" s="12"/>
      <c r="D45" s="12"/>
      <c r="E45" s="4"/>
      <c r="F45" s="26"/>
      <c r="G45" s="34">
        <v>5104</v>
      </c>
      <c r="H45" s="29">
        <f t="shared" si="0"/>
        <v>45701.159999999996</v>
      </c>
      <c r="I45" s="48"/>
      <c r="J45" s="130" t="s">
        <v>55</v>
      </c>
      <c r="K45" s="68">
        <f>K41-(K42*K43)</f>
        <v>7189.5800000000017</v>
      </c>
      <c r="L45" s="189"/>
    </row>
    <row r="46" spans="1:16" ht="15" customHeight="1">
      <c r="A46" s="12" t="s">
        <v>215</v>
      </c>
      <c r="B46" s="12" t="s">
        <v>21</v>
      </c>
      <c r="C46" s="12" t="s">
        <v>196</v>
      </c>
      <c r="D46" s="12" t="s">
        <v>214</v>
      </c>
      <c r="E46" s="26">
        <v>7189.6</v>
      </c>
      <c r="F46" s="26"/>
      <c r="G46" s="34"/>
      <c r="H46" s="29">
        <f t="shared" si="0"/>
        <v>52890.759999999995</v>
      </c>
      <c r="I46" s="48"/>
      <c r="J46" s="131"/>
      <c r="K46" s="132"/>
      <c r="L46" s="133" t="s">
        <v>75</v>
      </c>
    </row>
    <row r="47" spans="1:16" ht="15" customHeight="1">
      <c r="A47" s="12" t="s">
        <v>215</v>
      </c>
      <c r="B47" s="20" t="s">
        <v>25</v>
      </c>
      <c r="C47" s="12"/>
      <c r="D47" s="12"/>
      <c r="E47" s="26"/>
      <c r="F47" s="26"/>
      <c r="G47" s="34">
        <v>4884</v>
      </c>
      <c r="H47" s="29">
        <f t="shared" si="0"/>
        <v>48006.759999999995</v>
      </c>
      <c r="I47" s="48"/>
      <c r="J47" s="134" t="s">
        <v>58</v>
      </c>
      <c r="K47" s="135">
        <f>L47*0.4%</f>
        <v>143.79160000000002</v>
      </c>
      <c r="L47" s="133">
        <v>35947.9</v>
      </c>
    </row>
    <row r="48" spans="1:16" ht="15" customHeight="1">
      <c r="A48" s="12" t="s">
        <v>218</v>
      </c>
      <c r="B48" s="20" t="s">
        <v>25</v>
      </c>
      <c r="C48" s="12"/>
      <c r="D48" s="12"/>
      <c r="E48" s="40"/>
      <c r="F48" s="26"/>
      <c r="G48" s="34">
        <v>12066</v>
      </c>
      <c r="H48" s="29">
        <f t="shared" si="0"/>
        <v>35940.759999999995</v>
      </c>
      <c r="I48" s="48"/>
      <c r="J48" s="136"/>
      <c r="K48" s="137"/>
      <c r="L48" s="138"/>
    </row>
    <row r="49" spans="1:13" ht="15.75">
      <c r="A49" s="12" t="s">
        <v>219</v>
      </c>
      <c r="B49" s="12" t="s">
        <v>25</v>
      </c>
      <c r="C49" s="12"/>
      <c r="D49" s="12"/>
      <c r="E49" s="64"/>
      <c r="F49" s="26"/>
      <c r="G49" s="34">
        <v>8262</v>
      </c>
      <c r="H49" s="29">
        <f t="shared" si="0"/>
        <v>27678.759999999995</v>
      </c>
      <c r="I49" s="48"/>
    </row>
    <row r="50" spans="1:13" ht="15.75">
      <c r="A50" s="12"/>
      <c r="B50" s="12"/>
      <c r="C50" s="12"/>
      <c r="D50" s="12"/>
      <c r="E50" s="64"/>
      <c r="F50" s="26"/>
      <c r="G50" s="34"/>
      <c r="H50" s="29">
        <f t="shared" si="0"/>
        <v>27678.759999999995</v>
      </c>
      <c r="I50" s="48"/>
    </row>
    <row r="51" spans="1:13" ht="15.75">
      <c r="A51" s="12"/>
      <c r="B51" s="20"/>
      <c r="C51" s="12"/>
      <c r="D51" s="12"/>
      <c r="E51" s="64"/>
      <c r="F51" s="26"/>
      <c r="G51" s="34"/>
      <c r="H51" s="29">
        <f t="shared" si="0"/>
        <v>27678.759999999995</v>
      </c>
      <c r="I51" s="48"/>
    </row>
    <row r="52" spans="1:13" ht="15.75">
      <c r="A52" s="12"/>
      <c r="B52" s="12"/>
      <c r="C52" s="12"/>
      <c r="D52" s="12"/>
      <c r="E52" s="64"/>
      <c r="F52" s="42"/>
      <c r="G52" s="34"/>
      <c r="H52" s="29">
        <f t="shared" si="0"/>
        <v>27678.759999999995</v>
      </c>
      <c r="I52" s="48"/>
      <c r="J52" s="50"/>
      <c r="K52" s="50"/>
      <c r="L52" s="50"/>
      <c r="M52" s="50"/>
    </row>
    <row r="53" spans="1:13" ht="15.75">
      <c r="A53" s="12"/>
      <c r="B53" s="20"/>
      <c r="C53" s="12"/>
      <c r="D53" s="12"/>
      <c r="E53" s="64"/>
      <c r="F53" s="26"/>
      <c r="G53" s="34"/>
      <c r="H53" s="29">
        <f t="shared" si="0"/>
        <v>27678.759999999995</v>
      </c>
      <c r="I53" s="48"/>
      <c r="J53" s="50"/>
      <c r="K53" s="50"/>
      <c r="L53" s="50"/>
      <c r="M53" s="50"/>
    </row>
    <row r="54" spans="1:13" ht="15.75">
      <c r="A54" s="12"/>
      <c r="B54" s="20"/>
      <c r="C54" s="12"/>
      <c r="D54" s="12"/>
      <c r="E54" s="64"/>
      <c r="F54" s="26"/>
      <c r="G54" s="34"/>
      <c r="H54" s="29">
        <f t="shared" si="0"/>
        <v>27678.759999999995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27678.759999999995</v>
      </c>
      <c r="I55" s="48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27678.759999999995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27678.759999999995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27678.759999999995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27678.759999999995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27678.759999999995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27678.759999999995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27678.759999999995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27678.759999999995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27678.759999999995</v>
      </c>
      <c r="I64" s="48"/>
    </row>
    <row r="65" spans="1:10">
      <c r="A65" s="12"/>
      <c r="B65" s="20"/>
      <c r="C65" s="12"/>
      <c r="D65" s="12"/>
      <c r="E65" s="25"/>
      <c r="F65" s="26"/>
      <c r="G65" s="34"/>
      <c r="H65" s="29">
        <f t="shared" si="0"/>
        <v>27678.759999999995</v>
      </c>
      <c r="I65" s="48"/>
    </row>
    <row r="66" spans="1:10">
      <c r="A66" s="12"/>
      <c r="B66" s="20"/>
      <c r="C66" s="12"/>
      <c r="D66" s="12"/>
      <c r="E66" s="40"/>
      <c r="F66" s="26"/>
      <c r="G66" s="34"/>
      <c r="H66" s="29">
        <f t="shared" si="0"/>
        <v>27678.759999999995</v>
      </c>
      <c r="I66" s="48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0"/>
        <v>27678.759999999995</v>
      </c>
      <c r="I67" s="48"/>
    </row>
    <row r="68" spans="1:10">
      <c r="A68" s="12"/>
      <c r="B68" s="20"/>
      <c r="C68" s="12"/>
      <c r="D68" s="12"/>
      <c r="E68" s="40"/>
      <c r="F68" s="26"/>
      <c r="G68" s="34"/>
      <c r="H68" s="29">
        <f t="shared" ref="H68:H71" si="1">H67+E68+F68-G68</f>
        <v>27678.759999999995</v>
      </c>
      <c r="I68" s="48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27678.759999999995</v>
      </c>
      <c r="I69" s="48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27678.759999999995</v>
      </c>
      <c r="I70" s="48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27678.759999999995</v>
      </c>
      <c r="I71" s="48"/>
    </row>
    <row r="72" spans="1:10" ht="15.75" thickBot="1">
      <c r="A72" s="5" t="s">
        <v>88</v>
      </c>
      <c r="B72" s="21"/>
      <c r="C72" s="8"/>
      <c r="D72" s="11"/>
      <c r="E72" s="24">
        <f>SUM(E3:E71)</f>
        <v>121431.42</v>
      </c>
      <c r="F72" s="39">
        <f>SUM(F3:F71)</f>
        <v>496.93999999999994</v>
      </c>
      <c r="G72" s="35">
        <f>SUM(G3:G71)</f>
        <v>134798</v>
      </c>
      <c r="H72" s="30"/>
      <c r="I72" s="49"/>
    </row>
    <row r="73" spans="1:10">
      <c r="A73" s="2"/>
      <c r="B73" s="13"/>
      <c r="C73" s="9"/>
      <c r="D73" s="2"/>
      <c r="E73" s="2"/>
      <c r="F73" s="36"/>
      <c r="G73" s="51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50"/>
      <c r="I76" s="50"/>
    </row>
    <row r="77" spans="1:10">
      <c r="H77" s="50"/>
      <c r="I77" s="50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paperSize="9" scale="52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0C0"/>
  </sheetPr>
  <dimension ref="A1:P95"/>
  <sheetViews>
    <sheetView zoomScaleNormal="100" workbookViewId="0">
      <selection activeCell="K12" sqref="K12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4" ht="19.5" thickBot="1">
      <c r="A1" s="181" t="s">
        <v>217</v>
      </c>
      <c r="B1" s="181"/>
      <c r="C1" s="181"/>
      <c r="D1" s="181"/>
      <c r="E1" s="181"/>
      <c r="F1" s="181"/>
      <c r="G1" s="181"/>
      <c r="H1" s="181"/>
      <c r="I1" s="46"/>
    </row>
    <row r="2" spans="1:14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4" ht="15.75" thickBot="1">
      <c r="A3" s="18" t="s">
        <v>220</v>
      </c>
      <c r="B3" s="19" t="s">
        <v>8</v>
      </c>
      <c r="C3" s="22"/>
      <c r="D3" s="3"/>
      <c r="E3" s="2"/>
      <c r="F3" s="55"/>
      <c r="G3" s="51"/>
      <c r="H3" s="139">
        <f>'October 2021'!H71</f>
        <v>27678.759999999995</v>
      </c>
      <c r="I3" s="48"/>
      <c r="J3" s="84" t="s">
        <v>9</v>
      </c>
      <c r="K3" s="85">
        <f>'[1]October 2021'!$N$15</f>
        <v>43368.410400000008</v>
      </c>
    </row>
    <row r="4" spans="1:14" ht="15.75" thickBot="1">
      <c r="A4" s="18" t="s">
        <v>220</v>
      </c>
      <c r="B4" s="20" t="s">
        <v>221</v>
      </c>
      <c r="C4" s="12" t="s">
        <v>222</v>
      </c>
      <c r="D4" s="12" t="s">
        <v>197</v>
      </c>
      <c r="E4" s="4">
        <v>7270.7</v>
      </c>
      <c r="F4" s="55"/>
      <c r="G4" s="34"/>
      <c r="H4" s="29">
        <f t="shared" ref="H4:H54" si="0">H3+E4+F4-G4</f>
        <v>34949.459999999992</v>
      </c>
      <c r="I4" s="48"/>
      <c r="J4" s="86" t="s">
        <v>10</v>
      </c>
      <c r="K4" s="87">
        <f>H71+K15+K35+K25+K45</f>
        <v>84400.49</v>
      </c>
    </row>
    <row r="5" spans="1:14" ht="15.75" thickBot="1">
      <c r="A5" s="63" t="s">
        <v>220</v>
      </c>
      <c r="B5" s="20" t="s">
        <v>25</v>
      </c>
      <c r="C5" s="12"/>
      <c r="D5" s="12"/>
      <c r="E5" s="4"/>
      <c r="F5" s="55"/>
      <c r="G5" s="34">
        <v>2808</v>
      </c>
      <c r="H5" s="29">
        <f t="shared" si="0"/>
        <v>32141.459999999992</v>
      </c>
      <c r="I5" s="48"/>
      <c r="J5" s="88"/>
      <c r="K5" s="89"/>
      <c r="M5">
        <f>7270.7*3</f>
        <v>21812.1</v>
      </c>
    </row>
    <row r="6" spans="1:14" ht="15.75" customHeight="1" thickBot="1">
      <c r="A6" s="63" t="s">
        <v>223</v>
      </c>
      <c r="B6" s="12" t="s">
        <v>221</v>
      </c>
      <c r="C6" s="12" t="s">
        <v>222</v>
      </c>
      <c r="D6" s="12" t="s">
        <v>201</v>
      </c>
      <c r="E6" s="4">
        <v>7270.7</v>
      </c>
      <c r="F6" s="26"/>
      <c r="G6" s="34"/>
      <c r="H6" s="29">
        <f t="shared" si="0"/>
        <v>39412.159999999989</v>
      </c>
      <c r="I6" s="48"/>
      <c r="J6" s="198" t="s">
        <v>11</v>
      </c>
      <c r="K6" s="200">
        <f>K3-K4</f>
        <v>-41032.079599999997</v>
      </c>
    </row>
    <row r="7" spans="1:14" ht="15.75" customHeight="1" thickBot="1">
      <c r="A7" s="63" t="s">
        <v>223</v>
      </c>
      <c r="B7" s="12" t="s">
        <v>25</v>
      </c>
      <c r="C7" s="12"/>
      <c r="D7" s="12"/>
      <c r="E7" s="26"/>
      <c r="F7" s="26"/>
      <c r="G7" s="34">
        <v>2520</v>
      </c>
      <c r="H7" s="29">
        <f t="shared" si="0"/>
        <v>36892.159999999989</v>
      </c>
      <c r="I7" s="48"/>
      <c r="J7" s="199"/>
      <c r="K7" s="201"/>
    </row>
    <row r="8" spans="1:14" ht="15.75" thickBot="1">
      <c r="A8" s="63" t="s">
        <v>224</v>
      </c>
      <c r="B8" s="20" t="s">
        <v>221</v>
      </c>
      <c r="C8" s="12" t="s">
        <v>208</v>
      </c>
      <c r="D8" s="12" t="s">
        <v>201</v>
      </c>
      <c r="E8" s="26">
        <v>4008.4</v>
      </c>
      <c r="F8" s="26"/>
      <c r="G8" s="34"/>
      <c r="H8" s="29">
        <f t="shared" si="0"/>
        <v>40900.55999999999</v>
      </c>
      <c r="I8" s="48"/>
    </row>
    <row r="9" spans="1:14">
      <c r="A9" s="63" t="s">
        <v>224</v>
      </c>
      <c r="B9" s="12" t="s">
        <v>25</v>
      </c>
      <c r="C9" s="12"/>
      <c r="D9" s="12"/>
      <c r="E9" s="4"/>
      <c r="F9" s="26"/>
      <c r="G9" s="34">
        <v>2728</v>
      </c>
      <c r="H9" s="29">
        <f t="shared" si="0"/>
        <v>38172.55999999999</v>
      </c>
      <c r="I9" s="48"/>
    </row>
    <row r="10" spans="1:14">
      <c r="A10" s="12" t="s">
        <v>226</v>
      </c>
      <c r="B10" s="20" t="s">
        <v>221</v>
      </c>
      <c r="C10" s="12" t="s">
        <v>222</v>
      </c>
      <c r="D10" s="12" t="s">
        <v>205</v>
      </c>
      <c r="E10" s="4">
        <v>7270.7</v>
      </c>
      <c r="F10" s="26"/>
      <c r="G10" s="34"/>
      <c r="H10" s="29">
        <f t="shared" si="0"/>
        <v>45443.259999999987</v>
      </c>
      <c r="I10" s="48"/>
      <c r="N10" s="180" t="s">
        <v>233</v>
      </c>
    </row>
    <row r="11" spans="1:14" ht="15" customHeight="1">
      <c r="A11" s="12" t="s">
        <v>226</v>
      </c>
      <c r="B11" s="20" t="s">
        <v>25</v>
      </c>
      <c r="C11" s="12"/>
      <c r="D11" s="12"/>
      <c r="E11" s="26"/>
      <c r="F11" s="26"/>
      <c r="G11" s="34">
        <v>3720</v>
      </c>
      <c r="H11" s="29">
        <f t="shared" si="0"/>
        <v>41723.259999999987</v>
      </c>
      <c r="I11" s="48"/>
      <c r="J11" s="70" t="s">
        <v>56</v>
      </c>
      <c r="K11" s="71">
        <v>36084.5</v>
      </c>
      <c r="L11" s="194" t="s">
        <v>260</v>
      </c>
      <c r="N11" s="180" t="s">
        <v>234</v>
      </c>
    </row>
    <row r="12" spans="1:14" ht="15" customHeight="1">
      <c r="A12" s="12" t="s">
        <v>227</v>
      </c>
      <c r="B12" s="20" t="s">
        <v>221</v>
      </c>
      <c r="C12" s="12" t="s">
        <v>211</v>
      </c>
      <c r="D12" s="12" t="s">
        <v>201</v>
      </c>
      <c r="E12" s="4">
        <v>3441.9</v>
      </c>
      <c r="F12" s="55"/>
      <c r="G12" s="34"/>
      <c r="H12" s="29">
        <f t="shared" si="0"/>
        <v>45165.159999999989</v>
      </c>
      <c r="I12" s="48"/>
      <c r="J12" s="72" t="s">
        <v>57</v>
      </c>
      <c r="K12" s="73">
        <f>K11/5</f>
        <v>7216.9</v>
      </c>
      <c r="L12" s="195"/>
      <c r="N12" s="180"/>
    </row>
    <row r="13" spans="1:14" ht="15" customHeight="1">
      <c r="A13" s="12" t="s">
        <v>227</v>
      </c>
      <c r="B13" s="20" t="s">
        <v>25</v>
      </c>
      <c r="C13" s="12"/>
      <c r="D13" s="12"/>
      <c r="E13" s="26"/>
      <c r="F13" s="26"/>
      <c r="G13" s="34">
        <v>3240</v>
      </c>
      <c r="H13" s="29">
        <f t="shared" si="0"/>
        <v>41925.159999999989</v>
      </c>
      <c r="I13" s="48"/>
      <c r="J13" s="72" t="s">
        <v>60</v>
      </c>
      <c r="K13" s="74">
        <v>1</v>
      </c>
      <c r="L13" s="195"/>
      <c r="N13" s="180"/>
    </row>
    <row r="14" spans="1:14" ht="15.75" customHeight="1" thickBot="1">
      <c r="A14" s="12" t="s">
        <v>228</v>
      </c>
      <c r="B14" s="20" t="s">
        <v>221</v>
      </c>
      <c r="C14" s="12" t="s">
        <v>196</v>
      </c>
      <c r="D14" s="12" t="s">
        <v>191</v>
      </c>
      <c r="E14" s="26">
        <v>7189.6</v>
      </c>
      <c r="F14" s="26"/>
      <c r="G14" s="34"/>
      <c r="H14" s="29">
        <f t="shared" si="0"/>
        <v>49114.759999999987</v>
      </c>
      <c r="I14" s="48"/>
      <c r="J14" s="75"/>
      <c r="K14" s="65"/>
      <c r="L14" s="195"/>
      <c r="N14" s="180"/>
    </row>
    <row r="15" spans="1:14" ht="15.75" customHeight="1" thickBot="1">
      <c r="A15" s="12" t="s">
        <v>228</v>
      </c>
      <c r="B15" s="20" t="s">
        <v>33</v>
      </c>
      <c r="C15" s="12" t="s">
        <v>196</v>
      </c>
      <c r="D15" s="12"/>
      <c r="E15" s="26"/>
      <c r="F15" s="26">
        <v>143.79</v>
      </c>
      <c r="G15" s="34"/>
      <c r="H15" s="29">
        <f t="shared" si="0"/>
        <v>49258.549999999988</v>
      </c>
      <c r="I15" s="48"/>
      <c r="J15" s="76" t="s">
        <v>55</v>
      </c>
      <c r="K15" s="66">
        <f>K11-(K12*K13)</f>
        <v>28867.599999999999</v>
      </c>
      <c r="L15" s="195"/>
      <c r="N15" s="180"/>
    </row>
    <row r="16" spans="1:14" ht="15" customHeight="1">
      <c r="A16" s="12" t="s">
        <v>228</v>
      </c>
      <c r="B16" s="20" t="s">
        <v>25</v>
      </c>
      <c r="C16" s="12"/>
      <c r="D16" s="12"/>
      <c r="E16" s="26"/>
      <c r="F16" s="26"/>
      <c r="G16" s="34">
        <v>1776</v>
      </c>
      <c r="H16" s="29">
        <f t="shared" si="0"/>
        <v>47482.549999999988</v>
      </c>
      <c r="I16" s="48"/>
      <c r="J16" s="77"/>
      <c r="K16" s="78"/>
      <c r="L16" s="69" t="s">
        <v>75</v>
      </c>
      <c r="N16" s="180"/>
    </row>
    <row r="17" spans="1:12" ht="15" customHeight="1">
      <c r="A17" s="12" t="s">
        <v>229</v>
      </c>
      <c r="B17" s="20" t="s">
        <v>25</v>
      </c>
      <c r="C17" s="12"/>
      <c r="D17" s="12"/>
      <c r="E17" s="4"/>
      <c r="F17" s="26"/>
      <c r="G17" s="34">
        <v>7708</v>
      </c>
      <c r="H17" s="29">
        <f t="shared" si="0"/>
        <v>39774.549999999988</v>
      </c>
      <c r="I17" s="48"/>
      <c r="J17" s="79" t="s">
        <v>58</v>
      </c>
      <c r="K17" s="80">
        <f>L17*0.4%</f>
        <v>144.33799999999999</v>
      </c>
      <c r="L17" s="69">
        <v>36084.5</v>
      </c>
    </row>
    <row r="18" spans="1:12" ht="15" customHeight="1">
      <c r="A18" s="12" t="s">
        <v>230</v>
      </c>
      <c r="B18" s="20" t="s">
        <v>221</v>
      </c>
      <c r="C18" s="12" t="s">
        <v>222</v>
      </c>
      <c r="D18" s="12" t="s">
        <v>231</v>
      </c>
      <c r="E18" s="26">
        <v>7270.7</v>
      </c>
      <c r="F18" s="26"/>
      <c r="G18" s="34"/>
      <c r="H18" s="29">
        <f t="shared" si="0"/>
        <v>47045.249999999985</v>
      </c>
      <c r="I18" s="48"/>
      <c r="J18" s="81"/>
      <c r="K18" s="82"/>
      <c r="L18" s="83"/>
    </row>
    <row r="19" spans="1:12" ht="15" customHeight="1">
      <c r="A19" s="12" t="s">
        <v>230</v>
      </c>
      <c r="B19" s="20" t="s">
        <v>25</v>
      </c>
      <c r="C19" s="12"/>
      <c r="D19" s="12"/>
      <c r="E19" s="26"/>
      <c r="F19" s="26"/>
      <c r="G19" s="34">
        <v>4088</v>
      </c>
      <c r="H19" s="29">
        <f t="shared" si="0"/>
        <v>42957.249999999985</v>
      </c>
      <c r="I19" s="48"/>
    </row>
    <row r="20" spans="1:12" ht="15" customHeight="1">
      <c r="A20" s="12" t="s">
        <v>232</v>
      </c>
      <c r="B20" s="20" t="s">
        <v>25</v>
      </c>
      <c r="C20" s="12"/>
      <c r="D20" s="12"/>
      <c r="E20" s="26"/>
      <c r="F20" s="26"/>
      <c r="G20" s="34">
        <v>8474</v>
      </c>
      <c r="H20" s="29">
        <f t="shared" si="0"/>
        <v>34483.249999999985</v>
      </c>
      <c r="I20" s="48"/>
    </row>
    <row r="21" spans="1:12" ht="15" customHeight="1">
      <c r="A21" s="12" t="s">
        <v>235</v>
      </c>
      <c r="B21" s="20" t="s">
        <v>221</v>
      </c>
      <c r="C21" s="12" t="s">
        <v>236</v>
      </c>
      <c r="D21" s="12" t="s">
        <v>237</v>
      </c>
      <c r="E21" s="26">
        <v>7254.5</v>
      </c>
      <c r="F21" s="26"/>
      <c r="G21" s="34"/>
      <c r="H21" s="29">
        <f t="shared" si="0"/>
        <v>41737.749999999985</v>
      </c>
      <c r="I21" s="48"/>
      <c r="J21" s="90" t="s">
        <v>56</v>
      </c>
      <c r="K21" s="91">
        <v>20042.099999999999</v>
      </c>
      <c r="L21" s="196" t="s">
        <v>175</v>
      </c>
    </row>
    <row r="22" spans="1:12" ht="15" customHeight="1">
      <c r="A22" s="12" t="s">
        <v>235</v>
      </c>
      <c r="B22" s="20" t="s">
        <v>221</v>
      </c>
      <c r="C22" s="12" t="s">
        <v>222</v>
      </c>
      <c r="D22" s="12" t="s">
        <v>239</v>
      </c>
      <c r="E22" s="26">
        <v>7270.7</v>
      </c>
      <c r="F22" s="26"/>
      <c r="G22" s="34"/>
      <c r="H22" s="29">
        <f t="shared" si="0"/>
        <v>49008.449999999983</v>
      </c>
      <c r="I22" s="48"/>
      <c r="J22" s="92" t="s">
        <v>57</v>
      </c>
      <c r="K22" s="93">
        <f>K21/5</f>
        <v>4008.4199999999996</v>
      </c>
      <c r="L22" s="197"/>
    </row>
    <row r="23" spans="1:12" ht="15" customHeight="1">
      <c r="A23" s="12" t="s">
        <v>235</v>
      </c>
      <c r="B23" s="20" t="s">
        <v>33</v>
      </c>
      <c r="C23" s="12" t="s">
        <v>222</v>
      </c>
      <c r="D23" s="12"/>
      <c r="E23" s="26"/>
      <c r="F23" s="26">
        <v>145.41</v>
      </c>
      <c r="G23" s="34"/>
      <c r="H23" s="29">
        <f t="shared" si="0"/>
        <v>49153.859999999986</v>
      </c>
      <c r="I23" s="48"/>
      <c r="J23" s="92" t="s">
        <v>60</v>
      </c>
      <c r="K23" s="94">
        <v>3</v>
      </c>
      <c r="L23" s="197"/>
    </row>
    <row r="24" spans="1:12" ht="15.75" customHeight="1" thickBot="1">
      <c r="A24" s="12" t="s">
        <v>235</v>
      </c>
      <c r="B24" s="20" t="s">
        <v>25</v>
      </c>
      <c r="C24" s="12"/>
      <c r="D24" s="12"/>
      <c r="E24" s="26"/>
      <c r="F24" s="26"/>
      <c r="G24" s="34">
        <v>3186</v>
      </c>
      <c r="H24" s="29">
        <f t="shared" si="0"/>
        <v>45967.859999999986</v>
      </c>
      <c r="I24" s="48"/>
      <c r="J24" s="95"/>
      <c r="K24" s="96"/>
      <c r="L24" s="197"/>
    </row>
    <row r="25" spans="1:12" ht="15.75" customHeight="1" thickBot="1">
      <c r="A25" s="12" t="s">
        <v>240</v>
      </c>
      <c r="B25" s="20" t="s">
        <v>221</v>
      </c>
      <c r="C25" s="12" t="s">
        <v>211</v>
      </c>
      <c r="D25" s="12" t="s">
        <v>244</v>
      </c>
      <c r="E25" s="26">
        <v>3441.9</v>
      </c>
      <c r="F25" s="26"/>
      <c r="G25" s="34"/>
      <c r="H25" s="29">
        <f t="shared" si="0"/>
        <v>49409.759999999987</v>
      </c>
      <c r="I25" s="48"/>
      <c r="J25" s="97" t="s">
        <v>55</v>
      </c>
      <c r="K25" s="98">
        <f>K21-(K22*K23)</f>
        <v>8016.84</v>
      </c>
      <c r="L25" s="197"/>
    </row>
    <row r="26" spans="1:12" ht="15" customHeight="1">
      <c r="A26" s="12" t="s">
        <v>240</v>
      </c>
      <c r="B26" s="20" t="s">
        <v>25</v>
      </c>
      <c r="C26" s="12"/>
      <c r="D26" s="12"/>
      <c r="E26" s="26"/>
      <c r="F26" s="26"/>
      <c r="G26" s="34">
        <v>12988</v>
      </c>
      <c r="H26" s="29">
        <f t="shared" si="0"/>
        <v>36421.759999999987</v>
      </c>
      <c r="I26" s="48"/>
      <c r="J26" s="99"/>
      <c r="K26" s="100"/>
      <c r="L26" s="101" t="s">
        <v>75</v>
      </c>
    </row>
    <row r="27" spans="1:12" ht="15" customHeight="1">
      <c r="A27" s="12" t="s">
        <v>241</v>
      </c>
      <c r="B27" s="20" t="s">
        <v>221</v>
      </c>
      <c r="C27" s="12" t="s">
        <v>236</v>
      </c>
      <c r="D27" s="12" t="s">
        <v>242</v>
      </c>
      <c r="E27" s="26">
        <v>7254.5</v>
      </c>
      <c r="F27" s="26"/>
      <c r="G27" s="34"/>
      <c r="H27" s="29">
        <f t="shared" si="0"/>
        <v>43676.259999999987</v>
      </c>
      <c r="I27" s="48"/>
      <c r="J27" s="102" t="s">
        <v>58</v>
      </c>
      <c r="K27" s="103">
        <f>L27*0.4%</f>
        <v>80.168399999999991</v>
      </c>
      <c r="L27" s="101">
        <v>20042.099999999999</v>
      </c>
    </row>
    <row r="28" spans="1:12" ht="15" customHeight="1">
      <c r="A28" s="12" t="s">
        <v>243</v>
      </c>
      <c r="B28" s="20" t="s">
        <v>221</v>
      </c>
      <c r="C28" s="12" t="s">
        <v>236</v>
      </c>
      <c r="D28" s="12" t="s">
        <v>244</v>
      </c>
      <c r="E28" s="4">
        <v>7254.5</v>
      </c>
      <c r="F28" s="26"/>
      <c r="G28" s="34"/>
      <c r="H28" s="29">
        <f t="shared" si="0"/>
        <v>50930.759999999987</v>
      </c>
      <c r="I28" s="48"/>
      <c r="J28" s="104"/>
      <c r="K28" s="105"/>
      <c r="L28" s="106"/>
    </row>
    <row r="29" spans="1:12">
      <c r="A29" s="12" t="s">
        <v>245</v>
      </c>
      <c r="B29" s="20" t="s">
        <v>25</v>
      </c>
      <c r="C29" s="12"/>
      <c r="D29" s="12"/>
      <c r="E29" s="26"/>
      <c r="F29" s="26"/>
      <c r="G29" s="34">
        <v>3744</v>
      </c>
      <c r="H29" s="29">
        <f t="shared" si="0"/>
        <v>47186.759999999987</v>
      </c>
      <c r="I29" s="48"/>
    </row>
    <row r="30" spans="1:12">
      <c r="A30" s="12" t="s">
        <v>246</v>
      </c>
      <c r="B30" s="12" t="s">
        <v>25</v>
      </c>
      <c r="C30" s="12"/>
      <c r="D30" s="12"/>
      <c r="E30" s="4"/>
      <c r="F30" s="26"/>
      <c r="G30" s="34">
        <v>9300</v>
      </c>
      <c r="H30" s="29">
        <f t="shared" si="0"/>
        <v>37886.759999999987</v>
      </c>
      <c r="I30" s="48"/>
    </row>
    <row r="31" spans="1:12" ht="15" customHeight="1">
      <c r="A31" s="12" t="s">
        <v>247</v>
      </c>
      <c r="B31" s="12" t="s">
        <v>221</v>
      </c>
      <c r="C31" s="12" t="s">
        <v>248</v>
      </c>
      <c r="D31" s="12" t="s">
        <v>197</v>
      </c>
      <c r="E31" s="26">
        <v>7630.3</v>
      </c>
      <c r="F31" s="26"/>
      <c r="G31" s="34"/>
      <c r="H31" s="29">
        <f t="shared" si="0"/>
        <v>45517.05999999999</v>
      </c>
      <c r="I31" s="48"/>
      <c r="J31" s="113" t="s">
        <v>56</v>
      </c>
      <c r="K31" s="114">
        <v>17209.5</v>
      </c>
      <c r="L31" s="186" t="s">
        <v>225</v>
      </c>
    </row>
    <row r="32" spans="1:12" ht="15" customHeight="1">
      <c r="A32" s="12" t="s">
        <v>247</v>
      </c>
      <c r="B32" s="12" t="s">
        <v>25</v>
      </c>
      <c r="C32" s="12"/>
      <c r="D32" s="12"/>
      <c r="E32" s="26"/>
      <c r="F32" s="26"/>
      <c r="G32" s="34">
        <v>4836</v>
      </c>
      <c r="H32" s="29">
        <f t="shared" si="0"/>
        <v>40681.05999999999</v>
      </c>
      <c r="I32" s="48"/>
      <c r="J32" s="115" t="s">
        <v>57</v>
      </c>
      <c r="K32" s="109">
        <f>K31/5</f>
        <v>3441.9</v>
      </c>
      <c r="L32" s="187"/>
    </row>
    <row r="33" spans="1:16" ht="15" customHeight="1">
      <c r="A33" s="12" t="s">
        <v>249</v>
      </c>
      <c r="B33" s="12" t="s">
        <v>221</v>
      </c>
      <c r="C33" s="12" t="s">
        <v>236</v>
      </c>
      <c r="D33" s="12" t="s">
        <v>214</v>
      </c>
      <c r="E33" s="4">
        <v>7254.5</v>
      </c>
      <c r="F33" s="26"/>
      <c r="G33" s="34"/>
      <c r="H33" s="29">
        <f t="shared" si="0"/>
        <v>47935.55999999999</v>
      </c>
      <c r="I33" s="48"/>
      <c r="J33" s="115" t="s">
        <v>60</v>
      </c>
      <c r="K33" s="110">
        <v>3</v>
      </c>
      <c r="L33" s="187"/>
    </row>
    <row r="34" spans="1:16" ht="15.75" customHeight="1" thickBot="1">
      <c r="A34" s="12" t="s">
        <v>249</v>
      </c>
      <c r="B34" s="12" t="s">
        <v>25</v>
      </c>
      <c r="C34" s="12"/>
      <c r="D34" s="12"/>
      <c r="E34" s="4"/>
      <c r="F34" s="26"/>
      <c r="G34" s="34">
        <v>5088</v>
      </c>
      <c r="H34" s="29">
        <f t="shared" si="0"/>
        <v>42847.55999999999</v>
      </c>
      <c r="I34" s="48"/>
      <c r="J34" s="116"/>
      <c r="K34" s="107"/>
      <c r="L34" s="187"/>
    </row>
    <row r="35" spans="1:16" ht="15.75" customHeight="1" thickBot="1">
      <c r="A35" s="12" t="s">
        <v>250</v>
      </c>
      <c r="B35" s="12" t="s">
        <v>221</v>
      </c>
      <c r="C35" s="12" t="s">
        <v>248</v>
      </c>
      <c r="D35" s="12" t="s">
        <v>242</v>
      </c>
      <c r="E35" s="4">
        <v>7630.3</v>
      </c>
      <c r="F35" s="26"/>
      <c r="G35" s="34"/>
      <c r="H35" s="29">
        <f t="shared" si="0"/>
        <v>50477.859999999993</v>
      </c>
      <c r="I35" s="48"/>
      <c r="J35" s="117" t="s">
        <v>55</v>
      </c>
      <c r="K35" s="108">
        <f>K31-(K32*K33)</f>
        <v>6883.7999999999993</v>
      </c>
      <c r="L35" s="187"/>
    </row>
    <row r="36" spans="1:16" ht="15.75" customHeight="1">
      <c r="A36" s="12" t="s">
        <v>250</v>
      </c>
      <c r="B36" s="12" t="s">
        <v>25</v>
      </c>
      <c r="C36" s="12"/>
      <c r="D36" s="12"/>
      <c r="E36" s="4"/>
      <c r="F36" s="26"/>
      <c r="G36" s="34">
        <v>7194</v>
      </c>
      <c r="H36" s="29">
        <f t="shared" si="0"/>
        <v>43283.859999999993</v>
      </c>
      <c r="I36" s="48"/>
      <c r="J36" s="118"/>
      <c r="K36" s="111"/>
      <c r="L36" s="119" t="s">
        <v>75</v>
      </c>
    </row>
    <row r="37" spans="1:16" ht="15.75" customHeight="1">
      <c r="A37" s="12" t="s">
        <v>251</v>
      </c>
      <c r="B37" s="12" t="s">
        <v>221</v>
      </c>
      <c r="C37" s="12" t="s">
        <v>236</v>
      </c>
      <c r="D37" s="12" t="s">
        <v>191</v>
      </c>
      <c r="E37" s="4">
        <v>7254.5</v>
      </c>
      <c r="F37" s="26"/>
      <c r="G37" s="34"/>
      <c r="H37" s="29">
        <f t="shared" si="0"/>
        <v>50538.359999999993</v>
      </c>
      <c r="I37" s="48"/>
      <c r="J37" s="120" t="s">
        <v>58</v>
      </c>
      <c r="K37" s="112">
        <f>L37*0.4%</f>
        <v>68.838000000000008</v>
      </c>
      <c r="L37" s="119">
        <v>17209.5</v>
      </c>
      <c r="P37" s="1"/>
    </row>
    <row r="38" spans="1:16" ht="15" customHeight="1">
      <c r="A38" s="12" t="s">
        <v>251</v>
      </c>
      <c r="B38" s="12" t="s">
        <v>33</v>
      </c>
      <c r="C38" s="12" t="s">
        <v>236</v>
      </c>
      <c r="D38" s="12"/>
      <c r="E38" s="4"/>
      <c r="F38" s="26">
        <v>145.08000000000001</v>
      </c>
      <c r="G38" s="34"/>
      <c r="H38" s="29">
        <f t="shared" si="0"/>
        <v>50683.439999999995</v>
      </c>
      <c r="I38" s="48"/>
      <c r="J38" s="121"/>
      <c r="K38" s="122"/>
      <c r="L38" s="123"/>
      <c r="P38" s="1"/>
    </row>
    <row r="39" spans="1:16">
      <c r="A39" s="12" t="s">
        <v>251</v>
      </c>
      <c r="B39" s="12" t="s">
        <v>25</v>
      </c>
      <c r="C39" s="12"/>
      <c r="D39" s="12"/>
      <c r="E39" s="4"/>
      <c r="F39" s="26"/>
      <c r="G39" s="34">
        <v>7068</v>
      </c>
      <c r="H39" s="29">
        <f t="shared" si="0"/>
        <v>43615.439999999995</v>
      </c>
      <c r="I39" s="48"/>
      <c r="K39" s="10"/>
    </row>
    <row r="40" spans="1:16">
      <c r="A40" s="12" t="s">
        <v>252</v>
      </c>
      <c r="B40" s="12" t="s">
        <v>221</v>
      </c>
      <c r="C40" s="12" t="s">
        <v>248</v>
      </c>
      <c r="D40" s="12" t="s">
        <v>205</v>
      </c>
      <c r="E40" s="4">
        <v>7630.3</v>
      </c>
      <c r="F40" s="26"/>
      <c r="G40" s="34"/>
      <c r="H40" s="29">
        <f t="shared" si="0"/>
        <v>51245.74</v>
      </c>
      <c r="I40" s="48"/>
      <c r="K40" s="10"/>
    </row>
    <row r="41" spans="1:16" ht="15" customHeight="1">
      <c r="A41" s="12" t="s">
        <v>252</v>
      </c>
      <c r="B41" s="12" t="s">
        <v>25</v>
      </c>
      <c r="C41" s="12"/>
      <c r="D41" s="12"/>
      <c r="E41" s="4"/>
      <c r="F41" s="26"/>
      <c r="G41" s="34">
        <v>4494</v>
      </c>
      <c r="H41" s="29">
        <f t="shared" si="0"/>
        <v>46751.74</v>
      </c>
      <c r="I41" s="48"/>
      <c r="J41" s="124" t="s">
        <v>56</v>
      </c>
      <c r="K41" s="125">
        <v>36272.300000000003</v>
      </c>
      <c r="L41" s="188" t="s">
        <v>238</v>
      </c>
    </row>
    <row r="42" spans="1:16" ht="15.75" customHeight="1">
      <c r="A42" s="12" t="s">
        <v>253</v>
      </c>
      <c r="B42" s="12" t="s">
        <v>221</v>
      </c>
      <c r="C42" s="12" t="s">
        <v>208</v>
      </c>
      <c r="D42" s="12" t="s">
        <v>205</v>
      </c>
      <c r="E42" s="4">
        <v>4008.4</v>
      </c>
      <c r="F42" s="26"/>
      <c r="G42" s="34"/>
      <c r="H42" s="29">
        <f t="shared" si="0"/>
        <v>50760.14</v>
      </c>
      <c r="I42" s="48"/>
      <c r="J42" s="126" t="s">
        <v>57</v>
      </c>
      <c r="K42" s="127">
        <f>K41/5</f>
        <v>7254.4600000000009</v>
      </c>
      <c r="L42" s="189"/>
    </row>
    <row r="43" spans="1:16" ht="15.75" customHeight="1">
      <c r="A43" s="12" t="s">
        <v>253</v>
      </c>
      <c r="B43" s="12" t="s">
        <v>25</v>
      </c>
      <c r="C43" s="12"/>
      <c r="D43" s="12"/>
      <c r="E43" s="4"/>
      <c r="F43" s="26"/>
      <c r="G43" s="34">
        <v>2892</v>
      </c>
      <c r="H43" s="29">
        <f t="shared" si="0"/>
        <v>47868.14</v>
      </c>
      <c r="I43" s="48"/>
      <c r="J43" s="126" t="s">
        <v>60</v>
      </c>
      <c r="K43" s="128">
        <v>5</v>
      </c>
      <c r="L43" s="189"/>
    </row>
    <row r="44" spans="1:16" ht="15.75" customHeight="1" thickBot="1">
      <c r="A44" s="12" t="s">
        <v>254</v>
      </c>
      <c r="B44" s="12" t="s">
        <v>25</v>
      </c>
      <c r="C44" s="12"/>
      <c r="D44" s="12"/>
      <c r="E44" s="4"/>
      <c r="F44" s="26"/>
      <c r="G44" s="34">
        <v>5416</v>
      </c>
      <c r="H44" s="29">
        <f t="shared" si="0"/>
        <v>42452.14</v>
      </c>
      <c r="I44" s="48"/>
      <c r="J44" s="129"/>
      <c r="K44" s="67"/>
      <c r="L44" s="189"/>
    </row>
    <row r="45" spans="1:16" ht="15.75" customHeight="1" thickBot="1">
      <c r="A45" s="12" t="s">
        <v>255</v>
      </c>
      <c r="B45" s="12" t="s">
        <v>221</v>
      </c>
      <c r="C45" s="12" t="s">
        <v>248</v>
      </c>
      <c r="D45" s="12" t="s">
        <v>214</v>
      </c>
      <c r="E45" s="4">
        <v>7630.3</v>
      </c>
      <c r="F45" s="26"/>
      <c r="G45" s="34"/>
      <c r="H45" s="29">
        <f t="shared" si="0"/>
        <v>50082.44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 t="s">
        <v>255</v>
      </c>
      <c r="B46" s="12" t="s">
        <v>25</v>
      </c>
      <c r="C46" s="12"/>
      <c r="D46" s="12"/>
      <c r="E46" s="4"/>
      <c r="F46" s="26"/>
      <c r="G46" s="34">
        <v>7506</v>
      </c>
      <c r="H46" s="29">
        <f t="shared" si="0"/>
        <v>42576.44</v>
      </c>
      <c r="I46" s="48"/>
      <c r="J46" s="131"/>
      <c r="K46" s="132"/>
      <c r="L46" s="133" t="s">
        <v>75</v>
      </c>
    </row>
    <row r="47" spans="1:16" ht="15" customHeight="1">
      <c r="A47" s="12" t="s">
        <v>256</v>
      </c>
      <c r="B47" s="20" t="s">
        <v>221</v>
      </c>
      <c r="C47" s="12" t="s">
        <v>248</v>
      </c>
      <c r="D47" s="12" t="s">
        <v>191</v>
      </c>
      <c r="E47" s="26">
        <v>7630.3</v>
      </c>
      <c r="F47" s="26"/>
      <c r="G47" s="34"/>
      <c r="H47" s="29">
        <f t="shared" si="0"/>
        <v>50206.740000000005</v>
      </c>
      <c r="I47" s="48"/>
      <c r="J47" s="134" t="s">
        <v>58</v>
      </c>
      <c r="K47" s="135">
        <f>L47*0.4%</f>
        <v>145.08920000000001</v>
      </c>
      <c r="L47" s="133">
        <v>36272.300000000003</v>
      </c>
    </row>
    <row r="48" spans="1:16" ht="15" customHeight="1">
      <c r="A48" s="12" t="s">
        <v>256</v>
      </c>
      <c r="B48" s="20" t="s">
        <v>33</v>
      </c>
      <c r="C48" s="12" t="s">
        <v>248</v>
      </c>
      <c r="D48" s="12"/>
      <c r="E48" s="26"/>
      <c r="F48" s="26">
        <v>152.61000000000001</v>
      </c>
      <c r="G48" s="34"/>
      <c r="H48" s="29">
        <f t="shared" si="0"/>
        <v>50359.350000000006</v>
      </c>
      <c r="I48" s="48"/>
      <c r="J48" s="136"/>
      <c r="K48" s="137"/>
      <c r="L48" s="138"/>
    </row>
    <row r="49" spans="1:13">
      <c r="A49" s="12" t="s">
        <v>256</v>
      </c>
      <c r="B49" s="12" t="s">
        <v>25</v>
      </c>
      <c r="C49" s="12"/>
      <c r="D49" s="12"/>
      <c r="E49" s="26"/>
      <c r="F49" s="26"/>
      <c r="G49" s="34">
        <v>4942</v>
      </c>
      <c r="H49" s="29">
        <f t="shared" si="0"/>
        <v>45417.350000000006</v>
      </c>
      <c r="I49" s="48"/>
    </row>
    <row r="50" spans="1:13">
      <c r="A50" s="12" t="s">
        <v>257</v>
      </c>
      <c r="B50" s="12" t="s">
        <v>25</v>
      </c>
      <c r="C50" s="12"/>
      <c r="D50" s="12"/>
      <c r="E50" s="26"/>
      <c r="F50" s="26"/>
      <c r="G50" s="34">
        <v>6558</v>
      </c>
      <c r="H50" s="29">
        <f t="shared" si="0"/>
        <v>38859.350000000006</v>
      </c>
      <c r="I50" s="48"/>
    </row>
    <row r="51" spans="1:13">
      <c r="A51" s="12" t="s">
        <v>258</v>
      </c>
      <c r="B51" s="20" t="s">
        <v>221</v>
      </c>
      <c r="C51" s="12" t="s">
        <v>259</v>
      </c>
      <c r="D51" s="12" t="s">
        <v>197</v>
      </c>
      <c r="E51" s="26">
        <v>7216.9</v>
      </c>
      <c r="F51" s="26"/>
      <c r="G51" s="34"/>
      <c r="H51" s="29">
        <f t="shared" si="0"/>
        <v>46076.250000000007</v>
      </c>
      <c r="I51" s="48"/>
    </row>
    <row r="52" spans="1:13">
      <c r="A52" s="12" t="s">
        <v>258</v>
      </c>
      <c r="B52" s="12" t="s">
        <v>25</v>
      </c>
      <c r="C52" s="12"/>
      <c r="D52" s="12"/>
      <c r="E52" s="26"/>
      <c r="F52" s="42"/>
      <c r="G52" s="34">
        <v>5444</v>
      </c>
      <c r="H52" s="29">
        <f t="shared" si="0"/>
        <v>40632.250000000007</v>
      </c>
      <c r="I52" s="48"/>
      <c r="J52" s="50"/>
      <c r="K52" s="50"/>
      <c r="L52" s="50"/>
      <c r="M52" s="50"/>
    </row>
    <row r="53" spans="1:13">
      <c r="A53" s="12"/>
      <c r="B53" s="20"/>
      <c r="C53" s="12"/>
      <c r="D53" s="12"/>
      <c r="E53" s="26"/>
      <c r="F53" s="26"/>
      <c r="G53" s="34"/>
      <c r="H53" s="29">
        <f t="shared" si="0"/>
        <v>40632.250000000007</v>
      </c>
      <c r="I53" s="48"/>
      <c r="J53" s="50"/>
      <c r="K53" s="50"/>
      <c r="L53" s="50"/>
      <c r="M53" s="50"/>
    </row>
    <row r="54" spans="1:13">
      <c r="A54" s="12"/>
      <c r="B54" s="20"/>
      <c r="C54" s="12"/>
      <c r="D54" s="12"/>
      <c r="E54" s="26"/>
      <c r="F54" s="26"/>
      <c r="G54" s="34"/>
      <c r="H54" s="29">
        <f t="shared" si="0"/>
        <v>40632.250000000007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ref="H55:H71" si="1">H54+E55+F55-G55</f>
        <v>40632.250000000007</v>
      </c>
      <c r="I55" s="48"/>
    </row>
    <row r="56" spans="1:13">
      <c r="A56" s="12"/>
      <c r="B56" s="12"/>
      <c r="C56" s="12"/>
      <c r="D56" s="12"/>
      <c r="E56" s="26"/>
      <c r="F56" s="26"/>
      <c r="G56" s="34"/>
      <c r="H56" s="29">
        <f t="shared" si="1"/>
        <v>40632.250000000007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1"/>
        <v>40632.250000000007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1"/>
        <v>40632.250000000007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1"/>
        <v>40632.250000000007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1"/>
        <v>40632.250000000007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1"/>
        <v>40632.250000000007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1"/>
        <v>40632.250000000007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1"/>
        <v>40632.250000000007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1"/>
        <v>40632.250000000007</v>
      </c>
      <c r="I64" s="48"/>
    </row>
    <row r="65" spans="1:10">
      <c r="A65" s="12"/>
      <c r="B65" s="20"/>
      <c r="C65" s="12"/>
      <c r="D65" s="12"/>
      <c r="E65" s="25"/>
      <c r="F65" s="26"/>
      <c r="G65" s="34"/>
      <c r="H65" s="29">
        <f t="shared" si="1"/>
        <v>40632.250000000007</v>
      </c>
      <c r="I65" s="48"/>
    </row>
    <row r="66" spans="1:10">
      <c r="A66" s="12"/>
      <c r="B66" s="20"/>
      <c r="C66" s="12"/>
      <c r="D66" s="12"/>
      <c r="E66" s="40"/>
      <c r="F66" s="26"/>
      <c r="G66" s="34"/>
      <c r="H66" s="29">
        <f t="shared" si="1"/>
        <v>40632.250000000007</v>
      </c>
      <c r="I66" s="48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1"/>
        <v>40632.250000000007</v>
      </c>
      <c r="I67" s="48"/>
    </row>
    <row r="68" spans="1:10">
      <c r="A68" s="12"/>
      <c r="B68" s="20"/>
      <c r="C68" s="12"/>
      <c r="D68" s="12"/>
      <c r="E68" s="40"/>
      <c r="F68" s="26"/>
      <c r="G68" s="34"/>
      <c r="H68" s="29">
        <f t="shared" si="1"/>
        <v>40632.250000000007</v>
      </c>
      <c r="I68" s="48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40632.250000000007</v>
      </c>
      <c r="I69" s="48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40632.250000000007</v>
      </c>
      <c r="I70" s="48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40632.250000000007</v>
      </c>
      <c r="I71" s="48"/>
    </row>
    <row r="72" spans="1:10" ht="15.75" thickBot="1">
      <c r="A72" s="5" t="s">
        <v>88</v>
      </c>
      <c r="B72" s="21"/>
      <c r="C72" s="8"/>
      <c r="D72" s="11"/>
      <c r="E72" s="24">
        <f>SUM(E3:E71)</f>
        <v>140084.59999999998</v>
      </c>
      <c r="F72" s="39">
        <f>SUM(F3:F71)</f>
        <v>586.89</v>
      </c>
      <c r="G72" s="35">
        <f>SUM(G3:G71)</f>
        <v>127718</v>
      </c>
      <c r="H72" s="30"/>
      <c r="I72" s="49"/>
    </row>
    <row r="73" spans="1:10">
      <c r="A73" s="2"/>
      <c r="B73" s="13"/>
      <c r="C73" s="9"/>
      <c r="D73" s="2"/>
      <c r="E73" s="2"/>
      <c r="F73" s="36"/>
      <c r="G73" s="51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50"/>
      <c r="I76" s="50"/>
    </row>
    <row r="77" spans="1:10">
      <c r="H77" s="50"/>
      <c r="I77" s="50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hyperlinks>
    <hyperlink ref="N10" r:id="rId1"/>
    <hyperlink ref="N11" r:id="rId2"/>
  </hyperlinks>
  <pageMargins left="0.7" right="0.7" top="0.75" bottom="0.75" header="0.3" footer="0.3"/>
  <pageSetup orientation="portrait" r:id="rId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70C0"/>
  </sheetPr>
  <dimension ref="A1:P95"/>
  <sheetViews>
    <sheetView tabSelected="1" zoomScaleNormal="100" workbookViewId="0">
      <selection activeCell="G31" sqref="G31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4" ht="19.5" thickBot="1">
      <c r="A1" s="181" t="s">
        <v>217</v>
      </c>
      <c r="B1" s="181"/>
      <c r="C1" s="181"/>
      <c r="D1" s="181"/>
      <c r="E1" s="181"/>
      <c r="F1" s="181"/>
      <c r="G1" s="181"/>
      <c r="H1" s="181"/>
      <c r="I1" s="46"/>
    </row>
    <row r="2" spans="1:14" s="6" customFormat="1" ht="48" customHeight="1" thickBot="1">
      <c r="A2" s="15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54" t="s">
        <v>1</v>
      </c>
      <c r="I2" s="47"/>
    </row>
    <row r="3" spans="1:14">
      <c r="A3" s="19" t="s">
        <v>261</v>
      </c>
      <c r="B3" s="19" t="s">
        <v>8</v>
      </c>
      <c r="C3" s="22"/>
      <c r="D3" s="3"/>
      <c r="E3" s="2"/>
      <c r="F3" s="55"/>
      <c r="G3" s="51"/>
      <c r="H3" s="55">
        <v>40632.25</v>
      </c>
      <c r="I3" s="48"/>
      <c r="J3" s="84" t="s">
        <v>9</v>
      </c>
      <c r="K3" s="85">
        <f>'[1]December 2021'!$N$15</f>
        <v>30031.840000000004</v>
      </c>
    </row>
    <row r="4" spans="1:14">
      <c r="A4" s="12" t="s">
        <v>261</v>
      </c>
      <c r="B4" s="20" t="s">
        <v>25</v>
      </c>
      <c r="C4" s="12"/>
      <c r="D4" s="12"/>
      <c r="E4" s="4"/>
      <c r="F4" s="55"/>
      <c r="G4" s="34">
        <v>5880</v>
      </c>
      <c r="H4" s="29">
        <f t="shared" ref="H4:H67" si="0">H3+E4+F4-G4</f>
        <v>34752.25</v>
      </c>
      <c r="I4" s="48"/>
      <c r="J4" s="86" t="s">
        <v>10</v>
      </c>
      <c r="K4" s="87">
        <f>H71+K15+K35+K25+K45</f>
        <v>62035.410000000011</v>
      </c>
    </row>
    <row r="5" spans="1:14" ht="15.75" thickBot="1">
      <c r="A5" s="12" t="s">
        <v>264</v>
      </c>
      <c r="B5" s="20" t="s">
        <v>21</v>
      </c>
      <c r="C5" s="12" t="s">
        <v>267</v>
      </c>
      <c r="D5" s="12" t="s">
        <v>237</v>
      </c>
      <c r="E5" s="4">
        <v>7223.9</v>
      </c>
      <c r="F5" s="55"/>
      <c r="G5" s="34"/>
      <c r="H5" s="29">
        <f t="shared" si="0"/>
        <v>41976.15</v>
      </c>
      <c r="I5" s="48"/>
      <c r="J5" s="88"/>
      <c r="K5" s="89"/>
      <c r="M5">
        <f>7270.7*3</f>
        <v>21812.1</v>
      </c>
    </row>
    <row r="6" spans="1:14" ht="15.75" customHeight="1">
      <c r="A6" s="12" t="s">
        <v>264</v>
      </c>
      <c r="B6" s="20" t="s">
        <v>263</v>
      </c>
      <c r="C6" s="12"/>
      <c r="D6" s="12"/>
      <c r="E6" s="4"/>
      <c r="F6" s="26"/>
      <c r="G6" s="34">
        <v>4428</v>
      </c>
      <c r="H6" s="29">
        <f t="shared" si="0"/>
        <v>37548.15</v>
      </c>
      <c r="I6" s="48"/>
      <c r="J6" s="198" t="s">
        <v>11</v>
      </c>
      <c r="K6" s="200">
        <f>K3-K4</f>
        <v>-32003.570000000007</v>
      </c>
    </row>
    <row r="7" spans="1:14" ht="15.75" customHeight="1" thickBot="1">
      <c r="A7" s="12" t="s">
        <v>265</v>
      </c>
      <c r="B7" s="12" t="s">
        <v>21</v>
      </c>
      <c r="C7" s="12" t="s">
        <v>211</v>
      </c>
      <c r="D7" s="12" t="s">
        <v>271</v>
      </c>
      <c r="E7" s="26">
        <f>6883.8*2</f>
        <v>13767.6</v>
      </c>
      <c r="F7" s="26"/>
      <c r="G7" s="34"/>
      <c r="H7" s="29">
        <f t="shared" si="0"/>
        <v>51315.75</v>
      </c>
      <c r="I7" s="48"/>
      <c r="J7" s="199"/>
      <c r="K7" s="201"/>
    </row>
    <row r="8" spans="1:14">
      <c r="A8" s="12" t="s">
        <v>265</v>
      </c>
      <c r="B8" s="20" t="s">
        <v>33</v>
      </c>
      <c r="C8" s="12"/>
      <c r="D8" s="12"/>
      <c r="E8" s="26"/>
      <c r="F8" s="26">
        <v>68.83</v>
      </c>
      <c r="G8" s="34"/>
      <c r="H8" s="29">
        <f t="shared" si="0"/>
        <v>51384.58</v>
      </c>
      <c r="I8" s="48"/>
    </row>
    <row r="9" spans="1:14">
      <c r="A9" s="12" t="s">
        <v>265</v>
      </c>
      <c r="B9" s="20" t="s">
        <v>263</v>
      </c>
      <c r="C9" s="12"/>
      <c r="D9" s="12"/>
      <c r="E9" s="26"/>
      <c r="F9" s="26"/>
      <c r="G9" s="34">
        <v>6984</v>
      </c>
      <c r="H9" s="29">
        <f t="shared" si="0"/>
        <v>44400.58</v>
      </c>
      <c r="I9" s="48"/>
    </row>
    <row r="10" spans="1:14">
      <c r="A10" s="12" t="s">
        <v>266</v>
      </c>
      <c r="B10" s="12" t="s">
        <v>21</v>
      </c>
      <c r="C10" s="12" t="s">
        <v>259</v>
      </c>
      <c r="D10" s="12" t="s">
        <v>242</v>
      </c>
      <c r="E10" s="4">
        <v>7216.9</v>
      </c>
      <c r="F10" s="26"/>
      <c r="G10" s="34"/>
      <c r="H10" s="29">
        <f t="shared" si="0"/>
        <v>51617.48</v>
      </c>
      <c r="I10" s="48"/>
      <c r="N10" s="180" t="s">
        <v>233</v>
      </c>
    </row>
    <row r="11" spans="1:14" ht="15" customHeight="1">
      <c r="A11" s="12" t="s">
        <v>266</v>
      </c>
      <c r="B11" s="20" t="s">
        <v>263</v>
      </c>
      <c r="C11" s="12"/>
      <c r="D11" s="12"/>
      <c r="E11" s="4"/>
      <c r="F11" s="26"/>
      <c r="G11" s="34">
        <v>6520</v>
      </c>
      <c r="H11" s="29">
        <f t="shared" si="0"/>
        <v>45097.48</v>
      </c>
      <c r="I11" s="48"/>
      <c r="J11" s="70" t="s">
        <v>56</v>
      </c>
      <c r="K11" s="71">
        <v>36084.5</v>
      </c>
      <c r="L11" s="194" t="s">
        <v>262</v>
      </c>
      <c r="N11" s="180" t="s">
        <v>234</v>
      </c>
    </row>
    <row r="12" spans="1:14" ht="15" customHeight="1">
      <c r="A12" s="12" t="s">
        <v>269</v>
      </c>
      <c r="B12" s="20" t="s">
        <v>21</v>
      </c>
      <c r="C12" s="12" t="s">
        <v>267</v>
      </c>
      <c r="D12" s="12" t="s">
        <v>242</v>
      </c>
      <c r="E12" s="26">
        <v>7223.9</v>
      </c>
      <c r="F12" s="26"/>
      <c r="G12" s="34"/>
      <c r="H12" s="29">
        <f t="shared" si="0"/>
        <v>52321.380000000005</v>
      </c>
      <c r="I12" s="48"/>
      <c r="J12" s="72" t="s">
        <v>57</v>
      </c>
      <c r="K12" s="73">
        <f>K11/5</f>
        <v>7216.9</v>
      </c>
      <c r="L12" s="195"/>
      <c r="N12" s="180"/>
    </row>
    <row r="13" spans="1:14" ht="15" customHeight="1">
      <c r="A13" s="12" t="s">
        <v>269</v>
      </c>
      <c r="B13" s="20" t="s">
        <v>263</v>
      </c>
      <c r="C13" s="12"/>
      <c r="D13" s="12"/>
      <c r="E13" s="4"/>
      <c r="F13" s="55"/>
      <c r="G13" s="34">
        <v>2704</v>
      </c>
      <c r="H13" s="29">
        <f t="shared" si="0"/>
        <v>49617.380000000005</v>
      </c>
      <c r="I13" s="48"/>
      <c r="J13" s="72" t="s">
        <v>60</v>
      </c>
      <c r="K13" s="74">
        <v>5</v>
      </c>
      <c r="L13" s="195"/>
      <c r="N13" s="180"/>
    </row>
    <row r="14" spans="1:14" ht="15.75" customHeight="1" thickBot="1">
      <c r="A14" s="12" t="s">
        <v>270</v>
      </c>
      <c r="B14" s="20" t="s">
        <v>263</v>
      </c>
      <c r="C14" s="12"/>
      <c r="D14" s="12"/>
      <c r="E14" s="26"/>
      <c r="F14" s="26"/>
      <c r="G14" s="34">
        <v>6864</v>
      </c>
      <c r="H14" s="29">
        <f t="shared" si="0"/>
        <v>42753.380000000005</v>
      </c>
      <c r="I14" s="48"/>
      <c r="J14" s="75"/>
      <c r="K14" s="65"/>
      <c r="L14" s="195"/>
      <c r="N14" s="180"/>
    </row>
    <row r="15" spans="1:14" ht="15.75" customHeight="1" thickBot="1">
      <c r="A15" s="12" t="s">
        <v>270</v>
      </c>
      <c r="B15" s="20" t="s">
        <v>21</v>
      </c>
      <c r="C15" s="12" t="s">
        <v>259</v>
      </c>
      <c r="D15" s="12" t="s">
        <v>244</v>
      </c>
      <c r="E15" s="26">
        <v>7216.9</v>
      </c>
      <c r="F15" s="26"/>
      <c r="G15" s="34"/>
      <c r="H15" s="29">
        <f t="shared" si="0"/>
        <v>49970.280000000006</v>
      </c>
      <c r="I15" s="48"/>
      <c r="J15" s="76" t="s">
        <v>55</v>
      </c>
      <c r="K15" s="66">
        <f>K11-(K12*K13)</f>
        <v>0</v>
      </c>
      <c r="L15" s="195"/>
      <c r="N15" s="180"/>
    </row>
    <row r="16" spans="1:14" ht="15" customHeight="1">
      <c r="A16" s="12" t="s">
        <v>272</v>
      </c>
      <c r="B16" s="20" t="s">
        <v>263</v>
      </c>
      <c r="C16" s="12"/>
      <c r="D16" s="12"/>
      <c r="E16" s="26"/>
      <c r="F16" s="26"/>
      <c r="G16" s="34">
        <v>2364</v>
      </c>
      <c r="H16" s="29">
        <f t="shared" si="0"/>
        <v>47606.280000000006</v>
      </c>
      <c r="I16" s="48"/>
      <c r="J16" s="77"/>
      <c r="K16" s="78"/>
      <c r="L16" s="69" t="s">
        <v>75</v>
      </c>
      <c r="N16" s="180"/>
    </row>
    <row r="17" spans="1:12" ht="15" customHeight="1">
      <c r="A17" s="12" t="s">
        <v>273</v>
      </c>
      <c r="B17" s="20" t="s">
        <v>263</v>
      </c>
      <c r="C17" s="12"/>
      <c r="D17" s="12"/>
      <c r="E17" s="26"/>
      <c r="F17" s="26"/>
      <c r="G17" s="34">
        <v>3886</v>
      </c>
      <c r="H17" s="29">
        <f t="shared" si="0"/>
        <v>43720.280000000006</v>
      </c>
      <c r="I17" s="48"/>
      <c r="J17" s="79" t="s">
        <v>58</v>
      </c>
      <c r="K17" s="80">
        <f>L17*0.4%</f>
        <v>144.33799999999999</v>
      </c>
      <c r="L17" s="69">
        <v>36084.5</v>
      </c>
    </row>
    <row r="18" spans="1:12" ht="15" customHeight="1">
      <c r="A18" s="12" t="s">
        <v>273</v>
      </c>
      <c r="B18" s="20" t="s">
        <v>21</v>
      </c>
      <c r="C18" s="12" t="s">
        <v>268</v>
      </c>
      <c r="D18" s="12" t="s">
        <v>278</v>
      </c>
      <c r="E18" s="26">
        <v>7223.9</v>
      </c>
      <c r="F18" s="26"/>
      <c r="G18" s="34"/>
      <c r="H18" s="29">
        <f t="shared" si="0"/>
        <v>50944.180000000008</v>
      </c>
      <c r="I18" s="48"/>
      <c r="J18" s="81"/>
      <c r="K18" s="82"/>
      <c r="L18" s="83"/>
    </row>
    <row r="19" spans="1:12" ht="15" customHeight="1">
      <c r="A19" s="12" t="s">
        <v>274</v>
      </c>
      <c r="B19" s="20" t="s">
        <v>25</v>
      </c>
      <c r="C19" s="12"/>
      <c r="D19" s="12"/>
      <c r="E19" s="26"/>
      <c r="F19" s="26"/>
      <c r="G19" s="34">
        <v>6384</v>
      </c>
      <c r="H19" s="29">
        <f t="shared" si="0"/>
        <v>44560.180000000008</v>
      </c>
      <c r="I19" s="48"/>
    </row>
    <row r="20" spans="1:12" ht="15" customHeight="1">
      <c r="A20" s="12" t="s">
        <v>274</v>
      </c>
      <c r="B20" s="20" t="s">
        <v>21</v>
      </c>
      <c r="C20" s="12" t="s">
        <v>275</v>
      </c>
      <c r="D20" s="12" t="s">
        <v>276</v>
      </c>
      <c r="E20" s="26">
        <v>4008.4</v>
      </c>
      <c r="F20" s="26"/>
      <c r="G20" s="34"/>
      <c r="H20" s="29">
        <f t="shared" si="0"/>
        <v>48568.580000000009</v>
      </c>
      <c r="I20" s="48"/>
    </row>
    <row r="21" spans="1:12" ht="15" customHeight="1">
      <c r="A21" s="12" t="s">
        <v>274</v>
      </c>
      <c r="B21" s="20" t="s">
        <v>21</v>
      </c>
      <c r="C21" s="12" t="s">
        <v>262</v>
      </c>
      <c r="D21" s="12" t="s">
        <v>276</v>
      </c>
      <c r="E21" s="26">
        <v>7216.9</v>
      </c>
      <c r="F21" s="26"/>
      <c r="G21" s="34"/>
      <c r="H21" s="29">
        <f t="shared" si="0"/>
        <v>55785.48000000001</v>
      </c>
      <c r="I21" s="48"/>
      <c r="J21" s="90" t="s">
        <v>56</v>
      </c>
      <c r="K21" s="91">
        <v>20042.099999999999</v>
      </c>
      <c r="L21" s="196" t="s">
        <v>175</v>
      </c>
    </row>
    <row r="22" spans="1:12" ht="15" customHeight="1">
      <c r="A22" s="12" t="s">
        <v>277</v>
      </c>
      <c r="B22" s="20" t="s">
        <v>25</v>
      </c>
      <c r="C22" s="12"/>
      <c r="D22" s="12"/>
      <c r="E22" s="26"/>
      <c r="F22" s="26"/>
      <c r="G22" s="34">
        <v>5832</v>
      </c>
      <c r="H22" s="29">
        <f t="shared" si="0"/>
        <v>49953.48000000001</v>
      </c>
      <c r="I22" s="48"/>
      <c r="J22" s="92" t="s">
        <v>57</v>
      </c>
      <c r="K22" s="93">
        <f>K21/5</f>
        <v>4008.4199999999996</v>
      </c>
      <c r="L22" s="197"/>
    </row>
    <row r="23" spans="1:12" ht="15" customHeight="1">
      <c r="A23" s="12" t="s">
        <v>277</v>
      </c>
      <c r="B23" s="20" t="s">
        <v>21</v>
      </c>
      <c r="C23" s="12" t="s">
        <v>262</v>
      </c>
      <c r="D23" s="12" t="s">
        <v>276</v>
      </c>
      <c r="E23" s="26">
        <v>7216.9</v>
      </c>
      <c r="F23" s="26"/>
      <c r="G23" s="34"/>
      <c r="H23" s="29">
        <f t="shared" si="0"/>
        <v>57170.380000000012</v>
      </c>
      <c r="I23" s="48"/>
      <c r="J23" s="92" t="s">
        <v>60</v>
      </c>
      <c r="K23" s="94">
        <v>4</v>
      </c>
      <c r="L23" s="197"/>
    </row>
    <row r="24" spans="1:12" ht="15.75" customHeight="1" thickBot="1">
      <c r="A24" s="12" t="s">
        <v>277</v>
      </c>
      <c r="B24" s="20" t="s">
        <v>33</v>
      </c>
      <c r="C24" s="12"/>
      <c r="D24" s="12"/>
      <c r="E24" s="26"/>
      <c r="F24" s="26">
        <v>144.34</v>
      </c>
      <c r="G24" s="34"/>
      <c r="H24" s="29">
        <f t="shared" si="0"/>
        <v>57314.720000000008</v>
      </c>
      <c r="I24" s="48"/>
      <c r="J24" s="95"/>
      <c r="K24" s="96"/>
      <c r="L24" s="197"/>
    </row>
    <row r="25" spans="1:12" ht="15.75" customHeight="1" thickBot="1">
      <c r="A25" s="12" t="s">
        <v>279</v>
      </c>
      <c r="B25" s="20" t="s">
        <v>25</v>
      </c>
      <c r="C25" s="12"/>
      <c r="D25" s="12"/>
      <c r="E25" s="26"/>
      <c r="F25" s="26"/>
      <c r="G25" s="34">
        <v>4488</v>
      </c>
      <c r="H25" s="29">
        <f t="shared" si="0"/>
        <v>52826.720000000008</v>
      </c>
      <c r="I25" s="48"/>
      <c r="J25" s="97" t="s">
        <v>55</v>
      </c>
      <c r="K25" s="98">
        <f>K21-(K22*K23)</f>
        <v>4008.42</v>
      </c>
      <c r="L25" s="197"/>
    </row>
    <row r="26" spans="1:12" ht="15" customHeight="1">
      <c r="A26" s="12" t="s">
        <v>281</v>
      </c>
      <c r="B26" s="20" t="s">
        <v>25</v>
      </c>
      <c r="C26" s="12"/>
      <c r="D26" s="12"/>
      <c r="E26" s="26"/>
      <c r="F26" s="26"/>
      <c r="G26" s="34">
        <v>4550</v>
      </c>
      <c r="H26" s="29">
        <f t="shared" si="0"/>
        <v>48276.720000000008</v>
      </c>
      <c r="I26" s="48"/>
      <c r="J26" s="99"/>
      <c r="K26" s="100"/>
      <c r="L26" s="101" t="s">
        <v>75</v>
      </c>
    </row>
    <row r="27" spans="1:12" ht="15" customHeight="1">
      <c r="A27" s="12" t="s">
        <v>281</v>
      </c>
      <c r="B27" s="20" t="s">
        <v>21</v>
      </c>
      <c r="C27" s="12" t="s">
        <v>268</v>
      </c>
      <c r="D27" s="12" t="s">
        <v>282</v>
      </c>
      <c r="E27" s="26">
        <v>7223.9</v>
      </c>
      <c r="F27" s="26"/>
      <c r="G27" s="34"/>
      <c r="H27" s="29">
        <f t="shared" si="0"/>
        <v>55500.62000000001</v>
      </c>
      <c r="I27" s="48"/>
      <c r="J27" s="102" t="s">
        <v>58</v>
      </c>
      <c r="K27" s="103">
        <f>L27*0.4%</f>
        <v>80.168399999999991</v>
      </c>
      <c r="L27" s="101">
        <v>20042.099999999999</v>
      </c>
    </row>
    <row r="28" spans="1:12" ht="15" customHeight="1">
      <c r="A28" s="12" t="s">
        <v>283</v>
      </c>
      <c r="B28" s="20" t="s">
        <v>25</v>
      </c>
      <c r="C28" s="12"/>
      <c r="D28" s="12"/>
      <c r="E28" s="4"/>
      <c r="F28" s="26"/>
      <c r="G28" s="34">
        <v>4842</v>
      </c>
      <c r="H28" s="29">
        <f t="shared" si="0"/>
        <v>50658.62000000001</v>
      </c>
      <c r="I28" s="48"/>
      <c r="J28" s="104"/>
      <c r="K28" s="105"/>
      <c r="L28" s="106"/>
    </row>
    <row r="29" spans="1:12">
      <c r="A29" s="12" t="s">
        <v>283</v>
      </c>
      <c r="B29" s="20" t="s">
        <v>21</v>
      </c>
      <c r="C29" s="12" t="s">
        <v>268</v>
      </c>
      <c r="D29" s="12" t="s">
        <v>280</v>
      </c>
      <c r="E29" s="26">
        <v>7223.9</v>
      </c>
      <c r="F29" s="26"/>
      <c r="G29" s="34"/>
      <c r="H29" s="29">
        <f t="shared" si="0"/>
        <v>57882.520000000011</v>
      </c>
      <c r="I29" s="48"/>
    </row>
    <row r="30" spans="1:12">
      <c r="A30" s="12" t="s">
        <v>283</v>
      </c>
      <c r="B30" s="12" t="s">
        <v>33</v>
      </c>
      <c r="C30" s="12"/>
      <c r="D30" s="12"/>
      <c r="E30" s="4"/>
      <c r="F30" s="26">
        <v>144.47</v>
      </c>
      <c r="G30" s="34"/>
      <c r="H30" s="29">
        <f t="shared" si="0"/>
        <v>58026.990000000013</v>
      </c>
      <c r="I30" s="48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58026.990000000013</v>
      </c>
      <c r="I31" s="48"/>
      <c r="J31" s="113" t="s">
        <v>56</v>
      </c>
      <c r="K31" s="114">
        <v>17209.5</v>
      </c>
      <c r="L31" s="186" t="s">
        <v>225</v>
      </c>
    </row>
    <row r="32" spans="1:12" ht="15" customHeight="1">
      <c r="A32" s="12"/>
      <c r="B32" s="12"/>
      <c r="C32" s="12"/>
      <c r="D32" s="12"/>
      <c r="E32" s="26"/>
      <c r="F32" s="26"/>
      <c r="G32" s="34"/>
      <c r="H32" s="29">
        <f t="shared" si="0"/>
        <v>58026.990000000013</v>
      </c>
      <c r="I32" s="48"/>
      <c r="J32" s="115" t="s">
        <v>57</v>
      </c>
      <c r="K32" s="109">
        <f>K31/5</f>
        <v>3441.9</v>
      </c>
      <c r="L32" s="187"/>
    </row>
    <row r="33" spans="1:16" ht="15" customHeight="1">
      <c r="A33" s="12"/>
      <c r="B33" s="12"/>
      <c r="C33" s="12"/>
      <c r="D33" s="12"/>
      <c r="E33" s="4"/>
      <c r="F33" s="26"/>
      <c r="G33" s="34"/>
      <c r="H33" s="29">
        <f t="shared" si="0"/>
        <v>58026.990000000013</v>
      </c>
      <c r="I33" s="48"/>
      <c r="J33" s="115" t="s">
        <v>60</v>
      </c>
      <c r="K33" s="110">
        <v>5</v>
      </c>
      <c r="L33" s="187"/>
    </row>
    <row r="34" spans="1:16" ht="15.75" customHeight="1" thickBot="1">
      <c r="A34" s="12"/>
      <c r="B34" s="12"/>
      <c r="C34" s="12"/>
      <c r="D34" s="12"/>
      <c r="E34" s="4"/>
      <c r="F34" s="26"/>
      <c r="G34" s="34"/>
      <c r="H34" s="29">
        <f t="shared" si="0"/>
        <v>58026.990000000013</v>
      </c>
      <c r="I34" s="48"/>
      <c r="J34" s="116"/>
      <c r="K34" s="107"/>
      <c r="L34" s="187"/>
    </row>
    <row r="35" spans="1:16" ht="15.75" customHeight="1" thickBot="1">
      <c r="A35" s="12"/>
      <c r="B35" s="12"/>
      <c r="C35" s="12"/>
      <c r="D35" s="12"/>
      <c r="E35" s="4"/>
      <c r="F35" s="26"/>
      <c r="G35" s="34"/>
      <c r="H35" s="29">
        <f t="shared" si="0"/>
        <v>58026.990000000013</v>
      </c>
      <c r="I35" s="48"/>
      <c r="J35" s="117" t="s">
        <v>55</v>
      </c>
      <c r="K35" s="108">
        <f>K31-(K32*K33)</f>
        <v>0</v>
      </c>
      <c r="L35" s="187"/>
    </row>
    <row r="36" spans="1:16" ht="15.75" customHeight="1">
      <c r="A36" s="12"/>
      <c r="B36" s="12"/>
      <c r="C36" s="12"/>
      <c r="D36" s="12"/>
      <c r="E36" s="4"/>
      <c r="F36" s="26"/>
      <c r="G36" s="34"/>
      <c r="H36" s="29">
        <f t="shared" si="0"/>
        <v>58026.990000000013</v>
      </c>
      <c r="I36" s="48"/>
      <c r="J36" s="118"/>
      <c r="K36" s="111"/>
      <c r="L36" s="119" t="s">
        <v>75</v>
      </c>
    </row>
    <row r="37" spans="1:16" ht="15.75" customHeight="1">
      <c r="A37" s="12"/>
      <c r="B37" s="12"/>
      <c r="C37" s="12"/>
      <c r="D37" s="12"/>
      <c r="E37" s="4"/>
      <c r="F37" s="26"/>
      <c r="G37" s="34"/>
      <c r="H37" s="29">
        <f t="shared" si="0"/>
        <v>58026.990000000013</v>
      </c>
      <c r="I37" s="48"/>
      <c r="J37" s="120" t="s">
        <v>58</v>
      </c>
      <c r="K37" s="112">
        <f>L37*0.4%</f>
        <v>68.838000000000008</v>
      </c>
      <c r="L37" s="119">
        <v>17209.5</v>
      </c>
      <c r="P37" s="1"/>
    </row>
    <row r="38" spans="1:16" ht="15" customHeight="1">
      <c r="A38" s="12"/>
      <c r="B38" s="12"/>
      <c r="C38" s="12"/>
      <c r="D38" s="12"/>
      <c r="E38" s="4"/>
      <c r="F38" s="26"/>
      <c r="G38" s="34"/>
      <c r="H38" s="29">
        <f t="shared" si="0"/>
        <v>58026.990000000013</v>
      </c>
      <c r="I38" s="48"/>
      <c r="J38" s="121"/>
      <c r="K38" s="122"/>
      <c r="L38" s="123"/>
      <c r="P38" s="1"/>
    </row>
    <row r="39" spans="1:16">
      <c r="A39" s="12"/>
      <c r="B39" s="12"/>
      <c r="C39" s="12"/>
      <c r="D39" s="12"/>
      <c r="E39" s="4"/>
      <c r="F39" s="26"/>
      <c r="G39" s="34"/>
      <c r="H39" s="29">
        <f t="shared" si="0"/>
        <v>58026.990000000013</v>
      </c>
      <c r="I39" s="48"/>
      <c r="K39" s="10"/>
    </row>
    <row r="40" spans="1:16">
      <c r="A40" s="12"/>
      <c r="B40" s="12"/>
      <c r="C40" s="12"/>
      <c r="D40" s="12"/>
      <c r="E40" s="4"/>
      <c r="F40" s="26"/>
      <c r="G40" s="34"/>
      <c r="H40" s="29">
        <f t="shared" si="0"/>
        <v>58026.990000000013</v>
      </c>
      <c r="I40" s="48"/>
      <c r="K40" s="10"/>
    </row>
    <row r="41" spans="1:16" ht="15" customHeight="1">
      <c r="A41" s="12"/>
      <c r="B41" s="12"/>
      <c r="C41" s="12"/>
      <c r="D41" s="12"/>
      <c r="E41" s="4"/>
      <c r="F41" s="26"/>
      <c r="G41" s="34"/>
      <c r="H41" s="29">
        <f t="shared" si="0"/>
        <v>58026.990000000013</v>
      </c>
      <c r="I41" s="48"/>
      <c r="J41" s="124" t="s">
        <v>56</v>
      </c>
      <c r="K41" s="125">
        <v>36119.300000000003</v>
      </c>
      <c r="L41" s="188" t="s">
        <v>268</v>
      </c>
    </row>
    <row r="42" spans="1:16" ht="15.75" customHeight="1">
      <c r="A42" s="12"/>
      <c r="B42" s="12"/>
      <c r="C42" s="12"/>
      <c r="D42" s="12"/>
      <c r="E42" s="4"/>
      <c r="F42" s="26"/>
      <c r="G42" s="34"/>
      <c r="H42" s="29">
        <f t="shared" si="0"/>
        <v>58026.990000000013</v>
      </c>
      <c r="I42" s="48"/>
      <c r="J42" s="126" t="s">
        <v>57</v>
      </c>
      <c r="K42" s="127">
        <f>K41/5</f>
        <v>7223.8600000000006</v>
      </c>
      <c r="L42" s="189"/>
    </row>
    <row r="43" spans="1:16" ht="15.75" customHeight="1">
      <c r="A43" s="12"/>
      <c r="B43" s="12"/>
      <c r="C43" s="12"/>
      <c r="D43" s="12"/>
      <c r="E43" s="4"/>
      <c r="F43" s="26"/>
      <c r="G43" s="34"/>
      <c r="H43" s="29">
        <f t="shared" si="0"/>
        <v>58026.990000000013</v>
      </c>
      <c r="I43" s="48"/>
      <c r="J43" s="126" t="s">
        <v>60</v>
      </c>
      <c r="K43" s="128">
        <v>5</v>
      </c>
      <c r="L43" s="189"/>
    </row>
    <row r="44" spans="1:16" ht="15.75" customHeight="1" thickBot="1">
      <c r="A44" s="12"/>
      <c r="B44" s="12"/>
      <c r="C44" s="12"/>
      <c r="D44" s="12"/>
      <c r="E44" s="4"/>
      <c r="F44" s="26"/>
      <c r="G44" s="34"/>
      <c r="H44" s="29">
        <f t="shared" si="0"/>
        <v>58026.990000000013</v>
      </c>
      <c r="I44" s="48"/>
      <c r="J44" s="129"/>
      <c r="K44" s="67"/>
      <c r="L44" s="189"/>
    </row>
    <row r="45" spans="1:16" ht="15.75" customHeight="1" thickBot="1">
      <c r="A45" s="12"/>
      <c r="B45" s="12"/>
      <c r="C45" s="12"/>
      <c r="D45" s="12"/>
      <c r="E45" s="4"/>
      <c r="F45" s="26"/>
      <c r="G45" s="34"/>
      <c r="H45" s="29">
        <f t="shared" si="0"/>
        <v>58026.990000000013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/>
      <c r="B46" s="12"/>
      <c r="C46" s="12"/>
      <c r="D46" s="12"/>
      <c r="E46" s="4"/>
      <c r="F46" s="26"/>
      <c r="G46" s="34"/>
      <c r="H46" s="29">
        <f t="shared" si="0"/>
        <v>58026.990000000013</v>
      </c>
      <c r="I46" s="48"/>
      <c r="J46" s="131"/>
      <c r="K46" s="132"/>
      <c r="L46" s="133" t="s">
        <v>75</v>
      </c>
    </row>
    <row r="47" spans="1:16" ht="15" customHeight="1">
      <c r="A47" s="12"/>
      <c r="B47" s="20"/>
      <c r="C47" s="12"/>
      <c r="D47" s="12"/>
      <c r="E47" s="26"/>
      <c r="F47" s="26"/>
      <c r="G47" s="34"/>
      <c r="H47" s="29">
        <f t="shared" si="0"/>
        <v>58026.990000000013</v>
      </c>
      <c r="I47" s="48"/>
      <c r="J47" s="134" t="s">
        <v>58</v>
      </c>
      <c r="K47" s="135">
        <f>L47*0.4%</f>
        <v>144.47720000000001</v>
      </c>
      <c r="L47" s="133">
        <v>36119.300000000003</v>
      </c>
    </row>
    <row r="48" spans="1:16" ht="15" customHeight="1">
      <c r="A48" s="12"/>
      <c r="B48" s="20"/>
      <c r="C48" s="12"/>
      <c r="D48" s="12"/>
      <c r="E48" s="26"/>
      <c r="F48" s="26"/>
      <c r="G48" s="34"/>
      <c r="H48" s="29">
        <f t="shared" si="0"/>
        <v>58026.990000000013</v>
      </c>
      <c r="I48" s="48"/>
      <c r="J48" s="136"/>
      <c r="K48" s="137"/>
      <c r="L48" s="138"/>
    </row>
    <row r="49" spans="1:13">
      <c r="A49" s="12"/>
      <c r="B49" s="12"/>
      <c r="C49" s="12"/>
      <c r="D49" s="12"/>
      <c r="E49" s="26"/>
      <c r="F49" s="26"/>
      <c r="G49" s="34"/>
      <c r="H49" s="29">
        <f t="shared" si="0"/>
        <v>58026.990000000013</v>
      </c>
      <c r="I49" s="48"/>
    </row>
    <row r="50" spans="1:13">
      <c r="A50" s="12"/>
      <c r="B50" s="12"/>
      <c r="C50" s="12"/>
      <c r="D50" s="12"/>
      <c r="E50" s="26"/>
      <c r="F50" s="26"/>
      <c r="G50" s="34"/>
      <c r="H50" s="29">
        <f t="shared" si="0"/>
        <v>58026.990000000013</v>
      </c>
      <c r="I50" s="48"/>
    </row>
    <row r="51" spans="1:13">
      <c r="A51" s="12"/>
      <c r="B51" s="20"/>
      <c r="C51" s="12"/>
      <c r="D51" s="12"/>
      <c r="E51" s="26"/>
      <c r="F51" s="26"/>
      <c r="G51" s="34"/>
      <c r="H51" s="29">
        <f t="shared" si="0"/>
        <v>58026.990000000013</v>
      </c>
      <c r="I51" s="48"/>
    </row>
    <row r="52" spans="1:13">
      <c r="A52" s="12"/>
      <c r="B52" s="12"/>
      <c r="C52" s="12"/>
      <c r="D52" s="12"/>
      <c r="E52" s="26"/>
      <c r="F52" s="42"/>
      <c r="G52" s="34"/>
      <c r="H52" s="29">
        <f t="shared" si="0"/>
        <v>58026.990000000013</v>
      </c>
      <c r="I52" s="48"/>
      <c r="J52" s="50"/>
      <c r="K52" s="50"/>
      <c r="L52" s="50"/>
      <c r="M52" s="50"/>
    </row>
    <row r="53" spans="1:13">
      <c r="A53" s="12"/>
      <c r="B53" s="20"/>
      <c r="C53" s="12"/>
      <c r="D53" s="12"/>
      <c r="E53" s="26"/>
      <c r="F53" s="26"/>
      <c r="G53" s="34"/>
      <c r="H53" s="29">
        <f t="shared" si="0"/>
        <v>58026.990000000013</v>
      </c>
      <c r="I53" s="48"/>
      <c r="J53" s="50"/>
      <c r="K53" s="50"/>
      <c r="L53" s="50"/>
      <c r="M53" s="50"/>
    </row>
    <row r="54" spans="1:13">
      <c r="A54" s="12"/>
      <c r="B54" s="20"/>
      <c r="C54" s="12"/>
      <c r="D54" s="12"/>
      <c r="E54" s="26"/>
      <c r="F54" s="26"/>
      <c r="G54" s="34"/>
      <c r="H54" s="29">
        <f t="shared" si="0"/>
        <v>58026.990000000013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58026.990000000013</v>
      </c>
      <c r="I55" s="48"/>
    </row>
    <row r="56" spans="1:13">
      <c r="A56" s="12"/>
      <c r="B56" s="12"/>
      <c r="C56" s="12"/>
      <c r="D56" s="12"/>
      <c r="E56" s="26"/>
      <c r="F56" s="26"/>
      <c r="G56" s="34"/>
      <c r="H56" s="29">
        <f t="shared" si="0"/>
        <v>58026.990000000013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58026.990000000013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58026.990000000013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58026.990000000013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58026.990000000013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58026.990000000013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58026.990000000013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58026.990000000013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58026.990000000013</v>
      </c>
      <c r="I64" s="48"/>
    </row>
    <row r="65" spans="1:10">
      <c r="A65" s="12"/>
      <c r="B65" s="20"/>
      <c r="C65" s="12"/>
      <c r="D65" s="12"/>
      <c r="E65" s="25"/>
      <c r="F65" s="26"/>
      <c r="G65" s="34"/>
      <c r="H65" s="29">
        <f t="shared" si="0"/>
        <v>58026.990000000013</v>
      </c>
      <c r="I65" s="48"/>
    </row>
    <row r="66" spans="1:10">
      <c r="A66" s="12"/>
      <c r="B66" s="20"/>
      <c r="C66" s="12"/>
      <c r="D66" s="12"/>
      <c r="E66" s="40"/>
      <c r="F66" s="26"/>
      <c r="G66" s="34"/>
      <c r="H66" s="29">
        <f t="shared" si="0"/>
        <v>58026.990000000013</v>
      </c>
      <c r="I66" s="48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0"/>
        <v>58026.990000000013</v>
      </c>
      <c r="I67" s="48"/>
    </row>
    <row r="68" spans="1:10">
      <c r="A68" s="12"/>
      <c r="B68" s="20"/>
      <c r="C68" s="12"/>
      <c r="D68" s="12"/>
      <c r="E68" s="40"/>
      <c r="F68" s="26"/>
      <c r="G68" s="34"/>
      <c r="H68" s="29">
        <f t="shared" ref="H68:H71" si="1">H67+E68+F68-G68</f>
        <v>58026.990000000013</v>
      </c>
      <c r="I68" s="48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58026.990000000013</v>
      </c>
      <c r="I69" s="48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58026.990000000013</v>
      </c>
      <c r="I70" s="48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58026.990000000013</v>
      </c>
      <c r="I71" s="48"/>
    </row>
    <row r="72" spans="1:10" ht="15.75" thickBot="1">
      <c r="A72" s="5" t="s">
        <v>88</v>
      </c>
      <c r="B72" s="21"/>
      <c r="C72" s="8"/>
      <c r="D72" s="11"/>
      <c r="E72" s="24">
        <f>SUM(E3:E71)</f>
        <v>82763.099999999991</v>
      </c>
      <c r="F72" s="39">
        <f>SUM(F3:F71)</f>
        <v>357.64</v>
      </c>
      <c r="G72" s="35">
        <f>SUM(G3:G71)</f>
        <v>65726</v>
      </c>
      <c r="H72" s="30"/>
      <c r="I72" s="49"/>
    </row>
    <row r="73" spans="1:10">
      <c r="A73" s="2"/>
      <c r="B73" s="13"/>
      <c r="C73" s="9"/>
      <c r="D73" s="2"/>
      <c r="E73" s="2"/>
      <c r="F73" s="36"/>
      <c r="G73" s="51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50"/>
      <c r="I76" s="50"/>
    </row>
    <row r="77" spans="1:10">
      <c r="H77" s="50"/>
      <c r="I77" s="50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conditionalFormatting sqref="D18">
    <cfRule type="containsText" dxfId="3" priority="5" operator="containsText" text="Issued For Production">
      <formula>NOT(ISERROR(SEARCH("Issued For Production",D18)))</formula>
    </cfRule>
  </conditionalFormatting>
  <conditionalFormatting sqref="D19">
    <cfRule type="containsText" dxfId="2" priority="3" operator="containsText" text="Issued For Production">
      <formula>NOT(ISERROR(SEARCH("Issued For Production",D19)))</formula>
    </cfRule>
  </conditionalFormatting>
  <conditionalFormatting sqref="D27">
    <cfRule type="containsText" dxfId="1" priority="2" operator="containsText" text="Issued For Production">
      <formula>NOT(ISERROR(SEARCH("Issued For Production",D27)))</formula>
    </cfRule>
  </conditionalFormatting>
  <conditionalFormatting sqref="D29">
    <cfRule type="containsText" dxfId="0" priority="1" operator="containsText" text="Issued For Production">
      <formula>NOT(ISERROR(SEARCH("Issued For Production",D29)))</formula>
    </cfRule>
  </conditionalFormatting>
  <hyperlinks>
    <hyperlink ref="N10" r:id="rId1"/>
    <hyperlink ref="N11" r:id="rId2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  <vt:lpstr>November 2021</vt:lpstr>
      <vt:lpstr>December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2021-11-03T06:55:02Z</cp:lastPrinted>
  <dcterms:created xsi:type="dcterms:W3CDTF">2017-04-20T06:09:09Z</dcterms:created>
  <dcterms:modified xsi:type="dcterms:W3CDTF">2021-12-17T05:42:15Z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