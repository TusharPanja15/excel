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usharpanja\Documents\GitHub\excel\"/>
    </mc:Choice>
  </mc:AlternateContent>
  <xr:revisionPtr revIDLastSave="0" documentId="13_ncr:1_{8650ED39-6076-4CF4-9753-1B70A3417B98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pril 2021-22" sheetId="26" r:id="rId1"/>
    <sheet name="May 2021" sheetId="27" r:id="rId2"/>
    <sheet name="June 2021" sheetId="28" r:id="rId3"/>
    <sheet name="July" sheetId="32" r:id="rId4"/>
    <sheet name="October 2021" sheetId="31" r:id="rId5"/>
    <sheet name="July 2021" sheetId="29" r:id="rId6"/>
  </sheets>
  <externalReferences>
    <externalReference r:id="rId7"/>
  </externalReferences>
  <definedNames>
    <definedName name="_xlnm._FilterDatabase" localSheetId="0" hidden="1">'April 2021-22'!$A$3:$H$68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6" i="32" l="1"/>
  <c r="F41" i="32"/>
  <c r="F35" i="32"/>
  <c r="H5" i="32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4" i="32"/>
  <c r="K3" i="32"/>
  <c r="E43" i="32"/>
  <c r="F43" i="32"/>
  <c r="F44" i="32"/>
  <c r="F45" i="32"/>
  <c r="H35" i="32" l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H66" i="32" s="1"/>
  <c r="H67" i="32" s="1"/>
  <c r="H68" i="32" s="1"/>
  <c r="H69" i="32" s="1"/>
  <c r="H70" i="32" s="1"/>
  <c r="H71" i="32" s="1"/>
  <c r="K42" i="32"/>
  <c r="L47" i="32"/>
  <c r="K32" i="32"/>
  <c r="F34" i="32"/>
  <c r="F33" i="32"/>
  <c r="K22" i="32"/>
  <c r="L27" i="32"/>
  <c r="K12" i="32"/>
  <c r="L17" i="32"/>
  <c r="G72" i="32" l="1"/>
  <c r="F72" i="32"/>
  <c r="K47" i="32"/>
  <c r="K45" i="32"/>
  <c r="K37" i="32"/>
  <c r="E72" i="32"/>
  <c r="K35" i="32"/>
  <c r="K27" i="32"/>
  <c r="K25" i="32"/>
  <c r="K17" i="32"/>
  <c r="K15" i="32"/>
  <c r="G72" i="31"/>
  <c r="F72" i="31"/>
  <c r="K47" i="31"/>
  <c r="K42" i="31"/>
  <c r="K45" i="31" s="1"/>
  <c r="K37" i="31"/>
  <c r="E72" i="31"/>
  <c r="K32" i="31"/>
  <c r="K35" i="31" s="1"/>
  <c r="L27" i="31"/>
  <c r="K27" i="31"/>
  <c r="K25" i="31"/>
  <c r="K22" i="31"/>
  <c r="K17" i="31"/>
  <c r="K15" i="31"/>
  <c r="K12" i="31"/>
  <c r="H4" i="31"/>
  <c r="H5" i="31" s="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H25" i="31" s="1"/>
  <c r="H26" i="31" s="1"/>
  <c r="H27" i="31" s="1"/>
  <c r="H28" i="31" s="1"/>
  <c r="H29" i="31" s="1"/>
  <c r="H30" i="31" s="1"/>
  <c r="H31" i="31" s="1"/>
  <c r="H32" i="31" s="1"/>
  <c r="H33" i="31" s="1"/>
  <c r="H34" i="31" s="1"/>
  <c r="H35" i="31" s="1"/>
  <c r="H36" i="31" s="1"/>
  <c r="H37" i="31" s="1"/>
  <c r="H38" i="31" s="1"/>
  <c r="H39" i="31" s="1"/>
  <c r="H40" i="31" s="1"/>
  <c r="H41" i="31" s="1"/>
  <c r="H42" i="31" s="1"/>
  <c r="H43" i="31" s="1"/>
  <c r="H44" i="31" s="1"/>
  <c r="H45" i="31" s="1"/>
  <c r="H46" i="31" s="1"/>
  <c r="H47" i="31" s="1"/>
  <c r="H48" i="31" s="1"/>
  <c r="H49" i="31" s="1"/>
  <c r="H50" i="31" s="1"/>
  <c r="H51" i="31" s="1"/>
  <c r="H52" i="31" s="1"/>
  <c r="H53" i="31" s="1"/>
  <c r="H54" i="31" s="1"/>
  <c r="H55" i="31" s="1"/>
  <c r="H56" i="31" s="1"/>
  <c r="H57" i="31" s="1"/>
  <c r="H58" i="31" s="1"/>
  <c r="H59" i="31" s="1"/>
  <c r="H60" i="31" s="1"/>
  <c r="H61" i="31" s="1"/>
  <c r="H62" i="31" s="1"/>
  <c r="H63" i="31" s="1"/>
  <c r="H64" i="31" s="1"/>
  <c r="H65" i="31" s="1"/>
  <c r="H66" i="31" s="1"/>
  <c r="H67" i="31" s="1"/>
  <c r="H68" i="31" s="1"/>
  <c r="H69" i="31" s="1"/>
  <c r="H70" i="31" s="1"/>
  <c r="H71" i="31" s="1"/>
  <c r="K4" i="31" s="1"/>
  <c r="F72" i="28"/>
  <c r="G72" i="28"/>
  <c r="K42" i="28"/>
  <c r="G72" i="29"/>
  <c r="F72" i="29"/>
  <c r="E72" i="29"/>
  <c r="E37" i="28"/>
  <c r="E72" i="28" s="1"/>
  <c r="K12" i="28"/>
  <c r="K32" i="28"/>
  <c r="K4" i="32" l="1"/>
  <c r="K6" i="32" s="1"/>
  <c r="K15" i="28"/>
  <c r="K22" i="28"/>
  <c r="K25" i="28" s="1"/>
  <c r="K35" i="28"/>
  <c r="K47" i="28"/>
  <c r="K45" i="28"/>
  <c r="K37" i="28"/>
  <c r="L27" i="28"/>
  <c r="K27" i="28" s="1"/>
  <c r="K17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9" i="28" s="1"/>
  <c r="H40" i="28" s="1"/>
  <c r="H41" i="28" s="1"/>
  <c r="H42" i="28" s="1"/>
  <c r="H43" i="28" s="1"/>
  <c r="H44" i="28" s="1"/>
  <c r="H45" i="28" s="1"/>
  <c r="H46" i="28" s="1"/>
  <c r="H47" i="28" s="1"/>
  <c r="H48" i="28" s="1"/>
  <c r="H49" i="28" s="1"/>
  <c r="H50" i="28" s="1"/>
  <c r="H51" i="28" s="1"/>
  <c r="H52" i="28" s="1"/>
  <c r="H53" i="28" s="1"/>
  <c r="H54" i="28" s="1"/>
  <c r="H55" i="28" s="1"/>
  <c r="H56" i="28" s="1"/>
  <c r="H57" i="28" s="1"/>
  <c r="H58" i="28" s="1"/>
  <c r="H59" i="28" s="1"/>
  <c r="H60" i="28" s="1"/>
  <c r="H61" i="28" s="1"/>
  <c r="H62" i="28" s="1"/>
  <c r="H63" i="28" s="1"/>
  <c r="H64" i="28" s="1"/>
  <c r="H65" i="28" s="1"/>
  <c r="H66" i="28" s="1"/>
  <c r="H67" i="28" s="1"/>
  <c r="H68" i="28" s="1"/>
  <c r="H69" i="28" s="1"/>
  <c r="H70" i="28" s="1"/>
  <c r="H71" i="28" s="1"/>
  <c r="H3" i="29" s="1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H46" i="29" s="1"/>
  <c r="H47" i="29" s="1"/>
  <c r="H48" i="29" s="1"/>
  <c r="H49" i="29" s="1"/>
  <c r="H50" i="29" s="1"/>
  <c r="H51" i="29" s="1"/>
  <c r="H52" i="29" s="1"/>
  <c r="H53" i="29" s="1"/>
  <c r="H54" i="29" s="1"/>
  <c r="H55" i="29" s="1"/>
  <c r="H56" i="29" s="1"/>
  <c r="H57" i="29" s="1"/>
  <c r="H58" i="29" s="1"/>
  <c r="H59" i="29" s="1"/>
  <c r="H60" i="29" s="1"/>
  <c r="H61" i="29" s="1"/>
  <c r="H62" i="29" s="1"/>
  <c r="H63" i="29" s="1"/>
  <c r="H64" i="29" s="1"/>
  <c r="H65" i="29" s="1"/>
  <c r="H66" i="29" s="1"/>
  <c r="H67" i="29" s="1"/>
  <c r="H68" i="29" s="1"/>
  <c r="H69" i="29" s="1"/>
  <c r="H70" i="29" s="1"/>
  <c r="H71" i="29" s="1"/>
  <c r="K4" i="28" l="1"/>
  <c r="K12" i="27"/>
  <c r="L47" i="27"/>
  <c r="K47" i="27" s="1"/>
  <c r="L27" i="27"/>
  <c r="K27" i="27" s="1"/>
  <c r="L37" i="27"/>
  <c r="K37" i="27" s="1"/>
  <c r="K17" i="27"/>
  <c r="H4" i="27" l="1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H31" i="27" s="1"/>
  <c r="H32" i="27" s="1"/>
  <c r="H33" i="27" s="1"/>
  <c r="H34" i="27" s="1"/>
  <c r="H35" i="27" s="1"/>
  <c r="H36" i="27" s="1"/>
  <c r="H37" i="27" s="1"/>
  <c r="H38" i="27" s="1"/>
  <c r="H39" i="27" s="1"/>
  <c r="H40" i="27" s="1"/>
  <c r="H41" i="27" s="1"/>
  <c r="H42" i="27" s="1"/>
  <c r="H43" i="27" s="1"/>
  <c r="H44" i="27" s="1"/>
  <c r="H45" i="27" s="1"/>
  <c r="H46" i="27" s="1"/>
  <c r="H47" i="27" s="1"/>
  <c r="H48" i="27" s="1"/>
  <c r="H49" i="27" s="1"/>
  <c r="H50" i="27" s="1"/>
  <c r="H51" i="27" s="1"/>
  <c r="H52" i="27" s="1"/>
  <c r="H53" i="27" s="1"/>
  <c r="H54" i="27" s="1"/>
  <c r="H55" i="27" s="1"/>
  <c r="H56" i="27" s="1"/>
  <c r="H57" i="27" s="1"/>
  <c r="H58" i="27" s="1"/>
  <c r="H59" i="27" s="1"/>
  <c r="H60" i="27" s="1"/>
  <c r="H61" i="27" s="1"/>
  <c r="H62" i="27" s="1"/>
  <c r="H63" i="27" s="1"/>
  <c r="H64" i="27" s="1"/>
  <c r="H65" i="27" s="1"/>
  <c r="H66" i="27" s="1"/>
  <c r="H67" i="27" s="1"/>
  <c r="H68" i="27" s="1"/>
  <c r="H69" i="27" s="1"/>
  <c r="H70" i="27" s="1"/>
  <c r="H71" i="27" s="1"/>
  <c r="K32" i="27"/>
  <c r="L38" i="26"/>
  <c r="K41" i="27" l="1"/>
  <c r="K22" i="27"/>
  <c r="K35" i="27" l="1"/>
  <c r="K42" i="27"/>
  <c r="K25" i="27"/>
  <c r="K15" i="27"/>
  <c r="G72" i="27"/>
  <c r="F72" i="27"/>
  <c r="E72" i="27"/>
  <c r="L28" i="26"/>
  <c r="J37" i="26"/>
  <c r="K41" i="26" s="1"/>
  <c r="J61" i="26"/>
  <c r="K65" i="26" s="1"/>
  <c r="K63" i="26"/>
  <c r="K45" i="27" l="1"/>
  <c r="K47" i="26"/>
  <c r="J45" i="26"/>
  <c r="K49" i="26" s="1"/>
  <c r="E31" i="26"/>
  <c r="K39" i="26" l="1"/>
  <c r="K4" i="27" l="1"/>
  <c r="G68" i="26"/>
  <c r="F68" i="26"/>
  <c r="J53" i="26"/>
  <c r="E68" i="26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H46" i="26" s="1"/>
  <c r="H47" i="26" s="1"/>
  <c r="H48" i="26" s="1"/>
  <c r="H49" i="26" s="1"/>
  <c r="H50" i="26" s="1"/>
  <c r="H51" i="26" s="1"/>
  <c r="H52" i="26" s="1"/>
  <c r="H53" i="26" s="1"/>
  <c r="H54" i="26" s="1"/>
  <c r="H55" i="26" s="1"/>
  <c r="H56" i="26" s="1"/>
  <c r="H57" i="26" s="1"/>
  <c r="H58" i="26" s="1"/>
  <c r="H59" i="26" s="1"/>
  <c r="H60" i="26" s="1"/>
  <c r="H61" i="26" s="1"/>
  <c r="H62" i="26" s="1"/>
  <c r="H63" i="26" s="1"/>
  <c r="H64" i="26" s="1"/>
  <c r="H65" i="26" s="1"/>
  <c r="H66" i="26" s="1"/>
  <c r="H67" i="26" s="1"/>
  <c r="L29" i="26" l="1"/>
  <c r="L31" i="26" s="1"/>
  <c r="K3" i="28" l="1"/>
  <c r="K6" i="28" s="1"/>
  <c r="K3" i="27" l="1"/>
  <c r="K6" i="27" s="1"/>
  <c r="K3" i="31" l="1"/>
  <c r="K6" i="31" s="1"/>
</calcChain>
</file>

<file path=xl/sharedStrings.xml><?xml version="1.0" encoding="utf-8"?>
<sst xmlns="http://schemas.openxmlformats.org/spreadsheetml/2006/main" count="702" uniqueCount="167">
  <si>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</si>
  <si>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</si>
  <si>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</si>
  <si>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</si>
  <si>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</si>
  <si>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</si>
  <si>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</si>
  <si>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</si>
  <si>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</si>
  <si>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</si>
  <si>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</si>
  <si>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</si>
  <si>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</si>
  <si>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</si>
  <si>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</si>
  <si>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</si>
  <si>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</si>
  <si>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</si>
  <si>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</si>
  <si>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</si>
  <si>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</si>
  <si>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</si>
  <si>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</si>
  <si>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</si>
  <si>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</si>
  <si>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</si>
  <si>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</si>
  <si>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</si>
  <si>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</si>
  <si>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</si>
  <si>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</si>
  <si>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</si>
  <si>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</si>
  <si>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</si>
  <si>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</si>
  <si>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</si>
  <si>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</si>
  <si>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</si>
  <si>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</si>
  <si>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</si>
  <si>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</si>
  <si>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</si>
  <si>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</si>
  <si>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</si>
  <si>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</si>
  <si>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</si>
  <si>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</si>
  <si>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</si>
  <si>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</si>
  <si>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</si>
  <si>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</si>
  <si>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</si>
  <si>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</si>
  <si>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</si>
  <si>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</si>
  <si>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</si>
  <si>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</si>
  <si>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</si>
  <si>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</si>
  <si>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</si>
  <si>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</si>
  <si>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</si>
  <si>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</si>
  <si>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</si>
  <si>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</si>
  <si>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</si>
  <si>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</si>
  <si>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</si>
  <si>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</si>
  <si>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</si>
  <si>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</si>
  <si>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</si>
  <si>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</si>
  <si>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</si>
  <si>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</si>
  <si>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</si>
  <si>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</si>
  <si>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</si>
  <si>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</si>
  <si>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</si>
  <si>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</si>
  <si>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</si>
  <si>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</si>
  <si>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</si>
  <si>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</si>
  <si>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</si>
  <si>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</si>
  <si>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</si>
  <si>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</si>
  <si>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</si>
  <si>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</si>
  <si>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</si>
  <si>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</si>
  <si>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</si>
  <si>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</si>
  <si>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</si>
  <si>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</si>
  <si>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</si>
  <si>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</si>
  <si>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</si>
  <si>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</si>
  <si>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</si>
  <si>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</si>
  <si>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</si>
  <si>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</si>
  <si>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</si>
  <si>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</si>
  <si>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</si>
  <si>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</si>
  <si>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</si>
  <si>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</si>
  <si>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</si>
  <si>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</si>
  <si>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</si>
  <si>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</si>
  <si>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</si>
  <si>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</si>
  <si>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</si>
  <si>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</si>
  <si>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</si>
  <si>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</si>
  <si>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</si>
  <si>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</si>
  <si>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</si>
  <si>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</si>
  <si>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</si>
  <si>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</si>
  <si>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</si>
  <si>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</si>
  <si>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</si>
  <si>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</si>
  <si>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</si>
  <si>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</si>
  <si>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</si>
  <si>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</si>
  <si>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</si>
  <si>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</si>
  <si>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</si>
  <si>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</si>
  <si>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</si>
  <si>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</si>
  <si>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</si>
  <si>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</si>
  <si>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</si>
  <si>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</si>
  <si>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</si>
  <si>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</si>
  <si>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</si>
  <si>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</si>
  <si>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</si>
  <si>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</si>
  <si>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</si>
  <si>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</si>
  <si>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</si>
  <si>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Part no. 02, 03, 04, 05</t>
  </si>
  <si>
    <t>Part no. 01, 02, 03, 04, 05</t>
  </si>
  <si>
    <t>Gsl-07</t>
  </si>
  <si>
    <t>Gsl-07, 08, 09</t>
  </si>
  <si>
    <t>Gpl-02</t>
  </si>
  <si>
    <t>Gsl-08</t>
  </si>
  <si>
    <t>Gsl-09</t>
  </si>
  <si>
    <t>Gml-03</t>
  </si>
  <si>
    <t>5Kg-03</t>
  </si>
  <si>
    <t>5Kg-04</t>
  </si>
  <si>
    <t>5Kg-05</t>
  </si>
  <si>
    <t>5Kg-06</t>
  </si>
  <si>
    <t>5Kg-03, 04, 05,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</si>
</sst>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/>
    <xf numFmtId="164" fontId="7" fillId="2" borderId="2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>
        <row r="15">
          <cell r="N15">
            <v>223476.00800000003</v>
          </cell>
        </row>
      </sheetData>
      <sheetData sheetId="4"/>
      <sheetData sheetId="5"/>
      <sheetData sheetId="6">
        <row r="15">
          <cell r="N15">
            <v>43157.370400000007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zoomScaleNormal="100" workbookViewId="0">
      <selection activeCell="P72" sqref="P72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 x14ac:dyDescent="0.35">
      <c r="A1" s="82" t="s">
        <v>15</v>
      </c>
      <c r="B1" s="82"/>
      <c r="C1" s="82"/>
      <c r="D1" s="82"/>
      <c r="E1" s="82"/>
      <c r="F1" s="82"/>
      <c r="G1" s="82"/>
      <c r="H1" s="82"/>
    </row>
    <row r="2" spans="1:8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 x14ac:dyDescent="0.25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 x14ac:dyDescent="0.25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 x14ac:dyDescent="0.25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 x14ac:dyDescent="0.25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 x14ac:dyDescent="0.25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 x14ac:dyDescent="0.25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 x14ac:dyDescent="0.25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 x14ac:dyDescent="0.25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 x14ac:dyDescent="0.25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 x14ac:dyDescent="0.25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 x14ac:dyDescent="0.25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 x14ac:dyDescent="0.25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59232.530000000006</v>
      </c>
    </row>
    <row r="15" spans="1:8" x14ac:dyDescent="0.25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59377.530000000006</v>
      </c>
    </row>
    <row r="16" spans="1:8" ht="15" customHeight="1" x14ac:dyDescent="0.25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54781.530000000006</v>
      </c>
    </row>
    <row r="17" spans="1:14" ht="15" customHeight="1" x14ac:dyDescent="0.25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50699.530000000006</v>
      </c>
    </row>
    <row r="18" spans="1:14" ht="15" customHeight="1" x14ac:dyDescent="0.25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45271.530000000006</v>
      </c>
    </row>
    <row r="19" spans="1:14" ht="15" customHeight="1" x14ac:dyDescent="0.25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37317.530000000006</v>
      </c>
    </row>
    <row r="20" spans="1:14" ht="15" customHeight="1" x14ac:dyDescent="0.25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31341.530000000006</v>
      </c>
    </row>
    <row r="21" spans="1:14" ht="15" customHeight="1" x14ac:dyDescent="0.25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27429.530000000006</v>
      </c>
    </row>
    <row r="22" spans="1:14" ht="15.75" customHeight="1" x14ac:dyDescent="0.25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34800.330000000009</v>
      </c>
    </row>
    <row r="23" spans="1:14" ht="15.75" customHeight="1" x14ac:dyDescent="0.25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27102.330000000009</v>
      </c>
    </row>
    <row r="24" spans="1:14" x14ac:dyDescent="0.25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34473.130000000012</v>
      </c>
    </row>
    <row r="25" spans="1:14" x14ac:dyDescent="0.25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27441.130000000012</v>
      </c>
    </row>
    <row r="26" spans="1:14" x14ac:dyDescent="0.25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22977.130000000012</v>
      </c>
    </row>
    <row r="27" spans="1:14" x14ac:dyDescent="0.25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16029.130000000012</v>
      </c>
    </row>
    <row r="28" spans="1:14" x14ac:dyDescent="0.25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23399.930000000011</v>
      </c>
      <c r="K28" t="s">
        <v>9</v>
      </c>
      <c r="L28" s="1">
        <f>82345.24</f>
        <v>82345.240000000005</v>
      </c>
    </row>
    <row r="29" spans="1:14" ht="15" customHeight="1" x14ac:dyDescent="0.25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17597.930000000011</v>
      </c>
      <c r="K29" t="s">
        <v>10</v>
      </c>
      <c r="L29" s="1">
        <f>H67+K41+K42+K49+K50+K57+K58+K65+K66</f>
        <v>83745.24000000002</v>
      </c>
      <c r="N29" s="1"/>
    </row>
    <row r="30" spans="1:14" ht="15" customHeight="1" x14ac:dyDescent="0.25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11597.930000000011</v>
      </c>
    </row>
    <row r="31" spans="1:14" ht="15.75" customHeight="1" x14ac:dyDescent="0.25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26339.530000000013</v>
      </c>
      <c r="K31" s="83" t="s">
        <v>11</v>
      </c>
      <c r="L31" s="84">
        <f>L28-L29</f>
        <v>-1400.0000000000146</v>
      </c>
    </row>
    <row r="32" spans="1:14" ht="15.75" customHeight="1" x14ac:dyDescent="0.25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26486.940000000013</v>
      </c>
      <c r="K32" s="83"/>
      <c r="L32" s="84"/>
    </row>
    <row r="33" spans="1:15" ht="15.75" customHeight="1" x14ac:dyDescent="0.25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22478.940000000013</v>
      </c>
      <c r="K33" s="44"/>
      <c r="L33" s="45"/>
    </row>
    <row r="34" spans="1:15" ht="15.75" customHeight="1" x14ac:dyDescent="0.25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29609.400000000012</v>
      </c>
      <c r="O34" s="1"/>
    </row>
    <row r="35" spans="1:15" ht="15" customHeight="1" x14ac:dyDescent="0.25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25635.400000000012</v>
      </c>
      <c r="O35" s="1"/>
    </row>
    <row r="36" spans="1:15" x14ac:dyDescent="0.2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32765.860000000011</v>
      </c>
      <c r="J36" s="10"/>
    </row>
    <row r="37" spans="1:15" ht="23.25" x14ac:dyDescent="0.3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35808.420000000013</v>
      </c>
      <c r="J37" s="46">
        <f>E41*1</f>
        <v>7239.04</v>
      </c>
      <c r="K37" s="47" t="s">
        <v>53</v>
      </c>
      <c r="L37" s="48">
        <v>147.41</v>
      </c>
    </row>
    <row r="38" spans="1:15" x14ac:dyDescent="0.2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33174.420000000013</v>
      </c>
      <c r="J38" s="49"/>
      <c r="K38" s="46">
        <v>36195.199999999997</v>
      </c>
      <c r="L38" s="48">
        <f>K38*0.4%</f>
        <v>144.7808</v>
      </c>
    </row>
    <row r="39" spans="1:15" x14ac:dyDescent="0.2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27422.420000000013</v>
      </c>
      <c r="J39" s="49"/>
      <c r="K39" s="49">
        <f>K38/5</f>
        <v>7239.0399999999991</v>
      </c>
      <c r="L39" s="49"/>
    </row>
    <row r="40" spans="1:15" x14ac:dyDescent="0.2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24298.420000000013</v>
      </c>
      <c r="J40" s="49"/>
      <c r="K40" s="49"/>
      <c r="L40" s="49"/>
    </row>
    <row r="41" spans="1:15" x14ac:dyDescent="0.2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31537.460000000014</v>
      </c>
      <c r="J41" s="49" t="s">
        <v>12</v>
      </c>
      <c r="K41" s="48">
        <f>K38-J37</f>
        <v>28956.159999999996</v>
      </c>
      <c r="L41" s="49"/>
    </row>
    <row r="42" spans="1:15" x14ac:dyDescent="0.2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24731.460000000014</v>
      </c>
      <c r="J42" s="49" t="s">
        <v>12</v>
      </c>
      <c r="K42" s="48">
        <v>0</v>
      </c>
      <c r="L42" s="49"/>
    </row>
    <row r="43" spans="1:15" x14ac:dyDescent="0.2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21227.460000000014</v>
      </c>
    </row>
    <row r="44" spans="1:15" x14ac:dyDescent="0.25">
      <c r="A44" s="12"/>
      <c r="B44" s="20"/>
      <c r="C44" s="12"/>
      <c r="D44" s="12"/>
      <c r="E44" s="25"/>
      <c r="F44" s="26"/>
      <c r="G44" s="34"/>
      <c r="H44" s="29">
        <f t="shared" si="0"/>
        <v>21227.460000000014</v>
      </c>
    </row>
    <row r="45" spans="1:15" ht="23.25" x14ac:dyDescent="0.35">
      <c r="A45" s="12"/>
      <c r="B45" s="20"/>
      <c r="C45" s="12"/>
      <c r="D45" s="12"/>
      <c r="E45" s="25"/>
      <c r="F45" s="26"/>
      <c r="G45" s="34"/>
      <c r="H45" s="29">
        <f t="shared" si="0"/>
        <v>21227.460000000014</v>
      </c>
      <c r="J45" s="48">
        <f>E34*2</f>
        <v>14260.92</v>
      </c>
      <c r="K45" s="47" t="s">
        <v>47</v>
      </c>
      <c r="L45" s="49">
        <v>142.5</v>
      </c>
    </row>
    <row r="46" spans="1:15" x14ac:dyDescent="0.25">
      <c r="A46" s="12"/>
      <c r="B46" s="20"/>
      <c r="C46" s="12"/>
      <c r="D46" s="12"/>
      <c r="E46" s="40"/>
      <c r="F46" s="26"/>
      <c r="G46" s="34"/>
      <c r="H46" s="29">
        <f t="shared" si="0"/>
        <v>21227.460000000014</v>
      </c>
      <c r="J46" s="49"/>
      <c r="K46" s="49">
        <v>35652.300000000003</v>
      </c>
      <c r="L46" s="49"/>
    </row>
    <row r="47" spans="1:15" x14ac:dyDescent="0.25">
      <c r="A47" s="12"/>
      <c r="B47" s="12"/>
      <c r="C47" s="12"/>
      <c r="D47" s="12"/>
      <c r="E47" s="40"/>
      <c r="F47" s="26"/>
      <c r="G47" s="34"/>
      <c r="H47" s="29">
        <f t="shared" si="0"/>
        <v>21227.460000000014</v>
      </c>
      <c r="J47" s="49"/>
      <c r="K47" s="48">
        <f>K46/5</f>
        <v>7130.4600000000009</v>
      </c>
      <c r="L47" s="49"/>
    </row>
    <row r="48" spans="1:15" x14ac:dyDescent="0.25">
      <c r="A48" s="12"/>
      <c r="B48" s="12"/>
      <c r="C48" s="12"/>
      <c r="D48" s="12"/>
      <c r="E48" s="25"/>
      <c r="F48" s="42"/>
      <c r="G48" s="34"/>
      <c r="H48" s="29">
        <f t="shared" si="0"/>
        <v>21227.460000000014</v>
      </c>
      <c r="J48" s="49"/>
      <c r="K48" s="49"/>
      <c r="L48" s="49"/>
    </row>
    <row r="49" spans="1:12" x14ac:dyDescent="0.25">
      <c r="A49" s="12"/>
      <c r="B49" s="41"/>
      <c r="C49" s="12"/>
      <c r="D49" s="12"/>
      <c r="E49" s="25"/>
      <c r="F49" s="43"/>
      <c r="G49" s="34"/>
      <c r="H49" s="29">
        <f t="shared" si="0"/>
        <v>21227.460000000014</v>
      </c>
      <c r="J49" s="49" t="s">
        <v>12</v>
      </c>
      <c r="K49" s="48">
        <f>K46-J45</f>
        <v>21391.380000000005</v>
      </c>
      <c r="L49" s="49"/>
    </row>
    <row r="50" spans="1:12" x14ac:dyDescent="0.25">
      <c r="A50" s="12"/>
      <c r="B50" s="20"/>
      <c r="C50" s="12"/>
      <c r="D50" s="12"/>
      <c r="E50" s="25"/>
      <c r="F50" s="26"/>
      <c r="G50" s="34"/>
      <c r="H50" s="29">
        <f t="shared" si="0"/>
        <v>21227.460000000014</v>
      </c>
      <c r="J50" s="49" t="s">
        <v>12</v>
      </c>
      <c r="K50" s="48">
        <v>0</v>
      </c>
      <c r="L50" s="49"/>
    </row>
    <row r="51" spans="1:12" x14ac:dyDescent="0.25">
      <c r="A51" s="12"/>
      <c r="B51" s="20"/>
      <c r="C51" s="12"/>
      <c r="D51" s="12"/>
      <c r="E51" s="25"/>
      <c r="F51" s="26"/>
      <c r="G51" s="34"/>
      <c r="H51" s="29">
        <f t="shared" si="0"/>
        <v>21227.460000000014</v>
      </c>
    </row>
    <row r="52" spans="1:12" x14ac:dyDescent="0.25">
      <c r="A52" s="12"/>
      <c r="B52" s="20"/>
      <c r="C52" s="12"/>
      <c r="D52" s="12"/>
      <c r="E52" s="25"/>
      <c r="F52" s="26"/>
      <c r="G52" s="34"/>
      <c r="H52" s="29">
        <f t="shared" si="0"/>
        <v>21227.460000000014</v>
      </c>
    </row>
    <row r="53" spans="1:12" ht="23.25" x14ac:dyDescent="0.35">
      <c r="A53" s="12"/>
      <c r="B53" s="20"/>
      <c r="C53" s="12"/>
      <c r="D53" s="12"/>
      <c r="E53" s="25"/>
      <c r="F53" s="26"/>
      <c r="G53" s="34"/>
      <c r="H53" s="29">
        <f t="shared" si="0"/>
        <v>21227.460000000014</v>
      </c>
      <c r="J53" s="48">
        <f>E11</f>
        <v>0</v>
      </c>
      <c r="K53" s="47" t="s">
        <v>13</v>
      </c>
      <c r="L53" s="49">
        <v>69.89</v>
      </c>
    </row>
    <row r="54" spans="1:12" x14ac:dyDescent="0.25">
      <c r="A54" s="12"/>
      <c r="B54" s="12"/>
      <c r="C54" s="12"/>
      <c r="D54" s="12"/>
      <c r="E54" s="4"/>
      <c r="F54" s="26"/>
      <c r="G54" s="34"/>
      <c r="H54" s="29">
        <f t="shared" si="0"/>
        <v>21227.460000000014</v>
      </c>
      <c r="J54" s="49"/>
      <c r="K54" s="49"/>
      <c r="L54" s="49"/>
    </row>
    <row r="55" spans="1:12" x14ac:dyDescent="0.25">
      <c r="A55" s="12"/>
      <c r="B55" s="20"/>
      <c r="C55" s="12"/>
      <c r="D55" s="12"/>
      <c r="E55" s="40"/>
      <c r="F55" s="26"/>
      <c r="G55" s="34"/>
      <c r="H55" s="29">
        <f t="shared" si="0"/>
        <v>21227.460000000014</v>
      </c>
      <c r="J55" s="49"/>
      <c r="K55" s="49"/>
      <c r="L55" s="49"/>
    </row>
    <row r="56" spans="1:12" x14ac:dyDescent="0.25">
      <c r="A56" s="12"/>
      <c r="B56" s="20"/>
      <c r="C56" s="12"/>
      <c r="D56" s="12"/>
      <c r="E56" s="25"/>
      <c r="F56" s="26"/>
      <c r="G56" s="34"/>
      <c r="H56" s="29">
        <f t="shared" si="0"/>
        <v>21227.460000000014</v>
      </c>
      <c r="J56" s="49"/>
      <c r="K56" s="49"/>
      <c r="L56" s="49"/>
    </row>
    <row r="57" spans="1:12" x14ac:dyDescent="0.25">
      <c r="A57" s="12"/>
      <c r="B57" s="20"/>
      <c r="C57" s="12"/>
      <c r="D57" s="12"/>
      <c r="E57" s="25"/>
      <c r="F57" s="26"/>
      <c r="G57" s="34"/>
      <c r="H57" s="29">
        <f t="shared" si="0"/>
        <v>21227.460000000014</v>
      </c>
      <c r="J57" s="49" t="s">
        <v>12</v>
      </c>
      <c r="K57" s="48">
        <v>0</v>
      </c>
      <c r="L57" s="49"/>
    </row>
    <row r="58" spans="1:12" x14ac:dyDescent="0.25">
      <c r="A58" s="12"/>
      <c r="B58" s="20"/>
      <c r="C58" s="12"/>
      <c r="D58" s="12"/>
      <c r="E58" s="25"/>
      <c r="F58" s="26"/>
      <c r="G58" s="34"/>
      <c r="H58" s="29">
        <f t="shared" si="0"/>
        <v>21227.460000000014</v>
      </c>
      <c r="J58" s="49" t="s">
        <v>12</v>
      </c>
      <c r="K58" s="48">
        <v>0</v>
      </c>
      <c r="L58" s="49"/>
    </row>
    <row r="59" spans="1:12" x14ac:dyDescent="0.25">
      <c r="A59" s="12"/>
      <c r="B59" s="20"/>
      <c r="C59" s="12"/>
      <c r="D59" s="12"/>
      <c r="E59" s="25"/>
      <c r="F59" s="26"/>
      <c r="G59" s="34"/>
      <c r="H59" s="29">
        <f t="shared" si="0"/>
        <v>21227.460000000014</v>
      </c>
    </row>
    <row r="60" spans="1:12" x14ac:dyDescent="0.25">
      <c r="A60" s="12"/>
      <c r="B60" s="20"/>
      <c r="C60" s="12"/>
      <c r="D60" s="12"/>
      <c r="E60" s="25"/>
      <c r="F60" s="26"/>
      <c r="G60" s="34"/>
      <c r="H60" s="29">
        <f t="shared" si="0"/>
        <v>21227.460000000014</v>
      </c>
    </row>
    <row r="61" spans="1:12" ht="23.25" x14ac:dyDescent="0.35">
      <c r="A61" s="12"/>
      <c r="B61" s="20"/>
      <c r="C61" s="12"/>
      <c r="D61" s="12"/>
      <c r="E61" s="25"/>
      <c r="F61" s="26"/>
      <c r="G61" s="34"/>
      <c r="H61" s="29">
        <f t="shared" si="0"/>
        <v>21227.460000000014</v>
      </c>
      <c r="J61" s="48">
        <f>E37*1</f>
        <v>3042.56</v>
      </c>
      <c r="K61" s="47" t="s">
        <v>49</v>
      </c>
      <c r="L61" s="49">
        <v>60.85</v>
      </c>
    </row>
    <row r="62" spans="1:12" x14ac:dyDescent="0.25">
      <c r="A62" s="12"/>
      <c r="B62" s="20"/>
      <c r="C62" s="12"/>
      <c r="D62" s="12"/>
      <c r="E62" s="40"/>
      <c r="F62" s="26"/>
      <c r="G62" s="34"/>
      <c r="H62" s="29">
        <f t="shared" si="0"/>
        <v>21227.460000000014</v>
      </c>
      <c r="J62" s="49"/>
      <c r="K62" s="49">
        <v>15212.8</v>
      </c>
      <c r="L62" s="49"/>
    </row>
    <row r="63" spans="1:12" x14ac:dyDescent="0.25">
      <c r="A63" s="12"/>
      <c r="B63" s="20"/>
      <c r="C63" s="12"/>
      <c r="D63" s="12"/>
      <c r="E63" s="40"/>
      <c r="F63" s="26"/>
      <c r="G63" s="34"/>
      <c r="H63" s="29">
        <f t="shared" si="0"/>
        <v>21227.460000000014</v>
      </c>
      <c r="J63" s="49"/>
      <c r="K63" s="49">
        <f>K62/5</f>
        <v>3042.56</v>
      </c>
      <c r="L63" s="49"/>
    </row>
    <row r="64" spans="1:12" x14ac:dyDescent="0.25">
      <c r="A64" s="12"/>
      <c r="B64" s="20"/>
      <c r="C64" s="12"/>
      <c r="D64" s="12"/>
      <c r="E64" s="40"/>
      <c r="F64" s="26"/>
      <c r="G64" s="34"/>
      <c r="H64" s="29">
        <f t="shared" si="0"/>
        <v>21227.460000000014</v>
      </c>
      <c r="J64" s="49"/>
      <c r="K64" s="49"/>
      <c r="L64" s="49"/>
    </row>
    <row r="65" spans="1:12" x14ac:dyDescent="0.25">
      <c r="A65" s="12"/>
      <c r="B65" s="20"/>
      <c r="C65" s="12"/>
      <c r="D65" s="12"/>
      <c r="E65" s="25"/>
      <c r="F65" s="26"/>
      <c r="G65" s="34"/>
      <c r="H65" s="29">
        <f t="shared" si="0"/>
        <v>21227.460000000014</v>
      </c>
      <c r="J65" s="49" t="s">
        <v>12</v>
      </c>
      <c r="K65" s="48">
        <f>K62-J61</f>
        <v>12170.24</v>
      </c>
      <c r="L65" s="49"/>
    </row>
    <row r="66" spans="1:12" x14ac:dyDescent="0.25">
      <c r="A66" s="12"/>
      <c r="B66" s="12"/>
      <c r="C66" s="12"/>
      <c r="D66" s="12"/>
      <c r="E66" s="25"/>
      <c r="F66" s="26"/>
      <c r="G66" s="34"/>
      <c r="H66" s="29">
        <f t="shared" si="0"/>
        <v>21227.460000000014</v>
      </c>
      <c r="J66" s="49" t="s">
        <v>12</v>
      </c>
      <c r="K66" s="49">
        <v>0</v>
      </c>
      <c r="L66" s="49"/>
    </row>
    <row r="67" spans="1:12" ht="15.75" thickBot="1" x14ac:dyDescent="0.3">
      <c r="A67" s="12"/>
      <c r="B67" s="20"/>
      <c r="C67" s="12"/>
      <c r="D67" s="12"/>
      <c r="E67" s="25"/>
      <c r="F67" s="26"/>
      <c r="G67" s="34"/>
      <c r="H67" s="29">
        <f t="shared" si="0"/>
        <v>21227.460000000014</v>
      </c>
    </row>
    <row r="68" spans="1:12" ht="15.75" thickBot="1" x14ac:dyDescent="0.3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/>
    </row>
    <row r="69" spans="1:12" x14ac:dyDescent="0.25">
      <c r="A69" s="2"/>
      <c r="B69" s="13"/>
      <c r="C69" s="9"/>
      <c r="D69" s="2"/>
      <c r="E69" s="2"/>
      <c r="F69" s="36"/>
      <c r="G69" s="36"/>
      <c r="H69" s="31"/>
    </row>
    <row r="70" spans="1:12" x14ac:dyDescent="0.25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5"/>
  <sheetViews>
    <sheetView topLeftCell="A34" zoomScaleNormal="100" workbookViewId="0">
      <selection activeCell="G5" sqref="G5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2" t="s">
        <v>61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62</v>
      </c>
      <c r="B3" s="19" t="s">
        <v>8</v>
      </c>
      <c r="C3" s="22"/>
      <c r="D3" s="3"/>
      <c r="E3" s="2"/>
      <c r="F3" s="71"/>
      <c r="G3" s="67"/>
      <c r="H3" s="30">
        <v>21227.46</v>
      </c>
      <c r="I3" s="54"/>
      <c r="J3" s="74" t="s">
        <v>9</v>
      </c>
      <c r="K3" s="75">
        <f>'[1]May 2021'!$N$15</f>
        <v>43031.329999999994</v>
      </c>
    </row>
    <row r="4" spans="1:12" x14ac:dyDescent="0.25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24270.02</v>
      </c>
      <c r="I4" s="54"/>
      <c r="J4" s="76" t="s">
        <v>10</v>
      </c>
      <c r="K4" s="77">
        <f>H71+K15+K35+K25+K45</f>
        <v>44431.330000000009</v>
      </c>
    </row>
    <row r="5" spans="1:12" ht="15.75" thickBot="1" x14ac:dyDescent="0.3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21894.02</v>
      </c>
      <c r="I5" s="54"/>
      <c r="J5" s="78"/>
      <c r="K5" s="79"/>
    </row>
    <row r="6" spans="1:12" x14ac:dyDescent="0.25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54"/>
      <c r="J6" s="86" t="s">
        <v>11</v>
      </c>
      <c r="K6" s="88">
        <f>K3-K4</f>
        <v>-1400.0000000000146</v>
      </c>
    </row>
    <row r="7" spans="1:12" ht="15.75" thickBot="1" x14ac:dyDescent="0.3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54"/>
      <c r="J7" s="87"/>
      <c r="K7" s="89"/>
    </row>
    <row r="8" spans="1:12" x14ac:dyDescent="0.25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54"/>
    </row>
    <row r="9" spans="1:12" x14ac:dyDescent="0.25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54"/>
    </row>
    <row r="10" spans="1:12" x14ac:dyDescent="0.25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54"/>
    </row>
    <row r="11" spans="1:12" ht="15" customHeight="1" x14ac:dyDescent="0.25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54"/>
      <c r="J11" s="57" t="s">
        <v>56</v>
      </c>
      <c r="K11" s="66">
        <v>35224</v>
      </c>
      <c r="L11" s="85" t="s">
        <v>76</v>
      </c>
    </row>
    <row r="12" spans="1:12" ht="15" customHeight="1" x14ac:dyDescent="0.25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40743.019999999997</v>
      </c>
      <c r="I12" s="54"/>
      <c r="J12" s="51" t="s">
        <v>57</v>
      </c>
      <c r="K12" s="50">
        <f>K11/5</f>
        <v>7044.8</v>
      </c>
      <c r="L12" s="85"/>
    </row>
    <row r="13" spans="1:12" ht="15" customHeight="1" x14ac:dyDescent="0.25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54"/>
      <c r="J13" s="51" t="s">
        <v>60</v>
      </c>
      <c r="K13" s="65">
        <v>4</v>
      </c>
      <c r="L13" s="85"/>
    </row>
    <row r="14" spans="1:12" ht="15.75" customHeight="1" thickBot="1" x14ac:dyDescent="0.3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54"/>
      <c r="J14" s="60"/>
      <c r="K14" s="61"/>
      <c r="L14" s="85"/>
    </row>
    <row r="15" spans="1:12" ht="15.75" customHeight="1" thickBot="1" x14ac:dyDescent="0.3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54"/>
      <c r="J15" s="63" t="s">
        <v>55</v>
      </c>
      <c r="K15" s="62">
        <f>K11-(K12*K13)</f>
        <v>7044.7999999999993</v>
      </c>
      <c r="L15" s="85"/>
    </row>
    <row r="16" spans="1:12" ht="15" customHeight="1" x14ac:dyDescent="0.25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54"/>
      <c r="J16" s="49"/>
      <c r="K16" s="49"/>
      <c r="L16" s="73" t="s">
        <v>75</v>
      </c>
    </row>
    <row r="17" spans="1:12" ht="15" customHeight="1" x14ac:dyDescent="0.25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 x14ac:dyDescent="0.25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54"/>
      <c r="J18" s="49"/>
      <c r="K18" s="49"/>
      <c r="L18" s="72"/>
    </row>
    <row r="19" spans="1:12" ht="15" customHeight="1" x14ac:dyDescent="0.25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54"/>
    </row>
    <row r="20" spans="1:12" ht="15" customHeight="1" x14ac:dyDescent="0.25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54"/>
    </row>
    <row r="21" spans="1:12" ht="15" customHeight="1" x14ac:dyDescent="0.25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54"/>
      <c r="J21" s="57" t="s">
        <v>56</v>
      </c>
      <c r="K21" s="66">
        <v>12170.24</v>
      </c>
      <c r="L21" s="85" t="s">
        <v>49</v>
      </c>
    </row>
    <row r="22" spans="1:12" ht="15" customHeight="1" x14ac:dyDescent="0.25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54"/>
      <c r="J22" s="51" t="s">
        <v>57</v>
      </c>
      <c r="K22" s="50">
        <f>K21/4</f>
        <v>3042.56</v>
      </c>
      <c r="L22" s="85"/>
    </row>
    <row r="23" spans="1:12" ht="15" customHeight="1" x14ac:dyDescent="0.25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54"/>
      <c r="J23" s="51" t="s">
        <v>60</v>
      </c>
      <c r="K23" s="65">
        <v>2</v>
      </c>
      <c r="L23" s="85"/>
    </row>
    <row r="24" spans="1:12" ht="15.75" customHeight="1" thickBot="1" x14ac:dyDescent="0.3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54"/>
      <c r="J24" s="60"/>
      <c r="K24" s="61"/>
      <c r="L24" s="85"/>
    </row>
    <row r="25" spans="1:12" ht="15.75" customHeight="1" thickBot="1" x14ac:dyDescent="0.3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54"/>
      <c r="J25" s="63" t="s">
        <v>55</v>
      </c>
      <c r="K25" s="62">
        <f>K21-(K22*K23)</f>
        <v>6085.12</v>
      </c>
      <c r="L25" s="85"/>
    </row>
    <row r="26" spans="1:12" ht="15" customHeight="1" x14ac:dyDescent="0.25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54"/>
      <c r="J26" s="49"/>
      <c r="K26" s="49"/>
      <c r="L26" s="73" t="s">
        <v>75</v>
      </c>
    </row>
    <row r="27" spans="1:12" ht="15" customHeight="1" x14ac:dyDescent="0.25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54"/>
      <c r="J28" s="49"/>
      <c r="K28" s="49"/>
      <c r="L28" s="72"/>
    </row>
    <row r="29" spans="1:12" x14ac:dyDescent="0.25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54"/>
    </row>
    <row r="30" spans="1:12" x14ac:dyDescent="0.25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54"/>
    </row>
    <row r="31" spans="1:12" ht="15" customHeight="1" x14ac:dyDescent="0.25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54"/>
      <c r="J31" s="57" t="s">
        <v>56</v>
      </c>
      <c r="K31" s="58">
        <v>16000.7</v>
      </c>
      <c r="L31" s="85" t="s">
        <v>74</v>
      </c>
    </row>
    <row r="32" spans="1:12" ht="15" customHeight="1" x14ac:dyDescent="0.25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54"/>
      <c r="J32" s="51" t="s">
        <v>57</v>
      </c>
      <c r="K32" s="50">
        <f>K31/5</f>
        <v>3200.1400000000003</v>
      </c>
      <c r="L32" s="85"/>
    </row>
    <row r="33" spans="1:16" ht="15" customHeight="1" x14ac:dyDescent="0.25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54"/>
      <c r="J33" s="51" t="s">
        <v>60</v>
      </c>
      <c r="K33" s="65">
        <v>2</v>
      </c>
      <c r="L33" s="85"/>
    </row>
    <row r="34" spans="1:16" ht="15.75" customHeight="1" thickBot="1" x14ac:dyDescent="0.3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54"/>
      <c r="J34" s="60"/>
      <c r="K34" s="61"/>
      <c r="L34" s="85"/>
    </row>
    <row r="35" spans="1:16" ht="15.75" customHeight="1" thickBot="1" x14ac:dyDescent="0.3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54"/>
      <c r="J35" s="63" t="s">
        <v>55</v>
      </c>
      <c r="K35" s="62">
        <f>K31-(K32*K33)</f>
        <v>9600.42</v>
      </c>
      <c r="L35" s="85"/>
    </row>
    <row r="36" spans="1:16" ht="15.75" customHeight="1" x14ac:dyDescent="0.25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54"/>
      <c r="J36" s="49"/>
      <c r="K36" s="49"/>
      <c r="L36" s="73" t="s">
        <v>75</v>
      </c>
    </row>
    <row r="37" spans="1:16" ht="15.75" customHeight="1" x14ac:dyDescent="0.25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 x14ac:dyDescent="0.25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54"/>
      <c r="J38" s="49"/>
      <c r="K38" s="49"/>
      <c r="L38" s="72"/>
      <c r="P38" s="1"/>
    </row>
    <row r="39" spans="1:16" x14ac:dyDescent="0.25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 s="54"/>
      <c r="K39" s="10"/>
    </row>
    <row r="40" spans="1:16" x14ac:dyDescent="0.25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 s="54"/>
      <c r="K40" s="10"/>
    </row>
    <row r="41" spans="1:16" ht="15" customHeight="1" x14ac:dyDescent="0.25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54"/>
      <c r="J41" s="57" t="s">
        <v>56</v>
      </c>
      <c r="K41" s="66">
        <f>21391.38</f>
        <v>21391.38</v>
      </c>
      <c r="L41" s="85" t="s">
        <v>59</v>
      </c>
    </row>
    <row r="42" spans="1:16" ht="15.75" customHeight="1" x14ac:dyDescent="0.25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54"/>
      <c r="J42" s="51" t="s">
        <v>57</v>
      </c>
      <c r="K42" s="50">
        <f>K41/3</f>
        <v>7130.46</v>
      </c>
      <c r="L42" s="85"/>
    </row>
    <row r="43" spans="1:16" ht="15.75" customHeight="1" x14ac:dyDescent="0.25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54"/>
      <c r="J43" s="51" t="s">
        <v>60</v>
      </c>
      <c r="K43" s="65">
        <v>3</v>
      </c>
      <c r="L43" s="85"/>
    </row>
    <row r="44" spans="1:16" ht="15.75" customHeight="1" thickBot="1" x14ac:dyDescent="0.3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54"/>
      <c r="J44" s="60"/>
      <c r="K44" s="61"/>
      <c r="L44" s="85"/>
    </row>
    <row r="45" spans="1:16" ht="15.75" customHeight="1" thickBot="1" x14ac:dyDescent="0.3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54"/>
      <c r="J45" s="63" t="s">
        <v>55</v>
      </c>
      <c r="K45" s="62">
        <f>K41-(K42*K43)</f>
        <v>0</v>
      </c>
      <c r="L45" s="85"/>
    </row>
    <row r="46" spans="1:16" ht="15" customHeight="1" x14ac:dyDescent="0.25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54"/>
      <c r="J46" s="49"/>
      <c r="K46" s="49"/>
      <c r="L46" s="73" t="s">
        <v>75</v>
      </c>
    </row>
    <row r="47" spans="1:16" ht="15" customHeight="1" x14ac:dyDescent="0.25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 x14ac:dyDescent="0.25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54"/>
      <c r="J48" s="49"/>
      <c r="K48" s="49"/>
      <c r="L48" s="72"/>
    </row>
    <row r="49" spans="1:13" x14ac:dyDescent="0.25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54"/>
    </row>
    <row r="50" spans="1:13" x14ac:dyDescent="0.25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54"/>
    </row>
    <row r="51" spans="1:13" x14ac:dyDescent="0.25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54"/>
      <c r="J52" s="64"/>
      <c r="K52" s="64"/>
      <c r="L52" s="64"/>
      <c r="M52" s="64"/>
    </row>
    <row r="53" spans="1:13" x14ac:dyDescent="0.25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54"/>
    </row>
    <row r="55" spans="1:13" x14ac:dyDescent="0.25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54"/>
    </row>
    <row r="56" spans="1:13" x14ac:dyDescent="0.25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54"/>
    </row>
    <row r="57" spans="1:13" x14ac:dyDescent="0.25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54"/>
    </row>
    <row r="58" spans="1:13" x14ac:dyDescent="0.25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54"/>
    </row>
    <row r="59" spans="1:13" x14ac:dyDescent="0.25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54"/>
    </row>
    <row r="60" spans="1:13" x14ac:dyDescent="0.25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54"/>
    </row>
    <row r="72" spans="1:9" ht="15.75" thickBot="1" x14ac:dyDescent="0.3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95"/>
  <sheetViews>
    <sheetView topLeftCell="A34" zoomScaleNormal="100" workbookViewId="0">
      <selection activeCell="H55" sqref="H55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91</v>
      </c>
      <c r="B3" s="19" t="s">
        <v>8</v>
      </c>
      <c r="C3" s="22"/>
      <c r="D3" s="3"/>
      <c r="E3" s="2"/>
      <c r="F3" s="71"/>
      <c r="G3" s="67"/>
      <c r="H3" s="30">
        <v>21700.99</v>
      </c>
      <c r="I3" s="54"/>
      <c r="J3" s="74" t="s">
        <v>9</v>
      </c>
      <c r="K3" s="75">
        <f>'[1]June 2021'!$N$15</f>
        <v>65436.87</v>
      </c>
    </row>
    <row r="4" spans="1:12" ht="15.75" thickBot="1" x14ac:dyDescent="0.3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28745.83</v>
      </c>
      <c r="I4" s="54"/>
      <c r="J4" s="76" t="s">
        <v>10</v>
      </c>
      <c r="K4" s="77">
        <f>H71+K15+K35+K25+K45</f>
        <v>65436.869999999995</v>
      </c>
    </row>
    <row r="5" spans="1:12" ht="15.75" thickBot="1" x14ac:dyDescent="0.3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52" si="0">H4+E5+F5-G5</f>
        <v>28886.730000000003</v>
      </c>
      <c r="I5" s="54"/>
      <c r="J5" s="78"/>
      <c r="K5" s="79"/>
    </row>
    <row r="6" spans="1:12" ht="15.75" thickBot="1" x14ac:dyDescent="0.3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54"/>
      <c r="J6" s="86" t="s">
        <v>11</v>
      </c>
      <c r="K6" s="88">
        <f>K3-K4</f>
        <v>0</v>
      </c>
    </row>
    <row r="7" spans="1:12" ht="15.75" thickBot="1" x14ac:dyDescent="0.3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54"/>
      <c r="J7" s="87"/>
      <c r="K7" s="89"/>
    </row>
    <row r="8" spans="1:12" ht="15.75" thickBot="1" x14ac:dyDescent="0.3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54"/>
    </row>
    <row r="9" spans="1:12" x14ac:dyDescent="0.25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54"/>
    </row>
    <row r="10" spans="1:12" x14ac:dyDescent="0.25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54"/>
    </row>
    <row r="11" spans="1:12" ht="15" customHeight="1" x14ac:dyDescent="0.25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54"/>
      <c r="J11" s="57" t="s">
        <v>56</v>
      </c>
      <c r="K11" s="66">
        <v>37533.699999999997</v>
      </c>
      <c r="L11" s="85" t="s">
        <v>122</v>
      </c>
    </row>
    <row r="12" spans="1:12" ht="15" customHeight="1" x14ac:dyDescent="0.25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32096.83</v>
      </c>
      <c r="I12" s="54"/>
      <c r="J12" s="51" t="s">
        <v>57</v>
      </c>
      <c r="K12" s="50">
        <f>K11/5</f>
        <v>7506.74</v>
      </c>
      <c r="L12" s="85"/>
    </row>
    <row r="13" spans="1:12" ht="15" customHeight="1" x14ac:dyDescent="0.25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54"/>
      <c r="J13" s="51" t="s">
        <v>60</v>
      </c>
      <c r="K13" s="65">
        <v>1</v>
      </c>
      <c r="L13" s="85"/>
    </row>
    <row r="14" spans="1:12" ht="15.75" customHeight="1" thickBot="1" x14ac:dyDescent="0.3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54"/>
      <c r="J14" s="60"/>
      <c r="K14" s="61"/>
      <c r="L14" s="85"/>
    </row>
    <row r="15" spans="1:12" ht="15.75" customHeight="1" thickBot="1" x14ac:dyDescent="0.3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54"/>
      <c r="J15" s="63" t="s">
        <v>55</v>
      </c>
      <c r="K15" s="62">
        <f>K11-(K12*K13)</f>
        <v>30026.959999999999</v>
      </c>
      <c r="L15" s="85"/>
    </row>
    <row r="16" spans="1:12" ht="15" customHeight="1" x14ac:dyDescent="0.25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54"/>
      <c r="J16" s="49"/>
      <c r="K16" s="49"/>
      <c r="L16" s="73" t="s">
        <v>75</v>
      </c>
    </row>
    <row r="17" spans="1:12" ht="15" customHeight="1" x14ac:dyDescent="0.25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 x14ac:dyDescent="0.25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54"/>
      <c r="J18" s="49"/>
      <c r="K18" s="49"/>
      <c r="L18" s="72"/>
    </row>
    <row r="19" spans="1:12" ht="15" customHeight="1" x14ac:dyDescent="0.25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54"/>
    </row>
    <row r="20" spans="1:12" ht="15" customHeight="1" x14ac:dyDescent="0.25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54"/>
    </row>
    <row r="21" spans="1:12" ht="15" customHeight="1" x14ac:dyDescent="0.25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54"/>
      <c r="J21" s="57" t="s">
        <v>56</v>
      </c>
      <c r="K21" s="66">
        <v>6085.12</v>
      </c>
      <c r="L21" s="85" t="s">
        <v>49</v>
      </c>
    </row>
    <row r="22" spans="1:12" ht="15" customHeight="1" x14ac:dyDescent="0.25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54"/>
      <c r="J22" s="51" t="s">
        <v>57</v>
      </c>
      <c r="K22" s="50">
        <f>K21/2</f>
        <v>3042.56</v>
      </c>
      <c r="L22" s="85"/>
    </row>
    <row r="23" spans="1:12" ht="15" customHeight="1" x14ac:dyDescent="0.25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54"/>
      <c r="J23" s="51" t="s">
        <v>60</v>
      </c>
      <c r="K23" s="65">
        <v>1</v>
      </c>
      <c r="L23" s="85"/>
    </row>
    <row r="24" spans="1:12" ht="15.75" customHeight="1" thickBot="1" x14ac:dyDescent="0.3">
      <c r="A24" s="12" t="s">
        <v>106</v>
      </c>
      <c r="B24" s="20" t="s">
        <v>25</v>
      </c>
      <c r="C24" s="12"/>
      <c r="D24" s="12"/>
      <c r="E24" s="26"/>
      <c r="F24" s="26"/>
      <c r="G24" s="34">
        <v>1400</v>
      </c>
      <c r="H24" s="29">
        <f t="shared" si="0"/>
        <v>17835.010000000002</v>
      </c>
      <c r="I24" s="54"/>
      <c r="J24" s="60"/>
      <c r="K24" s="61"/>
      <c r="L24" s="85"/>
    </row>
    <row r="25" spans="1:12" ht="15.75" customHeight="1" thickBot="1" x14ac:dyDescent="0.3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3042.56</v>
      </c>
      <c r="L25" s="85"/>
    </row>
    <row r="26" spans="1:12" ht="15" customHeight="1" x14ac:dyDescent="0.25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 x14ac:dyDescent="0.25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15562.910000000003</v>
      </c>
      <c r="I28" s="54"/>
      <c r="J28" s="49"/>
      <c r="K28" s="49"/>
      <c r="L28" s="72"/>
    </row>
    <row r="29" spans="1:12" x14ac:dyDescent="0.25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11914.910000000003</v>
      </c>
      <c r="I29" s="54"/>
    </row>
    <row r="30" spans="1:12" x14ac:dyDescent="0.25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19372.810000000005</v>
      </c>
      <c r="I30" s="54"/>
    </row>
    <row r="31" spans="1:12" ht="15" customHeight="1" x14ac:dyDescent="0.25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16102.810000000005</v>
      </c>
      <c r="I31" s="54"/>
      <c r="J31" s="57" t="s">
        <v>56</v>
      </c>
      <c r="K31" s="58">
        <v>18585</v>
      </c>
      <c r="L31" s="85" t="s">
        <v>112</v>
      </c>
    </row>
    <row r="32" spans="1:12" ht="15" customHeight="1" x14ac:dyDescent="0.25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13794.810000000005</v>
      </c>
      <c r="I32" s="54"/>
      <c r="J32" s="51" t="s">
        <v>57</v>
      </c>
      <c r="K32" s="50">
        <f>K31/5</f>
        <v>3717</v>
      </c>
      <c r="L32" s="85"/>
    </row>
    <row r="33" spans="1:16" ht="15" customHeight="1" x14ac:dyDescent="0.25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8772.8100000000049</v>
      </c>
      <c r="I33" s="54"/>
      <c r="J33" s="51" t="s">
        <v>60</v>
      </c>
      <c r="K33" s="65">
        <v>1</v>
      </c>
      <c r="L33" s="85"/>
    </row>
    <row r="34" spans="1:16" ht="15.75" customHeight="1" thickBot="1" x14ac:dyDescent="0.3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16230.710000000005</v>
      </c>
      <c r="I34" s="54"/>
      <c r="J34" s="60"/>
      <c r="K34" s="61"/>
      <c r="L34" s="85"/>
    </row>
    <row r="35" spans="1:16" ht="15.75" customHeight="1" thickBot="1" x14ac:dyDescent="0.3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13686.710000000005</v>
      </c>
      <c r="I35" s="54"/>
      <c r="J35" s="63" t="s">
        <v>55</v>
      </c>
      <c r="K35" s="62">
        <f>K31-(K32*K33)</f>
        <v>14868</v>
      </c>
      <c r="L35" s="85"/>
    </row>
    <row r="36" spans="1:16" ht="15.75" customHeight="1" x14ac:dyDescent="0.25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7302.7100000000046</v>
      </c>
      <c r="I36" s="54"/>
      <c r="J36" s="49"/>
      <c r="K36" s="49"/>
      <c r="L36" s="73" t="s">
        <v>75</v>
      </c>
    </row>
    <row r="37" spans="1:16" ht="15.75" customHeight="1" x14ac:dyDescent="0.25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14768.910000000003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 x14ac:dyDescent="0.25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14909.810000000003</v>
      </c>
      <c r="I38" s="54"/>
      <c r="J38" s="49"/>
      <c r="K38" s="49"/>
      <c r="L38" s="72"/>
      <c r="P38" s="1"/>
    </row>
    <row r="39" spans="1:16" x14ac:dyDescent="0.25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17952.370000000003</v>
      </c>
      <c r="I39" s="54"/>
      <c r="K39" s="10"/>
    </row>
    <row r="40" spans="1:16" x14ac:dyDescent="0.25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13084.370000000003</v>
      </c>
      <c r="I40" s="54"/>
      <c r="K40" s="10"/>
    </row>
    <row r="41" spans="1:16" ht="15" customHeight="1" x14ac:dyDescent="0.25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6390.3700000000026</v>
      </c>
      <c r="I41" s="54"/>
      <c r="J41" s="57" t="s">
        <v>56</v>
      </c>
      <c r="K41" s="66">
        <v>35320</v>
      </c>
      <c r="L41" s="85" t="s">
        <v>110</v>
      </c>
    </row>
    <row r="42" spans="1:16" ht="15.75" customHeight="1" x14ac:dyDescent="0.25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13454.370000000003</v>
      </c>
      <c r="I42" s="54"/>
      <c r="J42" s="51" t="s">
        <v>57</v>
      </c>
      <c r="K42" s="50">
        <f>K41/5</f>
        <v>7064</v>
      </c>
      <c r="L42" s="85"/>
    </row>
    <row r="43" spans="1:16" ht="15.75" customHeight="1" x14ac:dyDescent="0.25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7424.3700000000026</v>
      </c>
      <c r="I43" s="54"/>
      <c r="J43" s="51" t="s">
        <v>60</v>
      </c>
      <c r="K43" s="65">
        <v>5</v>
      </c>
      <c r="L43" s="85"/>
    </row>
    <row r="44" spans="1:16" ht="15.75" customHeight="1" thickBot="1" x14ac:dyDescent="0.3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14488.370000000003</v>
      </c>
      <c r="I44" s="54"/>
      <c r="J44" s="60"/>
      <c r="K44" s="61"/>
      <c r="L44" s="85"/>
    </row>
    <row r="45" spans="1:16" ht="15.75" customHeight="1" thickBot="1" x14ac:dyDescent="0.3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21552.370000000003</v>
      </c>
      <c r="I45" s="54"/>
      <c r="J45" s="63" t="s">
        <v>55</v>
      </c>
      <c r="K45" s="62">
        <f>K41-(K42*K43)</f>
        <v>0</v>
      </c>
      <c r="L45" s="85"/>
    </row>
    <row r="46" spans="1:16" ht="15" customHeight="1" x14ac:dyDescent="0.25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21693.65</v>
      </c>
      <c r="I46" s="54"/>
      <c r="J46" s="49"/>
      <c r="K46" s="49"/>
      <c r="L46" s="73" t="s">
        <v>75</v>
      </c>
    </row>
    <row r="47" spans="1:16" ht="15" customHeight="1" x14ac:dyDescent="0.25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13957.650000000001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 x14ac:dyDescent="0.25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10373.650000000001</v>
      </c>
      <c r="I48" s="54"/>
      <c r="J48" s="49"/>
      <c r="K48" s="49"/>
      <c r="L48" s="72"/>
    </row>
    <row r="49" spans="1:13" x14ac:dyDescent="0.25">
      <c r="A49" s="12" t="s">
        <v>125</v>
      </c>
      <c r="B49" s="12" t="s">
        <v>21</v>
      </c>
      <c r="C49" s="12" t="s">
        <v>112</v>
      </c>
      <c r="D49" s="12" t="s">
        <v>24</v>
      </c>
      <c r="E49" s="26">
        <v>3717</v>
      </c>
      <c r="F49" s="26"/>
      <c r="G49" s="34"/>
      <c r="H49" s="29">
        <f t="shared" si="0"/>
        <v>14090.650000000001</v>
      </c>
      <c r="I49" s="54"/>
    </row>
    <row r="50" spans="1:13" x14ac:dyDescent="0.25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21597.350000000002</v>
      </c>
      <c r="I50" s="54"/>
    </row>
    <row r="51" spans="1:13" x14ac:dyDescent="0.25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17499.350000000002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80">
        <f t="shared" si="0"/>
        <v>17499.350000000002</v>
      </c>
      <c r="I52" s="54"/>
      <c r="J52" s="64"/>
      <c r="K52" s="64"/>
      <c r="L52" s="64"/>
      <c r="M52" s="64"/>
    </row>
    <row r="53" spans="1:13" x14ac:dyDescent="0.25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17499.350000000002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40"/>
      <c r="F54" s="26"/>
      <c r="G54" s="34"/>
      <c r="H54" s="29">
        <f t="shared" si="1"/>
        <v>17499.350000000002</v>
      </c>
      <c r="I54" s="54"/>
    </row>
    <row r="55" spans="1:13" x14ac:dyDescent="0.25">
      <c r="A55" s="12"/>
      <c r="B55" s="20"/>
      <c r="C55" s="12"/>
      <c r="D55" s="12"/>
      <c r="E55" s="26"/>
      <c r="F55" s="26"/>
      <c r="G55" s="34"/>
      <c r="H55" s="29">
        <f t="shared" si="1"/>
        <v>17499.350000000002</v>
      </c>
      <c r="I55" s="54"/>
    </row>
    <row r="56" spans="1:13" x14ac:dyDescent="0.25">
      <c r="A56" s="12"/>
      <c r="B56" s="12"/>
      <c r="C56" s="12"/>
      <c r="D56" s="12"/>
      <c r="E56" s="4"/>
      <c r="F56" s="26"/>
      <c r="G56" s="34"/>
      <c r="H56" s="29">
        <f t="shared" si="1"/>
        <v>17499.350000000002</v>
      </c>
      <c r="I56" s="54"/>
    </row>
    <row r="57" spans="1:13" x14ac:dyDescent="0.25">
      <c r="A57" s="12"/>
      <c r="B57" s="20"/>
      <c r="C57" s="12"/>
      <c r="D57" s="12"/>
      <c r="E57" s="26"/>
      <c r="F57" s="26"/>
      <c r="G57" s="34"/>
      <c r="H57" s="29">
        <f t="shared" si="1"/>
        <v>17499.350000000002</v>
      </c>
      <c r="I57" s="54"/>
    </row>
    <row r="58" spans="1:13" x14ac:dyDescent="0.25">
      <c r="A58" s="12"/>
      <c r="B58" s="20"/>
      <c r="C58" s="12"/>
      <c r="D58" s="12"/>
      <c r="E58" s="40"/>
      <c r="F58" s="26"/>
      <c r="G58" s="34"/>
      <c r="H58" s="29">
        <f t="shared" si="1"/>
        <v>17499.350000000002</v>
      </c>
      <c r="I58" s="54"/>
    </row>
    <row r="59" spans="1:13" x14ac:dyDescent="0.25">
      <c r="A59" s="12"/>
      <c r="B59" s="12"/>
      <c r="C59" s="12"/>
      <c r="D59" s="12"/>
      <c r="E59" s="26"/>
      <c r="F59" s="26"/>
      <c r="G59" s="34"/>
      <c r="H59" s="29">
        <f t="shared" si="1"/>
        <v>17499.350000000002</v>
      </c>
      <c r="I59" s="54"/>
    </row>
    <row r="60" spans="1:13" x14ac:dyDescent="0.25">
      <c r="A60" s="12"/>
      <c r="B60" s="12"/>
      <c r="C60" s="12"/>
      <c r="D60" s="12"/>
      <c r="E60" s="4"/>
      <c r="F60" s="26"/>
      <c r="G60" s="34"/>
      <c r="H60" s="29">
        <f t="shared" si="1"/>
        <v>17499.350000000002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1"/>
        <v>17499.350000000002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1"/>
        <v>17499.350000000002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1"/>
        <v>17499.350000000002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1"/>
        <v>17499.350000000002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1"/>
        <v>17499.350000000002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1"/>
        <v>17499.350000000002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1"/>
        <v>17499.350000000002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1"/>
        <v>17499.350000000002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si="1"/>
        <v>17499.350000000002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17499.350000000002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17499.350000000002</v>
      </c>
      <c r="I71" s="54"/>
    </row>
    <row r="72" spans="1:9" ht="15.75" thickBot="1" x14ac:dyDescent="0.3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108218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8B2DC-B8AA-4709-8A25-52372F49EEA7}">
  <dimension ref="A1:P95"/>
  <sheetViews>
    <sheetView tabSelected="1" topLeftCell="A25" zoomScaleNormal="100" workbookViewId="0">
      <selection activeCell="G37" sqref="G37"/>
    </sheetView>
  </sheetViews>
  <sheetFormatPr defaultRowHeight="15" x14ac:dyDescent="0.2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91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  <c r="J3" s="74" t="s">
        <v>9</v>
      </c>
      <c r="K3" s="75">
        <f>'[1]July 2021'!$N$15</f>
        <v>223476.00800000003</v>
      </c>
    </row>
    <row r="4" spans="1:12" ht="15.75" thickBot="1" x14ac:dyDescent="0.3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 t="shared" ref="H4:H67" si="0">H3+E4+F4-G4</f>
        <v>14907.349999999999</v>
      </c>
      <c r="I4" s="54"/>
      <c r="J4" s="76" t="s">
        <v>10</v>
      </c>
      <c r="K4" s="77">
        <f>H71+K15+K35+K25+K45</f>
        <v>223798.19200000001</v>
      </c>
    </row>
    <row r="5" spans="1:12" ht="15.75" thickBot="1" x14ac:dyDescent="0.3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si="0"/>
        <v>11523.349999999999</v>
      </c>
      <c r="I5" s="54"/>
      <c r="J5" s="78"/>
      <c r="K5" s="79"/>
    </row>
    <row r="6" spans="1:12" ht="15.75" thickBot="1" x14ac:dyDescent="0.3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  <c r="J6" s="86" t="s">
        <v>11</v>
      </c>
      <c r="K6" s="88">
        <f>K3-K4</f>
        <v>-322.18399999997928</v>
      </c>
    </row>
    <row r="7" spans="1:12" ht="15.75" thickBot="1" x14ac:dyDescent="0.3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  <c r="J7" s="87"/>
      <c r="K7" s="89"/>
    </row>
    <row r="8" spans="1:12" ht="15.75" thickBot="1" x14ac:dyDescent="0.3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12" x14ac:dyDescent="0.25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12" x14ac:dyDescent="0.25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12" ht="15" customHeight="1" x14ac:dyDescent="0.25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  <c r="J11" s="57" t="s">
        <v>56</v>
      </c>
      <c r="K11" s="66">
        <v>113109.9</v>
      </c>
      <c r="L11" s="85" t="s">
        <v>157</v>
      </c>
    </row>
    <row r="12" spans="1:12" ht="15" customHeight="1" x14ac:dyDescent="0.25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  <c r="J12" s="51" t="s">
        <v>57</v>
      </c>
      <c r="K12" s="50">
        <f>K11/15</f>
        <v>7540.66</v>
      </c>
      <c r="L12" s="85"/>
    </row>
    <row r="13" spans="1:12" ht="15" customHeight="1" x14ac:dyDescent="0.25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  <c r="J13" s="51" t="s">
        <v>60</v>
      </c>
      <c r="K13" s="65">
        <v>15</v>
      </c>
      <c r="L13" s="85"/>
    </row>
    <row r="14" spans="1:12" ht="15.75" customHeight="1" thickBot="1" x14ac:dyDescent="0.3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  <c r="J14" s="60"/>
      <c r="K14" s="61"/>
      <c r="L14" s="85"/>
    </row>
    <row r="15" spans="1:12" ht="15.75" customHeight="1" thickBot="1" x14ac:dyDescent="0.3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  <c r="J15" s="63" t="s">
        <v>55</v>
      </c>
      <c r="K15" s="62">
        <f>K11-(K12*K13)</f>
        <v>0</v>
      </c>
      <c r="L15" s="85"/>
    </row>
    <row r="16" spans="1:12" ht="15" customHeight="1" x14ac:dyDescent="0.25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  <c r="J16" s="49"/>
      <c r="K16" s="49"/>
      <c r="L16" s="73" t="s">
        <v>75</v>
      </c>
    </row>
    <row r="17" spans="1:12" ht="15" customHeight="1" x14ac:dyDescent="0.25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  <c r="J17" s="56" t="s">
        <v>58</v>
      </c>
      <c r="K17" s="66">
        <f>L17*0.4%</f>
        <v>452.43960000000004</v>
      </c>
      <c r="L17" s="73">
        <f>37522.3+37929.3+37658.3</f>
        <v>113109.90000000001</v>
      </c>
    </row>
    <row r="18" spans="1:12" ht="15" customHeight="1" x14ac:dyDescent="0.25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  <c r="J18" s="49"/>
      <c r="K18" s="49"/>
      <c r="L18" s="72"/>
    </row>
    <row r="19" spans="1:12" ht="15" customHeight="1" x14ac:dyDescent="0.25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12" ht="15" customHeight="1" x14ac:dyDescent="0.25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12" ht="15" customHeight="1" x14ac:dyDescent="0.25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  <c r="J21" s="57" t="s">
        <v>56</v>
      </c>
      <c r="K21" s="66">
        <v>18143.8</v>
      </c>
      <c r="L21" s="85" t="s">
        <v>158</v>
      </c>
    </row>
    <row r="22" spans="1:12" ht="15" customHeight="1" x14ac:dyDescent="0.25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  <c r="J22" s="51" t="s">
        <v>57</v>
      </c>
      <c r="K22" s="50">
        <f>K21/5</f>
        <v>3628.7599999999998</v>
      </c>
      <c r="L22" s="85"/>
    </row>
    <row r="23" spans="1:12" ht="15" customHeight="1" x14ac:dyDescent="0.25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  <c r="J23" s="51" t="s">
        <v>60</v>
      </c>
      <c r="K23" s="65">
        <v>5</v>
      </c>
      <c r="L23" s="85"/>
    </row>
    <row r="24" spans="1:12" ht="15.75" customHeight="1" thickBot="1" x14ac:dyDescent="0.3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  <c r="J24" s="60"/>
      <c r="K24" s="61"/>
      <c r="L24" s="85"/>
    </row>
    <row r="25" spans="1:12" ht="15.75" customHeight="1" thickBot="1" x14ac:dyDescent="0.3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  <c r="J25" s="63" t="s">
        <v>55</v>
      </c>
      <c r="K25" s="62">
        <f>K21-(K22*K23)</f>
        <v>0</v>
      </c>
      <c r="L25" s="85"/>
    </row>
    <row r="26" spans="1:12" ht="15" customHeight="1" x14ac:dyDescent="0.25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  <c r="J26" s="49"/>
      <c r="K26" s="49"/>
      <c r="L26" s="73" t="s">
        <v>75</v>
      </c>
    </row>
    <row r="27" spans="1:12" ht="15" customHeight="1" x14ac:dyDescent="0.25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  <c r="J27" s="56" t="s">
        <v>58</v>
      </c>
      <c r="K27" s="66">
        <f>L27*0.4%</f>
        <v>72.575199999999995</v>
      </c>
      <c r="L27" s="73">
        <f>18143.8</f>
        <v>18143.8</v>
      </c>
    </row>
    <row r="28" spans="1:12" ht="15" customHeight="1" x14ac:dyDescent="0.25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  <c r="J28" s="49"/>
      <c r="K28" s="49"/>
      <c r="L28" s="72"/>
    </row>
    <row r="29" spans="1:12" x14ac:dyDescent="0.25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12" x14ac:dyDescent="0.25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12" ht="15" customHeight="1" x14ac:dyDescent="0.25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  <c r="J31" s="57" t="s">
        <v>56</v>
      </c>
      <c r="K31" s="58">
        <v>9214.7999999999993</v>
      </c>
      <c r="L31" s="85" t="s">
        <v>161</v>
      </c>
    </row>
    <row r="32" spans="1:12" ht="15" customHeight="1" x14ac:dyDescent="0.25">
      <c r="A32" s="12"/>
      <c r="B32" s="12" t="s">
        <v>21</v>
      </c>
      <c r="C32" s="12" t="s">
        <v>122</v>
      </c>
      <c r="D32" s="12" t="s">
        <v>154</v>
      </c>
      <c r="E32" s="26">
        <v>30026.959999999999</v>
      </c>
      <c r="F32" s="26">
        <v>150.13</v>
      </c>
      <c r="G32" s="34"/>
      <c r="H32" s="29">
        <f t="shared" si="0"/>
        <v>-81315.56</v>
      </c>
      <c r="I32" s="54"/>
      <c r="J32" s="51" t="s">
        <v>57</v>
      </c>
      <c r="K32" s="50">
        <f>K31/5</f>
        <v>1842.9599999999998</v>
      </c>
      <c r="L32" s="85"/>
    </row>
    <row r="33" spans="1:16" ht="15" customHeight="1" x14ac:dyDescent="0.25">
      <c r="A33" s="12"/>
      <c r="B33" s="12" t="s">
        <v>21</v>
      </c>
      <c r="C33" s="12" t="s">
        <v>156</v>
      </c>
      <c r="D33" s="12" t="s">
        <v>155</v>
      </c>
      <c r="E33" s="4">
        <v>37522.300000000003</v>
      </c>
      <c r="F33" s="26">
        <f>E33*0.4%</f>
        <v>150.08920000000001</v>
      </c>
      <c r="G33" s="34"/>
      <c r="H33" s="29">
        <f t="shared" si="0"/>
        <v>-43643.170799999993</v>
      </c>
      <c r="I33" s="54"/>
      <c r="J33" s="51" t="s">
        <v>60</v>
      </c>
      <c r="K33" s="65">
        <v>5</v>
      </c>
      <c r="L33" s="85"/>
    </row>
    <row r="34" spans="1:16" ht="15.75" customHeight="1" thickBot="1" x14ac:dyDescent="0.3">
      <c r="A34" s="12"/>
      <c r="B34" s="12" t="s">
        <v>21</v>
      </c>
      <c r="C34" s="12" t="s">
        <v>159</v>
      </c>
      <c r="D34" s="12" t="s">
        <v>155</v>
      </c>
      <c r="E34" s="4">
        <v>37929.300000000003</v>
      </c>
      <c r="F34" s="26">
        <f>E34*0.4%</f>
        <v>151.71720000000002</v>
      </c>
      <c r="G34" s="34"/>
      <c r="H34" s="29">
        <f t="shared" si="0"/>
        <v>-5562.1535999999896</v>
      </c>
      <c r="I34" s="54"/>
      <c r="J34" s="60"/>
      <c r="K34" s="61"/>
      <c r="L34" s="85"/>
    </row>
    <row r="35" spans="1:16" ht="15.75" customHeight="1" thickBot="1" x14ac:dyDescent="0.3">
      <c r="A35" s="12"/>
      <c r="B35" s="12" t="s">
        <v>21</v>
      </c>
      <c r="C35" s="12" t="s">
        <v>160</v>
      </c>
      <c r="D35" s="12" t="s">
        <v>155</v>
      </c>
      <c r="E35" s="4">
        <v>37658.300000000003</v>
      </c>
      <c r="F35" s="26">
        <f>E35*0.4%</f>
        <v>150.63320000000002</v>
      </c>
      <c r="G35" s="34"/>
      <c r="H35" s="29">
        <f t="shared" si="0"/>
        <v>32246.779600000013</v>
      </c>
      <c r="I35" s="54"/>
      <c r="J35" s="63" t="s">
        <v>55</v>
      </c>
      <c r="K35" s="62">
        <f>K31-(K32*K33)</f>
        <v>0</v>
      </c>
      <c r="L35" s="85"/>
    </row>
    <row r="36" spans="1:16" ht="15.75" customHeight="1" x14ac:dyDescent="0.25">
      <c r="A36" s="12"/>
      <c r="B36" s="12"/>
      <c r="C36" s="12"/>
      <c r="D36" s="12"/>
      <c r="E36" s="4"/>
      <c r="F36" s="26"/>
      <c r="G36" s="34"/>
      <c r="H36" s="29">
        <f t="shared" si="0"/>
        <v>32246.779600000013</v>
      </c>
      <c r="I36" s="54"/>
      <c r="J36" s="49"/>
      <c r="K36" s="49"/>
      <c r="L36" s="73" t="s">
        <v>75</v>
      </c>
    </row>
    <row r="37" spans="1:16" ht="15.75" customHeight="1" x14ac:dyDescent="0.25">
      <c r="A37" s="12"/>
      <c r="B37" s="12" t="s">
        <v>21</v>
      </c>
      <c r="C37" s="12" t="s">
        <v>49</v>
      </c>
      <c r="D37" s="12" t="s">
        <v>68</v>
      </c>
      <c r="E37" s="4">
        <v>3042.56</v>
      </c>
      <c r="F37" s="26">
        <v>60.85</v>
      </c>
      <c r="G37" s="34"/>
      <c r="H37" s="29">
        <f t="shared" si="0"/>
        <v>35350.189600000012</v>
      </c>
      <c r="I37" s="54"/>
      <c r="J37" s="56" t="s">
        <v>58</v>
      </c>
      <c r="K37" s="59">
        <f>L37*0.4%</f>
        <v>36.859200000000001</v>
      </c>
      <c r="L37" s="73">
        <v>9214.7999999999993</v>
      </c>
      <c r="P37" s="1"/>
    </row>
    <row r="38" spans="1:16" ht="15" customHeight="1" x14ac:dyDescent="0.25">
      <c r="A38" s="12"/>
      <c r="B38" s="12" t="s">
        <v>21</v>
      </c>
      <c r="C38" s="12" t="s">
        <v>158</v>
      </c>
      <c r="D38" s="12" t="s">
        <v>155</v>
      </c>
      <c r="E38" s="4">
        <v>18143.8</v>
      </c>
      <c r="F38" s="26">
        <v>72.58</v>
      </c>
      <c r="G38" s="34"/>
      <c r="H38" s="29">
        <f t="shared" si="0"/>
        <v>53566.569600000017</v>
      </c>
      <c r="I38" s="54"/>
      <c r="J38" s="49"/>
      <c r="K38" s="49"/>
      <c r="L38" s="72"/>
      <c r="P38" s="1"/>
    </row>
    <row r="39" spans="1:16" x14ac:dyDescent="0.25">
      <c r="A39" s="12"/>
      <c r="B39" s="12"/>
      <c r="C39" s="12"/>
      <c r="D39" s="12"/>
      <c r="E39" s="4"/>
      <c r="F39" s="26"/>
      <c r="G39" s="34"/>
      <c r="H39" s="29">
        <f t="shared" si="0"/>
        <v>53566.569600000017</v>
      </c>
      <c r="I39" s="54"/>
      <c r="K39" s="10"/>
    </row>
    <row r="40" spans="1:16" x14ac:dyDescent="0.25">
      <c r="A40" s="12"/>
      <c r="B40" s="12" t="s">
        <v>21</v>
      </c>
      <c r="C40" s="12" t="s">
        <v>112</v>
      </c>
      <c r="D40" s="12" t="s">
        <v>154</v>
      </c>
      <c r="E40" s="4">
        <v>14868</v>
      </c>
      <c r="F40" s="26">
        <v>74.34</v>
      </c>
      <c r="G40" s="34"/>
      <c r="H40" s="29">
        <f t="shared" si="0"/>
        <v>68508.909600000014</v>
      </c>
      <c r="I40" s="54"/>
      <c r="K40" s="10"/>
    </row>
    <row r="41" spans="1:16" ht="15" customHeight="1" x14ac:dyDescent="0.25">
      <c r="A41" s="12"/>
      <c r="B41" s="12" t="s">
        <v>21</v>
      </c>
      <c r="C41" s="12" t="s">
        <v>161</v>
      </c>
      <c r="D41" s="12" t="s">
        <v>155</v>
      </c>
      <c r="E41" s="4">
        <v>9214.7999999999993</v>
      </c>
      <c r="F41" s="26">
        <f>E41*0.4%</f>
        <v>36.859200000000001</v>
      </c>
      <c r="G41" s="34"/>
      <c r="H41" s="29">
        <f t="shared" si="0"/>
        <v>77760.568800000023</v>
      </c>
      <c r="I41" s="54"/>
      <c r="J41" s="57" t="s">
        <v>56</v>
      </c>
      <c r="K41" s="66">
        <v>145455.79999999999</v>
      </c>
      <c r="L41" s="85" t="s">
        <v>166</v>
      </c>
    </row>
    <row r="42" spans="1:16" ht="15.75" customHeight="1" x14ac:dyDescent="0.25">
      <c r="A42" s="12"/>
      <c r="B42" s="12"/>
      <c r="C42" s="12"/>
      <c r="D42" s="12"/>
      <c r="E42" s="4"/>
      <c r="F42" s="26"/>
      <c r="G42" s="34"/>
      <c r="H42" s="29">
        <f t="shared" si="0"/>
        <v>77760.568800000023</v>
      </c>
      <c r="I42" s="54"/>
      <c r="J42" s="51" t="s">
        <v>57</v>
      </c>
      <c r="K42" s="50">
        <f>K41/20</f>
        <v>7272.7899999999991</v>
      </c>
      <c r="L42" s="85"/>
    </row>
    <row r="43" spans="1:16" ht="15.75" customHeight="1" x14ac:dyDescent="0.25">
      <c r="A43" s="12"/>
      <c r="B43" s="12" t="s">
        <v>21</v>
      </c>
      <c r="C43" s="12" t="s">
        <v>162</v>
      </c>
      <c r="D43" s="12" t="s">
        <v>155</v>
      </c>
      <c r="E43" s="4">
        <f>35881-28</f>
        <v>35853</v>
      </c>
      <c r="F43" s="26">
        <f>E43*0.4%</f>
        <v>143.41200000000001</v>
      </c>
      <c r="G43" s="34"/>
      <c r="H43" s="29">
        <f t="shared" si="0"/>
        <v>113756.98080000002</v>
      </c>
      <c r="I43" s="54"/>
      <c r="J43" s="51" t="s">
        <v>60</v>
      </c>
      <c r="K43" s="65">
        <v>20</v>
      </c>
      <c r="L43" s="85"/>
    </row>
    <row r="44" spans="1:16" ht="15.75" customHeight="1" thickBot="1" x14ac:dyDescent="0.3">
      <c r="A44" s="12"/>
      <c r="B44" s="12" t="s">
        <v>21</v>
      </c>
      <c r="C44" s="12" t="s">
        <v>163</v>
      </c>
      <c r="D44" s="12" t="s">
        <v>155</v>
      </c>
      <c r="E44" s="4">
        <v>37721.5</v>
      </c>
      <c r="F44" s="26">
        <f t="shared" ref="F43:F46" si="1">E44*0.4%</f>
        <v>150.886</v>
      </c>
      <c r="G44" s="34"/>
      <c r="H44" s="29">
        <f t="shared" si="0"/>
        <v>151629.36680000002</v>
      </c>
      <c r="I44" s="54"/>
      <c r="J44" s="60"/>
      <c r="K44" s="61"/>
      <c r="L44" s="85"/>
    </row>
    <row r="45" spans="1:16" ht="15.75" customHeight="1" thickBot="1" x14ac:dyDescent="0.3">
      <c r="A45" s="12"/>
      <c r="B45" s="12" t="s">
        <v>21</v>
      </c>
      <c r="C45" s="12" t="s">
        <v>164</v>
      </c>
      <c r="D45" s="12" t="s">
        <v>155</v>
      </c>
      <c r="E45" s="4">
        <v>35956.5</v>
      </c>
      <c r="F45" s="26">
        <f t="shared" si="1"/>
        <v>143.82599999999999</v>
      </c>
      <c r="G45" s="34"/>
      <c r="H45" s="29">
        <f t="shared" si="0"/>
        <v>187729.69280000002</v>
      </c>
      <c r="I45" s="54"/>
      <c r="J45" s="63" t="s">
        <v>55</v>
      </c>
      <c r="K45" s="62">
        <f>K41-(K42*K43)</f>
        <v>0</v>
      </c>
      <c r="L45" s="85"/>
    </row>
    <row r="46" spans="1:16" ht="15" customHeight="1" x14ac:dyDescent="0.25">
      <c r="A46" s="12"/>
      <c r="B46" s="12" t="s">
        <v>21</v>
      </c>
      <c r="C46" s="12" t="s">
        <v>165</v>
      </c>
      <c r="D46" s="12" t="s">
        <v>155</v>
      </c>
      <c r="E46" s="4">
        <v>35924.800000000003</v>
      </c>
      <c r="F46" s="26">
        <f t="shared" si="1"/>
        <v>143.69920000000002</v>
      </c>
      <c r="G46" s="34"/>
      <c r="H46" s="29">
        <f t="shared" si="0"/>
        <v>223798.19200000001</v>
      </c>
      <c r="I46" s="54"/>
      <c r="J46" s="49"/>
      <c r="K46" s="49"/>
      <c r="L46" s="73" t="s">
        <v>75</v>
      </c>
    </row>
    <row r="47" spans="1:16" ht="15" customHeight="1" x14ac:dyDescent="0.25">
      <c r="A47" s="12"/>
      <c r="B47" s="20"/>
      <c r="C47" s="12"/>
      <c r="D47" s="12"/>
      <c r="E47" s="26"/>
      <c r="F47" s="26"/>
      <c r="G47" s="34"/>
      <c r="H47" s="29">
        <f t="shared" si="0"/>
        <v>223798.19200000001</v>
      </c>
      <c r="I47" s="54"/>
      <c r="J47" s="56" t="s">
        <v>58</v>
      </c>
      <c r="K47" s="59">
        <f>L47*0.4%</f>
        <v>581.82319999999993</v>
      </c>
      <c r="L47" s="73">
        <f>35853+37721.5+35956.5+35924.8</f>
        <v>145455.79999999999</v>
      </c>
    </row>
    <row r="48" spans="1:16" ht="15" customHeight="1" x14ac:dyDescent="0.25">
      <c r="A48" s="12"/>
      <c r="B48" s="20"/>
      <c r="C48" s="12"/>
      <c r="D48" s="12"/>
      <c r="E48" s="40"/>
      <c r="F48" s="26"/>
      <c r="G48" s="34"/>
      <c r="H48" s="29">
        <f t="shared" si="0"/>
        <v>223798.19200000001</v>
      </c>
      <c r="I48" s="54"/>
      <c r="J48" s="49"/>
      <c r="K48" s="49"/>
      <c r="L48" s="72"/>
    </row>
    <row r="49" spans="1:13" ht="15.75" x14ac:dyDescent="0.25">
      <c r="A49" s="12"/>
      <c r="B49" s="12"/>
      <c r="C49" s="12"/>
      <c r="D49" s="12"/>
      <c r="E49" s="91"/>
      <c r="F49" s="26"/>
      <c r="G49" s="34"/>
      <c r="H49" s="29">
        <f t="shared" si="0"/>
        <v>223798.19200000001</v>
      </c>
      <c r="I49" s="54"/>
    </row>
    <row r="50" spans="1:13" ht="15.75" x14ac:dyDescent="0.25">
      <c r="A50" s="12"/>
      <c r="B50" s="12"/>
      <c r="C50" s="12"/>
      <c r="D50" s="12"/>
      <c r="E50" s="91"/>
      <c r="F50" s="26"/>
      <c r="G50" s="34"/>
      <c r="H50" s="29">
        <f t="shared" si="0"/>
        <v>223798.19200000001</v>
      </c>
      <c r="I50" s="54"/>
    </row>
    <row r="51" spans="1:13" ht="15.75" x14ac:dyDescent="0.25">
      <c r="A51" s="12"/>
      <c r="B51" s="20"/>
      <c r="C51" s="12"/>
      <c r="D51" s="12"/>
      <c r="E51" s="91"/>
      <c r="F51" s="26"/>
      <c r="G51" s="34"/>
      <c r="H51" s="29">
        <f t="shared" si="0"/>
        <v>223798.19200000001</v>
      </c>
      <c r="I51" s="54"/>
    </row>
    <row r="52" spans="1:13" ht="15.75" x14ac:dyDescent="0.25">
      <c r="A52" s="12"/>
      <c r="B52" s="12"/>
      <c r="C52" s="12"/>
      <c r="D52" s="12"/>
      <c r="E52" s="91"/>
      <c r="F52" s="42"/>
      <c r="G52" s="34"/>
      <c r="H52" s="29">
        <f t="shared" si="0"/>
        <v>223798.19200000001</v>
      </c>
      <c r="I52" s="54"/>
      <c r="J52" s="64"/>
      <c r="K52" s="64"/>
      <c r="L52" s="64"/>
      <c r="M52" s="64"/>
    </row>
    <row r="53" spans="1:13" ht="15.75" x14ac:dyDescent="0.25">
      <c r="A53" s="12"/>
      <c r="B53" s="20"/>
      <c r="C53" s="12"/>
      <c r="D53" s="12"/>
      <c r="E53" s="91"/>
      <c r="F53" s="26"/>
      <c r="G53" s="34"/>
      <c r="H53" s="29">
        <f t="shared" si="0"/>
        <v>223798.19200000001</v>
      </c>
      <c r="I53" s="54"/>
      <c r="J53" s="64"/>
      <c r="K53" s="64"/>
      <c r="L53" s="64"/>
      <c r="M53" s="64"/>
    </row>
    <row r="54" spans="1:13" ht="15.75" x14ac:dyDescent="0.25">
      <c r="A54" s="12"/>
      <c r="B54" s="20"/>
      <c r="C54" s="12"/>
      <c r="D54" s="12"/>
      <c r="E54" s="91"/>
      <c r="F54" s="26"/>
      <c r="G54" s="34"/>
      <c r="H54" s="29">
        <f t="shared" si="0"/>
        <v>223798.19200000001</v>
      </c>
      <c r="I54" s="54"/>
    </row>
    <row r="55" spans="1:13" x14ac:dyDescent="0.25">
      <c r="A55" s="12"/>
      <c r="B55" s="20"/>
      <c r="C55" s="12"/>
      <c r="D55" s="12"/>
      <c r="E55" s="26"/>
      <c r="F55" s="26"/>
      <c r="G55" s="34"/>
      <c r="H55" s="29">
        <f t="shared" si="0"/>
        <v>223798.19200000001</v>
      </c>
      <c r="I55" s="54"/>
    </row>
    <row r="56" spans="1:13" x14ac:dyDescent="0.25">
      <c r="A56" s="12"/>
      <c r="B56" s="12"/>
      <c r="C56" s="12"/>
      <c r="D56" s="12"/>
      <c r="E56" s="4"/>
      <c r="F56" s="26"/>
      <c r="G56" s="34"/>
      <c r="H56" s="29">
        <f t="shared" si="0"/>
        <v>223798.19200000001</v>
      </c>
      <c r="I56" s="54"/>
    </row>
    <row r="57" spans="1:13" x14ac:dyDescent="0.25">
      <c r="A57" s="12"/>
      <c r="B57" s="20"/>
      <c r="C57" s="12"/>
      <c r="D57" s="12"/>
      <c r="E57" s="26"/>
      <c r="F57" s="26"/>
      <c r="G57" s="34"/>
      <c r="H57" s="29">
        <f t="shared" si="0"/>
        <v>223798.19200000001</v>
      </c>
      <c r="I57" s="54"/>
    </row>
    <row r="58" spans="1:13" x14ac:dyDescent="0.25">
      <c r="A58" s="12"/>
      <c r="B58" s="20"/>
      <c r="C58" s="12"/>
      <c r="D58" s="12"/>
      <c r="E58" s="40"/>
      <c r="F58" s="26"/>
      <c r="G58" s="34"/>
      <c r="H58" s="29">
        <f t="shared" si="0"/>
        <v>223798.19200000001</v>
      </c>
      <c r="I58" s="54"/>
    </row>
    <row r="59" spans="1:13" x14ac:dyDescent="0.25">
      <c r="A59" s="12"/>
      <c r="B59" s="12"/>
      <c r="C59" s="12"/>
      <c r="D59" s="12"/>
      <c r="E59" s="26"/>
      <c r="F59" s="26"/>
      <c r="G59" s="34"/>
      <c r="H59" s="29">
        <f t="shared" si="0"/>
        <v>223798.19200000001</v>
      </c>
      <c r="I59" s="54"/>
    </row>
    <row r="60" spans="1:13" x14ac:dyDescent="0.25">
      <c r="A60" s="12"/>
      <c r="B60" s="12"/>
      <c r="C60" s="12"/>
      <c r="D60" s="12"/>
      <c r="E60" s="4"/>
      <c r="F60" s="26"/>
      <c r="G60" s="34"/>
      <c r="H60" s="29">
        <f t="shared" si="0"/>
        <v>223798.19200000001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223798.19200000001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223798.19200000001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223798.19200000001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223798.19200000001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223798.19200000001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223798.19200000001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223798.19200000001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ref="H68:H71" si="2">H67+E68+F68-G68</f>
        <v>223798.19200000001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si="2"/>
        <v>223798.19200000001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2"/>
        <v>223798.19200000001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2"/>
        <v>223798.19200000001</v>
      </c>
      <c r="I71" s="54"/>
    </row>
    <row r="72" spans="1:9" ht="15.75" thickBot="1" x14ac:dyDescent="0.3">
      <c r="A72" s="5" t="s">
        <v>88</v>
      </c>
      <c r="B72" s="21"/>
      <c r="C72" s="8"/>
      <c r="D72" s="11"/>
      <c r="E72" s="24">
        <f>SUM(E3:E71)</f>
        <v>333861.82</v>
      </c>
      <c r="F72" s="39">
        <f>SUM(F3:F71)</f>
        <v>1429.0220000000002</v>
      </c>
      <c r="G72" s="35">
        <f>SUM(G3:G71)</f>
        <v>128992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0B364-AA03-416E-A788-4D6C7A6702EA}">
  <dimension ref="A1:P95"/>
  <sheetViews>
    <sheetView zoomScaleNormal="100" workbookViewId="0">
      <selection activeCell="K4" sqref="K4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91</v>
      </c>
      <c r="B3" s="19" t="s">
        <v>8</v>
      </c>
      <c r="C3" s="22"/>
      <c r="D3" s="3"/>
      <c r="E3" s="2"/>
      <c r="F3" s="71"/>
      <c r="G3" s="67"/>
      <c r="H3" s="30">
        <v>21700.99</v>
      </c>
      <c r="I3" s="54"/>
      <c r="J3" s="74" t="s">
        <v>9</v>
      </c>
      <c r="K3" s="75">
        <f>'[1]October 2021'!$N$15</f>
        <v>43157.370400000007</v>
      </c>
    </row>
    <row r="4" spans="1:12" ht="15.75" thickBot="1" x14ac:dyDescent="0.3">
      <c r="A4" s="18"/>
      <c r="B4" s="12"/>
      <c r="C4" s="12"/>
      <c r="D4" s="12"/>
      <c r="E4" s="4"/>
      <c r="F4" s="71"/>
      <c r="G4" s="34"/>
      <c r="H4" s="29">
        <f>H3+E4+F4-G4</f>
        <v>21700.99</v>
      </c>
      <c r="I4" s="54"/>
      <c r="J4" s="76" t="s">
        <v>10</v>
      </c>
      <c r="K4" s="77">
        <f>H71+K15+K35+K25+K45</f>
        <v>69638.509999999995</v>
      </c>
    </row>
    <row r="5" spans="1:12" ht="15.75" thickBot="1" x14ac:dyDescent="0.3">
      <c r="A5" s="18"/>
      <c r="B5" s="12"/>
      <c r="C5" s="12"/>
      <c r="D5" s="12"/>
      <c r="E5" s="4"/>
      <c r="F5" s="71"/>
      <c r="G5" s="34"/>
      <c r="H5" s="29">
        <f t="shared" ref="H5:H68" si="0">H4+E5+F5-G5</f>
        <v>21700.99</v>
      </c>
      <c r="I5" s="54"/>
      <c r="J5" s="78"/>
      <c r="K5" s="79"/>
    </row>
    <row r="6" spans="1:12" ht="15.75" thickBot="1" x14ac:dyDescent="0.3">
      <c r="A6" s="18"/>
      <c r="B6" s="12"/>
      <c r="C6" s="12"/>
      <c r="D6" s="12"/>
      <c r="E6" s="4"/>
      <c r="F6" s="26"/>
      <c r="G6" s="34"/>
      <c r="H6" s="29">
        <f t="shared" si="0"/>
        <v>21700.99</v>
      </c>
      <c r="I6" s="54"/>
      <c r="J6" s="86" t="s">
        <v>11</v>
      </c>
      <c r="K6" s="88">
        <f>K3-K4</f>
        <v>-26481.139599999988</v>
      </c>
    </row>
    <row r="7" spans="1:12" ht="15.75" thickBot="1" x14ac:dyDescent="0.3">
      <c r="A7" s="18"/>
      <c r="B7" s="20"/>
      <c r="C7" s="12"/>
      <c r="D7" s="12"/>
      <c r="E7" s="26"/>
      <c r="F7" s="26"/>
      <c r="G7" s="34"/>
      <c r="H7" s="29">
        <f t="shared" si="0"/>
        <v>21700.99</v>
      </c>
      <c r="I7" s="54"/>
      <c r="J7" s="87"/>
      <c r="K7" s="89"/>
    </row>
    <row r="8" spans="1:12" ht="15.75" thickBot="1" x14ac:dyDescent="0.3">
      <c r="A8" s="18"/>
      <c r="B8" s="20"/>
      <c r="C8" s="12"/>
      <c r="D8" s="12"/>
      <c r="E8" s="26"/>
      <c r="F8" s="26"/>
      <c r="G8" s="34"/>
      <c r="H8" s="29">
        <f t="shared" si="0"/>
        <v>21700.99</v>
      </c>
      <c r="I8" s="54"/>
    </row>
    <row r="9" spans="1:12" x14ac:dyDescent="0.25">
      <c r="A9" s="18"/>
      <c r="B9" s="20"/>
      <c r="C9" s="12"/>
      <c r="D9" s="12"/>
      <c r="E9" s="4"/>
      <c r="F9" s="26"/>
      <c r="G9" s="34"/>
      <c r="H9" s="29">
        <f t="shared" si="0"/>
        <v>21700.99</v>
      </c>
      <c r="I9" s="54"/>
    </row>
    <row r="10" spans="1:12" x14ac:dyDescent="0.25">
      <c r="A10" s="12"/>
      <c r="B10" s="12"/>
      <c r="C10" s="12"/>
      <c r="D10" s="12"/>
      <c r="E10" s="4"/>
      <c r="F10" s="26"/>
      <c r="G10" s="34"/>
      <c r="H10" s="29">
        <f t="shared" si="0"/>
        <v>21700.99</v>
      </c>
      <c r="I10" s="54"/>
    </row>
    <row r="11" spans="1:12" ht="15" customHeight="1" x14ac:dyDescent="0.25">
      <c r="A11" s="12"/>
      <c r="B11" s="12"/>
      <c r="C11" s="12"/>
      <c r="D11" s="12"/>
      <c r="E11" s="26"/>
      <c r="F11" s="26"/>
      <c r="G11" s="34"/>
      <c r="H11" s="29">
        <f t="shared" si="0"/>
        <v>21700.99</v>
      </c>
      <c r="I11" s="54"/>
      <c r="J11" s="57" t="s">
        <v>56</v>
      </c>
      <c r="K11" s="66">
        <v>37533.699999999997</v>
      </c>
      <c r="L11" s="85" t="s">
        <v>122</v>
      </c>
    </row>
    <row r="12" spans="1:12" ht="15" customHeight="1" x14ac:dyDescent="0.25">
      <c r="A12" s="12"/>
      <c r="B12" s="12"/>
      <c r="C12" s="12"/>
      <c r="D12" s="12"/>
      <c r="E12" s="4"/>
      <c r="F12" s="71"/>
      <c r="G12" s="34"/>
      <c r="H12" s="29">
        <f t="shared" si="0"/>
        <v>21700.99</v>
      </c>
      <c r="I12" s="54"/>
      <c r="J12" s="51" t="s">
        <v>57</v>
      </c>
      <c r="K12" s="50">
        <f>K11/5</f>
        <v>7506.74</v>
      </c>
      <c r="L12" s="85"/>
    </row>
    <row r="13" spans="1:12" ht="15" customHeight="1" x14ac:dyDescent="0.25">
      <c r="A13" s="12"/>
      <c r="B13" s="12"/>
      <c r="C13" s="12"/>
      <c r="D13" s="12"/>
      <c r="E13" s="26"/>
      <c r="F13" s="26"/>
      <c r="G13" s="34"/>
      <c r="H13" s="29">
        <f t="shared" si="0"/>
        <v>21700.99</v>
      </c>
      <c r="I13" s="54"/>
      <c r="J13" s="51" t="s">
        <v>60</v>
      </c>
      <c r="K13" s="65">
        <v>1</v>
      </c>
      <c r="L13" s="85"/>
    </row>
    <row r="14" spans="1:12" ht="15.75" customHeight="1" thickBot="1" x14ac:dyDescent="0.3">
      <c r="A14" s="12"/>
      <c r="B14" s="20"/>
      <c r="C14" s="12"/>
      <c r="D14" s="12"/>
      <c r="E14" s="26"/>
      <c r="F14" s="26"/>
      <c r="G14" s="34"/>
      <c r="H14" s="29">
        <f t="shared" si="0"/>
        <v>21700.99</v>
      </c>
      <c r="I14" s="54"/>
      <c r="J14" s="60"/>
      <c r="K14" s="61"/>
      <c r="L14" s="85"/>
    </row>
    <row r="15" spans="1:12" ht="15.75" customHeight="1" thickBot="1" x14ac:dyDescent="0.3">
      <c r="A15" s="12"/>
      <c r="B15" s="20"/>
      <c r="C15" s="12"/>
      <c r="D15" s="12"/>
      <c r="E15" s="26"/>
      <c r="F15" s="26"/>
      <c r="G15" s="34"/>
      <c r="H15" s="29">
        <f t="shared" si="0"/>
        <v>21700.99</v>
      </c>
      <c r="I15" s="54"/>
      <c r="J15" s="63" t="s">
        <v>55</v>
      </c>
      <c r="K15" s="62">
        <f>K11-(K12*K13)</f>
        <v>30026.959999999999</v>
      </c>
      <c r="L15" s="85"/>
    </row>
    <row r="16" spans="1:12" ht="15" customHeight="1" x14ac:dyDescent="0.25">
      <c r="A16" s="12"/>
      <c r="B16" s="12"/>
      <c r="C16" s="12"/>
      <c r="D16" s="12"/>
      <c r="E16" s="26"/>
      <c r="F16" s="26"/>
      <c r="G16" s="34"/>
      <c r="H16" s="29">
        <f t="shared" si="0"/>
        <v>21700.99</v>
      </c>
      <c r="I16" s="54"/>
      <c r="J16" s="49"/>
      <c r="K16" s="49"/>
      <c r="L16" s="73" t="s">
        <v>75</v>
      </c>
    </row>
    <row r="17" spans="1:12" ht="15" customHeight="1" x14ac:dyDescent="0.25">
      <c r="A17" s="12"/>
      <c r="B17" s="20"/>
      <c r="C17" s="12"/>
      <c r="D17" s="12"/>
      <c r="E17" s="4"/>
      <c r="F17" s="26"/>
      <c r="G17" s="34"/>
      <c r="H17" s="29">
        <f t="shared" si="0"/>
        <v>21700.99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 x14ac:dyDescent="0.25">
      <c r="A18" s="12"/>
      <c r="B18" s="20"/>
      <c r="C18" s="12"/>
      <c r="D18" s="12"/>
      <c r="E18" s="26"/>
      <c r="F18" s="26"/>
      <c r="G18" s="34"/>
      <c r="H18" s="29">
        <f t="shared" si="0"/>
        <v>21700.99</v>
      </c>
      <c r="I18" s="54"/>
      <c r="J18" s="49"/>
      <c r="K18" s="49"/>
      <c r="L18" s="72"/>
    </row>
    <row r="19" spans="1:12" ht="15" customHeight="1" x14ac:dyDescent="0.25">
      <c r="A19" s="12"/>
      <c r="B19" s="20"/>
      <c r="C19" s="12"/>
      <c r="D19" s="12"/>
      <c r="E19" s="26"/>
      <c r="F19" s="26"/>
      <c r="G19" s="34"/>
      <c r="H19" s="29">
        <f t="shared" si="0"/>
        <v>21700.99</v>
      </c>
      <c r="I19" s="54"/>
    </row>
    <row r="20" spans="1:12" ht="15" customHeight="1" x14ac:dyDescent="0.25">
      <c r="A20" s="12"/>
      <c r="B20" s="20"/>
      <c r="C20" s="12"/>
      <c r="D20" s="12"/>
      <c r="E20" s="26"/>
      <c r="F20" s="26"/>
      <c r="G20" s="34"/>
      <c r="H20" s="29">
        <f t="shared" si="0"/>
        <v>21700.99</v>
      </c>
      <c r="I20" s="54"/>
    </row>
    <row r="21" spans="1:12" ht="15" customHeight="1" x14ac:dyDescent="0.25">
      <c r="A21" s="12"/>
      <c r="B21" s="12"/>
      <c r="C21" s="12"/>
      <c r="D21" s="12"/>
      <c r="E21" s="26"/>
      <c r="F21" s="26"/>
      <c r="G21" s="34"/>
      <c r="H21" s="29">
        <f t="shared" si="0"/>
        <v>21700.99</v>
      </c>
      <c r="I21" s="54"/>
      <c r="J21" s="57" t="s">
        <v>56</v>
      </c>
      <c r="K21" s="66">
        <v>6085.12</v>
      </c>
      <c r="L21" s="85" t="s">
        <v>49</v>
      </c>
    </row>
    <row r="22" spans="1:12" ht="15" customHeight="1" x14ac:dyDescent="0.25">
      <c r="A22" s="12"/>
      <c r="B22" s="20"/>
      <c r="C22" s="12"/>
      <c r="D22" s="12"/>
      <c r="E22" s="26"/>
      <c r="F22" s="26"/>
      <c r="G22" s="34"/>
      <c r="H22" s="29">
        <f t="shared" si="0"/>
        <v>21700.99</v>
      </c>
      <c r="I22" s="54"/>
      <c r="J22" s="51" t="s">
        <v>57</v>
      </c>
      <c r="K22" s="50">
        <f>K21/2</f>
        <v>3042.56</v>
      </c>
      <c r="L22" s="85"/>
    </row>
    <row r="23" spans="1:12" ht="15" customHeight="1" x14ac:dyDescent="0.25">
      <c r="A23" s="12"/>
      <c r="B23" s="20"/>
      <c r="C23" s="12"/>
      <c r="D23" s="12"/>
      <c r="E23" s="26"/>
      <c r="F23" s="26"/>
      <c r="G23" s="34"/>
      <c r="H23" s="29">
        <f t="shared" si="0"/>
        <v>21700.99</v>
      </c>
      <c r="I23" s="54"/>
      <c r="J23" s="51" t="s">
        <v>60</v>
      </c>
      <c r="K23" s="65">
        <v>1</v>
      </c>
      <c r="L23" s="85"/>
    </row>
    <row r="24" spans="1:12" ht="15.75" customHeight="1" thickBot="1" x14ac:dyDescent="0.3">
      <c r="A24" s="12"/>
      <c r="B24" s="20"/>
      <c r="C24" s="12"/>
      <c r="D24" s="12"/>
      <c r="E24" s="26"/>
      <c r="F24" s="26"/>
      <c r="G24" s="34"/>
      <c r="H24" s="29">
        <f t="shared" si="0"/>
        <v>21700.99</v>
      </c>
      <c r="I24" s="54"/>
      <c r="J24" s="60"/>
      <c r="K24" s="61"/>
      <c r="L24" s="85"/>
    </row>
    <row r="25" spans="1:12" ht="15.75" customHeight="1" thickBot="1" x14ac:dyDescent="0.3">
      <c r="A25" s="12"/>
      <c r="B25" s="20"/>
      <c r="C25" s="12"/>
      <c r="D25" s="12"/>
      <c r="E25" s="26"/>
      <c r="F25" s="26"/>
      <c r="G25" s="34"/>
      <c r="H25" s="29">
        <f t="shared" si="0"/>
        <v>21700.99</v>
      </c>
      <c r="I25" s="54"/>
      <c r="J25" s="63" t="s">
        <v>55</v>
      </c>
      <c r="K25" s="62">
        <f>K21-(K22*K23)</f>
        <v>3042.56</v>
      </c>
      <c r="L25" s="85"/>
    </row>
    <row r="26" spans="1:12" ht="15" customHeight="1" x14ac:dyDescent="0.25">
      <c r="A26" s="12"/>
      <c r="B26" s="12"/>
      <c r="C26" s="12"/>
      <c r="D26" s="12"/>
      <c r="E26" s="4"/>
      <c r="F26" s="26"/>
      <c r="G26" s="34"/>
      <c r="H26" s="29">
        <f t="shared" si="0"/>
        <v>21700.99</v>
      </c>
      <c r="I26" s="54"/>
      <c r="J26" s="49"/>
      <c r="K26" s="49"/>
      <c r="L26" s="73" t="s">
        <v>75</v>
      </c>
    </row>
    <row r="27" spans="1:12" ht="15" customHeight="1" x14ac:dyDescent="0.25">
      <c r="A27" s="12"/>
      <c r="B27" s="12"/>
      <c r="C27" s="12"/>
      <c r="D27" s="12"/>
      <c r="E27" s="26"/>
      <c r="F27" s="26"/>
      <c r="G27" s="34"/>
      <c r="H27" s="29">
        <f t="shared" si="0"/>
        <v>21700.99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/>
      <c r="B28" s="12"/>
      <c r="C28" s="12"/>
      <c r="D28" s="12"/>
      <c r="E28" s="26"/>
      <c r="F28" s="26"/>
      <c r="G28" s="34"/>
      <c r="H28" s="29">
        <f t="shared" si="0"/>
        <v>21700.99</v>
      </c>
      <c r="I28" s="54"/>
      <c r="J28" s="49"/>
      <c r="K28" s="49"/>
      <c r="L28" s="72"/>
    </row>
    <row r="29" spans="1:12" x14ac:dyDescent="0.25">
      <c r="A29" s="12"/>
      <c r="B29" s="12"/>
      <c r="C29" s="12"/>
      <c r="D29" s="12"/>
      <c r="E29" s="4"/>
      <c r="F29" s="26"/>
      <c r="G29" s="34"/>
      <c r="H29" s="29">
        <f t="shared" si="0"/>
        <v>21700.99</v>
      </c>
      <c r="I29" s="54"/>
    </row>
    <row r="30" spans="1:12" x14ac:dyDescent="0.25">
      <c r="A30" s="12"/>
      <c r="B30" s="12"/>
      <c r="C30" s="12"/>
      <c r="D30" s="12"/>
      <c r="E30" s="4"/>
      <c r="F30" s="26"/>
      <c r="G30" s="34"/>
      <c r="H30" s="29">
        <f t="shared" si="0"/>
        <v>21700.99</v>
      </c>
      <c r="I30" s="54"/>
    </row>
    <row r="31" spans="1:12" ht="15" customHeight="1" x14ac:dyDescent="0.25">
      <c r="A31" s="12"/>
      <c r="B31" s="12"/>
      <c r="C31" s="12"/>
      <c r="D31" s="12"/>
      <c r="E31" s="26"/>
      <c r="F31" s="26"/>
      <c r="G31" s="34"/>
      <c r="H31" s="29">
        <f t="shared" si="0"/>
        <v>21700.99</v>
      </c>
      <c r="I31" s="54"/>
      <c r="J31" s="57" t="s">
        <v>56</v>
      </c>
      <c r="K31" s="58">
        <v>18585</v>
      </c>
      <c r="L31" s="85" t="s">
        <v>112</v>
      </c>
    </row>
    <row r="32" spans="1:12" ht="15" customHeight="1" x14ac:dyDescent="0.25">
      <c r="A32" s="12"/>
      <c r="B32" s="12"/>
      <c r="C32" s="12"/>
      <c r="D32" s="12"/>
      <c r="E32" s="4"/>
      <c r="F32" s="26"/>
      <c r="G32" s="34"/>
      <c r="H32" s="29">
        <f t="shared" si="0"/>
        <v>21700.99</v>
      </c>
      <c r="I32" s="54"/>
      <c r="J32" s="51" t="s">
        <v>57</v>
      </c>
      <c r="K32" s="50">
        <f>K31/5</f>
        <v>3717</v>
      </c>
      <c r="L32" s="85"/>
    </row>
    <row r="33" spans="1:16" ht="15" customHeight="1" x14ac:dyDescent="0.25">
      <c r="A33" s="12"/>
      <c r="B33" s="12"/>
      <c r="C33" s="12"/>
      <c r="D33" s="12"/>
      <c r="E33" s="4"/>
      <c r="F33" s="26"/>
      <c r="G33" s="34"/>
      <c r="H33" s="29">
        <f t="shared" si="0"/>
        <v>21700.99</v>
      </c>
      <c r="I33" s="54"/>
      <c r="J33" s="51" t="s">
        <v>60</v>
      </c>
      <c r="K33" s="65">
        <v>1</v>
      </c>
      <c r="L33" s="85"/>
    </row>
    <row r="34" spans="1:16" ht="15.75" customHeight="1" thickBot="1" x14ac:dyDescent="0.3">
      <c r="A34" s="12"/>
      <c r="B34" s="12"/>
      <c r="C34" s="12"/>
      <c r="D34" s="12"/>
      <c r="E34" s="4"/>
      <c r="F34" s="26"/>
      <c r="G34" s="34"/>
      <c r="H34" s="29">
        <f t="shared" si="0"/>
        <v>21700.99</v>
      </c>
      <c r="I34" s="54"/>
      <c r="J34" s="60"/>
      <c r="K34" s="61"/>
      <c r="L34" s="85"/>
    </row>
    <row r="35" spans="1:16" ht="15.75" customHeight="1" thickBot="1" x14ac:dyDescent="0.3">
      <c r="A35" s="12"/>
      <c r="B35" s="12"/>
      <c r="C35" s="12"/>
      <c r="D35" s="12"/>
      <c r="E35" s="26"/>
      <c r="F35" s="26"/>
      <c r="G35" s="34"/>
      <c r="H35" s="29">
        <f t="shared" si="0"/>
        <v>21700.99</v>
      </c>
      <c r="I35" s="54"/>
      <c r="J35" s="63" t="s">
        <v>55</v>
      </c>
      <c r="K35" s="62">
        <f>K31-(K32*K33)</f>
        <v>14868</v>
      </c>
      <c r="L35" s="85"/>
    </row>
    <row r="36" spans="1:16" ht="15.75" customHeight="1" x14ac:dyDescent="0.25">
      <c r="A36" s="12"/>
      <c r="B36" s="12"/>
      <c r="C36" s="12"/>
      <c r="D36" s="12"/>
      <c r="E36" s="4"/>
      <c r="F36" s="26"/>
      <c r="G36" s="34"/>
      <c r="H36" s="29">
        <f t="shared" si="0"/>
        <v>21700.99</v>
      </c>
      <c r="I36" s="54"/>
      <c r="J36" s="49"/>
      <c r="K36" s="49"/>
      <c r="L36" s="73" t="s">
        <v>75</v>
      </c>
    </row>
    <row r="37" spans="1:16" ht="15.75" customHeight="1" x14ac:dyDescent="0.25">
      <c r="A37" s="12"/>
      <c r="B37" s="12"/>
      <c r="C37" s="12"/>
      <c r="D37" s="12"/>
      <c r="E37" s="4"/>
      <c r="F37" s="26"/>
      <c r="G37" s="34"/>
      <c r="H37" s="29">
        <f t="shared" si="0"/>
        <v>21700.99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 x14ac:dyDescent="0.25">
      <c r="A38" s="12"/>
      <c r="B38" s="12"/>
      <c r="C38" s="12"/>
      <c r="D38" s="12"/>
      <c r="E38" s="4"/>
      <c r="F38" s="26"/>
      <c r="G38" s="34"/>
      <c r="H38" s="29">
        <f t="shared" si="0"/>
        <v>21700.99</v>
      </c>
      <c r="I38" s="54"/>
      <c r="J38" s="49"/>
      <c r="K38" s="49"/>
      <c r="L38" s="72"/>
      <c r="P38" s="1"/>
    </row>
    <row r="39" spans="1:16" x14ac:dyDescent="0.25">
      <c r="A39" s="12"/>
      <c r="B39" s="12"/>
      <c r="C39" s="12"/>
      <c r="D39" s="12"/>
      <c r="E39" s="4"/>
      <c r="F39" s="26"/>
      <c r="G39" s="34"/>
      <c r="H39" s="29">
        <f t="shared" si="0"/>
        <v>21700.99</v>
      </c>
      <c r="I39" s="54"/>
      <c r="K39" s="10"/>
    </row>
    <row r="40" spans="1:16" x14ac:dyDescent="0.25">
      <c r="A40" s="12"/>
      <c r="B40" s="12"/>
      <c r="C40" s="12"/>
      <c r="D40" s="12"/>
      <c r="E40" s="4"/>
      <c r="F40" s="26"/>
      <c r="G40" s="34"/>
      <c r="H40" s="29">
        <f t="shared" si="0"/>
        <v>21700.99</v>
      </c>
      <c r="I40" s="54"/>
      <c r="K40" s="10"/>
    </row>
    <row r="41" spans="1:16" ht="15" customHeight="1" x14ac:dyDescent="0.25">
      <c r="A41" s="12"/>
      <c r="B41" s="20"/>
      <c r="C41" s="12"/>
      <c r="D41" s="12"/>
      <c r="E41" s="4"/>
      <c r="F41" s="26"/>
      <c r="G41" s="34"/>
      <c r="H41" s="29">
        <f t="shared" si="0"/>
        <v>21700.99</v>
      </c>
      <c r="I41" s="54"/>
      <c r="J41" s="57" t="s">
        <v>56</v>
      </c>
      <c r="K41" s="66">
        <v>35320</v>
      </c>
      <c r="L41" s="85" t="s">
        <v>110</v>
      </c>
    </row>
    <row r="42" spans="1:16" ht="15.75" customHeight="1" x14ac:dyDescent="0.25">
      <c r="A42" s="12"/>
      <c r="B42" s="12"/>
      <c r="C42" s="12"/>
      <c r="D42" s="12"/>
      <c r="E42" s="4"/>
      <c r="F42" s="26"/>
      <c r="G42" s="34"/>
      <c r="H42" s="29">
        <f t="shared" si="0"/>
        <v>21700.99</v>
      </c>
      <c r="I42" s="54"/>
      <c r="J42" s="51" t="s">
        <v>57</v>
      </c>
      <c r="K42" s="50">
        <f>K41/5</f>
        <v>7064</v>
      </c>
      <c r="L42" s="85"/>
    </row>
    <row r="43" spans="1:16" ht="15.75" customHeight="1" x14ac:dyDescent="0.25">
      <c r="A43" s="12"/>
      <c r="B43" s="12"/>
      <c r="C43" s="12"/>
      <c r="D43" s="12"/>
      <c r="E43" s="4"/>
      <c r="F43" s="26"/>
      <c r="G43" s="34"/>
      <c r="H43" s="29">
        <f t="shared" si="0"/>
        <v>21700.99</v>
      </c>
      <c r="I43" s="54"/>
      <c r="J43" s="51" t="s">
        <v>60</v>
      </c>
      <c r="K43" s="65">
        <v>5</v>
      </c>
      <c r="L43" s="85"/>
    </row>
    <row r="44" spans="1:16" ht="15.75" customHeight="1" thickBot="1" x14ac:dyDescent="0.3">
      <c r="A44" s="12"/>
      <c r="B44" s="20"/>
      <c r="C44" s="12"/>
      <c r="D44" s="12"/>
      <c r="E44" s="4"/>
      <c r="F44" s="26"/>
      <c r="G44" s="34"/>
      <c r="H44" s="29">
        <f t="shared" si="0"/>
        <v>21700.99</v>
      </c>
      <c r="I44" s="54"/>
      <c r="J44" s="60"/>
      <c r="K44" s="61"/>
      <c r="L44" s="85"/>
    </row>
    <row r="45" spans="1:16" ht="15.75" customHeight="1" thickBot="1" x14ac:dyDescent="0.3">
      <c r="A45" s="12"/>
      <c r="B45" s="20"/>
      <c r="C45" s="12"/>
      <c r="D45" s="12"/>
      <c r="E45" s="4"/>
      <c r="F45" s="26"/>
      <c r="G45" s="34"/>
      <c r="H45" s="29">
        <f t="shared" si="0"/>
        <v>21700.99</v>
      </c>
      <c r="I45" s="54"/>
      <c r="J45" s="63" t="s">
        <v>55</v>
      </c>
      <c r="K45" s="62">
        <f>K41-(K42*K43)</f>
        <v>0</v>
      </c>
      <c r="L45" s="85"/>
    </row>
    <row r="46" spans="1:16" ht="15" customHeight="1" x14ac:dyDescent="0.25">
      <c r="A46" s="12"/>
      <c r="B46" s="20"/>
      <c r="C46" s="12"/>
      <c r="D46" s="12"/>
      <c r="E46" s="26"/>
      <c r="F46" s="26"/>
      <c r="G46" s="34"/>
      <c r="H46" s="29">
        <f t="shared" si="0"/>
        <v>21700.99</v>
      </c>
      <c r="I46" s="54"/>
      <c r="J46" s="49"/>
      <c r="K46" s="49"/>
      <c r="L46" s="73" t="s">
        <v>75</v>
      </c>
    </row>
    <row r="47" spans="1:16" ht="15" customHeight="1" x14ac:dyDescent="0.25">
      <c r="A47" s="12"/>
      <c r="B47" s="20"/>
      <c r="C47" s="12"/>
      <c r="D47" s="12"/>
      <c r="E47" s="26"/>
      <c r="F47" s="26"/>
      <c r="G47" s="34"/>
      <c r="H47" s="29">
        <f t="shared" si="0"/>
        <v>21700.99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 x14ac:dyDescent="0.25">
      <c r="A48" s="12"/>
      <c r="B48" s="20"/>
      <c r="C48" s="12"/>
      <c r="D48" s="12"/>
      <c r="E48" s="40"/>
      <c r="F48" s="26"/>
      <c r="G48" s="34"/>
      <c r="H48" s="29">
        <f t="shared" si="0"/>
        <v>21700.99</v>
      </c>
      <c r="I48" s="54"/>
      <c r="J48" s="49"/>
      <c r="K48" s="49"/>
      <c r="L48" s="72"/>
    </row>
    <row r="49" spans="1:13" x14ac:dyDescent="0.25">
      <c r="A49" s="12"/>
      <c r="B49" s="12"/>
      <c r="C49" s="12"/>
      <c r="D49" s="12"/>
      <c r="E49" s="26"/>
      <c r="F49" s="26"/>
      <c r="G49" s="34"/>
      <c r="H49" s="29">
        <f t="shared" si="0"/>
        <v>21700.99</v>
      </c>
      <c r="I49" s="54"/>
    </row>
    <row r="50" spans="1:13" x14ac:dyDescent="0.25">
      <c r="A50" s="12"/>
      <c r="B50" s="12"/>
      <c r="C50" s="12"/>
      <c r="D50" s="12"/>
      <c r="E50" s="4"/>
      <c r="F50" s="26"/>
      <c r="G50" s="34"/>
      <c r="H50" s="29">
        <f t="shared" si="0"/>
        <v>21700.99</v>
      </c>
      <c r="I50" s="54"/>
    </row>
    <row r="51" spans="1:13" x14ac:dyDescent="0.25">
      <c r="A51" s="12"/>
      <c r="B51" s="20"/>
      <c r="C51" s="12"/>
      <c r="D51" s="12"/>
      <c r="E51" s="25"/>
      <c r="F51" s="26"/>
      <c r="G51" s="34"/>
      <c r="H51" s="29">
        <f t="shared" si="0"/>
        <v>21700.99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80">
        <f t="shared" si="0"/>
        <v>21700.99</v>
      </c>
      <c r="I52" s="54"/>
      <c r="J52" s="64"/>
      <c r="K52" s="64"/>
      <c r="L52" s="64"/>
      <c r="M52" s="64"/>
    </row>
    <row r="53" spans="1:13" x14ac:dyDescent="0.25">
      <c r="A53" s="12"/>
      <c r="B53" s="20"/>
      <c r="C53" s="12"/>
      <c r="D53" s="12"/>
      <c r="E53" s="26"/>
      <c r="F53" s="26"/>
      <c r="G53" s="34"/>
      <c r="H53" s="29">
        <f t="shared" si="0"/>
        <v>21700.99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40"/>
      <c r="F54" s="26"/>
      <c r="G54" s="34"/>
      <c r="H54" s="29">
        <f t="shared" si="0"/>
        <v>21700.99</v>
      </c>
      <c r="I54" s="54"/>
    </row>
    <row r="55" spans="1:13" x14ac:dyDescent="0.25">
      <c r="A55" s="12"/>
      <c r="B55" s="20"/>
      <c r="C55" s="12"/>
      <c r="D55" s="12"/>
      <c r="E55" s="26"/>
      <c r="F55" s="26"/>
      <c r="G55" s="34"/>
      <c r="H55" s="29">
        <f t="shared" si="0"/>
        <v>21700.99</v>
      </c>
      <c r="I55" s="54"/>
    </row>
    <row r="56" spans="1:13" x14ac:dyDescent="0.25">
      <c r="A56" s="12"/>
      <c r="B56" s="12"/>
      <c r="C56" s="12"/>
      <c r="D56" s="12"/>
      <c r="E56" s="4"/>
      <c r="F56" s="26"/>
      <c r="G56" s="34"/>
      <c r="H56" s="29">
        <f t="shared" si="0"/>
        <v>21700.99</v>
      </c>
      <c r="I56" s="54"/>
    </row>
    <row r="57" spans="1:13" x14ac:dyDescent="0.25">
      <c r="A57" s="12"/>
      <c r="B57" s="20"/>
      <c r="C57" s="12"/>
      <c r="D57" s="12"/>
      <c r="E57" s="26"/>
      <c r="F57" s="26"/>
      <c r="G57" s="34"/>
      <c r="H57" s="29">
        <f t="shared" si="0"/>
        <v>21700.99</v>
      </c>
      <c r="I57" s="54"/>
    </row>
    <row r="58" spans="1:13" x14ac:dyDescent="0.25">
      <c r="A58" s="12"/>
      <c r="B58" s="20"/>
      <c r="C58" s="12"/>
      <c r="D58" s="12"/>
      <c r="E58" s="40"/>
      <c r="F58" s="26"/>
      <c r="G58" s="34"/>
      <c r="H58" s="29">
        <f t="shared" si="0"/>
        <v>21700.99</v>
      </c>
      <c r="I58" s="54"/>
    </row>
    <row r="59" spans="1:13" x14ac:dyDescent="0.25">
      <c r="A59" s="12"/>
      <c r="B59" s="12"/>
      <c r="C59" s="12"/>
      <c r="D59" s="12"/>
      <c r="E59" s="26"/>
      <c r="F59" s="26"/>
      <c r="G59" s="34"/>
      <c r="H59" s="29">
        <f t="shared" si="0"/>
        <v>21700.99</v>
      </c>
      <c r="I59" s="54"/>
    </row>
    <row r="60" spans="1:13" x14ac:dyDescent="0.25">
      <c r="A60" s="12"/>
      <c r="B60" s="12"/>
      <c r="C60" s="12"/>
      <c r="D60" s="12"/>
      <c r="E60" s="4"/>
      <c r="F60" s="26"/>
      <c r="G60" s="34"/>
      <c r="H60" s="29">
        <f t="shared" si="0"/>
        <v>21700.99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21700.99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21700.99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21700.99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21700.99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21700.99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21700.99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21700.99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21700.99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21700.99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21700.99</v>
      </c>
      <c r="I71" s="54"/>
    </row>
    <row r="72" spans="1:9" ht="15.75" thickBot="1" x14ac:dyDescent="0.3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0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5"/>
  <sheetViews>
    <sheetView zoomScaleNormal="100" workbookViewId="0">
      <selection activeCell="H3" sqref="H3"/>
    </sheetView>
  </sheetViews>
  <sheetFormatPr defaultRowHeight="15" x14ac:dyDescent="0.2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 x14ac:dyDescent="0.35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9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 x14ac:dyDescent="0.3">
      <c r="A3" s="81" t="s">
        <v>128</v>
      </c>
      <c r="B3" s="19" t="s">
        <v>8</v>
      </c>
      <c r="C3" s="22"/>
      <c r="D3" s="3"/>
      <c r="E3" s="2"/>
      <c r="F3" s="71"/>
      <c r="G3" s="67"/>
      <c r="H3" s="90">
        <f>'June 2021'!H71</f>
        <v>17499.350000000002</v>
      </c>
      <c r="I3" s="54"/>
    </row>
    <row r="4" spans="1:9" ht="15.75" thickBot="1" x14ac:dyDescent="0.3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14907.350000000002</v>
      </c>
      <c r="I4" s="54"/>
    </row>
    <row r="5" spans="1:9" ht="15.75" thickBot="1" x14ac:dyDescent="0.3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11523.350000000002</v>
      </c>
      <c r="I5" s="54"/>
    </row>
    <row r="6" spans="1:9" ht="15.75" customHeight="1" thickBot="1" x14ac:dyDescent="0.3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7395.3500000000022</v>
      </c>
      <c r="I6" s="54"/>
    </row>
    <row r="7" spans="1:9" ht="15.75" customHeight="1" thickBot="1" x14ac:dyDescent="0.3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4077.3500000000022</v>
      </c>
      <c r="I7" s="54"/>
    </row>
    <row r="8" spans="1:9" ht="15.75" thickBot="1" x14ac:dyDescent="0.3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-1534.6499999999978</v>
      </c>
      <c r="I8" s="54"/>
    </row>
    <row r="9" spans="1:9" x14ac:dyDescent="0.25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-3934.6499999999978</v>
      </c>
      <c r="I9" s="54"/>
    </row>
    <row r="10" spans="1:9" x14ac:dyDescent="0.25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-9072.6499999999978</v>
      </c>
      <c r="I10" s="54"/>
    </row>
    <row r="11" spans="1:9" ht="15" customHeight="1" x14ac:dyDescent="0.25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-16030.649999999998</v>
      </c>
      <c r="I11" s="54"/>
    </row>
    <row r="12" spans="1:9" ht="15" customHeight="1" x14ac:dyDescent="0.25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-19590.649999999998</v>
      </c>
      <c r="I12" s="54"/>
    </row>
    <row r="13" spans="1:9" ht="15" customHeight="1" x14ac:dyDescent="0.25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-26152.649999999998</v>
      </c>
      <c r="I13" s="54"/>
    </row>
    <row r="14" spans="1:9" ht="15.75" customHeight="1" x14ac:dyDescent="0.25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-29952.649999999998</v>
      </c>
      <c r="I14" s="54"/>
    </row>
    <row r="15" spans="1:9" ht="15.75" customHeight="1" x14ac:dyDescent="0.25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-35352.649999999994</v>
      </c>
      <c r="I15" s="54"/>
    </row>
    <row r="16" spans="1:9" ht="15" customHeight="1" x14ac:dyDescent="0.25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-43202.649999999994</v>
      </c>
      <c r="I16" s="54"/>
    </row>
    <row r="17" spans="1:9" ht="15" customHeight="1" x14ac:dyDescent="0.25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-49124.649999999994</v>
      </c>
      <c r="I17" s="54"/>
    </row>
    <row r="18" spans="1:9" ht="15" customHeight="1" x14ac:dyDescent="0.25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-50888.649999999994</v>
      </c>
      <c r="I18" s="54"/>
    </row>
    <row r="19" spans="1:9" ht="15" customHeight="1" x14ac:dyDescent="0.25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-55348.649999999994</v>
      </c>
      <c r="I19" s="54"/>
    </row>
    <row r="20" spans="1:9" ht="15" customHeight="1" x14ac:dyDescent="0.25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-64626.649999999994</v>
      </c>
      <c r="I20" s="54"/>
    </row>
    <row r="21" spans="1:9" ht="15" customHeight="1" x14ac:dyDescent="0.25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 x14ac:dyDescent="0.25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 x14ac:dyDescent="0.25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 x14ac:dyDescent="0.25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 x14ac:dyDescent="0.25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 x14ac:dyDescent="0.25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 x14ac:dyDescent="0.25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 x14ac:dyDescent="0.25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 x14ac:dyDescent="0.25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 x14ac:dyDescent="0.25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 x14ac:dyDescent="0.25">
      <c r="A31" s="12"/>
      <c r="B31" s="12" t="s">
        <v>21</v>
      </c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 x14ac:dyDescent="0.25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 x14ac:dyDescent="0.25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 x14ac:dyDescent="0.25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 x14ac:dyDescent="0.25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 x14ac:dyDescent="0.25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 x14ac:dyDescent="0.25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 x14ac:dyDescent="0.25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 x14ac:dyDescent="0.25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 x14ac:dyDescent="0.25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 x14ac:dyDescent="0.25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 x14ac:dyDescent="0.25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 x14ac:dyDescent="0.25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 x14ac:dyDescent="0.25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 x14ac:dyDescent="0.25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 x14ac:dyDescent="0.25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 x14ac:dyDescent="0.25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 x14ac:dyDescent="0.25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 x14ac:dyDescent="0.25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 x14ac:dyDescent="0.25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 x14ac:dyDescent="0.25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 x14ac:dyDescent="0.25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 x14ac:dyDescent="0.25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 x14ac:dyDescent="0.25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 x14ac:dyDescent="0.25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 x14ac:dyDescent="0.25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 x14ac:dyDescent="0.25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 x14ac:dyDescent="0.25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 x14ac:dyDescent="0.25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 x14ac:dyDescent="0.25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 x14ac:dyDescent="0.25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 x14ac:dyDescent="0.25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 x14ac:dyDescent="0.25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 x14ac:dyDescent="0.25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 x14ac:dyDescent="0.3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</vt:lpstr>
      <vt:lpstr>October 2021</vt:lpstr>
      <vt:lpstr>July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Tushar Panja</cp:lastModifiedBy>
  <cp:lastPrinted>2021-10-08T06:06:57Z</cp:lastPrinted>
  <dcterms:created xsi:type="dcterms:W3CDTF">2017-04-20T06:09:09Z</dcterms:created>
  <dcterms:modified xsi:type="dcterms:W3CDTF">2021-10-16T10:18:53Z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