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26" r:id="rId1"/>
    <sheet name="May 2021" sheetId="27" r:id="rId2"/>
  </sheets>
  <externalReferences>
    <externalReference r:id="rId3"/>
  </externalReferences>
  <definedNames>
    <definedName name="_xlnm._FilterDatabase" localSheetId="0" hidden="1">'April 2021-22'!$A$3:$H$68</definedName>
  </definedNames>
  <calcPr calcId="125725"/>
</workbook>
</file>

<file path=xl/calcChain.xml><?xml version="1.0" encoding="utf-8"?>
<calcChain xmlns="http://schemas.openxmlformats.org/spreadsheetml/2006/main">
  <c r="H5" i="27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4" l="1"/>
  <c r="K32"/>
  <c r="L38" i="26"/>
  <c r="K37" i="27" l="1"/>
  <c r="K41"/>
  <c r="K22"/>
  <c r="K35" l="1"/>
  <c r="K42"/>
  <c r="K25"/>
  <c r="K12"/>
  <c r="K15" s="1"/>
  <c r="K47"/>
  <c r="K27"/>
  <c r="K17"/>
  <c r="G72"/>
  <c r="F72"/>
  <c r="E72"/>
  <c r="L28" i="26"/>
  <c r="J37"/>
  <c r="K41" s="1"/>
  <c r="K65"/>
  <c r="J6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7" l="1"/>
  <c r="K6" s="1"/>
</calcChain>
</file>

<file path=xl/sharedStrings.xml><?xml version="1.0" encoding="utf-8"?>
<sst xmlns="http://schemas.openxmlformats.org/spreadsheetml/2006/main" count="228" uniqueCount="77">
  <si>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</si>
  <si>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</si>
  <si>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</si>
  <si>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</si>
  <si>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</si>
  <si>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</si>
  <si>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</si>
  <si>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</si>
  <si>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</si>
  <si>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</si>
  <si>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</si>
  <si>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</si>
  <si>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</si>
  <si>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</si>
  <si>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TOTAL FOR THE MONTH OF MARCH 2020-21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</si>
  <si>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</si>
  <si>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</si>
  <si>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</si>
  <si>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</si>
  <si>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</si>
  <si>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</si>
  <si>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</si>
  <si>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</si>
  <si>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</si>
  <si>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</si>
  <si>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</si>
  <si>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</si>
  <si>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</si>
  <si>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</si>
  <si>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</si>
  <si>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</si>
  <si>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</si>
  <si>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</si>
  <si>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</si>
  <si>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</si>
  <si>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</si>
  <si>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</si>
  <si>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</si>
  <si>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</si>
  <si>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</si>
  <si>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</si>
  <si>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</si>
  <si>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</si>
  <si>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</si>
  <si>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</si>
  <si>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</si>
  <si>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</si>
  <si>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</si>
  <si>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</si>
  <si>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</si>
  <si>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</si>
  <si>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</si>
  <si>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</si>
  <si>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</si>
  <si>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</si>
  <si>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</si>
  <si>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</si>
  <si>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</si>
  <si>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</si>
  <si>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</si>
  <si>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</si>
  <si>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</si>
  <si>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</si>
  <si>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</si>
  <si>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</si>
  <si>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</si>
  <si>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</si>
  <si>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</si>
  <si>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</si>
  <si>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</si>
  <si>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</si>
  <si>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</si>
  <si>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</si>
  <si>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</si>
  <si>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</si>
  <si>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Gml-03</t>
  </si>
  <si>
    <t>Gml-01</t>
  </si>
</sst>
</file>

<file path=xl/styles.xml><?xml version="1.0" encoding="utf-8"?>
<styleSheet xmlns="http://schemas.openxmlformats.org/spreadsheetml/2006/main">
  <numFmts count="1">
    <numFmt numFmtId="164" formatCode="0.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1" fillId="3" borderId="10" xfId="0" applyFont="1" applyFill="1" applyBorder="1" applyAlignment="1">
      <alignment horizontal="center"/>
    </xf>
    <xf numFmtId="2" fontId="1" fillId="3" borderId="17" xfId="0" applyNumberFormat="1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2" fontId="1" fillId="3" borderId="19" xfId="0" applyNumberFormat="1" applyFont="1" applyFill="1" applyBorder="1" applyAlignment="1">
      <alignment horizontal="center"/>
    </xf>
    <xf numFmtId="0" fontId="0" fillId="3" borderId="18" xfId="0" applyFill="1" applyBorder="1"/>
    <xf numFmtId="0" fontId="0" fillId="3" borderId="19" xfId="0" applyFill="1" applyBorder="1"/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2" fontId="4" fillId="0" borderId="17" xfId="0" applyNumberFormat="1" applyFont="1" applyBorder="1" applyAlignment="1">
      <alignment horizontal="center" vertical="center"/>
    </xf>
    <xf numFmtId="2" fontId="4" fillId="0" borderId="2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15">
          <cell r="N15">
            <v>65320.722799999996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28" zoomScaleNormal="100" workbookViewId="0">
      <selection activeCell="L45" sqref="L45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78" t="s">
        <v>16</v>
      </c>
      <c r="B1" s="78"/>
      <c r="C1" s="78"/>
      <c r="D1" s="78"/>
      <c r="E1" s="78"/>
      <c r="F1" s="78"/>
      <c r="G1" s="78"/>
      <c r="H1" s="78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15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>
      <c r="A4" s="12" t="s">
        <v>17</v>
      </c>
      <c r="B4" s="20" t="s">
        <v>22</v>
      </c>
      <c r="C4" s="12" t="s">
        <v>23</v>
      </c>
      <c r="D4" s="12" t="s">
        <v>25</v>
      </c>
      <c r="E4" s="25">
        <v>7225.4</v>
      </c>
      <c r="F4" s="38"/>
      <c r="G4" s="34"/>
      <c r="H4" s="29">
        <f>H3+E4+F4-G4</f>
        <v>57898.33</v>
      </c>
    </row>
    <row r="5" spans="1:8">
      <c r="A5" s="12" t="s">
        <v>17</v>
      </c>
      <c r="B5" s="12" t="s">
        <v>26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>
      <c r="A6" s="12" t="s">
        <v>18</v>
      </c>
      <c r="B6" s="20" t="s">
        <v>22</v>
      </c>
      <c r="C6" s="12" t="s">
        <v>23</v>
      </c>
      <c r="D6" s="12" t="s">
        <v>24</v>
      </c>
      <c r="E6" s="25">
        <v>7225.4</v>
      </c>
      <c r="F6" s="26"/>
      <c r="G6" s="34"/>
      <c r="H6" s="29">
        <f t="shared" si="0"/>
        <v>62867.73</v>
      </c>
    </row>
    <row r="7" spans="1:8">
      <c r="A7" s="12" t="s">
        <v>18</v>
      </c>
      <c r="B7" s="12" t="s">
        <v>26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>
      <c r="A8" s="12" t="s">
        <v>19</v>
      </c>
      <c r="B8" s="20" t="s">
        <v>26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>
      <c r="A9" s="12" t="s">
        <v>20</v>
      </c>
      <c r="B9" s="20" t="s">
        <v>26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>
      <c r="A10" s="12" t="s">
        <v>21</v>
      </c>
      <c r="B10" s="12" t="s">
        <v>22</v>
      </c>
      <c r="C10" s="12" t="s">
        <v>23</v>
      </c>
      <c r="D10" s="12" t="s">
        <v>28</v>
      </c>
      <c r="E10" s="25">
        <v>7225.4</v>
      </c>
      <c r="F10" s="26"/>
      <c r="G10" s="34"/>
      <c r="H10" s="29">
        <f t="shared" si="0"/>
        <v>51901.130000000005</v>
      </c>
    </row>
    <row r="11" spans="1:8">
      <c r="A11" s="12" t="s">
        <v>21</v>
      </c>
      <c r="B11" s="12" t="s">
        <v>26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>
      <c r="A12" s="12" t="s">
        <v>29</v>
      </c>
      <c r="B12" s="12" t="s">
        <v>22</v>
      </c>
      <c r="C12" s="12" t="s">
        <v>23</v>
      </c>
      <c r="D12" s="12" t="s">
        <v>30</v>
      </c>
      <c r="E12" s="25">
        <v>7225.4</v>
      </c>
      <c r="F12" s="26"/>
      <c r="G12" s="34"/>
      <c r="H12" s="29">
        <f t="shared" si="0"/>
        <v>56750.530000000006</v>
      </c>
    </row>
    <row r="13" spans="1:8">
      <c r="A13" s="12" t="s">
        <v>29</v>
      </c>
      <c r="B13" s="20" t="s">
        <v>26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>
      <c r="A14" s="12" t="s">
        <v>27</v>
      </c>
      <c r="B14" s="12" t="s">
        <v>22</v>
      </c>
      <c r="C14" s="12" t="s">
        <v>23</v>
      </c>
      <c r="D14" s="12" t="s">
        <v>30</v>
      </c>
      <c r="E14" s="26">
        <v>7226</v>
      </c>
      <c r="F14" s="26"/>
      <c r="G14" s="34"/>
      <c r="H14" s="29">
        <f t="shared" si="0"/>
        <v>57832.530000000006</v>
      </c>
    </row>
    <row r="15" spans="1:8">
      <c r="A15" s="12" t="s">
        <v>27</v>
      </c>
      <c r="B15" s="20" t="s">
        <v>34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>
      <c r="A16" s="12" t="s">
        <v>27</v>
      </c>
      <c r="B16" s="20" t="s">
        <v>26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>
      <c r="A17" s="12" t="s">
        <v>31</v>
      </c>
      <c r="B17" s="20" t="s">
        <v>26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>
      <c r="A18" s="12" t="s">
        <v>32</v>
      </c>
      <c r="B18" s="20" t="s">
        <v>26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>
      <c r="A19" s="12" t="s">
        <v>33</v>
      </c>
      <c r="B19" s="20" t="s">
        <v>26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>
      <c r="A20" s="12" t="s">
        <v>35</v>
      </c>
      <c r="B20" s="20" t="s">
        <v>26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>
      <c r="A21" s="12" t="s">
        <v>36</v>
      </c>
      <c r="B21" s="20" t="s">
        <v>26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>
      <c r="A22" s="12" t="s">
        <v>37</v>
      </c>
      <c r="B22" s="20" t="s">
        <v>22</v>
      </c>
      <c r="C22" s="12" t="s">
        <v>39</v>
      </c>
      <c r="D22" s="12" t="s">
        <v>25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>
      <c r="A23" s="12" t="s">
        <v>37</v>
      </c>
      <c r="B23" s="12" t="s">
        <v>26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>
      <c r="A24" s="12" t="s">
        <v>38</v>
      </c>
      <c r="B24" s="12" t="s">
        <v>22</v>
      </c>
      <c r="C24" s="12" t="s">
        <v>39</v>
      </c>
      <c r="D24" s="12" t="s">
        <v>24</v>
      </c>
      <c r="E24" s="25">
        <v>7370.8</v>
      </c>
      <c r="F24" s="26"/>
      <c r="G24" s="34"/>
      <c r="H24" s="29">
        <f t="shared" si="0"/>
        <v>33073.130000000012</v>
      </c>
    </row>
    <row r="25" spans="1:14">
      <c r="A25" s="12" t="s">
        <v>38</v>
      </c>
      <c r="B25" s="12" t="s">
        <v>26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>
      <c r="A26" s="12" t="s">
        <v>40</v>
      </c>
      <c r="B26" s="12" t="s">
        <v>26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>
      <c r="A27" s="12" t="s">
        <v>41</v>
      </c>
      <c r="B27" s="12" t="s">
        <v>26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>
      <c r="A28" s="12" t="s">
        <v>42</v>
      </c>
      <c r="B28" s="12" t="s">
        <v>22</v>
      </c>
      <c r="C28" s="12" t="s">
        <v>39</v>
      </c>
      <c r="D28" s="12" t="s">
        <v>28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42</v>
      </c>
      <c r="B29" s="12" t="s">
        <v>26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>
      <c r="A30" s="12" t="s">
        <v>43</v>
      </c>
      <c r="B30" s="12" t="s">
        <v>26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>
      <c r="A31" s="12" t="s">
        <v>44</v>
      </c>
      <c r="B31" s="12" t="s">
        <v>22</v>
      </c>
      <c r="C31" s="12" t="s">
        <v>39</v>
      </c>
      <c r="D31" s="12" t="s">
        <v>45</v>
      </c>
      <c r="E31" s="25">
        <f>7370.8*2</f>
        <v>14741.6</v>
      </c>
      <c r="F31" s="26"/>
      <c r="G31" s="34"/>
      <c r="H31" s="29">
        <f t="shared" si="0"/>
        <v>24939.530000000013</v>
      </c>
      <c r="K31" s="79" t="s">
        <v>11</v>
      </c>
      <c r="L31" s="80">
        <f>L28-L29</f>
        <v>0</v>
      </c>
    </row>
    <row r="32" spans="1:14" ht="15.75" customHeight="1">
      <c r="A32" s="12" t="s">
        <v>44</v>
      </c>
      <c r="B32" s="12" t="s">
        <v>34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79"/>
      <c r="L32" s="80"/>
    </row>
    <row r="33" spans="1:15" ht="15.75" customHeight="1">
      <c r="A33" s="12" t="s">
        <v>44</v>
      </c>
      <c r="B33" s="12" t="s">
        <v>26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>
      <c r="A34" s="12" t="s">
        <v>46</v>
      </c>
      <c r="B34" s="12" t="s">
        <v>22</v>
      </c>
      <c r="C34" s="12" t="s">
        <v>47</v>
      </c>
      <c r="D34" s="12" t="s">
        <v>25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>
      <c r="A35" s="12" t="s">
        <v>46</v>
      </c>
      <c r="B35" s="12" t="s">
        <v>26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>
      <c r="A36" s="12" t="s">
        <v>49</v>
      </c>
      <c r="B36" s="12" t="s">
        <v>22</v>
      </c>
      <c r="C36" s="12" t="s">
        <v>47</v>
      </c>
      <c r="D36" s="12" t="s">
        <v>24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>
      <c r="A37" s="12" t="s">
        <v>49</v>
      </c>
      <c r="B37" s="12" t="s">
        <v>22</v>
      </c>
      <c r="C37" s="12" t="s">
        <v>50</v>
      </c>
      <c r="D37" s="12" t="s">
        <v>25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54</v>
      </c>
      <c r="L37" s="48">
        <v>147.41</v>
      </c>
    </row>
    <row r="38" spans="1:15">
      <c r="A38" s="12" t="s">
        <v>49</v>
      </c>
      <c r="B38" s="20" t="s">
        <v>26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51</v>
      </c>
      <c r="B39" s="12" t="s">
        <v>26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>
      <c r="A40" s="12" t="s">
        <v>52</v>
      </c>
      <c r="B40" s="20" t="s">
        <v>26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>
      <c r="A41" s="12" t="s">
        <v>53</v>
      </c>
      <c r="B41" s="20" t="s">
        <v>22</v>
      </c>
      <c r="C41" s="12" t="s">
        <v>54</v>
      </c>
      <c r="D41" s="12" t="s">
        <v>25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53</v>
      </c>
      <c r="B42" s="20" t="s">
        <v>26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>
      <c r="A43" s="12" t="s">
        <v>55</v>
      </c>
      <c r="B43" s="12" t="s">
        <v>26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48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50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>
      <c r="A68" s="5" t="s">
        <v>14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abSelected="1" zoomScaleNormal="100" workbookViewId="0">
      <selection activeCell="H18" sqref="H18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78" t="s">
        <v>62</v>
      </c>
      <c r="B1" s="78"/>
      <c r="C1" s="78"/>
      <c r="D1" s="78"/>
      <c r="E1" s="78"/>
      <c r="F1" s="78"/>
      <c r="G1" s="78"/>
      <c r="H1" s="78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63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2" t="s">
        <v>9</v>
      </c>
      <c r="K3" s="73">
        <f>'[1]May 2021'!$N$15</f>
        <v>65320.722799999996</v>
      </c>
    </row>
    <row r="4" spans="1:12">
      <c r="A4" s="18" t="s">
        <v>63</v>
      </c>
      <c r="B4" s="12" t="s">
        <v>22</v>
      </c>
      <c r="C4" s="12" t="s">
        <v>50</v>
      </c>
      <c r="D4" s="12" t="s">
        <v>24</v>
      </c>
      <c r="E4" s="40">
        <v>3042.56</v>
      </c>
      <c r="F4" s="71"/>
      <c r="G4" s="34"/>
      <c r="H4" s="29">
        <f>H3+E4+F4-G4</f>
        <v>22870.02</v>
      </c>
      <c r="I4" s="54"/>
      <c r="J4" s="74" t="s">
        <v>10</v>
      </c>
      <c r="K4" s="75">
        <f>H71+K15+K35+K25+K45</f>
        <v>65256.679999999993</v>
      </c>
    </row>
    <row r="5" spans="1:12" ht="15.75" thickBot="1">
      <c r="A5" s="12" t="s">
        <v>63</v>
      </c>
      <c r="B5" s="12" t="s">
        <v>26</v>
      </c>
      <c r="C5" s="12"/>
      <c r="D5" s="12"/>
      <c r="E5" s="40"/>
      <c r="F5" s="71"/>
      <c r="G5" s="34">
        <v>2376</v>
      </c>
      <c r="H5" s="29">
        <f t="shared" ref="H5:H68" si="0">H4+E5+F5-G5</f>
        <v>20494.02</v>
      </c>
      <c r="I5" s="54"/>
      <c r="J5" s="76"/>
      <c r="K5" s="77"/>
    </row>
    <row r="6" spans="1:12">
      <c r="A6" s="12" t="s">
        <v>64</v>
      </c>
      <c r="B6" s="20" t="s">
        <v>22</v>
      </c>
      <c r="C6" s="12" t="s">
        <v>47</v>
      </c>
      <c r="D6" s="12" t="s">
        <v>28</v>
      </c>
      <c r="E6" s="40">
        <v>7130.46</v>
      </c>
      <c r="F6" s="26"/>
      <c r="G6" s="34"/>
      <c r="H6" s="29">
        <f t="shared" si="0"/>
        <v>27624.48</v>
      </c>
      <c r="I6" s="54"/>
      <c r="J6" s="82" t="s">
        <v>11</v>
      </c>
      <c r="K6" s="84">
        <f>K3-K4</f>
        <v>64.042800000002899</v>
      </c>
    </row>
    <row r="7" spans="1:12" ht="15.75" thickBot="1">
      <c r="A7" s="12" t="s">
        <v>64</v>
      </c>
      <c r="B7" s="20" t="s">
        <v>22</v>
      </c>
      <c r="C7" s="12" t="s">
        <v>54</v>
      </c>
      <c r="D7" s="12" t="s">
        <v>24</v>
      </c>
      <c r="E7" s="25">
        <v>7239.04</v>
      </c>
      <c r="F7" s="26"/>
      <c r="G7" s="34"/>
      <c r="H7" s="29">
        <f t="shared" si="0"/>
        <v>34863.519999999997</v>
      </c>
      <c r="I7" s="54"/>
      <c r="J7" s="83"/>
      <c r="K7" s="85"/>
    </row>
    <row r="8" spans="1:12">
      <c r="A8" s="12" t="s">
        <v>64</v>
      </c>
      <c r="B8" s="20" t="s">
        <v>26</v>
      </c>
      <c r="C8" s="12"/>
      <c r="D8" s="12"/>
      <c r="E8" s="25"/>
      <c r="F8" s="26"/>
      <c r="G8" s="34">
        <v>3096</v>
      </c>
      <c r="H8" s="29">
        <f t="shared" si="0"/>
        <v>31767.519999999997</v>
      </c>
      <c r="I8" s="54"/>
    </row>
    <row r="9" spans="1:12">
      <c r="A9" s="12" t="s">
        <v>65</v>
      </c>
      <c r="B9" s="20" t="s">
        <v>22</v>
      </c>
      <c r="C9" s="12" t="s">
        <v>47</v>
      </c>
      <c r="D9" s="12" t="s">
        <v>30</v>
      </c>
      <c r="E9" s="40">
        <v>7130.46</v>
      </c>
      <c r="F9" s="26"/>
      <c r="G9" s="34"/>
      <c r="H9" s="29">
        <f t="shared" si="0"/>
        <v>38897.979999999996</v>
      </c>
      <c r="I9" s="54"/>
    </row>
    <row r="10" spans="1:12">
      <c r="A10" s="12" t="s">
        <v>65</v>
      </c>
      <c r="B10" s="12" t="s">
        <v>26</v>
      </c>
      <c r="C10" s="12"/>
      <c r="D10" s="12"/>
      <c r="E10" s="25"/>
      <c r="F10" s="26"/>
      <c r="G10" s="34">
        <v>3228</v>
      </c>
      <c r="H10" s="29">
        <f t="shared" si="0"/>
        <v>35669.979999999996</v>
      </c>
      <c r="I10" s="54"/>
    </row>
    <row r="11" spans="1:12">
      <c r="A11" s="12" t="s">
        <v>66</v>
      </c>
      <c r="B11" s="12" t="s">
        <v>22</v>
      </c>
      <c r="C11" s="12" t="s">
        <v>54</v>
      </c>
      <c r="D11" s="12" t="s">
        <v>28</v>
      </c>
      <c r="E11" s="25">
        <v>7239.04</v>
      </c>
      <c r="F11" s="26"/>
      <c r="G11" s="34"/>
      <c r="H11" s="29">
        <f t="shared" si="0"/>
        <v>42909.02</v>
      </c>
      <c r="I11" s="54"/>
      <c r="J11" s="57" t="s">
        <v>57</v>
      </c>
      <c r="K11" s="66">
        <v>28956.16</v>
      </c>
      <c r="L11" s="81" t="s">
        <v>54</v>
      </c>
    </row>
    <row r="12" spans="1:12">
      <c r="A12" s="12" t="s">
        <v>66</v>
      </c>
      <c r="B12" s="12" t="s">
        <v>26</v>
      </c>
      <c r="C12" s="12"/>
      <c r="D12" s="12"/>
      <c r="E12" s="40"/>
      <c r="F12" s="71"/>
      <c r="G12" s="34">
        <v>3566</v>
      </c>
      <c r="H12" s="29">
        <f t="shared" si="0"/>
        <v>39343.019999999997</v>
      </c>
      <c r="I12" s="54"/>
      <c r="J12" s="51" t="s">
        <v>58</v>
      </c>
      <c r="K12" s="50">
        <f>K11/4</f>
        <v>7239.04</v>
      </c>
      <c r="L12" s="81"/>
    </row>
    <row r="13" spans="1:12">
      <c r="A13" s="12" t="s">
        <v>67</v>
      </c>
      <c r="B13" s="12" t="s">
        <v>22</v>
      </c>
      <c r="C13" s="12" t="s">
        <v>54</v>
      </c>
      <c r="D13" s="12" t="s">
        <v>30</v>
      </c>
      <c r="E13" s="25">
        <v>7239.04</v>
      </c>
      <c r="F13" s="26"/>
      <c r="G13" s="34"/>
      <c r="H13" s="29">
        <f t="shared" si="0"/>
        <v>46582.06</v>
      </c>
      <c r="I13" s="54"/>
      <c r="J13" s="51" t="s">
        <v>61</v>
      </c>
      <c r="K13" s="65">
        <v>4</v>
      </c>
      <c r="L13" s="81"/>
    </row>
    <row r="14" spans="1:12" ht="15.75" thickBot="1">
      <c r="A14" s="12" t="s">
        <v>67</v>
      </c>
      <c r="B14" s="20" t="s">
        <v>26</v>
      </c>
      <c r="C14" s="12"/>
      <c r="D14" s="12"/>
      <c r="E14" s="25"/>
      <c r="F14" s="26"/>
      <c r="G14" s="34">
        <v>2712</v>
      </c>
      <c r="H14" s="29">
        <f t="shared" si="0"/>
        <v>43870.06</v>
      </c>
      <c r="I14" s="54"/>
      <c r="J14" s="60"/>
      <c r="K14" s="61"/>
      <c r="L14" s="81"/>
    </row>
    <row r="15" spans="1:12" ht="15.75" thickBot="1">
      <c r="A15" s="12" t="s">
        <v>68</v>
      </c>
      <c r="B15" s="12" t="s">
        <v>22</v>
      </c>
      <c r="C15" s="12" t="s">
        <v>54</v>
      </c>
      <c r="D15" s="12" t="s">
        <v>69</v>
      </c>
      <c r="E15" s="25">
        <v>7239.04</v>
      </c>
      <c r="F15" s="26"/>
      <c r="G15" s="34"/>
      <c r="H15" s="29">
        <f t="shared" si="0"/>
        <v>51109.1</v>
      </c>
      <c r="I15" s="54"/>
      <c r="J15" s="63" t="s">
        <v>56</v>
      </c>
      <c r="K15" s="62">
        <f>K11-(K12*K13)</f>
        <v>0</v>
      </c>
      <c r="L15" s="81"/>
    </row>
    <row r="16" spans="1:12">
      <c r="A16" s="12" t="s">
        <v>68</v>
      </c>
      <c r="B16" s="12" t="s">
        <v>34</v>
      </c>
      <c r="C16" s="12"/>
      <c r="D16" s="12"/>
      <c r="E16" s="25"/>
      <c r="F16" s="26">
        <v>144.78</v>
      </c>
      <c r="G16" s="34"/>
      <c r="H16" s="29">
        <f t="shared" si="0"/>
        <v>51253.88</v>
      </c>
      <c r="I16" s="54"/>
      <c r="J16" s="49"/>
      <c r="K16" s="49"/>
      <c r="L16" s="81"/>
    </row>
    <row r="17" spans="1:12" ht="15" customHeight="1">
      <c r="A17" s="12" t="s">
        <v>68</v>
      </c>
      <c r="B17" s="20" t="s">
        <v>26</v>
      </c>
      <c r="C17" s="12"/>
      <c r="D17" s="12"/>
      <c r="E17" s="25"/>
      <c r="F17" s="26"/>
      <c r="G17" s="34">
        <v>3720</v>
      </c>
      <c r="H17" s="29">
        <f t="shared" si="0"/>
        <v>47533.88</v>
      </c>
      <c r="I17" s="54"/>
      <c r="J17" s="56" t="s">
        <v>59</v>
      </c>
      <c r="K17" s="66">
        <f>K11*0.4%</f>
        <v>115.82464</v>
      </c>
      <c r="L17" s="81"/>
    </row>
    <row r="18" spans="1:12" ht="15" customHeight="1">
      <c r="A18" s="12" t="s">
        <v>70</v>
      </c>
      <c r="B18" s="20" t="s">
        <v>26</v>
      </c>
      <c r="C18" s="12"/>
      <c r="D18" s="12"/>
      <c r="E18" s="25"/>
      <c r="F18" s="26"/>
      <c r="G18" s="34">
        <v>2744</v>
      </c>
      <c r="H18" s="29">
        <f t="shared" si="0"/>
        <v>44789.88</v>
      </c>
      <c r="I18" s="54"/>
      <c r="J18" s="49"/>
      <c r="K18" s="49"/>
      <c r="L18" s="81"/>
    </row>
    <row r="19" spans="1:12" ht="15" customHeight="1">
      <c r="A19" s="12" t="s">
        <v>71</v>
      </c>
      <c r="B19" s="20" t="s">
        <v>26</v>
      </c>
      <c r="C19" s="12"/>
      <c r="D19" s="12"/>
      <c r="E19" s="25"/>
      <c r="F19" s="26"/>
      <c r="G19" s="34">
        <v>4548</v>
      </c>
      <c r="H19" s="29">
        <f t="shared" si="0"/>
        <v>40241.879999999997</v>
      </c>
      <c r="I19" s="54"/>
    </row>
    <row r="20" spans="1:12" ht="15" customHeight="1">
      <c r="A20" s="12" t="s">
        <v>72</v>
      </c>
      <c r="B20" s="20" t="s">
        <v>26</v>
      </c>
      <c r="C20" s="12"/>
      <c r="D20" s="12"/>
      <c r="E20" s="25"/>
      <c r="F20" s="26"/>
      <c r="G20" s="34">
        <v>2688</v>
      </c>
      <c r="H20" s="29">
        <f t="shared" si="0"/>
        <v>37553.879999999997</v>
      </c>
      <c r="I20" s="54"/>
    </row>
    <row r="21" spans="1:12" ht="15" customHeight="1">
      <c r="A21" s="12" t="s">
        <v>73</v>
      </c>
      <c r="B21" s="12" t="s">
        <v>22</v>
      </c>
      <c r="C21" s="12" t="s">
        <v>75</v>
      </c>
      <c r="D21" s="12" t="s">
        <v>25</v>
      </c>
      <c r="E21" s="25">
        <v>3200.1</v>
      </c>
      <c r="F21" s="26"/>
      <c r="G21" s="34"/>
      <c r="H21" s="29">
        <f t="shared" si="0"/>
        <v>40753.979999999996</v>
      </c>
      <c r="I21" s="54"/>
      <c r="J21" s="57" t="s">
        <v>57</v>
      </c>
      <c r="K21" s="66">
        <v>12170.24</v>
      </c>
      <c r="L21" s="81" t="s">
        <v>50</v>
      </c>
    </row>
    <row r="22" spans="1:12" ht="15" customHeight="1">
      <c r="A22" s="12" t="s">
        <v>73</v>
      </c>
      <c r="B22" s="20" t="s">
        <v>26</v>
      </c>
      <c r="C22" s="12"/>
      <c r="D22" s="12"/>
      <c r="E22" s="25"/>
      <c r="F22" s="26"/>
      <c r="G22" s="34">
        <v>1212</v>
      </c>
      <c r="H22" s="29">
        <f t="shared" si="0"/>
        <v>39541.979999999996</v>
      </c>
      <c r="I22" s="54"/>
      <c r="J22" s="51" t="s">
        <v>58</v>
      </c>
      <c r="K22" s="50">
        <f>K21/4</f>
        <v>3042.56</v>
      </c>
      <c r="L22" s="81"/>
    </row>
    <row r="23" spans="1:12" ht="15" customHeight="1">
      <c r="A23" s="12" t="s">
        <v>74</v>
      </c>
      <c r="B23" s="20" t="s">
        <v>26</v>
      </c>
      <c r="C23" s="12"/>
      <c r="D23" s="12"/>
      <c r="E23" s="25"/>
      <c r="F23" s="26"/>
      <c r="G23" s="34">
        <v>3344</v>
      </c>
      <c r="H23" s="29">
        <f t="shared" si="0"/>
        <v>36197.979999999996</v>
      </c>
      <c r="I23" s="54"/>
      <c r="J23" s="51" t="s">
        <v>61</v>
      </c>
      <c r="K23" s="65">
        <v>1</v>
      </c>
      <c r="L23" s="81"/>
    </row>
    <row r="24" spans="1:12" ht="15.75" customHeight="1" thickBot="1">
      <c r="A24" s="12"/>
      <c r="B24" s="20"/>
      <c r="C24" s="12"/>
      <c r="D24" s="12"/>
      <c r="E24" s="25"/>
      <c r="F24" s="26"/>
      <c r="G24" s="34"/>
      <c r="H24" s="29">
        <f t="shared" si="0"/>
        <v>36197.979999999996</v>
      </c>
      <c r="I24" s="54"/>
      <c r="J24" s="60"/>
      <c r="K24" s="61"/>
      <c r="L24" s="81"/>
    </row>
    <row r="25" spans="1:12" ht="15.75" customHeight="1" thickBot="1">
      <c r="A25" s="12"/>
      <c r="B25" s="12"/>
      <c r="C25" s="12"/>
      <c r="D25" s="12"/>
      <c r="E25" s="40"/>
      <c r="F25" s="26"/>
      <c r="G25" s="34"/>
      <c r="H25" s="29">
        <f t="shared" si="0"/>
        <v>36197.979999999996</v>
      </c>
      <c r="I25" s="54"/>
      <c r="J25" s="63" t="s">
        <v>56</v>
      </c>
      <c r="K25" s="62">
        <f>K21-(K22*K23)</f>
        <v>9127.68</v>
      </c>
      <c r="L25" s="81"/>
    </row>
    <row r="26" spans="1:12" ht="15" customHeight="1">
      <c r="A26" s="12"/>
      <c r="B26" s="12"/>
      <c r="C26" s="12"/>
      <c r="D26" s="12"/>
      <c r="E26" s="25"/>
      <c r="F26" s="26"/>
      <c r="G26" s="34"/>
      <c r="H26" s="29">
        <f t="shared" si="0"/>
        <v>36197.979999999996</v>
      </c>
      <c r="I26" s="54"/>
      <c r="J26" s="49"/>
      <c r="K26" s="49"/>
      <c r="L26" s="81"/>
    </row>
    <row r="27" spans="1:12" ht="15" customHeight="1">
      <c r="A27" s="12"/>
      <c r="B27" s="12"/>
      <c r="C27" s="12"/>
      <c r="D27" s="12"/>
      <c r="E27" s="25"/>
      <c r="F27" s="26"/>
      <c r="G27" s="34"/>
      <c r="H27" s="29">
        <f t="shared" si="0"/>
        <v>36197.979999999996</v>
      </c>
      <c r="I27" s="54"/>
      <c r="J27" s="56" t="s">
        <v>59</v>
      </c>
      <c r="K27" s="66">
        <f>K21*0.4%</f>
        <v>48.680959999999999</v>
      </c>
      <c r="L27" s="81"/>
    </row>
    <row r="28" spans="1:12" ht="15" customHeight="1">
      <c r="A28" s="12"/>
      <c r="B28" s="12"/>
      <c r="C28" s="12"/>
      <c r="D28" s="12"/>
      <c r="E28" s="40"/>
      <c r="F28" s="26"/>
      <c r="G28" s="34"/>
      <c r="H28" s="29">
        <f t="shared" si="0"/>
        <v>36197.979999999996</v>
      </c>
      <c r="I28" s="54"/>
      <c r="J28" s="49"/>
      <c r="K28" s="49"/>
      <c r="L28" s="81"/>
    </row>
    <row r="29" spans="1:12">
      <c r="A29" s="12"/>
      <c r="B29" s="12"/>
      <c r="C29" s="12"/>
      <c r="D29" s="12"/>
      <c r="E29" s="25"/>
      <c r="F29" s="26"/>
      <c r="G29" s="34"/>
      <c r="H29" s="29">
        <f t="shared" si="0"/>
        <v>36197.979999999996</v>
      </c>
      <c r="I29" s="54"/>
    </row>
    <row r="30" spans="1:12">
      <c r="A30" s="12"/>
      <c r="B30" s="12"/>
      <c r="C30" s="12"/>
      <c r="D30" s="12"/>
      <c r="E30" s="25"/>
      <c r="F30" s="26"/>
      <c r="G30" s="34"/>
      <c r="H30" s="29">
        <f t="shared" si="0"/>
        <v>36197.979999999996</v>
      </c>
      <c r="I30" s="54"/>
    </row>
    <row r="31" spans="1:12" ht="15" customHeight="1">
      <c r="A31" s="12"/>
      <c r="B31" s="12"/>
      <c r="C31" s="12"/>
      <c r="D31" s="12"/>
      <c r="E31" s="25"/>
      <c r="F31" s="26"/>
      <c r="G31" s="34"/>
      <c r="H31" s="29">
        <f t="shared" si="0"/>
        <v>36197.979999999996</v>
      </c>
      <c r="I31" s="54"/>
      <c r="J31" s="57" t="s">
        <v>57</v>
      </c>
      <c r="K31" s="58">
        <v>16000.7</v>
      </c>
      <c r="L31" s="81" t="s">
        <v>76</v>
      </c>
    </row>
    <row r="32" spans="1:12" ht="15" customHeight="1">
      <c r="A32" s="12"/>
      <c r="B32" s="12"/>
      <c r="C32" s="12"/>
      <c r="D32" s="12"/>
      <c r="E32" s="40"/>
      <c r="F32" s="26"/>
      <c r="G32" s="34"/>
      <c r="H32" s="29">
        <f t="shared" si="0"/>
        <v>36197.979999999996</v>
      </c>
      <c r="I32" s="54"/>
      <c r="J32" s="51" t="s">
        <v>58</v>
      </c>
      <c r="K32" s="50">
        <f>K31/5</f>
        <v>3200.1400000000003</v>
      </c>
      <c r="L32" s="81"/>
    </row>
    <row r="33" spans="1:16" ht="15" customHeight="1">
      <c r="A33" s="12"/>
      <c r="B33" s="12"/>
      <c r="C33" s="12"/>
      <c r="D33" s="12"/>
      <c r="E33" s="40"/>
      <c r="F33" s="26"/>
      <c r="G33" s="34"/>
      <c r="H33" s="29">
        <f t="shared" si="0"/>
        <v>36197.979999999996</v>
      </c>
      <c r="I33" s="54"/>
      <c r="J33" s="51" t="s">
        <v>61</v>
      </c>
      <c r="K33" s="65">
        <v>1</v>
      </c>
      <c r="L33" s="81"/>
    </row>
    <row r="34" spans="1:16" ht="15.75" customHeight="1" thickBot="1">
      <c r="A34" s="12"/>
      <c r="B34" s="12"/>
      <c r="C34" s="12"/>
      <c r="D34" s="12"/>
      <c r="E34" s="25"/>
      <c r="F34" s="26"/>
      <c r="G34" s="34"/>
      <c r="H34" s="29">
        <f t="shared" si="0"/>
        <v>36197.979999999996</v>
      </c>
      <c r="I34" s="54"/>
      <c r="J34" s="60"/>
      <c r="K34" s="61"/>
      <c r="L34" s="81"/>
    </row>
    <row r="35" spans="1:16" ht="15.75" customHeight="1" thickBot="1">
      <c r="A35" s="12"/>
      <c r="B35" s="12"/>
      <c r="C35" s="12"/>
      <c r="D35" s="12"/>
      <c r="E35" s="25"/>
      <c r="F35" s="26"/>
      <c r="G35" s="34"/>
      <c r="H35" s="29">
        <f t="shared" si="0"/>
        <v>36197.979999999996</v>
      </c>
      <c r="I35" s="54"/>
      <c r="J35" s="63" t="s">
        <v>56</v>
      </c>
      <c r="K35" s="62">
        <f>K31-(K32*K33)</f>
        <v>12800.560000000001</v>
      </c>
      <c r="L35" s="81"/>
    </row>
    <row r="36" spans="1:16" ht="15.75" customHeight="1">
      <c r="A36" s="12"/>
      <c r="B36" s="12"/>
      <c r="C36" s="12"/>
      <c r="D36" s="12"/>
      <c r="E36" s="40"/>
      <c r="F36" s="26"/>
      <c r="G36" s="34"/>
      <c r="H36" s="29">
        <f t="shared" si="0"/>
        <v>36197.979999999996</v>
      </c>
      <c r="I36" s="54"/>
      <c r="J36" s="49"/>
      <c r="K36" s="49"/>
      <c r="L36" s="81"/>
    </row>
    <row r="37" spans="1:16" ht="15.75" customHeight="1">
      <c r="A37" s="12"/>
      <c r="B37" s="12"/>
      <c r="C37" s="12"/>
      <c r="D37" s="12"/>
      <c r="E37" s="40"/>
      <c r="F37" s="26"/>
      <c r="G37" s="34"/>
      <c r="H37" s="29">
        <f t="shared" si="0"/>
        <v>36197.979999999996</v>
      </c>
      <c r="I37" s="54"/>
      <c r="J37" s="56" t="s">
        <v>59</v>
      </c>
      <c r="K37" s="59">
        <f>K31*0.4%</f>
        <v>64.002800000000008</v>
      </c>
      <c r="L37" s="81"/>
      <c r="P37" s="1"/>
    </row>
    <row r="38" spans="1:16" ht="15" customHeight="1">
      <c r="A38" s="12"/>
      <c r="B38" s="12"/>
      <c r="C38" s="12"/>
      <c r="D38" s="12"/>
      <c r="E38" s="40"/>
      <c r="F38" s="26"/>
      <c r="G38" s="34"/>
      <c r="H38" s="29">
        <f t="shared" si="0"/>
        <v>36197.979999999996</v>
      </c>
      <c r="I38" s="54"/>
      <c r="J38" s="49"/>
      <c r="K38" s="49"/>
      <c r="L38" s="81"/>
      <c r="P38" s="1"/>
    </row>
    <row r="39" spans="1:16">
      <c r="A39" s="12"/>
      <c r="B39" s="12"/>
      <c r="C39" s="12"/>
      <c r="D39" s="12"/>
      <c r="E39" s="40"/>
      <c r="F39" s="26"/>
      <c r="G39" s="34"/>
      <c r="H39" s="29">
        <f t="shared" si="0"/>
        <v>36197.979999999996</v>
      </c>
      <c r="I39" s="54"/>
      <c r="K39" s="10"/>
    </row>
    <row r="40" spans="1:16">
      <c r="A40" s="12"/>
      <c r="B40" s="12"/>
      <c r="C40" s="12"/>
      <c r="D40" s="12"/>
      <c r="E40" s="40"/>
      <c r="F40" s="26"/>
      <c r="G40" s="34"/>
      <c r="H40" s="29">
        <f t="shared" si="0"/>
        <v>36197.979999999996</v>
      </c>
      <c r="I40" s="54"/>
      <c r="K40" s="10"/>
    </row>
    <row r="41" spans="1:16" ht="15" customHeight="1">
      <c r="A41" s="12"/>
      <c r="B41" s="20"/>
      <c r="C41" s="12"/>
      <c r="D41" s="12"/>
      <c r="E41" s="40"/>
      <c r="F41" s="26"/>
      <c r="G41" s="34"/>
      <c r="H41" s="29">
        <f t="shared" si="0"/>
        <v>36197.979999999996</v>
      </c>
      <c r="I41" s="54"/>
      <c r="J41" s="57" t="s">
        <v>57</v>
      </c>
      <c r="K41" s="66">
        <f>21391.38</f>
        <v>21391.38</v>
      </c>
      <c r="L41" s="81" t="s">
        <v>60</v>
      </c>
    </row>
    <row r="42" spans="1:16" ht="15.75" customHeight="1">
      <c r="A42" s="12"/>
      <c r="B42" s="12"/>
      <c r="C42" s="12"/>
      <c r="D42" s="12"/>
      <c r="E42" s="40"/>
      <c r="F42" s="26"/>
      <c r="G42" s="34"/>
      <c r="H42" s="29">
        <f t="shared" si="0"/>
        <v>36197.979999999996</v>
      </c>
      <c r="I42" s="54"/>
      <c r="J42" s="51" t="s">
        <v>58</v>
      </c>
      <c r="K42" s="50">
        <f>K41/3</f>
        <v>7130.46</v>
      </c>
      <c r="L42" s="81"/>
    </row>
    <row r="43" spans="1:16" ht="15.75" customHeight="1">
      <c r="A43" s="12"/>
      <c r="B43" s="12"/>
      <c r="C43" s="12"/>
      <c r="D43" s="12"/>
      <c r="E43" s="40"/>
      <c r="F43" s="26"/>
      <c r="G43" s="34"/>
      <c r="H43" s="29">
        <f t="shared" si="0"/>
        <v>36197.979999999996</v>
      </c>
      <c r="I43" s="54"/>
      <c r="J43" s="51" t="s">
        <v>61</v>
      </c>
      <c r="K43" s="65">
        <v>2</v>
      </c>
      <c r="L43" s="81"/>
    </row>
    <row r="44" spans="1:16" ht="15.75" thickBot="1">
      <c r="A44" s="12"/>
      <c r="B44" s="20"/>
      <c r="C44" s="12"/>
      <c r="D44" s="12"/>
      <c r="E44" s="25"/>
      <c r="F44" s="26"/>
      <c r="G44" s="34"/>
      <c r="H44" s="29">
        <f t="shared" si="0"/>
        <v>36197.979999999996</v>
      </c>
      <c r="I44" s="54"/>
      <c r="J44" s="60"/>
      <c r="K44" s="61"/>
      <c r="L44" s="81"/>
    </row>
    <row r="45" spans="1:16" ht="15.75" thickBot="1">
      <c r="A45" s="12"/>
      <c r="B45" s="20"/>
      <c r="C45" s="12"/>
      <c r="D45" s="12"/>
      <c r="E45" s="25"/>
      <c r="F45" s="26"/>
      <c r="G45" s="34"/>
      <c r="H45" s="29">
        <f t="shared" si="0"/>
        <v>36197.979999999996</v>
      </c>
      <c r="I45" s="54"/>
      <c r="J45" s="63" t="s">
        <v>56</v>
      </c>
      <c r="K45" s="62">
        <f>K41-(K42*K43)</f>
        <v>7130.4600000000009</v>
      </c>
      <c r="L45" s="81"/>
    </row>
    <row r="46" spans="1:16">
      <c r="A46" s="12"/>
      <c r="B46" s="20"/>
      <c r="C46" s="12"/>
      <c r="D46" s="12"/>
      <c r="E46" s="40"/>
      <c r="F46" s="26"/>
      <c r="G46" s="34"/>
      <c r="H46" s="29">
        <f t="shared" si="0"/>
        <v>36197.979999999996</v>
      </c>
      <c r="I46" s="54"/>
      <c r="J46" s="49"/>
      <c r="K46" s="49"/>
      <c r="L46" s="81"/>
    </row>
    <row r="47" spans="1:16">
      <c r="A47" s="12"/>
      <c r="B47" s="12"/>
      <c r="C47" s="12"/>
      <c r="D47" s="12"/>
      <c r="E47" s="40"/>
      <c r="F47" s="26"/>
      <c r="G47" s="34"/>
      <c r="H47" s="29">
        <f t="shared" si="0"/>
        <v>36197.979999999996</v>
      </c>
      <c r="I47" s="54"/>
      <c r="J47" s="56" t="s">
        <v>59</v>
      </c>
      <c r="K47" s="59">
        <f>K41*0.4%</f>
        <v>85.565520000000006</v>
      </c>
      <c r="L47" s="81"/>
    </row>
    <row r="48" spans="1:16">
      <c r="A48" s="12"/>
      <c r="B48" s="20"/>
      <c r="C48" s="12"/>
      <c r="D48" s="12"/>
      <c r="E48" s="25"/>
      <c r="F48" s="26"/>
      <c r="G48" s="34"/>
      <c r="H48" s="29">
        <f t="shared" si="0"/>
        <v>36197.979999999996</v>
      </c>
      <c r="I48" s="54"/>
      <c r="J48" s="49"/>
      <c r="K48" s="49"/>
      <c r="L48" s="81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36197.979999999996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36197.979999999996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36197.979999999996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36197.979999999996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36197.979999999996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36197.979999999996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36197.979999999996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36197.979999999996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36197.979999999996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36197.979999999996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36197.979999999996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36197.979999999996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36197.979999999996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36197.979999999996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36197.979999999996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36197.979999999996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36197.979999999996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36197.979999999996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36197.979999999996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36197.979999999996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36197.979999999996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36197.979999999996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36197.979999999996</v>
      </c>
      <c r="I71" s="54"/>
    </row>
    <row r="72" spans="1:9" ht="15.75" thickBot="1">
      <c r="A72" s="5" t="s">
        <v>14</v>
      </c>
      <c r="B72" s="21"/>
      <c r="C72" s="8"/>
      <c r="D72" s="11"/>
      <c r="E72" s="24">
        <f>SUM(E3:E71)</f>
        <v>49459.74</v>
      </c>
      <c r="F72" s="39">
        <f>SUM(F3:F71)</f>
        <v>144.78</v>
      </c>
      <c r="G72" s="35">
        <f>SUM(G3:G71)</f>
        <v>33234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21:L28"/>
    <mergeCell ref="L41:L48"/>
    <mergeCell ref="A1:H1"/>
    <mergeCell ref="J6:J7"/>
    <mergeCell ref="K6:K7"/>
    <mergeCell ref="L11:L18"/>
    <mergeCell ref="L31:L3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2020-12-22T05:58:15Z</cp:lastPrinted>
  <dcterms:created xsi:type="dcterms:W3CDTF">2017-04-20T06:09:09Z</dcterms:created>
  <dcterms:modified xsi:type="dcterms:W3CDTF">2021-05-15T09:42:57Z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