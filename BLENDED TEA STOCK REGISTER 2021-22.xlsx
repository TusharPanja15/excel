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 activeTab="2"/>
  </bookViews>
  <sheets>
    <sheet name="April 2021-22" sheetId="26" r:id="rId1"/>
    <sheet name="May 2021" sheetId="27" r:id="rId2"/>
    <sheet name="June 2021" sheetId="28" r:id="rId3"/>
  </sheets>
  <externalReferences>
    <externalReference r:id="rId4"/>
  </externalReferences>
  <definedNames>
    <definedName name="_xlnm._FilterDatabase" localSheetId="0" hidden="1">'April 2021-22'!$A$3:$H$68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7" i="28"/>
  <c r="K12"/>
  <c r="K32"/>
  <c r="K42" l="1"/>
  <c r="K15" l="1"/>
  <c r="K22"/>
  <c r="K25" s="1"/>
  <c r="K35"/>
  <c r="G72"/>
  <c r="F72"/>
  <c r="E72"/>
  <c r="K47"/>
  <c r="K45"/>
  <c r="K37"/>
  <c r="L27"/>
  <c r="K27"/>
  <c r="K17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K4" l="1"/>
  <c r="K12" i="27"/>
  <c r="L47"/>
  <c r="K47" s="1"/>
  <c r="L27"/>
  <c r="K27" s="1"/>
  <c r="L37"/>
  <c r="K37" s="1"/>
  <c r="K17"/>
  <c r="H4" l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K32"/>
  <c r="L38" i="26"/>
  <c r="K41" i="27" l="1"/>
  <c r="K22"/>
  <c r="K35" l="1"/>
  <c r="K42"/>
  <c r="K25"/>
  <c r="K15"/>
  <c r="G72"/>
  <c r="F72"/>
  <c r="E72"/>
  <c r="L28" i="26"/>
  <c r="J37"/>
  <c r="K41" s="1"/>
  <c r="J61"/>
  <c r="K65" s="1"/>
  <c r="K63"/>
  <c r="K45" i="27" l="1"/>
  <c r="K47" i="26"/>
  <c r="J45"/>
  <c r="K49" s="1"/>
  <c r="E31"/>
  <c r="K39" l="1"/>
  <c r="K4" i="27" l="1"/>
  <c r="G68" i="26"/>
  <c r="F68"/>
  <c r="J53"/>
  <c r="E68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L29" l="1"/>
  <c r="L31" s="1"/>
  <c r="K3" i="27" l="1"/>
  <c r="K6" s="1"/>
  <c r="K3" i="28" l="1"/>
  <c r="K6" s="1"/>
</calcChain>
</file>

<file path=xl/sharedStrings.xml><?xml version="1.0" encoding="utf-8"?>
<sst xmlns="http://schemas.openxmlformats.org/spreadsheetml/2006/main" count="463" uniqueCount="128">
  <si>
    <t>PARTICULAR</t>
  </si>
  <si>
    <t>CLOSING  STOCK</t>
  </si>
  <si>
    <t>DATE</t>
  </si>
  <si>
    <t>BLEND TEA RECEPIT</t>
  </si>
  <si>
    <t>ISSUED FOR PRODUCTION</t>
  </si>
  <si>
    <t>BLEND GAIN</t>
  </si>
  <si>
    <t>BLEND NO.</t>
  </si>
  <si>
    <t>PART NO.</t>
  </si>
  <si>
    <t>OPENING STOCK</t>
  </si>
  <si>
    <t>Dk.</t>
  </si>
  <si>
    <t>BT.</t>
  </si>
  <si>
    <t>Deff.</t>
  </si>
  <si>
    <t>Add.</t>
  </si>
  <si>
    <t>Gml-06</t>
  </si>
  <si>
    <t>01.04.2021</t>
  </si>
  <si>
    <t>BLEND TEA STOCK REGISTER FOR THE MONTH OF APRIL 2021-22</t>
  </si>
  <si>
    <t>02.04.2021</t>
  </si>
  <si>
    <t>03.04.2021</t>
  </si>
  <si>
    <t>05.04.2021</t>
  </si>
  <si>
    <t>06.04.2021</t>
  </si>
  <si>
    <t>07.04.2021</t>
  </si>
  <si>
    <t>Blended Tea Received</t>
  </si>
  <si>
    <t>Gsl-01</t>
  </si>
  <si>
    <t>Part no.02</t>
  </si>
  <si>
    <t>Part no.01</t>
  </si>
  <si>
    <t>Issued For Production</t>
  </si>
  <si>
    <t>09.04.2021</t>
  </si>
  <si>
    <t>Part no.03</t>
  </si>
  <si>
    <t>08.04.2021</t>
  </si>
  <si>
    <t>Part no.04</t>
  </si>
  <si>
    <t>10.04.2021</t>
  </si>
  <si>
    <t>12.04.2021</t>
  </si>
  <si>
    <t>13.04.2021</t>
  </si>
  <si>
    <t>Gain Received</t>
  </si>
  <si>
    <t>14.04.2021</t>
  </si>
  <si>
    <t>15.04.2021</t>
  </si>
  <si>
    <t>16.04.2021</t>
  </si>
  <si>
    <t>17.04.2021</t>
  </si>
  <si>
    <t>Gsl-02</t>
  </si>
  <si>
    <t>19.04.2021</t>
  </si>
  <si>
    <t>20.04.2021</t>
  </si>
  <si>
    <t>21.04.2021</t>
  </si>
  <si>
    <t>22.04.2021</t>
  </si>
  <si>
    <t>23.04.2021</t>
  </si>
  <si>
    <t>Part no.04 &amp; 05</t>
  </si>
  <si>
    <t>24.04.2021</t>
  </si>
  <si>
    <t>5 Kg-01</t>
  </si>
  <si>
    <t>5KG-1</t>
  </si>
  <si>
    <t>26.04.2021</t>
  </si>
  <si>
    <t>Gpl-01</t>
  </si>
  <si>
    <t>27.04.2021</t>
  </si>
  <si>
    <t>28.04.2021</t>
  </si>
  <si>
    <t>29.04.2021</t>
  </si>
  <si>
    <t>Gsl-03</t>
  </si>
  <si>
    <t>30.04.2021</t>
  </si>
  <si>
    <t>Remaining Quantity</t>
  </si>
  <si>
    <t>Total Quantity</t>
  </si>
  <si>
    <t>Quantity per part</t>
  </si>
  <si>
    <t>Gain Quantity</t>
  </si>
  <si>
    <t>5Kg-01</t>
  </si>
  <si>
    <t>Total parts used</t>
  </si>
  <si>
    <t>BLEND TEA STOCK REGISTER FOR THE MONTH OF MAY 2021</t>
  </si>
  <si>
    <t>01.05.2021</t>
  </si>
  <si>
    <t>03.05.2021</t>
  </si>
  <si>
    <t>04.05.2021</t>
  </si>
  <si>
    <t>05.05.2021</t>
  </si>
  <si>
    <t>06.05.2021</t>
  </si>
  <si>
    <t>07.05.2021</t>
  </si>
  <si>
    <t>Part no.05</t>
  </si>
  <si>
    <t>08.05.2021</t>
  </si>
  <si>
    <t>10.05.2021</t>
  </si>
  <si>
    <t>11.05.2021</t>
  </si>
  <si>
    <t>12.05.2021</t>
  </si>
  <si>
    <t>13.05.2021</t>
  </si>
  <si>
    <t>Gml-01</t>
  </si>
  <si>
    <t>Quantity</t>
  </si>
  <si>
    <t>Gsl-04</t>
  </si>
  <si>
    <t>19.05.2021</t>
  </si>
  <si>
    <t>20.05.2021</t>
  </si>
  <si>
    <t>21.05.2021</t>
  </si>
  <si>
    <t>22.05.2021</t>
  </si>
  <si>
    <t>24.05.2021</t>
  </si>
  <si>
    <t>25.05.2021</t>
  </si>
  <si>
    <t>26.05.2021</t>
  </si>
  <si>
    <t>27.05.2021</t>
  </si>
  <si>
    <t>28.05.2021</t>
  </si>
  <si>
    <t>29.05.2021</t>
  </si>
  <si>
    <t>31.05.2021</t>
  </si>
  <si>
    <t>TOTAL FOR THE MONTH OF JUNE 2021</t>
  </si>
  <si>
    <t>TOTAL FOR THE MONTH OF MAY 2021</t>
  </si>
  <si>
    <t>TOTAL FOR THE MONTH OF APRIL 2021</t>
  </si>
  <si>
    <t>01.06.2021</t>
  </si>
  <si>
    <t>15.05.2021</t>
  </si>
  <si>
    <t>17.05.2021</t>
  </si>
  <si>
    <t>18.05.2021</t>
  </si>
  <si>
    <t>BLEND TEA STOCK REGISTER FOR THE MONTH OF JUNE 2021</t>
  </si>
  <si>
    <t>02.06.2021</t>
  </si>
  <si>
    <t>03.06.2021</t>
  </si>
  <si>
    <t>04.06.2021</t>
  </si>
  <si>
    <t>05.06.2021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</si>
  <si>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</si>
  <si>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</si>
  <si>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</si>
  <si>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</si>
  <si>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</si>
  <si>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</si>
  <si>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</si>
  <si>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</si>
  <si>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</si>
  <si>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5 Kg-02</t>
  </si>
  <si>
    <t>5Kg-02</t>
  </si>
  <si>
    <t>Gsl-05</t>
  </si>
  <si>
    <t>Gml-02</t>
  </si>
  <si>
    <t>16.06.2021</t>
  </si>
  <si>
    <t>17.06.2021</t>
  </si>
  <si>
    <t>18.06.2021</t>
  </si>
  <si>
    <t>19.06.2021</t>
  </si>
  <si>
    <t>21.06.2021</t>
  </si>
  <si>
    <t>22.06.2021</t>
  </si>
  <si>
    <t>23.06.2021</t>
  </si>
  <si>
    <t>24.06.2021</t>
  </si>
  <si>
    <t>25.06.2021</t>
  </si>
  <si>
    <t>Gsl-06</t>
  </si>
  <si>
    <t>26.06.2021</t>
  </si>
  <si>
    <t>28.06.2021</t>
  </si>
  <si>
    <t>29.06.2021</t>
  </si>
  <si>
    <t>30.06.2021</t>
  </si>
  <si>
    <t>27.06.2021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</si>
</sst>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4" xfId="0" applyFont="1" applyBorder="1"/>
    <xf numFmtId="2" fontId="1" fillId="0" borderId="7" xfId="0" applyNumberFormat="1" applyFont="1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2" fontId="1" fillId="0" borderId="3" xfId="0" applyNumberFormat="1" applyFont="1" applyBorder="1"/>
    <xf numFmtId="164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2" fontId="1" fillId="0" borderId="4" xfId="0" applyNumberFormat="1" applyFont="1" applyBorder="1" applyAlignment="1"/>
    <xf numFmtId="2" fontId="1" fillId="0" borderId="5" xfId="0" applyNumberFormat="1" applyFont="1" applyBorder="1" applyAlignment="1"/>
    <xf numFmtId="0" fontId="1" fillId="0" borderId="1" xfId="0" applyFont="1" applyBorder="1" applyAlignment="1"/>
    <xf numFmtId="2" fontId="1" fillId="2" borderId="0" xfId="0" applyNumberFormat="1" applyFont="1" applyFill="1" applyAlignment="1"/>
    <xf numFmtId="0" fontId="0" fillId="0" borderId="0" xfId="0" applyAlignment="1"/>
    <xf numFmtId="0" fontId="1" fillId="0" borderId="13" xfId="0" applyFont="1" applyBorder="1" applyAlignment="1">
      <alignment horizontal="right"/>
    </xf>
    <xf numFmtId="2" fontId="1" fillId="0" borderId="6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64" fontId="1" fillId="0" borderId="7" xfId="0" applyNumberFormat="1" applyFont="1" applyBorder="1"/>
    <xf numFmtId="0" fontId="2" fillId="0" borderId="14" xfId="0" applyFont="1" applyBorder="1" applyAlignment="1">
      <alignment horizontal="center"/>
    </xf>
    <xf numFmtId="2" fontId="0" fillId="0" borderId="5" xfId="0" applyNumberFormat="1" applyBorder="1" applyAlignment="1">
      <alignment horizontal="right"/>
    </xf>
    <xf numFmtId="2" fontId="1" fillId="0" borderId="14" xfId="0" applyNumberFormat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0" fillId="3" borderId="0" xfId="0" applyNumberFormat="1" applyFill="1"/>
    <xf numFmtId="0" fontId="5" fillId="3" borderId="0" xfId="0" applyFont="1" applyFill="1"/>
    <xf numFmtId="2" fontId="0" fillId="3" borderId="0" xfId="0" applyNumberFormat="1" applyFill="1"/>
    <xf numFmtId="0" fontId="0" fillId="3" borderId="0" xfId="0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/>
    <xf numFmtId="0" fontId="1" fillId="0" borderId="0" xfId="0" applyFont="1" applyBorder="1" applyAlignment="1"/>
    <xf numFmtId="0" fontId="1" fillId="3" borderId="0" xfId="0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0" fillId="0" borderId="0" xfId="0" applyBorder="1"/>
    <xf numFmtId="1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/>
    </xf>
    <xf numFmtId="0" fontId="5" fillId="3" borderId="15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/>
    </xf>
    <xf numFmtId="2" fontId="1" fillId="4" borderId="17" xfId="0" applyNumberFormat="1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2" fontId="1" fillId="4" borderId="19" xfId="0" applyNumberFormat="1" applyFont="1" applyFill="1" applyBorder="1" applyAlignment="1">
      <alignment horizontal="center"/>
    </xf>
    <xf numFmtId="0" fontId="0" fillId="4" borderId="18" xfId="0" applyFill="1" applyBorder="1"/>
    <xf numFmtId="0" fontId="0" fillId="4" borderId="19" xfId="0" applyFill="1" applyBorder="1"/>
    <xf numFmtId="165" fontId="1" fillId="0" borderId="5" xfId="0" applyNumberFormat="1" applyFont="1" applyBorder="1" applyAlignment="1"/>
    <xf numFmtId="0" fontId="3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2" fontId="4" fillId="4" borderId="17" xfId="0" applyNumberFormat="1" applyFont="1" applyFill="1" applyBorder="1" applyAlignment="1">
      <alignment horizontal="center" vertical="center"/>
    </xf>
    <xf numFmtId="2" fontId="4" fillId="4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.K%20STATEMENT%20-2021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1-22"/>
      <sheetName val="May 2021"/>
      <sheetName val="June 2021"/>
    </sheetNames>
    <sheetDataSet>
      <sheetData sheetId="0"/>
      <sheetData sheetId="1">
        <row r="15">
          <cell r="N15">
            <v>43031.329999999994</v>
          </cell>
        </row>
      </sheetData>
      <sheetData sheetId="2">
        <row r="15">
          <cell r="N15">
            <v>65436.87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0"/>
  <sheetViews>
    <sheetView topLeftCell="A34" zoomScaleNormal="100" workbookViewId="0">
      <selection activeCell="A69" sqref="A69"/>
    </sheetView>
  </sheetViews>
  <sheetFormatPr defaultRowHeight="15"/>
  <cols>
    <col min="1" max="1" width="10.140625" bestFit="1" customWidth="1"/>
    <col min="2" max="2" width="25.5703125" style="6" customWidth="1"/>
    <col min="3" max="3" width="7.7109375" style="7" bestFit="1" customWidth="1"/>
    <col min="4" max="4" width="15.42578125" customWidth="1"/>
    <col min="5" max="5" width="9.5703125" bestFit="1" customWidth="1"/>
    <col min="6" max="6" width="7.42578125" style="27" customWidth="1"/>
    <col min="7" max="7" width="13.140625" style="27" customWidth="1"/>
    <col min="8" max="8" width="8.85546875" style="32" bestFit="1" customWidth="1"/>
    <col min="11" max="11" width="12.85546875" customWidth="1"/>
    <col min="12" max="12" width="16.42578125" bestFit="1" customWidth="1"/>
  </cols>
  <sheetData>
    <row r="1" spans="1:8" ht="19.5" thickBot="1">
      <c r="A1" s="81" t="s">
        <v>15</v>
      </c>
      <c r="B1" s="81"/>
      <c r="C1" s="81"/>
      <c r="D1" s="81"/>
      <c r="E1" s="81"/>
      <c r="F1" s="81"/>
      <c r="G1" s="81"/>
      <c r="H1" s="81"/>
    </row>
    <row r="2" spans="1:8" s="6" customFormat="1" ht="48" customHeight="1" thickBot="1">
      <c r="A2" s="14" t="s">
        <v>2</v>
      </c>
      <c r="B2" s="15" t="s">
        <v>0</v>
      </c>
      <c r="C2" s="16" t="s">
        <v>6</v>
      </c>
      <c r="D2" s="17" t="s">
        <v>7</v>
      </c>
      <c r="E2" s="16" t="s">
        <v>3</v>
      </c>
      <c r="F2" s="17" t="s">
        <v>5</v>
      </c>
      <c r="G2" s="16" t="s">
        <v>4</v>
      </c>
      <c r="H2" s="17" t="s">
        <v>1</v>
      </c>
    </row>
    <row r="3" spans="1:8">
      <c r="A3" s="18" t="s">
        <v>14</v>
      </c>
      <c r="B3" s="19" t="s">
        <v>8</v>
      </c>
      <c r="C3" s="22"/>
      <c r="D3" s="3"/>
      <c r="E3" s="23"/>
      <c r="F3" s="37"/>
      <c r="G3" s="33"/>
      <c r="H3" s="28">
        <v>50672.93</v>
      </c>
    </row>
    <row r="4" spans="1:8">
      <c r="A4" s="12" t="s">
        <v>16</v>
      </c>
      <c r="B4" s="20" t="s">
        <v>21</v>
      </c>
      <c r="C4" s="12" t="s">
        <v>22</v>
      </c>
      <c r="D4" s="12" t="s">
        <v>24</v>
      </c>
      <c r="E4" s="25">
        <v>7225.4</v>
      </c>
      <c r="F4" s="38"/>
      <c r="G4" s="34"/>
      <c r="H4" s="29">
        <f>H3+E4+F4-G4</f>
        <v>57898.33</v>
      </c>
    </row>
    <row r="5" spans="1:8">
      <c r="A5" s="12" t="s">
        <v>16</v>
      </c>
      <c r="B5" s="12" t="s">
        <v>25</v>
      </c>
      <c r="C5" s="12"/>
      <c r="D5" s="12"/>
      <c r="E5" s="25"/>
      <c r="F5" s="26"/>
      <c r="G5" s="34">
        <v>2256</v>
      </c>
      <c r="H5" s="29">
        <f t="shared" ref="H5:H67" si="0">H4+E5+F5-G5</f>
        <v>55642.33</v>
      </c>
    </row>
    <row r="6" spans="1:8">
      <c r="A6" s="12" t="s">
        <v>17</v>
      </c>
      <c r="B6" s="20" t="s">
        <v>21</v>
      </c>
      <c r="C6" s="12" t="s">
        <v>22</v>
      </c>
      <c r="D6" s="12" t="s">
        <v>23</v>
      </c>
      <c r="E6" s="25">
        <v>7225.4</v>
      </c>
      <c r="F6" s="26"/>
      <c r="G6" s="34"/>
      <c r="H6" s="29">
        <f t="shared" si="0"/>
        <v>62867.73</v>
      </c>
    </row>
    <row r="7" spans="1:8">
      <c r="A7" s="12" t="s">
        <v>17</v>
      </c>
      <c r="B7" s="12" t="s">
        <v>25</v>
      </c>
      <c r="C7" s="12"/>
      <c r="D7" s="12"/>
      <c r="E7" s="25"/>
      <c r="F7" s="26"/>
      <c r="G7" s="34">
        <v>4824</v>
      </c>
      <c r="H7" s="29">
        <f t="shared" si="0"/>
        <v>58043.73</v>
      </c>
    </row>
    <row r="8" spans="1:8">
      <c r="A8" s="12" t="s">
        <v>18</v>
      </c>
      <c r="B8" s="20" t="s">
        <v>25</v>
      </c>
      <c r="C8" s="12"/>
      <c r="D8" s="12"/>
      <c r="E8" s="25"/>
      <c r="F8" s="26"/>
      <c r="G8" s="34">
        <v>5916</v>
      </c>
      <c r="H8" s="29">
        <f t="shared" si="0"/>
        <v>52127.73</v>
      </c>
    </row>
    <row r="9" spans="1:8">
      <c r="A9" s="12" t="s">
        <v>19</v>
      </c>
      <c r="B9" s="20" t="s">
        <v>25</v>
      </c>
      <c r="C9" s="12"/>
      <c r="D9" s="12"/>
      <c r="E9" s="25"/>
      <c r="F9" s="26"/>
      <c r="G9" s="34">
        <v>7452</v>
      </c>
      <c r="H9" s="29">
        <f t="shared" si="0"/>
        <v>44675.73</v>
      </c>
    </row>
    <row r="10" spans="1:8">
      <c r="A10" s="12" t="s">
        <v>20</v>
      </c>
      <c r="B10" s="12" t="s">
        <v>21</v>
      </c>
      <c r="C10" s="12" t="s">
        <v>22</v>
      </c>
      <c r="D10" s="12" t="s">
        <v>27</v>
      </c>
      <c r="E10" s="25">
        <v>7225.4</v>
      </c>
      <c r="F10" s="26"/>
      <c r="G10" s="34"/>
      <c r="H10" s="29">
        <f t="shared" si="0"/>
        <v>51901.130000000005</v>
      </c>
    </row>
    <row r="11" spans="1:8">
      <c r="A11" s="12" t="s">
        <v>20</v>
      </c>
      <c r="B11" s="12" t="s">
        <v>25</v>
      </c>
      <c r="C11" s="12"/>
      <c r="D11" s="12"/>
      <c r="E11" s="25"/>
      <c r="F11" s="26"/>
      <c r="G11" s="34">
        <v>2376</v>
      </c>
      <c r="H11" s="29">
        <f t="shared" si="0"/>
        <v>49525.130000000005</v>
      </c>
    </row>
    <row r="12" spans="1:8">
      <c r="A12" s="12" t="s">
        <v>28</v>
      </c>
      <c r="B12" s="12" t="s">
        <v>21</v>
      </c>
      <c r="C12" s="12" t="s">
        <v>22</v>
      </c>
      <c r="D12" s="12" t="s">
        <v>29</v>
      </c>
      <c r="E12" s="25">
        <v>7225.4</v>
      </c>
      <c r="F12" s="26"/>
      <c r="G12" s="34"/>
      <c r="H12" s="29">
        <f t="shared" si="0"/>
        <v>56750.530000000006</v>
      </c>
    </row>
    <row r="13" spans="1:8">
      <c r="A13" s="12" t="s">
        <v>28</v>
      </c>
      <c r="B13" s="20" t="s">
        <v>25</v>
      </c>
      <c r="C13" s="12"/>
      <c r="D13" s="12"/>
      <c r="E13" s="25"/>
      <c r="F13" s="26"/>
      <c r="G13" s="34">
        <v>6144</v>
      </c>
      <c r="H13" s="29">
        <f t="shared" si="0"/>
        <v>50606.530000000006</v>
      </c>
    </row>
    <row r="14" spans="1:8">
      <c r="A14" s="12" t="s">
        <v>26</v>
      </c>
      <c r="B14" s="12" t="s">
        <v>21</v>
      </c>
      <c r="C14" s="12" t="s">
        <v>22</v>
      </c>
      <c r="D14" s="12" t="s">
        <v>29</v>
      </c>
      <c r="E14" s="26">
        <v>7226</v>
      </c>
      <c r="F14" s="26"/>
      <c r="G14" s="34"/>
      <c r="H14" s="29">
        <f t="shared" si="0"/>
        <v>57832.530000000006</v>
      </c>
    </row>
    <row r="15" spans="1:8">
      <c r="A15" s="12" t="s">
        <v>26</v>
      </c>
      <c r="B15" s="20" t="s">
        <v>33</v>
      </c>
      <c r="C15" s="12"/>
      <c r="D15" s="12"/>
      <c r="E15" s="25"/>
      <c r="F15" s="26">
        <v>145</v>
      </c>
      <c r="G15" s="34"/>
      <c r="H15" s="29">
        <f t="shared" si="0"/>
        <v>57977.530000000006</v>
      </c>
    </row>
    <row r="16" spans="1:8" ht="15" customHeight="1">
      <c r="A16" s="12" t="s">
        <v>26</v>
      </c>
      <c r="B16" s="20" t="s">
        <v>25</v>
      </c>
      <c r="C16" s="12"/>
      <c r="D16" s="12"/>
      <c r="E16" s="25"/>
      <c r="F16" s="26"/>
      <c r="G16" s="34">
        <v>4596</v>
      </c>
      <c r="H16" s="29">
        <f t="shared" si="0"/>
        <v>53381.530000000006</v>
      </c>
    </row>
    <row r="17" spans="1:14" ht="15" customHeight="1">
      <c r="A17" s="12" t="s">
        <v>30</v>
      </c>
      <c r="B17" s="20" t="s">
        <v>25</v>
      </c>
      <c r="C17" s="12"/>
      <c r="D17" s="12"/>
      <c r="E17" s="25"/>
      <c r="F17" s="26"/>
      <c r="G17" s="34">
        <v>4082</v>
      </c>
      <c r="H17" s="29">
        <f t="shared" si="0"/>
        <v>49299.530000000006</v>
      </c>
    </row>
    <row r="18" spans="1:14" ht="15" customHeight="1">
      <c r="A18" s="12" t="s">
        <v>31</v>
      </c>
      <c r="B18" s="20" t="s">
        <v>25</v>
      </c>
      <c r="C18" s="12"/>
      <c r="D18" s="12"/>
      <c r="E18" s="25"/>
      <c r="F18" s="26"/>
      <c r="G18" s="34">
        <v>5428</v>
      </c>
      <c r="H18" s="29">
        <f t="shared" si="0"/>
        <v>43871.530000000006</v>
      </c>
    </row>
    <row r="19" spans="1:14" ht="15" customHeight="1">
      <c r="A19" s="12" t="s">
        <v>32</v>
      </c>
      <c r="B19" s="20" t="s">
        <v>25</v>
      </c>
      <c r="C19" s="12"/>
      <c r="D19" s="12"/>
      <c r="E19" s="25"/>
      <c r="F19" s="26"/>
      <c r="G19" s="34">
        <v>7954</v>
      </c>
      <c r="H19" s="29">
        <f t="shared" si="0"/>
        <v>35917.530000000006</v>
      </c>
    </row>
    <row r="20" spans="1:14" ht="15" customHeight="1">
      <c r="A20" s="12" t="s">
        <v>34</v>
      </c>
      <c r="B20" s="20" t="s">
        <v>25</v>
      </c>
      <c r="C20" s="12"/>
      <c r="D20" s="12"/>
      <c r="E20" s="25"/>
      <c r="F20" s="26"/>
      <c r="G20" s="34">
        <v>5976</v>
      </c>
      <c r="H20" s="29">
        <f t="shared" si="0"/>
        <v>29941.530000000006</v>
      </c>
    </row>
    <row r="21" spans="1:14" ht="15" customHeight="1">
      <c r="A21" s="12" t="s">
        <v>35</v>
      </c>
      <c r="B21" s="20" t="s">
        <v>25</v>
      </c>
      <c r="C21" s="12"/>
      <c r="D21" s="12"/>
      <c r="E21" s="25"/>
      <c r="F21" s="26"/>
      <c r="G21" s="34">
        <v>3912</v>
      </c>
      <c r="H21" s="29">
        <f t="shared" si="0"/>
        <v>26029.530000000006</v>
      </c>
    </row>
    <row r="22" spans="1:14" ht="15.75" customHeight="1">
      <c r="A22" s="12" t="s">
        <v>36</v>
      </c>
      <c r="B22" s="20" t="s">
        <v>21</v>
      </c>
      <c r="C22" s="12" t="s">
        <v>38</v>
      </c>
      <c r="D22" s="12" t="s">
        <v>24</v>
      </c>
      <c r="E22" s="25">
        <v>7370.8</v>
      </c>
      <c r="F22" s="26"/>
      <c r="G22" s="34"/>
      <c r="H22" s="29">
        <f>H21+E22+F22-G22</f>
        <v>33400.330000000009</v>
      </c>
    </row>
    <row r="23" spans="1:14" ht="15.75" customHeight="1">
      <c r="A23" s="12" t="s">
        <v>36</v>
      </c>
      <c r="B23" s="12" t="s">
        <v>25</v>
      </c>
      <c r="C23" s="12"/>
      <c r="D23" s="12"/>
      <c r="E23" s="40"/>
      <c r="F23" s="26"/>
      <c r="G23" s="34">
        <v>7698</v>
      </c>
      <c r="H23" s="29">
        <f t="shared" si="0"/>
        <v>25702.330000000009</v>
      </c>
    </row>
    <row r="24" spans="1:14">
      <c r="A24" s="12" t="s">
        <v>37</v>
      </c>
      <c r="B24" s="12" t="s">
        <v>21</v>
      </c>
      <c r="C24" s="12" t="s">
        <v>38</v>
      </c>
      <c r="D24" s="12" t="s">
        <v>23</v>
      </c>
      <c r="E24" s="25">
        <v>7370.8</v>
      </c>
      <c r="F24" s="26"/>
      <c r="G24" s="34"/>
      <c r="H24" s="29">
        <f t="shared" si="0"/>
        <v>33073.130000000012</v>
      </c>
    </row>
    <row r="25" spans="1:14">
      <c r="A25" s="12" t="s">
        <v>37</v>
      </c>
      <c r="B25" s="12" t="s">
        <v>25</v>
      </c>
      <c r="C25" s="12"/>
      <c r="D25" s="12"/>
      <c r="E25" s="25"/>
      <c r="F25" s="26"/>
      <c r="G25" s="34">
        <v>7032</v>
      </c>
      <c r="H25" s="29">
        <f t="shared" si="0"/>
        <v>26041.130000000012</v>
      </c>
    </row>
    <row r="26" spans="1:14">
      <c r="A26" s="12" t="s">
        <v>39</v>
      </c>
      <c r="B26" s="12" t="s">
        <v>25</v>
      </c>
      <c r="C26" s="12"/>
      <c r="D26" s="12"/>
      <c r="E26" s="40"/>
      <c r="F26" s="26"/>
      <c r="G26" s="34">
        <v>4464</v>
      </c>
      <c r="H26" s="29">
        <f t="shared" si="0"/>
        <v>21577.130000000012</v>
      </c>
    </row>
    <row r="27" spans="1:14">
      <c r="A27" s="12" t="s">
        <v>40</v>
      </c>
      <c r="B27" s="12" t="s">
        <v>25</v>
      </c>
      <c r="C27" s="12"/>
      <c r="D27" s="12"/>
      <c r="E27" s="25"/>
      <c r="F27" s="26"/>
      <c r="G27" s="34">
        <v>6948</v>
      </c>
      <c r="H27" s="29">
        <f>H26+E27+F27-G27</f>
        <v>14629.130000000012</v>
      </c>
    </row>
    <row r="28" spans="1:14">
      <c r="A28" s="12" t="s">
        <v>41</v>
      </c>
      <c r="B28" s="12" t="s">
        <v>21</v>
      </c>
      <c r="C28" s="12" t="s">
        <v>38</v>
      </c>
      <c r="D28" s="12" t="s">
        <v>27</v>
      </c>
      <c r="E28" s="25">
        <v>7370.8</v>
      </c>
      <c r="F28" s="26"/>
      <c r="G28" s="34"/>
      <c r="H28" s="29">
        <f t="shared" si="0"/>
        <v>21999.930000000011</v>
      </c>
      <c r="K28" t="s">
        <v>9</v>
      </c>
      <c r="L28" s="1">
        <f>82345.24</f>
        <v>82345.240000000005</v>
      </c>
    </row>
    <row r="29" spans="1:14" ht="15" customHeight="1">
      <c r="A29" s="12" t="s">
        <v>41</v>
      </c>
      <c r="B29" s="12" t="s">
        <v>25</v>
      </c>
      <c r="C29" s="12"/>
      <c r="D29" s="12"/>
      <c r="E29" s="25"/>
      <c r="F29" s="26"/>
      <c r="G29" s="34">
        <v>5802</v>
      </c>
      <c r="H29" s="29">
        <f t="shared" si="0"/>
        <v>16197.930000000011</v>
      </c>
      <c r="K29" t="s">
        <v>10</v>
      </c>
      <c r="L29" s="1">
        <f>H67+K41+K42+K49+K50+K57+K58+K65+K66</f>
        <v>82345.24000000002</v>
      </c>
      <c r="N29" s="1"/>
    </row>
    <row r="30" spans="1:14" ht="15" customHeight="1">
      <c r="A30" s="12" t="s">
        <v>42</v>
      </c>
      <c r="B30" s="12" t="s">
        <v>25</v>
      </c>
      <c r="C30" s="12"/>
      <c r="D30" s="12"/>
      <c r="E30" s="40"/>
      <c r="F30" s="26"/>
      <c r="G30" s="34">
        <v>6000</v>
      </c>
      <c r="H30" s="29">
        <f t="shared" si="0"/>
        <v>10197.930000000011</v>
      </c>
    </row>
    <row r="31" spans="1:14" ht="15.75" customHeight="1">
      <c r="A31" s="12" t="s">
        <v>43</v>
      </c>
      <c r="B31" s="12" t="s">
        <v>21</v>
      </c>
      <c r="C31" s="12" t="s">
        <v>38</v>
      </c>
      <c r="D31" s="12" t="s">
        <v>44</v>
      </c>
      <c r="E31" s="25">
        <f>7370.8*2</f>
        <v>14741.6</v>
      </c>
      <c r="F31" s="26"/>
      <c r="G31" s="34"/>
      <c r="H31" s="29">
        <f t="shared" si="0"/>
        <v>24939.530000000013</v>
      </c>
      <c r="K31" s="82" t="s">
        <v>11</v>
      </c>
      <c r="L31" s="83">
        <f>L28-L29</f>
        <v>0</v>
      </c>
    </row>
    <row r="32" spans="1:14" ht="15.75" customHeight="1">
      <c r="A32" s="12" t="s">
        <v>43</v>
      </c>
      <c r="B32" s="12" t="s">
        <v>33</v>
      </c>
      <c r="C32" s="12"/>
      <c r="D32" s="12"/>
      <c r="E32" s="25"/>
      <c r="F32" s="26">
        <v>147.41</v>
      </c>
      <c r="G32" s="34"/>
      <c r="H32" s="29">
        <f t="shared" si="0"/>
        <v>25086.940000000013</v>
      </c>
      <c r="K32" s="82"/>
      <c r="L32" s="83"/>
    </row>
    <row r="33" spans="1:15" ht="15.75" customHeight="1">
      <c r="A33" s="12" t="s">
        <v>43</v>
      </c>
      <c r="B33" s="12" t="s">
        <v>25</v>
      </c>
      <c r="C33" s="12"/>
      <c r="D33" s="12"/>
      <c r="E33" s="40"/>
      <c r="F33" s="26"/>
      <c r="G33" s="34">
        <v>4008</v>
      </c>
      <c r="H33" s="29">
        <f t="shared" si="0"/>
        <v>21078.940000000013</v>
      </c>
      <c r="K33" s="44"/>
      <c r="L33" s="45"/>
    </row>
    <row r="34" spans="1:15" ht="15.75" customHeight="1">
      <c r="A34" s="12" t="s">
        <v>45</v>
      </c>
      <c r="B34" s="12" t="s">
        <v>21</v>
      </c>
      <c r="C34" s="12" t="s">
        <v>46</v>
      </c>
      <c r="D34" s="12" t="s">
        <v>24</v>
      </c>
      <c r="E34" s="40">
        <v>7130.46</v>
      </c>
      <c r="F34" s="26"/>
      <c r="G34" s="34"/>
      <c r="H34" s="29">
        <f t="shared" si="0"/>
        <v>28209.400000000012</v>
      </c>
      <c r="O34" s="1"/>
    </row>
    <row r="35" spans="1:15" ht="15" customHeight="1">
      <c r="A35" s="12" t="s">
        <v>45</v>
      </c>
      <c r="B35" s="12" t="s">
        <v>25</v>
      </c>
      <c r="C35" s="12"/>
      <c r="D35" s="12"/>
      <c r="E35" s="40"/>
      <c r="F35" s="26"/>
      <c r="G35" s="34">
        <v>3974</v>
      </c>
      <c r="H35" s="29">
        <f t="shared" si="0"/>
        <v>24235.400000000012</v>
      </c>
      <c r="O35" s="1"/>
    </row>
    <row r="36" spans="1:15">
      <c r="A36" s="12" t="s">
        <v>48</v>
      </c>
      <c r="B36" s="12" t="s">
        <v>21</v>
      </c>
      <c r="C36" s="12" t="s">
        <v>46</v>
      </c>
      <c r="D36" s="12" t="s">
        <v>23</v>
      </c>
      <c r="E36" s="40">
        <v>7130.46</v>
      </c>
      <c r="F36" s="26"/>
      <c r="G36" s="34"/>
      <c r="H36" s="29">
        <f t="shared" si="0"/>
        <v>31365.860000000011</v>
      </c>
      <c r="J36" s="10"/>
    </row>
    <row r="37" spans="1:15" ht="23.25">
      <c r="A37" s="12" t="s">
        <v>48</v>
      </c>
      <c r="B37" s="12" t="s">
        <v>21</v>
      </c>
      <c r="C37" s="12" t="s">
        <v>49</v>
      </c>
      <c r="D37" s="12" t="s">
        <v>24</v>
      </c>
      <c r="E37" s="40">
        <v>3042.56</v>
      </c>
      <c r="F37" s="26"/>
      <c r="G37" s="34"/>
      <c r="H37" s="29">
        <f t="shared" si="0"/>
        <v>34408.420000000013</v>
      </c>
      <c r="J37" s="46">
        <f>E41*1</f>
        <v>7239.04</v>
      </c>
      <c r="K37" s="47" t="s">
        <v>53</v>
      </c>
      <c r="L37" s="48">
        <v>147.41</v>
      </c>
    </row>
    <row r="38" spans="1:15">
      <c r="A38" s="12" t="s">
        <v>48</v>
      </c>
      <c r="B38" s="20" t="s">
        <v>25</v>
      </c>
      <c r="C38" s="12"/>
      <c r="D38" s="12"/>
      <c r="E38" s="40"/>
      <c r="F38" s="26"/>
      <c r="G38" s="34">
        <v>2634</v>
      </c>
      <c r="H38" s="29">
        <f t="shared" si="0"/>
        <v>31774.420000000013</v>
      </c>
      <c r="J38" s="49"/>
      <c r="K38" s="46">
        <v>36195.199999999997</v>
      </c>
      <c r="L38" s="48">
        <f>K38*0.4%</f>
        <v>144.7808</v>
      </c>
    </row>
    <row r="39" spans="1:15">
      <c r="A39" s="12" t="s">
        <v>50</v>
      </c>
      <c r="B39" s="12" t="s">
        <v>25</v>
      </c>
      <c r="C39" s="12"/>
      <c r="D39" s="12"/>
      <c r="E39" s="40"/>
      <c r="F39" s="26"/>
      <c r="G39" s="34">
        <v>5752</v>
      </c>
      <c r="H39" s="29">
        <f t="shared" si="0"/>
        <v>26022.420000000013</v>
      </c>
      <c r="J39" s="49"/>
      <c r="K39" s="49">
        <f>K38/5</f>
        <v>7239.0399999999991</v>
      </c>
      <c r="L39" s="49"/>
    </row>
    <row r="40" spans="1:15">
      <c r="A40" s="12" t="s">
        <v>51</v>
      </c>
      <c r="B40" s="20" t="s">
        <v>25</v>
      </c>
      <c r="C40" s="12"/>
      <c r="D40" s="12"/>
      <c r="E40" s="25"/>
      <c r="F40" s="26"/>
      <c r="G40" s="34">
        <v>3124</v>
      </c>
      <c r="H40" s="29">
        <f t="shared" si="0"/>
        <v>22898.420000000013</v>
      </c>
      <c r="J40" s="49"/>
      <c r="K40" s="49"/>
      <c r="L40" s="49"/>
    </row>
    <row r="41" spans="1:15">
      <c r="A41" s="12" t="s">
        <v>52</v>
      </c>
      <c r="B41" s="20" t="s">
        <v>21</v>
      </c>
      <c r="C41" s="12" t="s">
        <v>53</v>
      </c>
      <c r="D41" s="12" t="s">
        <v>24</v>
      </c>
      <c r="E41" s="25">
        <v>7239.04</v>
      </c>
      <c r="F41" s="26"/>
      <c r="G41" s="34"/>
      <c r="H41" s="29">
        <f t="shared" si="0"/>
        <v>30137.460000000014</v>
      </c>
      <c r="J41" s="49" t="s">
        <v>12</v>
      </c>
      <c r="K41" s="48">
        <f>K38-J37</f>
        <v>28956.159999999996</v>
      </c>
      <c r="L41" s="49"/>
    </row>
    <row r="42" spans="1:15">
      <c r="A42" s="12" t="s">
        <v>52</v>
      </c>
      <c r="B42" s="20" t="s">
        <v>25</v>
      </c>
      <c r="C42" s="12"/>
      <c r="D42" s="12"/>
      <c r="E42" s="40"/>
      <c r="F42" s="26"/>
      <c r="G42" s="34">
        <v>6806</v>
      </c>
      <c r="H42" s="29">
        <f t="shared" si="0"/>
        <v>23331.460000000014</v>
      </c>
      <c r="J42" s="49" t="s">
        <v>12</v>
      </c>
      <c r="K42" s="48">
        <v>0</v>
      </c>
      <c r="L42" s="49"/>
    </row>
    <row r="43" spans="1:15">
      <c r="A43" s="12" t="s">
        <v>54</v>
      </c>
      <c r="B43" s="12" t="s">
        <v>25</v>
      </c>
      <c r="C43" s="12"/>
      <c r="D43" s="12"/>
      <c r="E43" s="40"/>
      <c r="F43" s="26"/>
      <c r="G43" s="34">
        <v>3504</v>
      </c>
      <c r="H43" s="29">
        <f t="shared" si="0"/>
        <v>19827.460000000014</v>
      </c>
    </row>
    <row r="44" spans="1:15">
      <c r="A44" s="12"/>
      <c r="B44" s="20"/>
      <c r="C44" s="12"/>
      <c r="D44" s="12"/>
      <c r="E44" s="25"/>
      <c r="F44" s="26"/>
      <c r="G44" s="34"/>
      <c r="H44" s="29">
        <f t="shared" si="0"/>
        <v>19827.460000000014</v>
      </c>
    </row>
    <row r="45" spans="1:15" ht="23.25">
      <c r="A45" s="12"/>
      <c r="B45" s="20"/>
      <c r="C45" s="12"/>
      <c r="D45" s="12"/>
      <c r="E45" s="25"/>
      <c r="F45" s="26"/>
      <c r="G45" s="34"/>
      <c r="H45" s="29">
        <f t="shared" si="0"/>
        <v>19827.460000000014</v>
      </c>
      <c r="J45" s="48">
        <f>E34*2</f>
        <v>14260.92</v>
      </c>
      <c r="K45" s="47" t="s">
        <v>47</v>
      </c>
      <c r="L45" s="49">
        <v>142.5</v>
      </c>
    </row>
    <row r="46" spans="1:15">
      <c r="A46" s="12"/>
      <c r="B46" s="20"/>
      <c r="C46" s="12"/>
      <c r="D46" s="12"/>
      <c r="E46" s="40"/>
      <c r="F46" s="26"/>
      <c r="G46" s="34"/>
      <c r="H46" s="29">
        <f t="shared" si="0"/>
        <v>19827.460000000014</v>
      </c>
      <c r="J46" s="49"/>
      <c r="K46" s="49">
        <v>35652.300000000003</v>
      </c>
      <c r="L46" s="49"/>
    </row>
    <row r="47" spans="1:15">
      <c r="A47" s="12"/>
      <c r="B47" s="12"/>
      <c r="C47" s="12"/>
      <c r="D47" s="12"/>
      <c r="E47" s="40"/>
      <c r="F47" s="26"/>
      <c r="G47" s="34"/>
      <c r="H47" s="29">
        <f t="shared" si="0"/>
        <v>19827.460000000014</v>
      </c>
      <c r="J47" s="49"/>
      <c r="K47" s="48">
        <f>K46/5</f>
        <v>7130.4600000000009</v>
      </c>
      <c r="L47" s="49"/>
    </row>
    <row r="48" spans="1:15">
      <c r="A48" s="12"/>
      <c r="B48" s="12"/>
      <c r="C48" s="12"/>
      <c r="D48" s="12"/>
      <c r="E48" s="25"/>
      <c r="F48" s="42"/>
      <c r="G48" s="34"/>
      <c r="H48" s="29">
        <f t="shared" si="0"/>
        <v>19827.460000000014</v>
      </c>
      <c r="J48" s="49"/>
      <c r="K48" s="49"/>
      <c r="L48" s="49"/>
    </row>
    <row r="49" spans="1:12">
      <c r="A49" s="12"/>
      <c r="B49" s="41"/>
      <c r="C49" s="12"/>
      <c r="D49" s="12"/>
      <c r="E49" s="25"/>
      <c r="F49" s="43"/>
      <c r="G49" s="34"/>
      <c r="H49" s="29">
        <f t="shared" si="0"/>
        <v>19827.460000000014</v>
      </c>
      <c r="J49" s="49" t="s">
        <v>12</v>
      </c>
      <c r="K49" s="48">
        <f>K46-J45</f>
        <v>21391.380000000005</v>
      </c>
      <c r="L49" s="49"/>
    </row>
    <row r="50" spans="1:12">
      <c r="A50" s="12"/>
      <c r="B50" s="20"/>
      <c r="C50" s="12"/>
      <c r="D50" s="12"/>
      <c r="E50" s="25"/>
      <c r="F50" s="26"/>
      <c r="G50" s="34"/>
      <c r="H50" s="29">
        <f t="shared" si="0"/>
        <v>19827.460000000014</v>
      </c>
      <c r="J50" s="49" t="s">
        <v>12</v>
      </c>
      <c r="K50" s="48">
        <v>0</v>
      </c>
      <c r="L50" s="49"/>
    </row>
    <row r="51" spans="1:12">
      <c r="A51" s="12"/>
      <c r="B51" s="20"/>
      <c r="C51" s="12"/>
      <c r="D51" s="12"/>
      <c r="E51" s="25"/>
      <c r="F51" s="26"/>
      <c r="G51" s="34"/>
      <c r="H51" s="29">
        <f t="shared" si="0"/>
        <v>19827.460000000014</v>
      </c>
    </row>
    <row r="52" spans="1:12">
      <c r="A52" s="12"/>
      <c r="B52" s="20"/>
      <c r="C52" s="12"/>
      <c r="D52" s="12"/>
      <c r="E52" s="25"/>
      <c r="F52" s="26"/>
      <c r="G52" s="34"/>
      <c r="H52" s="29">
        <f t="shared" si="0"/>
        <v>19827.460000000014</v>
      </c>
    </row>
    <row r="53" spans="1:12" ht="23.25">
      <c r="A53" s="12"/>
      <c r="B53" s="20"/>
      <c r="C53" s="12"/>
      <c r="D53" s="12"/>
      <c r="E53" s="25"/>
      <c r="F53" s="26"/>
      <c r="G53" s="34"/>
      <c r="H53" s="29">
        <f t="shared" si="0"/>
        <v>19827.460000000014</v>
      </c>
      <c r="J53" s="48">
        <f>E11</f>
        <v>0</v>
      </c>
      <c r="K53" s="47" t="s">
        <v>13</v>
      </c>
      <c r="L53" s="49">
        <v>69.89</v>
      </c>
    </row>
    <row r="54" spans="1:12">
      <c r="A54" s="12"/>
      <c r="B54" s="12"/>
      <c r="C54" s="12"/>
      <c r="D54" s="12"/>
      <c r="E54" s="4"/>
      <c r="F54" s="26"/>
      <c r="G54" s="34"/>
      <c r="H54" s="29">
        <f t="shared" si="0"/>
        <v>19827.460000000014</v>
      </c>
      <c r="J54" s="49"/>
      <c r="K54" s="49"/>
      <c r="L54" s="49"/>
    </row>
    <row r="55" spans="1:12">
      <c r="A55" s="12"/>
      <c r="B55" s="20"/>
      <c r="C55" s="12"/>
      <c r="D55" s="12"/>
      <c r="E55" s="40"/>
      <c r="F55" s="26"/>
      <c r="G55" s="34"/>
      <c r="H55" s="29">
        <f t="shared" si="0"/>
        <v>19827.460000000014</v>
      </c>
      <c r="J55" s="49"/>
      <c r="K55" s="49"/>
      <c r="L55" s="49"/>
    </row>
    <row r="56" spans="1:12">
      <c r="A56" s="12"/>
      <c r="B56" s="20"/>
      <c r="C56" s="12"/>
      <c r="D56" s="12"/>
      <c r="E56" s="25"/>
      <c r="F56" s="26"/>
      <c r="G56" s="34"/>
      <c r="H56" s="29">
        <f t="shared" si="0"/>
        <v>19827.460000000014</v>
      </c>
      <c r="J56" s="49"/>
      <c r="K56" s="49"/>
      <c r="L56" s="49"/>
    </row>
    <row r="57" spans="1:12">
      <c r="A57" s="12"/>
      <c r="B57" s="20"/>
      <c r="C57" s="12"/>
      <c r="D57" s="12"/>
      <c r="E57" s="25"/>
      <c r="F57" s="26"/>
      <c r="G57" s="34"/>
      <c r="H57" s="29">
        <f t="shared" si="0"/>
        <v>19827.460000000014</v>
      </c>
      <c r="J57" s="49" t="s">
        <v>12</v>
      </c>
      <c r="K57" s="48">
        <v>0</v>
      </c>
      <c r="L57" s="49"/>
    </row>
    <row r="58" spans="1:12">
      <c r="A58" s="12"/>
      <c r="B58" s="20"/>
      <c r="C58" s="12"/>
      <c r="D58" s="12"/>
      <c r="E58" s="25"/>
      <c r="F58" s="26"/>
      <c r="G58" s="34"/>
      <c r="H58" s="29">
        <f t="shared" si="0"/>
        <v>19827.460000000014</v>
      </c>
      <c r="J58" s="49" t="s">
        <v>12</v>
      </c>
      <c r="K58" s="48">
        <v>0</v>
      </c>
      <c r="L58" s="49"/>
    </row>
    <row r="59" spans="1:12">
      <c r="A59" s="12"/>
      <c r="B59" s="20"/>
      <c r="C59" s="12"/>
      <c r="D59" s="12"/>
      <c r="E59" s="25"/>
      <c r="F59" s="26"/>
      <c r="G59" s="34"/>
      <c r="H59" s="29">
        <f t="shared" si="0"/>
        <v>19827.460000000014</v>
      </c>
    </row>
    <row r="60" spans="1:12">
      <c r="A60" s="12"/>
      <c r="B60" s="20"/>
      <c r="C60" s="12"/>
      <c r="D60" s="12"/>
      <c r="E60" s="25"/>
      <c r="F60" s="26"/>
      <c r="G60" s="34"/>
      <c r="H60" s="29">
        <f t="shared" si="0"/>
        <v>19827.460000000014</v>
      </c>
    </row>
    <row r="61" spans="1:12" ht="23.25">
      <c r="A61" s="12"/>
      <c r="B61" s="20"/>
      <c r="C61" s="12"/>
      <c r="D61" s="12"/>
      <c r="E61" s="25"/>
      <c r="F61" s="26"/>
      <c r="G61" s="34"/>
      <c r="H61" s="29">
        <f t="shared" si="0"/>
        <v>19827.460000000014</v>
      </c>
      <c r="J61" s="48">
        <f>E37*1</f>
        <v>3042.56</v>
      </c>
      <c r="K61" s="47" t="s">
        <v>49</v>
      </c>
      <c r="L61" s="49">
        <v>60.85</v>
      </c>
    </row>
    <row r="62" spans="1:12">
      <c r="A62" s="12"/>
      <c r="B62" s="20"/>
      <c r="C62" s="12"/>
      <c r="D62" s="12"/>
      <c r="E62" s="40"/>
      <c r="F62" s="26"/>
      <c r="G62" s="34"/>
      <c r="H62" s="29">
        <f t="shared" si="0"/>
        <v>19827.460000000014</v>
      </c>
      <c r="J62" s="49"/>
      <c r="K62" s="49">
        <v>15212.8</v>
      </c>
      <c r="L62" s="49"/>
    </row>
    <row r="63" spans="1:12">
      <c r="A63" s="12"/>
      <c r="B63" s="20"/>
      <c r="C63" s="12"/>
      <c r="D63" s="12"/>
      <c r="E63" s="40"/>
      <c r="F63" s="26"/>
      <c r="G63" s="34"/>
      <c r="H63" s="29">
        <f t="shared" si="0"/>
        <v>19827.460000000014</v>
      </c>
      <c r="J63" s="49"/>
      <c r="K63" s="49">
        <f>K62/5</f>
        <v>3042.56</v>
      </c>
      <c r="L63" s="49"/>
    </row>
    <row r="64" spans="1:12">
      <c r="A64" s="12"/>
      <c r="B64" s="20"/>
      <c r="C64" s="12"/>
      <c r="D64" s="12"/>
      <c r="E64" s="40"/>
      <c r="F64" s="26"/>
      <c r="G64" s="34"/>
      <c r="H64" s="29">
        <f t="shared" si="0"/>
        <v>19827.460000000014</v>
      </c>
      <c r="J64" s="49"/>
      <c r="K64" s="49"/>
      <c r="L64" s="49"/>
    </row>
    <row r="65" spans="1:12">
      <c r="A65" s="12"/>
      <c r="B65" s="20"/>
      <c r="C65" s="12"/>
      <c r="D65" s="12"/>
      <c r="E65" s="25"/>
      <c r="F65" s="26"/>
      <c r="G65" s="34"/>
      <c r="H65" s="29">
        <f t="shared" si="0"/>
        <v>19827.460000000014</v>
      </c>
      <c r="J65" s="49" t="s">
        <v>12</v>
      </c>
      <c r="K65" s="48">
        <f>K62-J61</f>
        <v>12170.24</v>
      </c>
      <c r="L65" s="49"/>
    </row>
    <row r="66" spans="1:12">
      <c r="A66" s="12"/>
      <c r="B66" s="12"/>
      <c r="C66" s="12"/>
      <c r="D66" s="12"/>
      <c r="E66" s="25"/>
      <c r="F66" s="26"/>
      <c r="G66" s="34"/>
      <c r="H66" s="29">
        <f t="shared" si="0"/>
        <v>19827.460000000014</v>
      </c>
      <c r="J66" s="49" t="s">
        <v>12</v>
      </c>
      <c r="K66" s="49">
        <v>0</v>
      </c>
      <c r="L66" s="49"/>
    </row>
    <row r="67" spans="1:12" ht="15.75" thickBot="1">
      <c r="A67" s="12"/>
      <c r="B67" s="20"/>
      <c r="C67" s="12"/>
      <c r="D67" s="12"/>
      <c r="E67" s="25"/>
      <c r="F67" s="26"/>
      <c r="G67" s="34"/>
      <c r="H67" s="29">
        <f t="shared" si="0"/>
        <v>19827.460000000014</v>
      </c>
    </row>
    <row r="68" spans="1:12" ht="15.75" thickBot="1">
      <c r="A68" s="5" t="s">
        <v>90</v>
      </c>
      <c r="B68" s="21"/>
      <c r="C68" s="8"/>
      <c r="D68" s="11"/>
      <c r="E68" s="24">
        <f>SUM(E3:E67)</f>
        <v>97524.12000000001</v>
      </c>
      <c r="F68" s="39">
        <f>SUM(F3:F67)</f>
        <v>292.40999999999997</v>
      </c>
      <c r="G68" s="35">
        <f>SUM(G3:G67)</f>
        <v>128662</v>
      </c>
      <c r="H68" s="30">
        <v>19827.46</v>
      </c>
    </row>
    <row r="69" spans="1:12">
      <c r="A69" s="2"/>
      <c r="B69" s="13"/>
      <c r="C69" s="9"/>
      <c r="D69" s="2"/>
      <c r="E69" s="2"/>
      <c r="F69" s="36"/>
      <c r="G69" s="36"/>
      <c r="H69" s="31"/>
    </row>
    <row r="70" spans="1:12">
      <c r="A70" s="2"/>
      <c r="B70" s="13"/>
      <c r="C70" s="9"/>
      <c r="D70" s="2"/>
      <c r="E70" s="2"/>
      <c r="F70" s="36"/>
      <c r="G70" s="36"/>
      <c r="H70" s="31"/>
    </row>
  </sheetData>
  <mergeCells count="3">
    <mergeCell ref="A1:H1"/>
    <mergeCell ref="K31:K32"/>
    <mergeCell ref="L31:L32"/>
  </mergeCells>
  <pageMargins left="0.46" right="0.56000000000000005" top="0.55000000000000004" bottom="0.48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"/>
  <sheetViews>
    <sheetView topLeftCell="A25" zoomScaleNormal="100" workbookViewId="0">
      <selection activeCell="C41" sqref="C41:E41"/>
    </sheetView>
  </sheetViews>
  <sheetFormatPr defaultRowHeight="15"/>
  <cols>
    <col min="1" max="1" width="10.140625" bestFit="1" customWidth="1"/>
    <col min="2" max="2" width="25.5703125" style="6" customWidth="1"/>
    <col min="3" max="3" width="7.7109375" style="7" bestFit="1" customWidth="1"/>
    <col min="4" max="4" width="15.42578125" customWidth="1"/>
    <col min="5" max="5" width="9.5703125" bestFit="1" customWidth="1"/>
    <col min="6" max="6" width="7.42578125" style="27" customWidth="1"/>
    <col min="7" max="7" width="13.140625" style="27" customWidth="1"/>
    <col min="8" max="8" width="8.85546875" style="32" bestFit="1" customWidth="1"/>
    <col min="9" max="9" width="8.85546875" style="32" customWidth="1"/>
    <col min="10" max="10" width="20.85546875" customWidth="1"/>
    <col min="11" max="11" width="17.5703125" customWidth="1"/>
    <col min="12" max="12" width="13.42578125" customWidth="1"/>
    <col min="13" max="13" width="16.42578125" bestFit="1" customWidth="1"/>
  </cols>
  <sheetData>
    <row r="1" spans="1:12" ht="19.5" thickBot="1">
      <c r="A1" s="81" t="s">
        <v>61</v>
      </c>
      <c r="B1" s="81"/>
      <c r="C1" s="81"/>
      <c r="D1" s="81"/>
      <c r="E1" s="81"/>
      <c r="F1" s="81"/>
      <c r="G1" s="81"/>
      <c r="H1" s="81"/>
      <c r="I1" s="52"/>
    </row>
    <row r="2" spans="1:12" s="6" customFormat="1" ht="48" customHeight="1" thickBot="1">
      <c r="A2" s="14" t="s">
        <v>2</v>
      </c>
      <c r="B2" s="15" t="s">
        <v>0</v>
      </c>
      <c r="C2" s="16" t="s">
        <v>6</v>
      </c>
      <c r="D2" s="17" t="s">
        <v>7</v>
      </c>
      <c r="E2" s="68" t="s">
        <v>3</v>
      </c>
      <c r="F2" s="69" t="s">
        <v>5</v>
      </c>
      <c r="G2" s="70" t="s">
        <v>4</v>
      </c>
      <c r="H2" s="17" t="s">
        <v>1</v>
      </c>
      <c r="I2" s="53"/>
    </row>
    <row r="3" spans="1:12" ht="15.75" thickBot="1">
      <c r="A3" s="18" t="s">
        <v>62</v>
      </c>
      <c r="B3" s="19" t="s">
        <v>8</v>
      </c>
      <c r="C3" s="22"/>
      <c r="D3" s="3"/>
      <c r="E3" s="2"/>
      <c r="F3" s="71"/>
      <c r="G3" s="67"/>
      <c r="H3" s="30">
        <v>19827.46</v>
      </c>
      <c r="I3" s="54"/>
      <c r="J3" s="74" t="s">
        <v>9</v>
      </c>
      <c r="K3" s="75">
        <f>'[1]May 2021'!$N$15</f>
        <v>43031.329999999994</v>
      </c>
    </row>
    <row r="4" spans="1:12">
      <c r="A4" s="18" t="s">
        <v>62</v>
      </c>
      <c r="B4" s="12" t="s">
        <v>21</v>
      </c>
      <c r="C4" s="12" t="s">
        <v>49</v>
      </c>
      <c r="D4" s="12" t="s">
        <v>23</v>
      </c>
      <c r="E4" s="4">
        <v>3042.56</v>
      </c>
      <c r="F4" s="71"/>
      <c r="G4" s="34"/>
      <c r="H4" s="29">
        <f>H3+E4+F4-G4</f>
        <v>22870.02</v>
      </c>
      <c r="I4" s="54"/>
      <c r="J4" s="76" t="s">
        <v>10</v>
      </c>
      <c r="K4" s="77">
        <f>H71+K15+K35+K25+K45</f>
        <v>43031.330000000009</v>
      </c>
    </row>
    <row r="5" spans="1:12" ht="15.75" thickBot="1">
      <c r="A5" s="12" t="s">
        <v>62</v>
      </c>
      <c r="B5" s="12" t="s">
        <v>25</v>
      </c>
      <c r="C5" s="12"/>
      <c r="D5" s="12"/>
      <c r="E5" s="4"/>
      <c r="F5" s="71"/>
      <c r="G5" s="34">
        <v>2376</v>
      </c>
      <c r="H5" s="29">
        <f t="shared" ref="H5:H68" si="0">H4+E5+F5-G5</f>
        <v>20494.02</v>
      </c>
      <c r="I5" s="54"/>
      <c r="J5" s="78"/>
      <c r="K5" s="79"/>
    </row>
    <row r="6" spans="1:12">
      <c r="A6" s="12" t="s">
        <v>63</v>
      </c>
      <c r="B6" s="20" t="s">
        <v>21</v>
      </c>
      <c r="C6" s="12" t="s">
        <v>46</v>
      </c>
      <c r="D6" s="12" t="s">
        <v>27</v>
      </c>
      <c r="E6" s="4">
        <v>7130.46</v>
      </c>
      <c r="F6" s="26"/>
      <c r="G6" s="34"/>
      <c r="H6" s="29">
        <f t="shared" si="0"/>
        <v>27624.48</v>
      </c>
      <c r="I6" s="54"/>
      <c r="J6" s="85" t="s">
        <v>11</v>
      </c>
      <c r="K6" s="87">
        <f>K3-K4</f>
        <v>0</v>
      </c>
    </row>
    <row r="7" spans="1:12" ht="15.75" thickBot="1">
      <c r="A7" s="12" t="s">
        <v>63</v>
      </c>
      <c r="B7" s="20" t="s">
        <v>21</v>
      </c>
      <c r="C7" s="12" t="s">
        <v>53</v>
      </c>
      <c r="D7" s="12" t="s">
        <v>23</v>
      </c>
      <c r="E7" s="26">
        <v>7239.04</v>
      </c>
      <c r="F7" s="26"/>
      <c r="G7" s="34"/>
      <c r="H7" s="29">
        <f t="shared" si="0"/>
        <v>34863.519999999997</v>
      </c>
      <c r="I7" s="54"/>
      <c r="J7" s="86"/>
      <c r="K7" s="88"/>
    </row>
    <row r="8" spans="1:12">
      <c r="A8" s="12" t="s">
        <v>63</v>
      </c>
      <c r="B8" s="20" t="s">
        <v>25</v>
      </c>
      <c r="C8" s="12"/>
      <c r="D8" s="12"/>
      <c r="E8" s="26"/>
      <c r="F8" s="26"/>
      <c r="G8" s="34">
        <v>3096</v>
      </c>
      <c r="H8" s="29">
        <f t="shared" si="0"/>
        <v>31767.519999999997</v>
      </c>
      <c r="I8" s="54"/>
    </row>
    <row r="9" spans="1:12">
      <c r="A9" s="12" t="s">
        <v>64</v>
      </c>
      <c r="B9" s="20" t="s">
        <v>21</v>
      </c>
      <c r="C9" s="12" t="s">
        <v>46</v>
      </c>
      <c r="D9" s="12" t="s">
        <v>29</v>
      </c>
      <c r="E9" s="4">
        <v>7130.46</v>
      </c>
      <c r="F9" s="26"/>
      <c r="G9" s="34"/>
      <c r="H9" s="29">
        <f t="shared" si="0"/>
        <v>38897.979999999996</v>
      </c>
      <c r="I9" s="54"/>
    </row>
    <row r="10" spans="1:12">
      <c r="A10" s="12" t="s">
        <v>64</v>
      </c>
      <c r="B10" s="12" t="s">
        <v>25</v>
      </c>
      <c r="C10" s="12"/>
      <c r="D10" s="12"/>
      <c r="E10" s="26"/>
      <c r="F10" s="26"/>
      <c r="G10" s="34">
        <v>3228</v>
      </c>
      <c r="H10" s="29">
        <f t="shared" si="0"/>
        <v>35669.979999999996</v>
      </c>
      <c r="I10" s="54"/>
    </row>
    <row r="11" spans="1:12" ht="15" customHeight="1">
      <c r="A11" s="12" t="s">
        <v>65</v>
      </c>
      <c r="B11" s="12" t="s">
        <v>21</v>
      </c>
      <c r="C11" s="12" t="s">
        <v>53</v>
      </c>
      <c r="D11" s="12" t="s">
        <v>27</v>
      </c>
      <c r="E11" s="26">
        <v>7239.04</v>
      </c>
      <c r="F11" s="26"/>
      <c r="G11" s="34"/>
      <c r="H11" s="29">
        <f t="shared" si="0"/>
        <v>42909.02</v>
      </c>
      <c r="I11" s="54"/>
      <c r="J11" s="57" t="s">
        <v>56</v>
      </c>
      <c r="K11" s="66">
        <v>35224</v>
      </c>
      <c r="L11" s="84" t="s">
        <v>76</v>
      </c>
    </row>
    <row r="12" spans="1:12" ht="15" customHeight="1">
      <c r="A12" s="12" t="s">
        <v>65</v>
      </c>
      <c r="B12" s="12" t="s">
        <v>25</v>
      </c>
      <c r="C12" s="12"/>
      <c r="D12" s="12"/>
      <c r="E12" s="4"/>
      <c r="F12" s="71"/>
      <c r="G12" s="34">
        <v>3566</v>
      </c>
      <c r="H12" s="29">
        <f t="shared" si="0"/>
        <v>39343.019999999997</v>
      </c>
      <c r="I12" s="54"/>
      <c r="J12" s="51" t="s">
        <v>57</v>
      </c>
      <c r="K12" s="50">
        <f>K11/5</f>
        <v>7044.8</v>
      </c>
      <c r="L12" s="84"/>
    </row>
    <row r="13" spans="1:12" ht="15" customHeight="1">
      <c r="A13" s="12" t="s">
        <v>66</v>
      </c>
      <c r="B13" s="12" t="s">
        <v>21</v>
      </c>
      <c r="C13" s="12" t="s">
        <v>53</v>
      </c>
      <c r="D13" s="12" t="s">
        <v>29</v>
      </c>
      <c r="E13" s="26">
        <v>7239.04</v>
      </c>
      <c r="F13" s="26"/>
      <c r="G13" s="34"/>
      <c r="H13" s="29">
        <f t="shared" si="0"/>
        <v>46582.06</v>
      </c>
      <c r="I13" s="54"/>
      <c r="J13" s="51" t="s">
        <v>60</v>
      </c>
      <c r="K13" s="65">
        <v>4</v>
      </c>
      <c r="L13" s="84"/>
    </row>
    <row r="14" spans="1:12" ht="15.75" customHeight="1" thickBot="1">
      <c r="A14" s="12" t="s">
        <v>66</v>
      </c>
      <c r="B14" s="20" t="s">
        <v>25</v>
      </c>
      <c r="C14" s="12"/>
      <c r="D14" s="12"/>
      <c r="E14" s="26"/>
      <c r="F14" s="26"/>
      <c r="G14" s="34">
        <v>2712</v>
      </c>
      <c r="H14" s="29">
        <f t="shared" si="0"/>
        <v>43870.06</v>
      </c>
      <c r="I14" s="54"/>
      <c r="J14" s="60"/>
      <c r="K14" s="61"/>
      <c r="L14" s="84"/>
    </row>
    <row r="15" spans="1:12" ht="15.75" customHeight="1" thickBot="1">
      <c r="A15" s="12" t="s">
        <v>67</v>
      </c>
      <c r="B15" s="12" t="s">
        <v>21</v>
      </c>
      <c r="C15" s="12" t="s">
        <v>53</v>
      </c>
      <c r="D15" s="12" t="s">
        <v>68</v>
      </c>
      <c r="E15" s="26">
        <v>7239.08</v>
      </c>
      <c r="F15" s="26"/>
      <c r="G15" s="34"/>
      <c r="H15" s="29">
        <f t="shared" si="0"/>
        <v>51109.14</v>
      </c>
      <c r="I15" s="54"/>
      <c r="J15" s="63" t="s">
        <v>55</v>
      </c>
      <c r="K15" s="62">
        <f>K11-(K12*K13)</f>
        <v>7044.7999999999993</v>
      </c>
      <c r="L15" s="84"/>
    </row>
    <row r="16" spans="1:12" ht="15" customHeight="1">
      <c r="A16" s="12" t="s">
        <v>67</v>
      </c>
      <c r="B16" s="12" t="s">
        <v>33</v>
      </c>
      <c r="C16" s="12"/>
      <c r="D16" s="12"/>
      <c r="E16" s="26"/>
      <c r="F16" s="26">
        <v>144.78</v>
      </c>
      <c r="G16" s="34"/>
      <c r="H16" s="29">
        <f t="shared" si="0"/>
        <v>51253.919999999998</v>
      </c>
      <c r="I16" s="54"/>
      <c r="J16" s="49"/>
      <c r="K16" s="49"/>
      <c r="L16" s="73" t="s">
        <v>75</v>
      </c>
    </row>
    <row r="17" spans="1:12" ht="15" customHeight="1">
      <c r="A17" s="12" t="s">
        <v>67</v>
      </c>
      <c r="B17" s="20" t="s">
        <v>25</v>
      </c>
      <c r="C17" s="12"/>
      <c r="D17" s="12"/>
      <c r="E17" s="26"/>
      <c r="F17" s="26"/>
      <c r="G17" s="34">
        <v>3720</v>
      </c>
      <c r="H17" s="29">
        <f t="shared" si="0"/>
        <v>47533.919999999998</v>
      </c>
      <c r="I17" s="54"/>
      <c r="J17" s="56" t="s">
        <v>58</v>
      </c>
      <c r="K17" s="66">
        <f>L17*0.4%</f>
        <v>140.89600000000002</v>
      </c>
      <c r="L17" s="73">
        <v>35224</v>
      </c>
    </row>
    <row r="18" spans="1:12" ht="15" customHeight="1">
      <c r="A18" s="12" t="s">
        <v>69</v>
      </c>
      <c r="B18" s="20" t="s">
        <v>25</v>
      </c>
      <c r="C18" s="12"/>
      <c r="D18" s="12"/>
      <c r="E18" s="26"/>
      <c r="F18" s="26"/>
      <c r="G18" s="34">
        <v>2744</v>
      </c>
      <c r="H18" s="29">
        <f t="shared" si="0"/>
        <v>44789.919999999998</v>
      </c>
      <c r="I18" s="54"/>
      <c r="J18" s="49"/>
      <c r="K18" s="49"/>
      <c r="L18" s="72"/>
    </row>
    <row r="19" spans="1:12" ht="15" customHeight="1">
      <c r="A19" s="12" t="s">
        <v>70</v>
      </c>
      <c r="B19" s="20" t="s">
        <v>25</v>
      </c>
      <c r="C19" s="12"/>
      <c r="D19" s="12"/>
      <c r="E19" s="26"/>
      <c r="F19" s="26"/>
      <c r="G19" s="34">
        <v>4548</v>
      </c>
      <c r="H19" s="29">
        <f t="shared" si="0"/>
        <v>40241.919999999998</v>
      </c>
      <c r="I19" s="54"/>
    </row>
    <row r="20" spans="1:12" ht="15" customHeight="1">
      <c r="A20" s="12" t="s">
        <v>71</v>
      </c>
      <c r="B20" s="20" t="s">
        <v>25</v>
      </c>
      <c r="C20" s="12"/>
      <c r="D20" s="12"/>
      <c r="E20" s="26"/>
      <c r="F20" s="26"/>
      <c r="G20" s="34">
        <v>2688</v>
      </c>
      <c r="H20" s="29">
        <f t="shared" si="0"/>
        <v>37553.919999999998</v>
      </c>
      <c r="I20" s="54"/>
    </row>
    <row r="21" spans="1:12" ht="15" customHeight="1">
      <c r="A21" s="12" t="s">
        <v>72</v>
      </c>
      <c r="B21" s="12" t="s">
        <v>21</v>
      </c>
      <c r="C21" s="12" t="s">
        <v>74</v>
      </c>
      <c r="D21" s="12" t="s">
        <v>24</v>
      </c>
      <c r="E21" s="26">
        <v>3200.1</v>
      </c>
      <c r="F21" s="26"/>
      <c r="G21" s="34"/>
      <c r="H21" s="29">
        <f t="shared" si="0"/>
        <v>40754.019999999997</v>
      </c>
      <c r="I21" s="54"/>
      <c r="J21" s="57" t="s">
        <v>56</v>
      </c>
      <c r="K21" s="66">
        <v>12170.24</v>
      </c>
      <c r="L21" s="84" t="s">
        <v>49</v>
      </c>
    </row>
    <row r="22" spans="1:12" ht="15" customHeight="1">
      <c r="A22" s="12" t="s">
        <v>72</v>
      </c>
      <c r="B22" s="20" t="s">
        <v>25</v>
      </c>
      <c r="C22" s="12"/>
      <c r="D22" s="12"/>
      <c r="E22" s="26"/>
      <c r="F22" s="26"/>
      <c r="G22" s="34">
        <v>1212</v>
      </c>
      <c r="H22" s="29">
        <f t="shared" si="0"/>
        <v>39542.019999999997</v>
      </c>
      <c r="I22" s="54"/>
      <c r="J22" s="51" t="s">
        <v>57</v>
      </c>
      <c r="K22" s="50">
        <f>K21/4</f>
        <v>3042.56</v>
      </c>
      <c r="L22" s="84"/>
    </row>
    <row r="23" spans="1:12" ht="15" customHeight="1">
      <c r="A23" s="12" t="s">
        <v>73</v>
      </c>
      <c r="B23" s="20" t="s">
        <v>25</v>
      </c>
      <c r="C23" s="12"/>
      <c r="D23" s="12"/>
      <c r="E23" s="26"/>
      <c r="F23" s="26"/>
      <c r="G23" s="34">
        <v>3344</v>
      </c>
      <c r="H23" s="29">
        <f t="shared" si="0"/>
        <v>36198.019999999997</v>
      </c>
      <c r="I23" s="54"/>
      <c r="J23" s="51" t="s">
        <v>60</v>
      </c>
      <c r="K23" s="65">
        <v>2</v>
      </c>
      <c r="L23" s="84"/>
    </row>
    <row r="24" spans="1:12" ht="15.75" customHeight="1" thickBot="1">
      <c r="A24" s="12" t="s">
        <v>92</v>
      </c>
      <c r="B24" s="20" t="s">
        <v>25</v>
      </c>
      <c r="C24" s="12"/>
      <c r="D24" s="12"/>
      <c r="E24" s="26"/>
      <c r="F24" s="26"/>
      <c r="G24" s="34">
        <v>7394</v>
      </c>
      <c r="H24" s="29">
        <f t="shared" si="0"/>
        <v>28804.019999999997</v>
      </c>
      <c r="I24" s="54"/>
      <c r="J24" s="60"/>
      <c r="K24" s="61"/>
      <c r="L24" s="84"/>
    </row>
    <row r="25" spans="1:12" ht="15.75" customHeight="1" thickBot="1">
      <c r="A25" s="12" t="s">
        <v>93</v>
      </c>
      <c r="B25" s="12" t="s">
        <v>21</v>
      </c>
      <c r="C25" s="12" t="s">
        <v>76</v>
      </c>
      <c r="D25" s="12" t="s">
        <v>24</v>
      </c>
      <c r="E25" s="4">
        <v>7044.8</v>
      </c>
      <c r="F25" s="26"/>
      <c r="G25" s="34"/>
      <c r="H25" s="29">
        <f t="shared" si="0"/>
        <v>35848.82</v>
      </c>
      <c r="I25" s="54"/>
      <c r="J25" s="63" t="s">
        <v>55</v>
      </c>
      <c r="K25" s="62">
        <f>K21-(K22*K23)</f>
        <v>6085.12</v>
      </c>
      <c r="L25" s="84"/>
    </row>
    <row r="26" spans="1:12" ht="15" customHeight="1">
      <c r="A26" s="12" t="s">
        <v>93</v>
      </c>
      <c r="B26" s="12" t="s">
        <v>21</v>
      </c>
      <c r="C26" s="12" t="s">
        <v>74</v>
      </c>
      <c r="D26" s="12" t="s">
        <v>23</v>
      </c>
      <c r="E26" s="26">
        <v>3200.1</v>
      </c>
      <c r="F26" s="26"/>
      <c r="G26" s="34"/>
      <c r="H26" s="29">
        <f t="shared" si="0"/>
        <v>39048.92</v>
      </c>
      <c r="I26" s="54"/>
      <c r="J26" s="49"/>
      <c r="K26" s="49"/>
      <c r="L26" s="73" t="s">
        <v>75</v>
      </c>
    </row>
    <row r="27" spans="1:12" ht="15" customHeight="1">
      <c r="A27" s="12" t="s">
        <v>93</v>
      </c>
      <c r="B27" s="12" t="s">
        <v>25</v>
      </c>
      <c r="C27" s="12"/>
      <c r="D27" s="12"/>
      <c r="E27" s="26"/>
      <c r="F27" s="26"/>
      <c r="G27" s="34">
        <v>7338</v>
      </c>
      <c r="H27" s="29">
        <f t="shared" si="0"/>
        <v>31710.92</v>
      </c>
      <c r="I27" s="54"/>
      <c r="J27" s="56" t="s">
        <v>58</v>
      </c>
      <c r="K27" s="66">
        <f>L27*0.4%</f>
        <v>60.852000000000004</v>
      </c>
      <c r="L27" s="73">
        <f>3042.6*5</f>
        <v>15213</v>
      </c>
    </row>
    <row r="28" spans="1:12" ht="15" customHeight="1">
      <c r="A28" s="12" t="s">
        <v>94</v>
      </c>
      <c r="B28" s="12" t="s">
        <v>25</v>
      </c>
      <c r="C28" s="12"/>
      <c r="D28" s="12"/>
      <c r="E28" s="26"/>
      <c r="F28" s="26"/>
      <c r="G28" s="34">
        <v>3624</v>
      </c>
      <c r="H28" s="29">
        <f t="shared" si="0"/>
        <v>28086.92</v>
      </c>
      <c r="I28" s="54"/>
      <c r="J28" s="49"/>
      <c r="K28" s="49"/>
      <c r="L28" s="72"/>
    </row>
    <row r="29" spans="1:12">
      <c r="A29" s="12" t="s">
        <v>94</v>
      </c>
      <c r="B29" s="12" t="s">
        <v>21</v>
      </c>
      <c r="C29" s="12" t="s">
        <v>46</v>
      </c>
      <c r="D29" s="12" t="s">
        <v>68</v>
      </c>
      <c r="E29" s="4">
        <v>7130.5</v>
      </c>
      <c r="F29" s="26"/>
      <c r="G29" s="34"/>
      <c r="H29" s="29">
        <f t="shared" si="0"/>
        <v>35217.42</v>
      </c>
      <c r="I29" s="54"/>
    </row>
    <row r="30" spans="1:12">
      <c r="A30" s="12" t="s">
        <v>94</v>
      </c>
      <c r="B30" s="12" t="s">
        <v>33</v>
      </c>
      <c r="C30" s="12"/>
      <c r="D30" s="12"/>
      <c r="E30" s="26"/>
      <c r="F30" s="26">
        <v>142.61000000000001</v>
      </c>
      <c r="G30" s="34"/>
      <c r="H30" s="29">
        <f t="shared" si="0"/>
        <v>35360.03</v>
      </c>
      <c r="I30" s="54"/>
    </row>
    <row r="31" spans="1:12" ht="15" customHeight="1">
      <c r="A31" s="12" t="s">
        <v>77</v>
      </c>
      <c r="B31" s="12" t="s">
        <v>25</v>
      </c>
      <c r="C31" s="12"/>
      <c r="D31" s="12"/>
      <c r="E31" s="26"/>
      <c r="F31" s="26"/>
      <c r="G31" s="34">
        <v>1704</v>
      </c>
      <c r="H31" s="29">
        <f t="shared" si="0"/>
        <v>33656.03</v>
      </c>
      <c r="I31" s="54"/>
      <c r="J31" s="57" t="s">
        <v>56</v>
      </c>
      <c r="K31" s="58">
        <v>16000.7</v>
      </c>
      <c r="L31" s="84" t="s">
        <v>74</v>
      </c>
    </row>
    <row r="32" spans="1:12" ht="15" customHeight="1">
      <c r="A32" s="12" t="s">
        <v>78</v>
      </c>
      <c r="B32" s="12" t="s">
        <v>25</v>
      </c>
      <c r="C32" s="12"/>
      <c r="D32" s="12"/>
      <c r="E32" s="4"/>
      <c r="F32" s="26"/>
      <c r="G32" s="34">
        <v>6144</v>
      </c>
      <c r="H32" s="29">
        <f t="shared" si="0"/>
        <v>27512.03</v>
      </c>
      <c r="I32" s="54"/>
      <c r="J32" s="51" t="s">
        <v>57</v>
      </c>
      <c r="K32" s="50">
        <f>K31/5</f>
        <v>3200.1400000000003</v>
      </c>
      <c r="L32" s="84"/>
    </row>
    <row r="33" spans="1:16" ht="15" customHeight="1">
      <c r="A33" s="12" t="s">
        <v>79</v>
      </c>
      <c r="B33" s="12" t="s">
        <v>21</v>
      </c>
      <c r="C33" s="12" t="s">
        <v>76</v>
      </c>
      <c r="D33" s="12" t="s">
        <v>23</v>
      </c>
      <c r="E33" s="4">
        <v>7044.8</v>
      </c>
      <c r="F33" s="26"/>
      <c r="G33" s="34"/>
      <c r="H33" s="29">
        <f t="shared" si="0"/>
        <v>34556.83</v>
      </c>
      <c r="I33" s="54"/>
      <c r="J33" s="51" t="s">
        <v>60</v>
      </c>
      <c r="K33" s="65">
        <v>2</v>
      </c>
      <c r="L33" s="84"/>
    </row>
    <row r="34" spans="1:16" ht="15.75" customHeight="1" thickBot="1">
      <c r="A34" s="12" t="s">
        <v>79</v>
      </c>
      <c r="B34" s="12" t="s">
        <v>21</v>
      </c>
      <c r="C34" s="12" t="s">
        <v>76</v>
      </c>
      <c r="D34" s="12" t="s">
        <v>27</v>
      </c>
      <c r="E34" s="4">
        <v>7044.8</v>
      </c>
      <c r="F34" s="26"/>
      <c r="G34" s="34"/>
      <c r="H34" s="29">
        <f t="shared" si="0"/>
        <v>41601.630000000005</v>
      </c>
      <c r="I34" s="54"/>
      <c r="J34" s="60"/>
      <c r="K34" s="61"/>
      <c r="L34" s="84"/>
    </row>
    <row r="35" spans="1:16" ht="15.75" customHeight="1" thickBot="1">
      <c r="A35" s="12" t="s">
        <v>79</v>
      </c>
      <c r="B35" s="12" t="s">
        <v>25</v>
      </c>
      <c r="C35" s="12"/>
      <c r="D35" s="12"/>
      <c r="E35" s="26"/>
      <c r="F35" s="26"/>
      <c r="G35" s="34">
        <v>3480</v>
      </c>
      <c r="H35" s="29">
        <f t="shared" si="0"/>
        <v>38121.630000000005</v>
      </c>
      <c r="I35" s="54"/>
      <c r="J35" s="63" t="s">
        <v>55</v>
      </c>
      <c r="K35" s="62">
        <f>K31-(K32*K33)</f>
        <v>9600.42</v>
      </c>
      <c r="L35" s="84"/>
    </row>
    <row r="36" spans="1:16" ht="15.75" customHeight="1">
      <c r="A36" s="12" t="s">
        <v>80</v>
      </c>
      <c r="B36" s="12" t="s">
        <v>25</v>
      </c>
      <c r="C36" s="12"/>
      <c r="D36" s="12"/>
      <c r="E36" s="4"/>
      <c r="F36" s="26"/>
      <c r="G36" s="34">
        <v>3288</v>
      </c>
      <c r="H36" s="29">
        <f t="shared" si="0"/>
        <v>34833.630000000005</v>
      </c>
      <c r="I36" s="54"/>
      <c r="J36" s="49"/>
      <c r="K36" s="49"/>
      <c r="L36" s="73" t="s">
        <v>75</v>
      </c>
    </row>
    <row r="37" spans="1:16" ht="15.75" customHeight="1">
      <c r="A37" s="12" t="s">
        <v>81</v>
      </c>
      <c r="B37" s="12" t="s">
        <v>21</v>
      </c>
      <c r="C37" s="12" t="s">
        <v>76</v>
      </c>
      <c r="D37" s="12" t="s">
        <v>29</v>
      </c>
      <c r="E37" s="4">
        <v>7044.8</v>
      </c>
      <c r="F37" s="26"/>
      <c r="G37" s="34"/>
      <c r="H37" s="29">
        <f t="shared" si="0"/>
        <v>41878.430000000008</v>
      </c>
      <c r="I37" s="54"/>
      <c r="J37" s="56" t="s">
        <v>58</v>
      </c>
      <c r="K37" s="59">
        <f>L37*0.4%</f>
        <v>64.002800000000008</v>
      </c>
      <c r="L37" s="73">
        <f>16000.7</f>
        <v>16000.7</v>
      </c>
      <c r="P37" s="1"/>
    </row>
    <row r="38" spans="1:16" ht="15" customHeight="1">
      <c r="A38" s="12" t="s">
        <v>81</v>
      </c>
      <c r="B38" s="12" t="s">
        <v>25</v>
      </c>
      <c r="C38" s="12"/>
      <c r="D38" s="12"/>
      <c r="E38" s="4"/>
      <c r="F38" s="26"/>
      <c r="G38" s="34">
        <v>2628</v>
      </c>
      <c r="H38" s="29">
        <f t="shared" si="0"/>
        <v>39250.430000000008</v>
      </c>
      <c r="I38" s="54"/>
      <c r="J38" s="49"/>
      <c r="K38" s="49"/>
      <c r="L38" s="72"/>
      <c r="P38" s="1"/>
    </row>
    <row r="39" spans="1:16">
      <c r="A39" s="12" t="s">
        <v>82</v>
      </c>
      <c r="B39" s="12" t="s">
        <v>25</v>
      </c>
      <c r="C39" s="12"/>
      <c r="D39" s="12"/>
      <c r="E39" s="4"/>
      <c r="F39" s="26"/>
      <c r="G39" s="34">
        <v>3066</v>
      </c>
      <c r="H39" s="29">
        <f t="shared" si="0"/>
        <v>36184.430000000008</v>
      </c>
      <c r="I39" s="54"/>
      <c r="K39" s="10"/>
    </row>
    <row r="40" spans="1:16">
      <c r="A40" s="12" t="s">
        <v>83</v>
      </c>
      <c r="B40" s="12" t="s">
        <v>25</v>
      </c>
      <c r="C40" s="12"/>
      <c r="D40" s="12"/>
      <c r="E40" s="4"/>
      <c r="F40" s="26"/>
      <c r="G40" s="34">
        <v>5832</v>
      </c>
      <c r="H40" s="29">
        <f t="shared" si="0"/>
        <v>30352.430000000008</v>
      </c>
      <c r="I40" s="54"/>
      <c r="K40" s="10"/>
    </row>
    <row r="41" spans="1:16" ht="15" customHeight="1">
      <c r="A41" s="12" t="s">
        <v>84</v>
      </c>
      <c r="B41" s="20" t="s">
        <v>21</v>
      </c>
      <c r="C41" s="12" t="s">
        <v>49</v>
      </c>
      <c r="D41" s="12" t="s">
        <v>27</v>
      </c>
      <c r="E41" s="4">
        <v>3042.56</v>
      </c>
      <c r="F41" s="26"/>
      <c r="G41" s="34"/>
      <c r="H41" s="29">
        <f t="shared" si="0"/>
        <v>33394.990000000005</v>
      </c>
      <c r="I41" s="54"/>
      <c r="J41" s="57" t="s">
        <v>56</v>
      </c>
      <c r="K41" s="66">
        <f>21391.38</f>
        <v>21391.38</v>
      </c>
      <c r="L41" s="84" t="s">
        <v>59</v>
      </c>
    </row>
    <row r="42" spans="1:16" ht="15.75" customHeight="1">
      <c r="A42" s="12" t="s">
        <v>84</v>
      </c>
      <c r="B42" s="12" t="s">
        <v>25</v>
      </c>
      <c r="C42" s="12"/>
      <c r="D42" s="12"/>
      <c r="E42" s="4"/>
      <c r="F42" s="26"/>
      <c r="G42" s="34">
        <v>1732</v>
      </c>
      <c r="H42" s="29">
        <f t="shared" si="0"/>
        <v>31662.990000000005</v>
      </c>
      <c r="I42" s="54"/>
      <c r="J42" s="51" t="s">
        <v>57</v>
      </c>
      <c r="K42" s="50">
        <f>K41/3</f>
        <v>7130.46</v>
      </c>
      <c r="L42" s="84"/>
    </row>
    <row r="43" spans="1:16" ht="15.75" customHeight="1">
      <c r="A43" s="12" t="s">
        <v>85</v>
      </c>
      <c r="B43" s="12" t="s">
        <v>25</v>
      </c>
      <c r="C43" s="12"/>
      <c r="D43" s="12"/>
      <c r="E43" s="4"/>
      <c r="F43" s="26"/>
      <c r="G43" s="34">
        <v>5612</v>
      </c>
      <c r="H43" s="29">
        <f t="shared" si="0"/>
        <v>26050.990000000005</v>
      </c>
      <c r="I43" s="54"/>
      <c r="J43" s="51" t="s">
        <v>60</v>
      </c>
      <c r="K43" s="65">
        <v>3</v>
      </c>
      <c r="L43" s="84"/>
    </row>
    <row r="44" spans="1:16" ht="15.75" customHeight="1" thickBot="1">
      <c r="A44" s="12" t="s">
        <v>86</v>
      </c>
      <c r="B44" s="20" t="s">
        <v>25</v>
      </c>
      <c r="C44" s="12"/>
      <c r="D44" s="12"/>
      <c r="E44" s="26"/>
      <c r="F44" s="26"/>
      <c r="G44" s="34">
        <v>2016</v>
      </c>
      <c r="H44" s="29">
        <f t="shared" si="0"/>
        <v>24034.990000000005</v>
      </c>
      <c r="I44" s="54"/>
      <c r="J44" s="60"/>
      <c r="K44" s="61"/>
      <c r="L44" s="84"/>
    </row>
    <row r="45" spans="1:16" ht="15.75" customHeight="1" thickBot="1">
      <c r="A45" s="12" t="s">
        <v>87</v>
      </c>
      <c r="B45" s="20" t="s">
        <v>25</v>
      </c>
      <c r="C45" s="12"/>
      <c r="D45" s="12"/>
      <c r="E45" s="26"/>
      <c r="F45" s="26"/>
      <c r="G45" s="34">
        <v>3734</v>
      </c>
      <c r="H45" s="29">
        <f t="shared" si="0"/>
        <v>20300.990000000005</v>
      </c>
      <c r="I45" s="54"/>
      <c r="J45" s="63" t="s">
        <v>55</v>
      </c>
      <c r="K45" s="62">
        <f>K41-(K42*K43)</f>
        <v>0</v>
      </c>
      <c r="L45" s="84"/>
    </row>
    <row r="46" spans="1:16" ht="15" customHeight="1">
      <c r="A46" s="12"/>
      <c r="B46" s="20"/>
      <c r="C46" s="12"/>
      <c r="D46" s="12"/>
      <c r="E46" s="40"/>
      <c r="F46" s="26"/>
      <c r="G46" s="34"/>
      <c r="H46" s="29">
        <f t="shared" si="0"/>
        <v>20300.990000000005</v>
      </c>
      <c r="I46" s="54"/>
      <c r="J46" s="49"/>
      <c r="K46" s="49"/>
      <c r="L46" s="73" t="s">
        <v>75</v>
      </c>
    </row>
    <row r="47" spans="1:16" ht="15" customHeight="1">
      <c r="A47" s="12"/>
      <c r="B47" s="12"/>
      <c r="C47" s="12"/>
      <c r="D47" s="12"/>
      <c r="E47" s="40"/>
      <c r="F47" s="26"/>
      <c r="G47" s="34"/>
      <c r="H47" s="29">
        <f t="shared" si="0"/>
        <v>20300.990000000005</v>
      </c>
      <c r="I47" s="54"/>
      <c r="J47" s="56" t="s">
        <v>58</v>
      </c>
      <c r="K47" s="59">
        <f>L47*0.4%</f>
        <v>142.61000000000001</v>
      </c>
      <c r="L47" s="73">
        <f>7130.5*5</f>
        <v>35652.5</v>
      </c>
    </row>
    <row r="48" spans="1:16" ht="15" customHeight="1">
      <c r="A48" s="12"/>
      <c r="B48" s="20"/>
      <c r="C48" s="12"/>
      <c r="D48" s="12"/>
      <c r="E48" s="25"/>
      <c r="F48" s="26"/>
      <c r="G48" s="34"/>
      <c r="H48" s="29">
        <f t="shared" si="0"/>
        <v>20300.990000000005</v>
      </c>
      <c r="I48" s="54"/>
      <c r="J48" s="49"/>
      <c r="K48" s="49"/>
      <c r="L48" s="72"/>
    </row>
    <row r="49" spans="1:13">
      <c r="A49" s="12"/>
      <c r="B49" s="20"/>
      <c r="C49" s="12"/>
      <c r="D49" s="12"/>
      <c r="E49" s="25"/>
      <c r="F49" s="26"/>
      <c r="G49" s="34"/>
      <c r="H49" s="29">
        <f t="shared" si="0"/>
        <v>20300.990000000005</v>
      </c>
      <c r="I49" s="54"/>
    </row>
    <row r="50" spans="1:13">
      <c r="A50" s="12"/>
      <c r="B50" s="20"/>
      <c r="C50" s="12"/>
      <c r="D50" s="12"/>
      <c r="E50" s="40"/>
      <c r="F50" s="26"/>
      <c r="G50" s="34"/>
      <c r="H50" s="29">
        <f t="shared" si="0"/>
        <v>20300.990000000005</v>
      </c>
      <c r="I50" s="54"/>
    </row>
    <row r="51" spans="1:13">
      <c r="A51" s="12"/>
      <c r="B51" s="12"/>
      <c r="C51" s="12"/>
      <c r="D51" s="12"/>
      <c r="E51" s="40"/>
      <c r="F51" s="26"/>
      <c r="G51" s="34"/>
      <c r="H51" s="29">
        <f t="shared" si="0"/>
        <v>20300.990000000005</v>
      </c>
      <c r="I51" s="54"/>
    </row>
    <row r="52" spans="1:13">
      <c r="A52" s="12"/>
      <c r="B52" s="12"/>
      <c r="C52" s="12"/>
      <c r="D52" s="12"/>
      <c r="E52" s="25"/>
      <c r="F52" s="42"/>
      <c r="G52" s="34"/>
      <c r="H52" s="29">
        <f t="shared" si="0"/>
        <v>20300.990000000005</v>
      </c>
      <c r="I52" s="54"/>
      <c r="J52" s="64"/>
      <c r="K52" s="64"/>
      <c r="L52" s="64"/>
      <c r="M52" s="64"/>
    </row>
    <row r="53" spans="1:13">
      <c r="A53" s="12"/>
      <c r="B53" s="41"/>
      <c r="C53" s="12"/>
      <c r="D53" s="12"/>
      <c r="E53" s="25"/>
      <c r="F53" s="43"/>
      <c r="G53" s="34"/>
      <c r="H53" s="29">
        <f t="shared" si="0"/>
        <v>20300.990000000005</v>
      </c>
      <c r="I53" s="54"/>
      <c r="J53" s="64"/>
      <c r="K53" s="64"/>
      <c r="L53" s="64"/>
      <c r="M53" s="64"/>
    </row>
    <row r="54" spans="1:13">
      <c r="A54" s="12"/>
      <c r="B54" s="20"/>
      <c r="C54" s="12"/>
      <c r="D54" s="12"/>
      <c r="E54" s="25"/>
      <c r="F54" s="26"/>
      <c r="G54" s="34"/>
      <c r="H54" s="29">
        <f t="shared" si="0"/>
        <v>20300.990000000005</v>
      </c>
      <c r="I54" s="54"/>
    </row>
    <row r="55" spans="1:13">
      <c r="A55" s="12"/>
      <c r="B55" s="20"/>
      <c r="C55" s="12"/>
      <c r="D55" s="12"/>
      <c r="E55" s="25"/>
      <c r="F55" s="26"/>
      <c r="G55" s="34"/>
      <c r="H55" s="29">
        <f t="shared" si="0"/>
        <v>20300.990000000005</v>
      </c>
      <c r="I55" s="54"/>
    </row>
    <row r="56" spans="1:13">
      <c r="A56" s="12"/>
      <c r="B56" s="20"/>
      <c r="C56" s="12"/>
      <c r="D56" s="12"/>
      <c r="E56" s="25"/>
      <c r="F56" s="26"/>
      <c r="G56" s="34"/>
      <c r="H56" s="29">
        <f t="shared" si="0"/>
        <v>20300.990000000005</v>
      </c>
      <c r="I56" s="54"/>
    </row>
    <row r="57" spans="1:13">
      <c r="A57" s="12"/>
      <c r="B57" s="20"/>
      <c r="C57" s="12"/>
      <c r="D57" s="12"/>
      <c r="E57" s="25"/>
      <c r="F57" s="26"/>
      <c r="G57" s="34"/>
      <c r="H57" s="29">
        <f t="shared" si="0"/>
        <v>20300.990000000005</v>
      </c>
      <c r="I57" s="54"/>
    </row>
    <row r="58" spans="1:13">
      <c r="A58" s="12"/>
      <c r="B58" s="12"/>
      <c r="C58" s="12"/>
      <c r="D58" s="12"/>
      <c r="E58" s="4"/>
      <c r="F58" s="26"/>
      <c r="G58" s="34"/>
      <c r="H58" s="29">
        <f t="shared" si="0"/>
        <v>20300.990000000005</v>
      </c>
      <c r="I58" s="54"/>
    </row>
    <row r="59" spans="1:13">
      <c r="A59" s="12"/>
      <c r="B59" s="20"/>
      <c r="C59" s="12"/>
      <c r="D59" s="12"/>
      <c r="E59" s="40"/>
      <c r="F59" s="26"/>
      <c r="G59" s="34"/>
      <c r="H59" s="29">
        <f t="shared" si="0"/>
        <v>20300.990000000005</v>
      </c>
      <c r="I59" s="54"/>
    </row>
    <row r="60" spans="1:13">
      <c r="A60" s="12"/>
      <c r="B60" s="20"/>
      <c r="C60" s="12"/>
      <c r="D60" s="12"/>
      <c r="E60" s="25"/>
      <c r="F60" s="26"/>
      <c r="G60" s="34"/>
      <c r="H60" s="29">
        <f t="shared" si="0"/>
        <v>20300.990000000005</v>
      </c>
      <c r="I60" s="54"/>
    </row>
    <row r="61" spans="1:13">
      <c r="A61" s="12"/>
      <c r="B61" s="20"/>
      <c r="C61" s="12"/>
      <c r="D61" s="12"/>
      <c r="E61" s="25"/>
      <c r="F61" s="26"/>
      <c r="G61" s="34"/>
      <c r="H61" s="29">
        <f t="shared" si="0"/>
        <v>20300.990000000005</v>
      </c>
      <c r="I61" s="54"/>
    </row>
    <row r="62" spans="1:13">
      <c r="A62" s="12"/>
      <c r="B62" s="20"/>
      <c r="C62" s="12"/>
      <c r="D62" s="12"/>
      <c r="E62" s="25"/>
      <c r="F62" s="26"/>
      <c r="G62" s="34"/>
      <c r="H62" s="29">
        <f t="shared" si="0"/>
        <v>20300.990000000005</v>
      </c>
      <c r="I62" s="54"/>
    </row>
    <row r="63" spans="1:13">
      <c r="A63" s="12"/>
      <c r="B63" s="20"/>
      <c r="C63" s="12"/>
      <c r="D63" s="12"/>
      <c r="E63" s="25"/>
      <c r="F63" s="26"/>
      <c r="G63" s="34"/>
      <c r="H63" s="29">
        <f t="shared" si="0"/>
        <v>20300.990000000005</v>
      </c>
      <c r="I63" s="54"/>
    </row>
    <row r="64" spans="1:13">
      <c r="A64" s="12"/>
      <c r="B64" s="20"/>
      <c r="C64" s="12"/>
      <c r="D64" s="12"/>
      <c r="E64" s="25"/>
      <c r="F64" s="26"/>
      <c r="G64" s="34"/>
      <c r="H64" s="29">
        <f t="shared" si="0"/>
        <v>20300.990000000005</v>
      </c>
      <c r="I64" s="54"/>
    </row>
    <row r="65" spans="1:9">
      <c r="A65" s="12"/>
      <c r="B65" s="20"/>
      <c r="C65" s="12"/>
      <c r="D65" s="12"/>
      <c r="E65" s="25"/>
      <c r="F65" s="26"/>
      <c r="G65" s="34"/>
      <c r="H65" s="29">
        <f t="shared" si="0"/>
        <v>20300.990000000005</v>
      </c>
      <c r="I65" s="54"/>
    </row>
    <row r="66" spans="1:9">
      <c r="A66" s="12"/>
      <c r="B66" s="20"/>
      <c r="C66" s="12"/>
      <c r="D66" s="12"/>
      <c r="E66" s="40"/>
      <c r="F66" s="26"/>
      <c r="G66" s="34"/>
      <c r="H66" s="29">
        <f t="shared" si="0"/>
        <v>20300.990000000005</v>
      </c>
      <c r="I66" s="54"/>
    </row>
    <row r="67" spans="1:9">
      <c r="A67" s="12"/>
      <c r="B67" s="20"/>
      <c r="C67" s="12"/>
      <c r="D67" s="12"/>
      <c r="E67" s="40"/>
      <c r="F67" s="26"/>
      <c r="G67" s="34"/>
      <c r="H67" s="29">
        <f t="shared" si="0"/>
        <v>20300.990000000005</v>
      </c>
      <c r="I67" s="54"/>
    </row>
    <row r="68" spans="1:9">
      <c r="A68" s="12"/>
      <c r="B68" s="20"/>
      <c r="C68" s="12"/>
      <c r="D68" s="12"/>
      <c r="E68" s="40"/>
      <c r="F68" s="26"/>
      <c r="G68" s="34"/>
      <c r="H68" s="29">
        <f t="shared" si="0"/>
        <v>20300.990000000005</v>
      </c>
      <c r="I68" s="54"/>
    </row>
    <row r="69" spans="1:9">
      <c r="A69" s="12"/>
      <c r="B69" s="20"/>
      <c r="C69" s="12"/>
      <c r="D69" s="12"/>
      <c r="E69" s="25"/>
      <c r="F69" s="26"/>
      <c r="G69" s="34"/>
      <c r="H69" s="29">
        <f t="shared" ref="H69:H71" si="1">H68+E69+F69-G69</f>
        <v>20300.990000000005</v>
      </c>
      <c r="I69" s="54"/>
    </row>
    <row r="70" spans="1:9">
      <c r="A70" s="12"/>
      <c r="B70" s="12"/>
      <c r="C70" s="12"/>
      <c r="D70" s="12"/>
      <c r="E70" s="25"/>
      <c r="F70" s="26"/>
      <c r="G70" s="34"/>
      <c r="H70" s="29">
        <f t="shared" si="1"/>
        <v>20300.990000000005</v>
      </c>
      <c r="I70" s="54"/>
    </row>
    <row r="71" spans="1:9" ht="15.75" thickBot="1">
      <c r="A71" s="12"/>
      <c r="B71" s="20"/>
      <c r="C71" s="12"/>
      <c r="D71" s="12"/>
      <c r="E71" s="25"/>
      <c r="F71" s="26"/>
      <c r="G71" s="34"/>
      <c r="H71" s="29">
        <f t="shared" si="1"/>
        <v>20300.990000000005</v>
      </c>
      <c r="I71" s="54"/>
    </row>
    <row r="72" spans="1:9" ht="15.75" thickBot="1">
      <c r="A72" s="5" t="s">
        <v>89</v>
      </c>
      <c r="B72" s="21"/>
      <c r="C72" s="8"/>
      <c r="D72" s="11"/>
      <c r="E72" s="24">
        <f>SUM(E3:E71)</f>
        <v>91012.14</v>
      </c>
      <c r="F72" s="39">
        <f>SUM(F3:F71)</f>
        <v>287.39</v>
      </c>
      <c r="G72" s="35">
        <f>SUM(G3:G71)</f>
        <v>90826</v>
      </c>
      <c r="H72" s="30"/>
      <c r="I72" s="55"/>
    </row>
    <row r="73" spans="1:9">
      <c r="A73" s="2"/>
      <c r="B73" s="13"/>
      <c r="C73" s="9"/>
      <c r="D73" s="2"/>
      <c r="E73" s="2"/>
      <c r="F73" s="36"/>
      <c r="G73" s="67"/>
      <c r="H73"/>
      <c r="I73"/>
    </row>
    <row r="74" spans="1:9">
      <c r="A74" s="2"/>
      <c r="B74" s="13"/>
      <c r="C74" s="9"/>
      <c r="D74" s="2"/>
      <c r="E74" s="2"/>
      <c r="F74" s="36"/>
      <c r="G74" s="36"/>
      <c r="H74"/>
      <c r="I74"/>
    </row>
    <row r="75" spans="1:9">
      <c r="H75"/>
      <c r="I75"/>
    </row>
    <row r="76" spans="1:9">
      <c r="H76" s="64"/>
      <c r="I76" s="64"/>
    </row>
    <row r="77" spans="1:9">
      <c r="H77" s="64"/>
      <c r="I77" s="64"/>
    </row>
    <row r="78" spans="1:9">
      <c r="H78"/>
      <c r="I78"/>
    </row>
    <row r="79" spans="1:9">
      <c r="H79"/>
      <c r="I79"/>
    </row>
    <row r="80" spans="1:9">
      <c r="H80"/>
      <c r="I80"/>
    </row>
    <row r="81" spans="8:9">
      <c r="H81"/>
      <c r="I81"/>
    </row>
    <row r="82" spans="8:9">
      <c r="H82"/>
      <c r="I82"/>
    </row>
    <row r="83" spans="8:9">
      <c r="H83"/>
      <c r="I83"/>
    </row>
    <row r="84" spans="8:9">
      <c r="H84"/>
      <c r="I84"/>
    </row>
    <row r="85" spans="8:9">
      <c r="H85"/>
      <c r="I85"/>
    </row>
    <row r="86" spans="8:9">
      <c r="H86"/>
      <c r="I86"/>
    </row>
    <row r="87" spans="8:9">
      <c r="H87"/>
      <c r="I87"/>
    </row>
    <row r="88" spans="8:9">
      <c r="H88"/>
      <c r="I88"/>
    </row>
    <row r="89" spans="8:9">
      <c r="H89"/>
      <c r="I89"/>
    </row>
    <row r="90" spans="8:9">
      <c r="H90"/>
      <c r="I90"/>
    </row>
    <row r="91" spans="8:9">
      <c r="H91"/>
      <c r="I91"/>
    </row>
    <row r="92" spans="8:9">
      <c r="H92"/>
      <c r="I92"/>
    </row>
    <row r="93" spans="8:9">
      <c r="H93"/>
      <c r="I93"/>
    </row>
    <row r="94" spans="8:9">
      <c r="H94"/>
      <c r="I94"/>
    </row>
    <row r="95" spans="8:9">
      <c r="H95"/>
      <c r="I95"/>
    </row>
  </sheetData>
  <mergeCells count="7">
    <mergeCell ref="L31:L35"/>
    <mergeCell ref="L41:L45"/>
    <mergeCell ref="A1:H1"/>
    <mergeCell ref="J6:J7"/>
    <mergeCell ref="K6:K7"/>
    <mergeCell ref="L11:L15"/>
    <mergeCell ref="L21:L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5"/>
  <sheetViews>
    <sheetView tabSelected="1" topLeftCell="A34" zoomScaleNormal="100" workbookViewId="0">
      <selection activeCell="D53" sqref="D53"/>
    </sheetView>
  </sheetViews>
  <sheetFormatPr defaultRowHeight="15"/>
  <cols>
    <col min="1" max="1" width="10.140625" bestFit="1" customWidth="1"/>
    <col min="2" max="2" width="25.5703125" style="6" customWidth="1"/>
    <col min="3" max="3" width="7.7109375" style="7" bestFit="1" customWidth="1"/>
    <col min="4" max="4" width="15.42578125" customWidth="1"/>
    <col min="5" max="5" width="9.5703125" bestFit="1" customWidth="1"/>
    <col min="6" max="6" width="7.42578125" style="27" customWidth="1"/>
    <col min="7" max="7" width="13.140625" style="27" customWidth="1"/>
    <col min="8" max="8" width="10.28515625" style="32" bestFit="1" customWidth="1"/>
    <col min="9" max="9" width="8.85546875" style="32" customWidth="1"/>
    <col min="10" max="10" width="20.85546875" customWidth="1"/>
    <col min="11" max="11" width="17.5703125" customWidth="1"/>
    <col min="12" max="12" width="13.42578125" customWidth="1"/>
    <col min="13" max="13" width="16.42578125" bestFit="1" customWidth="1"/>
  </cols>
  <sheetData>
    <row r="1" spans="1:12" ht="19.5" thickBot="1">
      <c r="A1" s="81" t="s">
        <v>95</v>
      </c>
      <c r="B1" s="81"/>
      <c r="C1" s="81"/>
      <c r="D1" s="81"/>
      <c r="E1" s="81"/>
      <c r="F1" s="81"/>
      <c r="G1" s="81"/>
      <c r="H1" s="81"/>
      <c r="I1" s="52"/>
    </row>
    <row r="2" spans="1:12" s="6" customFormat="1" ht="48" customHeight="1" thickBot="1">
      <c r="A2" s="14" t="s">
        <v>2</v>
      </c>
      <c r="B2" s="15" t="s">
        <v>0</v>
      </c>
      <c r="C2" s="16" t="s">
        <v>6</v>
      </c>
      <c r="D2" s="17" t="s">
        <v>7</v>
      </c>
      <c r="E2" s="68" t="s">
        <v>3</v>
      </c>
      <c r="F2" s="69" t="s">
        <v>5</v>
      </c>
      <c r="G2" s="70" t="s">
        <v>4</v>
      </c>
      <c r="H2" s="17" t="s">
        <v>1</v>
      </c>
      <c r="I2" s="53"/>
    </row>
    <row r="3" spans="1:12" ht="15.75" thickBot="1">
      <c r="A3" s="18" t="s">
        <v>91</v>
      </c>
      <c r="B3" s="19" t="s">
        <v>8</v>
      </c>
      <c r="C3" s="22"/>
      <c r="D3" s="3"/>
      <c r="E3" s="2"/>
      <c r="F3" s="71"/>
      <c r="G3" s="67"/>
      <c r="H3" s="30">
        <v>20300.990000000002</v>
      </c>
      <c r="I3" s="54"/>
      <c r="J3" s="74" t="s">
        <v>9</v>
      </c>
      <c r="K3" s="75">
        <f>'[1]June 2021'!$N$15</f>
        <v>65436.87</v>
      </c>
    </row>
    <row r="4" spans="1:12" ht="15.75" thickBot="1">
      <c r="A4" s="18" t="s">
        <v>91</v>
      </c>
      <c r="B4" s="12" t="s">
        <v>21</v>
      </c>
      <c r="C4" s="12" t="s">
        <v>76</v>
      </c>
      <c r="D4" s="12" t="s">
        <v>68</v>
      </c>
      <c r="E4" s="4">
        <v>7044.84</v>
      </c>
      <c r="F4" s="71"/>
      <c r="G4" s="34"/>
      <c r="H4" s="29">
        <f>H3+E4+F4-G4</f>
        <v>27345.83</v>
      </c>
      <c r="I4" s="54"/>
      <c r="J4" s="76" t="s">
        <v>10</v>
      </c>
      <c r="K4" s="77">
        <f>H71+K15+K35+K25+K45</f>
        <v>65436.869999999995</v>
      </c>
    </row>
    <row r="5" spans="1:12" ht="15.75" thickBot="1">
      <c r="A5" s="18" t="s">
        <v>91</v>
      </c>
      <c r="B5" s="12" t="s">
        <v>33</v>
      </c>
      <c r="C5" s="12"/>
      <c r="D5" s="12"/>
      <c r="E5" s="4"/>
      <c r="F5" s="71">
        <v>140.9</v>
      </c>
      <c r="G5" s="34"/>
      <c r="H5" s="29">
        <f t="shared" ref="H5:H68" si="0">H4+E5+F5-G5</f>
        <v>27486.730000000003</v>
      </c>
      <c r="I5" s="54"/>
      <c r="J5" s="78"/>
      <c r="K5" s="79"/>
    </row>
    <row r="6" spans="1:12" ht="15.75" thickBot="1">
      <c r="A6" s="18" t="s">
        <v>91</v>
      </c>
      <c r="B6" s="12" t="s">
        <v>25</v>
      </c>
      <c r="C6" s="12"/>
      <c r="D6" s="12"/>
      <c r="E6" s="4"/>
      <c r="F6" s="26"/>
      <c r="G6" s="34">
        <v>3876</v>
      </c>
      <c r="H6" s="29">
        <f t="shared" si="0"/>
        <v>23610.730000000003</v>
      </c>
      <c r="I6" s="54"/>
      <c r="J6" s="85" t="s">
        <v>11</v>
      </c>
      <c r="K6" s="87">
        <f>K3-K4</f>
        <v>0</v>
      </c>
    </row>
    <row r="7" spans="1:12" ht="15.75" thickBot="1">
      <c r="A7" s="18" t="s">
        <v>96</v>
      </c>
      <c r="B7" s="20" t="s">
        <v>25</v>
      </c>
      <c r="C7" s="12"/>
      <c r="D7" s="12"/>
      <c r="E7" s="26"/>
      <c r="F7" s="26"/>
      <c r="G7" s="34">
        <v>2472</v>
      </c>
      <c r="H7" s="29">
        <f t="shared" si="0"/>
        <v>21138.730000000003</v>
      </c>
      <c r="I7" s="54"/>
      <c r="J7" s="86"/>
      <c r="K7" s="88"/>
    </row>
    <row r="8" spans="1:12" ht="15.75" thickBot="1">
      <c r="A8" s="18" t="s">
        <v>97</v>
      </c>
      <c r="B8" s="20" t="s">
        <v>21</v>
      </c>
      <c r="C8" s="12" t="s">
        <v>74</v>
      </c>
      <c r="D8" s="12" t="s">
        <v>27</v>
      </c>
      <c r="E8" s="26">
        <v>3200.1</v>
      </c>
      <c r="F8" s="26"/>
      <c r="G8" s="34"/>
      <c r="H8" s="29">
        <f t="shared" si="0"/>
        <v>24338.83</v>
      </c>
      <c r="I8" s="54"/>
    </row>
    <row r="9" spans="1:12">
      <c r="A9" s="18" t="s">
        <v>97</v>
      </c>
      <c r="B9" s="20" t="s">
        <v>25</v>
      </c>
      <c r="C9" s="12"/>
      <c r="D9" s="12"/>
      <c r="E9" s="4"/>
      <c r="F9" s="26"/>
      <c r="G9" s="34">
        <v>3360</v>
      </c>
      <c r="H9" s="29">
        <f t="shared" si="0"/>
        <v>20978.83</v>
      </c>
      <c r="I9" s="54"/>
    </row>
    <row r="10" spans="1:12">
      <c r="A10" s="12" t="s">
        <v>98</v>
      </c>
      <c r="B10" s="12" t="s">
        <v>21</v>
      </c>
      <c r="C10" s="12" t="s">
        <v>109</v>
      </c>
      <c r="D10" s="12" t="s">
        <v>24</v>
      </c>
      <c r="E10" s="4">
        <v>7064</v>
      </c>
      <c r="F10" s="26"/>
      <c r="G10" s="34"/>
      <c r="H10" s="29">
        <f t="shared" si="0"/>
        <v>28042.83</v>
      </c>
      <c r="I10" s="54"/>
    </row>
    <row r="11" spans="1:12" ht="15" customHeight="1">
      <c r="A11" s="12" t="s">
        <v>98</v>
      </c>
      <c r="B11" s="12" t="s">
        <v>25</v>
      </c>
      <c r="C11" s="12"/>
      <c r="D11" s="12"/>
      <c r="E11" s="26"/>
      <c r="F11" s="26"/>
      <c r="G11" s="34">
        <v>4410</v>
      </c>
      <c r="H11" s="29">
        <f t="shared" si="0"/>
        <v>23632.83</v>
      </c>
      <c r="I11" s="54"/>
      <c r="J11" s="57" t="s">
        <v>56</v>
      </c>
      <c r="K11" s="66">
        <v>37533.699999999997</v>
      </c>
      <c r="L11" s="84" t="s">
        <v>122</v>
      </c>
    </row>
    <row r="12" spans="1:12" ht="15" customHeight="1">
      <c r="A12" s="12" t="s">
        <v>99</v>
      </c>
      <c r="B12" s="12" t="s">
        <v>21</v>
      </c>
      <c r="C12" s="12" t="s">
        <v>109</v>
      </c>
      <c r="D12" s="12" t="s">
        <v>23</v>
      </c>
      <c r="E12" s="4">
        <v>7064</v>
      </c>
      <c r="F12" s="71"/>
      <c r="G12" s="34"/>
      <c r="H12" s="29">
        <f t="shared" si="0"/>
        <v>30696.83</v>
      </c>
      <c r="I12" s="54"/>
      <c r="J12" s="51" t="s">
        <v>57</v>
      </c>
      <c r="K12" s="50">
        <f>K11/5</f>
        <v>7506.74</v>
      </c>
      <c r="L12" s="84"/>
    </row>
    <row r="13" spans="1:12" ht="15" customHeight="1">
      <c r="A13" s="12" t="s">
        <v>99</v>
      </c>
      <c r="B13" s="12" t="s">
        <v>25</v>
      </c>
      <c r="C13" s="12"/>
      <c r="D13" s="12"/>
      <c r="E13" s="26"/>
      <c r="F13" s="26"/>
      <c r="G13" s="34">
        <v>2424</v>
      </c>
      <c r="H13" s="29">
        <f t="shared" si="0"/>
        <v>28272.83</v>
      </c>
      <c r="I13" s="54"/>
      <c r="J13" s="51" t="s">
        <v>60</v>
      </c>
      <c r="K13" s="65">
        <v>1</v>
      </c>
      <c r="L13" s="84"/>
    </row>
    <row r="14" spans="1:12" ht="15.75" customHeight="1" thickBot="1">
      <c r="A14" s="12" t="s">
        <v>100</v>
      </c>
      <c r="B14" s="20" t="s">
        <v>21</v>
      </c>
      <c r="C14" s="12" t="s">
        <v>74</v>
      </c>
      <c r="D14" s="12" t="s">
        <v>29</v>
      </c>
      <c r="E14" s="26">
        <v>3200.1</v>
      </c>
      <c r="F14" s="26"/>
      <c r="G14" s="34"/>
      <c r="H14" s="29">
        <f t="shared" si="0"/>
        <v>31472.93</v>
      </c>
      <c r="I14" s="54"/>
      <c r="J14" s="60"/>
      <c r="K14" s="61"/>
      <c r="L14" s="84"/>
    </row>
    <row r="15" spans="1:12" ht="15.75" customHeight="1" thickBot="1">
      <c r="A15" s="12" t="s">
        <v>100</v>
      </c>
      <c r="B15" s="20" t="s">
        <v>25</v>
      </c>
      <c r="C15" s="12"/>
      <c r="D15" s="12"/>
      <c r="E15" s="26"/>
      <c r="F15" s="26"/>
      <c r="G15" s="34">
        <v>4236</v>
      </c>
      <c r="H15" s="29">
        <f t="shared" si="0"/>
        <v>27236.93</v>
      </c>
      <c r="I15" s="54"/>
      <c r="J15" s="63" t="s">
        <v>55</v>
      </c>
      <c r="K15" s="62">
        <f>K11-(K12*K13)</f>
        <v>30026.959999999999</v>
      </c>
      <c r="L15" s="84"/>
    </row>
    <row r="16" spans="1:12" ht="15" customHeight="1">
      <c r="A16" s="12" t="s">
        <v>101</v>
      </c>
      <c r="B16" s="12" t="s">
        <v>25</v>
      </c>
      <c r="C16" s="12"/>
      <c r="D16" s="12"/>
      <c r="E16" s="26"/>
      <c r="F16" s="26"/>
      <c r="G16" s="34">
        <v>4080</v>
      </c>
      <c r="H16" s="29">
        <f t="shared" si="0"/>
        <v>23156.93</v>
      </c>
      <c r="I16" s="54"/>
      <c r="J16" s="49"/>
      <c r="K16" s="49"/>
      <c r="L16" s="73" t="s">
        <v>75</v>
      </c>
    </row>
    <row r="17" spans="1:12" ht="15" customHeight="1">
      <c r="A17" s="12" t="s">
        <v>102</v>
      </c>
      <c r="B17" s="20" t="s">
        <v>21</v>
      </c>
      <c r="C17" s="12" t="s">
        <v>111</v>
      </c>
      <c r="D17" s="12" t="s">
        <v>24</v>
      </c>
      <c r="E17" s="4">
        <v>7457.9</v>
      </c>
      <c r="F17" s="26"/>
      <c r="G17" s="34"/>
      <c r="H17" s="29">
        <f t="shared" si="0"/>
        <v>30614.83</v>
      </c>
      <c r="I17" s="54"/>
      <c r="J17" s="56" t="s">
        <v>58</v>
      </c>
      <c r="K17" s="66">
        <f>L17*0.4%</f>
        <v>150.13479999999998</v>
      </c>
      <c r="L17" s="73">
        <v>37533.699999999997</v>
      </c>
    </row>
    <row r="18" spans="1:12" ht="15" customHeight="1">
      <c r="A18" s="12" t="s">
        <v>102</v>
      </c>
      <c r="B18" s="20" t="s">
        <v>25</v>
      </c>
      <c r="C18" s="12"/>
      <c r="D18" s="12"/>
      <c r="E18" s="26"/>
      <c r="F18" s="26"/>
      <c r="G18" s="34">
        <v>2376</v>
      </c>
      <c r="H18" s="29">
        <f t="shared" si="0"/>
        <v>28238.83</v>
      </c>
      <c r="I18" s="54"/>
      <c r="J18" s="49"/>
      <c r="K18" s="49"/>
      <c r="L18" s="72"/>
    </row>
    <row r="19" spans="1:12" ht="15" customHeight="1">
      <c r="A19" s="12" t="s">
        <v>103</v>
      </c>
      <c r="B19" s="20" t="s">
        <v>25</v>
      </c>
      <c r="C19" s="12"/>
      <c r="D19" s="12"/>
      <c r="E19" s="26"/>
      <c r="F19" s="26"/>
      <c r="G19" s="34">
        <v>4272</v>
      </c>
      <c r="H19" s="29">
        <f t="shared" si="0"/>
        <v>23966.83</v>
      </c>
      <c r="I19" s="54"/>
    </row>
    <row r="20" spans="1:12" ht="15" customHeight="1">
      <c r="A20" s="12" t="s">
        <v>104</v>
      </c>
      <c r="B20" s="20" t="s">
        <v>25</v>
      </c>
      <c r="C20" s="12"/>
      <c r="D20" s="12"/>
      <c r="E20" s="26"/>
      <c r="F20" s="26"/>
      <c r="G20" s="34">
        <v>4632</v>
      </c>
      <c r="H20" s="29">
        <f t="shared" si="0"/>
        <v>19334.830000000002</v>
      </c>
      <c r="I20" s="54"/>
    </row>
    <row r="21" spans="1:12" ht="15" customHeight="1">
      <c r="A21" s="12" t="s">
        <v>105</v>
      </c>
      <c r="B21" s="12" t="s">
        <v>21</v>
      </c>
      <c r="C21" s="12" t="s">
        <v>74</v>
      </c>
      <c r="D21" s="12" t="s">
        <v>68</v>
      </c>
      <c r="E21" s="26">
        <v>3200.18</v>
      </c>
      <c r="F21" s="26"/>
      <c r="G21" s="34"/>
      <c r="H21" s="29">
        <f t="shared" si="0"/>
        <v>22535.010000000002</v>
      </c>
      <c r="I21" s="54"/>
      <c r="J21" s="57" t="s">
        <v>56</v>
      </c>
      <c r="K21" s="66">
        <v>6085.12</v>
      </c>
      <c r="L21" s="84" t="s">
        <v>49</v>
      </c>
    </row>
    <row r="22" spans="1:12" ht="15" customHeight="1">
      <c r="A22" s="12" t="s">
        <v>105</v>
      </c>
      <c r="B22" s="20" t="s">
        <v>33</v>
      </c>
      <c r="C22" s="12"/>
      <c r="D22" s="12"/>
      <c r="E22" s="26"/>
      <c r="F22" s="26">
        <v>64</v>
      </c>
      <c r="G22" s="34"/>
      <c r="H22" s="29">
        <f t="shared" si="0"/>
        <v>22599.010000000002</v>
      </c>
      <c r="I22" s="54"/>
      <c r="J22" s="51" t="s">
        <v>57</v>
      </c>
      <c r="K22" s="50">
        <f>K21/2</f>
        <v>3042.56</v>
      </c>
      <c r="L22" s="84"/>
    </row>
    <row r="23" spans="1:12" ht="15" customHeight="1">
      <c r="A23" s="12" t="s">
        <v>105</v>
      </c>
      <c r="B23" s="20" t="s">
        <v>25</v>
      </c>
      <c r="C23" s="12"/>
      <c r="D23" s="12"/>
      <c r="E23" s="26"/>
      <c r="F23" s="26"/>
      <c r="G23" s="34">
        <v>4764</v>
      </c>
      <c r="H23" s="29">
        <f t="shared" si="0"/>
        <v>17835.010000000002</v>
      </c>
      <c r="I23" s="54"/>
      <c r="J23" s="51" t="s">
        <v>60</v>
      </c>
      <c r="K23" s="65">
        <v>1</v>
      </c>
      <c r="L23" s="84"/>
    </row>
    <row r="24" spans="1:12" ht="15.75" customHeight="1" thickBot="1">
      <c r="A24" s="12" t="s">
        <v>106</v>
      </c>
      <c r="B24" s="20" t="s">
        <v>25</v>
      </c>
      <c r="C24" s="12"/>
      <c r="D24" s="12"/>
      <c r="E24" s="26"/>
      <c r="F24" s="26"/>
      <c r="G24" s="34"/>
      <c r="H24" s="29">
        <f t="shared" si="0"/>
        <v>17835.010000000002</v>
      </c>
      <c r="I24" s="54"/>
      <c r="J24" s="60"/>
      <c r="K24" s="61"/>
      <c r="L24" s="84"/>
    </row>
    <row r="25" spans="1:12" ht="15.75" customHeight="1" thickBot="1">
      <c r="A25" s="12" t="s">
        <v>107</v>
      </c>
      <c r="B25" s="20" t="s">
        <v>25</v>
      </c>
      <c r="C25" s="12"/>
      <c r="D25" s="12"/>
      <c r="E25" s="26"/>
      <c r="F25" s="26"/>
      <c r="G25" s="34">
        <v>2658</v>
      </c>
      <c r="H25" s="29">
        <f t="shared" si="0"/>
        <v>15177.010000000002</v>
      </c>
      <c r="I25" s="54"/>
      <c r="J25" s="63" t="s">
        <v>55</v>
      </c>
      <c r="K25" s="62">
        <f>K21-(K22*K23)</f>
        <v>3042.56</v>
      </c>
      <c r="L25" s="84"/>
    </row>
    <row r="26" spans="1:12" ht="15" customHeight="1">
      <c r="A26" s="12" t="s">
        <v>108</v>
      </c>
      <c r="B26" s="12" t="s">
        <v>21</v>
      </c>
      <c r="C26" s="12" t="s">
        <v>111</v>
      </c>
      <c r="D26" s="12" t="s">
        <v>23</v>
      </c>
      <c r="E26" s="4">
        <v>7457.9</v>
      </c>
      <c r="F26" s="26"/>
      <c r="G26" s="34"/>
      <c r="H26" s="29">
        <f t="shared" si="0"/>
        <v>22634.910000000003</v>
      </c>
      <c r="I26" s="54"/>
      <c r="J26" s="49"/>
      <c r="K26" s="49"/>
      <c r="L26" s="73" t="s">
        <v>75</v>
      </c>
    </row>
    <row r="27" spans="1:12" ht="15" customHeight="1">
      <c r="A27" s="12" t="s">
        <v>108</v>
      </c>
      <c r="B27" s="12" t="s">
        <v>25</v>
      </c>
      <c r="C27" s="12"/>
      <c r="D27" s="12"/>
      <c r="E27" s="26"/>
      <c r="F27" s="26"/>
      <c r="G27" s="34">
        <v>1330</v>
      </c>
      <c r="H27" s="29">
        <f t="shared" si="0"/>
        <v>21304.910000000003</v>
      </c>
      <c r="I27" s="54"/>
      <c r="J27" s="56" t="s">
        <v>58</v>
      </c>
      <c r="K27" s="66">
        <f>L27*0.4%</f>
        <v>60.852000000000004</v>
      </c>
      <c r="L27" s="73">
        <f>3042.6*5</f>
        <v>15213</v>
      </c>
    </row>
    <row r="28" spans="1:12" ht="15" customHeight="1">
      <c r="A28" s="12" t="s">
        <v>113</v>
      </c>
      <c r="B28" s="12" t="s">
        <v>25</v>
      </c>
      <c r="C28" s="12"/>
      <c r="D28" s="12"/>
      <c r="E28" s="26"/>
      <c r="F28" s="26"/>
      <c r="G28" s="34">
        <v>5742</v>
      </c>
      <c r="H28" s="29">
        <f t="shared" si="0"/>
        <v>15562.910000000003</v>
      </c>
      <c r="I28" s="54"/>
      <c r="J28" s="49"/>
      <c r="K28" s="49"/>
      <c r="L28" s="72"/>
    </row>
    <row r="29" spans="1:12">
      <c r="A29" s="12" t="s">
        <v>114</v>
      </c>
      <c r="B29" s="12" t="s">
        <v>25</v>
      </c>
      <c r="C29" s="12"/>
      <c r="D29" s="12"/>
      <c r="E29" s="4"/>
      <c r="F29" s="26"/>
      <c r="G29" s="34">
        <v>3648</v>
      </c>
      <c r="H29" s="29">
        <f t="shared" si="0"/>
        <v>11914.910000000003</v>
      </c>
      <c r="I29" s="54"/>
    </row>
    <row r="30" spans="1:12">
      <c r="A30" s="12" t="s">
        <v>115</v>
      </c>
      <c r="B30" s="12" t="s">
        <v>21</v>
      </c>
      <c r="C30" s="12" t="s">
        <v>111</v>
      </c>
      <c r="D30" s="12" t="s">
        <v>27</v>
      </c>
      <c r="E30" s="4">
        <v>7457.9</v>
      </c>
      <c r="F30" s="26"/>
      <c r="G30" s="34"/>
      <c r="H30" s="29">
        <f t="shared" si="0"/>
        <v>19372.810000000005</v>
      </c>
      <c r="I30" s="54"/>
    </row>
    <row r="31" spans="1:12" ht="15" customHeight="1">
      <c r="A31" s="12" t="s">
        <v>115</v>
      </c>
      <c r="B31" s="12" t="s">
        <v>25</v>
      </c>
      <c r="C31" s="12"/>
      <c r="D31" s="12"/>
      <c r="E31" s="26"/>
      <c r="F31" s="26"/>
      <c r="G31" s="34">
        <v>3270</v>
      </c>
      <c r="H31" s="29">
        <f t="shared" si="0"/>
        <v>16102.810000000005</v>
      </c>
      <c r="I31" s="54"/>
      <c r="J31" s="57" t="s">
        <v>56</v>
      </c>
      <c r="K31" s="58">
        <v>18585</v>
      </c>
      <c r="L31" s="84" t="s">
        <v>112</v>
      </c>
    </row>
    <row r="32" spans="1:12" ht="15" customHeight="1">
      <c r="A32" s="12" t="s">
        <v>116</v>
      </c>
      <c r="B32" s="12" t="s">
        <v>25</v>
      </c>
      <c r="C32" s="12"/>
      <c r="D32" s="12"/>
      <c r="E32" s="4"/>
      <c r="F32" s="26"/>
      <c r="G32" s="34">
        <v>2308</v>
      </c>
      <c r="H32" s="29">
        <f t="shared" si="0"/>
        <v>13794.810000000005</v>
      </c>
      <c r="I32" s="54"/>
      <c r="J32" s="51" t="s">
        <v>57</v>
      </c>
      <c r="K32" s="50">
        <f>K31/5</f>
        <v>3717</v>
      </c>
      <c r="L32" s="84"/>
    </row>
    <row r="33" spans="1:16" ht="15" customHeight="1">
      <c r="A33" s="12" t="s">
        <v>117</v>
      </c>
      <c r="B33" s="12" t="s">
        <v>25</v>
      </c>
      <c r="C33" s="12"/>
      <c r="D33" s="12"/>
      <c r="E33" s="4"/>
      <c r="F33" s="26"/>
      <c r="G33" s="34">
        <v>5022</v>
      </c>
      <c r="H33" s="29">
        <f t="shared" si="0"/>
        <v>8772.8100000000049</v>
      </c>
      <c r="I33" s="54"/>
      <c r="J33" s="51" t="s">
        <v>60</v>
      </c>
      <c r="K33" s="65">
        <v>1</v>
      </c>
      <c r="L33" s="84"/>
    </row>
    <row r="34" spans="1:16" ht="15.75" customHeight="1" thickBot="1">
      <c r="A34" s="12" t="s">
        <v>118</v>
      </c>
      <c r="B34" s="12" t="s">
        <v>21</v>
      </c>
      <c r="C34" s="12" t="s">
        <v>111</v>
      </c>
      <c r="D34" s="12" t="s">
        <v>29</v>
      </c>
      <c r="E34" s="4">
        <v>7457.9</v>
      </c>
      <c r="F34" s="26"/>
      <c r="G34" s="34"/>
      <c r="H34" s="29">
        <f t="shared" si="0"/>
        <v>16230.710000000005</v>
      </c>
      <c r="I34" s="54"/>
      <c r="J34" s="60"/>
      <c r="K34" s="61"/>
      <c r="L34" s="84"/>
    </row>
    <row r="35" spans="1:16" ht="15.75" customHeight="1" thickBot="1">
      <c r="A35" s="12" t="s">
        <v>118</v>
      </c>
      <c r="B35" s="12" t="s">
        <v>25</v>
      </c>
      <c r="C35" s="12"/>
      <c r="D35" s="12"/>
      <c r="E35" s="26"/>
      <c r="F35" s="26"/>
      <c r="G35" s="34">
        <v>2544</v>
      </c>
      <c r="H35" s="29">
        <f t="shared" si="0"/>
        <v>13686.710000000005</v>
      </c>
      <c r="I35" s="54"/>
      <c r="J35" s="63" t="s">
        <v>55</v>
      </c>
      <c r="K35" s="62">
        <f>K31-(K32*K33)</f>
        <v>14868</v>
      </c>
      <c r="L35" s="84"/>
    </row>
    <row r="36" spans="1:16" ht="15.75" customHeight="1">
      <c r="A36" s="12" t="s">
        <v>119</v>
      </c>
      <c r="B36" s="12" t="s">
        <v>25</v>
      </c>
      <c r="C36" s="12"/>
      <c r="D36" s="12"/>
      <c r="E36" s="4"/>
      <c r="F36" s="26"/>
      <c r="G36" s="34">
        <v>6384</v>
      </c>
      <c r="H36" s="29">
        <f t="shared" si="0"/>
        <v>7302.7100000000046</v>
      </c>
      <c r="I36" s="54"/>
      <c r="J36" s="49"/>
      <c r="K36" s="49"/>
      <c r="L36" s="73" t="s">
        <v>75</v>
      </c>
    </row>
    <row r="37" spans="1:16" ht="15.75" customHeight="1">
      <c r="A37" s="12" t="s">
        <v>120</v>
      </c>
      <c r="B37" s="12" t="s">
        <v>21</v>
      </c>
      <c r="C37" s="12" t="s">
        <v>111</v>
      </c>
      <c r="D37" s="12" t="s">
        <v>68</v>
      </c>
      <c r="E37" s="4">
        <f>7457+9.2</f>
        <v>7466.2</v>
      </c>
      <c r="F37" s="26"/>
      <c r="G37" s="34"/>
      <c r="H37" s="29">
        <f t="shared" si="0"/>
        <v>14768.910000000003</v>
      </c>
      <c r="I37" s="54"/>
      <c r="J37" s="56" t="s">
        <v>58</v>
      </c>
      <c r="K37" s="59">
        <f>L37*0.4%</f>
        <v>74.34</v>
      </c>
      <c r="L37" s="73">
        <v>18585</v>
      </c>
      <c r="P37" s="1"/>
    </row>
    <row r="38" spans="1:16" ht="15" customHeight="1">
      <c r="A38" s="12" t="s">
        <v>120</v>
      </c>
      <c r="B38" s="12" t="s">
        <v>33</v>
      </c>
      <c r="C38" s="12"/>
      <c r="D38" s="12"/>
      <c r="E38" s="4"/>
      <c r="F38" s="26">
        <v>140.9</v>
      </c>
      <c r="G38" s="34"/>
      <c r="H38" s="29">
        <f t="shared" si="0"/>
        <v>14909.810000000003</v>
      </c>
      <c r="I38" s="54"/>
      <c r="J38" s="49"/>
      <c r="K38" s="49"/>
      <c r="L38" s="72"/>
      <c r="P38" s="1"/>
    </row>
    <row r="39" spans="1:16">
      <c r="A39" s="12" t="s">
        <v>120</v>
      </c>
      <c r="B39" s="12" t="s">
        <v>21</v>
      </c>
      <c r="C39" s="12" t="s">
        <v>49</v>
      </c>
      <c r="D39" s="12" t="s">
        <v>29</v>
      </c>
      <c r="E39" s="4">
        <v>3042.56</v>
      </c>
      <c r="F39" s="26"/>
      <c r="G39" s="34"/>
      <c r="H39" s="29">
        <f t="shared" si="0"/>
        <v>17952.370000000003</v>
      </c>
      <c r="I39" s="54"/>
      <c r="K39" s="10"/>
    </row>
    <row r="40" spans="1:16">
      <c r="A40" s="12" t="s">
        <v>120</v>
      </c>
      <c r="B40" s="12" t="s">
        <v>25</v>
      </c>
      <c r="C40" s="12"/>
      <c r="D40" s="12"/>
      <c r="E40" s="4"/>
      <c r="F40" s="26"/>
      <c r="G40" s="34">
        <v>4868</v>
      </c>
      <c r="H40" s="29">
        <f t="shared" si="0"/>
        <v>13084.370000000003</v>
      </c>
      <c r="I40" s="54"/>
      <c r="K40" s="10"/>
    </row>
    <row r="41" spans="1:16" ht="15" customHeight="1">
      <c r="A41" s="12" t="s">
        <v>121</v>
      </c>
      <c r="B41" s="20" t="s">
        <v>25</v>
      </c>
      <c r="C41" s="12"/>
      <c r="D41" s="12"/>
      <c r="E41" s="4"/>
      <c r="F41" s="26"/>
      <c r="G41" s="34">
        <v>6694</v>
      </c>
      <c r="H41" s="29">
        <f t="shared" si="0"/>
        <v>6390.3700000000026</v>
      </c>
      <c r="I41" s="54"/>
      <c r="J41" s="57" t="s">
        <v>56</v>
      </c>
      <c r="K41" s="66">
        <v>35320</v>
      </c>
      <c r="L41" s="84" t="s">
        <v>110</v>
      </c>
    </row>
    <row r="42" spans="1:16" ht="15.75" customHeight="1">
      <c r="A42" s="12" t="s">
        <v>123</v>
      </c>
      <c r="B42" s="12" t="s">
        <v>21</v>
      </c>
      <c r="C42" s="12" t="s">
        <v>109</v>
      </c>
      <c r="D42" s="12" t="s">
        <v>27</v>
      </c>
      <c r="E42" s="4">
        <v>7064</v>
      </c>
      <c r="F42" s="26"/>
      <c r="G42" s="34"/>
      <c r="H42" s="29">
        <f t="shared" si="0"/>
        <v>13454.370000000003</v>
      </c>
      <c r="I42" s="54"/>
      <c r="J42" s="51" t="s">
        <v>57</v>
      </c>
      <c r="K42" s="50">
        <f>K41/5</f>
        <v>7064</v>
      </c>
      <c r="L42" s="84"/>
    </row>
    <row r="43" spans="1:16" ht="15.75" customHeight="1">
      <c r="A43" s="12" t="s">
        <v>123</v>
      </c>
      <c r="B43" s="12" t="s">
        <v>25</v>
      </c>
      <c r="C43" s="12"/>
      <c r="D43" s="12"/>
      <c r="E43" s="4"/>
      <c r="F43" s="26"/>
      <c r="G43" s="34">
        <v>6030</v>
      </c>
      <c r="H43" s="29">
        <f t="shared" si="0"/>
        <v>7424.3700000000026</v>
      </c>
      <c r="I43" s="54"/>
      <c r="J43" s="51" t="s">
        <v>60</v>
      </c>
      <c r="K43" s="65">
        <v>5</v>
      </c>
      <c r="L43" s="84"/>
    </row>
    <row r="44" spans="1:16" ht="15.75" customHeight="1" thickBot="1">
      <c r="A44" s="12" t="s">
        <v>127</v>
      </c>
      <c r="B44" s="20" t="s">
        <v>21</v>
      </c>
      <c r="C44" s="12" t="s">
        <v>109</v>
      </c>
      <c r="D44" s="12" t="s">
        <v>29</v>
      </c>
      <c r="E44" s="4">
        <v>7064</v>
      </c>
      <c r="F44" s="26"/>
      <c r="G44" s="34"/>
      <c r="H44" s="29">
        <f t="shared" si="0"/>
        <v>14488.370000000003</v>
      </c>
      <c r="I44" s="54"/>
      <c r="J44" s="60"/>
      <c r="K44" s="61"/>
      <c r="L44" s="84"/>
    </row>
    <row r="45" spans="1:16" ht="15.75" customHeight="1" thickBot="1">
      <c r="A45" s="12" t="s">
        <v>124</v>
      </c>
      <c r="B45" s="20" t="s">
        <v>21</v>
      </c>
      <c r="C45" s="12" t="s">
        <v>109</v>
      </c>
      <c r="D45" s="12" t="s">
        <v>68</v>
      </c>
      <c r="E45" s="4">
        <v>7064</v>
      </c>
      <c r="F45" s="26"/>
      <c r="G45" s="34"/>
      <c r="H45" s="29">
        <f t="shared" si="0"/>
        <v>21552.370000000003</v>
      </c>
      <c r="I45" s="54"/>
      <c r="J45" s="63" t="s">
        <v>55</v>
      </c>
      <c r="K45" s="62">
        <f>K41-(K42*K43)</f>
        <v>0</v>
      </c>
      <c r="L45" s="84"/>
    </row>
    <row r="46" spans="1:16" ht="15" customHeight="1">
      <c r="A46" s="12" t="s">
        <v>124</v>
      </c>
      <c r="B46" s="20" t="s">
        <v>33</v>
      </c>
      <c r="C46" s="12"/>
      <c r="D46" s="12"/>
      <c r="E46" s="26"/>
      <c r="F46" s="26">
        <v>141.28</v>
      </c>
      <c r="G46" s="34"/>
      <c r="H46" s="29">
        <f t="shared" si="0"/>
        <v>21693.65</v>
      </c>
      <c r="I46" s="54"/>
      <c r="J46" s="49"/>
      <c r="K46" s="49"/>
      <c r="L46" s="73" t="s">
        <v>75</v>
      </c>
    </row>
    <row r="47" spans="1:16" ht="15" customHeight="1">
      <c r="A47" s="12" t="s">
        <v>124</v>
      </c>
      <c r="B47" s="20" t="s">
        <v>25</v>
      </c>
      <c r="C47" s="12"/>
      <c r="D47" s="12"/>
      <c r="E47" s="26"/>
      <c r="F47" s="26"/>
      <c r="G47" s="34">
        <v>7736</v>
      </c>
      <c r="H47" s="29">
        <f t="shared" si="0"/>
        <v>13957.650000000001</v>
      </c>
      <c r="I47" s="54"/>
      <c r="J47" s="56" t="s">
        <v>58</v>
      </c>
      <c r="K47" s="59">
        <f>L47*0.4%</f>
        <v>141.28</v>
      </c>
      <c r="L47" s="73">
        <v>35320</v>
      </c>
    </row>
    <row r="48" spans="1:16" ht="15" customHeight="1">
      <c r="A48" s="12" t="s">
        <v>125</v>
      </c>
      <c r="B48" s="20" t="s">
        <v>25</v>
      </c>
      <c r="C48" s="12"/>
      <c r="D48" s="12"/>
      <c r="E48" s="40"/>
      <c r="F48" s="26"/>
      <c r="G48" s="34">
        <v>3584</v>
      </c>
      <c r="H48" s="29">
        <f t="shared" si="0"/>
        <v>10373.650000000001</v>
      </c>
      <c r="I48" s="54"/>
      <c r="J48" s="49"/>
      <c r="K48" s="49"/>
      <c r="L48" s="72"/>
    </row>
    <row r="49" spans="1:13">
      <c r="A49" s="12" t="s">
        <v>125</v>
      </c>
      <c r="B49" s="12" t="s">
        <v>21</v>
      </c>
      <c r="C49" s="12" t="s">
        <v>74</v>
      </c>
      <c r="D49" s="12" t="s">
        <v>24</v>
      </c>
      <c r="E49" s="26">
        <v>3717</v>
      </c>
      <c r="F49" s="26"/>
      <c r="G49" s="34"/>
      <c r="H49" s="29">
        <f t="shared" si="0"/>
        <v>14090.650000000001</v>
      </c>
      <c r="I49" s="54"/>
    </row>
    <row r="50" spans="1:13">
      <c r="A50" s="12" t="s">
        <v>126</v>
      </c>
      <c r="B50" s="12" t="s">
        <v>21</v>
      </c>
      <c r="C50" s="12" t="s">
        <v>22</v>
      </c>
      <c r="D50" s="12" t="s">
        <v>24</v>
      </c>
      <c r="E50" s="4">
        <v>7506.7</v>
      </c>
      <c r="F50" s="26"/>
      <c r="G50" s="34"/>
      <c r="H50" s="29">
        <f t="shared" si="0"/>
        <v>21597.350000000002</v>
      </c>
      <c r="I50" s="54"/>
    </row>
    <row r="51" spans="1:13">
      <c r="A51" s="12" t="s">
        <v>126</v>
      </c>
      <c r="B51" s="20" t="s">
        <v>25</v>
      </c>
      <c r="C51" s="12"/>
      <c r="D51" s="12"/>
      <c r="E51" s="25"/>
      <c r="F51" s="26"/>
      <c r="G51" s="34">
        <v>4098</v>
      </c>
      <c r="H51" s="29">
        <f t="shared" si="0"/>
        <v>17499.350000000002</v>
      </c>
      <c r="I51" s="54"/>
    </row>
    <row r="52" spans="1:13">
      <c r="A52" s="12"/>
      <c r="B52" s="12"/>
      <c r="C52" s="12"/>
      <c r="D52" s="12"/>
      <c r="E52" s="25"/>
      <c r="F52" s="42"/>
      <c r="G52" s="34"/>
      <c r="H52" s="80">
        <f t="shared" si="0"/>
        <v>17499.350000000002</v>
      </c>
      <c r="I52" s="54"/>
      <c r="J52" s="64"/>
      <c r="K52" s="64"/>
      <c r="L52" s="64"/>
      <c r="M52" s="64"/>
    </row>
    <row r="53" spans="1:13">
      <c r="A53" s="12"/>
      <c r="B53" s="20"/>
      <c r="C53" s="12"/>
      <c r="D53" s="12"/>
      <c r="E53" s="26"/>
      <c r="F53" s="26"/>
      <c r="G53" s="34"/>
      <c r="H53" s="29">
        <f t="shared" si="0"/>
        <v>17499.350000000002</v>
      </c>
      <c r="I53" s="54"/>
      <c r="J53" s="64"/>
      <c r="K53" s="64"/>
      <c r="L53" s="64"/>
      <c r="M53" s="64"/>
    </row>
    <row r="54" spans="1:13">
      <c r="A54" s="12"/>
      <c r="B54" s="20"/>
      <c r="C54" s="12"/>
      <c r="D54" s="12"/>
      <c r="E54" s="40"/>
      <c r="F54" s="26"/>
      <c r="G54" s="34"/>
      <c r="H54" s="29">
        <f t="shared" si="0"/>
        <v>17499.350000000002</v>
      </c>
      <c r="I54" s="54"/>
    </row>
    <row r="55" spans="1:13">
      <c r="A55" s="12"/>
      <c r="B55" s="12"/>
      <c r="C55" s="12"/>
      <c r="D55" s="12"/>
      <c r="E55" s="26"/>
      <c r="F55" s="26"/>
      <c r="G55" s="34"/>
      <c r="H55" s="29">
        <f t="shared" si="0"/>
        <v>17499.350000000002</v>
      </c>
      <c r="I55" s="54"/>
    </row>
    <row r="56" spans="1:13">
      <c r="A56" s="12"/>
      <c r="B56" s="12"/>
      <c r="C56" s="12"/>
      <c r="D56" s="12"/>
      <c r="E56" s="4"/>
      <c r="F56" s="26"/>
      <c r="G56" s="34"/>
      <c r="H56" s="29">
        <f t="shared" si="0"/>
        <v>17499.350000000002</v>
      </c>
      <c r="I56" s="54"/>
    </row>
    <row r="57" spans="1:13">
      <c r="A57" s="12"/>
      <c r="B57" s="20"/>
      <c r="C57" s="12"/>
      <c r="D57" s="12"/>
      <c r="E57" s="26"/>
      <c r="F57" s="26"/>
      <c r="G57" s="34"/>
      <c r="H57" s="29">
        <f t="shared" si="0"/>
        <v>17499.350000000002</v>
      </c>
      <c r="I57" s="54"/>
    </row>
    <row r="58" spans="1:13">
      <c r="A58" s="12"/>
      <c r="B58" s="20"/>
      <c r="C58" s="12"/>
      <c r="D58" s="12"/>
      <c r="E58" s="40"/>
      <c r="F58" s="26"/>
      <c r="G58" s="34"/>
      <c r="H58" s="29">
        <f t="shared" si="0"/>
        <v>17499.350000000002</v>
      </c>
      <c r="I58" s="54"/>
    </row>
    <row r="59" spans="1:13">
      <c r="A59" s="12"/>
      <c r="B59" s="12"/>
      <c r="C59" s="12"/>
      <c r="D59" s="12"/>
      <c r="E59" s="26"/>
      <c r="F59" s="26"/>
      <c r="G59" s="34"/>
      <c r="H59" s="29">
        <f t="shared" si="0"/>
        <v>17499.350000000002</v>
      </c>
      <c r="I59" s="54"/>
    </row>
    <row r="60" spans="1:13">
      <c r="A60" s="12"/>
      <c r="B60" s="12"/>
      <c r="C60" s="12"/>
      <c r="D60" s="12"/>
      <c r="E60" s="4"/>
      <c r="F60" s="26"/>
      <c r="G60" s="34"/>
      <c r="H60" s="29">
        <f t="shared" si="0"/>
        <v>17499.350000000002</v>
      </c>
      <c r="I60" s="54"/>
    </row>
    <row r="61" spans="1:13">
      <c r="A61" s="12"/>
      <c r="B61" s="20"/>
      <c r="C61" s="12"/>
      <c r="D61" s="12"/>
      <c r="E61" s="25"/>
      <c r="F61" s="26"/>
      <c r="G61" s="34"/>
      <c r="H61" s="29">
        <f t="shared" si="0"/>
        <v>17499.350000000002</v>
      </c>
      <c r="I61" s="54"/>
    </row>
    <row r="62" spans="1:13">
      <c r="A62" s="12"/>
      <c r="B62" s="20"/>
      <c r="C62" s="12"/>
      <c r="D62" s="12"/>
      <c r="E62" s="25"/>
      <c r="F62" s="26"/>
      <c r="G62" s="34"/>
      <c r="H62" s="29">
        <f t="shared" si="0"/>
        <v>17499.350000000002</v>
      </c>
      <c r="I62" s="54"/>
    </row>
    <row r="63" spans="1:13">
      <c r="A63" s="12"/>
      <c r="B63" s="20"/>
      <c r="C63" s="12"/>
      <c r="D63" s="12"/>
      <c r="E63" s="25"/>
      <c r="F63" s="26"/>
      <c r="G63" s="34"/>
      <c r="H63" s="29">
        <f t="shared" si="0"/>
        <v>17499.350000000002</v>
      </c>
      <c r="I63" s="54"/>
    </row>
    <row r="64" spans="1:13">
      <c r="A64" s="12"/>
      <c r="B64" s="20"/>
      <c r="C64" s="12"/>
      <c r="D64" s="12"/>
      <c r="E64" s="25"/>
      <c r="F64" s="26"/>
      <c r="G64" s="34"/>
      <c r="H64" s="29">
        <f t="shared" si="0"/>
        <v>17499.350000000002</v>
      </c>
      <c r="I64" s="54"/>
    </row>
    <row r="65" spans="1:9">
      <c r="A65" s="12"/>
      <c r="B65" s="20"/>
      <c r="C65" s="12"/>
      <c r="D65" s="12"/>
      <c r="E65" s="25"/>
      <c r="F65" s="26"/>
      <c r="G65" s="34"/>
      <c r="H65" s="29">
        <f t="shared" si="0"/>
        <v>17499.350000000002</v>
      </c>
      <c r="I65" s="54"/>
    </row>
    <row r="66" spans="1:9">
      <c r="A66" s="12"/>
      <c r="B66" s="20"/>
      <c r="C66" s="12"/>
      <c r="D66" s="12"/>
      <c r="E66" s="40"/>
      <c r="F66" s="26"/>
      <c r="G66" s="34"/>
      <c r="H66" s="29">
        <f t="shared" si="0"/>
        <v>17499.350000000002</v>
      </c>
      <c r="I66" s="54"/>
    </row>
    <row r="67" spans="1:9">
      <c r="A67" s="12"/>
      <c r="B67" s="20"/>
      <c r="C67" s="12"/>
      <c r="D67" s="12"/>
      <c r="E67" s="40"/>
      <c r="F67" s="26"/>
      <c r="G67" s="34"/>
      <c r="H67" s="29">
        <f t="shared" si="0"/>
        <v>17499.350000000002</v>
      </c>
      <c r="I67" s="54"/>
    </row>
    <row r="68" spans="1:9">
      <c r="A68" s="12"/>
      <c r="B68" s="20"/>
      <c r="C68" s="12"/>
      <c r="D68" s="12"/>
      <c r="E68" s="40"/>
      <c r="F68" s="26"/>
      <c r="G68" s="34"/>
      <c r="H68" s="29">
        <f t="shared" si="0"/>
        <v>17499.350000000002</v>
      </c>
      <c r="I68" s="54"/>
    </row>
    <row r="69" spans="1:9">
      <c r="A69" s="12"/>
      <c r="B69" s="20"/>
      <c r="C69" s="12"/>
      <c r="D69" s="12"/>
      <c r="E69" s="25"/>
      <c r="F69" s="26"/>
      <c r="G69" s="34"/>
      <c r="H69" s="29">
        <f t="shared" ref="H69:H71" si="1">H68+E69+F69-G69</f>
        <v>17499.350000000002</v>
      </c>
      <c r="I69" s="54"/>
    </row>
    <row r="70" spans="1:9">
      <c r="A70" s="12"/>
      <c r="B70" s="12"/>
      <c r="C70" s="12"/>
      <c r="D70" s="12"/>
      <c r="E70" s="25"/>
      <c r="F70" s="26"/>
      <c r="G70" s="34"/>
      <c r="H70" s="29">
        <f t="shared" si="1"/>
        <v>17499.350000000002</v>
      </c>
      <c r="I70" s="54"/>
    </row>
    <row r="71" spans="1:9" ht="15.75" thickBot="1">
      <c r="A71" s="12"/>
      <c r="B71" s="20"/>
      <c r="C71" s="12"/>
      <c r="D71" s="12"/>
      <c r="E71" s="25"/>
      <c r="F71" s="26"/>
      <c r="G71" s="34"/>
      <c r="H71" s="29">
        <f t="shared" si="1"/>
        <v>17499.350000000002</v>
      </c>
      <c r="I71" s="54"/>
    </row>
    <row r="72" spans="1:9" ht="15.75" thickBot="1">
      <c r="A72" s="5" t="s">
        <v>88</v>
      </c>
      <c r="B72" s="21"/>
      <c r="C72" s="8"/>
      <c r="D72" s="11"/>
      <c r="E72" s="24">
        <f>SUM(E3:E71)</f>
        <v>103529.28</v>
      </c>
      <c r="F72" s="39">
        <f>SUM(F3:F71)</f>
        <v>487.08000000000004</v>
      </c>
      <c r="G72" s="35">
        <f>SUM(G3:G71)</f>
        <v>106818</v>
      </c>
      <c r="H72" s="30"/>
      <c r="I72" s="55"/>
    </row>
    <row r="73" spans="1:9">
      <c r="A73" s="2"/>
      <c r="B73" s="13"/>
      <c r="C73" s="9"/>
      <c r="D73" s="2"/>
      <c r="E73" s="2"/>
      <c r="F73" s="36"/>
      <c r="G73" s="67"/>
      <c r="H73"/>
      <c r="I73"/>
    </row>
    <row r="74" spans="1:9">
      <c r="A74" s="2"/>
      <c r="B74" s="13"/>
      <c r="C74" s="9"/>
      <c r="D74" s="2"/>
      <c r="E74" s="2"/>
      <c r="F74" s="36"/>
      <c r="G74" s="36"/>
      <c r="H74"/>
      <c r="I74"/>
    </row>
    <row r="75" spans="1:9">
      <c r="H75"/>
      <c r="I75"/>
    </row>
    <row r="76" spans="1:9">
      <c r="H76" s="64"/>
      <c r="I76" s="64"/>
    </row>
    <row r="77" spans="1:9">
      <c r="H77" s="64"/>
      <c r="I77" s="64"/>
    </row>
    <row r="78" spans="1:9">
      <c r="H78"/>
      <c r="I78"/>
    </row>
    <row r="79" spans="1:9">
      <c r="H79"/>
      <c r="I79"/>
    </row>
    <row r="80" spans="1:9">
      <c r="H80"/>
      <c r="I80"/>
    </row>
    <row r="81" spans="8:9">
      <c r="H81"/>
      <c r="I81"/>
    </row>
    <row r="82" spans="8:9">
      <c r="H82"/>
      <c r="I82"/>
    </row>
    <row r="83" spans="8:9">
      <c r="H83"/>
      <c r="I83"/>
    </row>
    <row r="84" spans="8:9">
      <c r="H84"/>
      <c r="I84"/>
    </row>
    <row r="85" spans="8:9">
      <c r="H85"/>
      <c r="I85"/>
    </row>
    <row r="86" spans="8:9">
      <c r="H86"/>
      <c r="I86"/>
    </row>
    <row r="87" spans="8:9">
      <c r="H87"/>
      <c r="I87"/>
    </row>
    <row r="88" spans="8:9">
      <c r="H88"/>
      <c r="I88"/>
    </row>
    <row r="89" spans="8:9">
      <c r="H89"/>
      <c r="I89"/>
    </row>
    <row r="90" spans="8:9">
      <c r="H90"/>
      <c r="I90"/>
    </row>
    <row r="91" spans="8:9">
      <c r="H91"/>
      <c r="I91"/>
    </row>
    <row r="92" spans="8:9">
      <c r="H92"/>
      <c r="I92"/>
    </row>
    <row r="93" spans="8:9">
      <c r="H93"/>
      <c r="I93"/>
    </row>
    <row r="94" spans="8:9">
      <c r="H94"/>
      <c r="I94"/>
    </row>
    <row r="95" spans="8:9">
      <c r="H95"/>
      <c r="I95"/>
    </row>
  </sheetData>
  <mergeCells count="7">
    <mergeCell ref="L41:L45"/>
    <mergeCell ref="A1:H1"/>
    <mergeCell ref="J6:J7"/>
    <mergeCell ref="K6:K7"/>
    <mergeCell ref="L11:L15"/>
    <mergeCell ref="L21:L25"/>
    <mergeCell ref="L31:L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 2021-22</vt:lpstr>
      <vt:lpstr>May 2021</vt:lpstr>
      <vt:lpstr>June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pataka</dc:creator>
  <cp:lastModifiedBy>pataka</cp:lastModifiedBy>
  <cp:lastPrinted>2020-12-22T05:58:15Z</cp:lastPrinted>
  <dcterms:created xsi:type="dcterms:W3CDTF">2017-04-20T06:09:09Z</dcterms:created>
  <dcterms:modified xsi:type="dcterms:W3CDTF">2021-07-01T05:07:02Z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8f0010cb-cdb2-4206-8e80-7e970ac00b10</vt:lpwstr>
  </property>
</Properties>
</file>