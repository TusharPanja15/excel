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26" r:id="rId1"/>
    <sheet name="May 2021" sheetId="27" r:id="rId2"/>
    <sheet name="June 2021" sheetId="28" r:id="rId3"/>
    <sheet name="July 2021" sheetId="29" r:id="rId4"/>
    <sheet name="Sheet1" sheetId="30" r:id="rId5"/>
  </sheets>
  <externalReferences>
    <externalReference r:id="rId6"/>
  </externalReferences>
  <definedNames>
    <definedName name="_xlnm._FilterDatabase" localSheetId="0" hidden="1">'April 2021-22'!$A$3:$H$68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82" i="30"/>
  <c r="F182"/>
  <c r="E167"/>
  <c r="E182" s="1"/>
  <c r="H134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G111"/>
  <c r="F111"/>
  <c r="E111"/>
  <c r="H69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G44"/>
  <c r="F44"/>
  <c r="E31"/>
  <c r="E44" s="1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F72" i="28"/>
  <c r="G72"/>
  <c r="K42"/>
  <c r="G72" i="29"/>
  <c r="F72"/>
  <c r="E72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E37" i="28"/>
  <c r="E72" s="1"/>
  <c r="K12"/>
  <c r="K32"/>
  <c r="H167" i="30" l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31"/>
  <c r="H32" s="1"/>
  <c r="H33" s="1"/>
  <c r="H34" s="1"/>
  <c r="H35" s="1"/>
  <c r="H36" s="1"/>
  <c r="H37" s="1"/>
  <c r="H38" s="1"/>
  <c r="H39" s="1"/>
  <c r="H40" s="1"/>
  <c r="H41" s="1"/>
  <c r="H42" s="1"/>
  <c r="H43" s="1"/>
  <c r="K15" i="28"/>
  <c r="K22"/>
  <c r="K25" s="1"/>
  <c r="K35"/>
  <c r="K47"/>
  <c r="K45"/>
  <c r="K37"/>
  <c r="L27"/>
  <c r="K27" s="1"/>
  <c r="K17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4" l="1"/>
  <c r="K12" i="27"/>
  <c r="L47"/>
  <c r="K47" s="1"/>
  <c r="L27"/>
  <c r="K27" s="1"/>
  <c r="L37"/>
  <c r="K37" s="1"/>
  <c r="K17"/>
  <c r="H4" l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K32"/>
  <c r="L38" i="26"/>
  <c r="K41" i="27" l="1"/>
  <c r="K22"/>
  <c r="K35" l="1"/>
  <c r="K42"/>
  <c r="K25"/>
  <c r="K15"/>
  <c r="G72"/>
  <c r="F72"/>
  <c r="E72"/>
  <c r="L28" i="26"/>
  <c r="J37"/>
  <c r="K41" s="1"/>
  <c r="J61"/>
  <c r="K65" s="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8" l="1"/>
  <c r="K6" s="1"/>
  <c r="K3" i="27" l="1"/>
  <c r="K6" s="1"/>
</calcChain>
</file>

<file path=xl/sharedStrings.xml><?xml version="1.0" encoding="utf-8"?>
<sst xmlns="http://schemas.openxmlformats.org/spreadsheetml/2006/main" count="913" uniqueCount="154">
  <si>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</si>
  <si>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</si>
  <si>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</si>
  <si>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</si>
  <si>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</si>
  <si>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</si>
  <si>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</si>
  <si>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</si>
  <si>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</si>
  <si>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</si>
  <si>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</si>
  <si>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</si>
  <si>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</si>
  <si>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</si>
  <si>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</si>
  <si>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</si>
  <si>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</si>
  <si>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</si>
  <si>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</si>
  <si>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</si>
  <si>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</si>
  <si>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</si>
  <si>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</si>
  <si>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</si>
  <si>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</si>
  <si>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</si>
  <si>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</si>
  <si>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</si>
  <si>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</si>
  <si>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</si>
  <si>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</si>
  <si>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</si>
  <si>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</si>
  <si>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</si>
  <si>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</si>
  <si>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</si>
  <si>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</si>
  <si>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</si>
  <si>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</si>
  <si>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</si>
  <si>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</si>
  <si>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</si>
  <si>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</si>
  <si>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</si>
  <si>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</si>
  <si>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</si>
  <si>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</si>
  <si>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</si>
  <si>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</si>
  <si>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</si>
  <si>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</si>
  <si>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</si>
  <si>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</si>
  <si>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</si>
  <si>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</si>
  <si>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</si>
  <si>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</si>
  <si>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</si>
  <si>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</si>
  <si>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</si>
  <si>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</si>
  <si>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</si>
  <si>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</si>
  <si>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</si>
  <si>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</si>
  <si>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</si>
  <si>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</si>
  <si>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</si>
  <si>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</si>
  <si>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</si>
  <si>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</si>
  <si>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</si>
  <si>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</si>
  <si>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</si>
  <si>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</si>
  <si>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</si>
  <si>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</si>
  <si>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</si>
  <si>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</si>
  <si>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</si>
  <si>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</si>
  <si>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</si>
  <si>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</si>
  <si>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</si>
  <si>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</si>
  <si>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</si>
  <si>
    <t>29.05.2021</t>
  </si>
  <si>
    <t>31.05.2021</t>
  </si>
  <si>
    <t>TOTAL FOR THE MONTH OF JUNE 2021</t>
  </si>
  <si>
    <t>TOTAL FOR THE MONTH OF MAY 2021</t>
  </si>
  <si>
    <t>TOTAL FOR THE MONTH OF APRIL 2021</t>
  </si>
  <si>
    <t>01.06.2021</t>
  </si>
  <si>
    <t>15.05.2021</t>
  </si>
  <si>
    <t>17.05.2021</t>
  </si>
  <si>
    <t>18.05.2021</t>
  </si>
  <si>
    <t>BLEND TEA STOCK REGISTER FOR THE MONTH OF JUNE 2021</t>
  </si>
  <si>
    <t>02.06.2021</t>
  </si>
  <si>
    <t>03.06.2021</t>
  </si>
  <si>
    <t>04.06.2021</t>
  </si>
  <si>
    <t>05.06.2021</t>
  </si>
  <si>
    <t>07.06.2021</t>
  </si>
  <si>
    <t>08.06.2021</t>
  </si>
  <si>
    <t>09.06.2021</t>
  </si>
  <si>
    <t>10.06.2021</t>
  </si>
  <si>
    <t>11.06.2021</t>
  </si>
  <si>
    <t>12.06.2021</t>
  </si>
  <si>
    <t>13.06.2021</t>
  </si>
  <si>
    <t>14.06.2021</t>
  </si>
  <si>
    <t>15.06.2021</t>
  </si>
  <si>
    <t>5 Kg-02</t>
  </si>
  <si>
    <t>5Kg-02</t>
  </si>
  <si>
    <t>Gsl-05</t>
  </si>
  <si>
    <t>Gml-02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</si>
  <si>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</si>
  <si>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</si>
  <si>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</si>
  <si>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</si>
  <si>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</si>
  <si>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</si>
  <si>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</si>
  <si>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</si>
  <si>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</si>
  <si>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Gsl-06</t>
  </si>
  <si>
    <t>26.06.2021</t>
  </si>
  <si>
    <t>28.06.2021</t>
  </si>
  <si>
    <t>29.06.2021</t>
  </si>
  <si>
    <t>30.06.2021</t>
  </si>
  <si>
    <t>27.06.2021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</si>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</sst>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165" fontId="1" fillId="0" borderId="5" xfId="0" applyNumberFormat="1" applyFont="1" applyBorder="1" applyAlignment="1"/>
    <xf numFmtId="0" fontId="1" fillId="0" borderId="12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4" xfId="0" applyFont="1" applyBorder="1"/>
    <xf numFmtId="0" fontId="7" fillId="0" borderId="13" xfId="0" applyFont="1" applyBorder="1"/>
    <xf numFmtId="0" fontId="7" fillId="0" borderId="4" xfId="0" applyFont="1" applyBorder="1" applyAlignment="1">
      <alignment horizontal="right"/>
    </xf>
    <xf numFmtId="0" fontId="7" fillId="0" borderId="13" xfId="0" applyFont="1" applyBorder="1" applyAlignment="1">
      <alignment horizontal="right"/>
    </xf>
    <xf numFmtId="2" fontId="7" fillId="0" borderId="4" xfId="0" applyNumberFormat="1" applyFont="1" applyBorder="1" applyAlignment="1"/>
    <xf numFmtId="0" fontId="8" fillId="0" borderId="5" xfId="0" applyFont="1" applyBorder="1" applyAlignment="1">
      <alignment horizontal="center"/>
    </xf>
    <xf numFmtId="164" fontId="7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/>
    </xf>
    <xf numFmtId="2" fontId="7" fillId="0" borderId="6" xfId="0" applyNumberFormat="1" applyFont="1" applyBorder="1" applyAlignment="1">
      <alignment horizontal="right" vertical="center"/>
    </xf>
    <xf numFmtId="2" fontId="7" fillId="0" borderId="5" xfId="0" applyNumberFormat="1" applyFont="1" applyBorder="1" applyAlignment="1"/>
    <xf numFmtId="2" fontId="7" fillId="0" borderId="5" xfId="0" applyNumberFormat="1" applyFont="1" applyBorder="1" applyAlignment="1">
      <alignment horizontal="right"/>
    </xf>
    <xf numFmtId="164" fontId="7" fillId="0" borderId="7" xfId="0" applyNumberFormat="1" applyFont="1" applyBorder="1"/>
    <xf numFmtId="0" fontId="7" fillId="0" borderId="2" xfId="0" applyFont="1" applyBorder="1"/>
    <xf numFmtId="0" fontId="7" fillId="0" borderId="1" xfId="0" applyFont="1" applyBorder="1" applyAlignment="1">
      <alignment horizontal="center"/>
    </xf>
    <xf numFmtId="0" fontId="7" fillId="0" borderId="3" xfId="0" applyFont="1" applyBorder="1" applyAlignment="1">
      <alignment horizontal="left"/>
    </xf>
    <xf numFmtId="0" fontId="7" fillId="0" borderId="1" xfId="0" applyFont="1" applyBorder="1"/>
    <xf numFmtId="2" fontId="7" fillId="0" borderId="3" xfId="0" applyNumberFormat="1" applyFont="1" applyBorder="1"/>
    <xf numFmtId="2" fontId="7" fillId="0" borderId="1" xfId="0" applyNumberFormat="1" applyFont="1" applyBorder="1" applyAlignment="1">
      <alignment horizontal="right"/>
    </xf>
    <xf numFmtId="2" fontId="7" fillId="0" borderId="3" xfId="0" applyNumberFormat="1" applyFont="1" applyBorder="1" applyAlignment="1">
      <alignment horizontal="right"/>
    </xf>
    <xf numFmtId="0" fontId="7" fillId="0" borderId="1" xfId="0" applyFont="1" applyBorder="1" applyAlignment="1"/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</sheetNames>
    <sheetDataSet>
      <sheetData sheetId="0" refreshError="1"/>
      <sheetData sheetId="1">
        <row r="15">
          <cell r="N15">
            <v>43031.329999999994</v>
          </cell>
        </row>
      </sheetData>
      <sheetData sheetId="2">
        <row r="15">
          <cell r="N15">
            <v>65436.87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zoomScaleNormal="100" workbookViewId="0">
      <selection activeCell="P72" sqref="P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109" t="s">
        <v>15</v>
      </c>
      <c r="B1" s="109"/>
      <c r="C1" s="109"/>
      <c r="D1" s="109"/>
      <c r="E1" s="109"/>
      <c r="F1" s="109"/>
      <c r="G1" s="109"/>
      <c r="H1" s="109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14</v>
      </c>
      <c r="B3" s="19" t="s">
        <v>8</v>
      </c>
      <c r="C3" s="22"/>
      <c r="D3" s="3"/>
      <c r="E3" s="23"/>
      <c r="F3" s="37"/>
      <c r="G3" s="33"/>
      <c r="H3" s="28">
        <v>52072.93</v>
      </c>
    </row>
    <row r="4" spans="1:8">
      <c r="A4" s="12" t="s">
        <v>16</v>
      </c>
      <c r="B4" s="20" t="s">
        <v>21</v>
      </c>
      <c r="C4" s="12" t="s">
        <v>22</v>
      </c>
      <c r="D4" s="12" t="s">
        <v>24</v>
      </c>
      <c r="E4" s="25">
        <v>7225.4</v>
      </c>
      <c r="F4" s="38"/>
      <c r="G4" s="34"/>
      <c r="H4" s="29">
        <f>H3+E4+F4-G4</f>
        <v>59298.33</v>
      </c>
    </row>
    <row r="5" spans="1:8">
      <c r="A5" s="12" t="s">
        <v>16</v>
      </c>
      <c r="B5" s="12" t="s">
        <v>25</v>
      </c>
      <c r="C5" s="12"/>
      <c r="D5" s="12"/>
      <c r="E5" s="25"/>
      <c r="F5" s="26"/>
      <c r="G5" s="34">
        <v>2256</v>
      </c>
      <c r="H5" s="29">
        <f t="shared" ref="H5:H67" si="0">H4+E5+F5-G5</f>
        <v>57042.33</v>
      </c>
    </row>
    <row r="6" spans="1:8">
      <c r="A6" s="12" t="s">
        <v>17</v>
      </c>
      <c r="B6" s="20" t="s">
        <v>21</v>
      </c>
      <c r="C6" s="12" t="s">
        <v>22</v>
      </c>
      <c r="D6" s="12" t="s">
        <v>23</v>
      </c>
      <c r="E6" s="25">
        <v>7225.4</v>
      </c>
      <c r="F6" s="26"/>
      <c r="G6" s="34"/>
      <c r="H6" s="29">
        <f t="shared" si="0"/>
        <v>64267.73</v>
      </c>
    </row>
    <row r="7" spans="1:8">
      <c r="A7" s="12" t="s">
        <v>17</v>
      </c>
      <c r="B7" s="12" t="s">
        <v>25</v>
      </c>
      <c r="C7" s="12"/>
      <c r="D7" s="12"/>
      <c r="E7" s="25"/>
      <c r="F7" s="26"/>
      <c r="G7" s="34">
        <v>4824</v>
      </c>
      <c r="H7" s="29">
        <f t="shared" si="0"/>
        <v>59443.73</v>
      </c>
    </row>
    <row r="8" spans="1:8">
      <c r="A8" s="12" t="s">
        <v>18</v>
      </c>
      <c r="B8" s="20" t="s">
        <v>25</v>
      </c>
      <c r="C8" s="12"/>
      <c r="D8" s="12"/>
      <c r="E8" s="25"/>
      <c r="F8" s="26"/>
      <c r="G8" s="34">
        <v>5916</v>
      </c>
      <c r="H8" s="29">
        <f t="shared" si="0"/>
        <v>53527.73</v>
      </c>
    </row>
    <row r="9" spans="1:8">
      <c r="A9" s="12" t="s">
        <v>19</v>
      </c>
      <c r="B9" s="20" t="s">
        <v>25</v>
      </c>
      <c r="C9" s="12"/>
      <c r="D9" s="12"/>
      <c r="E9" s="25"/>
      <c r="F9" s="26"/>
      <c r="G9" s="34">
        <v>7452</v>
      </c>
      <c r="H9" s="29">
        <f t="shared" si="0"/>
        <v>46075.73</v>
      </c>
    </row>
    <row r="10" spans="1:8">
      <c r="A10" s="12" t="s">
        <v>20</v>
      </c>
      <c r="B10" s="12" t="s">
        <v>21</v>
      </c>
      <c r="C10" s="12" t="s">
        <v>22</v>
      </c>
      <c r="D10" s="12" t="s">
        <v>27</v>
      </c>
      <c r="E10" s="25">
        <v>7225.4</v>
      </c>
      <c r="F10" s="26"/>
      <c r="G10" s="34"/>
      <c r="H10" s="29">
        <f t="shared" si="0"/>
        <v>53301.130000000005</v>
      </c>
    </row>
    <row r="11" spans="1:8">
      <c r="A11" s="12" t="s">
        <v>20</v>
      </c>
      <c r="B11" s="12" t="s">
        <v>25</v>
      </c>
      <c r="C11" s="12"/>
      <c r="D11" s="12"/>
      <c r="E11" s="25"/>
      <c r="F11" s="26"/>
      <c r="G11" s="34">
        <v>2376</v>
      </c>
      <c r="H11" s="29">
        <f t="shared" si="0"/>
        <v>50925.130000000005</v>
      </c>
    </row>
    <row r="12" spans="1:8">
      <c r="A12" s="12" t="s">
        <v>28</v>
      </c>
      <c r="B12" s="12" t="s">
        <v>21</v>
      </c>
      <c r="C12" s="12" t="s">
        <v>22</v>
      </c>
      <c r="D12" s="12" t="s">
        <v>29</v>
      </c>
      <c r="E12" s="25">
        <v>7225.4</v>
      </c>
      <c r="F12" s="26"/>
      <c r="G12" s="34"/>
      <c r="H12" s="29">
        <f t="shared" si="0"/>
        <v>58150.530000000006</v>
      </c>
    </row>
    <row r="13" spans="1:8">
      <c r="A13" s="12" t="s">
        <v>28</v>
      </c>
      <c r="B13" s="20" t="s">
        <v>25</v>
      </c>
      <c r="C13" s="12"/>
      <c r="D13" s="12"/>
      <c r="E13" s="25"/>
      <c r="F13" s="26"/>
      <c r="G13" s="34">
        <v>6144</v>
      </c>
      <c r="H13" s="29">
        <f t="shared" si="0"/>
        <v>52006.530000000006</v>
      </c>
    </row>
    <row r="14" spans="1:8">
      <c r="A14" s="12" t="s">
        <v>26</v>
      </c>
      <c r="B14" s="12" t="s">
        <v>21</v>
      </c>
      <c r="C14" s="12" t="s">
        <v>22</v>
      </c>
      <c r="D14" s="12" t="s">
        <v>29</v>
      </c>
      <c r="E14" s="26">
        <v>7226</v>
      </c>
      <c r="F14" s="26"/>
      <c r="G14" s="34"/>
      <c r="H14" s="29">
        <f t="shared" si="0"/>
        <v>59232.530000000006</v>
      </c>
    </row>
    <row r="15" spans="1:8">
      <c r="A15" s="12" t="s">
        <v>26</v>
      </c>
      <c r="B15" s="20" t="s">
        <v>33</v>
      </c>
      <c r="C15" s="12"/>
      <c r="D15" s="12"/>
      <c r="E15" s="25"/>
      <c r="F15" s="26">
        <v>145</v>
      </c>
      <c r="G15" s="34"/>
      <c r="H15" s="29">
        <f t="shared" si="0"/>
        <v>59377.530000000006</v>
      </c>
    </row>
    <row r="16" spans="1:8" ht="15" customHeight="1">
      <c r="A16" s="12" t="s">
        <v>26</v>
      </c>
      <c r="B16" s="20" t="s">
        <v>25</v>
      </c>
      <c r="C16" s="12"/>
      <c r="D16" s="12"/>
      <c r="E16" s="25"/>
      <c r="F16" s="26"/>
      <c r="G16" s="34">
        <v>4596</v>
      </c>
      <c r="H16" s="29">
        <f t="shared" si="0"/>
        <v>54781.530000000006</v>
      </c>
    </row>
    <row r="17" spans="1:14" ht="15" customHeight="1">
      <c r="A17" s="12" t="s">
        <v>30</v>
      </c>
      <c r="B17" s="20" t="s">
        <v>25</v>
      </c>
      <c r="C17" s="12"/>
      <c r="D17" s="12"/>
      <c r="E17" s="25"/>
      <c r="F17" s="26"/>
      <c r="G17" s="34">
        <v>4082</v>
      </c>
      <c r="H17" s="29">
        <f t="shared" si="0"/>
        <v>50699.530000000006</v>
      </c>
    </row>
    <row r="18" spans="1:14" ht="15" customHeight="1">
      <c r="A18" s="12" t="s">
        <v>31</v>
      </c>
      <c r="B18" s="20" t="s">
        <v>25</v>
      </c>
      <c r="C18" s="12"/>
      <c r="D18" s="12"/>
      <c r="E18" s="25"/>
      <c r="F18" s="26"/>
      <c r="G18" s="34">
        <v>5428</v>
      </c>
      <c r="H18" s="29">
        <f t="shared" si="0"/>
        <v>45271.530000000006</v>
      </c>
    </row>
    <row r="19" spans="1:14" ht="15" customHeight="1">
      <c r="A19" s="12" t="s">
        <v>32</v>
      </c>
      <c r="B19" s="20" t="s">
        <v>25</v>
      </c>
      <c r="C19" s="12"/>
      <c r="D19" s="12"/>
      <c r="E19" s="25"/>
      <c r="F19" s="26"/>
      <c r="G19" s="34">
        <v>7954</v>
      </c>
      <c r="H19" s="29">
        <f t="shared" si="0"/>
        <v>37317.530000000006</v>
      </c>
    </row>
    <row r="20" spans="1:14" ht="15" customHeight="1">
      <c r="A20" s="12" t="s">
        <v>34</v>
      </c>
      <c r="B20" s="20" t="s">
        <v>25</v>
      </c>
      <c r="C20" s="12"/>
      <c r="D20" s="12"/>
      <c r="E20" s="25"/>
      <c r="F20" s="26"/>
      <c r="G20" s="34">
        <v>5976</v>
      </c>
      <c r="H20" s="29">
        <f t="shared" si="0"/>
        <v>31341.530000000006</v>
      </c>
    </row>
    <row r="21" spans="1:14" ht="15" customHeight="1">
      <c r="A21" s="12" t="s">
        <v>35</v>
      </c>
      <c r="B21" s="20" t="s">
        <v>25</v>
      </c>
      <c r="C21" s="12"/>
      <c r="D21" s="12"/>
      <c r="E21" s="25"/>
      <c r="F21" s="26"/>
      <c r="G21" s="34">
        <v>3912</v>
      </c>
      <c r="H21" s="29">
        <f t="shared" si="0"/>
        <v>27429.530000000006</v>
      </c>
    </row>
    <row r="22" spans="1:14" ht="15.75" customHeight="1">
      <c r="A22" s="12" t="s">
        <v>36</v>
      </c>
      <c r="B22" s="20" t="s">
        <v>21</v>
      </c>
      <c r="C22" s="12" t="s">
        <v>38</v>
      </c>
      <c r="D22" s="12" t="s">
        <v>24</v>
      </c>
      <c r="E22" s="25">
        <v>7370.8</v>
      </c>
      <c r="F22" s="26"/>
      <c r="G22" s="34"/>
      <c r="H22" s="29">
        <f>H21+E22+F22-G22</f>
        <v>34800.330000000009</v>
      </c>
    </row>
    <row r="23" spans="1:14" ht="15.75" customHeight="1">
      <c r="A23" s="12" t="s">
        <v>36</v>
      </c>
      <c r="B23" s="12" t="s">
        <v>25</v>
      </c>
      <c r="C23" s="12"/>
      <c r="D23" s="12"/>
      <c r="E23" s="40"/>
      <c r="F23" s="26"/>
      <c r="G23" s="34">
        <v>7698</v>
      </c>
      <c r="H23" s="29">
        <f t="shared" si="0"/>
        <v>27102.330000000009</v>
      </c>
    </row>
    <row r="24" spans="1:14">
      <c r="A24" s="12" t="s">
        <v>37</v>
      </c>
      <c r="B24" s="12" t="s">
        <v>21</v>
      </c>
      <c r="C24" s="12" t="s">
        <v>38</v>
      </c>
      <c r="D24" s="12" t="s">
        <v>23</v>
      </c>
      <c r="E24" s="25">
        <v>7370.8</v>
      </c>
      <c r="F24" s="26"/>
      <c r="G24" s="34"/>
      <c r="H24" s="29">
        <f t="shared" si="0"/>
        <v>34473.130000000012</v>
      </c>
    </row>
    <row r="25" spans="1:14">
      <c r="A25" s="12" t="s">
        <v>37</v>
      </c>
      <c r="B25" s="12" t="s">
        <v>25</v>
      </c>
      <c r="C25" s="12"/>
      <c r="D25" s="12"/>
      <c r="E25" s="25"/>
      <c r="F25" s="26"/>
      <c r="G25" s="34">
        <v>7032</v>
      </c>
      <c r="H25" s="29">
        <f t="shared" si="0"/>
        <v>27441.130000000012</v>
      </c>
    </row>
    <row r="26" spans="1:14">
      <c r="A26" s="12" t="s">
        <v>39</v>
      </c>
      <c r="B26" s="12" t="s">
        <v>25</v>
      </c>
      <c r="C26" s="12"/>
      <c r="D26" s="12"/>
      <c r="E26" s="40"/>
      <c r="F26" s="26"/>
      <c r="G26" s="34">
        <v>4464</v>
      </c>
      <c r="H26" s="29">
        <f t="shared" si="0"/>
        <v>22977.130000000012</v>
      </c>
    </row>
    <row r="27" spans="1:14">
      <c r="A27" s="12" t="s">
        <v>40</v>
      </c>
      <c r="B27" s="12" t="s">
        <v>25</v>
      </c>
      <c r="C27" s="12"/>
      <c r="D27" s="12"/>
      <c r="E27" s="25"/>
      <c r="F27" s="26"/>
      <c r="G27" s="34">
        <v>6948</v>
      </c>
      <c r="H27" s="29">
        <f>H26+E27+F27-G27</f>
        <v>16029.130000000012</v>
      </c>
    </row>
    <row r="28" spans="1:14">
      <c r="A28" s="12" t="s">
        <v>41</v>
      </c>
      <c r="B28" s="12" t="s">
        <v>21</v>
      </c>
      <c r="C28" s="12" t="s">
        <v>38</v>
      </c>
      <c r="D28" s="12" t="s">
        <v>27</v>
      </c>
      <c r="E28" s="25">
        <v>7370.8</v>
      </c>
      <c r="F28" s="26"/>
      <c r="G28" s="34"/>
      <c r="H28" s="29">
        <f t="shared" si="0"/>
        <v>23399.930000000011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41</v>
      </c>
      <c r="B29" s="12" t="s">
        <v>25</v>
      </c>
      <c r="C29" s="12"/>
      <c r="D29" s="12"/>
      <c r="E29" s="25"/>
      <c r="F29" s="26"/>
      <c r="G29" s="34">
        <v>5802</v>
      </c>
      <c r="H29" s="29">
        <f t="shared" si="0"/>
        <v>17597.930000000011</v>
      </c>
      <c r="K29" t="s">
        <v>10</v>
      </c>
      <c r="L29" s="1">
        <f>H67+K41+K42+K49+K50+K57+K58+K65+K66</f>
        <v>83745.24000000002</v>
      </c>
      <c r="N29" s="1"/>
    </row>
    <row r="30" spans="1:14" ht="15" customHeight="1">
      <c r="A30" s="12" t="s">
        <v>42</v>
      </c>
      <c r="B30" s="12" t="s">
        <v>25</v>
      </c>
      <c r="C30" s="12"/>
      <c r="D30" s="12"/>
      <c r="E30" s="40"/>
      <c r="F30" s="26"/>
      <c r="G30" s="34">
        <v>6000</v>
      </c>
      <c r="H30" s="29">
        <f t="shared" si="0"/>
        <v>11597.930000000011</v>
      </c>
    </row>
    <row r="31" spans="1:14" ht="15.75" customHeight="1">
      <c r="A31" s="12" t="s">
        <v>43</v>
      </c>
      <c r="B31" s="12" t="s">
        <v>21</v>
      </c>
      <c r="C31" s="12" t="s">
        <v>38</v>
      </c>
      <c r="D31" s="12" t="s">
        <v>44</v>
      </c>
      <c r="E31" s="25">
        <f>7370.8*2</f>
        <v>14741.6</v>
      </c>
      <c r="F31" s="26"/>
      <c r="G31" s="34"/>
      <c r="H31" s="29">
        <f t="shared" si="0"/>
        <v>26339.530000000013</v>
      </c>
      <c r="K31" s="110" t="s">
        <v>11</v>
      </c>
      <c r="L31" s="111">
        <f>L28-L29</f>
        <v>-1400.0000000000146</v>
      </c>
    </row>
    <row r="32" spans="1:14" ht="15.75" customHeight="1">
      <c r="A32" s="12" t="s">
        <v>43</v>
      </c>
      <c r="B32" s="12" t="s">
        <v>33</v>
      </c>
      <c r="C32" s="12"/>
      <c r="D32" s="12"/>
      <c r="E32" s="25"/>
      <c r="F32" s="26">
        <v>147.41</v>
      </c>
      <c r="G32" s="34"/>
      <c r="H32" s="29">
        <f t="shared" si="0"/>
        <v>26486.940000000013</v>
      </c>
      <c r="K32" s="110"/>
      <c r="L32" s="111"/>
    </row>
    <row r="33" spans="1:15" ht="15.75" customHeight="1">
      <c r="A33" s="12" t="s">
        <v>43</v>
      </c>
      <c r="B33" s="12" t="s">
        <v>25</v>
      </c>
      <c r="C33" s="12"/>
      <c r="D33" s="12"/>
      <c r="E33" s="40"/>
      <c r="F33" s="26"/>
      <c r="G33" s="34">
        <v>4008</v>
      </c>
      <c r="H33" s="29">
        <f t="shared" si="0"/>
        <v>22478.940000000013</v>
      </c>
      <c r="K33" s="44"/>
      <c r="L33" s="45"/>
    </row>
    <row r="34" spans="1:15" ht="15.75" customHeight="1">
      <c r="A34" s="12" t="s">
        <v>45</v>
      </c>
      <c r="B34" s="12" t="s">
        <v>21</v>
      </c>
      <c r="C34" s="12" t="s">
        <v>46</v>
      </c>
      <c r="D34" s="12" t="s">
        <v>24</v>
      </c>
      <c r="E34" s="40">
        <v>7130.46</v>
      </c>
      <c r="F34" s="26"/>
      <c r="G34" s="34"/>
      <c r="H34" s="29">
        <f t="shared" si="0"/>
        <v>29609.400000000012</v>
      </c>
      <c r="O34" s="1"/>
    </row>
    <row r="35" spans="1:15" ht="15" customHeight="1">
      <c r="A35" s="12" t="s">
        <v>45</v>
      </c>
      <c r="B35" s="12" t="s">
        <v>25</v>
      </c>
      <c r="C35" s="12"/>
      <c r="D35" s="12"/>
      <c r="E35" s="40"/>
      <c r="F35" s="26"/>
      <c r="G35" s="34">
        <v>3974</v>
      </c>
      <c r="H35" s="29">
        <f t="shared" si="0"/>
        <v>25635.400000000012</v>
      </c>
      <c r="O35" s="1"/>
    </row>
    <row r="36" spans="1:15">
      <c r="A36" s="12" t="s">
        <v>48</v>
      </c>
      <c r="B36" s="12" t="s">
        <v>21</v>
      </c>
      <c r="C36" s="12" t="s">
        <v>46</v>
      </c>
      <c r="D36" s="12" t="s">
        <v>23</v>
      </c>
      <c r="E36" s="40">
        <v>7130.46</v>
      </c>
      <c r="F36" s="26"/>
      <c r="G36" s="34"/>
      <c r="H36" s="29">
        <f t="shared" si="0"/>
        <v>32765.860000000011</v>
      </c>
      <c r="J36" s="10"/>
    </row>
    <row r="37" spans="1:15" ht="23.25">
      <c r="A37" s="12" t="s">
        <v>48</v>
      </c>
      <c r="B37" s="12" t="s">
        <v>21</v>
      </c>
      <c r="C37" s="12" t="s">
        <v>49</v>
      </c>
      <c r="D37" s="12" t="s">
        <v>24</v>
      </c>
      <c r="E37" s="40">
        <v>3042.56</v>
      </c>
      <c r="F37" s="26"/>
      <c r="G37" s="34"/>
      <c r="H37" s="29">
        <f t="shared" si="0"/>
        <v>35808.420000000013</v>
      </c>
      <c r="J37" s="46">
        <f>E41*1</f>
        <v>7239.04</v>
      </c>
      <c r="K37" s="47" t="s">
        <v>53</v>
      </c>
      <c r="L37" s="48">
        <v>147.41</v>
      </c>
    </row>
    <row r="38" spans="1:15">
      <c r="A38" s="12" t="s">
        <v>48</v>
      </c>
      <c r="B38" s="20" t="s">
        <v>25</v>
      </c>
      <c r="C38" s="12"/>
      <c r="D38" s="12"/>
      <c r="E38" s="40"/>
      <c r="F38" s="26"/>
      <c r="G38" s="34">
        <v>2634</v>
      </c>
      <c r="H38" s="29">
        <f t="shared" si="0"/>
        <v>33174.420000000013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50</v>
      </c>
      <c r="B39" s="12" t="s">
        <v>25</v>
      </c>
      <c r="C39" s="12"/>
      <c r="D39" s="12"/>
      <c r="E39" s="40"/>
      <c r="F39" s="26"/>
      <c r="G39" s="34">
        <v>5752</v>
      </c>
      <c r="H39" s="29">
        <f t="shared" si="0"/>
        <v>27422.420000000013</v>
      </c>
      <c r="J39" s="49"/>
      <c r="K39" s="49">
        <f>K38/5</f>
        <v>7239.0399999999991</v>
      </c>
      <c r="L39" s="49"/>
    </row>
    <row r="40" spans="1:15">
      <c r="A40" s="12" t="s">
        <v>51</v>
      </c>
      <c r="B40" s="20" t="s">
        <v>25</v>
      </c>
      <c r="C40" s="12"/>
      <c r="D40" s="12"/>
      <c r="E40" s="25"/>
      <c r="F40" s="26"/>
      <c r="G40" s="34">
        <v>3124</v>
      </c>
      <c r="H40" s="29">
        <f t="shared" si="0"/>
        <v>24298.420000000013</v>
      </c>
      <c r="J40" s="49"/>
      <c r="K40" s="49"/>
      <c r="L40" s="49"/>
    </row>
    <row r="41" spans="1:15">
      <c r="A41" s="12" t="s">
        <v>52</v>
      </c>
      <c r="B41" s="20" t="s">
        <v>21</v>
      </c>
      <c r="C41" s="12" t="s">
        <v>53</v>
      </c>
      <c r="D41" s="12" t="s">
        <v>24</v>
      </c>
      <c r="E41" s="25">
        <v>7239.04</v>
      </c>
      <c r="F41" s="26"/>
      <c r="G41" s="34"/>
      <c r="H41" s="29">
        <f t="shared" si="0"/>
        <v>31537.460000000014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52</v>
      </c>
      <c r="B42" s="20" t="s">
        <v>25</v>
      </c>
      <c r="C42" s="12"/>
      <c r="D42" s="12"/>
      <c r="E42" s="40"/>
      <c r="F42" s="26"/>
      <c r="G42" s="34">
        <v>6806</v>
      </c>
      <c r="H42" s="29">
        <f t="shared" si="0"/>
        <v>24731.460000000014</v>
      </c>
      <c r="J42" s="49" t="s">
        <v>12</v>
      </c>
      <c r="K42" s="48">
        <v>0</v>
      </c>
      <c r="L42" s="49"/>
    </row>
    <row r="43" spans="1:15">
      <c r="A43" s="12" t="s">
        <v>54</v>
      </c>
      <c r="B43" s="12" t="s">
        <v>25</v>
      </c>
      <c r="C43" s="12"/>
      <c r="D43" s="12"/>
      <c r="E43" s="40"/>
      <c r="F43" s="26"/>
      <c r="G43" s="34">
        <v>3504</v>
      </c>
      <c r="H43" s="29">
        <f t="shared" si="0"/>
        <v>21227.460000000014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21227.460000000014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21227.460000000014</v>
      </c>
      <c r="J45" s="48">
        <f>E34*2</f>
        <v>14260.92</v>
      </c>
      <c r="K45" s="47" t="s">
        <v>47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21227.460000000014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21227.460000000014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21227.460000000014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21227.460000000014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21227.460000000014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21227.460000000014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21227.460000000014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21227.460000000014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21227.460000000014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21227.460000000014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21227.460000000014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21227.460000000014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21227.460000000014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21227.460000000014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21227.460000000014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21227.460000000014</v>
      </c>
      <c r="J61" s="48">
        <f>E37*1</f>
        <v>3042.56</v>
      </c>
      <c r="K61" s="47" t="s">
        <v>49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21227.460000000014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21227.460000000014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21227.460000000014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21227.460000000014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21227.460000000014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21227.460000000014</v>
      </c>
    </row>
    <row r="68" spans="1:12" ht="15.75" thickBot="1">
      <c r="A68" s="5" t="s">
        <v>90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/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opLeftCell="A59" zoomScaleNormal="100" workbookViewId="0">
      <selection sqref="A1:H72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09" t="s">
        <v>61</v>
      </c>
      <c r="B1" s="109"/>
      <c r="C1" s="109"/>
      <c r="D1" s="109"/>
      <c r="E1" s="109"/>
      <c r="F1" s="109"/>
      <c r="G1" s="109"/>
      <c r="H1" s="109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62</v>
      </c>
      <c r="B3" s="19" t="s">
        <v>8</v>
      </c>
      <c r="C3" s="22"/>
      <c r="D3" s="3"/>
      <c r="E3" s="2"/>
      <c r="F3" s="71"/>
      <c r="G3" s="67"/>
      <c r="H3" s="30">
        <v>21227.46</v>
      </c>
      <c r="I3" s="54"/>
      <c r="J3" s="74" t="s">
        <v>9</v>
      </c>
      <c r="K3" s="75">
        <f>'[1]May 2021'!$N$15</f>
        <v>43031.329999999994</v>
      </c>
    </row>
    <row r="4" spans="1:12">
      <c r="A4" s="18" t="s">
        <v>62</v>
      </c>
      <c r="B4" s="12" t="s">
        <v>21</v>
      </c>
      <c r="C4" s="12" t="s">
        <v>49</v>
      </c>
      <c r="D4" s="12" t="s">
        <v>23</v>
      </c>
      <c r="E4" s="4">
        <v>3042.56</v>
      </c>
      <c r="F4" s="71"/>
      <c r="G4" s="34"/>
      <c r="H4" s="29">
        <f>H3+E4+F4-G4</f>
        <v>24270.02</v>
      </c>
      <c r="I4" s="54"/>
      <c r="J4" s="76" t="s">
        <v>10</v>
      </c>
      <c r="K4" s="77">
        <f>H71+K15+K35+K25+K45</f>
        <v>44431.330000000009</v>
      </c>
    </row>
    <row r="5" spans="1:12" ht="15.75" thickBot="1">
      <c r="A5" s="12" t="s">
        <v>62</v>
      </c>
      <c r="B5" s="12" t="s">
        <v>25</v>
      </c>
      <c r="C5" s="12"/>
      <c r="D5" s="12"/>
      <c r="E5" s="4"/>
      <c r="F5" s="71"/>
      <c r="G5" s="34">
        <v>2376</v>
      </c>
      <c r="H5" s="29">
        <f t="shared" ref="H5:H68" si="0">H4+E5+F5-G5</f>
        <v>21894.02</v>
      </c>
      <c r="I5" s="54"/>
      <c r="J5" s="78"/>
      <c r="K5" s="79"/>
    </row>
    <row r="6" spans="1:12">
      <c r="A6" s="12" t="s">
        <v>63</v>
      </c>
      <c r="B6" s="20" t="s">
        <v>21</v>
      </c>
      <c r="C6" s="12" t="s">
        <v>46</v>
      </c>
      <c r="D6" s="12" t="s">
        <v>27</v>
      </c>
      <c r="E6" s="4">
        <v>7130.46</v>
      </c>
      <c r="F6" s="26"/>
      <c r="G6" s="34"/>
      <c r="H6" s="29">
        <f t="shared" si="0"/>
        <v>29024.48</v>
      </c>
      <c r="I6" s="54"/>
      <c r="J6" s="113" t="s">
        <v>11</v>
      </c>
      <c r="K6" s="115">
        <f>K3-K4</f>
        <v>-1400.0000000000146</v>
      </c>
    </row>
    <row r="7" spans="1:12" ht="15.75" thickBot="1">
      <c r="A7" s="12" t="s">
        <v>63</v>
      </c>
      <c r="B7" s="20" t="s">
        <v>21</v>
      </c>
      <c r="C7" s="12" t="s">
        <v>53</v>
      </c>
      <c r="D7" s="12" t="s">
        <v>23</v>
      </c>
      <c r="E7" s="26">
        <v>7239.04</v>
      </c>
      <c r="F7" s="26"/>
      <c r="G7" s="34"/>
      <c r="H7" s="29">
        <f t="shared" si="0"/>
        <v>36263.519999999997</v>
      </c>
      <c r="I7" s="54"/>
      <c r="J7" s="114"/>
      <c r="K7" s="116"/>
    </row>
    <row r="8" spans="1:12">
      <c r="A8" s="12" t="s">
        <v>63</v>
      </c>
      <c r="B8" s="20" t="s">
        <v>25</v>
      </c>
      <c r="C8" s="12"/>
      <c r="D8" s="12"/>
      <c r="E8" s="26"/>
      <c r="F8" s="26"/>
      <c r="G8" s="34">
        <v>3096</v>
      </c>
      <c r="H8" s="29">
        <f t="shared" si="0"/>
        <v>33167.519999999997</v>
      </c>
      <c r="I8" s="54"/>
    </row>
    <row r="9" spans="1:12">
      <c r="A9" s="12" t="s">
        <v>64</v>
      </c>
      <c r="B9" s="20" t="s">
        <v>21</v>
      </c>
      <c r="C9" s="12" t="s">
        <v>46</v>
      </c>
      <c r="D9" s="12" t="s">
        <v>29</v>
      </c>
      <c r="E9" s="4">
        <v>7130.46</v>
      </c>
      <c r="F9" s="26"/>
      <c r="G9" s="34"/>
      <c r="H9" s="29">
        <f t="shared" si="0"/>
        <v>40297.979999999996</v>
      </c>
      <c r="I9" s="54"/>
    </row>
    <row r="10" spans="1:12">
      <c r="A10" s="12" t="s">
        <v>64</v>
      </c>
      <c r="B10" s="12" t="s">
        <v>25</v>
      </c>
      <c r="C10" s="12"/>
      <c r="D10" s="12"/>
      <c r="E10" s="26"/>
      <c r="F10" s="26"/>
      <c r="G10" s="34">
        <v>3228</v>
      </c>
      <c r="H10" s="29">
        <f t="shared" si="0"/>
        <v>37069.979999999996</v>
      </c>
      <c r="I10" s="54"/>
    </row>
    <row r="11" spans="1:12" ht="15" customHeight="1">
      <c r="A11" s="12" t="s">
        <v>65</v>
      </c>
      <c r="B11" s="12" t="s">
        <v>21</v>
      </c>
      <c r="C11" s="12" t="s">
        <v>53</v>
      </c>
      <c r="D11" s="12" t="s">
        <v>27</v>
      </c>
      <c r="E11" s="26">
        <v>7239.04</v>
      </c>
      <c r="F11" s="26"/>
      <c r="G11" s="34"/>
      <c r="H11" s="29">
        <f t="shared" si="0"/>
        <v>44309.02</v>
      </c>
      <c r="I11" s="54"/>
      <c r="J11" s="57" t="s">
        <v>56</v>
      </c>
      <c r="K11" s="66">
        <v>35224</v>
      </c>
      <c r="L11" s="112" t="s">
        <v>76</v>
      </c>
    </row>
    <row r="12" spans="1:12" ht="15" customHeight="1">
      <c r="A12" s="12" t="s">
        <v>65</v>
      </c>
      <c r="B12" s="12" t="s">
        <v>25</v>
      </c>
      <c r="C12" s="12"/>
      <c r="D12" s="12"/>
      <c r="E12" s="4"/>
      <c r="F12" s="71"/>
      <c r="G12" s="34">
        <v>3566</v>
      </c>
      <c r="H12" s="29">
        <f t="shared" si="0"/>
        <v>40743.019999999997</v>
      </c>
      <c r="I12" s="54"/>
      <c r="J12" s="51" t="s">
        <v>57</v>
      </c>
      <c r="K12" s="50">
        <f>K11/5</f>
        <v>7044.8</v>
      </c>
      <c r="L12" s="112"/>
    </row>
    <row r="13" spans="1:12" ht="15" customHeight="1">
      <c r="A13" s="12" t="s">
        <v>66</v>
      </c>
      <c r="B13" s="12" t="s">
        <v>21</v>
      </c>
      <c r="C13" s="12" t="s">
        <v>53</v>
      </c>
      <c r="D13" s="12" t="s">
        <v>29</v>
      </c>
      <c r="E13" s="26">
        <v>7239.04</v>
      </c>
      <c r="F13" s="26"/>
      <c r="G13" s="34"/>
      <c r="H13" s="29">
        <f t="shared" si="0"/>
        <v>47982.06</v>
      </c>
      <c r="I13" s="54"/>
      <c r="J13" s="51" t="s">
        <v>60</v>
      </c>
      <c r="K13" s="65">
        <v>4</v>
      </c>
      <c r="L13" s="112"/>
    </row>
    <row r="14" spans="1:12" ht="15.75" customHeight="1" thickBot="1">
      <c r="A14" s="12" t="s">
        <v>66</v>
      </c>
      <c r="B14" s="20" t="s">
        <v>25</v>
      </c>
      <c r="C14" s="12"/>
      <c r="D14" s="12"/>
      <c r="E14" s="26"/>
      <c r="F14" s="26"/>
      <c r="G14" s="34">
        <v>2712</v>
      </c>
      <c r="H14" s="29">
        <f t="shared" si="0"/>
        <v>45270.06</v>
      </c>
      <c r="I14" s="54"/>
      <c r="J14" s="60"/>
      <c r="K14" s="61"/>
      <c r="L14" s="112"/>
    </row>
    <row r="15" spans="1:12" ht="15.75" customHeight="1" thickBot="1">
      <c r="A15" s="12" t="s">
        <v>67</v>
      </c>
      <c r="B15" s="12" t="s">
        <v>21</v>
      </c>
      <c r="C15" s="12" t="s">
        <v>53</v>
      </c>
      <c r="D15" s="12" t="s">
        <v>68</v>
      </c>
      <c r="E15" s="26">
        <v>7239.08</v>
      </c>
      <c r="F15" s="26"/>
      <c r="G15" s="34"/>
      <c r="H15" s="29">
        <f t="shared" si="0"/>
        <v>52509.14</v>
      </c>
      <c r="I15" s="54"/>
      <c r="J15" s="63" t="s">
        <v>55</v>
      </c>
      <c r="K15" s="62">
        <f>K11-(K12*K13)</f>
        <v>7044.7999999999993</v>
      </c>
      <c r="L15" s="112"/>
    </row>
    <row r="16" spans="1:12" ht="15" customHeight="1">
      <c r="A16" s="12" t="s">
        <v>67</v>
      </c>
      <c r="B16" s="12" t="s">
        <v>33</v>
      </c>
      <c r="C16" s="12"/>
      <c r="D16" s="12"/>
      <c r="E16" s="26"/>
      <c r="F16" s="26">
        <v>144.78</v>
      </c>
      <c r="G16" s="34"/>
      <c r="H16" s="29">
        <f t="shared" si="0"/>
        <v>52653.919999999998</v>
      </c>
      <c r="I16" s="54"/>
      <c r="J16" s="49"/>
      <c r="K16" s="49"/>
      <c r="L16" s="73" t="s">
        <v>75</v>
      </c>
    </row>
    <row r="17" spans="1:12" ht="15" customHeight="1">
      <c r="A17" s="12" t="s">
        <v>67</v>
      </c>
      <c r="B17" s="20" t="s">
        <v>25</v>
      </c>
      <c r="C17" s="12"/>
      <c r="D17" s="12"/>
      <c r="E17" s="26"/>
      <c r="F17" s="26"/>
      <c r="G17" s="34">
        <v>3720</v>
      </c>
      <c r="H17" s="29">
        <f t="shared" si="0"/>
        <v>48933.919999999998</v>
      </c>
      <c r="I17" s="54"/>
      <c r="J17" s="56" t="s">
        <v>58</v>
      </c>
      <c r="K17" s="66">
        <f>L17*0.4%</f>
        <v>140.89600000000002</v>
      </c>
      <c r="L17" s="73">
        <v>35224</v>
      </c>
    </row>
    <row r="18" spans="1:12" ht="15" customHeight="1">
      <c r="A18" s="12" t="s">
        <v>69</v>
      </c>
      <c r="B18" s="20" t="s">
        <v>25</v>
      </c>
      <c r="C18" s="12"/>
      <c r="D18" s="12"/>
      <c r="E18" s="26"/>
      <c r="F18" s="26"/>
      <c r="G18" s="34">
        <v>2744</v>
      </c>
      <c r="H18" s="29">
        <f t="shared" si="0"/>
        <v>46189.919999999998</v>
      </c>
      <c r="I18" s="54"/>
      <c r="J18" s="49"/>
      <c r="K18" s="49"/>
      <c r="L18" s="72"/>
    </row>
    <row r="19" spans="1:12" ht="15" customHeight="1">
      <c r="A19" s="12" t="s">
        <v>70</v>
      </c>
      <c r="B19" s="20" t="s">
        <v>25</v>
      </c>
      <c r="C19" s="12"/>
      <c r="D19" s="12"/>
      <c r="E19" s="26"/>
      <c r="F19" s="26"/>
      <c r="G19" s="34">
        <v>4548</v>
      </c>
      <c r="H19" s="29">
        <f t="shared" si="0"/>
        <v>41641.919999999998</v>
      </c>
      <c r="I19" s="54"/>
    </row>
    <row r="20" spans="1:12" ht="15" customHeight="1">
      <c r="A20" s="12" t="s">
        <v>71</v>
      </c>
      <c r="B20" s="20" t="s">
        <v>25</v>
      </c>
      <c r="C20" s="12"/>
      <c r="D20" s="12"/>
      <c r="E20" s="26"/>
      <c r="F20" s="26"/>
      <c r="G20" s="34">
        <v>2688</v>
      </c>
      <c r="H20" s="29">
        <f t="shared" si="0"/>
        <v>38953.919999999998</v>
      </c>
      <c r="I20" s="54"/>
    </row>
    <row r="21" spans="1:12" ht="15" customHeight="1">
      <c r="A21" s="12" t="s">
        <v>72</v>
      </c>
      <c r="B21" s="12" t="s">
        <v>21</v>
      </c>
      <c r="C21" s="12" t="s">
        <v>74</v>
      </c>
      <c r="D21" s="12" t="s">
        <v>24</v>
      </c>
      <c r="E21" s="26">
        <v>3200.1</v>
      </c>
      <c r="F21" s="26"/>
      <c r="G21" s="34"/>
      <c r="H21" s="29">
        <f t="shared" si="0"/>
        <v>42154.02</v>
      </c>
      <c r="I21" s="54"/>
      <c r="J21" s="57" t="s">
        <v>56</v>
      </c>
      <c r="K21" s="66">
        <v>12170.24</v>
      </c>
      <c r="L21" s="112" t="s">
        <v>49</v>
      </c>
    </row>
    <row r="22" spans="1:12" ht="15" customHeight="1">
      <c r="A22" s="12" t="s">
        <v>72</v>
      </c>
      <c r="B22" s="20" t="s">
        <v>25</v>
      </c>
      <c r="C22" s="12"/>
      <c r="D22" s="12"/>
      <c r="E22" s="26"/>
      <c r="F22" s="26"/>
      <c r="G22" s="34">
        <v>1212</v>
      </c>
      <c r="H22" s="29">
        <f t="shared" si="0"/>
        <v>40942.019999999997</v>
      </c>
      <c r="I22" s="54"/>
      <c r="J22" s="51" t="s">
        <v>57</v>
      </c>
      <c r="K22" s="50">
        <f>K21/4</f>
        <v>3042.56</v>
      </c>
      <c r="L22" s="112"/>
    </row>
    <row r="23" spans="1:12" ht="15" customHeight="1">
      <c r="A23" s="12" t="s">
        <v>73</v>
      </c>
      <c r="B23" s="20" t="s">
        <v>25</v>
      </c>
      <c r="C23" s="12"/>
      <c r="D23" s="12"/>
      <c r="E23" s="26"/>
      <c r="F23" s="26"/>
      <c r="G23" s="34">
        <v>3344</v>
      </c>
      <c r="H23" s="29">
        <f t="shared" si="0"/>
        <v>37598.019999999997</v>
      </c>
      <c r="I23" s="54"/>
      <c r="J23" s="51" t="s">
        <v>60</v>
      </c>
      <c r="K23" s="65">
        <v>2</v>
      </c>
      <c r="L23" s="112"/>
    </row>
    <row r="24" spans="1:12" ht="15.75" customHeight="1" thickBot="1">
      <c r="A24" s="12" t="s">
        <v>92</v>
      </c>
      <c r="B24" s="20" t="s">
        <v>25</v>
      </c>
      <c r="C24" s="12"/>
      <c r="D24" s="12"/>
      <c r="E24" s="26"/>
      <c r="F24" s="26"/>
      <c r="G24" s="34">
        <v>7394</v>
      </c>
      <c r="H24" s="29">
        <f t="shared" si="0"/>
        <v>30204.019999999997</v>
      </c>
      <c r="I24" s="54"/>
      <c r="J24" s="60"/>
      <c r="K24" s="61"/>
      <c r="L24" s="112"/>
    </row>
    <row r="25" spans="1:12" ht="15.75" customHeight="1" thickBot="1">
      <c r="A25" s="12" t="s">
        <v>93</v>
      </c>
      <c r="B25" s="12" t="s">
        <v>21</v>
      </c>
      <c r="C25" s="12" t="s">
        <v>76</v>
      </c>
      <c r="D25" s="12" t="s">
        <v>24</v>
      </c>
      <c r="E25" s="4">
        <v>7044.8</v>
      </c>
      <c r="F25" s="26"/>
      <c r="G25" s="34"/>
      <c r="H25" s="29">
        <f t="shared" si="0"/>
        <v>37248.82</v>
      </c>
      <c r="I25" s="54"/>
      <c r="J25" s="63" t="s">
        <v>55</v>
      </c>
      <c r="K25" s="62">
        <f>K21-(K22*K23)</f>
        <v>6085.12</v>
      </c>
      <c r="L25" s="112"/>
    </row>
    <row r="26" spans="1:12" ht="15" customHeight="1">
      <c r="A26" s="12" t="s">
        <v>93</v>
      </c>
      <c r="B26" s="12" t="s">
        <v>21</v>
      </c>
      <c r="C26" s="12" t="s">
        <v>74</v>
      </c>
      <c r="D26" s="12" t="s">
        <v>23</v>
      </c>
      <c r="E26" s="26">
        <v>3200.1</v>
      </c>
      <c r="F26" s="26"/>
      <c r="G26" s="34"/>
      <c r="H26" s="29">
        <f t="shared" si="0"/>
        <v>40448.92</v>
      </c>
      <c r="I26" s="54"/>
      <c r="J26" s="49"/>
      <c r="K26" s="49"/>
      <c r="L26" s="73" t="s">
        <v>75</v>
      </c>
    </row>
    <row r="27" spans="1:12" ht="15" customHeight="1">
      <c r="A27" s="12" t="s">
        <v>93</v>
      </c>
      <c r="B27" s="12" t="s">
        <v>25</v>
      </c>
      <c r="C27" s="12"/>
      <c r="D27" s="12"/>
      <c r="E27" s="26"/>
      <c r="F27" s="26"/>
      <c r="G27" s="34">
        <v>7338</v>
      </c>
      <c r="H27" s="29">
        <f t="shared" si="0"/>
        <v>33110.92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94</v>
      </c>
      <c r="B28" s="12" t="s">
        <v>25</v>
      </c>
      <c r="C28" s="12"/>
      <c r="D28" s="12"/>
      <c r="E28" s="26"/>
      <c r="F28" s="26"/>
      <c r="G28" s="34">
        <v>3624</v>
      </c>
      <c r="H28" s="29">
        <f t="shared" si="0"/>
        <v>29486.92</v>
      </c>
      <c r="I28" s="54"/>
      <c r="J28" s="49"/>
      <c r="K28" s="49"/>
      <c r="L28" s="72"/>
    </row>
    <row r="29" spans="1:12">
      <c r="A29" s="12" t="s">
        <v>94</v>
      </c>
      <c r="B29" s="12" t="s">
        <v>21</v>
      </c>
      <c r="C29" s="12" t="s">
        <v>46</v>
      </c>
      <c r="D29" s="12" t="s">
        <v>68</v>
      </c>
      <c r="E29" s="4">
        <v>7130.5</v>
      </c>
      <c r="F29" s="26"/>
      <c r="G29" s="34"/>
      <c r="H29" s="29">
        <f t="shared" si="0"/>
        <v>36617.42</v>
      </c>
      <c r="I29" s="54"/>
    </row>
    <row r="30" spans="1:12">
      <c r="A30" s="12" t="s">
        <v>94</v>
      </c>
      <c r="B30" s="12" t="s">
        <v>33</v>
      </c>
      <c r="C30" s="12"/>
      <c r="D30" s="12"/>
      <c r="E30" s="26"/>
      <c r="F30" s="26">
        <v>142.61000000000001</v>
      </c>
      <c r="G30" s="34"/>
      <c r="H30" s="29">
        <f t="shared" si="0"/>
        <v>36760.03</v>
      </c>
      <c r="I30" s="54"/>
    </row>
    <row r="31" spans="1:12" ht="15" customHeight="1">
      <c r="A31" s="12" t="s">
        <v>77</v>
      </c>
      <c r="B31" s="12" t="s">
        <v>25</v>
      </c>
      <c r="C31" s="12"/>
      <c r="D31" s="12"/>
      <c r="E31" s="26"/>
      <c r="F31" s="26"/>
      <c r="G31" s="34">
        <v>1704</v>
      </c>
      <c r="H31" s="29">
        <f t="shared" si="0"/>
        <v>35056.03</v>
      </c>
      <c r="I31" s="54"/>
      <c r="J31" s="57" t="s">
        <v>56</v>
      </c>
      <c r="K31" s="58">
        <v>16000.7</v>
      </c>
      <c r="L31" s="112" t="s">
        <v>74</v>
      </c>
    </row>
    <row r="32" spans="1:12" ht="15" customHeight="1">
      <c r="A32" s="12" t="s">
        <v>78</v>
      </c>
      <c r="B32" s="12" t="s">
        <v>25</v>
      </c>
      <c r="C32" s="12"/>
      <c r="D32" s="12"/>
      <c r="E32" s="4"/>
      <c r="F32" s="26"/>
      <c r="G32" s="34">
        <v>6144</v>
      </c>
      <c r="H32" s="29">
        <f t="shared" si="0"/>
        <v>28912.03</v>
      </c>
      <c r="I32" s="54"/>
      <c r="J32" s="51" t="s">
        <v>57</v>
      </c>
      <c r="K32" s="50">
        <f>K31/5</f>
        <v>3200.1400000000003</v>
      </c>
      <c r="L32" s="112"/>
    </row>
    <row r="33" spans="1:16" ht="15" customHeight="1">
      <c r="A33" s="12" t="s">
        <v>79</v>
      </c>
      <c r="B33" s="12" t="s">
        <v>21</v>
      </c>
      <c r="C33" s="12" t="s">
        <v>76</v>
      </c>
      <c r="D33" s="12" t="s">
        <v>23</v>
      </c>
      <c r="E33" s="4">
        <v>7044.8</v>
      </c>
      <c r="F33" s="26"/>
      <c r="G33" s="34"/>
      <c r="H33" s="29">
        <f t="shared" si="0"/>
        <v>35956.83</v>
      </c>
      <c r="I33" s="54"/>
      <c r="J33" s="51" t="s">
        <v>60</v>
      </c>
      <c r="K33" s="65">
        <v>2</v>
      </c>
      <c r="L33" s="112"/>
    </row>
    <row r="34" spans="1:16" ht="15.75" customHeight="1" thickBot="1">
      <c r="A34" s="12" t="s">
        <v>79</v>
      </c>
      <c r="B34" s="12" t="s">
        <v>21</v>
      </c>
      <c r="C34" s="12" t="s">
        <v>76</v>
      </c>
      <c r="D34" s="12" t="s">
        <v>27</v>
      </c>
      <c r="E34" s="4">
        <v>7044.8</v>
      </c>
      <c r="F34" s="26"/>
      <c r="G34" s="34"/>
      <c r="H34" s="29">
        <f t="shared" si="0"/>
        <v>43001.630000000005</v>
      </c>
      <c r="I34" s="54"/>
      <c r="J34" s="60"/>
      <c r="K34" s="61"/>
      <c r="L34" s="112"/>
    </row>
    <row r="35" spans="1:16" ht="15.75" customHeight="1" thickBot="1">
      <c r="A35" s="12" t="s">
        <v>79</v>
      </c>
      <c r="B35" s="12" t="s">
        <v>25</v>
      </c>
      <c r="C35" s="12"/>
      <c r="D35" s="12"/>
      <c r="E35" s="26"/>
      <c r="F35" s="26"/>
      <c r="G35" s="34">
        <v>3480</v>
      </c>
      <c r="H35" s="29">
        <f t="shared" si="0"/>
        <v>39521.630000000005</v>
      </c>
      <c r="I35" s="54"/>
      <c r="J35" s="63" t="s">
        <v>55</v>
      </c>
      <c r="K35" s="62">
        <f>K31-(K32*K33)</f>
        <v>9600.42</v>
      </c>
      <c r="L35" s="112"/>
    </row>
    <row r="36" spans="1:16" ht="15.75" customHeight="1">
      <c r="A36" s="12" t="s">
        <v>80</v>
      </c>
      <c r="B36" s="12" t="s">
        <v>25</v>
      </c>
      <c r="C36" s="12"/>
      <c r="D36" s="12"/>
      <c r="E36" s="4"/>
      <c r="F36" s="26"/>
      <c r="G36" s="34">
        <v>3288</v>
      </c>
      <c r="H36" s="29">
        <f t="shared" si="0"/>
        <v>36233.630000000005</v>
      </c>
      <c r="I36" s="54"/>
      <c r="J36" s="49"/>
      <c r="K36" s="49"/>
      <c r="L36" s="73" t="s">
        <v>75</v>
      </c>
    </row>
    <row r="37" spans="1:16" ht="15.75" customHeight="1">
      <c r="A37" s="12" t="s">
        <v>81</v>
      </c>
      <c r="B37" s="12" t="s">
        <v>21</v>
      </c>
      <c r="C37" s="12" t="s">
        <v>76</v>
      </c>
      <c r="D37" s="12" t="s">
        <v>29</v>
      </c>
      <c r="E37" s="4">
        <v>7044.8</v>
      </c>
      <c r="F37" s="26"/>
      <c r="G37" s="34"/>
      <c r="H37" s="29">
        <f t="shared" si="0"/>
        <v>43278.430000000008</v>
      </c>
      <c r="I37" s="54"/>
      <c r="J37" s="56" t="s">
        <v>58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>
      <c r="A38" s="12" t="s">
        <v>81</v>
      </c>
      <c r="B38" s="12" t="s">
        <v>25</v>
      </c>
      <c r="C38" s="12"/>
      <c r="D38" s="12"/>
      <c r="E38" s="4"/>
      <c r="F38" s="26"/>
      <c r="G38" s="34">
        <v>2628</v>
      </c>
      <c r="H38" s="29">
        <f t="shared" si="0"/>
        <v>40650.430000000008</v>
      </c>
      <c r="I38" s="54"/>
      <c r="J38" s="49"/>
      <c r="K38" s="49"/>
      <c r="L38" s="72"/>
      <c r="P38" s="1"/>
    </row>
    <row r="39" spans="1:16">
      <c r="A39" s="12" t="s">
        <v>82</v>
      </c>
      <c r="B39" s="12" t="s">
        <v>25</v>
      </c>
      <c r="C39" s="12"/>
      <c r="D39" s="12"/>
      <c r="E39" s="4"/>
      <c r="F39" s="26"/>
      <c r="G39" s="34">
        <v>3066</v>
      </c>
      <c r="H39" s="29">
        <f t="shared" si="0"/>
        <v>37584.430000000008</v>
      </c>
      <c r="I39" s="54"/>
      <c r="K39" s="10"/>
    </row>
    <row r="40" spans="1:16">
      <c r="A40" s="12" t="s">
        <v>83</v>
      </c>
      <c r="B40" s="12" t="s">
        <v>25</v>
      </c>
      <c r="C40" s="12"/>
      <c r="D40" s="12"/>
      <c r="E40" s="4"/>
      <c r="F40" s="26"/>
      <c r="G40" s="34">
        <v>5832</v>
      </c>
      <c r="H40" s="29">
        <f t="shared" si="0"/>
        <v>31752.430000000008</v>
      </c>
      <c r="I40" s="54"/>
      <c r="K40" s="10"/>
    </row>
    <row r="41" spans="1:16" ht="15" customHeight="1">
      <c r="A41" s="12" t="s">
        <v>84</v>
      </c>
      <c r="B41" s="20" t="s">
        <v>21</v>
      </c>
      <c r="C41" s="12" t="s">
        <v>49</v>
      </c>
      <c r="D41" s="12" t="s">
        <v>27</v>
      </c>
      <c r="E41" s="4">
        <v>3042.56</v>
      </c>
      <c r="F41" s="26"/>
      <c r="G41" s="34"/>
      <c r="H41" s="29">
        <f t="shared" si="0"/>
        <v>34794.990000000005</v>
      </c>
      <c r="I41" s="54"/>
      <c r="J41" s="57" t="s">
        <v>56</v>
      </c>
      <c r="K41" s="66">
        <f>21391.38</f>
        <v>21391.38</v>
      </c>
      <c r="L41" s="112" t="s">
        <v>59</v>
      </c>
    </row>
    <row r="42" spans="1:16" ht="15.75" customHeight="1">
      <c r="A42" s="12" t="s">
        <v>84</v>
      </c>
      <c r="B42" s="12" t="s">
        <v>25</v>
      </c>
      <c r="C42" s="12"/>
      <c r="D42" s="12"/>
      <c r="E42" s="4"/>
      <c r="F42" s="26"/>
      <c r="G42" s="34">
        <v>1732</v>
      </c>
      <c r="H42" s="29">
        <f t="shared" si="0"/>
        <v>33062.990000000005</v>
      </c>
      <c r="I42" s="54"/>
      <c r="J42" s="51" t="s">
        <v>57</v>
      </c>
      <c r="K42" s="50">
        <f>K41/3</f>
        <v>7130.46</v>
      </c>
      <c r="L42" s="112"/>
    </row>
    <row r="43" spans="1:16" ht="15.75" customHeight="1">
      <c r="A43" s="12" t="s">
        <v>85</v>
      </c>
      <c r="B43" s="12" t="s">
        <v>25</v>
      </c>
      <c r="C43" s="12"/>
      <c r="D43" s="12"/>
      <c r="E43" s="4"/>
      <c r="F43" s="26"/>
      <c r="G43" s="34">
        <v>5612</v>
      </c>
      <c r="H43" s="29">
        <f t="shared" si="0"/>
        <v>27450.990000000005</v>
      </c>
      <c r="I43" s="54"/>
      <c r="J43" s="51" t="s">
        <v>60</v>
      </c>
      <c r="K43" s="65">
        <v>3</v>
      </c>
      <c r="L43" s="112"/>
    </row>
    <row r="44" spans="1:16" ht="15.75" customHeight="1" thickBot="1">
      <c r="A44" s="12" t="s">
        <v>86</v>
      </c>
      <c r="B44" s="20" t="s">
        <v>25</v>
      </c>
      <c r="C44" s="12"/>
      <c r="D44" s="12"/>
      <c r="E44" s="26"/>
      <c r="F44" s="26"/>
      <c r="G44" s="34">
        <v>2016</v>
      </c>
      <c r="H44" s="29">
        <f t="shared" si="0"/>
        <v>25434.990000000005</v>
      </c>
      <c r="I44" s="54"/>
      <c r="J44" s="60"/>
      <c r="K44" s="61"/>
      <c r="L44" s="112"/>
    </row>
    <row r="45" spans="1:16" ht="15.75" customHeight="1" thickBot="1">
      <c r="A45" s="12" t="s">
        <v>87</v>
      </c>
      <c r="B45" s="20" t="s">
        <v>25</v>
      </c>
      <c r="C45" s="12"/>
      <c r="D45" s="12"/>
      <c r="E45" s="26"/>
      <c r="F45" s="26"/>
      <c r="G45" s="34">
        <v>3734</v>
      </c>
      <c r="H45" s="29">
        <f t="shared" si="0"/>
        <v>21700.990000000005</v>
      </c>
      <c r="I45" s="54"/>
      <c r="J45" s="63" t="s">
        <v>55</v>
      </c>
      <c r="K45" s="62">
        <f>K41-(K42*K43)</f>
        <v>0</v>
      </c>
      <c r="L45" s="112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21700.990000000005</v>
      </c>
      <c r="I46" s="54"/>
      <c r="J46" s="49"/>
      <c r="K46" s="49"/>
      <c r="L46" s="73" t="s">
        <v>75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21700.990000000005</v>
      </c>
      <c r="I47" s="54"/>
      <c r="J47" s="56" t="s">
        <v>58</v>
      </c>
      <c r="K47" s="59">
        <f>L47*0.4%</f>
        <v>142.61000000000001</v>
      </c>
      <c r="L47" s="73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21700.990000000005</v>
      </c>
      <c r="I48" s="54"/>
      <c r="J48" s="49"/>
      <c r="K48" s="49"/>
      <c r="L48" s="72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21700.990000000005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21700.990000000005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21700.990000000005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21700.990000000005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21700.990000000005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21700.990000000005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21700.990000000005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21700.990000000005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21700.990000000005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21700.990000000005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21700.990000000005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21700.990000000005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21700.990000000005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21700.990000000005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21700.990000000005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21700.990000000005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21700.990000000005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21700.990000000005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21700.990000000005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21700.990000000005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21700.990000000005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21700.990000000005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21700.990000000005</v>
      </c>
      <c r="I71" s="54"/>
    </row>
    <row r="72" spans="1:9" ht="15.75" thickBot="1">
      <c r="A72" s="5" t="s">
        <v>89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90826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95"/>
  <sheetViews>
    <sheetView tabSelected="1" zoomScaleNormal="100" workbookViewId="0">
      <selection activeCell="B6" sqref="B6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10.2851562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109" t="s">
        <v>95</v>
      </c>
      <c r="B1" s="109"/>
      <c r="C1" s="109"/>
      <c r="D1" s="109"/>
      <c r="E1" s="109"/>
      <c r="F1" s="109"/>
      <c r="G1" s="109"/>
      <c r="H1" s="109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91</v>
      </c>
      <c r="B3" s="19" t="s">
        <v>8</v>
      </c>
      <c r="C3" s="22"/>
      <c r="D3" s="3"/>
      <c r="E3" s="2"/>
      <c r="F3" s="71"/>
      <c r="G3" s="67"/>
      <c r="H3" s="30">
        <v>21700.99</v>
      </c>
      <c r="I3" s="54"/>
      <c r="J3" s="74" t="s">
        <v>9</v>
      </c>
      <c r="K3" s="75">
        <f>'[1]June 2021'!$N$15</f>
        <v>65436.87</v>
      </c>
    </row>
    <row r="4" spans="1:12" ht="15.75" thickBot="1">
      <c r="A4" s="18" t="s">
        <v>91</v>
      </c>
      <c r="B4" s="12" t="s">
        <v>21</v>
      </c>
      <c r="C4" s="12" t="s">
        <v>76</v>
      </c>
      <c r="D4" s="12" t="s">
        <v>68</v>
      </c>
      <c r="E4" s="4">
        <v>7044.84</v>
      </c>
      <c r="F4" s="71"/>
      <c r="G4" s="34"/>
      <c r="H4" s="29">
        <f>H3+E4+F4-G4</f>
        <v>28745.83</v>
      </c>
      <c r="I4" s="54"/>
      <c r="J4" s="76" t="s">
        <v>10</v>
      </c>
      <c r="K4" s="77">
        <f>H71+K15+K35+K25+K45</f>
        <v>66836.87000000001</v>
      </c>
    </row>
    <row r="5" spans="1:12" ht="15.75" thickBot="1">
      <c r="A5" s="18" t="s">
        <v>91</v>
      </c>
      <c r="B5" s="12" t="s">
        <v>33</v>
      </c>
      <c r="C5" s="12"/>
      <c r="D5" s="12"/>
      <c r="E5" s="4"/>
      <c r="F5" s="71">
        <v>140.9</v>
      </c>
      <c r="G5" s="34"/>
      <c r="H5" s="29">
        <f t="shared" ref="H5:H52" si="0">H4+E5+F5-G5</f>
        <v>28886.730000000003</v>
      </c>
      <c r="I5" s="54"/>
      <c r="J5" s="78"/>
      <c r="K5" s="79"/>
    </row>
    <row r="6" spans="1:12" ht="15.75" thickBot="1">
      <c r="A6" s="18" t="s">
        <v>91</v>
      </c>
      <c r="B6" s="12" t="s">
        <v>25</v>
      </c>
      <c r="C6" s="12"/>
      <c r="D6" s="12"/>
      <c r="E6" s="4"/>
      <c r="F6" s="26"/>
      <c r="G6" s="34">
        <v>3876</v>
      </c>
      <c r="H6" s="29">
        <f t="shared" si="0"/>
        <v>25010.730000000003</v>
      </c>
      <c r="I6" s="54"/>
      <c r="J6" s="113" t="s">
        <v>11</v>
      </c>
      <c r="K6" s="115">
        <f>K3-K4</f>
        <v>-1400.0000000000073</v>
      </c>
    </row>
    <row r="7" spans="1:12" ht="15.75" thickBot="1">
      <c r="A7" s="18" t="s">
        <v>96</v>
      </c>
      <c r="B7" s="20" t="s">
        <v>25</v>
      </c>
      <c r="C7" s="12"/>
      <c r="D7" s="12"/>
      <c r="E7" s="26"/>
      <c r="F7" s="26"/>
      <c r="G7" s="34">
        <v>2472</v>
      </c>
      <c r="H7" s="29">
        <f t="shared" si="0"/>
        <v>22538.730000000003</v>
      </c>
      <c r="I7" s="54"/>
      <c r="J7" s="114"/>
      <c r="K7" s="116"/>
    </row>
    <row r="8" spans="1:12" ht="15.75" thickBot="1">
      <c r="A8" s="18" t="s">
        <v>97</v>
      </c>
      <c r="B8" s="20" t="s">
        <v>21</v>
      </c>
      <c r="C8" s="12" t="s">
        <v>74</v>
      </c>
      <c r="D8" s="12" t="s">
        <v>27</v>
      </c>
      <c r="E8" s="26">
        <v>3200.1</v>
      </c>
      <c r="F8" s="26"/>
      <c r="G8" s="34"/>
      <c r="H8" s="29">
        <f t="shared" si="0"/>
        <v>25738.83</v>
      </c>
      <c r="I8" s="54"/>
    </row>
    <row r="9" spans="1:12">
      <c r="A9" s="18" t="s">
        <v>97</v>
      </c>
      <c r="B9" s="20" t="s">
        <v>25</v>
      </c>
      <c r="C9" s="12"/>
      <c r="D9" s="12"/>
      <c r="E9" s="4"/>
      <c r="F9" s="26"/>
      <c r="G9" s="34">
        <v>3360</v>
      </c>
      <c r="H9" s="29">
        <f t="shared" si="0"/>
        <v>22378.83</v>
      </c>
      <c r="I9" s="54"/>
    </row>
    <row r="10" spans="1:12">
      <c r="A10" s="12" t="s">
        <v>98</v>
      </c>
      <c r="B10" s="12" t="s">
        <v>21</v>
      </c>
      <c r="C10" s="12" t="s">
        <v>109</v>
      </c>
      <c r="D10" s="12" t="s">
        <v>24</v>
      </c>
      <c r="E10" s="4">
        <v>7064</v>
      </c>
      <c r="F10" s="26"/>
      <c r="G10" s="34"/>
      <c r="H10" s="29">
        <f t="shared" si="0"/>
        <v>29442.83</v>
      </c>
      <c r="I10" s="54"/>
    </row>
    <row r="11" spans="1:12" ht="15" customHeight="1">
      <c r="A11" s="12" t="s">
        <v>98</v>
      </c>
      <c r="B11" s="12" t="s">
        <v>25</v>
      </c>
      <c r="C11" s="12"/>
      <c r="D11" s="12"/>
      <c r="E11" s="26"/>
      <c r="F11" s="26"/>
      <c r="G11" s="34">
        <v>4410</v>
      </c>
      <c r="H11" s="29">
        <f t="shared" si="0"/>
        <v>25032.83</v>
      </c>
      <c r="I11" s="54"/>
      <c r="J11" s="57" t="s">
        <v>56</v>
      </c>
      <c r="K11" s="66">
        <v>37533.699999999997</v>
      </c>
      <c r="L11" s="112" t="s">
        <v>122</v>
      </c>
    </row>
    <row r="12" spans="1:12" ht="15" customHeight="1">
      <c r="A12" s="12" t="s">
        <v>99</v>
      </c>
      <c r="B12" s="12" t="s">
        <v>21</v>
      </c>
      <c r="C12" s="12" t="s">
        <v>109</v>
      </c>
      <c r="D12" s="12" t="s">
        <v>23</v>
      </c>
      <c r="E12" s="4">
        <v>7064</v>
      </c>
      <c r="F12" s="71"/>
      <c r="G12" s="34"/>
      <c r="H12" s="29">
        <f t="shared" si="0"/>
        <v>32096.83</v>
      </c>
      <c r="I12" s="54"/>
      <c r="J12" s="51" t="s">
        <v>57</v>
      </c>
      <c r="K12" s="50">
        <f>K11/5</f>
        <v>7506.74</v>
      </c>
      <c r="L12" s="112"/>
    </row>
    <row r="13" spans="1:12" ht="15" customHeight="1">
      <c r="A13" s="12" t="s">
        <v>99</v>
      </c>
      <c r="B13" s="12" t="s">
        <v>25</v>
      </c>
      <c r="C13" s="12"/>
      <c r="D13" s="12"/>
      <c r="E13" s="26"/>
      <c r="F13" s="26"/>
      <c r="G13" s="34">
        <v>2424</v>
      </c>
      <c r="H13" s="29">
        <f t="shared" si="0"/>
        <v>29672.83</v>
      </c>
      <c r="I13" s="54"/>
      <c r="J13" s="51" t="s">
        <v>60</v>
      </c>
      <c r="K13" s="65">
        <v>1</v>
      </c>
      <c r="L13" s="112"/>
    </row>
    <row r="14" spans="1:12" ht="15.75" customHeight="1" thickBot="1">
      <c r="A14" s="12" t="s">
        <v>100</v>
      </c>
      <c r="B14" s="20" t="s">
        <v>21</v>
      </c>
      <c r="C14" s="12" t="s">
        <v>74</v>
      </c>
      <c r="D14" s="12" t="s">
        <v>29</v>
      </c>
      <c r="E14" s="26">
        <v>3200.1</v>
      </c>
      <c r="F14" s="26"/>
      <c r="G14" s="34"/>
      <c r="H14" s="29">
        <f t="shared" si="0"/>
        <v>32872.93</v>
      </c>
      <c r="I14" s="54"/>
      <c r="J14" s="60"/>
      <c r="K14" s="61"/>
      <c r="L14" s="112"/>
    </row>
    <row r="15" spans="1:12" ht="15.75" customHeight="1" thickBot="1">
      <c r="A15" s="12" t="s">
        <v>100</v>
      </c>
      <c r="B15" s="20" t="s">
        <v>25</v>
      </c>
      <c r="C15" s="12"/>
      <c r="D15" s="12"/>
      <c r="E15" s="26"/>
      <c r="F15" s="26"/>
      <c r="G15" s="34">
        <v>4236</v>
      </c>
      <c r="H15" s="29">
        <f t="shared" si="0"/>
        <v>28636.93</v>
      </c>
      <c r="I15" s="54"/>
      <c r="J15" s="63" t="s">
        <v>55</v>
      </c>
      <c r="K15" s="62">
        <f>K11-(K12*K13)</f>
        <v>30026.959999999999</v>
      </c>
      <c r="L15" s="112"/>
    </row>
    <row r="16" spans="1:12" ht="15" customHeight="1">
      <c r="A16" s="12" t="s">
        <v>101</v>
      </c>
      <c r="B16" s="12" t="s">
        <v>25</v>
      </c>
      <c r="C16" s="12"/>
      <c r="D16" s="12"/>
      <c r="E16" s="26"/>
      <c r="F16" s="26"/>
      <c r="G16" s="34">
        <v>4080</v>
      </c>
      <c r="H16" s="29">
        <f t="shared" si="0"/>
        <v>24556.93</v>
      </c>
      <c r="I16" s="54"/>
      <c r="J16" s="49"/>
      <c r="K16" s="49"/>
      <c r="L16" s="73" t="s">
        <v>75</v>
      </c>
    </row>
    <row r="17" spans="1:12" ht="15" customHeight="1">
      <c r="A17" s="12" t="s">
        <v>102</v>
      </c>
      <c r="B17" s="20" t="s">
        <v>21</v>
      </c>
      <c r="C17" s="12" t="s">
        <v>111</v>
      </c>
      <c r="D17" s="12" t="s">
        <v>24</v>
      </c>
      <c r="E17" s="4">
        <v>7457.9</v>
      </c>
      <c r="F17" s="26"/>
      <c r="G17" s="34"/>
      <c r="H17" s="29">
        <f t="shared" si="0"/>
        <v>32014.83</v>
      </c>
      <c r="I17" s="54"/>
      <c r="J17" s="56" t="s">
        <v>58</v>
      </c>
      <c r="K17" s="66">
        <f>L17*0.4%</f>
        <v>150.13479999999998</v>
      </c>
      <c r="L17" s="73">
        <v>37533.699999999997</v>
      </c>
    </row>
    <row r="18" spans="1:12" ht="15" customHeight="1">
      <c r="A18" s="12" t="s">
        <v>102</v>
      </c>
      <c r="B18" s="20" t="s">
        <v>25</v>
      </c>
      <c r="C18" s="12"/>
      <c r="D18" s="12"/>
      <c r="E18" s="26"/>
      <c r="F18" s="26"/>
      <c r="G18" s="34">
        <v>2376</v>
      </c>
      <c r="H18" s="29">
        <f t="shared" si="0"/>
        <v>29638.83</v>
      </c>
      <c r="I18" s="54"/>
      <c r="J18" s="49"/>
      <c r="K18" s="49"/>
      <c r="L18" s="72"/>
    </row>
    <row r="19" spans="1:12" ht="15" customHeight="1">
      <c r="A19" s="12" t="s">
        <v>103</v>
      </c>
      <c r="B19" s="20" t="s">
        <v>25</v>
      </c>
      <c r="C19" s="12"/>
      <c r="D19" s="12"/>
      <c r="E19" s="26"/>
      <c r="F19" s="26"/>
      <c r="G19" s="34">
        <v>4272</v>
      </c>
      <c r="H19" s="29">
        <f t="shared" si="0"/>
        <v>25366.83</v>
      </c>
      <c r="I19" s="54"/>
    </row>
    <row r="20" spans="1:12" ht="15" customHeight="1">
      <c r="A20" s="12" t="s">
        <v>104</v>
      </c>
      <c r="B20" s="20" t="s">
        <v>25</v>
      </c>
      <c r="C20" s="12"/>
      <c r="D20" s="12"/>
      <c r="E20" s="26"/>
      <c r="F20" s="26"/>
      <c r="G20" s="34">
        <v>4632</v>
      </c>
      <c r="H20" s="29">
        <f t="shared" si="0"/>
        <v>20734.830000000002</v>
      </c>
      <c r="I20" s="54"/>
    </row>
    <row r="21" spans="1:12" ht="15" customHeight="1">
      <c r="A21" s="12" t="s">
        <v>105</v>
      </c>
      <c r="B21" s="12" t="s">
        <v>21</v>
      </c>
      <c r="C21" s="12" t="s">
        <v>74</v>
      </c>
      <c r="D21" s="12" t="s">
        <v>68</v>
      </c>
      <c r="E21" s="26">
        <v>3200.18</v>
      </c>
      <c r="F21" s="26"/>
      <c r="G21" s="34"/>
      <c r="H21" s="29">
        <f t="shared" si="0"/>
        <v>23935.010000000002</v>
      </c>
      <c r="I21" s="54"/>
      <c r="J21" s="57" t="s">
        <v>56</v>
      </c>
      <c r="K21" s="66">
        <v>6085.12</v>
      </c>
      <c r="L21" s="112" t="s">
        <v>49</v>
      </c>
    </row>
    <row r="22" spans="1:12" ht="15" customHeight="1">
      <c r="A22" s="12" t="s">
        <v>105</v>
      </c>
      <c r="B22" s="20" t="s">
        <v>33</v>
      </c>
      <c r="C22" s="12"/>
      <c r="D22" s="12"/>
      <c r="E22" s="26"/>
      <c r="F22" s="26">
        <v>64</v>
      </c>
      <c r="G22" s="34"/>
      <c r="H22" s="29">
        <f t="shared" si="0"/>
        <v>23999.010000000002</v>
      </c>
      <c r="I22" s="54"/>
      <c r="J22" s="51" t="s">
        <v>57</v>
      </c>
      <c r="K22" s="50">
        <f>K21/2</f>
        <v>3042.56</v>
      </c>
      <c r="L22" s="112"/>
    </row>
    <row r="23" spans="1:12" ht="15" customHeight="1">
      <c r="A23" s="12" t="s">
        <v>105</v>
      </c>
      <c r="B23" s="20" t="s">
        <v>25</v>
      </c>
      <c r="C23" s="12"/>
      <c r="D23" s="12"/>
      <c r="E23" s="26"/>
      <c r="F23" s="26"/>
      <c r="G23" s="34">
        <v>4764</v>
      </c>
      <c r="H23" s="29">
        <f t="shared" si="0"/>
        <v>19235.010000000002</v>
      </c>
      <c r="I23" s="54"/>
      <c r="J23" s="51" t="s">
        <v>60</v>
      </c>
      <c r="K23" s="65">
        <v>1</v>
      </c>
      <c r="L23" s="112"/>
    </row>
    <row r="24" spans="1:12" ht="15.75" customHeight="1" thickBot="1">
      <c r="A24" s="12" t="s">
        <v>106</v>
      </c>
      <c r="B24" s="20" t="s">
        <v>25</v>
      </c>
      <c r="C24" s="12"/>
      <c r="D24" s="12"/>
      <c r="E24" s="26"/>
      <c r="F24" s="26"/>
      <c r="G24" s="34"/>
      <c r="H24" s="29">
        <f t="shared" si="0"/>
        <v>19235.010000000002</v>
      </c>
      <c r="I24" s="54"/>
      <c r="J24" s="60"/>
      <c r="K24" s="61"/>
      <c r="L24" s="112"/>
    </row>
    <row r="25" spans="1:12" ht="15.75" customHeight="1" thickBot="1">
      <c r="A25" s="12" t="s">
        <v>107</v>
      </c>
      <c r="B25" s="20" t="s">
        <v>25</v>
      </c>
      <c r="C25" s="12"/>
      <c r="D25" s="12"/>
      <c r="E25" s="26"/>
      <c r="F25" s="26"/>
      <c r="G25" s="34">
        <v>2658</v>
      </c>
      <c r="H25" s="29">
        <f t="shared" si="0"/>
        <v>16577.010000000002</v>
      </c>
      <c r="I25" s="54"/>
      <c r="J25" s="63" t="s">
        <v>55</v>
      </c>
      <c r="K25" s="62">
        <f>K21-(K22*K23)</f>
        <v>3042.56</v>
      </c>
      <c r="L25" s="112"/>
    </row>
    <row r="26" spans="1:12" ht="15" customHeight="1">
      <c r="A26" s="12" t="s">
        <v>108</v>
      </c>
      <c r="B26" s="12" t="s">
        <v>21</v>
      </c>
      <c r="C26" s="12" t="s">
        <v>111</v>
      </c>
      <c r="D26" s="12" t="s">
        <v>23</v>
      </c>
      <c r="E26" s="4">
        <v>7457.9</v>
      </c>
      <c r="F26" s="26"/>
      <c r="G26" s="34"/>
      <c r="H26" s="29">
        <f t="shared" si="0"/>
        <v>24034.910000000003</v>
      </c>
      <c r="I26" s="54"/>
      <c r="J26" s="49"/>
      <c r="K26" s="49"/>
      <c r="L26" s="73" t="s">
        <v>75</v>
      </c>
    </row>
    <row r="27" spans="1:12" ht="15" customHeight="1">
      <c r="A27" s="12" t="s">
        <v>108</v>
      </c>
      <c r="B27" s="12" t="s">
        <v>25</v>
      </c>
      <c r="C27" s="12"/>
      <c r="D27" s="12"/>
      <c r="E27" s="26"/>
      <c r="F27" s="26"/>
      <c r="G27" s="34">
        <v>1330</v>
      </c>
      <c r="H27" s="29">
        <f t="shared" si="0"/>
        <v>22704.910000000003</v>
      </c>
      <c r="I27" s="54"/>
      <c r="J27" s="56" t="s">
        <v>58</v>
      </c>
      <c r="K27" s="66">
        <f>L27*0.4%</f>
        <v>60.852000000000004</v>
      </c>
      <c r="L27" s="73">
        <f>3042.6*5</f>
        <v>15213</v>
      </c>
    </row>
    <row r="28" spans="1:12" ht="15" customHeight="1">
      <c r="A28" s="12" t="s">
        <v>113</v>
      </c>
      <c r="B28" s="12" t="s">
        <v>25</v>
      </c>
      <c r="C28" s="12"/>
      <c r="D28" s="12"/>
      <c r="E28" s="26"/>
      <c r="F28" s="26"/>
      <c r="G28" s="34">
        <v>5742</v>
      </c>
      <c r="H28" s="29">
        <f t="shared" si="0"/>
        <v>16962.910000000003</v>
      </c>
      <c r="I28" s="54"/>
      <c r="J28" s="49"/>
      <c r="K28" s="49"/>
      <c r="L28" s="72"/>
    </row>
    <row r="29" spans="1:12">
      <c r="A29" s="12" t="s">
        <v>114</v>
      </c>
      <c r="B29" s="12" t="s">
        <v>25</v>
      </c>
      <c r="C29" s="12"/>
      <c r="D29" s="12"/>
      <c r="E29" s="4"/>
      <c r="F29" s="26"/>
      <c r="G29" s="34">
        <v>3648</v>
      </c>
      <c r="H29" s="29">
        <f t="shared" si="0"/>
        <v>13314.910000000003</v>
      </c>
      <c r="I29" s="54"/>
    </row>
    <row r="30" spans="1:12">
      <c r="A30" s="12" t="s">
        <v>115</v>
      </c>
      <c r="B30" s="12" t="s">
        <v>21</v>
      </c>
      <c r="C30" s="12" t="s">
        <v>111</v>
      </c>
      <c r="D30" s="12" t="s">
        <v>27</v>
      </c>
      <c r="E30" s="4">
        <v>7457.9</v>
      </c>
      <c r="F30" s="26"/>
      <c r="G30" s="34"/>
      <c r="H30" s="29">
        <f t="shared" si="0"/>
        <v>20772.810000000005</v>
      </c>
      <c r="I30" s="54"/>
    </row>
    <row r="31" spans="1:12" ht="15" customHeight="1">
      <c r="A31" s="12" t="s">
        <v>115</v>
      </c>
      <c r="B31" s="12" t="s">
        <v>25</v>
      </c>
      <c r="C31" s="12"/>
      <c r="D31" s="12"/>
      <c r="E31" s="26"/>
      <c r="F31" s="26"/>
      <c r="G31" s="34">
        <v>3270</v>
      </c>
      <c r="H31" s="29">
        <f t="shared" si="0"/>
        <v>17502.810000000005</v>
      </c>
      <c r="I31" s="54"/>
      <c r="J31" s="57" t="s">
        <v>56</v>
      </c>
      <c r="K31" s="58">
        <v>18585</v>
      </c>
      <c r="L31" s="112" t="s">
        <v>112</v>
      </c>
    </row>
    <row r="32" spans="1:12" ht="15" customHeight="1">
      <c r="A32" s="12" t="s">
        <v>116</v>
      </c>
      <c r="B32" s="12" t="s">
        <v>25</v>
      </c>
      <c r="C32" s="12"/>
      <c r="D32" s="12"/>
      <c r="E32" s="4"/>
      <c r="F32" s="26"/>
      <c r="G32" s="34">
        <v>2308</v>
      </c>
      <c r="H32" s="29">
        <f t="shared" si="0"/>
        <v>15194.810000000005</v>
      </c>
      <c r="I32" s="54"/>
      <c r="J32" s="51" t="s">
        <v>57</v>
      </c>
      <c r="K32" s="50">
        <f>K31/5</f>
        <v>3717</v>
      </c>
      <c r="L32" s="112"/>
    </row>
    <row r="33" spans="1:16" ht="15" customHeight="1">
      <c r="A33" s="12" t="s">
        <v>117</v>
      </c>
      <c r="B33" s="12" t="s">
        <v>25</v>
      </c>
      <c r="C33" s="12"/>
      <c r="D33" s="12"/>
      <c r="E33" s="4"/>
      <c r="F33" s="26"/>
      <c r="G33" s="34">
        <v>5022</v>
      </c>
      <c r="H33" s="29">
        <f t="shared" si="0"/>
        <v>10172.810000000005</v>
      </c>
      <c r="I33" s="54"/>
      <c r="J33" s="51" t="s">
        <v>60</v>
      </c>
      <c r="K33" s="65">
        <v>1</v>
      </c>
      <c r="L33" s="112"/>
    </row>
    <row r="34" spans="1:16" ht="15.75" customHeight="1" thickBot="1">
      <c r="A34" s="12" t="s">
        <v>118</v>
      </c>
      <c r="B34" s="12" t="s">
        <v>21</v>
      </c>
      <c r="C34" s="12" t="s">
        <v>111</v>
      </c>
      <c r="D34" s="12" t="s">
        <v>29</v>
      </c>
      <c r="E34" s="4">
        <v>7457.9</v>
      </c>
      <c r="F34" s="26"/>
      <c r="G34" s="34"/>
      <c r="H34" s="29">
        <f t="shared" si="0"/>
        <v>17630.710000000006</v>
      </c>
      <c r="I34" s="54"/>
      <c r="J34" s="60"/>
      <c r="K34" s="61"/>
      <c r="L34" s="112"/>
    </row>
    <row r="35" spans="1:16" ht="15.75" customHeight="1" thickBot="1">
      <c r="A35" s="12" t="s">
        <v>118</v>
      </c>
      <c r="B35" s="12" t="s">
        <v>25</v>
      </c>
      <c r="C35" s="12"/>
      <c r="D35" s="12"/>
      <c r="E35" s="26"/>
      <c r="F35" s="26"/>
      <c r="G35" s="34">
        <v>2544</v>
      </c>
      <c r="H35" s="29">
        <f t="shared" si="0"/>
        <v>15086.710000000006</v>
      </c>
      <c r="I35" s="54"/>
      <c r="J35" s="63" t="s">
        <v>55</v>
      </c>
      <c r="K35" s="62">
        <f>K31-(K32*K33)</f>
        <v>14868</v>
      </c>
      <c r="L35" s="112"/>
    </row>
    <row r="36" spans="1:16" ht="15.75" customHeight="1">
      <c r="A36" s="12" t="s">
        <v>119</v>
      </c>
      <c r="B36" s="12" t="s">
        <v>25</v>
      </c>
      <c r="C36" s="12"/>
      <c r="D36" s="12"/>
      <c r="E36" s="4"/>
      <c r="F36" s="26"/>
      <c r="G36" s="34">
        <v>6384</v>
      </c>
      <c r="H36" s="29">
        <f t="shared" si="0"/>
        <v>8702.7100000000064</v>
      </c>
      <c r="I36" s="54"/>
      <c r="J36" s="49"/>
      <c r="K36" s="49"/>
      <c r="L36" s="73" t="s">
        <v>75</v>
      </c>
    </row>
    <row r="37" spans="1:16" ht="15.75" customHeight="1">
      <c r="A37" s="12" t="s">
        <v>120</v>
      </c>
      <c r="B37" s="12" t="s">
        <v>21</v>
      </c>
      <c r="C37" s="12" t="s">
        <v>111</v>
      </c>
      <c r="D37" s="12" t="s">
        <v>68</v>
      </c>
      <c r="E37" s="4">
        <f>7457+9.2</f>
        <v>7466.2</v>
      </c>
      <c r="F37" s="26"/>
      <c r="G37" s="34"/>
      <c r="H37" s="29">
        <f t="shared" si="0"/>
        <v>16168.910000000007</v>
      </c>
      <c r="I37" s="54"/>
      <c r="J37" s="56" t="s">
        <v>58</v>
      </c>
      <c r="K37" s="59">
        <f>L37*0.4%</f>
        <v>74.34</v>
      </c>
      <c r="L37" s="73">
        <v>18585</v>
      </c>
      <c r="P37" s="1"/>
    </row>
    <row r="38" spans="1:16" ht="15" customHeight="1">
      <c r="A38" s="12" t="s">
        <v>120</v>
      </c>
      <c r="B38" s="12" t="s">
        <v>33</v>
      </c>
      <c r="C38" s="12"/>
      <c r="D38" s="12"/>
      <c r="E38" s="4"/>
      <c r="F38" s="26">
        <v>140.9</v>
      </c>
      <c r="G38" s="34"/>
      <c r="H38" s="29">
        <f t="shared" si="0"/>
        <v>16309.810000000007</v>
      </c>
      <c r="I38" s="54"/>
      <c r="J38" s="49"/>
      <c r="K38" s="49"/>
      <c r="L38" s="72"/>
      <c r="P38" s="1"/>
    </row>
    <row r="39" spans="1:16">
      <c r="A39" s="12" t="s">
        <v>120</v>
      </c>
      <c r="B39" s="12" t="s">
        <v>21</v>
      </c>
      <c r="C39" s="12" t="s">
        <v>49</v>
      </c>
      <c r="D39" s="12" t="s">
        <v>29</v>
      </c>
      <c r="E39" s="4">
        <v>3042.56</v>
      </c>
      <c r="F39" s="26"/>
      <c r="G39" s="34"/>
      <c r="H39" s="29">
        <f t="shared" si="0"/>
        <v>19352.370000000006</v>
      </c>
      <c r="I39" s="54"/>
      <c r="K39" s="10"/>
    </row>
    <row r="40" spans="1:16">
      <c r="A40" s="12" t="s">
        <v>120</v>
      </c>
      <c r="B40" s="12" t="s">
        <v>25</v>
      </c>
      <c r="C40" s="12"/>
      <c r="D40" s="12"/>
      <c r="E40" s="4"/>
      <c r="F40" s="26"/>
      <c r="G40" s="34">
        <v>4868</v>
      </c>
      <c r="H40" s="29">
        <f t="shared" si="0"/>
        <v>14484.370000000006</v>
      </c>
      <c r="I40" s="54"/>
      <c r="K40" s="10"/>
    </row>
    <row r="41" spans="1:16" ht="15" customHeight="1">
      <c r="A41" s="12" t="s">
        <v>121</v>
      </c>
      <c r="B41" s="20" t="s">
        <v>25</v>
      </c>
      <c r="C41" s="12"/>
      <c r="D41" s="12"/>
      <c r="E41" s="4"/>
      <c r="F41" s="26"/>
      <c r="G41" s="34">
        <v>6694</v>
      </c>
      <c r="H41" s="29">
        <f t="shared" si="0"/>
        <v>7790.3700000000063</v>
      </c>
      <c r="I41" s="54"/>
      <c r="J41" s="57" t="s">
        <v>56</v>
      </c>
      <c r="K41" s="66">
        <v>35320</v>
      </c>
      <c r="L41" s="112" t="s">
        <v>110</v>
      </c>
    </row>
    <row r="42" spans="1:16" ht="15.75" customHeight="1">
      <c r="A42" s="12" t="s">
        <v>123</v>
      </c>
      <c r="B42" s="12" t="s">
        <v>21</v>
      </c>
      <c r="C42" s="12" t="s">
        <v>109</v>
      </c>
      <c r="D42" s="12" t="s">
        <v>27</v>
      </c>
      <c r="E42" s="4">
        <v>7064</v>
      </c>
      <c r="F42" s="26"/>
      <c r="G42" s="34"/>
      <c r="H42" s="29">
        <f t="shared" si="0"/>
        <v>14854.370000000006</v>
      </c>
      <c r="I42" s="54"/>
      <c r="J42" s="51" t="s">
        <v>57</v>
      </c>
      <c r="K42" s="50">
        <f>K41/5</f>
        <v>7064</v>
      </c>
      <c r="L42" s="112"/>
    </row>
    <row r="43" spans="1:16" ht="15.75" customHeight="1">
      <c r="A43" s="12" t="s">
        <v>123</v>
      </c>
      <c r="B43" s="12" t="s">
        <v>25</v>
      </c>
      <c r="C43" s="12"/>
      <c r="D43" s="12"/>
      <c r="E43" s="4"/>
      <c r="F43" s="26"/>
      <c r="G43" s="34">
        <v>6030</v>
      </c>
      <c r="H43" s="29">
        <f t="shared" si="0"/>
        <v>8824.3700000000063</v>
      </c>
      <c r="I43" s="54"/>
      <c r="J43" s="51" t="s">
        <v>60</v>
      </c>
      <c r="K43" s="65">
        <v>5</v>
      </c>
      <c r="L43" s="112"/>
    </row>
    <row r="44" spans="1:16" ht="15.75" customHeight="1" thickBot="1">
      <c r="A44" s="12" t="s">
        <v>127</v>
      </c>
      <c r="B44" s="20" t="s">
        <v>21</v>
      </c>
      <c r="C44" s="12" t="s">
        <v>109</v>
      </c>
      <c r="D44" s="12" t="s">
        <v>29</v>
      </c>
      <c r="E44" s="4">
        <v>7064</v>
      </c>
      <c r="F44" s="26"/>
      <c r="G44" s="34"/>
      <c r="H44" s="29">
        <f t="shared" si="0"/>
        <v>15888.370000000006</v>
      </c>
      <c r="I44" s="54"/>
      <c r="J44" s="60"/>
      <c r="K44" s="61"/>
      <c r="L44" s="112"/>
    </row>
    <row r="45" spans="1:16" ht="15.75" customHeight="1" thickBot="1">
      <c r="A45" s="12" t="s">
        <v>124</v>
      </c>
      <c r="B45" s="20" t="s">
        <v>21</v>
      </c>
      <c r="C45" s="12" t="s">
        <v>109</v>
      </c>
      <c r="D45" s="12" t="s">
        <v>68</v>
      </c>
      <c r="E45" s="4">
        <v>7064</v>
      </c>
      <c r="F45" s="26"/>
      <c r="G45" s="34"/>
      <c r="H45" s="29">
        <f t="shared" si="0"/>
        <v>22952.370000000006</v>
      </c>
      <c r="I45" s="54"/>
      <c r="J45" s="63" t="s">
        <v>55</v>
      </c>
      <c r="K45" s="62">
        <f>K41-(K42*K43)</f>
        <v>0</v>
      </c>
      <c r="L45" s="112"/>
    </row>
    <row r="46" spans="1:16" ht="15" customHeight="1">
      <c r="A46" s="12" t="s">
        <v>124</v>
      </c>
      <c r="B46" s="20" t="s">
        <v>33</v>
      </c>
      <c r="C46" s="12"/>
      <c r="D46" s="12"/>
      <c r="E46" s="26"/>
      <c r="F46" s="26">
        <v>141.28</v>
      </c>
      <c r="G46" s="34"/>
      <c r="H46" s="29">
        <f t="shared" si="0"/>
        <v>23093.650000000005</v>
      </c>
      <c r="I46" s="54"/>
      <c r="J46" s="49"/>
      <c r="K46" s="49"/>
      <c r="L46" s="73" t="s">
        <v>75</v>
      </c>
    </row>
    <row r="47" spans="1:16" ht="15" customHeight="1">
      <c r="A47" s="12" t="s">
        <v>124</v>
      </c>
      <c r="B47" s="20" t="s">
        <v>25</v>
      </c>
      <c r="C47" s="12"/>
      <c r="D47" s="12"/>
      <c r="E47" s="26"/>
      <c r="F47" s="26"/>
      <c r="G47" s="34">
        <v>7736</v>
      </c>
      <c r="H47" s="29">
        <f t="shared" si="0"/>
        <v>15357.650000000005</v>
      </c>
      <c r="I47" s="54"/>
      <c r="J47" s="56" t="s">
        <v>58</v>
      </c>
      <c r="K47" s="59">
        <f>L47*0.4%</f>
        <v>141.28</v>
      </c>
      <c r="L47" s="73">
        <v>35320</v>
      </c>
    </row>
    <row r="48" spans="1:16" ht="15" customHeight="1">
      <c r="A48" s="12" t="s">
        <v>125</v>
      </c>
      <c r="B48" s="20" t="s">
        <v>25</v>
      </c>
      <c r="C48" s="12"/>
      <c r="D48" s="12"/>
      <c r="E48" s="40"/>
      <c r="F48" s="26"/>
      <c r="G48" s="34">
        <v>3584</v>
      </c>
      <c r="H48" s="29">
        <f t="shared" si="0"/>
        <v>11773.650000000005</v>
      </c>
      <c r="I48" s="54"/>
      <c r="J48" s="49"/>
      <c r="K48" s="49"/>
      <c r="L48" s="72"/>
    </row>
    <row r="49" spans="1:13">
      <c r="A49" s="12" t="s">
        <v>125</v>
      </c>
      <c r="B49" s="12" t="s">
        <v>21</v>
      </c>
      <c r="C49" s="12" t="s">
        <v>74</v>
      </c>
      <c r="D49" s="12" t="s">
        <v>24</v>
      </c>
      <c r="E49" s="26">
        <v>3717</v>
      </c>
      <c r="F49" s="26"/>
      <c r="G49" s="34"/>
      <c r="H49" s="29">
        <f t="shared" si="0"/>
        <v>15490.650000000005</v>
      </c>
      <c r="I49" s="54"/>
    </row>
    <row r="50" spans="1:13">
      <c r="A50" s="12" t="s">
        <v>126</v>
      </c>
      <c r="B50" s="12" t="s">
        <v>21</v>
      </c>
      <c r="C50" s="12" t="s">
        <v>22</v>
      </c>
      <c r="D50" s="12" t="s">
        <v>24</v>
      </c>
      <c r="E50" s="4">
        <v>7506.7</v>
      </c>
      <c r="F50" s="26"/>
      <c r="G50" s="34"/>
      <c r="H50" s="29">
        <f t="shared" si="0"/>
        <v>22997.350000000006</v>
      </c>
      <c r="I50" s="54"/>
    </row>
    <row r="51" spans="1:13">
      <c r="A51" s="12" t="s">
        <v>126</v>
      </c>
      <c r="B51" s="20" t="s">
        <v>25</v>
      </c>
      <c r="C51" s="12"/>
      <c r="D51" s="12"/>
      <c r="E51" s="25"/>
      <c r="F51" s="26"/>
      <c r="G51" s="34">
        <v>4098</v>
      </c>
      <c r="H51" s="29">
        <f t="shared" si="0"/>
        <v>18899.350000000006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80">
        <f t="shared" si="0"/>
        <v>18899.350000000006</v>
      </c>
      <c r="I52" s="54"/>
      <c r="J52" s="64"/>
      <c r="K52" s="64"/>
      <c r="L52" s="64"/>
      <c r="M52" s="64"/>
    </row>
    <row r="53" spans="1:13">
      <c r="A53" s="12"/>
      <c r="B53" s="20"/>
      <c r="C53" s="12"/>
      <c r="D53" s="12"/>
      <c r="E53" s="26"/>
      <c r="F53" s="26"/>
      <c r="G53" s="34"/>
      <c r="H53" s="29">
        <f t="shared" ref="H53:H71" si="1">H52+E53+F53-G53</f>
        <v>18899.350000000006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40"/>
      <c r="F54" s="26"/>
      <c r="G54" s="34"/>
      <c r="H54" s="29">
        <f t="shared" si="1"/>
        <v>18899.350000000006</v>
      </c>
      <c r="I54" s="54"/>
    </row>
    <row r="55" spans="1:13">
      <c r="A55" s="12"/>
      <c r="B55" s="20"/>
      <c r="C55" s="12"/>
      <c r="D55" s="12"/>
      <c r="E55" s="26"/>
      <c r="F55" s="26"/>
      <c r="G55" s="34"/>
      <c r="H55" s="29">
        <f t="shared" si="1"/>
        <v>18899.350000000006</v>
      </c>
      <c r="I55" s="54"/>
    </row>
    <row r="56" spans="1:13">
      <c r="A56" s="12"/>
      <c r="B56" s="12"/>
      <c r="C56" s="12"/>
      <c r="D56" s="12"/>
      <c r="E56" s="4"/>
      <c r="F56" s="26"/>
      <c r="G56" s="34"/>
      <c r="H56" s="29">
        <f t="shared" si="1"/>
        <v>18899.350000000006</v>
      </c>
      <c r="I56" s="54"/>
    </row>
    <row r="57" spans="1:13">
      <c r="A57" s="12"/>
      <c r="B57" s="20"/>
      <c r="C57" s="12"/>
      <c r="D57" s="12"/>
      <c r="E57" s="26"/>
      <c r="F57" s="26"/>
      <c r="G57" s="34"/>
      <c r="H57" s="29">
        <f t="shared" si="1"/>
        <v>18899.350000000006</v>
      </c>
      <c r="I57" s="54"/>
    </row>
    <row r="58" spans="1:13">
      <c r="A58" s="12"/>
      <c r="B58" s="20"/>
      <c r="C58" s="12"/>
      <c r="D58" s="12"/>
      <c r="E58" s="40"/>
      <c r="F58" s="26"/>
      <c r="G58" s="34"/>
      <c r="H58" s="29">
        <f t="shared" si="1"/>
        <v>18899.350000000006</v>
      </c>
      <c r="I58" s="54"/>
    </row>
    <row r="59" spans="1:13">
      <c r="A59" s="12"/>
      <c r="B59" s="12"/>
      <c r="C59" s="12"/>
      <c r="D59" s="12"/>
      <c r="E59" s="26"/>
      <c r="F59" s="26"/>
      <c r="G59" s="34"/>
      <c r="H59" s="29">
        <f t="shared" si="1"/>
        <v>18899.350000000006</v>
      </c>
      <c r="I59" s="54"/>
    </row>
    <row r="60" spans="1:13">
      <c r="A60" s="12"/>
      <c r="B60" s="12"/>
      <c r="C60" s="12"/>
      <c r="D60" s="12"/>
      <c r="E60" s="4"/>
      <c r="F60" s="26"/>
      <c r="G60" s="34"/>
      <c r="H60" s="29">
        <f t="shared" si="1"/>
        <v>18899.350000000006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1"/>
        <v>18899.350000000006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1"/>
        <v>18899.350000000006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1"/>
        <v>18899.350000000006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1"/>
        <v>18899.350000000006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1"/>
        <v>18899.350000000006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1"/>
        <v>18899.350000000006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1"/>
        <v>18899.350000000006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1"/>
        <v>18899.350000000006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si="1"/>
        <v>18899.350000000006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18899.350000000006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18899.350000000006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103529.28</v>
      </c>
      <c r="F72" s="39">
        <f>SUM(F3:F71)</f>
        <v>487.08000000000004</v>
      </c>
      <c r="G72" s="35">
        <f>SUM(G3:G71)</f>
        <v>106818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41:L45"/>
    <mergeCell ref="A1:H1"/>
    <mergeCell ref="J6:J7"/>
    <mergeCell ref="K6:K7"/>
    <mergeCell ref="L11:L15"/>
    <mergeCell ref="L21:L25"/>
    <mergeCell ref="L31:L35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95"/>
  <sheetViews>
    <sheetView zoomScaleNormal="100" workbookViewId="0">
      <selection activeCell="O7" sqref="O7"/>
    </sheetView>
  </sheetViews>
  <sheetFormatPr defaultRowHeight="15"/>
  <cols>
    <col min="1" max="1" width="13.140625" customWidth="1"/>
    <col min="2" max="2" width="20.42578125" style="6" bestFit="1" customWidth="1"/>
    <col min="3" max="3" width="6.7109375" style="7" bestFit="1" customWidth="1"/>
    <col min="4" max="4" width="9.42578125" bestFit="1" customWidth="1"/>
    <col min="5" max="5" width="8" bestFit="1" customWidth="1"/>
    <col min="6" max="6" width="6.7109375" style="27" bestFit="1" customWidth="1"/>
    <col min="7" max="7" width="13.140625" style="27" customWidth="1"/>
    <col min="8" max="8" width="11.28515625" style="32" bestFit="1" customWidth="1"/>
    <col min="9" max="9" width="8.85546875" style="32" customWidth="1"/>
  </cols>
  <sheetData>
    <row r="1" spans="1:9" ht="19.5" thickBot="1">
      <c r="A1" s="109" t="s">
        <v>95</v>
      </c>
      <c r="B1" s="109"/>
      <c r="C1" s="109"/>
      <c r="D1" s="109"/>
      <c r="E1" s="109"/>
      <c r="F1" s="109"/>
      <c r="G1" s="109"/>
      <c r="H1" s="109"/>
      <c r="I1" s="52"/>
    </row>
    <row r="2" spans="1:9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9" ht="15.75" thickBot="1">
      <c r="A3" s="81" t="s">
        <v>128</v>
      </c>
      <c r="B3" s="19" t="s">
        <v>8</v>
      </c>
      <c r="C3" s="22"/>
      <c r="D3" s="3"/>
      <c r="E3" s="2"/>
      <c r="F3" s="71"/>
      <c r="G3" s="67"/>
      <c r="H3" s="30">
        <v>17499.349999999999</v>
      </c>
      <c r="I3" s="54"/>
    </row>
    <row r="4" spans="1:9" ht="15.75" thickBot="1">
      <c r="A4" s="81" t="s">
        <v>128</v>
      </c>
      <c r="B4" s="20" t="s">
        <v>25</v>
      </c>
      <c r="C4" s="12"/>
      <c r="D4" s="12"/>
      <c r="E4" s="4"/>
      <c r="F4" s="71"/>
      <c r="G4" s="34">
        <v>2592</v>
      </c>
      <c r="H4" s="29">
        <f>H3+E4+F4-G4</f>
        <v>14907.349999999999</v>
      </c>
      <c r="I4" s="54"/>
    </row>
    <row r="5" spans="1:9" ht="15.75" thickBot="1">
      <c r="A5" s="81" t="s">
        <v>129</v>
      </c>
      <c r="B5" s="20" t="s">
        <v>25</v>
      </c>
      <c r="C5" s="12"/>
      <c r="D5" s="12"/>
      <c r="E5" s="4"/>
      <c r="F5" s="71"/>
      <c r="G5" s="34">
        <v>3384</v>
      </c>
      <c r="H5" s="29">
        <f t="shared" ref="H5:H68" si="0">H4+E5+F5-G5</f>
        <v>11523.349999999999</v>
      </c>
      <c r="I5" s="54"/>
    </row>
    <row r="6" spans="1:9" ht="15.75" customHeight="1" thickBot="1">
      <c r="A6" s="81" t="s">
        <v>130</v>
      </c>
      <c r="B6" s="20" t="s">
        <v>25</v>
      </c>
      <c r="C6" s="12"/>
      <c r="D6" s="12"/>
      <c r="E6" s="4"/>
      <c r="F6" s="26"/>
      <c r="G6" s="34">
        <v>4128</v>
      </c>
      <c r="H6" s="29">
        <f t="shared" si="0"/>
        <v>7395.3499999999985</v>
      </c>
      <c r="I6" s="54"/>
    </row>
    <row r="7" spans="1:9" ht="15.75" customHeight="1" thickBot="1">
      <c r="A7" s="81" t="s">
        <v>131</v>
      </c>
      <c r="B7" s="20" t="s">
        <v>25</v>
      </c>
      <c r="C7" s="12"/>
      <c r="D7" s="12"/>
      <c r="E7" s="26"/>
      <c r="F7" s="26"/>
      <c r="G7" s="34">
        <v>3318</v>
      </c>
      <c r="H7" s="29">
        <f t="shared" si="0"/>
        <v>4077.3499999999985</v>
      </c>
      <c r="I7" s="54"/>
    </row>
    <row r="8" spans="1:9" ht="15.75" thickBot="1">
      <c r="A8" s="81" t="s">
        <v>132</v>
      </c>
      <c r="B8" s="20" t="s">
        <v>25</v>
      </c>
      <c r="C8" s="12"/>
      <c r="D8" s="12"/>
      <c r="E8" s="26"/>
      <c r="F8" s="26"/>
      <c r="G8" s="34">
        <v>5612</v>
      </c>
      <c r="H8" s="29">
        <f t="shared" si="0"/>
        <v>-1534.6500000000015</v>
      </c>
      <c r="I8" s="54"/>
    </row>
    <row r="9" spans="1:9">
      <c r="A9" s="81" t="s">
        <v>133</v>
      </c>
      <c r="B9" s="20" t="s">
        <v>25</v>
      </c>
      <c r="C9" s="12"/>
      <c r="D9" s="12"/>
      <c r="E9" s="4"/>
      <c r="F9" s="26"/>
      <c r="G9" s="34">
        <v>2400</v>
      </c>
      <c r="H9" s="29">
        <f t="shared" si="0"/>
        <v>-3934.6500000000015</v>
      </c>
      <c r="I9" s="54"/>
    </row>
    <row r="10" spans="1:9">
      <c r="A10" s="12" t="s">
        <v>134</v>
      </c>
      <c r="B10" s="20" t="s">
        <v>25</v>
      </c>
      <c r="C10" s="12"/>
      <c r="D10" s="12"/>
      <c r="E10" s="4"/>
      <c r="F10" s="26"/>
      <c r="G10" s="34">
        <v>5138</v>
      </c>
      <c r="H10" s="29">
        <f t="shared" si="0"/>
        <v>-9072.6500000000015</v>
      </c>
      <c r="I10" s="54"/>
    </row>
    <row r="11" spans="1:9" ht="15" customHeight="1">
      <c r="A11" s="12" t="s">
        <v>135</v>
      </c>
      <c r="B11" s="20" t="s">
        <v>25</v>
      </c>
      <c r="C11" s="12"/>
      <c r="D11" s="12"/>
      <c r="E11" s="26"/>
      <c r="F11" s="26"/>
      <c r="G11" s="34">
        <v>6958</v>
      </c>
      <c r="H11" s="29">
        <f t="shared" si="0"/>
        <v>-16030.650000000001</v>
      </c>
      <c r="I11" s="54"/>
    </row>
    <row r="12" spans="1:9" ht="15" customHeight="1">
      <c r="A12" s="12" t="s">
        <v>136</v>
      </c>
      <c r="B12" s="20" t="s">
        <v>25</v>
      </c>
      <c r="C12" s="12"/>
      <c r="D12" s="12"/>
      <c r="E12" s="4"/>
      <c r="F12" s="71"/>
      <c r="G12" s="34">
        <v>3560</v>
      </c>
      <c r="H12" s="29">
        <f t="shared" si="0"/>
        <v>-19590.650000000001</v>
      </c>
      <c r="I12" s="54"/>
    </row>
    <row r="13" spans="1:9" ht="15" customHeight="1">
      <c r="A13" s="12" t="s">
        <v>137</v>
      </c>
      <c r="B13" s="20" t="s">
        <v>25</v>
      </c>
      <c r="C13" s="12"/>
      <c r="D13" s="12"/>
      <c r="E13" s="26"/>
      <c r="F13" s="26"/>
      <c r="G13" s="34">
        <v>6562</v>
      </c>
      <c r="H13" s="29">
        <f t="shared" si="0"/>
        <v>-26152.65</v>
      </c>
      <c r="I13" s="54"/>
    </row>
    <row r="14" spans="1:9" ht="15.75" customHeight="1">
      <c r="A14" s="12" t="s">
        <v>138</v>
      </c>
      <c r="B14" s="20" t="s">
        <v>25</v>
      </c>
      <c r="C14" s="12"/>
      <c r="D14" s="12"/>
      <c r="E14" s="26"/>
      <c r="F14" s="26"/>
      <c r="G14" s="34">
        <v>3800</v>
      </c>
      <c r="H14" s="29">
        <f t="shared" si="0"/>
        <v>-29952.65</v>
      </c>
      <c r="I14" s="54"/>
    </row>
    <row r="15" spans="1:9" ht="15.75" customHeight="1">
      <c r="A15" s="12" t="s">
        <v>139</v>
      </c>
      <c r="B15" s="20" t="s">
        <v>25</v>
      </c>
      <c r="C15" s="12"/>
      <c r="D15" s="12"/>
      <c r="E15" s="26"/>
      <c r="F15" s="26"/>
      <c r="G15" s="34">
        <v>5400</v>
      </c>
      <c r="H15" s="29">
        <f t="shared" si="0"/>
        <v>-35352.65</v>
      </c>
      <c r="I15" s="54"/>
    </row>
    <row r="16" spans="1:9" ht="15" customHeight="1">
      <c r="A16" s="12" t="s">
        <v>140</v>
      </c>
      <c r="B16" s="20" t="s">
        <v>25</v>
      </c>
      <c r="C16" s="12"/>
      <c r="D16" s="12"/>
      <c r="E16" s="26"/>
      <c r="F16" s="26"/>
      <c r="G16" s="34">
        <v>7850</v>
      </c>
      <c r="H16" s="29">
        <f t="shared" si="0"/>
        <v>-43202.65</v>
      </c>
      <c r="I16" s="54"/>
    </row>
    <row r="17" spans="1:9" ht="15" customHeight="1">
      <c r="A17" s="12" t="s">
        <v>141</v>
      </c>
      <c r="B17" s="20" t="s">
        <v>25</v>
      </c>
      <c r="C17" s="12"/>
      <c r="D17" s="12"/>
      <c r="E17" s="4"/>
      <c r="F17" s="26"/>
      <c r="G17" s="34">
        <v>5922</v>
      </c>
      <c r="H17" s="29">
        <f t="shared" si="0"/>
        <v>-49124.65</v>
      </c>
      <c r="I17" s="54"/>
    </row>
    <row r="18" spans="1:9" ht="15" customHeight="1">
      <c r="A18" s="12" t="s">
        <v>142</v>
      </c>
      <c r="B18" s="20" t="s">
        <v>25</v>
      </c>
      <c r="C18" s="12"/>
      <c r="D18" s="12"/>
      <c r="E18" s="26"/>
      <c r="F18" s="26"/>
      <c r="G18" s="34">
        <v>1764</v>
      </c>
      <c r="H18" s="29">
        <f t="shared" si="0"/>
        <v>-50888.65</v>
      </c>
      <c r="I18" s="54"/>
    </row>
    <row r="19" spans="1:9" ht="15" customHeight="1">
      <c r="A19" s="12" t="s">
        <v>143</v>
      </c>
      <c r="B19" s="20" t="s">
        <v>25</v>
      </c>
      <c r="C19" s="12"/>
      <c r="D19" s="12"/>
      <c r="E19" s="26"/>
      <c r="F19" s="26"/>
      <c r="G19" s="34">
        <v>4460</v>
      </c>
      <c r="H19" s="29">
        <f t="shared" si="0"/>
        <v>-55348.65</v>
      </c>
      <c r="I19" s="54"/>
    </row>
    <row r="20" spans="1:9" ht="15" customHeight="1">
      <c r="A20" s="12" t="s">
        <v>144</v>
      </c>
      <c r="B20" s="20" t="s">
        <v>25</v>
      </c>
      <c r="C20" s="12"/>
      <c r="D20" s="12"/>
      <c r="E20" s="26"/>
      <c r="F20" s="26"/>
      <c r="G20" s="34">
        <v>9278</v>
      </c>
      <c r="H20" s="29">
        <f t="shared" si="0"/>
        <v>-64626.65</v>
      </c>
      <c r="I20" s="54"/>
    </row>
    <row r="21" spans="1:9" ht="15" customHeight="1">
      <c r="A21" s="12" t="s">
        <v>145</v>
      </c>
      <c r="B21" s="20" t="s">
        <v>25</v>
      </c>
      <c r="C21" s="12"/>
      <c r="D21" s="12"/>
      <c r="E21" s="26"/>
      <c r="F21" s="26"/>
      <c r="G21" s="34">
        <v>7062</v>
      </c>
      <c r="H21" s="29">
        <f t="shared" si="0"/>
        <v>-71688.649999999994</v>
      </c>
      <c r="I21" s="54"/>
    </row>
    <row r="22" spans="1:9" ht="15" customHeight="1">
      <c r="A22" s="12" t="s">
        <v>146</v>
      </c>
      <c r="B22" s="20" t="s">
        <v>25</v>
      </c>
      <c r="C22" s="12"/>
      <c r="D22" s="12"/>
      <c r="E22" s="26"/>
      <c r="F22" s="26"/>
      <c r="G22" s="34">
        <v>3406</v>
      </c>
      <c r="H22" s="29">
        <f t="shared" si="0"/>
        <v>-75094.649999999994</v>
      </c>
      <c r="I22" s="54"/>
    </row>
    <row r="23" spans="1:9" ht="15" customHeight="1">
      <c r="A23" s="12" t="s">
        <v>147</v>
      </c>
      <c r="B23" s="20" t="s">
        <v>25</v>
      </c>
      <c r="C23" s="12"/>
      <c r="D23" s="12"/>
      <c r="E23" s="26"/>
      <c r="F23" s="26"/>
      <c r="G23" s="34">
        <v>3848</v>
      </c>
      <c r="H23" s="29">
        <f t="shared" si="0"/>
        <v>-78942.649999999994</v>
      </c>
      <c r="I23" s="54"/>
    </row>
    <row r="24" spans="1:9" ht="15.75" customHeight="1">
      <c r="A24" s="12" t="s">
        <v>148</v>
      </c>
      <c r="B24" s="20" t="s">
        <v>25</v>
      </c>
      <c r="C24" s="12"/>
      <c r="D24" s="12"/>
      <c r="E24" s="26"/>
      <c r="F24" s="26"/>
      <c r="G24" s="34">
        <v>4320</v>
      </c>
      <c r="H24" s="29">
        <f t="shared" si="0"/>
        <v>-83262.649999999994</v>
      </c>
      <c r="I24" s="54"/>
    </row>
    <row r="25" spans="1:9" ht="15.75" customHeight="1">
      <c r="A25" s="12" t="s">
        <v>149</v>
      </c>
      <c r="B25" s="20" t="s">
        <v>25</v>
      </c>
      <c r="C25" s="12"/>
      <c r="D25" s="12"/>
      <c r="E25" s="26"/>
      <c r="F25" s="26"/>
      <c r="G25" s="34">
        <v>5982</v>
      </c>
      <c r="H25" s="29">
        <f t="shared" si="0"/>
        <v>-89244.65</v>
      </c>
      <c r="I25" s="54"/>
    </row>
    <row r="26" spans="1:9" ht="15" customHeight="1">
      <c r="A26" s="12" t="s">
        <v>150</v>
      </c>
      <c r="B26" s="20" t="s">
        <v>25</v>
      </c>
      <c r="C26" s="12"/>
      <c r="D26" s="12"/>
      <c r="E26" s="4"/>
      <c r="F26" s="26"/>
      <c r="G26" s="34">
        <v>4416</v>
      </c>
      <c r="H26" s="29">
        <f t="shared" si="0"/>
        <v>-93660.65</v>
      </c>
      <c r="I26" s="54"/>
    </row>
    <row r="27" spans="1:9" ht="15" customHeight="1">
      <c r="A27" s="12" t="s">
        <v>151</v>
      </c>
      <c r="B27" s="20" t="s">
        <v>25</v>
      </c>
      <c r="C27" s="12"/>
      <c r="D27" s="12"/>
      <c r="E27" s="26"/>
      <c r="F27" s="26"/>
      <c r="G27" s="34">
        <v>5232</v>
      </c>
      <c r="H27" s="29">
        <f t="shared" si="0"/>
        <v>-98892.65</v>
      </c>
      <c r="I27" s="54"/>
    </row>
    <row r="28" spans="1:9" ht="15" customHeight="1">
      <c r="A28" s="12" t="s">
        <v>152</v>
      </c>
      <c r="B28" s="20" t="s">
        <v>25</v>
      </c>
      <c r="C28" s="12"/>
      <c r="D28" s="12"/>
      <c r="E28" s="26"/>
      <c r="F28" s="26"/>
      <c r="G28" s="34">
        <v>6780</v>
      </c>
      <c r="H28" s="29">
        <f t="shared" si="0"/>
        <v>-105672.65</v>
      </c>
      <c r="I28" s="54"/>
    </row>
    <row r="29" spans="1:9">
      <c r="A29" s="12" t="s">
        <v>153</v>
      </c>
      <c r="B29" s="20" t="s">
        <v>25</v>
      </c>
      <c r="C29" s="12"/>
      <c r="D29" s="12"/>
      <c r="E29" s="4"/>
      <c r="F29" s="26"/>
      <c r="G29" s="34">
        <v>5820</v>
      </c>
      <c r="H29" s="29">
        <f t="shared" si="0"/>
        <v>-111492.65</v>
      </c>
      <c r="I29" s="54"/>
    </row>
    <row r="30" spans="1:9">
      <c r="A30" s="12"/>
      <c r="B30" s="12"/>
      <c r="C30" s="12"/>
      <c r="D30" s="12"/>
      <c r="E30" s="4"/>
      <c r="F30" s="26"/>
      <c r="G30" s="34"/>
      <c r="H30" s="29">
        <f t="shared" si="0"/>
        <v>-111492.65</v>
      </c>
      <c r="I30" s="54"/>
    </row>
    <row r="31" spans="1:9" ht="15" customHeight="1">
      <c r="A31" s="12"/>
      <c r="B31" s="12"/>
      <c r="C31" s="12"/>
      <c r="D31" s="12"/>
      <c r="E31" s="26"/>
      <c r="F31" s="26"/>
      <c r="G31" s="34"/>
      <c r="H31" s="29">
        <f t="shared" si="0"/>
        <v>-111492.65</v>
      </c>
      <c r="I31" s="54"/>
    </row>
    <row r="32" spans="1:9" ht="15" customHeight="1">
      <c r="A32" s="12"/>
      <c r="B32" s="12"/>
      <c r="C32" s="12"/>
      <c r="D32" s="12"/>
      <c r="E32" s="4"/>
      <c r="F32" s="26"/>
      <c r="G32" s="34"/>
      <c r="H32" s="29">
        <f t="shared" si="0"/>
        <v>-111492.65</v>
      </c>
      <c r="I32" s="54"/>
    </row>
    <row r="33" spans="1:12" ht="15" customHeight="1">
      <c r="A33" s="12"/>
      <c r="B33" s="12"/>
      <c r="C33" s="12"/>
      <c r="D33" s="12"/>
      <c r="E33" s="4"/>
      <c r="F33" s="26"/>
      <c r="G33" s="34"/>
      <c r="H33" s="29">
        <f t="shared" si="0"/>
        <v>-111492.65</v>
      </c>
      <c r="I33" s="54"/>
    </row>
    <row r="34" spans="1:12" ht="15.75" customHeight="1">
      <c r="A34" s="12"/>
      <c r="B34" s="12"/>
      <c r="C34" s="12"/>
      <c r="D34" s="12"/>
      <c r="E34" s="4"/>
      <c r="F34" s="26"/>
      <c r="G34" s="34"/>
      <c r="H34" s="29">
        <f t="shared" si="0"/>
        <v>-111492.65</v>
      </c>
      <c r="I34" s="54"/>
    </row>
    <row r="35" spans="1:12" ht="15.75" customHeight="1">
      <c r="A35" s="12"/>
      <c r="B35" s="12"/>
      <c r="C35" s="12"/>
      <c r="D35" s="12"/>
      <c r="E35" s="26"/>
      <c r="F35" s="26"/>
      <c r="G35" s="34"/>
      <c r="H35" s="29">
        <f t="shared" si="0"/>
        <v>-111492.65</v>
      </c>
      <c r="I35" s="54"/>
    </row>
    <row r="36" spans="1:12" ht="15.75" customHeight="1">
      <c r="A36" s="12"/>
      <c r="B36" s="12"/>
      <c r="C36" s="12"/>
      <c r="D36" s="12"/>
      <c r="E36" s="4"/>
      <c r="F36" s="26"/>
      <c r="G36" s="34"/>
      <c r="H36" s="29">
        <f t="shared" si="0"/>
        <v>-111492.65</v>
      </c>
      <c r="I36" s="54"/>
    </row>
    <row r="37" spans="1:12" ht="15.75" customHeight="1">
      <c r="A37" s="12"/>
      <c r="B37" s="12"/>
      <c r="C37" s="12"/>
      <c r="D37" s="12"/>
      <c r="E37" s="4"/>
      <c r="F37" s="26"/>
      <c r="G37" s="34"/>
      <c r="H37" s="29">
        <f t="shared" si="0"/>
        <v>-111492.65</v>
      </c>
      <c r="I37" s="54"/>
      <c r="L37" s="1"/>
    </row>
    <row r="38" spans="1:12" ht="15" customHeight="1">
      <c r="A38" s="12"/>
      <c r="B38" s="12"/>
      <c r="C38" s="12"/>
      <c r="D38" s="12"/>
      <c r="E38" s="4"/>
      <c r="F38" s="26"/>
      <c r="G38" s="34"/>
      <c r="H38" s="29">
        <f t="shared" si="0"/>
        <v>-111492.65</v>
      </c>
      <c r="I38" s="54"/>
      <c r="L38" s="1"/>
    </row>
    <row r="39" spans="1:12">
      <c r="A39" s="12"/>
      <c r="B39" s="12"/>
      <c r="C39" s="12"/>
      <c r="D39" s="12"/>
      <c r="E39" s="4"/>
      <c r="F39" s="26"/>
      <c r="G39" s="34"/>
      <c r="H39" s="29">
        <f t="shared" si="0"/>
        <v>-111492.65</v>
      </c>
      <c r="I39" s="54"/>
    </row>
    <row r="40" spans="1:12">
      <c r="A40" s="12"/>
      <c r="B40" s="12"/>
      <c r="C40" s="12"/>
      <c r="D40" s="12"/>
      <c r="E40" s="4"/>
      <c r="F40" s="26"/>
      <c r="G40" s="34"/>
      <c r="H40" s="29">
        <f t="shared" si="0"/>
        <v>-111492.65</v>
      </c>
      <c r="I40" s="54"/>
    </row>
    <row r="41" spans="1:12" ht="15" customHeight="1">
      <c r="A41" s="12"/>
      <c r="B41" s="20"/>
      <c r="C41" s="12"/>
      <c r="D41" s="12"/>
      <c r="E41" s="4"/>
      <c r="F41" s="26"/>
      <c r="G41" s="34"/>
      <c r="H41" s="29">
        <f t="shared" si="0"/>
        <v>-111492.65</v>
      </c>
      <c r="I41" s="54"/>
    </row>
    <row r="42" spans="1:12" ht="15.75" customHeight="1">
      <c r="A42" s="12"/>
      <c r="B42" s="12"/>
      <c r="C42" s="12"/>
      <c r="D42" s="12"/>
      <c r="E42" s="4"/>
      <c r="F42" s="26"/>
      <c r="G42" s="34"/>
      <c r="H42" s="29">
        <f t="shared" si="0"/>
        <v>-111492.65</v>
      </c>
      <c r="I42" s="54"/>
    </row>
    <row r="43" spans="1:12" ht="15.75" customHeight="1">
      <c r="A43" s="12"/>
      <c r="B43" s="12"/>
      <c r="C43" s="12"/>
      <c r="D43" s="12"/>
      <c r="E43" s="4"/>
      <c r="F43" s="26"/>
      <c r="G43" s="34"/>
      <c r="H43" s="29">
        <f t="shared" si="0"/>
        <v>-111492.65</v>
      </c>
      <c r="I43" s="54"/>
    </row>
    <row r="44" spans="1:12" ht="15.75" customHeight="1">
      <c r="A44" s="12"/>
      <c r="B44" s="20"/>
      <c r="C44" s="12"/>
      <c r="D44" s="12"/>
      <c r="E44" s="4"/>
      <c r="F44" s="26"/>
      <c r="G44" s="34"/>
      <c r="H44" s="29">
        <f t="shared" si="0"/>
        <v>-111492.65</v>
      </c>
      <c r="I44" s="54"/>
    </row>
    <row r="45" spans="1:12" ht="15.75" customHeight="1">
      <c r="A45" s="12"/>
      <c r="B45" s="20"/>
      <c r="C45" s="12"/>
      <c r="D45" s="12"/>
      <c r="E45" s="4"/>
      <c r="F45" s="26"/>
      <c r="G45" s="34"/>
      <c r="H45" s="29">
        <f t="shared" si="0"/>
        <v>-111492.65</v>
      </c>
      <c r="I45" s="54"/>
    </row>
    <row r="46" spans="1:12" ht="15" customHeight="1">
      <c r="A46" s="12"/>
      <c r="B46" s="20"/>
      <c r="C46" s="12"/>
      <c r="D46" s="12"/>
      <c r="E46" s="26"/>
      <c r="F46" s="26"/>
      <c r="G46" s="34"/>
      <c r="H46" s="29">
        <f t="shared" si="0"/>
        <v>-111492.65</v>
      </c>
      <c r="I46" s="54"/>
    </row>
    <row r="47" spans="1:12" ht="15" customHeight="1">
      <c r="A47" s="12"/>
      <c r="B47" s="20"/>
      <c r="C47" s="12"/>
      <c r="D47" s="12"/>
      <c r="E47" s="26"/>
      <c r="F47" s="26"/>
      <c r="G47" s="34"/>
      <c r="H47" s="29">
        <f t="shared" si="0"/>
        <v>-111492.65</v>
      </c>
      <c r="I47" s="54"/>
    </row>
    <row r="48" spans="1:12" ht="15" customHeight="1">
      <c r="A48" s="12"/>
      <c r="B48" s="20"/>
      <c r="C48" s="12"/>
      <c r="D48" s="12"/>
      <c r="E48" s="40"/>
      <c r="F48" s="26"/>
      <c r="G48" s="34"/>
      <c r="H48" s="29">
        <f t="shared" si="0"/>
        <v>-111492.65</v>
      </c>
      <c r="I48" s="54"/>
    </row>
    <row r="49" spans="1:9">
      <c r="A49" s="12"/>
      <c r="B49" s="12"/>
      <c r="C49" s="12"/>
      <c r="D49" s="12"/>
      <c r="E49" s="26"/>
      <c r="F49" s="26"/>
      <c r="G49" s="34"/>
      <c r="H49" s="29">
        <f t="shared" si="0"/>
        <v>-111492.65</v>
      </c>
      <c r="I49" s="54"/>
    </row>
    <row r="50" spans="1:9">
      <c r="A50" s="12"/>
      <c r="B50" s="12"/>
      <c r="C50" s="12"/>
      <c r="D50" s="12"/>
      <c r="E50" s="4"/>
      <c r="F50" s="26"/>
      <c r="G50" s="34"/>
      <c r="H50" s="29">
        <f t="shared" si="0"/>
        <v>-111492.65</v>
      </c>
      <c r="I50" s="54"/>
    </row>
    <row r="51" spans="1:9">
      <c r="A51" s="12"/>
      <c r="B51" s="20"/>
      <c r="C51" s="12"/>
      <c r="D51" s="12"/>
      <c r="E51" s="25"/>
      <c r="F51" s="26"/>
      <c r="G51" s="34"/>
      <c r="H51" s="29">
        <f t="shared" si="0"/>
        <v>-111492.65</v>
      </c>
      <c r="I51" s="54"/>
    </row>
    <row r="52" spans="1:9">
      <c r="A52" s="12"/>
      <c r="B52" s="12"/>
      <c r="C52" s="12"/>
      <c r="D52" s="12"/>
      <c r="E52" s="25"/>
      <c r="F52" s="42"/>
      <c r="G52" s="34"/>
      <c r="H52" s="80">
        <f t="shared" si="0"/>
        <v>-111492.65</v>
      </c>
      <c r="I52" s="54"/>
    </row>
    <row r="53" spans="1:9">
      <c r="A53" s="12"/>
      <c r="B53" s="20"/>
      <c r="C53" s="12"/>
      <c r="D53" s="12"/>
      <c r="E53" s="26"/>
      <c r="F53" s="26"/>
      <c r="G53" s="34"/>
      <c r="H53" s="29">
        <f t="shared" si="0"/>
        <v>-111492.65</v>
      </c>
      <c r="I53" s="54"/>
    </row>
    <row r="54" spans="1:9">
      <c r="A54" s="12"/>
      <c r="B54" s="20"/>
      <c r="C54" s="12"/>
      <c r="D54" s="12"/>
      <c r="E54" s="40"/>
      <c r="F54" s="26"/>
      <c r="G54" s="34"/>
      <c r="H54" s="29">
        <f t="shared" si="0"/>
        <v>-111492.65</v>
      </c>
      <c r="I54" s="54"/>
    </row>
    <row r="55" spans="1:9">
      <c r="A55" s="12"/>
      <c r="B55" s="12"/>
      <c r="C55" s="12"/>
      <c r="D55" s="12"/>
      <c r="E55" s="26"/>
      <c r="F55" s="26"/>
      <c r="G55" s="34"/>
      <c r="H55" s="29">
        <f t="shared" si="0"/>
        <v>-111492.65</v>
      </c>
      <c r="I55" s="54"/>
    </row>
    <row r="56" spans="1:9">
      <c r="A56" s="12"/>
      <c r="B56" s="12"/>
      <c r="C56" s="12"/>
      <c r="D56" s="12"/>
      <c r="E56" s="4"/>
      <c r="F56" s="26"/>
      <c r="G56" s="34"/>
      <c r="H56" s="29">
        <f t="shared" si="0"/>
        <v>-111492.65</v>
      </c>
      <c r="I56" s="54"/>
    </row>
    <row r="57" spans="1:9">
      <c r="A57" s="12"/>
      <c r="B57" s="20"/>
      <c r="C57" s="12"/>
      <c r="D57" s="12"/>
      <c r="E57" s="26"/>
      <c r="F57" s="26"/>
      <c r="G57" s="34"/>
      <c r="H57" s="29">
        <f t="shared" si="0"/>
        <v>-111492.65</v>
      </c>
      <c r="I57" s="54"/>
    </row>
    <row r="58" spans="1:9">
      <c r="A58" s="12"/>
      <c r="B58" s="20"/>
      <c r="C58" s="12"/>
      <c r="D58" s="12"/>
      <c r="E58" s="40"/>
      <c r="F58" s="26"/>
      <c r="G58" s="34"/>
      <c r="H58" s="29">
        <f t="shared" si="0"/>
        <v>-111492.65</v>
      </c>
      <c r="I58" s="54"/>
    </row>
    <row r="59" spans="1:9">
      <c r="A59" s="12"/>
      <c r="B59" s="12"/>
      <c r="C59" s="12"/>
      <c r="D59" s="12"/>
      <c r="E59" s="26"/>
      <c r="F59" s="26"/>
      <c r="G59" s="34"/>
      <c r="H59" s="29">
        <f t="shared" si="0"/>
        <v>-111492.65</v>
      </c>
      <c r="I59" s="54"/>
    </row>
    <row r="60" spans="1:9">
      <c r="A60" s="12"/>
      <c r="B60" s="12"/>
      <c r="C60" s="12"/>
      <c r="D60" s="12"/>
      <c r="E60" s="4"/>
      <c r="F60" s="26"/>
      <c r="G60" s="34"/>
      <c r="H60" s="29">
        <f t="shared" si="0"/>
        <v>-111492.65</v>
      </c>
      <c r="I60" s="54"/>
    </row>
    <row r="61" spans="1:9">
      <c r="A61" s="12"/>
      <c r="B61" s="20"/>
      <c r="C61" s="12"/>
      <c r="D61" s="12"/>
      <c r="E61" s="25"/>
      <c r="F61" s="26"/>
      <c r="G61" s="34"/>
      <c r="H61" s="29">
        <f t="shared" si="0"/>
        <v>-111492.65</v>
      </c>
      <c r="I61" s="54"/>
    </row>
    <row r="62" spans="1:9">
      <c r="A62" s="12"/>
      <c r="B62" s="20"/>
      <c r="C62" s="12"/>
      <c r="D62" s="12"/>
      <c r="E62" s="25"/>
      <c r="F62" s="26"/>
      <c r="G62" s="34"/>
      <c r="H62" s="29">
        <f t="shared" si="0"/>
        <v>-111492.65</v>
      </c>
      <c r="I62" s="54"/>
    </row>
    <row r="63" spans="1:9">
      <c r="A63" s="12"/>
      <c r="B63" s="20"/>
      <c r="C63" s="12"/>
      <c r="D63" s="12"/>
      <c r="E63" s="25"/>
      <c r="F63" s="26"/>
      <c r="G63" s="34"/>
      <c r="H63" s="29">
        <f t="shared" si="0"/>
        <v>-111492.65</v>
      </c>
      <c r="I63" s="54"/>
    </row>
    <row r="64" spans="1:9">
      <c r="A64" s="12"/>
      <c r="B64" s="20"/>
      <c r="C64" s="12"/>
      <c r="D64" s="12"/>
      <c r="E64" s="25"/>
      <c r="F64" s="26"/>
      <c r="G64" s="34"/>
      <c r="H64" s="29">
        <f t="shared" si="0"/>
        <v>-111492.65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-111492.65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-111492.65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-111492.65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-111492.65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-111492.65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-111492.65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-111492.65</v>
      </c>
      <c r="I71" s="54"/>
    </row>
    <row r="72" spans="1:9" ht="15.75" thickBot="1">
      <c r="A72" s="5" t="s">
        <v>88</v>
      </c>
      <c r="B72" s="21"/>
      <c r="C72" s="8"/>
      <c r="D72" s="11"/>
      <c r="E72" s="24">
        <f>SUM(E3:E71)</f>
        <v>0</v>
      </c>
      <c r="F72" s="39">
        <f>SUM(F3:F71)</f>
        <v>0</v>
      </c>
      <c r="G72" s="35">
        <f>SUM(G3:G71)</f>
        <v>128992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1">
    <mergeCell ref="A1:H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82"/>
  <sheetViews>
    <sheetView workbookViewId="0">
      <selection activeCell="C187" sqref="C187"/>
    </sheetView>
  </sheetViews>
  <sheetFormatPr defaultRowHeight="15"/>
  <cols>
    <col min="1" max="1" width="12.5703125" customWidth="1"/>
    <col min="2" max="2" width="20.85546875" bestFit="1" customWidth="1"/>
    <col min="3" max="3" width="7.28515625" bestFit="1" customWidth="1"/>
    <col min="4" max="4" width="14.42578125" bestFit="1" customWidth="1"/>
    <col min="5" max="5" width="9.5703125" bestFit="1" customWidth="1"/>
    <col min="7" max="8" width="9.5703125" bestFit="1" customWidth="1"/>
  </cols>
  <sheetData>
    <row r="1" spans="1:8" ht="15.75" thickBot="1">
      <c r="A1" s="117" t="s">
        <v>15</v>
      </c>
      <c r="B1" s="117"/>
      <c r="C1" s="117"/>
      <c r="D1" s="117"/>
      <c r="E1" s="117"/>
      <c r="F1" s="117"/>
      <c r="G1" s="117"/>
      <c r="H1" s="117"/>
    </row>
    <row r="2" spans="1:8" ht="60.75" thickBot="1">
      <c r="A2" s="82" t="s">
        <v>2</v>
      </c>
      <c r="B2" s="83" t="s">
        <v>0</v>
      </c>
      <c r="C2" s="84" t="s">
        <v>6</v>
      </c>
      <c r="D2" s="85" t="s">
        <v>7</v>
      </c>
      <c r="E2" s="84" t="s">
        <v>3</v>
      </c>
      <c r="F2" s="85" t="s">
        <v>5</v>
      </c>
      <c r="G2" s="84" t="s">
        <v>4</v>
      </c>
      <c r="H2" s="85" t="s">
        <v>1</v>
      </c>
    </row>
    <row r="3" spans="1:8">
      <c r="A3" s="86" t="s">
        <v>14</v>
      </c>
      <c r="B3" s="87" t="s">
        <v>8</v>
      </c>
      <c r="C3" s="88"/>
      <c r="D3" s="89"/>
      <c r="E3" s="90"/>
      <c r="F3" s="91"/>
      <c r="G3" s="92"/>
      <c r="H3" s="93">
        <v>52072.93</v>
      </c>
    </row>
    <row r="4" spans="1:8">
      <c r="A4" s="86" t="s">
        <v>16</v>
      </c>
      <c r="B4" s="94" t="s">
        <v>21</v>
      </c>
      <c r="C4" s="86" t="s">
        <v>22</v>
      </c>
      <c r="D4" s="86" t="s">
        <v>24</v>
      </c>
      <c r="E4" s="95">
        <v>7225.4</v>
      </c>
      <c r="F4" s="96"/>
      <c r="G4" s="97"/>
      <c r="H4" s="98">
        <f>H3+E4+F4-G4</f>
        <v>59298.33</v>
      </c>
    </row>
    <row r="5" spans="1:8">
      <c r="A5" s="86" t="s">
        <v>16</v>
      </c>
      <c r="B5" s="86" t="s">
        <v>25</v>
      </c>
      <c r="C5" s="86"/>
      <c r="D5" s="86"/>
      <c r="E5" s="95"/>
      <c r="F5" s="99"/>
      <c r="G5" s="97">
        <v>2256</v>
      </c>
      <c r="H5" s="98">
        <f t="shared" ref="H5:H43" si="0">H4+E5+F5-G5</f>
        <v>57042.33</v>
      </c>
    </row>
    <row r="6" spans="1:8">
      <c r="A6" s="86" t="s">
        <v>17</v>
      </c>
      <c r="B6" s="94" t="s">
        <v>21</v>
      </c>
      <c r="C6" s="86" t="s">
        <v>22</v>
      </c>
      <c r="D6" s="86" t="s">
        <v>23</v>
      </c>
      <c r="E6" s="95">
        <v>7225.4</v>
      </c>
      <c r="F6" s="99"/>
      <c r="G6" s="97"/>
      <c r="H6" s="98">
        <f t="shared" si="0"/>
        <v>64267.73</v>
      </c>
    </row>
    <row r="7" spans="1:8">
      <c r="A7" s="86" t="s">
        <v>17</v>
      </c>
      <c r="B7" s="86" t="s">
        <v>25</v>
      </c>
      <c r="C7" s="86"/>
      <c r="D7" s="86"/>
      <c r="E7" s="95"/>
      <c r="F7" s="99"/>
      <c r="G7" s="97">
        <v>4824</v>
      </c>
      <c r="H7" s="98">
        <f t="shared" si="0"/>
        <v>59443.73</v>
      </c>
    </row>
    <row r="8" spans="1:8">
      <c r="A8" s="86" t="s">
        <v>18</v>
      </c>
      <c r="B8" s="94" t="s">
        <v>25</v>
      </c>
      <c r="C8" s="86"/>
      <c r="D8" s="86"/>
      <c r="E8" s="95"/>
      <c r="F8" s="99"/>
      <c r="G8" s="97">
        <v>5916</v>
      </c>
      <c r="H8" s="98">
        <f t="shared" si="0"/>
        <v>53527.73</v>
      </c>
    </row>
    <row r="9" spans="1:8">
      <c r="A9" s="86" t="s">
        <v>19</v>
      </c>
      <c r="B9" s="94" t="s">
        <v>25</v>
      </c>
      <c r="C9" s="86"/>
      <c r="D9" s="86"/>
      <c r="E9" s="95"/>
      <c r="F9" s="99"/>
      <c r="G9" s="97">
        <v>7452</v>
      </c>
      <c r="H9" s="98">
        <f t="shared" si="0"/>
        <v>46075.73</v>
      </c>
    </row>
    <row r="10" spans="1:8">
      <c r="A10" s="86" t="s">
        <v>20</v>
      </c>
      <c r="B10" s="86" t="s">
        <v>21</v>
      </c>
      <c r="C10" s="86" t="s">
        <v>22</v>
      </c>
      <c r="D10" s="86" t="s">
        <v>27</v>
      </c>
      <c r="E10" s="95">
        <v>7225.4</v>
      </c>
      <c r="F10" s="99"/>
      <c r="G10" s="97"/>
      <c r="H10" s="98">
        <f t="shared" si="0"/>
        <v>53301.130000000005</v>
      </c>
    </row>
    <row r="11" spans="1:8">
      <c r="A11" s="86" t="s">
        <v>20</v>
      </c>
      <c r="B11" s="86" t="s">
        <v>25</v>
      </c>
      <c r="C11" s="86"/>
      <c r="D11" s="86"/>
      <c r="E11" s="95"/>
      <c r="F11" s="99"/>
      <c r="G11" s="97">
        <v>2376</v>
      </c>
      <c r="H11" s="98">
        <f t="shared" si="0"/>
        <v>50925.130000000005</v>
      </c>
    </row>
    <row r="12" spans="1:8">
      <c r="A12" s="86" t="s">
        <v>28</v>
      </c>
      <c r="B12" s="86" t="s">
        <v>21</v>
      </c>
      <c r="C12" s="86" t="s">
        <v>22</v>
      </c>
      <c r="D12" s="86" t="s">
        <v>29</v>
      </c>
      <c r="E12" s="95">
        <v>7225.4</v>
      </c>
      <c r="F12" s="99"/>
      <c r="G12" s="97"/>
      <c r="H12" s="98">
        <f t="shared" si="0"/>
        <v>58150.530000000006</v>
      </c>
    </row>
    <row r="13" spans="1:8">
      <c r="A13" s="86" t="s">
        <v>28</v>
      </c>
      <c r="B13" s="94" t="s">
        <v>25</v>
      </c>
      <c r="C13" s="86"/>
      <c r="D13" s="86"/>
      <c r="E13" s="95"/>
      <c r="F13" s="99"/>
      <c r="G13" s="97">
        <v>6144</v>
      </c>
      <c r="H13" s="98">
        <f t="shared" si="0"/>
        <v>52006.530000000006</v>
      </c>
    </row>
    <row r="14" spans="1:8">
      <c r="A14" s="86" t="s">
        <v>26</v>
      </c>
      <c r="B14" s="86" t="s">
        <v>21</v>
      </c>
      <c r="C14" s="86" t="s">
        <v>22</v>
      </c>
      <c r="D14" s="86" t="s">
        <v>29</v>
      </c>
      <c r="E14" s="99">
        <v>7226</v>
      </c>
      <c r="F14" s="99"/>
      <c r="G14" s="97"/>
      <c r="H14" s="98">
        <f t="shared" si="0"/>
        <v>59232.530000000006</v>
      </c>
    </row>
    <row r="15" spans="1:8">
      <c r="A15" s="86" t="s">
        <v>26</v>
      </c>
      <c r="B15" s="94" t="s">
        <v>33</v>
      </c>
      <c r="C15" s="86"/>
      <c r="D15" s="86"/>
      <c r="E15" s="95"/>
      <c r="F15" s="99">
        <v>145</v>
      </c>
      <c r="G15" s="97"/>
      <c r="H15" s="98">
        <f t="shared" si="0"/>
        <v>59377.530000000006</v>
      </c>
    </row>
    <row r="16" spans="1:8">
      <c r="A16" s="86" t="s">
        <v>26</v>
      </c>
      <c r="B16" s="94" t="s">
        <v>25</v>
      </c>
      <c r="C16" s="86"/>
      <c r="D16" s="86"/>
      <c r="E16" s="95"/>
      <c r="F16" s="99"/>
      <c r="G16" s="97">
        <v>4596</v>
      </c>
      <c r="H16" s="98">
        <f t="shared" si="0"/>
        <v>54781.530000000006</v>
      </c>
    </row>
    <row r="17" spans="1:8">
      <c r="A17" s="86" t="s">
        <v>30</v>
      </c>
      <c r="B17" s="94" t="s">
        <v>25</v>
      </c>
      <c r="C17" s="86"/>
      <c r="D17" s="86"/>
      <c r="E17" s="95"/>
      <c r="F17" s="99"/>
      <c r="G17" s="97">
        <v>4082</v>
      </c>
      <c r="H17" s="98">
        <f t="shared" si="0"/>
        <v>50699.530000000006</v>
      </c>
    </row>
    <row r="18" spans="1:8">
      <c r="A18" s="86" t="s">
        <v>31</v>
      </c>
      <c r="B18" s="94" t="s">
        <v>25</v>
      </c>
      <c r="C18" s="86"/>
      <c r="D18" s="86"/>
      <c r="E18" s="95"/>
      <c r="F18" s="99"/>
      <c r="G18" s="97">
        <v>5428</v>
      </c>
      <c r="H18" s="98">
        <f t="shared" si="0"/>
        <v>45271.530000000006</v>
      </c>
    </row>
    <row r="19" spans="1:8">
      <c r="A19" s="86" t="s">
        <v>32</v>
      </c>
      <c r="B19" s="94" t="s">
        <v>25</v>
      </c>
      <c r="C19" s="86"/>
      <c r="D19" s="86"/>
      <c r="E19" s="95"/>
      <c r="F19" s="99"/>
      <c r="G19" s="97">
        <v>7954</v>
      </c>
      <c r="H19" s="98">
        <f t="shared" si="0"/>
        <v>37317.530000000006</v>
      </c>
    </row>
    <row r="20" spans="1:8">
      <c r="A20" s="86" t="s">
        <v>34</v>
      </c>
      <c r="B20" s="94" t="s">
        <v>25</v>
      </c>
      <c r="C20" s="86"/>
      <c r="D20" s="86"/>
      <c r="E20" s="95"/>
      <c r="F20" s="99"/>
      <c r="G20" s="97">
        <v>5976</v>
      </c>
      <c r="H20" s="98">
        <f t="shared" si="0"/>
        <v>31341.530000000006</v>
      </c>
    </row>
    <row r="21" spans="1:8">
      <c r="A21" s="86" t="s">
        <v>35</v>
      </c>
      <c r="B21" s="94" t="s">
        <v>25</v>
      </c>
      <c r="C21" s="86"/>
      <c r="D21" s="86"/>
      <c r="E21" s="95"/>
      <c r="F21" s="99"/>
      <c r="G21" s="97">
        <v>3912</v>
      </c>
      <c r="H21" s="98">
        <f t="shared" si="0"/>
        <v>27429.530000000006</v>
      </c>
    </row>
    <row r="22" spans="1:8">
      <c r="A22" s="86" t="s">
        <v>36</v>
      </c>
      <c r="B22" s="94" t="s">
        <v>21</v>
      </c>
      <c r="C22" s="86" t="s">
        <v>38</v>
      </c>
      <c r="D22" s="86" t="s">
        <v>24</v>
      </c>
      <c r="E22" s="95">
        <v>7370.8</v>
      </c>
      <c r="F22" s="99"/>
      <c r="G22" s="97"/>
      <c r="H22" s="98">
        <f>H21+E22+F22-G22</f>
        <v>34800.330000000009</v>
      </c>
    </row>
    <row r="23" spans="1:8">
      <c r="A23" s="86" t="s">
        <v>36</v>
      </c>
      <c r="B23" s="86" t="s">
        <v>25</v>
      </c>
      <c r="C23" s="86"/>
      <c r="D23" s="86"/>
      <c r="E23" s="100"/>
      <c r="F23" s="99"/>
      <c r="G23" s="97">
        <v>7698</v>
      </c>
      <c r="H23" s="98">
        <f t="shared" si="0"/>
        <v>27102.330000000009</v>
      </c>
    </row>
    <row r="24" spans="1:8">
      <c r="A24" s="86" t="s">
        <v>37</v>
      </c>
      <c r="B24" s="86" t="s">
        <v>21</v>
      </c>
      <c r="C24" s="86" t="s">
        <v>38</v>
      </c>
      <c r="D24" s="86" t="s">
        <v>23</v>
      </c>
      <c r="E24" s="95">
        <v>7370.8</v>
      </c>
      <c r="F24" s="99"/>
      <c r="G24" s="97"/>
      <c r="H24" s="98">
        <f t="shared" si="0"/>
        <v>34473.130000000012</v>
      </c>
    </row>
    <row r="25" spans="1:8">
      <c r="A25" s="86" t="s">
        <v>37</v>
      </c>
      <c r="B25" s="86" t="s">
        <v>25</v>
      </c>
      <c r="C25" s="86"/>
      <c r="D25" s="86"/>
      <c r="E25" s="95"/>
      <c r="F25" s="99"/>
      <c r="G25" s="97">
        <v>7032</v>
      </c>
      <c r="H25" s="98">
        <f t="shared" si="0"/>
        <v>27441.130000000012</v>
      </c>
    </row>
    <row r="26" spans="1:8">
      <c r="A26" s="86" t="s">
        <v>39</v>
      </c>
      <c r="B26" s="86" t="s">
        <v>25</v>
      </c>
      <c r="C26" s="86"/>
      <c r="D26" s="86"/>
      <c r="E26" s="100"/>
      <c r="F26" s="99"/>
      <c r="G26" s="97">
        <v>4464</v>
      </c>
      <c r="H26" s="98">
        <f t="shared" si="0"/>
        <v>22977.130000000012</v>
      </c>
    </row>
    <row r="27" spans="1:8">
      <c r="A27" s="86" t="s">
        <v>40</v>
      </c>
      <c r="B27" s="86" t="s">
        <v>25</v>
      </c>
      <c r="C27" s="86"/>
      <c r="D27" s="86"/>
      <c r="E27" s="95"/>
      <c r="F27" s="99"/>
      <c r="G27" s="97">
        <v>6948</v>
      </c>
      <c r="H27" s="98">
        <f>H26+E27+F27-G27</f>
        <v>16029.130000000012</v>
      </c>
    </row>
    <row r="28" spans="1:8">
      <c r="A28" s="86" t="s">
        <v>41</v>
      </c>
      <c r="B28" s="86" t="s">
        <v>21</v>
      </c>
      <c r="C28" s="86" t="s">
        <v>38</v>
      </c>
      <c r="D28" s="86" t="s">
        <v>27</v>
      </c>
      <c r="E28" s="95">
        <v>7370.8</v>
      </c>
      <c r="F28" s="99"/>
      <c r="G28" s="97"/>
      <c r="H28" s="98">
        <f t="shared" si="0"/>
        <v>23399.930000000011</v>
      </c>
    </row>
    <row r="29" spans="1:8">
      <c r="A29" s="86" t="s">
        <v>41</v>
      </c>
      <c r="B29" s="86" t="s">
        <v>25</v>
      </c>
      <c r="C29" s="86"/>
      <c r="D29" s="86"/>
      <c r="E29" s="95"/>
      <c r="F29" s="99"/>
      <c r="G29" s="97">
        <v>5802</v>
      </c>
      <c r="H29" s="98">
        <f t="shared" si="0"/>
        <v>17597.930000000011</v>
      </c>
    </row>
    <row r="30" spans="1:8">
      <c r="A30" s="86" t="s">
        <v>42</v>
      </c>
      <c r="B30" s="86" t="s">
        <v>25</v>
      </c>
      <c r="C30" s="86"/>
      <c r="D30" s="86"/>
      <c r="E30" s="100"/>
      <c r="F30" s="99"/>
      <c r="G30" s="97">
        <v>6000</v>
      </c>
      <c r="H30" s="98">
        <f t="shared" si="0"/>
        <v>11597.930000000011</v>
      </c>
    </row>
    <row r="31" spans="1:8">
      <c r="A31" s="86" t="s">
        <v>43</v>
      </c>
      <c r="B31" s="86" t="s">
        <v>21</v>
      </c>
      <c r="C31" s="86" t="s">
        <v>38</v>
      </c>
      <c r="D31" s="86" t="s">
        <v>44</v>
      </c>
      <c r="E31" s="95">
        <f>7370.8*2</f>
        <v>14741.6</v>
      </c>
      <c r="F31" s="99"/>
      <c r="G31" s="97"/>
      <c r="H31" s="98">
        <f t="shared" si="0"/>
        <v>26339.530000000013</v>
      </c>
    </row>
    <row r="32" spans="1:8">
      <c r="A32" s="86" t="s">
        <v>43</v>
      </c>
      <c r="B32" s="86" t="s">
        <v>33</v>
      </c>
      <c r="C32" s="86"/>
      <c r="D32" s="86"/>
      <c r="E32" s="95"/>
      <c r="F32" s="99">
        <v>147.41</v>
      </c>
      <c r="G32" s="97"/>
      <c r="H32" s="98">
        <f t="shared" si="0"/>
        <v>26486.940000000013</v>
      </c>
    </row>
    <row r="33" spans="1:8">
      <c r="A33" s="86" t="s">
        <v>43</v>
      </c>
      <c r="B33" s="86" t="s">
        <v>25</v>
      </c>
      <c r="C33" s="86"/>
      <c r="D33" s="86"/>
      <c r="E33" s="100"/>
      <c r="F33" s="99"/>
      <c r="G33" s="97">
        <v>4008</v>
      </c>
      <c r="H33" s="98">
        <f t="shared" si="0"/>
        <v>22478.940000000013</v>
      </c>
    </row>
    <row r="34" spans="1:8">
      <c r="A34" s="86" t="s">
        <v>45</v>
      </c>
      <c r="B34" s="86" t="s">
        <v>21</v>
      </c>
      <c r="C34" s="86" t="s">
        <v>46</v>
      </c>
      <c r="D34" s="86" t="s">
        <v>24</v>
      </c>
      <c r="E34" s="100">
        <v>7130.46</v>
      </c>
      <c r="F34" s="99"/>
      <c r="G34" s="97"/>
      <c r="H34" s="98">
        <f t="shared" si="0"/>
        <v>29609.400000000012</v>
      </c>
    </row>
    <row r="35" spans="1:8">
      <c r="A35" s="86" t="s">
        <v>45</v>
      </c>
      <c r="B35" s="86" t="s">
        <v>25</v>
      </c>
      <c r="C35" s="86"/>
      <c r="D35" s="86"/>
      <c r="E35" s="100"/>
      <c r="F35" s="99"/>
      <c r="G35" s="97">
        <v>3974</v>
      </c>
      <c r="H35" s="98">
        <f t="shared" si="0"/>
        <v>25635.400000000012</v>
      </c>
    </row>
    <row r="36" spans="1:8">
      <c r="A36" s="86" t="s">
        <v>48</v>
      </c>
      <c r="B36" s="86" t="s">
        <v>21</v>
      </c>
      <c r="C36" s="86" t="s">
        <v>46</v>
      </c>
      <c r="D36" s="86" t="s">
        <v>23</v>
      </c>
      <c r="E36" s="100">
        <v>7130.46</v>
      </c>
      <c r="F36" s="99"/>
      <c r="G36" s="97"/>
      <c r="H36" s="98">
        <f t="shared" si="0"/>
        <v>32765.860000000011</v>
      </c>
    </row>
    <row r="37" spans="1:8">
      <c r="A37" s="86" t="s">
        <v>48</v>
      </c>
      <c r="B37" s="86" t="s">
        <v>21</v>
      </c>
      <c r="C37" s="86" t="s">
        <v>49</v>
      </c>
      <c r="D37" s="86" t="s">
        <v>24</v>
      </c>
      <c r="E37" s="100">
        <v>3042.56</v>
      </c>
      <c r="F37" s="99"/>
      <c r="G37" s="97"/>
      <c r="H37" s="98">
        <f t="shared" si="0"/>
        <v>35808.420000000013</v>
      </c>
    </row>
    <row r="38" spans="1:8">
      <c r="A38" s="86" t="s">
        <v>48</v>
      </c>
      <c r="B38" s="94" t="s">
        <v>25</v>
      </c>
      <c r="C38" s="86"/>
      <c r="D38" s="86"/>
      <c r="E38" s="100"/>
      <c r="F38" s="99"/>
      <c r="G38" s="97">
        <v>2634</v>
      </c>
      <c r="H38" s="98">
        <f t="shared" si="0"/>
        <v>33174.420000000013</v>
      </c>
    </row>
    <row r="39" spans="1:8">
      <c r="A39" s="86" t="s">
        <v>50</v>
      </c>
      <c r="B39" s="86" t="s">
        <v>25</v>
      </c>
      <c r="C39" s="86"/>
      <c r="D39" s="86"/>
      <c r="E39" s="100"/>
      <c r="F39" s="99"/>
      <c r="G39" s="97">
        <v>5752</v>
      </c>
      <c r="H39" s="98">
        <f t="shared" si="0"/>
        <v>27422.420000000013</v>
      </c>
    </row>
    <row r="40" spans="1:8">
      <c r="A40" s="86" t="s">
        <v>51</v>
      </c>
      <c r="B40" s="94" t="s">
        <v>25</v>
      </c>
      <c r="C40" s="86"/>
      <c r="D40" s="86"/>
      <c r="E40" s="95"/>
      <c r="F40" s="99"/>
      <c r="G40" s="97">
        <v>3124</v>
      </c>
      <c r="H40" s="98">
        <f t="shared" si="0"/>
        <v>24298.420000000013</v>
      </c>
    </row>
    <row r="41" spans="1:8">
      <c r="A41" s="86" t="s">
        <v>52</v>
      </c>
      <c r="B41" s="94" t="s">
        <v>21</v>
      </c>
      <c r="C41" s="86" t="s">
        <v>53</v>
      </c>
      <c r="D41" s="86" t="s">
        <v>24</v>
      </c>
      <c r="E41" s="95">
        <v>7239.04</v>
      </c>
      <c r="F41" s="99"/>
      <c r="G41" s="97"/>
      <c r="H41" s="98">
        <f t="shared" si="0"/>
        <v>31537.460000000014</v>
      </c>
    </row>
    <row r="42" spans="1:8">
      <c r="A42" s="86" t="s">
        <v>52</v>
      </c>
      <c r="B42" s="94" t="s">
        <v>25</v>
      </c>
      <c r="C42" s="86"/>
      <c r="D42" s="86"/>
      <c r="E42" s="100"/>
      <c r="F42" s="99"/>
      <c r="G42" s="97">
        <v>6806</v>
      </c>
      <c r="H42" s="98">
        <f t="shared" si="0"/>
        <v>24731.460000000014</v>
      </c>
    </row>
    <row r="43" spans="1:8" ht="15.75" thickBot="1">
      <c r="A43" s="86" t="s">
        <v>54</v>
      </c>
      <c r="B43" s="86" t="s">
        <v>25</v>
      </c>
      <c r="C43" s="86"/>
      <c r="D43" s="86"/>
      <c r="E43" s="100"/>
      <c r="F43" s="99"/>
      <c r="G43" s="97">
        <v>3504</v>
      </c>
      <c r="H43" s="98">
        <f t="shared" si="0"/>
        <v>21227.460000000014</v>
      </c>
    </row>
    <row r="44" spans="1:8" ht="15.75" thickBot="1">
      <c r="A44" s="101" t="s">
        <v>90</v>
      </c>
      <c r="B44" s="102"/>
      <c r="C44" s="103"/>
      <c r="D44" s="104"/>
      <c r="E44" s="105">
        <f>SUM(E3:E43)</f>
        <v>97524.12000000001</v>
      </c>
      <c r="F44" s="106">
        <f>SUM(F3:F43)</f>
        <v>292.40999999999997</v>
      </c>
      <c r="G44" s="107">
        <f>SUM(G3:G43)</f>
        <v>128662</v>
      </c>
      <c r="H44" s="108"/>
    </row>
    <row r="66" spans="1:8" ht="19.5" thickBot="1">
      <c r="A66" s="109" t="s">
        <v>61</v>
      </c>
      <c r="B66" s="109"/>
      <c r="C66" s="109"/>
      <c r="D66" s="109"/>
      <c r="E66" s="109"/>
      <c r="F66" s="109"/>
      <c r="G66" s="109"/>
      <c r="H66" s="109"/>
    </row>
    <row r="67" spans="1:8" ht="60.75" thickBot="1">
      <c r="A67" s="14" t="s">
        <v>2</v>
      </c>
      <c r="B67" s="15" t="s">
        <v>0</v>
      </c>
      <c r="C67" s="16" t="s">
        <v>6</v>
      </c>
      <c r="D67" s="17" t="s">
        <v>7</v>
      </c>
      <c r="E67" s="68" t="s">
        <v>3</v>
      </c>
      <c r="F67" s="69" t="s">
        <v>5</v>
      </c>
      <c r="G67" s="70" t="s">
        <v>4</v>
      </c>
      <c r="H67" s="17" t="s">
        <v>1</v>
      </c>
    </row>
    <row r="68" spans="1:8" ht="15.75" thickBot="1">
      <c r="A68" s="18" t="s">
        <v>62</v>
      </c>
      <c r="B68" s="19" t="s">
        <v>8</v>
      </c>
      <c r="C68" s="22"/>
      <c r="D68" s="3"/>
      <c r="E68" s="2"/>
      <c r="F68" s="71"/>
      <c r="G68" s="67"/>
      <c r="H68" s="30">
        <v>21227.46</v>
      </c>
    </row>
    <row r="69" spans="1:8">
      <c r="A69" s="18" t="s">
        <v>62</v>
      </c>
      <c r="B69" s="12" t="s">
        <v>21</v>
      </c>
      <c r="C69" s="12" t="s">
        <v>49</v>
      </c>
      <c r="D69" s="12" t="s">
        <v>23</v>
      </c>
      <c r="E69" s="4">
        <v>3042.56</v>
      </c>
      <c r="F69" s="71"/>
      <c r="G69" s="34"/>
      <c r="H69" s="29">
        <f>H68+E69+F69-G69</f>
        <v>24270.02</v>
      </c>
    </row>
    <row r="70" spans="1:8">
      <c r="A70" s="12" t="s">
        <v>62</v>
      </c>
      <c r="B70" s="12" t="s">
        <v>25</v>
      </c>
      <c r="C70" s="12"/>
      <c r="D70" s="12"/>
      <c r="E70" s="4"/>
      <c r="F70" s="71"/>
      <c r="G70" s="34">
        <v>2376</v>
      </c>
      <c r="H70" s="29">
        <f t="shared" ref="H70:H110" si="1">H69+E70+F70-G70</f>
        <v>21894.02</v>
      </c>
    </row>
    <row r="71" spans="1:8">
      <c r="A71" s="12" t="s">
        <v>63</v>
      </c>
      <c r="B71" s="20" t="s">
        <v>21</v>
      </c>
      <c r="C71" s="12" t="s">
        <v>46</v>
      </c>
      <c r="D71" s="12" t="s">
        <v>27</v>
      </c>
      <c r="E71" s="4">
        <v>7130.46</v>
      </c>
      <c r="F71" s="26"/>
      <c r="G71" s="34"/>
      <c r="H71" s="29">
        <f t="shared" si="1"/>
        <v>29024.48</v>
      </c>
    </row>
    <row r="72" spans="1:8">
      <c r="A72" s="12" t="s">
        <v>63</v>
      </c>
      <c r="B72" s="20" t="s">
        <v>21</v>
      </c>
      <c r="C72" s="12" t="s">
        <v>53</v>
      </c>
      <c r="D72" s="12" t="s">
        <v>23</v>
      </c>
      <c r="E72" s="26">
        <v>7239.04</v>
      </c>
      <c r="F72" s="26"/>
      <c r="G72" s="34"/>
      <c r="H72" s="29">
        <f t="shared" si="1"/>
        <v>36263.519999999997</v>
      </c>
    </row>
    <row r="73" spans="1:8">
      <c r="A73" s="12" t="s">
        <v>63</v>
      </c>
      <c r="B73" s="20" t="s">
        <v>25</v>
      </c>
      <c r="C73" s="12"/>
      <c r="D73" s="12"/>
      <c r="E73" s="26"/>
      <c r="F73" s="26"/>
      <c r="G73" s="34">
        <v>3096</v>
      </c>
      <c r="H73" s="29">
        <f t="shared" si="1"/>
        <v>33167.519999999997</v>
      </c>
    </row>
    <row r="74" spans="1:8">
      <c r="A74" s="12" t="s">
        <v>64</v>
      </c>
      <c r="B74" s="20" t="s">
        <v>21</v>
      </c>
      <c r="C74" s="12" t="s">
        <v>46</v>
      </c>
      <c r="D74" s="12" t="s">
        <v>29</v>
      </c>
      <c r="E74" s="4">
        <v>7130.46</v>
      </c>
      <c r="F74" s="26"/>
      <c r="G74" s="34"/>
      <c r="H74" s="29">
        <f t="shared" si="1"/>
        <v>40297.979999999996</v>
      </c>
    </row>
    <row r="75" spans="1:8">
      <c r="A75" s="12" t="s">
        <v>64</v>
      </c>
      <c r="B75" s="12" t="s">
        <v>25</v>
      </c>
      <c r="C75" s="12"/>
      <c r="D75" s="12"/>
      <c r="E75" s="26"/>
      <c r="F75" s="26"/>
      <c r="G75" s="34">
        <v>3228</v>
      </c>
      <c r="H75" s="29">
        <f t="shared" si="1"/>
        <v>37069.979999999996</v>
      </c>
    </row>
    <row r="76" spans="1:8">
      <c r="A76" s="12" t="s">
        <v>65</v>
      </c>
      <c r="B76" s="12" t="s">
        <v>21</v>
      </c>
      <c r="C76" s="12" t="s">
        <v>53</v>
      </c>
      <c r="D76" s="12" t="s">
        <v>27</v>
      </c>
      <c r="E76" s="26">
        <v>7239.04</v>
      </c>
      <c r="F76" s="26"/>
      <c r="G76" s="34"/>
      <c r="H76" s="29">
        <f t="shared" si="1"/>
        <v>44309.02</v>
      </c>
    </row>
    <row r="77" spans="1:8">
      <c r="A77" s="12" t="s">
        <v>65</v>
      </c>
      <c r="B77" s="12" t="s">
        <v>25</v>
      </c>
      <c r="C77" s="12"/>
      <c r="D77" s="12"/>
      <c r="E77" s="4"/>
      <c r="F77" s="71"/>
      <c r="G77" s="34">
        <v>3566</v>
      </c>
      <c r="H77" s="29">
        <f t="shared" si="1"/>
        <v>40743.019999999997</v>
      </c>
    </row>
    <row r="78" spans="1:8">
      <c r="A78" s="12" t="s">
        <v>66</v>
      </c>
      <c r="B78" s="12" t="s">
        <v>21</v>
      </c>
      <c r="C78" s="12" t="s">
        <v>53</v>
      </c>
      <c r="D78" s="12" t="s">
        <v>29</v>
      </c>
      <c r="E78" s="26">
        <v>7239.04</v>
      </c>
      <c r="F78" s="26"/>
      <c r="G78" s="34"/>
      <c r="H78" s="29">
        <f t="shared" si="1"/>
        <v>47982.06</v>
      </c>
    </row>
    <row r="79" spans="1:8">
      <c r="A79" s="12" t="s">
        <v>66</v>
      </c>
      <c r="B79" s="20" t="s">
        <v>25</v>
      </c>
      <c r="C79" s="12"/>
      <c r="D79" s="12"/>
      <c r="E79" s="26"/>
      <c r="F79" s="26"/>
      <c r="G79" s="34">
        <v>2712</v>
      </c>
      <c r="H79" s="29">
        <f t="shared" si="1"/>
        <v>45270.06</v>
      </c>
    </row>
    <row r="80" spans="1:8">
      <c r="A80" s="12" t="s">
        <v>67</v>
      </c>
      <c r="B80" s="12" t="s">
        <v>21</v>
      </c>
      <c r="C80" s="12" t="s">
        <v>53</v>
      </c>
      <c r="D80" s="12" t="s">
        <v>68</v>
      </c>
      <c r="E80" s="26">
        <v>7239.08</v>
      </c>
      <c r="F80" s="26"/>
      <c r="G80" s="34"/>
      <c r="H80" s="29">
        <f t="shared" si="1"/>
        <v>52509.14</v>
      </c>
    </row>
    <row r="81" spans="1:8">
      <c r="A81" s="12" t="s">
        <v>67</v>
      </c>
      <c r="B81" s="12" t="s">
        <v>33</v>
      </c>
      <c r="C81" s="12"/>
      <c r="D81" s="12"/>
      <c r="E81" s="26"/>
      <c r="F81" s="26">
        <v>144.78</v>
      </c>
      <c r="G81" s="34"/>
      <c r="H81" s="29">
        <f t="shared" si="1"/>
        <v>52653.919999999998</v>
      </c>
    </row>
    <row r="82" spans="1:8">
      <c r="A82" s="12" t="s">
        <v>67</v>
      </c>
      <c r="B82" s="20" t="s">
        <v>25</v>
      </c>
      <c r="C82" s="12"/>
      <c r="D82" s="12"/>
      <c r="E82" s="26"/>
      <c r="F82" s="26"/>
      <c r="G82" s="34">
        <v>3720</v>
      </c>
      <c r="H82" s="29">
        <f t="shared" si="1"/>
        <v>48933.919999999998</v>
      </c>
    </row>
    <row r="83" spans="1:8">
      <c r="A83" s="12" t="s">
        <v>69</v>
      </c>
      <c r="B83" s="20" t="s">
        <v>25</v>
      </c>
      <c r="C83" s="12"/>
      <c r="D83" s="12"/>
      <c r="E83" s="26"/>
      <c r="F83" s="26"/>
      <c r="G83" s="34">
        <v>2744</v>
      </c>
      <c r="H83" s="29">
        <f t="shared" si="1"/>
        <v>46189.919999999998</v>
      </c>
    </row>
    <row r="84" spans="1:8">
      <c r="A84" s="12" t="s">
        <v>70</v>
      </c>
      <c r="B84" s="20" t="s">
        <v>25</v>
      </c>
      <c r="C84" s="12"/>
      <c r="D84" s="12"/>
      <c r="E84" s="26"/>
      <c r="F84" s="26"/>
      <c r="G84" s="34">
        <v>4548</v>
      </c>
      <c r="H84" s="29">
        <f t="shared" si="1"/>
        <v>41641.919999999998</v>
      </c>
    </row>
    <row r="85" spans="1:8">
      <c r="A85" s="12" t="s">
        <v>71</v>
      </c>
      <c r="B85" s="20" t="s">
        <v>25</v>
      </c>
      <c r="C85" s="12"/>
      <c r="D85" s="12"/>
      <c r="E85" s="26"/>
      <c r="F85" s="26"/>
      <c r="G85" s="34">
        <v>2688</v>
      </c>
      <c r="H85" s="29">
        <f t="shared" si="1"/>
        <v>38953.919999999998</v>
      </c>
    </row>
    <row r="86" spans="1:8">
      <c r="A86" s="12" t="s">
        <v>72</v>
      </c>
      <c r="B86" s="12" t="s">
        <v>21</v>
      </c>
      <c r="C86" s="12" t="s">
        <v>74</v>
      </c>
      <c r="D86" s="12" t="s">
        <v>24</v>
      </c>
      <c r="E86" s="26">
        <v>3200.1</v>
      </c>
      <c r="F86" s="26"/>
      <c r="G86" s="34"/>
      <c r="H86" s="29">
        <f t="shared" si="1"/>
        <v>42154.02</v>
      </c>
    </row>
    <row r="87" spans="1:8">
      <c r="A87" s="12" t="s">
        <v>72</v>
      </c>
      <c r="B87" s="20" t="s">
        <v>25</v>
      </c>
      <c r="C87" s="12"/>
      <c r="D87" s="12"/>
      <c r="E87" s="26"/>
      <c r="F87" s="26"/>
      <c r="G87" s="34">
        <v>1212</v>
      </c>
      <c r="H87" s="29">
        <f t="shared" si="1"/>
        <v>40942.019999999997</v>
      </c>
    </row>
    <row r="88" spans="1:8">
      <c r="A88" s="12" t="s">
        <v>73</v>
      </c>
      <c r="B88" s="20" t="s">
        <v>25</v>
      </c>
      <c r="C88" s="12"/>
      <c r="D88" s="12"/>
      <c r="E88" s="26"/>
      <c r="F88" s="26"/>
      <c r="G88" s="34">
        <v>3344</v>
      </c>
      <c r="H88" s="29">
        <f t="shared" si="1"/>
        <v>37598.019999999997</v>
      </c>
    </row>
    <row r="89" spans="1:8">
      <c r="A89" s="12" t="s">
        <v>92</v>
      </c>
      <c r="B89" s="20" t="s">
        <v>25</v>
      </c>
      <c r="C89" s="12"/>
      <c r="D89" s="12"/>
      <c r="E89" s="26"/>
      <c r="F89" s="26"/>
      <c r="G89" s="34">
        <v>7394</v>
      </c>
      <c r="H89" s="29">
        <f t="shared" si="1"/>
        <v>30204.019999999997</v>
      </c>
    </row>
    <row r="90" spans="1:8">
      <c r="A90" s="12" t="s">
        <v>93</v>
      </c>
      <c r="B90" s="12" t="s">
        <v>21</v>
      </c>
      <c r="C90" s="12" t="s">
        <v>76</v>
      </c>
      <c r="D90" s="12" t="s">
        <v>24</v>
      </c>
      <c r="E90" s="4">
        <v>7044.8</v>
      </c>
      <c r="F90" s="26"/>
      <c r="G90" s="34"/>
      <c r="H90" s="29">
        <f t="shared" si="1"/>
        <v>37248.82</v>
      </c>
    </row>
    <row r="91" spans="1:8">
      <c r="A91" s="12" t="s">
        <v>93</v>
      </c>
      <c r="B91" s="12" t="s">
        <v>21</v>
      </c>
      <c r="C91" s="12" t="s">
        <v>74</v>
      </c>
      <c r="D91" s="12" t="s">
        <v>23</v>
      </c>
      <c r="E91" s="26">
        <v>3200.1</v>
      </c>
      <c r="F91" s="26"/>
      <c r="G91" s="34"/>
      <c r="H91" s="29">
        <f t="shared" si="1"/>
        <v>40448.92</v>
      </c>
    </row>
    <row r="92" spans="1:8">
      <c r="A92" s="12" t="s">
        <v>93</v>
      </c>
      <c r="B92" s="12" t="s">
        <v>25</v>
      </c>
      <c r="C92" s="12"/>
      <c r="D92" s="12"/>
      <c r="E92" s="26"/>
      <c r="F92" s="26"/>
      <c r="G92" s="34">
        <v>7338</v>
      </c>
      <c r="H92" s="29">
        <f t="shared" si="1"/>
        <v>33110.92</v>
      </c>
    </row>
    <row r="93" spans="1:8">
      <c r="A93" s="12" t="s">
        <v>94</v>
      </c>
      <c r="B93" s="12" t="s">
        <v>25</v>
      </c>
      <c r="C93" s="12"/>
      <c r="D93" s="12"/>
      <c r="E93" s="26"/>
      <c r="F93" s="26"/>
      <c r="G93" s="34">
        <v>3624</v>
      </c>
      <c r="H93" s="29">
        <f t="shared" si="1"/>
        <v>29486.92</v>
      </c>
    </row>
    <row r="94" spans="1:8">
      <c r="A94" s="12" t="s">
        <v>94</v>
      </c>
      <c r="B94" s="12" t="s">
        <v>21</v>
      </c>
      <c r="C94" s="12" t="s">
        <v>46</v>
      </c>
      <c r="D94" s="12" t="s">
        <v>68</v>
      </c>
      <c r="E94" s="4">
        <v>7130.5</v>
      </c>
      <c r="F94" s="26"/>
      <c r="G94" s="34"/>
      <c r="H94" s="29">
        <f t="shared" si="1"/>
        <v>36617.42</v>
      </c>
    </row>
    <row r="95" spans="1:8">
      <c r="A95" s="12" t="s">
        <v>94</v>
      </c>
      <c r="B95" s="12" t="s">
        <v>33</v>
      </c>
      <c r="C95" s="12"/>
      <c r="D95" s="12"/>
      <c r="E95" s="26"/>
      <c r="F95" s="26">
        <v>142.61000000000001</v>
      </c>
      <c r="G95" s="34"/>
      <c r="H95" s="29">
        <f t="shared" si="1"/>
        <v>36760.03</v>
      </c>
    </row>
    <row r="96" spans="1:8">
      <c r="A96" s="12" t="s">
        <v>77</v>
      </c>
      <c r="B96" s="12" t="s">
        <v>25</v>
      </c>
      <c r="C96" s="12"/>
      <c r="D96" s="12"/>
      <c r="E96" s="26"/>
      <c r="F96" s="26"/>
      <c r="G96" s="34">
        <v>1704</v>
      </c>
      <c r="H96" s="29">
        <f t="shared" si="1"/>
        <v>35056.03</v>
      </c>
    </row>
    <row r="97" spans="1:8">
      <c r="A97" s="12" t="s">
        <v>78</v>
      </c>
      <c r="B97" s="12" t="s">
        <v>25</v>
      </c>
      <c r="C97" s="12"/>
      <c r="D97" s="12"/>
      <c r="E97" s="4"/>
      <c r="F97" s="26"/>
      <c r="G97" s="34">
        <v>6144</v>
      </c>
      <c r="H97" s="29">
        <f t="shared" si="1"/>
        <v>28912.03</v>
      </c>
    </row>
    <row r="98" spans="1:8">
      <c r="A98" s="12" t="s">
        <v>79</v>
      </c>
      <c r="B98" s="12" t="s">
        <v>21</v>
      </c>
      <c r="C98" s="12" t="s">
        <v>76</v>
      </c>
      <c r="D98" s="12" t="s">
        <v>23</v>
      </c>
      <c r="E98" s="4">
        <v>7044.8</v>
      </c>
      <c r="F98" s="26"/>
      <c r="G98" s="34"/>
      <c r="H98" s="29">
        <f t="shared" si="1"/>
        <v>35956.83</v>
      </c>
    </row>
    <row r="99" spans="1:8">
      <c r="A99" s="12" t="s">
        <v>79</v>
      </c>
      <c r="B99" s="12" t="s">
        <v>21</v>
      </c>
      <c r="C99" s="12" t="s">
        <v>76</v>
      </c>
      <c r="D99" s="12" t="s">
        <v>27</v>
      </c>
      <c r="E99" s="4">
        <v>7044.8</v>
      </c>
      <c r="F99" s="26"/>
      <c r="G99" s="34"/>
      <c r="H99" s="29">
        <f t="shared" si="1"/>
        <v>43001.630000000005</v>
      </c>
    </row>
    <row r="100" spans="1:8">
      <c r="A100" s="12" t="s">
        <v>79</v>
      </c>
      <c r="B100" s="12" t="s">
        <v>25</v>
      </c>
      <c r="C100" s="12"/>
      <c r="D100" s="12"/>
      <c r="E100" s="26"/>
      <c r="F100" s="26"/>
      <c r="G100" s="34">
        <v>3480</v>
      </c>
      <c r="H100" s="29">
        <f t="shared" si="1"/>
        <v>39521.630000000005</v>
      </c>
    </row>
    <row r="101" spans="1:8">
      <c r="A101" s="12" t="s">
        <v>80</v>
      </c>
      <c r="B101" s="12" t="s">
        <v>25</v>
      </c>
      <c r="C101" s="12"/>
      <c r="D101" s="12"/>
      <c r="E101" s="4"/>
      <c r="F101" s="26"/>
      <c r="G101" s="34">
        <v>3288</v>
      </c>
      <c r="H101" s="29">
        <f t="shared" si="1"/>
        <v>36233.630000000005</v>
      </c>
    </row>
    <row r="102" spans="1:8">
      <c r="A102" s="12" t="s">
        <v>81</v>
      </c>
      <c r="B102" s="12" t="s">
        <v>21</v>
      </c>
      <c r="C102" s="12" t="s">
        <v>76</v>
      </c>
      <c r="D102" s="12" t="s">
        <v>29</v>
      </c>
      <c r="E102" s="4">
        <v>7044.8</v>
      </c>
      <c r="F102" s="26"/>
      <c r="G102" s="34"/>
      <c r="H102" s="29">
        <f t="shared" si="1"/>
        <v>43278.430000000008</v>
      </c>
    </row>
    <row r="103" spans="1:8">
      <c r="A103" s="12" t="s">
        <v>81</v>
      </c>
      <c r="B103" s="12" t="s">
        <v>25</v>
      </c>
      <c r="C103" s="12"/>
      <c r="D103" s="12"/>
      <c r="E103" s="4"/>
      <c r="F103" s="26"/>
      <c r="G103" s="34">
        <v>2628</v>
      </c>
      <c r="H103" s="29">
        <f t="shared" si="1"/>
        <v>40650.430000000008</v>
      </c>
    </row>
    <row r="104" spans="1:8">
      <c r="A104" s="12" t="s">
        <v>82</v>
      </c>
      <c r="B104" s="12" t="s">
        <v>25</v>
      </c>
      <c r="C104" s="12"/>
      <c r="D104" s="12"/>
      <c r="E104" s="4"/>
      <c r="F104" s="26"/>
      <c r="G104" s="34">
        <v>3066</v>
      </c>
      <c r="H104" s="29">
        <f t="shared" si="1"/>
        <v>37584.430000000008</v>
      </c>
    </row>
    <row r="105" spans="1:8">
      <c r="A105" s="12" t="s">
        <v>83</v>
      </c>
      <c r="B105" s="12" t="s">
        <v>25</v>
      </c>
      <c r="C105" s="12"/>
      <c r="D105" s="12"/>
      <c r="E105" s="4"/>
      <c r="F105" s="26"/>
      <c r="G105" s="34">
        <v>5832</v>
      </c>
      <c r="H105" s="29">
        <f t="shared" si="1"/>
        <v>31752.430000000008</v>
      </c>
    </row>
    <row r="106" spans="1:8">
      <c r="A106" s="12" t="s">
        <v>84</v>
      </c>
      <c r="B106" s="20" t="s">
        <v>21</v>
      </c>
      <c r="C106" s="12" t="s">
        <v>49</v>
      </c>
      <c r="D106" s="12" t="s">
        <v>27</v>
      </c>
      <c r="E106" s="4">
        <v>3042.56</v>
      </c>
      <c r="F106" s="26"/>
      <c r="G106" s="34"/>
      <c r="H106" s="29">
        <f t="shared" si="1"/>
        <v>34794.990000000005</v>
      </c>
    </row>
    <row r="107" spans="1:8">
      <c r="A107" s="12" t="s">
        <v>84</v>
      </c>
      <c r="B107" s="12" t="s">
        <v>25</v>
      </c>
      <c r="C107" s="12"/>
      <c r="D107" s="12"/>
      <c r="E107" s="4"/>
      <c r="F107" s="26"/>
      <c r="G107" s="34">
        <v>1732</v>
      </c>
      <c r="H107" s="29">
        <f t="shared" si="1"/>
        <v>33062.990000000005</v>
      </c>
    </row>
    <row r="108" spans="1:8">
      <c r="A108" s="12" t="s">
        <v>85</v>
      </c>
      <c r="B108" s="12" t="s">
        <v>25</v>
      </c>
      <c r="C108" s="12"/>
      <c r="D108" s="12"/>
      <c r="E108" s="4"/>
      <c r="F108" s="26"/>
      <c r="G108" s="34">
        <v>5612</v>
      </c>
      <c r="H108" s="29">
        <f t="shared" si="1"/>
        <v>27450.990000000005</v>
      </c>
    </row>
    <row r="109" spans="1:8">
      <c r="A109" s="12" t="s">
        <v>86</v>
      </c>
      <c r="B109" s="20" t="s">
        <v>25</v>
      </c>
      <c r="C109" s="12"/>
      <c r="D109" s="12"/>
      <c r="E109" s="26"/>
      <c r="F109" s="26"/>
      <c r="G109" s="34">
        <v>2016</v>
      </c>
      <c r="H109" s="29">
        <f t="shared" si="1"/>
        <v>25434.990000000005</v>
      </c>
    </row>
    <row r="110" spans="1:8" ht="15.75" thickBot="1">
      <c r="A110" s="12" t="s">
        <v>87</v>
      </c>
      <c r="B110" s="20" t="s">
        <v>25</v>
      </c>
      <c r="C110" s="12"/>
      <c r="D110" s="12"/>
      <c r="E110" s="26"/>
      <c r="F110" s="26"/>
      <c r="G110" s="34">
        <v>3734</v>
      </c>
      <c r="H110" s="29">
        <f t="shared" si="1"/>
        <v>21700.990000000005</v>
      </c>
    </row>
    <row r="111" spans="1:8" ht="15.75" thickBot="1">
      <c r="A111" s="5" t="s">
        <v>89</v>
      </c>
      <c r="B111" s="21"/>
      <c r="C111" s="8"/>
      <c r="D111" s="11"/>
      <c r="E111" s="24">
        <f>SUM(E68:E110)</f>
        <v>91012.14</v>
      </c>
      <c r="F111" s="39">
        <f>SUM(F68:F110)</f>
        <v>287.39</v>
      </c>
      <c r="G111" s="35">
        <f>SUM(G68:G110)</f>
        <v>90826</v>
      </c>
      <c r="H111" s="30"/>
    </row>
    <row r="131" spans="1:8" ht="19.5" thickBot="1">
      <c r="A131" s="109" t="s">
        <v>95</v>
      </c>
      <c r="B131" s="109"/>
      <c r="C131" s="109"/>
      <c r="D131" s="109"/>
      <c r="E131" s="109"/>
      <c r="F131" s="109"/>
      <c r="G131" s="109"/>
      <c r="H131" s="109"/>
    </row>
    <row r="132" spans="1:8" ht="60.75" thickBot="1">
      <c r="A132" s="14" t="s">
        <v>2</v>
      </c>
      <c r="B132" s="15" t="s">
        <v>0</v>
      </c>
      <c r="C132" s="16" t="s">
        <v>6</v>
      </c>
      <c r="D132" s="17" t="s">
        <v>7</v>
      </c>
      <c r="E132" s="68" t="s">
        <v>3</v>
      </c>
      <c r="F132" s="69" t="s">
        <v>5</v>
      </c>
      <c r="G132" s="70" t="s">
        <v>4</v>
      </c>
      <c r="H132" s="17" t="s">
        <v>1</v>
      </c>
    </row>
    <row r="133" spans="1:8" ht="15.75" thickBot="1">
      <c r="A133" s="12" t="s">
        <v>91</v>
      </c>
      <c r="B133" s="19" t="s">
        <v>8</v>
      </c>
      <c r="C133" s="22"/>
      <c r="D133" s="3"/>
      <c r="E133" s="2"/>
      <c r="F133" s="71"/>
      <c r="G133" s="67"/>
      <c r="H133" s="30">
        <v>21700.99</v>
      </c>
    </row>
    <row r="134" spans="1:8">
      <c r="A134" s="12" t="s">
        <v>91</v>
      </c>
      <c r="B134" s="12" t="s">
        <v>21</v>
      </c>
      <c r="C134" s="12" t="s">
        <v>76</v>
      </c>
      <c r="D134" s="12" t="s">
        <v>68</v>
      </c>
      <c r="E134" s="4">
        <v>7044.84</v>
      </c>
      <c r="F134" s="71"/>
      <c r="G134" s="34"/>
      <c r="H134" s="29">
        <f>H133+E134+F134-G134</f>
        <v>28745.83</v>
      </c>
    </row>
    <row r="135" spans="1:8">
      <c r="A135" s="12" t="s">
        <v>91</v>
      </c>
      <c r="B135" s="12" t="s">
        <v>33</v>
      </c>
      <c r="C135" s="12"/>
      <c r="D135" s="12"/>
      <c r="E135" s="4"/>
      <c r="F135" s="71">
        <v>140.9</v>
      </c>
      <c r="G135" s="34"/>
      <c r="H135" s="29">
        <f t="shared" ref="H135:H181" si="2">H134+E135+F135-G135</f>
        <v>28886.730000000003</v>
      </c>
    </row>
    <row r="136" spans="1:8">
      <c r="A136" s="12" t="s">
        <v>91</v>
      </c>
      <c r="B136" s="12" t="s">
        <v>25</v>
      </c>
      <c r="C136" s="12"/>
      <c r="D136" s="12"/>
      <c r="E136" s="4"/>
      <c r="F136" s="26"/>
      <c r="G136" s="34">
        <v>3876</v>
      </c>
      <c r="H136" s="29">
        <f t="shared" si="2"/>
        <v>25010.730000000003</v>
      </c>
    </row>
    <row r="137" spans="1:8">
      <c r="A137" s="12" t="s">
        <v>96</v>
      </c>
      <c r="B137" s="20" t="s">
        <v>25</v>
      </c>
      <c r="C137" s="12"/>
      <c r="D137" s="12"/>
      <c r="E137" s="26"/>
      <c r="F137" s="26"/>
      <c r="G137" s="34">
        <v>2472</v>
      </c>
      <c r="H137" s="29">
        <f t="shared" si="2"/>
        <v>22538.730000000003</v>
      </c>
    </row>
    <row r="138" spans="1:8">
      <c r="A138" s="12" t="s">
        <v>97</v>
      </c>
      <c r="B138" s="20" t="s">
        <v>21</v>
      </c>
      <c r="C138" s="12" t="s">
        <v>74</v>
      </c>
      <c r="D138" s="12" t="s">
        <v>27</v>
      </c>
      <c r="E138" s="26">
        <v>3200.1</v>
      </c>
      <c r="F138" s="26"/>
      <c r="G138" s="34"/>
      <c r="H138" s="29">
        <f t="shared" si="2"/>
        <v>25738.83</v>
      </c>
    </row>
    <row r="139" spans="1:8">
      <c r="A139" s="12" t="s">
        <v>97</v>
      </c>
      <c r="B139" s="20" t="s">
        <v>25</v>
      </c>
      <c r="C139" s="12"/>
      <c r="D139" s="12"/>
      <c r="E139" s="4"/>
      <c r="F139" s="26"/>
      <c r="G139" s="34">
        <v>3360</v>
      </c>
      <c r="H139" s="29">
        <f t="shared" si="2"/>
        <v>22378.83</v>
      </c>
    </row>
    <row r="140" spans="1:8">
      <c r="A140" s="12" t="s">
        <v>98</v>
      </c>
      <c r="B140" s="12" t="s">
        <v>21</v>
      </c>
      <c r="C140" s="12" t="s">
        <v>109</v>
      </c>
      <c r="D140" s="12" t="s">
        <v>24</v>
      </c>
      <c r="E140" s="4">
        <v>7064</v>
      </c>
      <c r="F140" s="26"/>
      <c r="G140" s="34"/>
      <c r="H140" s="29">
        <f t="shared" si="2"/>
        <v>29442.83</v>
      </c>
    </row>
    <row r="141" spans="1:8">
      <c r="A141" s="12" t="s">
        <v>98</v>
      </c>
      <c r="B141" s="12" t="s">
        <v>25</v>
      </c>
      <c r="C141" s="12"/>
      <c r="D141" s="12"/>
      <c r="E141" s="26"/>
      <c r="F141" s="26"/>
      <c r="G141" s="34">
        <v>4410</v>
      </c>
      <c r="H141" s="29">
        <f t="shared" si="2"/>
        <v>25032.83</v>
      </c>
    </row>
    <row r="142" spans="1:8">
      <c r="A142" s="12" t="s">
        <v>99</v>
      </c>
      <c r="B142" s="12" t="s">
        <v>21</v>
      </c>
      <c r="C142" s="12" t="s">
        <v>109</v>
      </c>
      <c r="D142" s="12" t="s">
        <v>23</v>
      </c>
      <c r="E142" s="4">
        <v>7064</v>
      </c>
      <c r="F142" s="71"/>
      <c r="G142" s="34"/>
      <c r="H142" s="29">
        <f t="shared" si="2"/>
        <v>32096.83</v>
      </c>
    </row>
    <row r="143" spans="1:8">
      <c r="A143" s="12" t="s">
        <v>99</v>
      </c>
      <c r="B143" s="12" t="s">
        <v>25</v>
      </c>
      <c r="C143" s="12"/>
      <c r="D143" s="12"/>
      <c r="E143" s="26"/>
      <c r="F143" s="26"/>
      <c r="G143" s="34">
        <v>2424</v>
      </c>
      <c r="H143" s="29">
        <f t="shared" si="2"/>
        <v>29672.83</v>
      </c>
    </row>
    <row r="144" spans="1:8">
      <c r="A144" s="12" t="s">
        <v>100</v>
      </c>
      <c r="B144" s="20" t="s">
        <v>21</v>
      </c>
      <c r="C144" s="12" t="s">
        <v>74</v>
      </c>
      <c r="D144" s="12" t="s">
        <v>29</v>
      </c>
      <c r="E144" s="26">
        <v>3200.1</v>
      </c>
      <c r="F144" s="26"/>
      <c r="G144" s="34"/>
      <c r="H144" s="29">
        <f t="shared" si="2"/>
        <v>32872.93</v>
      </c>
    </row>
    <row r="145" spans="1:8">
      <c r="A145" s="12" t="s">
        <v>100</v>
      </c>
      <c r="B145" s="20" t="s">
        <v>25</v>
      </c>
      <c r="C145" s="12"/>
      <c r="D145" s="12"/>
      <c r="E145" s="26"/>
      <c r="F145" s="26"/>
      <c r="G145" s="34">
        <v>4236</v>
      </c>
      <c r="H145" s="29">
        <f t="shared" si="2"/>
        <v>28636.93</v>
      </c>
    </row>
    <row r="146" spans="1:8">
      <c r="A146" s="12" t="s">
        <v>101</v>
      </c>
      <c r="B146" s="12" t="s">
        <v>25</v>
      </c>
      <c r="C146" s="12"/>
      <c r="D146" s="12"/>
      <c r="E146" s="26"/>
      <c r="F146" s="26"/>
      <c r="G146" s="34">
        <v>4080</v>
      </c>
      <c r="H146" s="29">
        <f t="shared" si="2"/>
        <v>24556.93</v>
      </c>
    </row>
    <row r="147" spans="1:8">
      <c r="A147" s="12" t="s">
        <v>102</v>
      </c>
      <c r="B147" s="20" t="s">
        <v>21</v>
      </c>
      <c r="C147" s="12" t="s">
        <v>111</v>
      </c>
      <c r="D147" s="12" t="s">
        <v>24</v>
      </c>
      <c r="E147" s="4">
        <v>7457.9</v>
      </c>
      <c r="F147" s="26"/>
      <c r="G147" s="34"/>
      <c r="H147" s="29">
        <f t="shared" si="2"/>
        <v>32014.83</v>
      </c>
    </row>
    <row r="148" spans="1:8">
      <c r="A148" s="12" t="s">
        <v>102</v>
      </c>
      <c r="B148" s="20" t="s">
        <v>25</v>
      </c>
      <c r="C148" s="12"/>
      <c r="D148" s="12"/>
      <c r="E148" s="26"/>
      <c r="F148" s="26"/>
      <c r="G148" s="34">
        <v>2376</v>
      </c>
      <c r="H148" s="29">
        <f t="shared" si="2"/>
        <v>29638.83</v>
      </c>
    </row>
    <row r="149" spans="1:8">
      <c r="A149" s="12" t="s">
        <v>103</v>
      </c>
      <c r="B149" s="20" t="s">
        <v>25</v>
      </c>
      <c r="C149" s="12"/>
      <c r="D149" s="12"/>
      <c r="E149" s="26"/>
      <c r="F149" s="26"/>
      <c r="G149" s="34">
        <v>4272</v>
      </c>
      <c r="H149" s="29">
        <f t="shared" si="2"/>
        <v>25366.83</v>
      </c>
    </row>
    <row r="150" spans="1:8">
      <c r="A150" s="12" t="s">
        <v>104</v>
      </c>
      <c r="B150" s="20" t="s">
        <v>25</v>
      </c>
      <c r="C150" s="12"/>
      <c r="D150" s="12"/>
      <c r="E150" s="26"/>
      <c r="F150" s="26"/>
      <c r="G150" s="34">
        <v>4632</v>
      </c>
      <c r="H150" s="29">
        <f t="shared" si="2"/>
        <v>20734.830000000002</v>
      </c>
    </row>
    <row r="151" spans="1:8">
      <c r="A151" s="12" t="s">
        <v>105</v>
      </c>
      <c r="B151" s="12" t="s">
        <v>21</v>
      </c>
      <c r="C151" s="12" t="s">
        <v>74</v>
      </c>
      <c r="D151" s="12" t="s">
        <v>68</v>
      </c>
      <c r="E151" s="26">
        <v>3200.18</v>
      </c>
      <c r="F151" s="26"/>
      <c r="G151" s="34"/>
      <c r="H151" s="29">
        <f t="shared" si="2"/>
        <v>23935.010000000002</v>
      </c>
    </row>
    <row r="152" spans="1:8">
      <c r="A152" s="12" t="s">
        <v>105</v>
      </c>
      <c r="B152" s="20" t="s">
        <v>33</v>
      </c>
      <c r="C152" s="12"/>
      <c r="D152" s="12"/>
      <c r="E152" s="26"/>
      <c r="F152" s="26">
        <v>64</v>
      </c>
      <c r="G152" s="34"/>
      <c r="H152" s="29">
        <f t="shared" si="2"/>
        <v>23999.010000000002</v>
      </c>
    </row>
    <row r="153" spans="1:8">
      <c r="A153" s="12" t="s">
        <v>105</v>
      </c>
      <c r="B153" s="20" t="s">
        <v>25</v>
      </c>
      <c r="C153" s="12"/>
      <c r="D153" s="12"/>
      <c r="E153" s="26"/>
      <c r="F153" s="26"/>
      <c r="G153" s="34">
        <v>4764</v>
      </c>
      <c r="H153" s="29">
        <f t="shared" si="2"/>
        <v>19235.010000000002</v>
      </c>
    </row>
    <row r="154" spans="1:8">
      <c r="A154" s="12" t="s">
        <v>106</v>
      </c>
      <c r="B154" s="20" t="s">
        <v>25</v>
      </c>
      <c r="C154" s="12"/>
      <c r="D154" s="12"/>
      <c r="E154" s="26"/>
      <c r="F154" s="26"/>
      <c r="G154" s="34"/>
      <c r="H154" s="29">
        <f t="shared" si="2"/>
        <v>19235.010000000002</v>
      </c>
    </row>
    <row r="155" spans="1:8">
      <c r="A155" s="12" t="s">
        <v>107</v>
      </c>
      <c r="B155" s="20" t="s">
        <v>25</v>
      </c>
      <c r="C155" s="12"/>
      <c r="D155" s="12"/>
      <c r="E155" s="26"/>
      <c r="F155" s="26"/>
      <c r="G155" s="34">
        <v>2658</v>
      </c>
      <c r="H155" s="29">
        <f t="shared" si="2"/>
        <v>16577.010000000002</v>
      </c>
    </row>
    <row r="156" spans="1:8">
      <c r="A156" s="12" t="s">
        <v>108</v>
      </c>
      <c r="B156" s="12" t="s">
        <v>21</v>
      </c>
      <c r="C156" s="12" t="s">
        <v>111</v>
      </c>
      <c r="D156" s="12" t="s">
        <v>23</v>
      </c>
      <c r="E156" s="4">
        <v>7457.9</v>
      </c>
      <c r="F156" s="26"/>
      <c r="G156" s="34"/>
      <c r="H156" s="29">
        <f t="shared" si="2"/>
        <v>24034.910000000003</v>
      </c>
    </row>
    <row r="157" spans="1:8">
      <c r="A157" s="12" t="s">
        <v>108</v>
      </c>
      <c r="B157" s="12" t="s">
        <v>25</v>
      </c>
      <c r="C157" s="12"/>
      <c r="D157" s="12"/>
      <c r="E157" s="26"/>
      <c r="F157" s="26"/>
      <c r="G157" s="34">
        <v>1330</v>
      </c>
      <c r="H157" s="29">
        <f t="shared" si="2"/>
        <v>22704.910000000003</v>
      </c>
    </row>
    <row r="158" spans="1:8">
      <c r="A158" s="12" t="s">
        <v>113</v>
      </c>
      <c r="B158" s="12" t="s">
        <v>25</v>
      </c>
      <c r="C158" s="12"/>
      <c r="D158" s="12"/>
      <c r="E158" s="26"/>
      <c r="F158" s="26"/>
      <c r="G158" s="34">
        <v>5742</v>
      </c>
      <c r="H158" s="29">
        <f t="shared" si="2"/>
        <v>16962.910000000003</v>
      </c>
    </row>
    <row r="159" spans="1:8">
      <c r="A159" s="12" t="s">
        <v>114</v>
      </c>
      <c r="B159" s="12" t="s">
        <v>25</v>
      </c>
      <c r="C159" s="12"/>
      <c r="D159" s="12"/>
      <c r="E159" s="4"/>
      <c r="F159" s="26"/>
      <c r="G159" s="34">
        <v>3648</v>
      </c>
      <c r="H159" s="29">
        <f t="shared" si="2"/>
        <v>13314.910000000003</v>
      </c>
    </row>
    <row r="160" spans="1:8">
      <c r="A160" s="12" t="s">
        <v>115</v>
      </c>
      <c r="B160" s="12" t="s">
        <v>21</v>
      </c>
      <c r="C160" s="12" t="s">
        <v>111</v>
      </c>
      <c r="D160" s="12" t="s">
        <v>27</v>
      </c>
      <c r="E160" s="4">
        <v>7457.9</v>
      </c>
      <c r="F160" s="26"/>
      <c r="G160" s="34"/>
      <c r="H160" s="29">
        <f t="shared" si="2"/>
        <v>20772.810000000005</v>
      </c>
    </row>
    <row r="161" spans="1:8">
      <c r="A161" s="12" t="s">
        <v>115</v>
      </c>
      <c r="B161" s="12" t="s">
        <v>25</v>
      </c>
      <c r="C161" s="12"/>
      <c r="D161" s="12"/>
      <c r="E161" s="26"/>
      <c r="F161" s="26"/>
      <c r="G161" s="34">
        <v>3270</v>
      </c>
      <c r="H161" s="29">
        <f t="shared" si="2"/>
        <v>17502.810000000005</v>
      </c>
    </row>
    <row r="162" spans="1:8">
      <c r="A162" s="12" t="s">
        <v>116</v>
      </c>
      <c r="B162" s="12" t="s">
        <v>25</v>
      </c>
      <c r="C162" s="12"/>
      <c r="D162" s="12"/>
      <c r="E162" s="4"/>
      <c r="F162" s="26"/>
      <c r="G162" s="34">
        <v>2308</v>
      </c>
      <c r="H162" s="29">
        <f t="shared" si="2"/>
        <v>15194.810000000005</v>
      </c>
    </row>
    <row r="163" spans="1:8">
      <c r="A163" s="12" t="s">
        <v>117</v>
      </c>
      <c r="B163" s="12" t="s">
        <v>25</v>
      </c>
      <c r="C163" s="12"/>
      <c r="D163" s="12"/>
      <c r="E163" s="4"/>
      <c r="F163" s="26"/>
      <c r="G163" s="34">
        <v>5022</v>
      </c>
      <c r="H163" s="29">
        <f t="shared" si="2"/>
        <v>10172.810000000005</v>
      </c>
    </row>
    <row r="164" spans="1:8">
      <c r="A164" s="12" t="s">
        <v>118</v>
      </c>
      <c r="B164" s="12" t="s">
        <v>21</v>
      </c>
      <c r="C164" s="12" t="s">
        <v>111</v>
      </c>
      <c r="D164" s="12" t="s">
        <v>29</v>
      </c>
      <c r="E164" s="4">
        <v>7457.9</v>
      </c>
      <c r="F164" s="26"/>
      <c r="G164" s="34"/>
      <c r="H164" s="29">
        <f t="shared" si="2"/>
        <v>17630.710000000006</v>
      </c>
    </row>
    <row r="165" spans="1:8">
      <c r="A165" s="12" t="s">
        <v>118</v>
      </c>
      <c r="B165" s="12" t="s">
        <v>25</v>
      </c>
      <c r="C165" s="12"/>
      <c r="D165" s="12"/>
      <c r="E165" s="26"/>
      <c r="F165" s="26"/>
      <c r="G165" s="34">
        <v>2544</v>
      </c>
      <c r="H165" s="29">
        <f t="shared" si="2"/>
        <v>15086.710000000006</v>
      </c>
    </row>
    <row r="166" spans="1:8">
      <c r="A166" s="12" t="s">
        <v>119</v>
      </c>
      <c r="B166" s="12" t="s">
        <v>25</v>
      </c>
      <c r="C166" s="12"/>
      <c r="D166" s="12"/>
      <c r="E166" s="4"/>
      <c r="F166" s="26"/>
      <c r="G166" s="34">
        <v>6384</v>
      </c>
      <c r="H166" s="29">
        <f t="shared" si="2"/>
        <v>8702.7100000000064</v>
      </c>
    </row>
    <row r="167" spans="1:8">
      <c r="A167" s="12" t="s">
        <v>120</v>
      </c>
      <c r="B167" s="12" t="s">
        <v>21</v>
      </c>
      <c r="C167" s="12" t="s">
        <v>111</v>
      </c>
      <c r="D167" s="12" t="s">
        <v>68</v>
      </c>
      <c r="E167" s="4">
        <f>7457+9.2</f>
        <v>7466.2</v>
      </c>
      <c r="F167" s="26"/>
      <c r="G167" s="34"/>
      <c r="H167" s="29">
        <f t="shared" si="2"/>
        <v>16168.910000000007</v>
      </c>
    </row>
    <row r="168" spans="1:8">
      <c r="A168" s="12" t="s">
        <v>120</v>
      </c>
      <c r="B168" s="12" t="s">
        <v>33</v>
      </c>
      <c r="C168" s="12"/>
      <c r="D168" s="12"/>
      <c r="E168" s="4"/>
      <c r="F168" s="26">
        <v>140.9</v>
      </c>
      <c r="G168" s="34"/>
      <c r="H168" s="29">
        <f t="shared" si="2"/>
        <v>16309.810000000007</v>
      </c>
    </row>
    <row r="169" spans="1:8">
      <c r="A169" s="12" t="s">
        <v>120</v>
      </c>
      <c r="B169" s="12" t="s">
        <v>21</v>
      </c>
      <c r="C169" s="12" t="s">
        <v>49</v>
      </c>
      <c r="D169" s="12" t="s">
        <v>29</v>
      </c>
      <c r="E169" s="4">
        <v>3042.56</v>
      </c>
      <c r="F169" s="26"/>
      <c r="G169" s="34"/>
      <c r="H169" s="29">
        <f t="shared" si="2"/>
        <v>19352.370000000006</v>
      </c>
    </row>
    <row r="170" spans="1:8">
      <c r="A170" s="12" t="s">
        <v>120</v>
      </c>
      <c r="B170" s="12" t="s">
        <v>25</v>
      </c>
      <c r="C170" s="12"/>
      <c r="D170" s="12"/>
      <c r="E170" s="4"/>
      <c r="F170" s="26"/>
      <c r="G170" s="34">
        <v>4868</v>
      </c>
      <c r="H170" s="29">
        <f t="shared" si="2"/>
        <v>14484.370000000006</v>
      </c>
    </row>
    <row r="171" spans="1:8">
      <c r="A171" s="12" t="s">
        <v>121</v>
      </c>
      <c r="B171" s="20" t="s">
        <v>25</v>
      </c>
      <c r="C171" s="12"/>
      <c r="D171" s="12"/>
      <c r="E171" s="4"/>
      <c r="F171" s="26"/>
      <c r="G171" s="34">
        <v>6694</v>
      </c>
      <c r="H171" s="29">
        <f t="shared" si="2"/>
        <v>7790.3700000000063</v>
      </c>
    </row>
    <row r="172" spans="1:8">
      <c r="A172" s="12" t="s">
        <v>123</v>
      </c>
      <c r="B172" s="12" t="s">
        <v>21</v>
      </c>
      <c r="C172" s="12" t="s">
        <v>109</v>
      </c>
      <c r="D172" s="12" t="s">
        <v>27</v>
      </c>
      <c r="E172" s="4">
        <v>7064</v>
      </c>
      <c r="F172" s="26"/>
      <c r="G172" s="34"/>
      <c r="H172" s="29">
        <f t="shared" si="2"/>
        <v>14854.370000000006</v>
      </c>
    </row>
    <row r="173" spans="1:8">
      <c r="A173" s="12" t="s">
        <v>123</v>
      </c>
      <c r="B173" s="12" t="s">
        <v>25</v>
      </c>
      <c r="C173" s="12"/>
      <c r="D173" s="12"/>
      <c r="E173" s="4"/>
      <c r="F173" s="26"/>
      <c r="G173" s="34">
        <v>6030</v>
      </c>
      <c r="H173" s="29">
        <f t="shared" si="2"/>
        <v>8824.3700000000063</v>
      </c>
    </row>
    <row r="174" spans="1:8">
      <c r="A174" s="12" t="s">
        <v>127</v>
      </c>
      <c r="B174" s="20" t="s">
        <v>21</v>
      </c>
      <c r="C174" s="12" t="s">
        <v>109</v>
      </c>
      <c r="D174" s="12" t="s">
        <v>29</v>
      </c>
      <c r="E174" s="4">
        <v>7064</v>
      </c>
      <c r="F174" s="26"/>
      <c r="G174" s="34"/>
      <c r="H174" s="29">
        <f t="shared" si="2"/>
        <v>15888.370000000006</v>
      </c>
    </row>
    <row r="175" spans="1:8">
      <c r="A175" s="12" t="s">
        <v>124</v>
      </c>
      <c r="B175" s="20" t="s">
        <v>21</v>
      </c>
      <c r="C175" s="12" t="s">
        <v>109</v>
      </c>
      <c r="D175" s="12" t="s">
        <v>68</v>
      </c>
      <c r="E175" s="4">
        <v>7064</v>
      </c>
      <c r="F175" s="26"/>
      <c r="G175" s="34"/>
      <c r="H175" s="29">
        <f t="shared" si="2"/>
        <v>22952.370000000006</v>
      </c>
    </row>
    <row r="176" spans="1:8">
      <c r="A176" s="12" t="s">
        <v>124</v>
      </c>
      <c r="B176" s="20" t="s">
        <v>33</v>
      </c>
      <c r="C176" s="12"/>
      <c r="D176" s="12"/>
      <c r="E176" s="26"/>
      <c r="F176" s="26">
        <v>141.28</v>
      </c>
      <c r="G176" s="34"/>
      <c r="H176" s="29">
        <f t="shared" si="2"/>
        <v>23093.650000000005</v>
      </c>
    </row>
    <row r="177" spans="1:8">
      <c r="A177" s="12" t="s">
        <v>124</v>
      </c>
      <c r="B177" s="20" t="s">
        <v>25</v>
      </c>
      <c r="C177" s="12"/>
      <c r="D177" s="12"/>
      <c r="E177" s="26"/>
      <c r="F177" s="26"/>
      <c r="G177" s="34">
        <v>7736</v>
      </c>
      <c r="H177" s="29">
        <f t="shared" si="2"/>
        <v>15357.650000000005</v>
      </c>
    </row>
    <row r="178" spans="1:8">
      <c r="A178" s="12" t="s">
        <v>125</v>
      </c>
      <c r="B178" s="20" t="s">
        <v>25</v>
      </c>
      <c r="C178" s="12"/>
      <c r="D178" s="12"/>
      <c r="E178" s="40"/>
      <c r="F178" s="26"/>
      <c r="G178" s="34">
        <v>3584</v>
      </c>
      <c r="H178" s="29">
        <f t="shared" si="2"/>
        <v>11773.650000000005</v>
      </c>
    </row>
    <row r="179" spans="1:8">
      <c r="A179" s="12" t="s">
        <v>125</v>
      </c>
      <c r="B179" s="12" t="s">
        <v>21</v>
      </c>
      <c r="C179" s="12" t="s">
        <v>74</v>
      </c>
      <c r="D179" s="12" t="s">
        <v>24</v>
      </c>
      <c r="E179" s="26">
        <v>3717</v>
      </c>
      <c r="F179" s="26"/>
      <c r="G179" s="34"/>
      <c r="H179" s="29">
        <f t="shared" si="2"/>
        <v>15490.650000000005</v>
      </c>
    </row>
    <row r="180" spans="1:8">
      <c r="A180" s="12" t="s">
        <v>126</v>
      </c>
      <c r="B180" s="12" t="s">
        <v>21</v>
      </c>
      <c r="C180" s="12" t="s">
        <v>22</v>
      </c>
      <c r="D180" s="12" t="s">
        <v>24</v>
      </c>
      <c r="E180" s="4">
        <v>7506.7</v>
      </c>
      <c r="F180" s="26"/>
      <c r="G180" s="34"/>
      <c r="H180" s="29">
        <f t="shared" si="2"/>
        <v>22997.350000000006</v>
      </c>
    </row>
    <row r="181" spans="1:8" ht="15.75" thickBot="1">
      <c r="A181" s="12" t="s">
        <v>126</v>
      </c>
      <c r="B181" s="20" t="s">
        <v>25</v>
      </c>
      <c r="C181" s="12"/>
      <c r="D181" s="12"/>
      <c r="E181" s="25"/>
      <c r="F181" s="26"/>
      <c r="G181" s="34">
        <v>4098</v>
      </c>
      <c r="H181" s="29">
        <f t="shared" si="2"/>
        <v>18899.350000000006</v>
      </c>
    </row>
    <row r="182" spans="1:8" ht="15.75" thickBot="1">
      <c r="A182" s="5" t="s">
        <v>88</v>
      </c>
      <c r="B182" s="21"/>
      <c r="C182" s="8"/>
      <c r="D182" s="11"/>
      <c r="E182" s="24">
        <f>SUM(E133:E181)</f>
        <v>103529.28</v>
      </c>
      <c r="F182" s="39">
        <f>SUM(F133:F181)</f>
        <v>487.08000000000004</v>
      </c>
      <c r="G182" s="35">
        <f>SUM(G133:G181)</f>
        <v>106818</v>
      </c>
      <c r="H182" s="30"/>
    </row>
  </sheetData>
  <mergeCells count="3">
    <mergeCell ref="A1:H1"/>
    <mergeCell ref="A66:H66"/>
    <mergeCell ref="A131:H13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2021-22</vt:lpstr>
      <vt:lpstr>May 2021</vt:lpstr>
      <vt:lpstr>June 2021</vt:lpstr>
      <vt:lpstr>July 2021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2021-10-08T06:06:57Z</cp:lastPrinted>
  <dcterms:created xsi:type="dcterms:W3CDTF">2017-04-20T06:09:09Z</dcterms:created>
  <dcterms:modified xsi:type="dcterms:W3CDTF">2021-10-11T10:30:11Z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