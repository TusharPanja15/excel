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usharpanja\Documents\GitHub\excel\"/>
    </mc:Choice>
  </mc:AlternateContent>
  <xr:revisionPtr revIDLastSave="0" documentId="13_ncr:1_{F0EB011A-9E75-4F97-8085-437899F21784}" xr6:coauthVersionLast="47" xr6:coauthVersionMax="47" xr10:uidLastSave="{00000000-0000-0000-0000-000000000000}"/>
  <bookViews>
    <workbookView xWindow="-120" yWindow="-120" windowWidth="20730" windowHeight="11160" firstSheet="1" activeTab="6" xr2:uid="{00000000-000D-0000-FFFF-FFFF00000000}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  <sheet name="October 2021" sheetId="75" r:id="rId7"/>
  </sheets>
  <definedNames>
    <definedName name="_xlnm._FilterDatabase" localSheetId="0" hidden="1">'April 2021-22'!$A$2:$X$3</definedName>
    <definedName name="_xlnm._FilterDatabase" localSheetId="4" hidden="1">'August 2021'!$A$2:$X$53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6" hidden="1">'October 2021'!$A$2:$X$53</definedName>
    <definedName name="_xlnm._FilterDatabase" localSheetId="5" hidden="1">'September 2021'!$A$2:$X$53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2" i="75" l="1"/>
  <c r="V72" i="75" s="1"/>
  <c r="D62" i="75"/>
  <c r="D70" i="75" s="1"/>
  <c r="P70" i="75"/>
  <c r="O70" i="75"/>
  <c r="N70" i="75"/>
  <c r="L70" i="75"/>
  <c r="K70" i="75"/>
  <c r="J70" i="75"/>
  <c r="I70" i="75"/>
  <c r="H70" i="75"/>
  <c r="F70" i="75"/>
  <c r="E70" i="75"/>
  <c r="Q69" i="75"/>
  <c r="Q68" i="75"/>
  <c r="Q67" i="75"/>
  <c r="Q66" i="75"/>
  <c r="Q65" i="75"/>
  <c r="Q64" i="75"/>
  <c r="Q63" i="75"/>
  <c r="Q62" i="75"/>
  <c r="Q61" i="75"/>
  <c r="Q60" i="75"/>
  <c r="Q59" i="75"/>
  <c r="S37" i="75"/>
  <c r="S51" i="75"/>
  <c r="S50" i="75"/>
  <c r="S49" i="75"/>
  <c r="S48" i="75"/>
  <c r="S47" i="75"/>
  <c r="S46" i="75"/>
  <c r="S45" i="75"/>
  <c r="S44" i="75"/>
  <c r="S43" i="75"/>
  <c r="S42" i="75"/>
  <c r="S41" i="75"/>
  <c r="S40" i="75"/>
  <c r="S39" i="75"/>
  <c r="S38" i="75"/>
  <c r="S36" i="75"/>
  <c r="S35" i="75"/>
  <c r="S34" i="75"/>
  <c r="S33" i="75"/>
  <c r="S32" i="75"/>
  <c r="S31" i="75"/>
  <c r="S30" i="75"/>
  <c r="S29" i="75"/>
  <c r="S28" i="75"/>
  <c r="S27" i="75"/>
  <c r="S26" i="75"/>
  <c r="S25" i="75"/>
  <c r="S24" i="75"/>
  <c r="S23" i="75"/>
  <c r="S22" i="75"/>
  <c r="S21" i="75"/>
  <c r="S20" i="75"/>
  <c r="S19" i="75"/>
  <c r="S18" i="75"/>
  <c r="S17" i="75"/>
  <c r="S16" i="75"/>
  <c r="S15" i="75"/>
  <c r="S14" i="75"/>
  <c r="S13" i="75"/>
  <c r="S12" i="75"/>
  <c r="S11" i="75"/>
  <c r="S10" i="75"/>
  <c r="S9" i="75"/>
  <c r="S8" i="75"/>
  <c r="S7" i="75"/>
  <c r="S6" i="75"/>
  <c r="S5" i="75"/>
  <c r="S4" i="75"/>
  <c r="T52" i="75"/>
  <c r="T53" i="75" s="1"/>
  <c r="R52" i="75"/>
  <c r="R53" i="75" s="1"/>
  <c r="Q52" i="75"/>
  <c r="Q53" i="75" s="1"/>
  <c r="P52" i="75"/>
  <c r="P53" i="75" s="1"/>
  <c r="O52" i="75"/>
  <c r="O53" i="75" s="1"/>
  <c r="N52" i="75"/>
  <c r="L52" i="75"/>
  <c r="K52" i="75"/>
  <c r="K53" i="75" s="1"/>
  <c r="J52" i="75"/>
  <c r="J53" i="75" s="1"/>
  <c r="I52" i="75"/>
  <c r="H52" i="75"/>
  <c r="F52" i="75"/>
  <c r="F53" i="75" s="1"/>
  <c r="J67" i="73"/>
  <c r="J70" i="73" s="1"/>
  <c r="S51" i="73"/>
  <c r="S50" i="73"/>
  <c r="S49" i="73"/>
  <c r="S48" i="73"/>
  <c r="S47" i="73"/>
  <c r="S46" i="73"/>
  <c r="S45" i="73"/>
  <c r="S44" i="73"/>
  <c r="S43" i="73"/>
  <c r="S42" i="73"/>
  <c r="S41" i="73"/>
  <c r="S40" i="73"/>
  <c r="S39" i="73"/>
  <c r="S38" i="73"/>
  <c r="S36" i="73"/>
  <c r="S35" i="73"/>
  <c r="S34" i="73"/>
  <c r="F52" i="73"/>
  <c r="F53" i="73" s="1"/>
  <c r="W49" i="73" s="1"/>
  <c r="H52" i="73"/>
  <c r="H53" i="73" s="1"/>
  <c r="I52" i="73"/>
  <c r="I53" i="73" s="1"/>
  <c r="J52" i="73"/>
  <c r="J53" i="73" s="1"/>
  <c r="K52" i="73"/>
  <c r="K53" i="73" s="1"/>
  <c r="L52" i="73"/>
  <c r="L53" i="73" s="1"/>
  <c r="N52" i="73"/>
  <c r="N53" i="73" s="1"/>
  <c r="O52" i="73"/>
  <c r="O53" i="73" s="1"/>
  <c r="P52" i="73"/>
  <c r="P53" i="73" s="1"/>
  <c r="Q52" i="73"/>
  <c r="Q53" i="73" s="1"/>
  <c r="R52" i="73"/>
  <c r="R53" i="73" s="1"/>
  <c r="T52" i="73"/>
  <c r="T53" i="73" s="1"/>
  <c r="Q67" i="73"/>
  <c r="S6" i="73"/>
  <c r="S7" i="73"/>
  <c r="S8" i="73"/>
  <c r="S9" i="73"/>
  <c r="S10" i="73"/>
  <c r="S11" i="73"/>
  <c r="S12" i="73"/>
  <c r="S13" i="73"/>
  <c r="S14" i="73"/>
  <c r="S15" i="73"/>
  <c r="S16" i="73"/>
  <c r="S17" i="73"/>
  <c r="S18" i="73"/>
  <c r="S19" i="73"/>
  <c r="S20" i="73"/>
  <c r="S21" i="73"/>
  <c r="S22" i="73"/>
  <c r="S23" i="73"/>
  <c r="S24" i="73"/>
  <c r="S25" i="73"/>
  <c r="S26" i="73"/>
  <c r="S27" i="73"/>
  <c r="S28" i="73"/>
  <c r="S29" i="73"/>
  <c r="S30" i="73"/>
  <c r="S31" i="73"/>
  <c r="S32" i="73"/>
  <c r="S33" i="73"/>
  <c r="S5" i="73"/>
  <c r="O70" i="73"/>
  <c r="E70" i="73"/>
  <c r="D70" i="73"/>
  <c r="H70" i="73"/>
  <c r="I70" i="73"/>
  <c r="K70" i="73"/>
  <c r="L70" i="73"/>
  <c r="N70" i="73"/>
  <c r="P70" i="73"/>
  <c r="Q72" i="73"/>
  <c r="Q69" i="73"/>
  <c r="Q68" i="73"/>
  <c r="Q66" i="73"/>
  <c r="Q65" i="73"/>
  <c r="Q64" i="73"/>
  <c r="Q63" i="73"/>
  <c r="Q62" i="73"/>
  <c r="Q61" i="73"/>
  <c r="S4" i="73"/>
  <c r="F71" i="72"/>
  <c r="F62" i="72"/>
  <c r="F59" i="72"/>
  <c r="E66" i="72"/>
  <c r="E64" i="72"/>
  <c r="P66" i="72"/>
  <c r="I71" i="72"/>
  <c r="J71" i="72"/>
  <c r="H71" i="72"/>
  <c r="Q70" i="75" l="1"/>
  <c r="D71" i="75"/>
  <c r="V61" i="75"/>
  <c r="V65" i="75"/>
  <c r="V60" i="75"/>
  <c r="V64" i="75"/>
  <c r="S52" i="75"/>
  <c r="V68" i="75"/>
  <c r="L53" i="75"/>
  <c r="V59" i="75"/>
  <c r="H53" i="75"/>
  <c r="V62" i="75"/>
  <c r="V66" i="75"/>
  <c r="V69" i="75"/>
  <c r="I53" i="75"/>
  <c r="N53" i="75"/>
  <c r="V63" i="75"/>
  <c r="S52" i="73"/>
  <c r="S53" i="73" s="1"/>
  <c r="F70" i="73"/>
  <c r="D71" i="73" s="1"/>
  <c r="Q60" i="73"/>
  <c r="V60" i="73" s="1"/>
  <c r="V69" i="73"/>
  <c r="V72" i="73"/>
  <c r="V67" i="73"/>
  <c r="V62" i="73"/>
  <c r="V63" i="73"/>
  <c r="V65" i="73"/>
  <c r="V66" i="73"/>
  <c r="V61" i="73"/>
  <c r="V64" i="73"/>
  <c r="Q59" i="73"/>
  <c r="V68" i="73"/>
  <c r="T52" i="72"/>
  <c r="R52" i="72"/>
  <c r="Q52" i="72"/>
  <c r="P52" i="72"/>
  <c r="O52" i="72"/>
  <c r="N52" i="72"/>
  <c r="L52" i="72"/>
  <c r="K52" i="72"/>
  <c r="J52" i="72"/>
  <c r="I52" i="72"/>
  <c r="H52" i="72"/>
  <c r="F52" i="72"/>
  <c r="S51" i="72"/>
  <c r="S50" i="72"/>
  <c r="S49" i="72"/>
  <c r="S48" i="72"/>
  <c r="S47" i="72"/>
  <c r="S46" i="72"/>
  <c r="S45" i="72"/>
  <c r="S44" i="72"/>
  <c r="S43" i="72"/>
  <c r="S42" i="72"/>
  <c r="S41" i="72"/>
  <c r="S40" i="72"/>
  <c r="S39" i="72"/>
  <c r="S38" i="72"/>
  <c r="S37" i="72"/>
  <c r="S36" i="72"/>
  <c r="S35" i="72"/>
  <c r="S34" i="72"/>
  <c r="S33" i="72"/>
  <c r="S32" i="72"/>
  <c r="S31" i="72"/>
  <c r="S30" i="72"/>
  <c r="S29" i="72"/>
  <c r="S28" i="72"/>
  <c r="S27" i="72"/>
  <c r="S26" i="72"/>
  <c r="S25" i="72"/>
  <c r="S24" i="72"/>
  <c r="S23" i="72"/>
  <c r="O58" i="72"/>
  <c r="V70" i="75" l="1"/>
  <c r="S53" i="75"/>
  <c r="V67" i="75"/>
  <c r="V59" i="73"/>
  <c r="Q70" i="73"/>
  <c r="V70" i="73" s="1"/>
  <c r="Q66" i="72"/>
  <c r="Q59" i="72"/>
  <c r="Q71" i="72"/>
  <c r="N69" i="72"/>
  <c r="L69" i="72"/>
  <c r="K69" i="72"/>
  <c r="H69" i="72"/>
  <c r="Q68" i="72"/>
  <c r="Q67" i="72"/>
  <c r="Q65" i="72"/>
  <c r="P69" i="72"/>
  <c r="Q64" i="72"/>
  <c r="Q63" i="72"/>
  <c r="Q62" i="72"/>
  <c r="Q61" i="72"/>
  <c r="J69" i="72"/>
  <c r="I69" i="72"/>
  <c r="Q60" i="72"/>
  <c r="F69" i="72"/>
  <c r="Q58" i="72"/>
  <c r="T53" i="72"/>
  <c r="Q53" i="72"/>
  <c r="P53" i="72"/>
  <c r="O53" i="72"/>
  <c r="N53" i="72"/>
  <c r="L53" i="72"/>
  <c r="I53" i="72"/>
  <c r="H53" i="72"/>
  <c r="F53" i="72"/>
  <c r="S22" i="72"/>
  <c r="S21" i="72"/>
  <c r="S20" i="72"/>
  <c r="S19" i="72"/>
  <c r="S18" i="72"/>
  <c r="S17" i="72"/>
  <c r="S16" i="72"/>
  <c r="S15" i="72"/>
  <c r="S14" i="72"/>
  <c r="S13" i="72"/>
  <c r="S12" i="72"/>
  <c r="S11" i="72"/>
  <c r="S10" i="72"/>
  <c r="S9" i="72"/>
  <c r="S8" i="72"/>
  <c r="S7" i="72"/>
  <c r="S6" i="72"/>
  <c r="S5" i="72"/>
  <c r="S4" i="72"/>
  <c r="J54" i="68"/>
  <c r="I60" i="71"/>
  <c r="H60" i="71"/>
  <c r="O91" i="71"/>
  <c r="O90" i="71"/>
  <c r="O84" i="71"/>
  <c r="O83" i="71"/>
  <c r="F95" i="71"/>
  <c r="F91" i="71"/>
  <c r="F90" i="71"/>
  <c r="F86" i="71"/>
  <c r="F83" i="71"/>
  <c r="D95" i="71"/>
  <c r="D91" i="71"/>
  <c r="D90" i="71"/>
  <c r="D89" i="71"/>
  <c r="D88" i="71"/>
  <c r="D86" i="71"/>
  <c r="D84" i="71"/>
  <c r="E95" i="71"/>
  <c r="E90" i="71"/>
  <c r="E89" i="71"/>
  <c r="E88" i="71"/>
  <c r="E84" i="71"/>
  <c r="E83" i="71"/>
  <c r="P95" i="71"/>
  <c r="P91" i="71"/>
  <c r="P90" i="71"/>
  <c r="P89" i="71"/>
  <c r="P88" i="71"/>
  <c r="I95" i="71"/>
  <c r="I90" i="71"/>
  <c r="I88" i="71"/>
  <c r="I84" i="71"/>
  <c r="J84" i="71"/>
  <c r="J95" i="71"/>
  <c r="J90" i="71"/>
  <c r="S52" i="72" l="1"/>
  <c r="S53" i="72" s="1"/>
  <c r="V62" i="72"/>
  <c r="V61" i="72"/>
  <c r="J53" i="72"/>
  <c r="V68" i="72"/>
  <c r="V64" i="72"/>
  <c r="V65" i="72"/>
  <c r="K53" i="72"/>
  <c r="V60" i="72"/>
  <c r="V66" i="72"/>
  <c r="V71" i="72"/>
  <c r="Q69" i="72"/>
  <c r="V58" i="72"/>
  <c r="V59" i="72"/>
  <c r="V67" i="72"/>
  <c r="E69" i="72"/>
  <c r="O69" i="72"/>
  <c r="D69" i="72"/>
  <c r="R53" i="72"/>
  <c r="V63" i="72"/>
  <c r="S59" i="71"/>
  <c r="S58" i="71"/>
  <c r="S57" i="71"/>
  <c r="S56" i="71"/>
  <c r="S55" i="71"/>
  <c r="S54" i="71"/>
  <c r="S53" i="71"/>
  <c r="S52" i="71"/>
  <c r="S51" i="71"/>
  <c r="S50" i="71"/>
  <c r="S49" i="71"/>
  <c r="S48" i="71"/>
  <c r="S47" i="71"/>
  <c r="S46" i="71"/>
  <c r="S45" i="71"/>
  <c r="T60" i="71"/>
  <c r="R60" i="71"/>
  <c r="Q60" i="71"/>
  <c r="P60" i="71"/>
  <c r="O60" i="71"/>
  <c r="N60" i="71"/>
  <c r="L60" i="71"/>
  <c r="K60" i="71"/>
  <c r="J60" i="71"/>
  <c r="F60" i="71"/>
  <c r="W19" i="71"/>
  <c r="W21" i="71" s="1"/>
  <c r="S44" i="71"/>
  <c r="S43" i="71"/>
  <c r="S42" i="71"/>
  <c r="S41" i="71"/>
  <c r="S40" i="71"/>
  <c r="S39" i="71"/>
  <c r="S38" i="71"/>
  <c r="S37" i="71"/>
  <c r="S36" i="71"/>
  <c r="S35" i="71"/>
  <c r="S34" i="71"/>
  <c r="S33" i="71"/>
  <c r="S32" i="71"/>
  <c r="S31" i="71"/>
  <c r="O87" i="71"/>
  <c r="O86" i="71"/>
  <c r="O85" i="71"/>
  <c r="O82" i="71"/>
  <c r="D70" i="72" l="1"/>
  <c r="V69" i="72"/>
  <c r="S23" i="71"/>
  <c r="Q95" i="71"/>
  <c r="O93" i="71"/>
  <c r="N93" i="71"/>
  <c r="L93" i="71"/>
  <c r="K93" i="71"/>
  <c r="J93" i="71"/>
  <c r="I93" i="71"/>
  <c r="Q92" i="71"/>
  <c r="Q88" i="71"/>
  <c r="Q87" i="71"/>
  <c r="Q86" i="71"/>
  <c r="Q85" i="71"/>
  <c r="F93" i="71"/>
  <c r="Q83" i="71"/>
  <c r="Q82" i="71"/>
  <c r="T61" i="71"/>
  <c r="Q61" i="71"/>
  <c r="O61" i="71"/>
  <c r="L61" i="71"/>
  <c r="K61" i="71"/>
  <c r="J61" i="71"/>
  <c r="H61" i="71"/>
  <c r="F61" i="71"/>
  <c r="S30" i="71"/>
  <c r="S29" i="71"/>
  <c r="S28" i="71"/>
  <c r="S27" i="71"/>
  <c r="S26" i="71"/>
  <c r="S25" i="71"/>
  <c r="S24" i="71"/>
  <c r="S22" i="71"/>
  <c r="S21" i="71"/>
  <c r="S20" i="71"/>
  <c r="S19" i="71"/>
  <c r="S18" i="71"/>
  <c r="S17" i="71"/>
  <c r="S16" i="71"/>
  <c r="S15" i="71"/>
  <c r="S14" i="71"/>
  <c r="S13" i="71"/>
  <c r="S12" i="71"/>
  <c r="S11" i="71"/>
  <c r="S10" i="71"/>
  <c r="S9" i="71"/>
  <c r="S8" i="71"/>
  <c r="S7" i="71"/>
  <c r="S6" i="71"/>
  <c r="S5" i="71"/>
  <c r="S4" i="71"/>
  <c r="P65" i="70"/>
  <c r="P60" i="70"/>
  <c r="P58" i="70"/>
  <c r="F65" i="70"/>
  <c r="F61" i="70"/>
  <c r="F60" i="70"/>
  <c r="F56" i="70"/>
  <c r="F54" i="70"/>
  <c r="J60" i="70"/>
  <c r="J54" i="70"/>
  <c r="H60" i="70"/>
  <c r="H59" i="70"/>
  <c r="H58" i="70"/>
  <c r="H54" i="70"/>
  <c r="P61" i="70"/>
  <c r="P59" i="70"/>
  <c r="P54" i="70"/>
  <c r="F59" i="70"/>
  <c r="F58" i="70"/>
  <c r="F57" i="70"/>
  <c r="E61" i="70"/>
  <c r="E60" i="70"/>
  <c r="E59" i="70"/>
  <c r="E58" i="70"/>
  <c r="E56" i="70"/>
  <c r="E54" i="70"/>
  <c r="E53" i="70"/>
  <c r="D62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60" i="71" l="1"/>
  <c r="V88" i="71"/>
  <c r="V92" i="71"/>
  <c r="Q84" i="71"/>
  <c r="V84" i="71" s="1"/>
  <c r="P93" i="71"/>
  <c r="Q91" i="71"/>
  <c r="V91" i="71" s="1"/>
  <c r="Q89" i="71"/>
  <c r="V89" i="71" s="1"/>
  <c r="Q90" i="71"/>
  <c r="V90" i="71" s="1"/>
  <c r="H93" i="71"/>
  <c r="V87" i="71"/>
  <c r="V86" i="71"/>
  <c r="V82" i="71"/>
  <c r="I61" i="71"/>
  <c r="R61" i="71"/>
  <c r="V83" i="71"/>
  <c r="N61" i="71"/>
  <c r="V95" i="71"/>
  <c r="V85" i="71"/>
  <c r="E93" i="71"/>
  <c r="D93" i="71"/>
  <c r="P61" i="71"/>
  <c r="Q65" i="70"/>
  <c r="S28" i="70"/>
  <c r="P63" i="70"/>
  <c r="O63" i="70"/>
  <c r="N63" i="70"/>
  <c r="L63" i="70"/>
  <c r="K63" i="70"/>
  <c r="J63" i="70"/>
  <c r="I63" i="70"/>
  <c r="H63" i="70"/>
  <c r="F63" i="70"/>
  <c r="E63" i="70"/>
  <c r="D63" i="70"/>
  <c r="Q62" i="70"/>
  <c r="Q61" i="70"/>
  <c r="Q60" i="70"/>
  <c r="Q59" i="70"/>
  <c r="Q58" i="70"/>
  <c r="Q57" i="70"/>
  <c r="Q56" i="70"/>
  <c r="Q55" i="70"/>
  <c r="Q54" i="70"/>
  <c r="Q53" i="70"/>
  <c r="Q52" i="70"/>
  <c r="T46" i="70"/>
  <c r="R46" i="70"/>
  <c r="V62" i="70" s="1"/>
  <c r="Q46" i="70"/>
  <c r="Q47" i="70" s="1"/>
  <c r="P46" i="70"/>
  <c r="P47" i="70" s="1"/>
  <c r="O46" i="70"/>
  <c r="N46" i="70"/>
  <c r="L46" i="70"/>
  <c r="L47" i="70" s="1"/>
  <c r="K46" i="70"/>
  <c r="K47" i="70" s="1"/>
  <c r="J46" i="70"/>
  <c r="I46" i="70"/>
  <c r="I47" i="70" s="1"/>
  <c r="H46" i="70"/>
  <c r="H47" i="70" s="1"/>
  <c r="F46" i="70"/>
  <c r="F47" i="70" s="1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3" i="70"/>
  <c r="S12" i="70"/>
  <c r="S11" i="70"/>
  <c r="S10" i="70"/>
  <c r="S9" i="70"/>
  <c r="S8" i="70"/>
  <c r="S7" i="70"/>
  <c r="S6" i="70"/>
  <c r="S5" i="70"/>
  <c r="S4" i="70"/>
  <c r="Q42" i="69"/>
  <c r="S4" i="69"/>
  <c r="O46" i="69"/>
  <c r="N46" i="69"/>
  <c r="L46" i="69"/>
  <c r="K46" i="69"/>
  <c r="J46" i="69"/>
  <c r="I46" i="69"/>
  <c r="H46" i="69"/>
  <c r="F46" i="69"/>
  <c r="E46" i="69"/>
  <c r="D46" i="69"/>
  <c r="Q45" i="69"/>
  <c r="Q44" i="69"/>
  <c r="Q43" i="69"/>
  <c r="Q41" i="69"/>
  <c r="Q40" i="69"/>
  <c r="Q39" i="69"/>
  <c r="Q38" i="69"/>
  <c r="Q37" i="69"/>
  <c r="Q36" i="69"/>
  <c r="Q35" i="69"/>
  <c r="T29" i="69"/>
  <c r="R29" i="69"/>
  <c r="R30" i="69" s="1"/>
  <c r="Q29" i="69"/>
  <c r="Q30" i="69" s="1"/>
  <c r="P29" i="69"/>
  <c r="P30" i="69" s="1"/>
  <c r="O29" i="69"/>
  <c r="N29" i="69"/>
  <c r="L29" i="69"/>
  <c r="L30" i="69" s="1"/>
  <c r="K29" i="69"/>
  <c r="K30" i="69" s="1"/>
  <c r="J29" i="69"/>
  <c r="V38" i="69" s="1"/>
  <c r="I29" i="69"/>
  <c r="H29" i="69"/>
  <c r="H30" i="69" s="1"/>
  <c r="F29" i="69"/>
  <c r="F30" i="69" s="1"/>
  <c r="S28" i="69"/>
  <c r="S27" i="69"/>
  <c r="S26" i="69"/>
  <c r="S25" i="69"/>
  <c r="S24" i="69"/>
  <c r="S23" i="69"/>
  <c r="S22" i="69"/>
  <c r="S21" i="69"/>
  <c r="S20" i="69"/>
  <c r="S19" i="69"/>
  <c r="S18" i="69"/>
  <c r="S17" i="69"/>
  <c r="S16" i="69"/>
  <c r="S15" i="69"/>
  <c r="S14" i="69"/>
  <c r="S13" i="69"/>
  <c r="S12" i="69"/>
  <c r="S11" i="69"/>
  <c r="S10" i="69"/>
  <c r="S9" i="69"/>
  <c r="S8" i="69"/>
  <c r="S7" i="69"/>
  <c r="S6" i="69"/>
  <c r="S5" i="69"/>
  <c r="R56" i="68"/>
  <c r="N56" i="68"/>
  <c r="J56" i="68"/>
  <c r="J57" i="68" s="1"/>
  <c r="I56" i="68"/>
  <c r="S46" i="68"/>
  <c r="S55" i="68"/>
  <c r="S54" i="68"/>
  <c r="S53" i="68"/>
  <c r="S52" i="68"/>
  <c r="S51" i="68"/>
  <c r="S50" i="68"/>
  <c r="S49" i="68"/>
  <c r="S48" i="68"/>
  <c r="S47" i="68"/>
  <c r="S45" i="68"/>
  <c r="S44" i="68"/>
  <c r="S43" i="68"/>
  <c r="S42" i="68"/>
  <c r="S41" i="68"/>
  <c r="S40" i="68"/>
  <c r="S39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P73" i="68"/>
  <c r="O73" i="68"/>
  <c r="N73" i="68"/>
  <c r="L73" i="68"/>
  <c r="K73" i="68"/>
  <c r="J73" i="68"/>
  <c r="I73" i="68"/>
  <c r="H73" i="68"/>
  <c r="F73" i="68"/>
  <c r="E73" i="68"/>
  <c r="D73" i="68"/>
  <c r="Q72" i="68"/>
  <c r="Q71" i="68"/>
  <c r="Q70" i="68"/>
  <c r="Q69" i="68"/>
  <c r="Q68" i="68"/>
  <c r="Q67" i="68"/>
  <c r="Q66" i="68"/>
  <c r="Q65" i="68"/>
  <c r="Q64" i="68"/>
  <c r="Q63" i="68"/>
  <c r="Q62" i="68"/>
  <c r="T56" i="68"/>
  <c r="Q56" i="68"/>
  <c r="Q57" i="68" s="1"/>
  <c r="P56" i="68"/>
  <c r="P57" i="68" s="1"/>
  <c r="O56" i="68"/>
  <c r="O57" i="68" s="1"/>
  <c r="L56" i="68"/>
  <c r="L57" i="68" s="1"/>
  <c r="K56" i="68"/>
  <c r="K57" i="68" s="1"/>
  <c r="H56" i="68"/>
  <c r="H57" i="68" s="1"/>
  <c r="F56" i="68"/>
  <c r="F57" i="68" s="1"/>
  <c r="S24" i="68"/>
  <c r="S23" i="68"/>
  <c r="S22" i="68"/>
  <c r="S21" i="68"/>
  <c r="S20" i="68"/>
  <c r="S19" i="68"/>
  <c r="S18" i="68"/>
  <c r="S17" i="68"/>
  <c r="S16" i="68"/>
  <c r="S15" i="68"/>
  <c r="S14" i="68"/>
  <c r="S13" i="68"/>
  <c r="S12" i="68"/>
  <c r="S11" i="68"/>
  <c r="S10" i="68"/>
  <c r="S9" i="68"/>
  <c r="S8" i="68"/>
  <c r="S7" i="68"/>
  <c r="S6" i="68"/>
  <c r="S5" i="68"/>
  <c r="S4" i="68"/>
  <c r="Q93" i="71" l="1"/>
  <c r="V93" i="71" s="1"/>
  <c r="S61" i="71"/>
  <c r="D94" i="71"/>
  <c r="V65" i="70"/>
  <c r="V59" i="70"/>
  <c r="V55" i="70"/>
  <c r="V58" i="70"/>
  <c r="S46" i="70"/>
  <c r="V56" i="70"/>
  <c r="Q63" i="70"/>
  <c r="D64" i="70"/>
  <c r="R47" i="70"/>
  <c r="V54" i="70"/>
  <c r="V52" i="70"/>
  <c r="V60" i="70"/>
  <c r="N47" i="70"/>
  <c r="J47" i="70"/>
  <c r="O47" i="70"/>
  <c r="T47" i="70"/>
  <c r="V53" i="70"/>
  <c r="V57" i="70"/>
  <c r="V61" i="70"/>
  <c r="V37" i="69"/>
  <c r="P46" i="69"/>
  <c r="D47" i="69" s="1"/>
  <c r="V42" i="69"/>
  <c r="V41" i="69"/>
  <c r="V48" i="69"/>
  <c r="S29" i="69"/>
  <c r="S30" i="69" s="1"/>
  <c r="V36" i="69"/>
  <c r="V40" i="69"/>
  <c r="V44" i="69"/>
  <c r="V35" i="69"/>
  <c r="V39" i="69"/>
  <c r="V43" i="69"/>
  <c r="Q46" i="69"/>
  <c r="I30" i="69"/>
  <c r="N30" i="69"/>
  <c r="V45" i="69"/>
  <c r="J30" i="69"/>
  <c r="O30" i="69"/>
  <c r="T30" i="69"/>
  <c r="V64" i="68"/>
  <c r="T57" i="68"/>
  <c r="V72" i="68"/>
  <c r="V68" i="68"/>
  <c r="Q73" i="68"/>
  <c r="N57" i="68"/>
  <c r="V70" i="68"/>
  <c r="V62" i="68"/>
  <c r="S56" i="68"/>
  <c r="S57" i="68" s="1"/>
  <c r="V75" i="68"/>
  <c r="I57" i="68"/>
  <c r="R57" i="68"/>
  <c r="V66" i="68"/>
  <c r="D74" i="68"/>
  <c r="V63" i="68"/>
  <c r="V67" i="68"/>
  <c r="V71" i="68"/>
  <c r="V65" i="68"/>
  <c r="V69" i="68"/>
  <c r="V63" i="70" l="1"/>
  <c r="S47" i="70"/>
  <c r="V46" i="69"/>
  <c r="V73" i="68"/>
</calcChain>
</file>

<file path=xl/sharedStrings.xml><?xml version="1.0" encoding="utf-8"?>
<sst xmlns="http://schemas.openxmlformats.org/spreadsheetml/2006/main" count="1314" uniqueCount="427">
  <si>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</si>
  <si>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</si>
  <si>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</si>
  <si>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</si>
  <si>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</si>
  <si>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</si>
  <si>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</si>
  <si>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</si>
  <si>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</si>
  <si>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</si>
  <si>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</si>
  <si>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</si>
  <si>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</si>
  <si>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</si>
  <si>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</si>
  <si>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</si>
  <si>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</si>
  <si>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</si>
  <si>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</si>
  <si>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</si>
  <si>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</si>
  <si>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</si>
  <si>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</si>
  <si>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</si>
  <si>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</si>
  <si>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</si>
  <si>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</si>
  <si>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</si>
  <si>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</si>
  <si>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</si>
  <si>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</si>
  <si>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</si>
  <si>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</si>
  <si>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</si>
  <si>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</si>
  <si>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</si>
  <si>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</si>
  <si>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</si>
  <si>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</si>
  <si>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</si>
  <si>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</si>
  <si>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</si>
  <si>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</si>
  <si>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</si>
  <si>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</si>
  <si>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</si>
  <si>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</si>
  <si>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</si>
  <si>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</si>
  <si>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</si>
  <si>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</si>
  <si>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</si>
  <si>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</si>
  <si>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</si>
  <si>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</si>
  <si>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</si>
  <si>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</si>
  <si>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</si>
  <si>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</si>
  <si>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</si>
  <si>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</si>
  <si>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</si>
  <si>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</si>
  <si>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</si>
  <si>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</si>
  <si>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</si>
  <si>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</si>
  <si>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</si>
  <si>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</si>
  <si>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</si>
  <si>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</si>
  <si>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</si>
  <si>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</si>
  <si>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</si>
  <si>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</si>
  <si>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</si>
  <si>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</si>
  <si>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</si>
  <si>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</si>
  <si>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</si>
  <si>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</si>
  <si>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</si>
  <si>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</si>
  <si>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</si>
  <si>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</si>
  <si>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</si>
  <si>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</si>
  <si>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</si>
  <si>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</si>
  <si>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</si>
  <si>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</si>
  <si>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</si>
  <si>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</si>
  <si>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</si>
  <si>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</si>
  <si>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</si>
  <si>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</si>
  <si>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</si>
  <si>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</si>
  <si>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</si>
  <si>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</si>
  <si>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</si>
  <si>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</si>
  <si>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</si>
  <si>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</si>
  <si>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</si>
  <si>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</si>
  <si>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</si>
  <si>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</si>
  <si>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</si>
  <si>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</si>
  <si>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</si>
  <si>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</si>
  <si>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</si>
  <si>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</si>
  <si>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</si>
  <si>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</si>
  <si>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</si>
  <si>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</si>
  <si>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</si>
  <si>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</si>
  <si>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</si>
  <si>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</si>
  <si>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</si>
  <si>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</si>
  <si>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</si>
  <si>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</si>
  <si>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</si>
  <si>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</si>
  <si>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</si>
  <si>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</si>
  <si>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</si>
  <si>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</si>
  <si>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</si>
  <si>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</si>
  <si>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</si>
  <si>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</si>
  <si>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</si>
  <si>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</si>
  <si>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</si>
  <si>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</si>
  <si>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</si>
  <si>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</si>
  <si>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</si>
  <si>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</si>
  <si>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</si>
  <si>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</si>
  <si>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</si>
  <si>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</si>
  <si>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</si>
  <si>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</si>
  <si>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</si>
  <si>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</si>
  <si>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</si>
  <si>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</si>
  <si>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</si>
  <si>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</si>
  <si>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</si>
  <si>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</si>
  <si>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</si>
  <si>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</si>
  <si>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</si>
  <si>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</si>
  <si>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</si>
  <si>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</si>
  <si>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</si>
  <si>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</si>
  <si>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</si>
  <si>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</si>
  <si>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</si>
  <si>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</si>
  <si>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</si>
  <si>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</si>
  <si>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</si>
  <si>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</si>
  <si>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</si>
  <si>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</si>
  <si>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</si>
  <si>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</si>
  <si>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</si>
  <si>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</si>
  <si>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</si>
  <si>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</si>
  <si>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</si>
  <si>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</si>
  <si>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</si>
  <si>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</si>
  <si>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</si>
  <si>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</si>
  <si>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</si>
  <si>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</si>
  <si>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</si>
  <si>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</si>
  <si>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</si>
  <si>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</si>
  <si>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</si>
  <si>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</si>
  <si>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</si>
  <si>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</si>
  <si>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</si>
  <si>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</si>
  <si>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</si>
  <si>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</si>
  <si>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</si>
  <si>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</si>
  <si>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</si>
  <si>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</si>
  <si>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</si>
  <si>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</si>
  <si>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</si>
  <si>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</si>
  <si>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</si>
  <si>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</si>
  <si>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</si>
  <si>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</si>
  <si>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</si>
  <si>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</si>
  <si>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</si>
  <si>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</si>
  <si>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</si>
  <si>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</si>
  <si>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</si>
  <si>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</si>
  <si>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</si>
  <si>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</si>
  <si>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</si>
  <si>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</si>
  <si>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</si>
  <si>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</si>
  <si>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</si>
  <si>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</si>
  <si>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</si>
  <si>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</si>
  <si>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</si>
  <si>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</si>
  <si>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</si>
  <si>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</si>
  <si>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</si>
  <si>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</si>
  <si>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</si>
  <si>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</si>
  <si>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</si>
  <si>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</si>
  <si>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</si>
  <si>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</si>
  <si>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</si>
  <si>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</si>
  <si>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</si>
  <si>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</si>
  <si>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</si>
  <si>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</si>
  <si>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</si>
  <si>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</si>
  <si>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</si>
  <si>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</si>
  <si>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</si>
  <si>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</si>
  <si>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</si>
  <si>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</si>
  <si>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</si>
  <si>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</si>
  <si>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</si>
  <si>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</si>
  <si>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</si>
  <si>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</si>
  <si>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</si>
  <si>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</si>
  <si>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</si>
  <si>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</si>
  <si>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</si>
  <si>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</si>
  <si>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</si>
  <si>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</si>
  <si>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</si>
  <si>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</si>
  <si>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</si>
  <si>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</si>
  <si>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</si>
  <si>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</si>
  <si>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</si>
  <si>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</si>
  <si>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</si>
  <si>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</si>
  <si>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</si>
  <si>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</si>
  <si>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</si>
  <si>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</si>
  <si>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</si>
  <si>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</si>
  <si>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</si>
  <si>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</si>
  <si>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</si>
  <si>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</si>
  <si>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</si>
  <si>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</si>
  <si>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</si>
  <si>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</si>
  <si>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</si>
  <si>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</si>
  <si>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</si>
  <si>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</si>
  <si>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</si>
  <si>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</si>
  <si>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</si>
  <si>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</si>
  <si>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</si>
  <si>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</si>
  <si>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</si>
  <si>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</si>
  <si>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</si>
  <si>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</si>
  <si>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</si>
  <si>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</si>
  <si>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</si>
  <si>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</si>
  <si>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</si>
  <si>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</si>
  <si>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</si>
  <si>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</si>
  <si>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</si>
  <si>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</si>
  <si>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</si>
  <si>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</si>
  <si>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</si>
  <si>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</si>
  <si>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</si>
  <si>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</si>
  <si>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</si>
  <si>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</si>
  <si>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</si>
  <si>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</si>
  <si>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</si>
  <si>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</si>
  <si>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</si>
  <si>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</si>
  <si>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</si>
  <si>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</si>
  <si>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</si>
  <si>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</si>
  <si>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</si>
  <si>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</si>
  <si>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</si>
  <si>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</si>
  <si>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</si>
  <si>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</si>
  <si>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</si>
  <si>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</si>
  <si>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</si>
  <si>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</si>
  <si>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</si>
  <si>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</si>
  <si>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</si>
  <si>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</si>
  <si>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</si>
  <si>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</si>
  <si>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</si>
  <si>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</si>
  <si>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</si>
  <si>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</si>
  <si>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</si>
  <si>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</si>
  <si>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</si>
  <si>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</si>
  <si>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</si>
  <si>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</si>
  <si>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</si>
  <si>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</si>
  <si>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</si>
  <si>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</si>
  <si>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</si>
  <si>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</si>
  <si>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</si>
  <si>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</si>
  <si>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</si>
  <si>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</si>
  <si>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</si>
  <si>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</si>
  <si>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</si>
  <si>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</si>
  <si>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</si>
  <si>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</si>
  <si>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</si>
  <si>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</si>
  <si>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</si>
  <si>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</si>
  <si>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</si>
  <si>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</si>
  <si>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</si>
  <si>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</si>
  <si>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</si>
  <si>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</si>
  <si>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</si>
  <si>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</si>
  <si>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</si>
  <si>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</si>
  <si>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</si>
  <si>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</si>
  <si>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</si>
  <si>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</si>
  <si>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</si>
  <si>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</si>
  <si>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</si>
  <si>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</si>
  <si>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</si>
  <si>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</si>
  <si>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</si>
  <si>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</si>
  <si>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</si>
  <si>
    <t>01.10.2021</t>
  </si>
  <si>
    <t>SALE BILL REPORT FOR THE MONTH OF OCTOBER 01.10.2021 TO 31.10.2021</t>
  </si>
  <si>
    <t>VIJSION</t>
  </si>
  <si>
    <t>04.10.2021</t>
  </si>
  <si>
    <t>MUZAFFAR NGR</t>
  </si>
  <si>
    <t>PATAKA INDUSTRIES PVT LTD</t>
  </si>
  <si>
    <t>06.10.2021</t>
  </si>
  <si>
    <t>07.10.2021</t>
  </si>
  <si>
    <t>VINOD KR. VIPIN KR JAIN</t>
  </si>
  <si>
    <t>09.10.2021</t>
  </si>
  <si>
    <t>11.10.2021</t>
  </si>
  <si>
    <t>GUPTA GENERAL MERCHANT</t>
  </si>
  <si>
    <t>12.10.2021</t>
  </si>
  <si>
    <t>13.10.2021</t>
  </si>
  <si>
    <t>15.10.2021</t>
  </si>
  <si>
    <t>RAMAN LAL PRAMOD KR</t>
  </si>
  <si>
    <t>VIJAY TRADERS</t>
  </si>
  <si>
    <t>MATHURA</t>
  </si>
  <si>
    <t>DESTINETION WISE DESPATCHED REPOTR FOR THE MONTH OF  OCTOBER 01.10.2021 TO 15.10.2021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</si>
</sst>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37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8" xfId="0" applyFont="1" applyFill="1" applyBorder="1" applyAlignment="1"/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0" fillId="0" borderId="2" xfId="0" applyBorder="1"/>
    <xf numFmtId="0" fontId="0" fillId="0" borderId="40" xfId="0" applyBorder="1"/>
    <xf numFmtId="0" fontId="0" fillId="0" borderId="49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 x14ac:dyDescent="0.3">
      <c r="A1" s="337" t="s">
        <v>160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9"/>
    </row>
    <row r="2" spans="1:20" s="6" customFormat="1" ht="12.75" customHeight="1" x14ac:dyDescent="0.25">
      <c r="A2" s="340" t="s">
        <v>9</v>
      </c>
      <c r="B2" s="342" t="s">
        <v>13</v>
      </c>
      <c r="C2" s="344" t="s">
        <v>23</v>
      </c>
      <c r="D2" s="345"/>
      <c r="E2" s="348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2" t="s">
        <v>14</v>
      </c>
      <c r="T2" s="315" t="s">
        <v>12</v>
      </c>
    </row>
    <row r="3" spans="1:20" s="6" customFormat="1" ht="15.75" thickBot="1" x14ac:dyDescent="0.3">
      <c r="A3" s="341"/>
      <c r="B3" s="343"/>
      <c r="C3" s="346"/>
      <c r="D3" s="347"/>
      <c r="E3" s="349"/>
      <c r="F3" s="317" t="s">
        <v>3</v>
      </c>
      <c r="G3" s="318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32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3"/>
      <c r="T3" s="316"/>
    </row>
    <row r="4" spans="1:20" s="18" customFormat="1" ht="15.75" thickBot="1" x14ac:dyDescent="0.3">
      <c r="A4" s="80" t="s">
        <v>35</v>
      </c>
      <c r="B4" s="30"/>
      <c r="C4" s="321"/>
      <c r="D4" s="322"/>
      <c r="E4" s="31"/>
      <c r="F4" s="321"/>
      <c r="G4" s="323"/>
      <c r="H4" s="79"/>
      <c r="I4" s="32"/>
      <c r="J4" s="33"/>
      <c r="K4" s="79"/>
      <c r="L4" s="324"/>
      <c r="M4" s="322"/>
      <c r="N4" s="78"/>
      <c r="O4" s="79"/>
      <c r="P4" s="34"/>
      <c r="Q4" s="78"/>
      <c r="R4" s="34"/>
      <c r="S4" s="35">
        <f>SUM(F4:R4)</f>
        <v>0</v>
      </c>
      <c r="T4" s="36"/>
    </row>
    <row r="5" spans="1:20" x14ac:dyDescent="0.25">
      <c r="A5" s="156" t="s">
        <v>51</v>
      </c>
      <c r="B5" s="150" t="s">
        <v>54</v>
      </c>
      <c r="C5" s="329" t="s">
        <v>52</v>
      </c>
      <c r="D5" s="330"/>
      <c r="E5" s="151" t="s">
        <v>53</v>
      </c>
      <c r="F5" s="331"/>
      <c r="G5" s="332"/>
      <c r="H5" s="157"/>
      <c r="I5" s="39"/>
      <c r="J5" s="40"/>
      <c r="K5" s="40"/>
      <c r="L5" s="333"/>
      <c r="M5" s="334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 x14ac:dyDescent="0.25">
      <c r="A6" s="160" t="s">
        <v>55</v>
      </c>
      <c r="B6" s="38" t="s">
        <v>56</v>
      </c>
      <c r="C6" s="325" t="s">
        <v>57</v>
      </c>
      <c r="D6" s="326"/>
      <c r="E6" s="44" t="s">
        <v>58</v>
      </c>
      <c r="F6" s="327"/>
      <c r="G6" s="328"/>
      <c r="H6" s="152"/>
      <c r="I6" s="45">
        <v>60</v>
      </c>
      <c r="J6" s="46"/>
      <c r="K6" s="46">
        <v>22</v>
      </c>
      <c r="L6" s="335"/>
      <c r="M6" s="336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 x14ac:dyDescent="0.25">
      <c r="A7" s="160" t="s">
        <v>59</v>
      </c>
      <c r="B7" s="38" t="s">
        <v>60</v>
      </c>
      <c r="C7" s="325" t="s">
        <v>95</v>
      </c>
      <c r="D7" s="326"/>
      <c r="E7" s="44" t="s">
        <v>96</v>
      </c>
      <c r="F7" s="327"/>
      <c r="G7" s="328"/>
      <c r="H7" s="152"/>
      <c r="I7" s="47"/>
      <c r="J7" s="51"/>
      <c r="K7" s="51"/>
      <c r="L7" s="313"/>
      <c r="M7" s="314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 x14ac:dyDescent="0.25">
      <c r="A8" s="160" t="s">
        <v>97</v>
      </c>
      <c r="B8" s="38" t="s">
        <v>61</v>
      </c>
      <c r="C8" s="325" t="s">
        <v>98</v>
      </c>
      <c r="D8" s="326"/>
      <c r="E8" s="44" t="s">
        <v>99</v>
      </c>
      <c r="F8" s="327"/>
      <c r="G8" s="328"/>
      <c r="H8" s="152">
        <v>120</v>
      </c>
      <c r="I8" s="47"/>
      <c r="J8" s="51"/>
      <c r="K8" s="51"/>
      <c r="L8" s="313"/>
      <c r="M8" s="314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 x14ac:dyDescent="0.25">
      <c r="A9" s="160" t="s">
        <v>97</v>
      </c>
      <c r="B9" s="38" t="s">
        <v>62</v>
      </c>
      <c r="C9" s="325" t="s">
        <v>100</v>
      </c>
      <c r="D9" s="326"/>
      <c r="E9" s="44" t="s">
        <v>101</v>
      </c>
      <c r="F9" s="327"/>
      <c r="G9" s="328"/>
      <c r="H9" s="152"/>
      <c r="I9" s="47">
        <v>150</v>
      </c>
      <c r="J9" s="51"/>
      <c r="K9" s="51"/>
      <c r="L9" s="313"/>
      <c r="M9" s="314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 x14ac:dyDescent="0.25">
      <c r="A10" s="160" t="s">
        <v>97</v>
      </c>
      <c r="B10" s="38" t="s">
        <v>63</v>
      </c>
      <c r="C10" s="325" t="s">
        <v>102</v>
      </c>
      <c r="D10" s="326"/>
      <c r="E10" s="44" t="s">
        <v>103</v>
      </c>
      <c r="F10" s="327"/>
      <c r="G10" s="328"/>
      <c r="H10" s="152"/>
      <c r="I10" s="47"/>
      <c r="J10" s="51"/>
      <c r="K10" s="51"/>
      <c r="L10" s="313"/>
      <c r="M10" s="314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 x14ac:dyDescent="0.25">
      <c r="A11" s="160" t="s">
        <v>104</v>
      </c>
      <c r="B11" s="38" t="s">
        <v>64</v>
      </c>
      <c r="C11" s="325" t="s">
        <v>100</v>
      </c>
      <c r="D11" s="326"/>
      <c r="E11" s="44" t="s">
        <v>101</v>
      </c>
      <c r="F11" s="327"/>
      <c r="G11" s="328"/>
      <c r="H11" s="152">
        <v>24</v>
      </c>
      <c r="I11" s="47"/>
      <c r="J11" s="51"/>
      <c r="K11" s="51"/>
      <c r="L11" s="313"/>
      <c r="M11" s="314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 x14ac:dyDescent="0.25">
      <c r="A12" s="160" t="s">
        <v>104</v>
      </c>
      <c r="B12" s="38" t="s">
        <v>65</v>
      </c>
      <c r="C12" s="325" t="s">
        <v>105</v>
      </c>
      <c r="D12" s="326"/>
      <c r="E12" s="183" t="s">
        <v>221</v>
      </c>
      <c r="F12" s="327"/>
      <c r="G12" s="328"/>
      <c r="H12" s="152"/>
      <c r="I12" s="47"/>
      <c r="J12" s="51"/>
      <c r="K12" s="51"/>
      <c r="L12" s="313"/>
      <c r="M12" s="314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 x14ac:dyDescent="0.25">
      <c r="A13" s="154" t="s">
        <v>106</v>
      </c>
      <c r="B13" s="38" t="s">
        <v>66</v>
      </c>
      <c r="C13" s="325" t="s">
        <v>107</v>
      </c>
      <c r="D13" s="326"/>
      <c r="E13" s="44" t="s">
        <v>108</v>
      </c>
      <c r="F13" s="327"/>
      <c r="G13" s="328"/>
      <c r="H13" s="152">
        <v>48</v>
      </c>
      <c r="I13" s="47"/>
      <c r="J13" s="51"/>
      <c r="K13" s="51"/>
      <c r="L13" s="313"/>
      <c r="M13" s="314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 x14ac:dyDescent="0.25">
      <c r="A14" s="154" t="s">
        <v>106</v>
      </c>
      <c r="B14" s="38" t="s">
        <v>67</v>
      </c>
      <c r="C14" s="325" t="s">
        <v>109</v>
      </c>
      <c r="D14" s="326"/>
      <c r="E14" s="44" t="s">
        <v>110</v>
      </c>
      <c r="F14" s="327"/>
      <c r="G14" s="328"/>
      <c r="H14" s="152">
        <v>48</v>
      </c>
      <c r="I14" s="47"/>
      <c r="J14" s="51"/>
      <c r="K14" s="51"/>
      <c r="L14" s="313"/>
      <c r="M14" s="314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 x14ac:dyDescent="0.25">
      <c r="A15" s="154" t="s">
        <v>106</v>
      </c>
      <c r="B15" s="38" t="s">
        <v>68</v>
      </c>
      <c r="C15" s="325" t="s">
        <v>111</v>
      </c>
      <c r="D15" s="326"/>
      <c r="E15" s="44" t="s">
        <v>112</v>
      </c>
      <c r="F15" s="327"/>
      <c r="G15" s="328"/>
      <c r="H15" s="152"/>
      <c r="I15" s="47">
        <v>7050</v>
      </c>
      <c r="J15" s="51">
        <v>120</v>
      </c>
      <c r="K15" s="51">
        <v>440</v>
      </c>
      <c r="L15" s="313"/>
      <c r="M15" s="314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 x14ac:dyDescent="0.25">
      <c r="A16" s="154" t="s">
        <v>113</v>
      </c>
      <c r="B16" s="38" t="s">
        <v>69</v>
      </c>
      <c r="C16" s="325" t="s">
        <v>114</v>
      </c>
      <c r="D16" s="326"/>
      <c r="E16" s="44" t="s">
        <v>115</v>
      </c>
      <c r="F16" s="327"/>
      <c r="G16" s="328"/>
      <c r="H16" s="152"/>
      <c r="I16" s="47"/>
      <c r="J16" s="51"/>
      <c r="K16" s="51"/>
      <c r="L16" s="313"/>
      <c r="M16" s="314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 x14ac:dyDescent="0.25">
      <c r="A17" s="154" t="s">
        <v>116</v>
      </c>
      <c r="B17" s="38" t="s">
        <v>70</v>
      </c>
      <c r="C17" s="325" t="s">
        <v>117</v>
      </c>
      <c r="D17" s="326"/>
      <c r="E17" s="44" t="s">
        <v>118</v>
      </c>
      <c r="F17" s="327"/>
      <c r="G17" s="328"/>
      <c r="H17" s="152"/>
      <c r="I17" s="47"/>
      <c r="J17" s="51"/>
      <c r="K17" s="51"/>
      <c r="L17" s="313"/>
      <c r="M17" s="314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 x14ac:dyDescent="0.25">
      <c r="A18" s="154" t="s">
        <v>116</v>
      </c>
      <c r="B18" s="38" t="s">
        <v>71</v>
      </c>
      <c r="C18" s="325" t="s">
        <v>120</v>
      </c>
      <c r="D18" s="326"/>
      <c r="E18" s="44" t="s">
        <v>121</v>
      </c>
      <c r="F18" s="327"/>
      <c r="G18" s="328"/>
      <c r="H18" s="152"/>
      <c r="I18" s="47"/>
      <c r="J18" s="51"/>
      <c r="K18" s="51"/>
      <c r="L18" s="313"/>
      <c r="M18" s="314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 x14ac:dyDescent="0.25">
      <c r="A19" s="154" t="s">
        <v>116</v>
      </c>
      <c r="B19" s="38" t="s">
        <v>72</v>
      </c>
      <c r="C19" s="325" t="s">
        <v>122</v>
      </c>
      <c r="D19" s="326"/>
      <c r="E19" s="44" t="s">
        <v>121</v>
      </c>
      <c r="F19" s="327"/>
      <c r="G19" s="328"/>
      <c r="H19" s="152"/>
      <c r="I19" s="47"/>
      <c r="J19" s="51"/>
      <c r="K19" s="51"/>
      <c r="L19" s="313"/>
      <c r="M19" s="314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 x14ac:dyDescent="0.25">
      <c r="A20" s="154" t="s">
        <v>116</v>
      </c>
      <c r="B20" s="38" t="s">
        <v>73</v>
      </c>
      <c r="C20" s="327" t="s">
        <v>123</v>
      </c>
      <c r="D20" s="314"/>
      <c r="E20" s="44" t="s">
        <v>121</v>
      </c>
      <c r="F20" s="327"/>
      <c r="G20" s="328"/>
      <c r="H20" s="152"/>
      <c r="I20" s="47">
        <v>600</v>
      </c>
      <c r="J20" s="51"/>
      <c r="K20" s="51"/>
      <c r="L20" s="313"/>
      <c r="M20" s="314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 x14ac:dyDescent="0.25">
      <c r="A21" s="154" t="s">
        <v>116</v>
      </c>
      <c r="B21" s="38" t="s">
        <v>74</v>
      </c>
      <c r="C21" s="327" t="s">
        <v>95</v>
      </c>
      <c r="D21" s="314"/>
      <c r="E21" s="44" t="s">
        <v>96</v>
      </c>
      <c r="F21" s="327"/>
      <c r="G21" s="328"/>
      <c r="H21" s="152"/>
      <c r="I21" s="47"/>
      <c r="J21" s="51"/>
      <c r="K21" s="51">
        <v>220</v>
      </c>
      <c r="L21" s="313"/>
      <c r="M21" s="314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 x14ac:dyDescent="0.25">
      <c r="A22" s="153" t="s">
        <v>119</v>
      </c>
      <c r="B22" s="38" t="s">
        <v>75</v>
      </c>
      <c r="C22" s="327" t="s">
        <v>124</v>
      </c>
      <c r="D22" s="314"/>
      <c r="E22" s="44" t="s">
        <v>125</v>
      </c>
      <c r="F22" s="327">
        <v>48</v>
      </c>
      <c r="G22" s="328"/>
      <c r="H22" s="152">
        <v>24</v>
      </c>
      <c r="I22" s="47"/>
      <c r="J22" s="51"/>
      <c r="K22" s="51"/>
      <c r="L22" s="313"/>
      <c r="M22" s="314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 x14ac:dyDescent="0.25">
      <c r="A23" s="153" t="s">
        <v>126</v>
      </c>
      <c r="B23" s="38" t="s">
        <v>76</v>
      </c>
      <c r="C23" s="327" t="s">
        <v>127</v>
      </c>
      <c r="D23" s="314"/>
      <c r="E23" s="44" t="s">
        <v>128</v>
      </c>
      <c r="F23" s="327"/>
      <c r="G23" s="328"/>
      <c r="H23" s="152">
        <v>1200</v>
      </c>
      <c r="I23" s="47">
        <v>900</v>
      </c>
      <c r="J23" s="51"/>
      <c r="K23" s="51">
        <v>660</v>
      </c>
      <c r="L23" s="313"/>
      <c r="M23" s="314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 x14ac:dyDescent="0.25">
      <c r="A24" s="153" t="s">
        <v>126</v>
      </c>
      <c r="B24" s="38" t="s">
        <v>77</v>
      </c>
      <c r="C24" s="327" t="s">
        <v>98</v>
      </c>
      <c r="D24" s="314"/>
      <c r="E24" s="44" t="s">
        <v>99</v>
      </c>
      <c r="F24" s="327"/>
      <c r="G24" s="328"/>
      <c r="H24" s="152">
        <v>120</v>
      </c>
      <c r="I24" s="47"/>
      <c r="J24" s="51"/>
      <c r="K24" s="51"/>
      <c r="L24" s="313"/>
      <c r="M24" s="314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 x14ac:dyDescent="0.25">
      <c r="A25" s="153" t="s">
        <v>126</v>
      </c>
      <c r="B25" s="38" t="s">
        <v>78</v>
      </c>
      <c r="C25" s="327" t="s">
        <v>129</v>
      </c>
      <c r="D25" s="314"/>
      <c r="E25" s="44" t="s">
        <v>130</v>
      </c>
      <c r="F25" s="327"/>
      <c r="G25" s="328"/>
      <c r="H25" s="152">
        <v>120</v>
      </c>
      <c r="I25" s="47"/>
      <c r="J25" s="51"/>
      <c r="K25" s="51"/>
      <c r="L25" s="313"/>
      <c r="M25" s="314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 x14ac:dyDescent="0.25">
      <c r="A26" s="153" t="s">
        <v>131</v>
      </c>
      <c r="B26" s="38" t="s">
        <v>79</v>
      </c>
      <c r="C26" s="327" t="s">
        <v>95</v>
      </c>
      <c r="D26" s="314"/>
      <c r="E26" s="44" t="s">
        <v>96</v>
      </c>
      <c r="F26" s="327"/>
      <c r="G26" s="328"/>
      <c r="H26" s="152"/>
      <c r="I26" s="47">
        <v>1200</v>
      </c>
      <c r="J26" s="51"/>
      <c r="K26" s="51"/>
      <c r="L26" s="313"/>
      <c r="M26" s="314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 x14ac:dyDescent="0.25">
      <c r="A27" s="153" t="s">
        <v>131</v>
      </c>
      <c r="B27" s="38" t="s">
        <v>80</v>
      </c>
      <c r="C27" s="327" t="s">
        <v>133</v>
      </c>
      <c r="D27" s="314"/>
      <c r="E27" s="55" t="s">
        <v>132</v>
      </c>
      <c r="F27" s="327"/>
      <c r="G27" s="328"/>
      <c r="H27" s="81"/>
      <c r="I27" s="56"/>
      <c r="J27" s="57"/>
      <c r="K27" s="57"/>
      <c r="L27" s="313"/>
      <c r="M27" s="314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 x14ac:dyDescent="0.25">
      <c r="A28" s="153" t="s">
        <v>131</v>
      </c>
      <c r="B28" s="38" t="s">
        <v>81</v>
      </c>
      <c r="C28" s="327" t="s">
        <v>134</v>
      </c>
      <c r="D28" s="314"/>
      <c r="E28" s="55" t="s">
        <v>135</v>
      </c>
      <c r="F28" s="327"/>
      <c r="G28" s="328"/>
      <c r="H28" s="81">
        <v>48</v>
      </c>
      <c r="I28" s="56"/>
      <c r="J28" s="57"/>
      <c r="K28" s="57"/>
      <c r="L28" s="313"/>
      <c r="M28" s="314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 x14ac:dyDescent="0.25">
      <c r="A29" s="153" t="s">
        <v>136</v>
      </c>
      <c r="B29" s="38" t="s">
        <v>82</v>
      </c>
      <c r="C29" s="327" t="s">
        <v>137</v>
      </c>
      <c r="D29" s="314"/>
      <c r="E29" s="55" t="s">
        <v>138</v>
      </c>
      <c r="F29" s="327"/>
      <c r="G29" s="328"/>
      <c r="H29" s="81"/>
      <c r="I29" s="56"/>
      <c r="J29" s="57"/>
      <c r="K29" s="57"/>
      <c r="L29" s="313"/>
      <c r="M29" s="314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 x14ac:dyDescent="0.25">
      <c r="A30" s="153" t="s">
        <v>136</v>
      </c>
      <c r="B30" s="38" t="s">
        <v>83</v>
      </c>
      <c r="C30" s="327" t="s">
        <v>140</v>
      </c>
      <c r="D30" s="314"/>
      <c r="E30" s="55" t="s">
        <v>139</v>
      </c>
      <c r="F30" s="327"/>
      <c r="G30" s="328"/>
      <c r="H30" s="81"/>
      <c r="I30" s="56"/>
      <c r="J30" s="57"/>
      <c r="K30" s="57"/>
      <c r="L30" s="313"/>
      <c r="M30" s="314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 x14ac:dyDescent="0.25">
      <c r="A31" s="153" t="s">
        <v>136</v>
      </c>
      <c r="B31" s="38" t="s">
        <v>84</v>
      </c>
      <c r="C31" s="327" t="s">
        <v>141</v>
      </c>
      <c r="D31" s="314"/>
      <c r="E31" s="55" t="s">
        <v>142</v>
      </c>
      <c r="F31" s="327"/>
      <c r="G31" s="328"/>
      <c r="H31" s="81"/>
      <c r="I31" s="56"/>
      <c r="J31" s="57"/>
      <c r="K31" s="57"/>
      <c r="L31" s="313"/>
      <c r="M31" s="314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 x14ac:dyDescent="0.25">
      <c r="A32" s="153" t="s">
        <v>143</v>
      </c>
      <c r="B32" s="38" t="s">
        <v>85</v>
      </c>
      <c r="C32" s="327" t="s">
        <v>144</v>
      </c>
      <c r="D32" s="314"/>
      <c r="E32" s="55" t="s">
        <v>145</v>
      </c>
      <c r="F32" s="327"/>
      <c r="G32" s="328"/>
      <c r="H32" s="81"/>
      <c r="I32" s="56">
        <v>120</v>
      </c>
      <c r="J32" s="57"/>
      <c r="K32" s="57"/>
      <c r="L32" s="313"/>
      <c r="M32" s="314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 x14ac:dyDescent="0.25">
      <c r="A33" s="153" t="s">
        <v>143</v>
      </c>
      <c r="B33" s="38" t="s">
        <v>86</v>
      </c>
      <c r="C33" s="327" t="s">
        <v>127</v>
      </c>
      <c r="D33" s="314"/>
      <c r="E33" s="55" t="s">
        <v>146</v>
      </c>
      <c r="F33" s="327">
        <v>720</v>
      </c>
      <c r="G33" s="328"/>
      <c r="H33" s="81">
        <v>1440</v>
      </c>
      <c r="I33" s="56">
        <v>600</v>
      </c>
      <c r="J33" s="57"/>
      <c r="K33" s="57"/>
      <c r="L33" s="313"/>
      <c r="M33" s="314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 x14ac:dyDescent="0.25">
      <c r="A34" s="153" t="s">
        <v>147</v>
      </c>
      <c r="B34" s="38" t="s">
        <v>87</v>
      </c>
      <c r="C34" s="327" t="s">
        <v>117</v>
      </c>
      <c r="D34" s="314"/>
      <c r="E34" s="55" t="s">
        <v>118</v>
      </c>
      <c r="F34" s="327"/>
      <c r="G34" s="328"/>
      <c r="H34" s="81"/>
      <c r="I34" s="56"/>
      <c r="J34" s="57"/>
      <c r="K34" s="57"/>
      <c r="L34" s="313"/>
      <c r="M34" s="314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 x14ac:dyDescent="0.25">
      <c r="A35" s="153" t="s">
        <v>147</v>
      </c>
      <c r="B35" s="38" t="s">
        <v>88</v>
      </c>
      <c r="C35" s="327" t="s">
        <v>111</v>
      </c>
      <c r="D35" s="314"/>
      <c r="E35" s="55" t="s">
        <v>112</v>
      </c>
      <c r="F35" s="327"/>
      <c r="G35" s="328"/>
      <c r="H35" s="81"/>
      <c r="I35" s="56">
        <v>9750</v>
      </c>
      <c r="J35" s="57"/>
      <c r="K35" s="57">
        <v>330</v>
      </c>
      <c r="L35" s="313"/>
      <c r="M35" s="314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 x14ac:dyDescent="0.25">
      <c r="A36" s="153" t="s">
        <v>148</v>
      </c>
      <c r="B36" s="38" t="s">
        <v>89</v>
      </c>
      <c r="C36" s="327" t="s">
        <v>102</v>
      </c>
      <c r="D36" s="314"/>
      <c r="E36" s="55" t="s">
        <v>103</v>
      </c>
      <c r="F36" s="327"/>
      <c r="G36" s="328"/>
      <c r="H36" s="81"/>
      <c r="I36" s="56"/>
      <c r="J36" s="57"/>
      <c r="K36" s="57"/>
      <c r="L36" s="313"/>
      <c r="M36" s="314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 x14ac:dyDescent="0.25">
      <c r="A37" s="153" t="s">
        <v>148</v>
      </c>
      <c r="B37" s="38" t="s">
        <v>90</v>
      </c>
      <c r="C37" s="327" t="s">
        <v>149</v>
      </c>
      <c r="D37" s="314"/>
      <c r="E37" s="55" t="s">
        <v>99</v>
      </c>
      <c r="F37" s="327"/>
      <c r="G37" s="328"/>
      <c r="H37" s="81"/>
      <c r="I37" s="56"/>
      <c r="J37" s="57"/>
      <c r="K37" s="57"/>
      <c r="L37" s="313"/>
      <c r="M37" s="314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 x14ac:dyDescent="0.3">
      <c r="A38" s="153" t="s">
        <v>148</v>
      </c>
      <c r="B38" s="38" t="s">
        <v>91</v>
      </c>
      <c r="C38" s="327" t="s">
        <v>95</v>
      </c>
      <c r="D38" s="314"/>
      <c r="E38" s="55" t="s">
        <v>96</v>
      </c>
      <c r="F38" s="327"/>
      <c r="G38" s="328"/>
      <c r="H38" s="81"/>
      <c r="I38" s="56">
        <v>600</v>
      </c>
      <c r="J38" s="57"/>
      <c r="K38" s="57"/>
      <c r="L38" s="313"/>
      <c r="M38" s="314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 x14ac:dyDescent="0.3">
      <c r="A39" s="31" t="s">
        <v>150</v>
      </c>
      <c r="B39" s="179" t="s">
        <v>92</v>
      </c>
      <c r="C39" s="357" t="s">
        <v>52</v>
      </c>
      <c r="D39" s="358"/>
      <c r="E39" s="126" t="s">
        <v>158</v>
      </c>
      <c r="F39" s="357"/>
      <c r="G39" s="360"/>
      <c r="H39" s="158">
        <v>120</v>
      </c>
      <c r="I39" s="127"/>
      <c r="J39" s="128"/>
      <c r="K39" s="128"/>
      <c r="L39" s="359"/>
      <c r="M39" s="358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 x14ac:dyDescent="0.25">
      <c r="A40" s="180" t="s">
        <v>150</v>
      </c>
      <c r="B40" s="184" t="s">
        <v>93</v>
      </c>
      <c r="C40" s="329" t="s">
        <v>111</v>
      </c>
      <c r="D40" s="330"/>
      <c r="E40" s="143" t="s">
        <v>112</v>
      </c>
      <c r="F40" s="331"/>
      <c r="G40" s="332"/>
      <c r="H40" s="144"/>
      <c r="I40" s="145">
        <v>6450</v>
      </c>
      <c r="J40" s="146"/>
      <c r="K40" s="146">
        <v>110</v>
      </c>
      <c r="L40" s="333"/>
      <c r="M40" s="334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 x14ac:dyDescent="0.25">
      <c r="A41" s="181" t="s">
        <v>159</v>
      </c>
      <c r="B41" s="83" t="s">
        <v>94</v>
      </c>
      <c r="C41" s="325" t="s">
        <v>120</v>
      </c>
      <c r="D41" s="326"/>
      <c r="E41" s="55" t="s">
        <v>121</v>
      </c>
      <c r="F41" s="327"/>
      <c r="G41" s="328"/>
      <c r="H41" s="81"/>
      <c r="I41" s="56">
        <v>1800</v>
      </c>
      <c r="J41" s="57"/>
      <c r="K41" s="57"/>
      <c r="L41" s="313"/>
      <c r="M41" s="314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 x14ac:dyDescent="0.25">
      <c r="A42" s="181" t="s">
        <v>159</v>
      </c>
      <c r="B42" s="83" t="s">
        <v>151</v>
      </c>
      <c r="C42" s="325" t="s">
        <v>122</v>
      </c>
      <c r="D42" s="326"/>
      <c r="E42" s="55" t="s">
        <v>121</v>
      </c>
      <c r="F42" s="327"/>
      <c r="G42" s="328"/>
      <c r="H42" s="81"/>
      <c r="I42" s="56"/>
      <c r="J42" s="57"/>
      <c r="K42" s="57"/>
      <c r="L42" s="313"/>
      <c r="M42" s="314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 x14ac:dyDescent="0.25">
      <c r="A43" s="181" t="s">
        <v>159</v>
      </c>
      <c r="B43" s="83" t="s">
        <v>152</v>
      </c>
      <c r="C43" s="325" t="s">
        <v>123</v>
      </c>
      <c r="D43" s="326"/>
      <c r="E43" s="55" t="s">
        <v>121</v>
      </c>
      <c r="F43" s="327"/>
      <c r="G43" s="328"/>
      <c r="H43" s="81"/>
      <c r="I43" s="56"/>
      <c r="J43" s="57"/>
      <c r="K43" s="57"/>
      <c r="L43" s="313"/>
      <c r="M43" s="314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 x14ac:dyDescent="0.25">
      <c r="A44" s="181" t="s">
        <v>169</v>
      </c>
      <c r="B44" s="83" t="s">
        <v>153</v>
      </c>
      <c r="C44" s="325" t="s">
        <v>95</v>
      </c>
      <c r="D44" s="326"/>
      <c r="E44" s="55" t="s">
        <v>96</v>
      </c>
      <c r="F44" s="327"/>
      <c r="G44" s="328"/>
      <c r="H44" s="81"/>
      <c r="I44" s="56"/>
      <c r="J44" s="57"/>
      <c r="K44" s="57"/>
      <c r="L44" s="313"/>
      <c r="M44" s="314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 x14ac:dyDescent="0.25">
      <c r="A45" s="181" t="s">
        <v>170</v>
      </c>
      <c r="B45" s="83" t="s">
        <v>154</v>
      </c>
      <c r="C45" s="325" t="s">
        <v>102</v>
      </c>
      <c r="D45" s="326"/>
      <c r="E45" s="55" t="s">
        <v>103</v>
      </c>
      <c r="F45" s="327"/>
      <c r="G45" s="328"/>
      <c r="H45" s="81"/>
      <c r="I45" s="56"/>
      <c r="J45" s="57"/>
      <c r="K45" s="57"/>
      <c r="L45" s="313"/>
      <c r="M45" s="314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 x14ac:dyDescent="0.25">
      <c r="A46" s="181" t="s">
        <v>170</v>
      </c>
      <c r="B46" s="83" t="s">
        <v>155</v>
      </c>
      <c r="C46" s="325" t="s">
        <v>95</v>
      </c>
      <c r="D46" s="326"/>
      <c r="E46" s="55" t="s">
        <v>96</v>
      </c>
      <c r="F46" s="327"/>
      <c r="G46" s="328"/>
      <c r="H46" s="81">
        <v>240</v>
      </c>
      <c r="I46" s="56">
        <v>450</v>
      </c>
      <c r="J46" s="57"/>
      <c r="K46" s="57"/>
      <c r="L46" s="313">
        <v>110</v>
      </c>
      <c r="M46" s="314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 x14ac:dyDescent="0.25">
      <c r="A47" s="181" t="s">
        <v>170</v>
      </c>
      <c r="B47" s="83" t="s">
        <v>156</v>
      </c>
      <c r="C47" s="325" t="s">
        <v>98</v>
      </c>
      <c r="D47" s="326"/>
      <c r="E47" s="55" t="s">
        <v>99</v>
      </c>
      <c r="F47" s="327"/>
      <c r="G47" s="328"/>
      <c r="H47" s="81"/>
      <c r="I47" s="56"/>
      <c r="J47" s="57"/>
      <c r="K47" s="57"/>
      <c r="L47" s="313"/>
      <c r="M47" s="314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 x14ac:dyDescent="0.25">
      <c r="A48" s="181" t="s">
        <v>171</v>
      </c>
      <c r="B48" s="83" t="s">
        <v>157</v>
      </c>
      <c r="C48" s="325" t="s">
        <v>127</v>
      </c>
      <c r="D48" s="326"/>
      <c r="E48" s="55" t="s">
        <v>146</v>
      </c>
      <c r="F48" s="327"/>
      <c r="G48" s="328"/>
      <c r="H48" s="81">
        <v>1200</v>
      </c>
      <c r="I48" s="56"/>
      <c r="J48" s="57">
        <v>240</v>
      </c>
      <c r="K48" s="57"/>
      <c r="L48" s="313"/>
      <c r="M48" s="314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 x14ac:dyDescent="0.25">
      <c r="A49" s="181" t="s">
        <v>171</v>
      </c>
      <c r="B49" s="83" t="s">
        <v>162</v>
      </c>
      <c r="C49" s="325" t="s">
        <v>172</v>
      </c>
      <c r="D49" s="326"/>
      <c r="E49" s="183" t="s">
        <v>215</v>
      </c>
      <c r="F49" s="327"/>
      <c r="G49" s="328"/>
      <c r="H49" s="81"/>
      <c r="I49" s="56"/>
      <c r="J49" s="57"/>
      <c r="K49" s="57"/>
      <c r="L49" s="313"/>
      <c r="M49" s="314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 x14ac:dyDescent="0.25">
      <c r="A50" s="181" t="s">
        <v>171</v>
      </c>
      <c r="B50" s="83" t="s">
        <v>163</v>
      </c>
      <c r="C50" s="325" t="s">
        <v>100</v>
      </c>
      <c r="D50" s="326"/>
      <c r="E50" s="55" t="s">
        <v>101</v>
      </c>
      <c r="F50" s="327"/>
      <c r="G50" s="328"/>
      <c r="H50" s="81"/>
      <c r="I50" s="56"/>
      <c r="J50" s="57"/>
      <c r="K50" s="57"/>
      <c r="L50" s="313"/>
      <c r="M50" s="314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 x14ac:dyDescent="0.25">
      <c r="A51" s="181" t="s">
        <v>173</v>
      </c>
      <c r="B51" s="83" t="s">
        <v>164</v>
      </c>
      <c r="C51" s="325" t="s">
        <v>174</v>
      </c>
      <c r="D51" s="326"/>
      <c r="E51" s="55" t="s">
        <v>175</v>
      </c>
      <c r="F51" s="327"/>
      <c r="G51" s="328"/>
      <c r="H51" s="81"/>
      <c r="I51" s="56"/>
      <c r="J51" s="57"/>
      <c r="K51" s="57"/>
      <c r="L51" s="313"/>
      <c r="M51" s="314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 x14ac:dyDescent="0.25">
      <c r="A52" s="181" t="s">
        <v>173</v>
      </c>
      <c r="B52" s="83" t="s">
        <v>165</v>
      </c>
      <c r="C52" s="325" t="s">
        <v>127</v>
      </c>
      <c r="D52" s="326"/>
      <c r="E52" s="55" t="s">
        <v>128</v>
      </c>
      <c r="F52" s="327"/>
      <c r="G52" s="328"/>
      <c r="H52" s="81">
        <v>960</v>
      </c>
      <c r="I52" s="56">
        <v>750</v>
      </c>
      <c r="J52" s="57"/>
      <c r="K52" s="57">
        <v>660</v>
      </c>
      <c r="L52" s="313">
        <v>330</v>
      </c>
      <c r="M52" s="314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 x14ac:dyDescent="0.25">
      <c r="A53" s="181" t="s">
        <v>176</v>
      </c>
      <c r="B53" s="83" t="s">
        <v>166</v>
      </c>
      <c r="C53" s="325" t="s">
        <v>120</v>
      </c>
      <c r="D53" s="326"/>
      <c r="E53" s="55" t="s">
        <v>121</v>
      </c>
      <c r="F53" s="327"/>
      <c r="G53" s="328"/>
      <c r="H53" s="81"/>
      <c r="I53" s="56">
        <v>1800</v>
      </c>
      <c r="J53" s="57"/>
      <c r="K53" s="57"/>
      <c r="L53" s="313"/>
      <c r="M53" s="314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 x14ac:dyDescent="0.25">
      <c r="A54" s="181" t="s">
        <v>176</v>
      </c>
      <c r="B54" s="83" t="s">
        <v>167</v>
      </c>
      <c r="C54" s="325" t="s">
        <v>123</v>
      </c>
      <c r="D54" s="326"/>
      <c r="E54" s="55" t="s">
        <v>121</v>
      </c>
      <c r="F54" s="327"/>
      <c r="G54" s="328"/>
      <c r="H54" s="81"/>
      <c r="I54" s="56">
        <v>600</v>
      </c>
      <c r="J54" s="57">
        <f>120+24+48+48+24+1200+120+120+48+1440+120+240+1200+960</f>
        <v>5712</v>
      </c>
      <c r="K54" s="57"/>
      <c r="L54" s="313"/>
      <c r="M54" s="314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 x14ac:dyDescent="0.3">
      <c r="A55" s="182" t="s">
        <v>176</v>
      </c>
      <c r="B55" s="179" t="s">
        <v>168</v>
      </c>
      <c r="C55" s="357" t="s">
        <v>122</v>
      </c>
      <c r="D55" s="358"/>
      <c r="E55" s="126" t="s">
        <v>121</v>
      </c>
      <c r="F55" s="357"/>
      <c r="G55" s="360"/>
      <c r="H55" s="158"/>
      <c r="I55" s="127"/>
      <c r="J55" s="128"/>
      <c r="K55" s="128"/>
      <c r="L55" s="359"/>
      <c r="M55" s="358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 x14ac:dyDescent="0.3">
      <c r="A56" s="364" t="s">
        <v>16</v>
      </c>
      <c r="B56" s="365"/>
      <c r="C56" s="365"/>
      <c r="D56" s="61"/>
      <c r="E56" s="59"/>
      <c r="F56" s="321">
        <f>SUM(F5:G55)</f>
        <v>768</v>
      </c>
      <c r="G56" s="323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324">
        <f>SUM(L5:M55)</f>
        <v>440</v>
      </c>
      <c r="M56" s="322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 x14ac:dyDescent="0.3">
      <c r="A57" s="364"/>
      <c r="B57" s="365"/>
      <c r="C57" s="365"/>
      <c r="D57" s="61"/>
      <c r="E57" s="59"/>
      <c r="F57" s="321">
        <f>F4+F56</f>
        <v>768</v>
      </c>
      <c r="G57" s="323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324">
        <f>L4+L56</f>
        <v>440</v>
      </c>
      <c r="M57" s="322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 x14ac:dyDescent="0.3">
      <c r="V58" s="13"/>
    </row>
    <row r="59" spans="1:24" ht="15.75" customHeight="1" thickBot="1" x14ac:dyDescent="0.3">
      <c r="A59" s="366" t="s">
        <v>161</v>
      </c>
      <c r="B59" s="367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8"/>
      <c r="R59" s="1"/>
      <c r="S59" s="1"/>
      <c r="T59" s="28"/>
    </row>
    <row r="60" spans="1:24" ht="15.75" customHeight="1" thickBot="1" x14ac:dyDescent="0.3">
      <c r="A60" s="369" t="s">
        <v>34</v>
      </c>
      <c r="B60" s="370"/>
      <c r="C60" s="373" t="s">
        <v>33</v>
      </c>
      <c r="D60" s="373" t="s">
        <v>11</v>
      </c>
      <c r="E60" s="376" t="s">
        <v>19</v>
      </c>
      <c r="F60" s="369" t="s">
        <v>8</v>
      </c>
      <c r="G60" s="370"/>
      <c r="H60" s="378" t="s">
        <v>10</v>
      </c>
      <c r="I60" s="379"/>
      <c r="J60" s="380"/>
      <c r="K60" s="381" t="s">
        <v>25</v>
      </c>
      <c r="L60" s="382"/>
      <c r="M60" s="382"/>
      <c r="N60" s="382"/>
      <c r="O60" s="383"/>
      <c r="P60" s="373" t="s">
        <v>20</v>
      </c>
      <c r="Q60" s="384" t="s">
        <v>38</v>
      </c>
      <c r="R60" s="1"/>
      <c r="S60" s="1"/>
      <c r="T60" s="28"/>
    </row>
    <row r="61" spans="1:24" ht="15.75" thickBot="1" x14ac:dyDescent="0.3">
      <c r="A61" s="371"/>
      <c r="B61" s="372"/>
      <c r="C61" s="374"/>
      <c r="D61" s="375"/>
      <c r="E61" s="377"/>
      <c r="F61" s="371"/>
      <c r="G61" s="372"/>
      <c r="H61" s="69" t="s">
        <v>49</v>
      </c>
      <c r="I61" s="69" t="s">
        <v>48</v>
      </c>
      <c r="J61" s="69" t="s">
        <v>50</v>
      </c>
      <c r="K61" s="69" t="s">
        <v>24</v>
      </c>
      <c r="L61" s="381" t="s">
        <v>47</v>
      </c>
      <c r="M61" s="383"/>
      <c r="N61" s="69" t="s">
        <v>46</v>
      </c>
      <c r="O61" s="69" t="s">
        <v>45</v>
      </c>
      <c r="P61" s="375"/>
      <c r="Q61" s="385"/>
      <c r="T61" s="28"/>
    </row>
    <row r="62" spans="1:24" ht="15" customHeight="1" x14ac:dyDescent="0.25">
      <c r="A62" s="369" t="s">
        <v>27</v>
      </c>
      <c r="B62" s="370"/>
      <c r="C62" s="65" t="s">
        <v>28</v>
      </c>
      <c r="D62" s="65"/>
      <c r="E62" s="4">
        <v>720</v>
      </c>
      <c r="F62" s="391"/>
      <c r="G62" s="391"/>
      <c r="H62" s="4"/>
      <c r="I62" s="66"/>
      <c r="J62" s="4"/>
      <c r="K62" s="66"/>
      <c r="L62" s="392"/>
      <c r="M62" s="393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 x14ac:dyDescent="0.3">
      <c r="A63" s="371"/>
      <c r="B63" s="372"/>
      <c r="C63" s="73" t="s">
        <v>29</v>
      </c>
      <c r="D63" s="73"/>
      <c r="E63" s="14">
        <v>2640</v>
      </c>
      <c r="F63" s="398">
        <v>2160</v>
      </c>
      <c r="G63" s="398"/>
      <c r="H63" s="14"/>
      <c r="I63" s="70"/>
      <c r="J63" s="14"/>
      <c r="K63" s="70"/>
      <c r="L63" s="399"/>
      <c r="M63" s="400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 x14ac:dyDescent="0.25">
      <c r="A64" s="369" t="s">
        <v>41</v>
      </c>
      <c r="B64" s="370"/>
      <c r="C64" s="4" t="s">
        <v>30</v>
      </c>
      <c r="D64" s="65">
        <v>23250</v>
      </c>
      <c r="E64" s="4">
        <v>600</v>
      </c>
      <c r="F64" s="391">
        <v>1650</v>
      </c>
      <c r="G64" s="391"/>
      <c r="H64" s="4"/>
      <c r="I64" s="66">
        <v>3600</v>
      </c>
      <c r="J64" s="4">
        <v>1200</v>
      </c>
      <c r="K64" s="66"/>
      <c r="L64" s="392">
        <v>120</v>
      </c>
      <c r="M64" s="393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 x14ac:dyDescent="0.25">
      <c r="A65" s="406"/>
      <c r="B65" s="407"/>
      <c r="C65" s="5" t="s">
        <v>32</v>
      </c>
      <c r="D65" s="67">
        <v>120</v>
      </c>
      <c r="E65" s="5">
        <v>240</v>
      </c>
      <c r="F65" s="411"/>
      <c r="G65" s="411"/>
      <c r="H65" s="5"/>
      <c r="I65" s="68"/>
      <c r="J65" s="5"/>
      <c r="K65" s="68"/>
      <c r="L65" s="412"/>
      <c r="M65" s="413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 x14ac:dyDescent="0.25">
      <c r="A66" s="406"/>
      <c r="B66" s="407"/>
      <c r="C66" s="5" t="s">
        <v>43</v>
      </c>
      <c r="D66" s="67">
        <v>880</v>
      </c>
      <c r="E66" s="5"/>
      <c r="F66" s="411">
        <v>1320</v>
      </c>
      <c r="G66" s="411"/>
      <c r="H66" s="5"/>
      <c r="I66" s="68"/>
      <c r="J66" s="5"/>
      <c r="K66" s="68"/>
      <c r="L66" s="412"/>
      <c r="M66" s="413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 x14ac:dyDescent="0.3">
      <c r="A67" s="371"/>
      <c r="B67" s="372"/>
      <c r="C67" s="64" t="s">
        <v>44</v>
      </c>
      <c r="D67" s="72"/>
      <c r="E67" s="15"/>
      <c r="F67" s="361">
        <v>330</v>
      </c>
      <c r="G67" s="361"/>
      <c r="H67" s="15"/>
      <c r="I67" s="71"/>
      <c r="J67" s="15"/>
      <c r="K67" s="71"/>
      <c r="L67" s="362"/>
      <c r="M67" s="363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 x14ac:dyDescent="0.25">
      <c r="A68" s="369" t="s">
        <v>40</v>
      </c>
      <c r="B68" s="370"/>
      <c r="C68" s="75" t="s">
        <v>28</v>
      </c>
      <c r="D68" s="75">
        <v>1080</v>
      </c>
      <c r="E68" s="16">
        <v>1680</v>
      </c>
      <c r="F68" s="408">
        <v>360</v>
      </c>
      <c r="G68" s="408"/>
      <c r="H68" s="16">
        <v>1680</v>
      </c>
      <c r="I68" s="74">
        <v>1560</v>
      </c>
      <c r="J68" s="16"/>
      <c r="K68" s="74"/>
      <c r="L68" s="409"/>
      <c r="M68" s="410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 x14ac:dyDescent="0.25">
      <c r="A69" s="406"/>
      <c r="B69" s="407"/>
      <c r="C69" s="67" t="s">
        <v>31</v>
      </c>
      <c r="D69" s="67">
        <v>240</v>
      </c>
      <c r="E69" s="5">
        <v>1440</v>
      </c>
      <c r="F69" s="411">
        <v>240</v>
      </c>
      <c r="G69" s="411"/>
      <c r="H69" s="5">
        <v>720</v>
      </c>
      <c r="I69" s="68">
        <v>720</v>
      </c>
      <c r="J69" s="5"/>
      <c r="K69" s="68"/>
      <c r="L69" s="412">
        <v>144</v>
      </c>
      <c r="M69" s="413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 x14ac:dyDescent="0.3">
      <c r="A70" s="371"/>
      <c r="B70" s="372"/>
      <c r="C70" s="64" t="s">
        <v>29</v>
      </c>
      <c r="D70" s="73">
        <v>9000</v>
      </c>
      <c r="E70" s="14">
        <v>8400</v>
      </c>
      <c r="F70" s="398">
        <v>5520</v>
      </c>
      <c r="G70" s="398"/>
      <c r="H70" s="14">
        <v>2520</v>
      </c>
      <c r="I70" s="70">
        <v>8880</v>
      </c>
      <c r="J70" s="14">
        <v>4920</v>
      </c>
      <c r="K70" s="70"/>
      <c r="L70" s="399">
        <v>720</v>
      </c>
      <c r="M70" s="400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 x14ac:dyDescent="0.25">
      <c r="A71" s="369" t="s">
        <v>42</v>
      </c>
      <c r="B71" s="370"/>
      <c r="C71" s="65" t="s">
        <v>31</v>
      </c>
      <c r="D71" s="65">
        <v>5160</v>
      </c>
      <c r="E71" s="4">
        <v>240</v>
      </c>
      <c r="F71" s="391">
        <v>360</v>
      </c>
      <c r="G71" s="391"/>
      <c r="H71" s="4"/>
      <c r="I71" s="66"/>
      <c r="J71" s="4"/>
      <c r="K71" s="66"/>
      <c r="L71" s="392">
        <v>120</v>
      </c>
      <c r="M71" s="393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 x14ac:dyDescent="0.3">
      <c r="A72" s="371"/>
      <c r="B72" s="372"/>
      <c r="C72" s="64" t="s">
        <v>29</v>
      </c>
      <c r="D72" s="72">
        <v>900</v>
      </c>
      <c r="E72" s="15"/>
      <c r="F72" s="361"/>
      <c r="G72" s="361"/>
      <c r="H72" s="15"/>
      <c r="I72" s="71"/>
      <c r="J72" s="15"/>
      <c r="K72" s="71"/>
      <c r="L72" s="362"/>
      <c r="M72" s="363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 x14ac:dyDescent="0.3">
      <c r="A73" s="394" t="s">
        <v>37</v>
      </c>
      <c r="B73" s="395"/>
      <c r="C73" s="395"/>
      <c r="D73" s="23">
        <f>SUM(D62:D72)</f>
        <v>40630</v>
      </c>
      <c r="E73" s="23">
        <f t="shared" ref="E73" si="4">SUM(E62:E72)</f>
        <v>15960</v>
      </c>
      <c r="F73" s="396">
        <f>SUM(F62:G72)</f>
        <v>11940</v>
      </c>
      <c r="G73" s="397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96">
        <f>SUM(L62:M72)</f>
        <v>1104</v>
      </c>
      <c r="M73" s="397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 x14ac:dyDescent="0.3">
      <c r="A74" s="401" t="s">
        <v>36</v>
      </c>
      <c r="B74" s="402"/>
      <c r="C74" s="402"/>
      <c r="D74" s="403">
        <f>D73+E73+F73+H73+I73+J73+K73+L73+N73+O73+P73</f>
        <v>122966</v>
      </c>
      <c r="E74" s="404"/>
      <c r="F74" s="404"/>
      <c r="G74" s="404"/>
      <c r="H74" s="404"/>
      <c r="I74" s="404"/>
      <c r="J74" s="404"/>
      <c r="K74" s="404"/>
      <c r="L74" s="404"/>
      <c r="M74" s="404"/>
      <c r="N74" s="404"/>
      <c r="O74" s="404"/>
      <c r="P74" s="404"/>
      <c r="Q74" s="405"/>
      <c r="T74" s="28"/>
      <c r="V74" s="13"/>
    </row>
    <row r="75" spans="1:22" s="20" customFormat="1" ht="15" customHeight="1" thickBot="1" x14ac:dyDescent="0.25">
      <c r="A75" s="386" t="s">
        <v>26</v>
      </c>
      <c r="B75" s="387"/>
      <c r="C75" s="387"/>
      <c r="D75" s="25">
        <v>12859514</v>
      </c>
      <c r="E75" s="22">
        <v>5003124</v>
      </c>
      <c r="F75" s="388">
        <v>3781158</v>
      </c>
      <c r="G75" s="389"/>
      <c r="H75" s="22">
        <v>1562741</v>
      </c>
      <c r="I75" s="26">
        <v>4657193</v>
      </c>
      <c r="J75" s="22">
        <v>1941728</v>
      </c>
      <c r="K75" s="22"/>
      <c r="L75" s="390">
        <v>357629</v>
      </c>
      <c r="M75" s="389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 x14ac:dyDescent="0.25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 x14ac:dyDescent="0.3">
      <c r="A1" s="414" t="s">
        <v>187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0" s="6" customFormat="1" ht="12.75" customHeight="1" x14ac:dyDescent="0.25">
      <c r="A2" s="340" t="s">
        <v>9</v>
      </c>
      <c r="B2" s="342" t="s">
        <v>13</v>
      </c>
      <c r="C2" s="344" t="s">
        <v>23</v>
      </c>
      <c r="D2" s="345"/>
      <c r="E2" s="348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2" t="s">
        <v>14</v>
      </c>
      <c r="T2" s="315" t="s">
        <v>12</v>
      </c>
    </row>
    <row r="3" spans="1:20" s="6" customFormat="1" ht="15.75" thickBot="1" x14ac:dyDescent="0.3">
      <c r="A3" s="341"/>
      <c r="B3" s="343"/>
      <c r="C3" s="346"/>
      <c r="D3" s="347"/>
      <c r="E3" s="349"/>
      <c r="F3" s="317" t="s">
        <v>3</v>
      </c>
      <c r="G3" s="318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32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3"/>
      <c r="T3" s="316"/>
    </row>
    <row r="4" spans="1:20" s="18" customFormat="1" ht="15.75" thickBot="1" x14ac:dyDescent="0.3">
      <c r="A4" s="98" t="s">
        <v>35</v>
      </c>
      <c r="B4" s="30"/>
      <c r="C4" s="321"/>
      <c r="D4" s="322"/>
      <c r="E4" s="31"/>
      <c r="F4" s="321">
        <v>768</v>
      </c>
      <c r="G4" s="323"/>
      <c r="H4" s="100">
        <v>5712</v>
      </c>
      <c r="I4" s="32">
        <v>32880</v>
      </c>
      <c r="J4" s="33">
        <v>360</v>
      </c>
      <c r="K4" s="100">
        <v>2442</v>
      </c>
      <c r="L4" s="324">
        <v>440</v>
      </c>
      <c r="M4" s="322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 x14ac:dyDescent="0.25">
      <c r="A5" s="37" t="s">
        <v>183</v>
      </c>
      <c r="B5" s="38">
        <v>52</v>
      </c>
      <c r="C5" s="331" t="s">
        <v>98</v>
      </c>
      <c r="D5" s="334"/>
      <c r="E5" s="44" t="s">
        <v>99</v>
      </c>
      <c r="F5" s="327"/>
      <c r="G5" s="328"/>
      <c r="H5" s="86"/>
      <c r="I5" s="45">
        <v>90</v>
      </c>
      <c r="J5" s="46"/>
      <c r="K5" s="46"/>
      <c r="L5" s="335"/>
      <c r="M5" s="336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 x14ac:dyDescent="0.25">
      <c r="A6" s="37" t="s">
        <v>177</v>
      </c>
      <c r="B6" s="38">
        <v>53</v>
      </c>
      <c r="C6" s="325" t="s">
        <v>95</v>
      </c>
      <c r="D6" s="326"/>
      <c r="E6" s="44" t="s">
        <v>96</v>
      </c>
      <c r="F6" s="327"/>
      <c r="G6" s="328"/>
      <c r="H6" s="86"/>
      <c r="I6" s="47"/>
      <c r="J6" s="51"/>
      <c r="K6" s="51"/>
      <c r="L6" s="313"/>
      <c r="M6" s="314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 x14ac:dyDescent="0.25">
      <c r="A7" s="37" t="s">
        <v>178</v>
      </c>
      <c r="B7" s="38">
        <v>54</v>
      </c>
      <c r="C7" s="325" t="s">
        <v>109</v>
      </c>
      <c r="D7" s="326"/>
      <c r="E7" s="44" t="s">
        <v>110</v>
      </c>
      <c r="F7" s="327"/>
      <c r="G7" s="328"/>
      <c r="H7" s="86">
        <v>48</v>
      </c>
      <c r="I7" s="47"/>
      <c r="J7" s="51"/>
      <c r="K7" s="51"/>
      <c r="L7" s="313"/>
      <c r="M7" s="314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 x14ac:dyDescent="0.25">
      <c r="A8" s="37" t="s">
        <v>178</v>
      </c>
      <c r="B8" s="38">
        <v>55</v>
      </c>
      <c r="C8" s="327" t="s">
        <v>149</v>
      </c>
      <c r="D8" s="314"/>
      <c r="E8" s="44" t="s">
        <v>99</v>
      </c>
      <c r="F8" s="327"/>
      <c r="G8" s="328"/>
      <c r="H8" s="86"/>
      <c r="I8" s="47"/>
      <c r="J8" s="51"/>
      <c r="K8" s="51"/>
      <c r="L8" s="313"/>
      <c r="M8" s="314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 x14ac:dyDescent="0.25">
      <c r="A9" s="37" t="s">
        <v>179</v>
      </c>
      <c r="B9" s="38">
        <v>56</v>
      </c>
      <c r="C9" s="325" t="s">
        <v>137</v>
      </c>
      <c r="D9" s="326"/>
      <c r="E9" s="44" t="s">
        <v>138</v>
      </c>
      <c r="F9" s="327"/>
      <c r="G9" s="328"/>
      <c r="H9" s="86"/>
      <c r="I9" s="47"/>
      <c r="J9" s="51"/>
      <c r="K9" s="51"/>
      <c r="L9" s="313"/>
      <c r="M9" s="314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 x14ac:dyDescent="0.25">
      <c r="A10" s="37" t="s">
        <v>179</v>
      </c>
      <c r="B10" s="38">
        <v>57</v>
      </c>
      <c r="C10" s="325" t="s">
        <v>120</v>
      </c>
      <c r="D10" s="326"/>
      <c r="E10" s="55" t="s">
        <v>121</v>
      </c>
      <c r="F10" s="327"/>
      <c r="G10" s="328"/>
      <c r="H10" s="86"/>
      <c r="I10" s="47">
        <v>750</v>
      </c>
      <c r="J10" s="51"/>
      <c r="K10" s="51"/>
      <c r="L10" s="313"/>
      <c r="M10" s="314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 x14ac:dyDescent="0.25">
      <c r="A11" s="37" t="s">
        <v>179</v>
      </c>
      <c r="B11" s="38">
        <v>58</v>
      </c>
      <c r="C11" s="325" t="s">
        <v>122</v>
      </c>
      <c r="D11" s="326"/>
      <c r="E11" s="55" t="s">
        <v>121</v>
      </c>
      <c r="F11" s="327"/>
      <c r="G11" s="328"/>
      <c r="H11" s="86"/>
      <c r="I11" s="47"/>
      <c r="J11" s="51"/>
      <c r="K11" s="51"/>
      <c r="L11" s="313"/>
      <c r="M11" s="314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 x14ac:dyDescent="0.25">
      <c r="A12" s="37" t="s">
        <v>179</v>
      </c>
      <c r="B12" s="38">
        <v>59</v>
      </c>
      <c r="C12" s="325" t="s">
        <v>123</v>
      </c>
      <c r="D12" s="326"/>
      <c r="E12" s="55" t="s">
        <v>121</v>
      </c>
      <c r="F12" s="327"/>
      <c r="G12" s="328"/>
      <c r="H12" s="86"/>
      <c r="I12" s="47">
        <v>450</v>
      </c>
      <c r="J12" s="51"/>
      <c r="K12" s="51"/>
      <c r="L12" s="313"/>
      <c r="M12" s="314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 x14ac:dyDescent="0.25">
      <c r="A13" s="37" t="s">
        <v>179</v>
      </c>
      <c r="B13" s="38">
        <v>60</v>
      </c>
      <c r="C13" s="325" t="s">
        <v>180</v>
      </c>
      <c r="D13" s="326"/>
      <c r="E13" s="44" t="s">
        <v>181</v>
      </c>
      <c r="F13" s="327"/>
      <c r="G13" s="328"/>
      <c r="H13" s="86"/>
      <c r="I13" s="47"/>
      <c r="J13" s="51"/>
      <c r="K13" s="51"/>
      <c r="L13" s="313"/>
      <c r="M13" s="314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 x14ac:dyDescent="0.25">
      <c r="A14" s="101" t="s">
        <v>182</v>
      </c>
      <c r="B14" s="38">
        <v>61</v>
      </c>
      <c r="C14" s="325" t="s">
        <v>111</v>
      </c>
      <c r="D14" s="326"/>
      <c r="E14" s="44" t="s">
        <v>112</v>
      </c>
      <c r="F14" s="327"/>
      <c r="G14" s="328"/>
      <c r="H14" s="86"/>
      <c r="I14" s="47">
        <v>6450</v>
      </c>
      <c r="J14" s="51"/>
      <c r="K14" s="51"/>
      <c r="L14" s="313"/>
      <c r="M14" s="314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 x14ac:dyDescent="0.25">
      <c r="A15" s="102" t="s">
        <v>186</v>
      </c>
      <c r="B15" s="38">
        <v>62</v>
      </c>
      <c r="C15" s="325" t="s">
        <v>127</v>
      </c>
      <c r="D15" s="326"/>
      <c r="E15" s="44" t="s">
        <v>128</v>
      </c>
      <c r="F15" s="327">
        <v>24</v>
      </c>
      <c r="G15" s="328"/>
      <c r="H15" s="86">
        <v>1200</v>
      </c>
      <c r="I15" s="47">
        <v>690</v>
      </c>
      <c r="J15" s="51"/>
      <c r="K15" s="51">
        <v>220</v>
      </c>
      <c r="L15" s="313">
        <v>110</v>
      </c>
      <c r="M15" s="314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 x14ac:dyDescent="0.25">
      <c r="A16" s="102" t="s">
        <v>184</v>
      </c>
      <c r="B16" s="38">
        <v>63</v>
      </c>
      <c r="C16" s="325" t="s">
        <v>127</v>
      </c>
      <c r="D16" s="326"/>
      <c r="E16" s="44" t="s">
        <v>146</v>
      </c>
      <c r="F16" s="327">
        <v>600</v>
      </c>
      <c r="G16" s="328"/>
      <c r="H16" s="86">
        <v>1200</v>
      </c>
      <c r="I16" s="47"/>
      <c r="J16" s="51"/>
      <c r="K16" s="51">
        <v>220</v>
      </c>
      <c r="L16" s="313"/>
      <c r="M16" s="314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 x14ac:dyDescent="0.25">
      <c r="A17" s="105" t="s">
        <v>185</v>
      </c>
      <c r="B17" s="38">
        <v>64</v>
      </c>
      <c r="C17" s="325" t="s">
        <v>95</v>
      </c>
      <c r="D17" s="326"/>
      <c r="E17" s="44" t="s">
        <v>96</v>
      </c>
      <c r="F17" s="327">
        <v>120</v>
      </c>
      <c r="G17" s="328"/>
      <c r="H17" s="86">
        <v>240</v>
      </c>
      <c r="I17" s="47">
        <v>300</v>
      </c>
      <c r="J17" s="51"/>
      <c r="K17" s="51"/>
      <c r="L17" s="313"/>
      <c r="M17" s="314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 x14ac:dyDescent="0.25">
      <c r="A18" s="103" t="s">
        <v>189</v>
      </c>
      <c r="B18" s="38">
        <v>65</v>
      </c>
      <c r="C18" s="325" t="s">
        <v>107</v>
      </c>
      <c r="D18" s="326"/>
      <c r="E18" s="44" t="s">
        <v>108</v>
      </c>
      <c r="F18" s="327"/>
      <c r="G18" s="328"/>
      <c r="H18" s="86">
        <v>72</v>
      </c>
      <c r="I18" s="47"/>
      <c r="J18" s="51"/>
      <c r="K18" s="51"/>
      <c r="L18" s="313"/>
      <c r="M18" s="314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 x14ac:dyDescent="0.25">
      <c r="A19" s="103" t="s">
        <v>191</v>
      </c>
      <c r="B19" s="38">
        <v>66</v>
      </c>
      <c r="C19" s="327" t="s">
        <v>190</v>
      </c>
      <c r="D19" s="314"/>
      <c r="E19" s="44" t="s">
        <v>130</v>
      </c>
      <c r="F19" s="327">
        <v>72</v>
      </c>
      <c r="G19" s="328"/>
      <c r="H19" s="86">
        <v>48</v>
      </c>
      <c r="I19" s="47"/>
      <c r="J19" s="51"/>
      <c r="K19" s="51"/>
      <c r="L19" s="313"/>
      <c r="M19" s="314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 x14ac:dyDescent="0.25">
      <c r="A20" s="103" t="s">
        <v>191</v>
      </c>
      <c r="B20" s="38">
        <v>67</v>
      </c>
      <c r="C20" s="327" t="s">
        <v>120</v>
      </c>
      <c r="D20" s="314"/>
      <c r="E20" s="44" t="s">
        <v>121</v>
      </c>
      <c r="F20" s="327"/>
      <c r="G20" s="328"/>
      <c r="H20" s="86"/>
      <c r="I20" s="47">
        <v>900</v>
      </c>
      <c r="J20" s="51"/>
      <c r="K20" s="51"/>
      <c r="L20" s="313"/>
      <c r="M20" s="314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 x14ac:dyDescent="0.25">
      <c r="A21" s="103" t="s">
        <v>191</v>
      </c>
      <c r="B21" s="38">
        <v>68</v>
      </c>
      <c r="C21" s="327" t="s">
        <v>123</v>
      </c>
      <c r="D21" s="314"/>
      <c r="E21" s="44" t="s">
        <v>121</v>
      </c>
      <c r="F21" s="327"/>
      <c r="G21" s="328"/>
      <c r="H21" s="86"/>
      <c r="I21" s="47">
        <v>300</v>
      </c>
      <c r="J21" s="51"/>
      <c r="K21" s="51"/>
      <c r="L21" s="313"/>
      <c r="M21" s="314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 x14ac:dyDescent="0.25">
      <c r="A22" s="103" t="s">
        <v>191</v>
      </c>
      <c r="B22" s="38">
        <v>69</v>
      </c>
      <c r="C22" s="327" t="s">
        <v>95</v>
      </c>
      <c r="D22" s="314"/>
      <c r="E22" s="44" t="s">
        <v>96</v>
      </c>
      <c r="F22" s="327"/>
      <c r="G22" s="328"/>
      <c r="H22" s="86"/>
      <c r="I22" s="47"/>
      <c r="J22" s="51"/>
      <c r="K22" s="51"/>
      <c r="L22" s="313">
        <v>110</v>
      </c>
      <c r="M22" s="314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 x14ac:dyDescent="0.25">
      <c r="A23" s="104" t="s">
        <v>192</v>
      </c>
      <c r="B23" s="38">
        <v>70</v>
      </c>
      <c r="C23" s="327" t="s">
        <v>111</v>
      </c>
      <c r="D23" s="314"/>
      <c r="E23" s="44" t="s">
        <v>112</v>
      </c>
      <c r="F23" s="327"/>
      <c r="G23" s="328"/>
      <c r="H23" s="86"/>
      <c r="I23" s="47">
        <v>3600</v>
      </c>
      <c r="J23" s="51"/>
      <c r="K23" s="51">
        <v>330</v>
      </c>
      <c r="L23" s="313"/>
      <c r="M23" s="314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 x14ac:dyDescent="0.25">
      <c r="A24" s="104" t="s">
        <v>193</v>
      </c>
      <c r="B24" s="38">
        <v>71</v>
      </c>
      <c r="C24" s="327" t="s">
        <v>52</v>
      </c>
      <c r="D24" s="314"/>
      <c r="E24" s="44" t="s">
        <v>194</v>
      </c>
      <c r="F24" s="327"/>
      <c r="G24" s="328"/>
      <c r="H24" s="86"/>
      <c r="I24" s="47"/>
      <c r="J24" s="51"/>
      <c r="K24" s="51"/>
      <c r="L24" s="313"/>
      <c r="M24" s="314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 x14ac:dyDescent="0.25">
      <c r="A25" s="104" t="s">
        <v>193</v>
      </c>
      <c r="B25" s="38">
        <v>72</v>
      </c>
      <c r="C25" s="325" t="s">
        <v>100</v>
      </c>
      <c r="D25" s="326"/>
      <c r="E25" s="55" t="s">
        <v>101</v>
      </c>
      <c r="F25" s="327"/>
      <c r="G25" s="328"/>
      <c r="H25" s="86"/>
      <c r="I25" s="47">
        <v>150</v>
      </c>
      <c r="J25" s="51"/>
      <c r="K25" s="51"/>
      <c r="L25" s="313"/>
      <c r="M25" s="314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 x14ac:dyDescent="0.25">
      <c r="A26" s="106" t="s">
        <v>195</v>
      </c>
      <c r="B26" s="38">
        <v>73</v>
      </c>
      <c r="C26" s="327" t="s">
        <v>120</v>
      </c>
      <c r="D26" s="314"/>
      <c r="E26" s="55" t="s">
        <v>121</v>
      </c>
      <c r="F26" s="327"/>
      <c r="G26" s="328"/>
      <c r="H26" s="81"/>
      <c r="I26" s="56"/>
      <c r="J26" s="57"/>
      <c r="K26" s="57"/>
      <c r="L26" s="313"/>
      <c r="M26" s="314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 x14ac:dyDescent="0.25">
      <c r="A27" s="106" t="s">
        <v>195</v>
      </c>
      <c r="B27" s="38">
        <v>74</v>
      </c>
      <c r="C27" s="327" t="s">
        <v>122</v>
      </c>
      <c r="D27" s="314"/>
      <c r="E27" s="55" t="s">
        <v>121</v>
      </c>
      <c r="F27" s="327"/>
      <c r="G27" s="328"/>
      <c r="H27" s="81"/>
      <c r="I27" s="56"/>
      <c r="J27" s="57"/>
      <c r="K27" s="57"/>
      <c r="L27" s="313"/>
      <c r="M27" s="314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 x14ac:dyDescent="0.3">
      <c r="A28" s="106" t="s">
        <v>195</v>
      </c>
      <c r="B28" s="38">
        <v>75</v>
      </c>
      <c r="C28" s="327" t="s">
        <v>123</v>
      </c>
      <c r="D28" s="314"/>
      <c r="E28" s="55" t="s">
        <v>121</v>
      </c>
      <c r="F28" s="327"/>
      <c r="G28" s="328"/>
      <c r="H28" s="81"/>
      <c r="I28" s="56">
        <v>450</v>
      </c>
      <c r="J28" s="57"/>
      <c r="K28" s="57"/>
      <c r="L28" s="313"/>
      <c r="M28" s="314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 x14ac:dyDescent="0.3">
      <c r="A29" s="364" t="s">
        <v>16</v>
      </c>
      <c r="B29" s="365"/>
      <c r="C29" s="365"/>
      <c r="D29" s="61"/>
      <c r="E29" s="59"/>
      <c r="F29" s="321">
        <f>SUM(F5:G28)</f>
        <v>816</v>
      </c>
      <c r="G29" s="323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324">
        <f>SUM(L5:M28)</f>
        <v>220</v>
      </c>
      <c r="M29" s="322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 x14ac:dyDescent="0.3">
      <c r="A30" s="364"/>
      <c r="B30" s="365"/>
      <c r="C30" s="365"/>
      <c r="D30" s="61"/>
      <c r="E30" s="59"/>
      <c r="F30" s="321">
        <f>F4+F29</f>
        <v>1584</v>
      </c>
      <c r="G30" s="323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324">
        <f>L4+L29</f>
        <v>660</v>
      </c>
      <c r="M30" s="322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 x14ac:dyDescent="0.3">
      <c r="V31" s="13"/>
    </row>
    <row r="32" spans="1:24" ht="15.75" customHeight="1" thickBot="1" x14ac:dyDescent="0.3">
      <c r="A32" s="366" t="s">
        <v>188</v>
      </c>
      <c r="B32" s="367"/>
      <c r="C32" s="367"/>
      <c r="D32" s="367"/>
      <c r="E32" s="367"/>
      <c r="F32" s="367"/>
      <c r="G32" s="367"/>
      <c r="H32" s="367"/>
      <c r="I32" s="367"/>
      <c r="J32" s="367"/>
      <c r="K32" s="367"/>
      <c r="L32" s="367"/>
      <c r="M32" s="367"/>
      <c r="N32" s="367"/>
      <c r="O32" s="367"/>
      <c r="P32" s="367"/>
      <c r="Q32" s="368"/>
      <c r="R32" s="1"/>
      <c r="S32" s="1"/>
      <c r="T32" s="28"/>
    </row>
    <row r="33" spans="1:22" ht="15.75" customHeight="1" thickBot="1" x14ac:dyDescent="0.3">
      <c r="A33" s="369" t="s">
        <v>34</v>
      </c>
      <c r="B33" s="370"/>
      <c r="C33" s="373" t="s">
        <v>33</v>
      </c>
      <c r="D33" s="373" t="s">
        <v>11</v>
      </c>
      <c r="E33" s="376" t="s">
        <v>19</v>
      </c>
      <c r="F33" s="369" t="s">
        <v>8</v>
      </c>
      <c r="G33" s="370"/>
      <c r="H33" s="378" t="s">
        <v>10</v>
      </c>
      <c r="I33" s="379"/>
      <c r="J33" s="380"/>
      <c r="K33" s="381" t="s">
        <v>25</v>
      </c>
      <c r="L33" s="382"/>
      <c r="M33" s="382"/>
      <c r="N33" s="382"/>
      <c r="O33" s="383"/>
      <c r="P33" s="373" t="s">
        <v>20</v>
      </c>
      <c r="Q33" s="384" t="s">
        <v>38</v>
      </c>
      <c r="R33" s="1"/>
      <c r="S33" s="1"/>
      <c r="T33" s="28"/>
    </row>
    <row r="34" spans="1:22" ht="15.75" thickBot="1" x14ac:dyDescent="0.3">
      <c r="A34" s="371"/>
      <c r="B34" s="372"/>
      <c r="C34" s="374"/>
      <c r="D34" s="375"/>
      <c r="E34" s="377"/>
      <c r="F34" s="371"/>
      <c r="G34" s="372"/>
      <c r="H34" s="69" t="s">
        <v>49</v>
      </c>
      <c r="I34" s="69" t="s">
        <v>48</v>
      </c>
      <c r="J34" s="69" t="s">
        <v>50</v>
      </c>
      <c r="K34" s="69" t="s">
        <v>24</v>
      </c>
      <c r="L34" s="381" t="s">
        <v>47</v>
      </c>
      <c r="M34" s="383"/>
      <c r="N34" s="69" t="s">
        <v>46</v>
      </c>
      <c r="O34" s="69" t="s">
        <v>45</v>
      </c>
      <c r="P34" s="375"/>
      <c r="Q34" s="385"/>
      <c r="T34" s="28"/>
    </row>
    <row r="35" spans="1:22" ht="15" customHeight="1" x14ac:dyDescent="0.25">
      <c r="A35" s="369" t="s">
        <v>27</v>
      </c>
      <c r="B35" s="370"/>
      <c r="C35" s="89" t="s">
        <v>28</v>
      </c>
      <c r="D35" s="89"/>
      <c r="E35" s="4">
        <v>600</v>
      </c>
      <c r="F35" s="391">
        <v>24</v>
      </c>
      <c r="G35" s="391"/>
      <c r="H35" s="4"/>
      <c r="I35" s="88"/>
      <c r="J35" s="4"/>
      <c r="K35" s="88"/>
      <c r="L35" s="392"/>
      <c r="M35" s="393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 x14ac:dyDescent="0.3">
      <c r="A36" s="371"/>
      <c r="B36" s="372"/>
      <c r="C36" s="91" t="s">
        <v>29</v>
      </c>
      <c r="D36" s="91"/>
      <c r="E36" s="14">
        <v>1200</v>
      </c>
      <c r="F36" s="398">
        <v>1200</v>
      </c>
      <c r="G36" s="398"/>
      <c r="H36" s="14"/>
      <c r="I36" s="90"/>
      <c r="J36" s="14"/>
      <c r="K36" s="90"/>
      <c r="L36" s="399"/>
      <c r="M36" s="400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 x14ac:dyDescent="0.25">
      <c r="A37" s="369" t="s">
        <v>41</v>
      </c>
      <c r="B37" s="370"/>
      <c r="C37" s="4" t="s">
        <v>30</v>
      </c>
      <c r="D37" s="4">
        <v>10050</v>
      </c>
      <c r="E37" s="4"/>
      <c r="F37" s="391">
        <v>690</v>
      </c>
      <c r="G37" s="391"/>
      <c r="H37" s="4"/>
      <c r="I37" s="88">
        <v>1650</v>
      </c>
      <c r="J37" s="4">
        <v>1200</v>
      </c>
      <c r="K37" s="88"/>
      <c r="L37" s="392"/>
      <c r="M37" s="393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 x14ac:dyDescent="0.25">
      <c r="A38" s="406"/>
      <c r="B38" s="407"/>
      <c r="C38" s="5" t="s">
        <v>32</v>
      </c>
      <c r="D38" s="97"/>
      <c r="E38" s="5"/>
      <c r="F38" s="411"/>
      <c r="G38" s="411"/>
      <c r="H38" s="5"/>
      <c r="I38" s="96"/>
      <c r="J38" s="5"/>
      <c r="K38" s="96"/>
      <c r="L38" s="412"/>
      <c r="M38" s="413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 x14ac:dyDescent="0.25">
      <c r="A39" s="406"/>
      <c r="B39" s="407"/>
      <c r="C39" s="5" t="s">
        <v>43</v>
      </c>
      <c r="D39" s="97">
        <v>330</v>
      </c>
      <c r="E39" s="5">
        <v>220</v>
      </c>
      <c r="F39" s="411">
        <v>220</v>
      </c>
      <c r="G39" s="411"/>
      <c r="H39" s="5"/>
      <c r="I39" s="96"/>
      <c r="J39" s="5"/>
      <c r="K39" s="96"/>
      <c r="L39" s="412"/>
      <c r="M39" s="413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 x14ac:dyDescent="0.3">
      <c r="A40" s="371"/>
      <c r="B40" s="372"/>
      <c r="C40" s="64" t="s">
        <v>44</v>
      </c>
      <c r="D40" s="93"/>
      <c r="E40" s="15"/>
      <c r="F40" s="361">
        <v>110</v>
      </c>
      <c r="G40" s="361"/>
      <c r="H40" s="15"/>
      <c r="I40" s="92"/>
      <c r="J40" s="15"/>
      <c r="K40" s="92"/>
      <c r="L40" s="362"/>
      <c r="M40" s="363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 x14ac:dyDescent="0.25">
      <c r="A41" s="369" t="s">
        <v>40</v>
      </c>
      <c r="B41" s="370"/>
      <c r="C41" s="95" t="s">
        <v>28</v>
      </c>
      <c r="D41" s="95">
        <v>480</v>
      </c>
      <c r="E41" s="16">
        <v>480</v>
      </c>
      <c r="F41" s="408">
        <v>240</v>
      </c>
      <c r="G41" s="408"/>
      <c r="H41" s="16">
        <v>2160</v>
      </c>
      <c r="I41" s="94">
        <v>2040</v>
      </c>
      <c r="J41" s="16"/>
      <c r="K41" s="94"/>
      <c r="L41" s="409"/>
      <c r="M41" s="410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 x14ac:dyDescent="0.25">
      <c r="A42" s="406"/>
      <c r="B42" s="407"/>
      <c r="C42" s="97" t="s">
        <v>31</v>
      </c>
      <c r="D42" s="97">
        <v>360</v>
      </c>
      <c r="E42" s="5">
        <v>600</v>
      </c>
      <c r="F42" s="411"/>
      <c r="G42" s="411"/>
      <c r="H42" s="5">
        <v>480</v>
      </c>
      <c r="I42" s="96">
        <v>240</v>
      </c>
      <c r="J42" s="5">
        <v>120</v>
      </c>
      <c r="K42" s="96"/>
      <c r="L42" s="412"/>
      <c r="M42" s="413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 x14ac:dyDescent="0.3">
      <c r="A43" s="371"/>
      <c r="B43" s="372"/>
      <c r="C43" s="64" t="s">
        <v>29</v>
      </c>
      <c r="D43" s="91">
        <v>1800</v>
      </c>
      <c r="E43" s="14">
        <v>5400</v>
      </c>
      <c r="F43" s="398">
        <v>4200</v>
      </c>
      <c r="G43" s="398"/>
      <c r="H43" s="14">
        <v>2280</v>
      </c>
      <c r="I43" s="90">
        <v>8400</v>
      </c>
      <c r="J43" s="14">
        <v>3960</v>
      </c>
      <c r="K43" s="90"/>
      <c r="L43" s="399"/>
      <c r="M43" s="400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 x14ac:dyDescent="0.25">
      <c r="A44" s="369" t="s">
        <v>42</v>
      </c>
      <c r="B44" s="370"/>
      <c r="C44" s="89" t="s">
        <v>31</v>
      </c>
      <c r="D44" s="89">
        <v>2100</v>
      </c>
      <c r="E44" s="4"/>
      <c r="F44" s="391">
        <v>360</v>
      </c>
      <c r="G44" s="391"/>
      <c r="H44" s="4"/>
      <c r="I44" s="88"/>
      <c r="J44" s="4"/>
      <c r="K44" s="88"/>
      <c r="L44" s="392"/>
      <c r="M44" s="393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 x14ac:dyDescent="0.3">
      <c r="A45" s="371"/>
      <c r="B45" s="372"/>
      <c r="C45" s="64" t="s">
        <v>29</v>
      </c>
      <c r="D45" s="15">
        <v>2412</v>
      </c>
      <c r="E45" s="15"/>
      <c r="F45" s="361"/>
      <c r="G45" s="361"/>
      <c r="H45" s="15"/>
      <c r="I45" s="92">
        <v>720</v>
      </c>
      <c r="J45" s="15"/>
      <c r="K45" s="92"/>
      <c r="L45" s="362"/>
      <c r="M45" s="363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 x14ac:dyDescent="0.3">
      <c r="A46" s="394" t="s">
        <v>37</v>
      </c>
      <c r="B46" s="395"/>
      <c r="C46" s="395"/>
      <c r="D46" s="23">
        <f>SUM(D35:D45)</f>
        <v>17532</v>
      </c>
      <c r="E46" s="23">
        <f t="shared" ref="E46" si="4">SUM(E35:E45)</f>
        <v>8500</v>
      </c>
      <c r="F46" s="396">
        <f>SUM(F35:G45)</f>
        <v>7044</v>
      </c>
      <c r="G46" s="397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96">
        <f>SUM(L35:M45)</f>
        <v>0</v>
      </c>
      <c r="M46" s="397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 x14ac:dyDescent="0.3">
      <c r="A47" s="401" t="s">
        <v>36</v>
      </c>
      <c r="B47" s="402"/>
      <c r="C47" s="402"/>
      <c r="D47" s="403">
        <f>D46+E46+F46+H46+I46+J46+K46+L46+N46+O46+P46</f>
        <v>67404</v>
      </c>
      <c r="E47" s="404"/>
      <c r="F47" s="404"/>
      <c r="G47" s="404"/>
      <c r="H47" s="404"/>
      <c r="I47" s="404"/>
      <c r="J47" s="404"/>
      <c r="K47" s="404"/>
      <c r="L47" s="404"/>
      <c r="M47" s="404"/>
      <c r="N47" s="404"/>
      <c r="O47" s="404"/>
      <c r="P47" s="404"/>
      <c r="Q47" s="405"/>
      <c r="T47" s="28"/>
      <c r="V47" s="13"/>
    </row>
    <row r="48" spans="1:22" s="20" customFormat="1" ht="15" customHeight="1" thickBot="1" x14ac:dyDescent="0.25">
      <c r="A48" s="386" t="s">
        <v>26</v>
      </c>
      <c r="B48" s="387"/>
      <c r="C48" s="387"/>
      <c r="D48" s="22">
        <v>5673617</v>
      </c>
      <c r="E48" s="22">
        <v>2670081</v>
      </c>
      <c r="F48" s="388">
        <v>2226736</v>
      </c>
      <c r="G48" s="389"/>
      <c r="H48" s="22">
        <v>1560338</v>
      </c>
      <c r="I48" s="26">
        <v>4197122</v>
      </c>
      <c r="J48" s="22">
        <v>1671937</v>
      </c>
      <c r="K48" s="22"/>
      <c r="L48" s="390"/>
      <c r="M48" s="389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 x14ac:dyDescent="0.25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 x14ac:dyDescent="0.3">
      <c r="A1" s="414" t="s">
        <v>206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3" s="6" customFormat="1" ht="12.75" customHeight="1" x14ac:dyDescent="0.25">
      <c r="A2" s="340" t="s">
        <v>9</v>
      </c>
      <c r="B2" s="342" t="s">
        <v>13</v>
      </c>
      <c r="C2" s="344" t="s">
        <v>23</v>
      </c>
      <c r="D2" s="345"/>
      <c r="E2" s="348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2" t="s">
        <v>14</v>
      </c>
      <c r="T2" s="315" t="s">
        <v>12</v>
      </c>
    </row>
    <row r="3" spans="1:23" s="6" customFormat="1" ht="15.75" thickBot="1" x14ac:dyDescent="0.3">
      <c r="A3" s="341"/>
      <c r="B3" s="343"/>
      <c r="C3" s="346"/>
      <c r="D3" s="347"/>
      <c r="E3" s="349"/>
      <c r="F3" s="317" t="s">
        <v>3</v>
      </c>
      <c r="G3" s="318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32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3"/>
      <c r="T3" s="316"/>
    </row>
    <row r="4" spans="1:23" s="18" customFormat="1" ht="15.75" thickBot="1" x14ac:dyDescent="0.3">
      <c r="A4" s="124" t="s">
        <v>35</v>
      </c>
      <c r="B4" s="30"/>
      <c r="C4" s="321"/>
      <c r="D4" s="322"/>
      <c r="E4" s="31"/>
      <c r="F4" s="321">
        <v>1584</v>
      </c>
      <c r="G4" s="323"/>
      <c r="H4" s="123">
        <v>8520</v>
      </c>
      <c r="I4" s="32">
        <v>47010</v>
      </c>
      <c r="J4" s="33">
        <v>360</v>
      </c>
      <c r="K4" s="123">
        <v>3212</v>
      </c>
      <c r="L4" s="324">
        <v>660</v>
      </c>
      <c r="M4" s="322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 x14ac:dyDescent="0.25">
      <c r="A5" s="137" t="s">
        <v>196</v>
      </c>
      <c r="B5" s="150">
        <v>76</v>
      </c>
      <c r="C5" s="329" t="s">
        <v>111</v>
      </c>
      <c r="D5" s="330"/>
      <c r="E5" s="151" t="s">
        <v>112</v>
      </c>
      <c r="F5" s="331"/>
      <c r="G5" s="332"/>
      <c r="H5" s="138"/>
      <c r="I5" s="39">
        <v>8100</v>
      </c>
      <c r="J5" s="40"/>
      <c r="K5" s="40">
        <v>330</v>
      </c>
      <c r="L5" s="333"/>
      <c r="M5" s="334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 x14ac:dyDescent="0.25">
      <c r="A6" s="141" t="s">
        <v>197</v>
      </c>
      <c r="B6" s="38">
        <v>77</v>
      </c>
      <c r="C6" s="325" t="s">
        <v>124</v>
      </c>
      <c r="D6" s="326"/>
      <c r="E6" s="44" t="s">
        <v>125</v>
      </c>
      <c r="F6" s="327"/>
      <c r="G6" s="328"/>
      <c r="H6" s="132"/>
      <c r="I6" s="47">
        <v>60</v>
      </c>
      <c r="J6" s="51"/>
      <c r="K6" s="51"/>
      <c r="L6" s="313"/>
      <c r="M6" s="314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 x14ac:dyDescent="0.25">
      <c r="A7" s="141" t="s">
        <v>197</v>
      </c>
      <c r="B7" s="38">
        <v>78</v>
      </c>
      <c r="C7" s="325" t="s">
        <v>133</v>
      </c>
      <c r="D7" s="326"/>
      <c r="E7" s="44" t="s">
        <v>132</v>
      </c>
      <c r="F7" s="327"/>
      <c r="G7" s="328"/>
      <c r="H7" s="132"/>
      <c r="I7" s="47"/>
      <c r="J7" s="51"/>
      <c r="K7" s="51"/>
      <c r="L7" s="313"/>
      <c r="M7" s="314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 x14ac:dyDescent="0.25">
      <c r="A8" s="141" t="s">
        <v>197</v>
      </c>
      <c r="B8" s="38">
        <v>79</v>
      </c>
      <c r="C8" s="327" t="s">
        <v>127</v>
      </c>
      <c r="D8" s="314"/>
      <c r="E8" s="44" t="s">
        <v>146</v>
      </c>
      <c r="F8" s="327"/>
      <c r="G8" s="328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 x14ac:dyDescent="0.25">
      <c r="A9" s="141" t="s">
        <v>198</v>
      </c>
      <c r="B9" s="38">
        <v>80</v>
      </c>
      <c r="C9" s="417" t="s">
        <v>98</v>
      </c>
      <c r="D9" s="336"/>
      <c r="E9" s="44" t="s">
        <v>99</v>
      </c>
      <c r="F9" s="327"/>
      <c r="G9" s="328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 x14ac:dyDescent="0.25">
      <c r="A10" s="141" t="s">
        <v>198</v>
      </c>
      <c r="B10" s="38">
        <v>81</v>
      </c>
      <c r="C10" s="325" t="s">
        <v>100</v>
      </c>
      <c r="D10" s="326"/>
      <c r="E10" s="55" t="s">
        <v>101</v>
      </c>
      <c r="F10" s="327"/>
      <c r="G10" s="328"/>
      <c r="H10" s="132"/>
      <c r="I10" s="47">
        <v>150</v>
      </c>
      <c r="J10" s="51"/>
      <c r="K10" s="51"/>
      <c r="L10" s="313"/>
      <c r="M10" s="314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 x14ac:dyDescent="0.25">
      <c r="A11" s="141" t="s">
        <v>106</v>
      </c>
      <c r="B11" s="38">
        <v>82</v>
      </c>
      <c r="C11" s="325" t="s">
        <v>102</v>
      </c>
      <c r="D11" s="326"/>
      <c r="E11" s="55" t="s">
        <v>103</v>
      </c>
      <c r="F11" s="327"/>
      <c r="G11" s="328"/>
      <c r="H11" s="132">
        <v>72</v>
      </c>
      <c r="I11" s="47"/>
      <c r="J11" s="51"/>
      <c r="K11" s="51"/>
      <c r="L11" s="313"/>
      <c r="M11" s="314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 x14ac:dyDescent="0.25">
      <c r="A12" s="141" t="s">
        <v>199</v>
      </c>
      <c r="B12" s="38">
        <v>83</v>
      </c>
      <c r="C12" s="325" t="s">
        <v>111</v>
      </c>
      <c r="D12" s="326"/>
      <c r="E12" s="55" t="s">
        <v>112</v>
      </c>
      <c r="F12" s="327"/>
      <c r="G12" s="328"/>
      <c r="H12" s="132"/>
      <c r="I12" s="47">
        <v>6000</v>
      </c>
      <c r="J12" s="51">
        <v>120</v>
      </c>
      <c r="K12" s="51">
        <v>220</v>
      </c>
      <c r="L12" s="313"/>
      <c r="M12" s="314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 x14ac:dyDescent="0.25">
      <c r="A13" s="141" t="s">
        <v>199</v>
      </c>
      <c r="B13" s="38">
        <v>84</v>
      </c>
      <c r="C13" s="325" t="s">
        <v>95</v>
      </c>
      <c r="D13" s="326"/>
      <c r="E13" s="44" t="s">
        <v>96</v>
      </c>
      <c r="F13" s="327">
        <v>240</v>
      </c>
      <c r="G13" s="328"/>
      <c r="H13" s="132"/>
      <c r="I13" s="47">
        <v>750</v>
      </c>
      <c r="J13" s="51"/>
      <c r="K13" s="51">
        <v>176</v>
      </c>
      <c r="L13" s="313"/>
      <c r="M13" s="314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 x14ac:dyDescent="0.25">
      <c r="A14" s="135" t="s">
        <v>200</v>
      </c>
      <c r="B14" s="38">
        <v>85</v>
      </c>
      <c r="C14" s="327" t="s">
        <v>127</v>
      </c>
      <c r="D14" s="314"/>
      <c r="E14" s="44" t="s">
        <v>128</v>
      </c>
      <c r="F14" s="327"/>
      <c r="G14" s="328"/>
      <c r="H14" s="132">
        <v>1800</v>
      </c>
      <c r="I14" s="47">
        <v>900</v>
      </c>
      <c r="J14" s="51"/>
      <c r="K14" s="51"/>
      <c r="L14" s="313"/>
      <c r="M14" s="314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 x14ac:dyDescent="0.25">
      <c r="A15" s="135" t="s">
        <v>200</v>
      </c>
      <c r="B15" s="38">
        <v>86</v>
      </c>
      <c r="C15" s="325" t="s">
        <v>201</v>
      </c>
      <c r="D15" s="326"/>
      <c r="E15" s="44" t="s">
        <v>142</v>
      </c>
      <c r="F15" s="327"/>
      <c r="G15" s="328"/>
      <c r="H15" s="132"/>
      <c r="I15" s="47"/>
      <c r="J15" s="51"/>
      <c r="K15" s="51"/>
      <c r="L15" s="313"/>
      <c r="M15" s="314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 x14ac:dyDescent="0.25">
      <c r="A16" s="135" t="s">
        <v>202</v>
      </c>
      <c r="B16" s="38">
        <v>87</v>
      </c>
      <c r="C16" s="327" t="s">
        <v>124</v>
      </c>
      <c r="D16" s="314"/>
      <c r="E16" s="44" t="s">
        <v>125</v>
      </c>
      <c r="F16" s="327">
        <v>72</v>
      </c>
      <c r="G16" s="328"/>
      <c r="H16" s="132"/>
      <c r="I16" s="47"/>
      <c r="J16" s="51"/>
      <c r="K16" s="51"/>
      <c r="L16" s="313"/>
      <c r="M16" s="314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 x14ac:dyDescent="0.25">
      <c r="A17" s="135" t="s">
        <v>203</v>
      </c>
      <c r="B17" s="38">
        <v>88</v>
      </c>
      <c r="C17" s="325" t="s">
        <v>133</v>
      </c>
      <c r="D17" s="326"/>
      <c r="E17" s="44" t="s">
        <v>132</v>
      </c>
      <c r="F17" s="327"/>
      <c r="G17" s="328"/>
      <c r="H17" s="132">
        <v>120</v>
      </c>
      <c r="I17" s="47"/>
      <c r="J17" s="51"/>
      <c r="K17" s="51"/>
      <c r="L17" s="313"/>
      <c r="M17" s="314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 x14ac:dyDescent="0.25">
      <c r="A18" s="135" t="s">
        <v>204</v>
      </c>
      <c r="B18" s="38">
        <v>89</v>
      </c>
      <c r="C18" s="327" t="s">
        <v>149</v>
      </c>
      <c r="D18" s="314"/>
      <c r="E18" s="55" t="s">
        <v>99</v>
      </c>
      <c r="F18" s="327"/>
      <c r="G18" s="328"/>
      <c r="H18" s="132"/>
      <c r="I18" s="47"/>
      <c r="J18" s="51"/>
      <c r="K18" s="51"/>
      <c r="L18" s="313"/>
      <c r="M18" s="314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 x14ac:dyDescent="0.25">
      <c r="A19" s="135" t="s">
        <v>204</v>
      </c>
      <c r="B19" s="38">
        <v>90</v>
      </c>
      <c r="C19" s="327" t="s">
        <v>111</v>
      </c>
      <c r="D19" s="314"/>
      <c r="E19" s="44" t="s">
        <v>112</v>
      </c>
      <c r="F19" s="327"/>
      <c r="G19" s="328"/>
      <c r="H19" s="132"/>
      <c r="I19" s="47">
        <v>4800</v>
      </c>
      <c r="J19" s="51"/>
      <c r="K19" s="51"/>
      <c r="L19" s="313"/>
      <c r="M19" s="314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 x14ac:dyDescent="0.25">
      <c r="A20" s="135" t="s">
        <v>204</v>
      </c>
      <c r="B20" s="38">
        <v>91</v>
      </c>
      <c r="C20" s="327" t="s">
        <v>95</v>
      </c>
      <c r="D20" s="314"/>
      <c r="E20" s="44" t="s">
        <v>96</v>
      </c>
      <c r="F20" s="327"/>
      <c r="G20" s="328"/>
      <c r="H20" s="132"/>
      <c r="I20" s="47"/>
      <c r="J20" s="51"/>
      <c r="K20" s="51"/>
      <c r="L20" s="313"/>
      <c r="M20" s="314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 x14ac:dyDescent="0.25">
      <c r="A21" s="135" t="s">
        <v>205</v>
      </c>
      <c r="B21" s="38">
        <v>92</v>
      </c>
      <c r="C21" s="327" t="s">
        <v>124</v>
      </c>
      <c r="D21" s="314"/>
      <c r="E21" s="44" t="s">
        <v>125</v>
      </c>
      <c r="F21" s="327"/>
      <c r="G21" s="328"/>
      <c r="H21" s="132">
        <v>24</v>
      </c>
      <c r="I21" s="47"/>
      <c r="J21" s="51"/>
      <c r="K21" s="51"/>
      <c r="L21" s="313"/>
      <c r="M21" s="314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 x14ac:dyDescent="0.25">
      <c r="A22" s="135" t="s">
        <v>205</v>
      </c>
      <c r="B22" s="38">
        <v>93</v>
      </c>
      <c r="C22" s="325" t="s">
        <v>122</v>
      </c>
      <c r="D22" s="326"/>
      <c r="E22" s="55" t="s">
        <v>121</v>
      </c>
      <c r="F22" s="327"/>
      <c r="G22" s="328"/>
      <c r="H22" s="132"/>
      <c r="I22" s="47">
        <v>300</v>
      </c>
      <c r="J22" s="51"/>
      <c r="K22" s="51"/>
      <c r="L22" s="313"/>
      <c r="M22" s="314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 x14ac:dyDescent="0.25">
      <c r="A23" s="135" t="s">
        <v>205</v>
      </c>
      <c r="B23" s="38">
        <v>94</v>
      </c>
      <c r="C23" s="325" t="s">
        <v>123</v>
      </c>
      <c r="D23" s="326"/>
      <c r="E23" s="55" t="s">
        <v>121</v>
      </c>
      <c r="F23" s="327"/>
      <c r="G23" s="328"/>
      <c r="H23" s="132"/>
      <c r="I23" s="47">
        <v>450</v>
      </c>
      <c r="J23" s="51"/>
      <c r="K23" s="51"/>
      <c r="L23" s="313"/>
      <c r="M23" s="314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 x14ac:dyDescent="0.25">
      <c r="A24" s="135" t="s">
        <v>205</v>
      </c>
      <c r="B24" s="38">
        <v>95</v>
      </c>
      <c r="C24" s="325" t="s">
        <v>95</v>
      </c>
      <c r="D24" s="326"/>
      <c r="E24" s="55" t="s">
        <v>96</v>
      </c>
      <c r="F24" s="327"/>
      <c r="G24" s="328"/>
      <c r="H24" s="132">
        <v>24</v>
      </c>
      <c r="I24" s="47">
        <v>30</v>
      </c>
      <c r="J24" s="51"/>
      <c r="K24" s="51"/>
      <c r="L24" s="313"/>
      <c r="M24" s="314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 x14ac:dyDescent="0.25">
      <c r="A25" s="134" t="s">
        <v>211</v>
      </c>
      <c r="B25" s="38">
        <v>96</v>
      </c>
      <c r="C25" s="325" t="s">
        <v>52</v>
      </c>
      <c r="D25" s="326"/>
      <c r="E25" s="55" t="s">
        <v>194</v>
      </c>
      <c r="F25" s="327"/>
      <c r="G25" s="328"/>
      <c r="H25" s="132"/>
      <c r="I25" s="47"/>
      <c r="J25" s="51"/>
      <c r="K25" s="51"/>
      <c r="L25" s="313"/>
      <c r="M25" s="314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 x14ac:dyDescent="0.25">
      <c r="A26" s="134" t="s">
        <v>211</v>
      </c>
      <c r="B26" s="38">
        <v>97</v>
      </c>
      <c r="C26" s="327" t="s">
        <v>127</v>
      </c>
      <c r="D26" s="314"/>
      <c r="E26" s="55" t="s">
        <v>146</v>
      </c>
      <c r="F26" s="327">
        <v>600</v>
      </c>
      <c r="G26" s="328"/>
      <c r="H26" s="81">
        <v>1440</v>
      </c>
      <c r="I26" s="56">
        <v>600</v>
      </c>
      <c r="J26" s="57"/>
      <c r="K26" s="57">
        <v>110</v>
      </c>
      <c r="L26" s="313"/>
      <c r="M26" s="314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 x14ac:dyDescent="0.25">
      <c r="A27" s="134" t="s">
        <v>207</v>
      </c>
      <c r="B27" s="38">
        <v>98</v>
      </c>
      <c r="C27" s="327" t="s">
        <v>120</v>
      </c>
      <c r="D27" s="314"/>
      <c r="E27" s="55" t="s">
        <v>121</v>
      </c>
      <c r="F27" s="327"/>
      <c r="G27" s="328"/>
      <c r="H27" s="81"/>
      <c r="I27" s="56">
        <v>1800</v>
      </c>
      <c r="J27" s="57"/>
      <c r="K27" s="57"/>
      <c r="L27" s="313"/>
      <c r="M27" s="314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 x14ac:dyDescent="0.25">
      <c r="A28" s="134" t="s">
        <v>207</v>
      </c>
      <c r="B28" s="121">
        <v>99</v>
      </c>
      <c r="C28" s="327" t="s">
        <v>122</v>
      </c>
      <c r="D28" s="314"/>
      <c r="E28" s="55" t="s">
        <v>121</v>
      </c>
      <c r="F28" s="327"/>
      <c r="G28" s="328"/>
      <c r="H28" s="81"/>
      <c r="I28" s="56">
        <v>300</v>
      </c>
      <c r="J28" s="57"/>
      <c r="K28" s="57"/>
      <c r="L28" s="313"/>
      <c r="M28" s="314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 x14ac:dyDescent="0.25">
      <c r="A29" s="134" t="s">
        <v>207</v>
      </c>
      <c r="B29" s="121">
        <v>100</v>
      </c>
      <c r="C29" s="327" t="s">
        <v>123</v>
      </c>
      <c r="D29" s="314"/>
      <c r="E29" s="55" t="s">
        <v>121</v>
      </c>
      <c r="F29" s="327"/>
      <c r="G29" s="328"/>
      <c r="H29" s="81"/>
      <c r="I29" s="56">
        <v>750</v>
      </c>
      <c r="J29" s="57"/>
      <c r="K29" s="57"/>
      <c r="L29" s="313"/>
      <c r="M29" s="314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 x14ac:dyDescent="0.25">
      <c r="A30" s="134" t="s">
        <v>207</v>
      </c>
      <c r="B30" s="121">
        <v>101</v>
      </c>
      <c r="C30" s="325" t="s">
        <v>100</v>
      </c>
      <c r="D30" s="326"/>
      <c r="E30" s="55" t="s">
        <v>101</v>
      </c>
      <c r="F30" s="327"/>
      <c r="G30" s="328"/>
      <c r="H30" s="81"/>
      <c r="I30" s="56"/>
      <c r="J30" s="57"/>
      <c r="K30" s="57"/>
      <c r="L30" s="313"/>
      <c r="M30" s="314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 x14ac:dyDescent="0.25">
      <c r="A31" s="134" t="s">
        <v>208</v>
      </c>
      <c r="B31" s="121">
        <v>102</v>
      </c>
      <c r="C31" s="327" t="s">
        <v>140</v>
      </c>
      <c r="D31" s="314"/>
      <c r="E31" s="55" t="s">
        <v>139</v>
      </c>
      <c r="F31" s="327"/>
      <c r="G31" s="328"/>
      <c r="H31" s="81"/>
      <c r="I31" s="56"/>
      <c r="J31" s="57"/>
      <c r="K31" s="57"/>
      <c r="L31" s="313"/>
      <c r="M31" s="314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 x14ac:dyDescent="0.25">
      <c r="A32" s="134" t="s">
        <v>208</v>
      </c>
      <c r="B32" s="121">
        <v>103</v>
      </c>
      <c r="C32" s="327" t="s">
        <v>144</v>
      </c>
      <c r="D32" s="314"/>
      <c r="E32" s="55" t="s">
        <v>145</v>
      </c>
      <c r="F32" s="327"/>
      <c r="G32" s="328"/>
      <c r="H32" s="81"/>
      <c r="I32" s="56">
        <v>30</v>
      </c>
      <c r="J32" s="57"/>
      <c r="K32" s="57"/>
      <c r="L32" s="313"/>
      <c r="M32" s="314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 x14ac:dyDescent="0.25">
      <c r="A33" s="134" t="s">
        <v>208</v>
      </c>
      <c r="B33" s="121">
        <v>104</v>
      </c>
      <c r="C33" s="327" t="s">
        <v>95</v>
      </c>
      <c r="D33" s="314"/>
      <c r="E33" s="55" t="s">
        <v>96</v>
      </c>
      <c r="F33" s="327"/>
      <c r="G33" s="328"/>
      <c r="H33" s="81"/>
      <c r="I33" s="56"/>
      <c r="J33" s="57"/>
      <c r="K33" s="57"/>
      <c r="L33" s="313"/>
      <c r="M33" s="314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 x14ac:dyDescent="0.25">
      <c r="A34" s="134" t="s">
        <v>209</v>
      </c>
      <c r="B34" s="121">
        <v>105</v>
      </c>
      <c r="C34" s="327" t="s">
        <v>117</v>
      </c>
      <c r="D34" s="314"/>
      <c r="E34" s="55" t="s">
        <v>118</v>
      </c>
      <c r="F34" s="327"/>
      <c r="G34" s="328"/>
      <c r="H34" s="81"/>
      <c r="I34" s="56"/>
      <c r="J34" s="57"/>
      <c r="K34" s="57"/>
      <c r="L34" s="313"/>
      <c r="M34" s="314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 x14ac:dyDescent="0.25">
      <c r="A35" s="134" t="s">
        <v>209</v>
      </c>
      <c r="B35" s="121">
        <v>106</v>
      </c>
      <c r="C35" s="327" t="s">
        <v>111</v>
      </c>
      <c r="D35" s="314"/>
      <c r="E35" s="55" t="s">
        <v>112</v>
      </c>
      <c r="F35" s="327"/>
      <c r="G35" s="328"/>
      <c r="H35" s="81"/>
      <c r="I35" s="56">
        <v>5400</v>
      </c>
      <c r="J35" s="57">
        <v>72</v>
      </c>
      <c r="K35" s="57">
        <v>440</v>
      </c>
      <c r="L35" s="313"/>
      <c r="M35" s="314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 x14ac:dyDescent="0.25">
      <c r="A36" s="134" t="s">
        <v>210</v>
      </c>
      <c r="B36" s="121">
        <v>107</v>
      </c>
      <c r="C36" s="327" t="s">
        <v>133</v>
      </c>
      <c r="D36" s="314"/>
      <c r="E36" s="55" t="s">
        <v>132</v>
      </c>
      <c r="F36" s="327"/>
      <c r="G36" s="328"/>
      <c r="H36" s="81"/>
      <c r="I36" s="56"/>
      <c r="J36" s="57"/>
      <c r="K36" s="57"/>
      <c r="L36" s="313"/>
      <c r="M36" s="314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 x14ac:dyDescent="0.25">
      <c r="A37" s="134" t="s">
        <v>210</v>
      </c>
      <c r="B37" s="121">
        <v>108</v>
      </c>
      <c r="C37" s="327" t="s">
        <v>127</v>
      </c>
      <c r="D37" s="314"/>
      <c r="E37" s="55" t="s">
        <v>128</v>
      </c>
      <c r="F37" s="327"/>
      <c r="G37" s="328"/>
      <c r="H37" s="81">
        <v>600</v>
      </c>
      <c r="I37" s="56">
        <v>1800</v>
      </c>
      <c r="J37" s="57"/>
      <c r="K37" s="57">
        <v>440</v>
      </c>
      <c r="L37" s="313">
        <v>440</v>
      </c>
      <c r="M37" s="314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 x14ac:dyDescent="0.25">
      <c r="A38" s="134" t="s">
        <v>213</v>
      </c>
      <c r="B38" s="121">
        <v>109</v>
      </c>
      <c r="C38" s="327" t="s">
        <v>98</v>
      </c>
      <c r="D38" s="314"/>
      <c r="E38" s="55" t="s">
        <v>99</v>
      </c>
      <c r="F38" s="327"/>
      <c r="G38" s="328"/>
      <c r="H38" s="81">
        <v>120</v>
      </c>
      <c r="I38" s="56"/>
      <c r="J38" s="57"/>
      <c r="K38" s="57"/>
      <c r="L38" s="313"/>
      <c r="M38" s="314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 x14ac:dyDescent="0.3">
      <c r="A39" s="140" t="s">
        <v>213</v>
      </c>
      <c r="B39" s="125">
        <v>110</v>
      </c>
      <c r="C39" s="357" t="s">
        <v>214</v>
      </c>
      <c r="D39" s="358"/>
      <c r="E39" s="126" t="s">
        <v>221</v>
      </c>
      <c r="F39" s="357"/>
      <c r="G39" s="360"/>
      <c r="H39" s="139"/>
      <c r="I39" s="127"/>
      <c r="J39" s="128"/>
      <c r="K39" s="128"/>
      <c r="L39" s="359"/>
      <c r="M39" s="358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 x14ac:dyDescent="0.25">
      <c r="A40" s="137" t="s">
        <v>213</v>
      </c>
      <c r="B40" s="142">
        <v>111</v>
      </c>
      <c r="C40" s="331" t="s">
        <v>172</v>
      </c>
      <c r="D40" s="334"/>
      <c r="E40" s="143" t="s">
        <v>215</v>
      </c>
      <c r="F40" s="331"/>
      <c r="G40" s="332"/>
      <c r="H40" s="144"/>
      <c r="I40" s="145">
        <v>150</v>
      </c>
      <c r="J40" s="146"/>
      <c r="K40" s="146"/>
      <c r="L40" s="333"/>
      <c r="M40" s="334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 x14ac:dyDescent="0.25">
      <c r="A41" s="82" t="s">
        <v>216</v>
      </c>
      <c r="B41" s="121">
        <v>112</v>
      </c>
      <c r="C41" s="327" t="s">
        <v>111</v>
      </c>
      <c r="D41" s="314"/>
      <c r="E41" s="55" t="s">
        <v>112</v>
      </c>
      <c r="F41" s="327"/>
      <c r="G41" s="328"/>
      <c r="H41" s="81">
        <v>72</v>
      </c>
      <c r="I41" s="56">
        <v>8700</v>
      </c>
      <c r="J41" s="57">
        <v>72</v>
      </c>
      <c r="K41" s="57">
        <v>220</v>
      </c>
      <c r="L41" s="313"/>
      <c r="M41" s="314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 x14ac:dyDescent="0.25">
      <c r="A42" s="134" t="s">
        <v>217</v>
      </c>
      <c r="B42" s="121">
        <v>113</v>
      </c>
      <c r="C42" s="327" t="s">
        <v>127</v>
      </c>
      <c r="D42" s="314"/>
      <c r="E42" s="55" t="s">
        <v>128</v>
      </c>
      <c r="F42" s="327"/>
      <c r="G42" s="328"/>
      <c r="H42" s="81">
        <v>720</v>
      </c>
      <c r="I42" s="56">
        <v>300</v>
      </c>
      <c r="J42" s="57"/>
      <c r="K42" s="57">
        <v>220</v>
      </c>
      <c r="L42" s="313"/>
      <c r="M42" s="314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 x14ac:dyDescent="0.25">
      <c r="A43" s="134" t="s">
        <v>218</v>
      </c>
      <c r="B43" s="121">
        <v>114</v>
      </c>
      <c r="C43" s="327" t="s">
        <v>219</v>
      </c>
      <c r="D43" s="314"/>
      <c r="E43" s="55" t="s">
        <v>220</v>
      </c>
      <c r="F43" s="327"/>
      <c r="G43" s="328"/>
      <c r="H43" s="81"/>
      <c r="I43" s="56"/>
      <c r="J43" s="57"/>
      <c r="K43" s="57">
        <v>22</v>
      </c>
      <c r="L43" s="313"/>
      <c r="M43" s="314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 x14ac:dyDescent="0.25">
      <c r="A44" s="134" t="s">
        <v>218</v>
      </c>
      <c r="B44" s="121">
        <v>115</v>
      </c>
      <c r="C44" s="327" t="s">
        <v>214</v>
      </c>
      <c r="D44" s="314"/>
      <c r="E44" s="55" t="s">
        <v>221</v>
      </c>
      <c r="F44" s="327"/>
      <c r="G44" s="328"/>
      <c r="H44" s="81"/>
      <c r="I44" s="56"/>
      <c r="J44" s="57"/>
      <c r="K44" s="57"/>
      <c r="L44" s="313"/>
      <c r="M44" s="314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 x14ac:dyDescent="0.3">
      <c r="A45" s="134" t="s">
        <v>218</v>
      </c>
      <c r="B45" s="121">
        <v>116</v>
      </c>
      <c r="C45" s="327" t="s">
        <v>95</v>
      </c>
      <c r="D45" s="314"/>
      <c r="E45" s="55" t="s">
        <v>96</v>
      </c>
      <c r="F45" s="327"/>
      <c r="G45" s="328"/>
      <c r="H45" s="81"/>
      <c r="I45" s="56"/>
      <c r="J45" s="57"/>
      <c r="K45" s="57"/>
      <c r="L45" s="313"/>
      <c r="M45" s="314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 x14ac:dyDescent="0.3">
      <c r="A46" s="364" t="s">
        <v>16</v>
      </c>
      <c r="B46" s="365"/>
      <c r="C46" s="365"/>
      <c r="D46" s="61"/>
      <c r="E46" s="59"/>
      <c r="F46" s="321">
        <f>SUM(F5:G45)</f>
        <v>912</v>
      </c>
      <c r="G46" s="323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324">
        <f>SUM(L5:M45)</f>
        <v>440</v>
      </c>
      <c r="M46" s="322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 x14ac:dyDescent="0.3">
      <c r="A47" s="364"/>
      <c r="B47" s="365"/>
      <c r="C47" s="365"/>
      <c r="D47" s="61"/>
      <c r="E47" s="59"/>
      <c r="F47" s="321">
        <f>F4+F46</f>
        <v>2496</v>
      </c>
      <c r="G47" s="323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324">
        <f>L4+L46</f>
        <v>1100</v>
      </c>
      <c r="M47" s="322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 x14ac:dyDescent="0.3">
      <c r="V48" s="13"/>
    </row>
    <row r="49" spans="1:22" ht="15.75" customHeight="1" thickBot="1" x14ac:dyDescent="0.3">
      <c r="A49" s="366" t="s">
        <v>212</v>
      </c>
      <c r="B49" s="367"/>
      <c r="C49" s="367"/>
      <c r="D49" s="367"/>
      <c r="E49" s="367"/>
      <c r="F49" s="367"/>
      <c r="G49" s="367"/>
      <c r="H49" s="367"/>
      <c r="I49" s="367"/>
      <c r="J49" s="367"/>
      <c r="K49" s="367"/>
      <c r="L49" s="367"/>
      <c r="M49" s="367"/>
      <c r="N49" s="367"/>
      <c r="O49" s="367"/>
      <c r="P49" s="367"/>
      <c r="Q49" s="368"/>
      <c r="R49" s="1"/>
      <c r="S49" s="1"/>
      <c r="T49" s="28"/>
    </row>
    <row r="50" spans="1:22" ht="15.75" customHeight="1" thickBot="1" x14ac:dyDescent="0.3">
      <c r="A50" s="369" t="s">
        <v>34</v>
      </c>
      <c r="B50" s="370"/>
      <c r="C50" s="373" t="s">
        <v>33</v>
      </c>
      <c r="D50" s="373" t="s">
        <v>11</v>
      </c>
      <c r="E50" s="376" t="s">
        <v>19</v>
      </c>
      <c r="F50" s="369" t="s">
        <v>8</v>
      </c>
      <c r="G50" s="370"/>
      <c r="H50" s="378" t="s">
        <v>10</v>
      </c>
      <c r="I50" s="379"/>
      <c r="J50" s="380"/>
      <c r="K50" s="381" t="s">
        <v>25</v>
      </c>
      <c r="L50" s="382"/>
      <c r="M50" s="382"/>
      <c r="N50" s="382"/>
      <c r="O50" s="383"/>
      <c r="P50" s="373" t="s">
        <v>20</v>
      </c>
      <c r="Q50" s="384" t="s">
        <v>38</v>
      </c>
      <c r="R50" s="1"/>
      <c r="S50" s="1"/>
      <c r="T50" s="28"/>
    </row>
    <row r="51" spans="1:22" ht="15.75" thickBot="1" x14ac:dyDescent="0.3">
      <c r="A51" s="371"/>
      <c r="B51" s="372"/>
      <c r="C51" s="374"/>
      <c r="D51" s="375"/>
      <c r="E51" s="377"/>
      <c r="F51" s="371"/>
      <c r="G51" s="372"/>
      <c r="H51" s="69" t="s">
        <v>49</v>
      </c>
      <c r="I51" s="69" t="s">
        <v>48</v>
      </c>
      <c r="J51" s="69" t="s">
        <v>50</v>
      </c>
      <c r="K51" s="69" t="s">
        <v>24</v>
      </c>
      <c r="L51" s="381" t="s">
        <v>47</v>
      </c>
      <c r="M51" s="383"/>
      <c r="N51" s="69" t="s">
        <v>46</v>
      </c>
      <c r="O51" s="69" t="s">
        <v>45</v>
      </c>
      <c r="P51" s="375"/>
      <c r="Q51" s="385"/>
      <c r="T51" s="28"/>
    </row>
    <row r="52" spans="1:22" ht="15" customHeight="1" x14ac:dyDescent="0.25">
      <c r="A52" s="369" t="s">
        <v>27</v>
      </c>
      <c r="B52" s="370"/>
      <c r="C52" s="112" t="s">
        <v>28</v>
      </c>
      <c r="D52" s="112"/>
      <c r="E52" s="4">
        <v>600</v>
      </c>
      <c r="F52" s="391"/>
      <c r="G52" s="391"/>
      <c r="H52" s="4"/>
      <c r="I52" s="111"/>
      <c r="J52" s="4"/>
      <c r="K52" s="111"/>
      <c r="L52" s="392"/>
      <c r="M52" s="393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 x14ac:dyDescent="0.3">
      <c r="A53" s="371"/>
      <c r="B53" s="372"/>
      <c r="C53" s="114" t="s">
        <v>29</v>
      </c>
      <c r="D53" s="114">
        <v>72</v>
      </c>
      <c r="E53" s="14">
        <f>1440+1440</f>
        <v>2880</v>
      </c>
      <c r="F53" s="398">
        <v>3120</v>
      </c>
      <c r="G53" s="398"/>
      <c r="H53" s="14"/>
      <c r="I53" s="113"/>
      <c r="J53" s="14"/>
      <c r="K53" s="113"/>
      <c r="L53" s="399"/>
      <c r="M53" s="400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 x14ac:dyDescent="0.25">
      <c r="A54" s="369" t="s">
        <v>41</v>
      </c>
      <c r="B54" s="370"/>
      <c r="C54" s="4" t="s">
        <v>30</v>
      </c>
      <c r="D54" s="4">
        <v>33000</v>
      </c>
      <c r="E54" s="4">
        <f>600+600</f>
        <v>1200</v>
      </c>
      <c r="F54" s="391">
        <f>900+1800+300</f>
        <v>3000</v>
      </c>
      <c r="G54" s="391"/>
      <c r="H54" s="4">
        <f>300+300</f>
        <v>600</v>
      </c>
      <c r="I54" s="111">
        <v>1800</v>
      </c>
      <c r="J54" s="4">
        <f>450+750</f>
        <v>1200</v>
      </c>
      <c r="K54" s="111"/>
      <c r="L54" s="392">
        <v>30</v>
      </c>
      <c r="M54" s="393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 x14ac:dyDescent="0.25">
      <c r="A55" s="406"/>
      <c r="B55" s="407"/>
      <c r="C55" s="5" t="s">
        <v>32</v>
      </c>
      <c r="D55" s="118">
        <v>264</v>
      </c>
      <c r="E55" s="5">
        <v>480</v>
      </c>
      <c r="F55" s="411"/>
      <c r="G55" s="411"/>
      <c r="H55" s="5"/>
      <c r="I55" s="117"/>
      <c r="J55" s="5"/>
      <c r="K55" s="117"/>
      <c r="L55" s="412"/>
      <c r="M55" s="413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 x14ac:dyDescent="0.25">
      <c r="A56" s="406"/>
      <c r="B56" s="407"/>
      <c r="C56" s="5" t="s">
        <v>43</v>
      </c>
      <c r="D56" s="118">
        <v>1210</v>
      </c>
      <c r="E56" s="5">
        <f>220+110</f>
        <v>330</v>
      </c>
      <c r="F56" s="411">
        <f>440+220</f>
        <v>660</v>
      </c>
      <c r="G56" s="411"/>
      <c r="H56" s="5"/>
      <c r="I56" s="117"/>
      <c r="J56" s="5"/>
      <c r="K56" s="117"/>
      <c r="L56" s="412"/>
      <c r="M56" s="413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 x14ac:dyDescent="0.3">
      <c r="A57" s="371"/>
      <c r="B57" s="372"/>
      <c r="C57" s="64" t="s">
        <v>44</v>
      </c>
      <c r="D57" s="110"/>
      <c r="E57" s="15"/>
      <c r="F57" s="361">
        <f>440</f>
        <v>440</v>
      </c>
      <c r="G57" s="361"/>
      <c r="H57" s="15"/>
      <c r="I57" s="109"/>
      <c r="J57" s="15"/>
      <c r="K57" s="109"/>
      <c r="L57" s="362"/>
      <c r="M57" s="363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 x14ac:dyDescent="0.25">
      <c r="A58" s="369" t="s">
        <v>40</v>
      </c>
      <c r="B58" s="370"/>
      <c r="C58" s="116" t="s">
        <v>28</v>
      </c>
      <c r="D58" s="116">
        <v>3360</v>
      </c>
      <c r="E58" s="16">
        <f>480+1200</f>
        <v>1680</v>
      </c>
      <c r="F58" s="408">
        <f>720</f>
        <v>720</v>
      </c>
      <c r="G58" s="408"/>
      <c r="H58" s="16">
        <f>960+1080</f>
        <v>2040</v>
      </c>
      <c r="I58" s="115"/>
      <c r="J58" s="16"/>
      <c r="K58" s="115"/>
      <c r="L58" s="409">
        <v>120</v>
      </c>
      <c r="M58" s="410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 x14ac:dyDescent="0.25">
      <c r="A59" s="406"/>
      <c r="B59" s="407"/>
      <c r="C59" s="118" t="s">
        <v>31</v>
      </c>
      <c r="D59" s="118">
        <v>1680</v>
      </c>
      <c r="E59" s="5">
        <f>480+600</f>
        <v>1080</v>
      </c>
      <c r="F59" s="411">
        <f>120+120</f>
        <v>240</v>
      </c>
      <c r="G59" s="411"/>
      <c r="H59" s="5">
        <f>480+360</f>
        <v>840</v>
      </c>
      <c r="I59" s="117"/>
      <c r="J59" s="5">
        <v>240</v>
      </c>
      <c r="K59" s="117"/>
      <c r="L59" s="412">
        <v>240</v>
      </c>
      <c r="M59" s="413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 x14ac:dyDescent="0.3">
      <c r="A60" s="371"/>
      <c r="B60" s="372"/>
      <c r="C60" s="64" t="s">
        <v>29</v>
      </c>
      <c r="D60" s="114">
        <v>15240</v>
      </c>
      <c r="E60" s="14">
        <f>3600+5400</f>
        <v>9000</v>
      </c>
      <c r="F60" s="398">
        <f>3840+3600+480</f>
        <v>7920</v>
      </c>
      <c r="G60" s="398"/>
      <c r="H60" s="14">
        <f>960+720</f>
        <v>1680</v>
      </c>
      <c r="I60" s="113">
        <v>2760</v>
      </c>
      <c r="J60" s="14">
        <f>1200+600</f>
        <v>1800</v>
      </c>
      <c r="K60" s="113"/>
      <c r="L60" s="399">
        <v>576</v>
      </c>
      <c r="M60" s="400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 x14ac:dyDescent="0.25">
      <c r="A61" s="369" t="s">
        <v>42</v>
      </c>
      <c r="B61" s="370"/>
      <c r="C61" s="112" t="s">
        <v>31</v>
      </c>
      <c r="D61" s="112">
        <v>11340</v>
      </c>
      <c r="E61" s="4">
        <f>180+180</f>
        <v>360</v>
      </c>
      <c r="F61" s="391">
        <f>240+600</f>
        <v>840</v>
      </c>
      <c r="G61" s="391"/>
      <c r="H61" s="4"/>
      <c r="I61" s="111"/>
      <c r="J61" s="4"/>
      <c r="K61" s="111"/>
      <c r="L61" s="392">
        <v>120</v>
      </c>
      <c r="M61" s="393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 x14ac:dyDescent="0.3">
      <c r="A62" s="371"/>
      <c r="B62" s="372"/>
      <c r="C62" s="64" t="s">
        <v>29</v>
      </c>
      <c r="D62" s="15">
        <f>1800+612</f>
        <v>2412</v>
      </c>
      <c r="E62" s="15"/>
      <c r="F62" s="361"/>
      <c r="G62" s="361"/>
      <c r="H62" s="15"/>
      <c r="I62" s="109"/>
      <c r="J62" s="15"/>
      <c r="K62" s="109"/>
      <c r="L62" s="362"/>
      <c r="M62" s="363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 x14ac:dyDescent="0.3">
      <c r="A63" s="394" t="s">
        <v>37</v>
      </c>
      <c r="B63" s="395"/>
      <c r="C63" s="395"/>
      <c r="D63" s="23">
        <f>SUM(D52:D62)</f>
        <v>68578</v>
      </c>
      <c r="E63" s="23">
        <f t="shared" ref="E63" si="5">SUM(E52:E62)</f>
        <v>17610</v>
      </c>
      <c r="F63" s="396">
        <f>SUM(F52:G62)</f>
        <v>16940</v>
      </c>
      <c r="G63" s="397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96">
        <f>SUM(L52:M62)</f>
        <v>1086</v>
      </c>
      <c r="M63" s="397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 x14ac:dyDescent="0.3">
      <c r="A64" s="401" t="s">
        <v>36</v>
      </c>
      <c r="B64" s="402"/>
      <c r="C64" s="402"/>
      <c r="D64" s="403">
        <f>D63+E63+F63+H63+I63+J63+K63+L63+N63+O63+P63</f>
        <v>137064</v>
      </c>
      <c r="E64" s="404"/>
      <c r="F64" s="404"/>
      <c r="G64" s="404"/>
      <c r="H64" s="404"/>
      <c r="I64" s="404"/>
      <c r="J64" s="404"/>
      <c r="K64" s="404"/>
      <c r="L64" s="404"/>
      <c r="M64" s="404"/>
      <c r="N64" s="404"/>
      <c r="O64" s="404"/>
      <c r="P64" s="404"/>
      <c r="Q64" s="405"/>
      <c r="T64" s="28"/>
      <c r="V64" s="13"/>
    </row>
    <row r="65" spans="1:22" s="20" customFormat="1" ht="15" customHeight="1" thickBot="1" x14ac:dyDescent="0.25">
      <c r="A65" s="386" t="s">
        <v>26</v>
      </c>
      <c r="B65" s="387"/>
      <c r="C65" s="387"/>
      <c r="D65" s="22">
        <v>21986945</v>
      </c>
      <c r="E65" s="22">
        <v>5527651</v>
      </c>
      <c r="F65" s="388">
        <f>2172057+2398129+767615</f>
        <v>5337801</v>
      </c>
      <c r="G65" s="389"/>
      <c r="H65" s="22">
        <v>1626492</v>
      </c>
      <c r="I65" s="26">
        <v>1431388</v>
      </c>
      <c r="J65" s="22">
        <v>1017420</v>
      </c>
      <c r="K65" s="22"/>
      <c r="L65" s="390">
        <v>352163</v>
      </c>
      <c r="M65" s="389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 x14ac:dyDescent="0.25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6"/>
  <sheetViews>
    <sheetView zoomScaleNormal="100" workbookViewId="0">
      <pane ySplit="4" topLeftCell="A54" activePane="bottomLeft" state="frozen"/>
      <selection pane="bottomLeft" sqref="A1:T61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 x14ac:dyDescent="0.3">
      <c r="A1" s="414" t="s">
        <v>282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3" s="6" customFormat="1" ht="12.75" customHeight="1" x14ac:dyDescent="0.25">
      <c r="A2" s="340" t="s">
        <v>9</v>
      </c>
      <c r="B2" s="342" t="s">
        <v>13</v>
      </c>
      <c r="C2" s="344" t="s">
        <v>23</v>
      </c>
      <c r="D2" s="345"/>
      <c r="E2" s="348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2" t="s">
        <v>14</v>
      </c>
      <c r="T2" s="315" t="s">
        <v>12</v>
      </c>
    </row>
    <row r="3" spans="1:23" s="6" customFormat="1" ht="15.75" thickBot="1" x14ac:dyDescent="0.3">
      <c r="A3" s="341"/>
      <c r="B3" s="343"/>
      <c r="C3" s="346"/>
      <c r="D3" s="347"/>
      <c r="E3" s="349"/>
      <c r="F3" s="317" t="s">
        <v>3</v>
      </c>
      <c r="G3" s="318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32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3"/>
      <c r="T3" s="316"/>
    </row>
    <row r="4" spans="1:23" s="18" customFormat="1" ht="15.75" thickBot="1" x14ac:dyDescent="0.3">
      <c r="A4" s="175" t="s">
        <v>35</v>
      </c>
      <c r="B4" s="30"/>
      <c r="C4" s="321"/>
      <c r="D4" s="322"/>
      <c r="E4" s="31"/>
      <c r="F4" s="321">
        <v>2496</v>
      </c>
      <c r="G4" s="323"/>
      <c r="H4" s="177">
        <v>15072</v>
      </c>
      <c r="I4" s="32">
        <v>88980</v>
      </c>
      <c r="J4" s="33">
        <v>1104</v>
      </c>
      <c r="K4" s="177">
        <v>5610</v>
      </c>
      <c r="L4" s="324">
        <v>1100</v>
      </c>
      <c r="M4" s="322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 x14ac:dyDescent="0.2">
      <c r="A5" s="194" t="s">
        <v>222</v>
      </c>
      <c r="B5" s="150">
        <v>117</v>
      </c>
      <c r="C5" s="329" t="s">
        <v>223</v>
      </c>
      <c r="D5" s="330"/>
      <c r="E5" s="151" t="s">
        <v>135</v>
      </c>
      <c r="F5" s="331">
        <v>48</v>
      </c>
      <c r="G5" s="332"/>
      <c r="H5" s="195">
        <v>72</v>
      </c>
      <c r="I5" s="39"/>
      <c r="J5" s="40"/>
      <c r="K5" s="40"/>
      <c r="L5" s="333"/>
      <c r="M5" s="334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 x14ac:dyDescent="0.25">
      <c r="A6" s="178" t="s">
        <v>222</v>
      </c>
      <c r="B6" s="38">
        <v>118</v>
      </c>
      <c r="C6" s="325" t="s">
        <v>224</v>
      </c>
      <c r="D6" s="326"/>
      <c r="E6" s="44" t="s">
        <v>125</v>
      </c>
      <c r="F6" s="327"/>
      <c r="G6" s="328"/>
      <c r="H6" s="162"/>
      <c r="I6" s="47"/>
      <c r="J6" s="51"/>
      <c r="K6" s="51"/>
      <c r="L6" s="313"/>
      <c r="M6" s="314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 x14ac:dyDescent="0.25">
      <c r="A7" s="178" t="s">
        <v>225</v>
      </c>
      <c r="B7" s="38">
        <v>119</v>
      </c>
      <c r="C7" s="325" t="s">
        <v>226</v>
      </c>
      <c r="D7" s="326"/>
      <c r="E7" s="44" t="s">
        <v>103</v>
      </c>
      <c r="F7" s="327"/>
      <c r="G7" s="328"/>
      <c r="H7" s="162">
        <v>48</v>
      </c>
      <c r="I7" s="47">
        <v>30</v>
      </c>
      <c r="J7" s="51"/>
      <c r="K7" s="51"/>
      <c r="L7" s="313"/>
      <c r="M7" s="314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 x14ac:dyDescent="0.25">
      <c r="A8" s="178" t="s">
        <v>225</v>
      </c>
      <c r="B8" s="38">
        <v>120</v>
      </c>
      <c r="C8" s="327" t="s">
        <v>227</v>
      </c>
      <c r="D8" s="314"/>
      <c r="E8" s="44" t="s">
        <v>138</v>
      </c>
      <c r="F8" s="327"/>
      <c r="G8" s="328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 x14ac:dyDescent="0.25">
      <c r="A9" s="178" t="s">
        <v>225</v>
      </c>
      <c r="B9" s="186">
        <v>121</v>
      </c>
      <c r="C9" s="417" t="s">
        <v>228</v>
      </c>
      <c r="D9" s="336"/>
      <c r="E9" s="44" t="s">
        <v>229</v>
      </c>
      <c r="F9" s="327"/>
      <c r="G9" s="328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 x14ac:dyDescent="0.25">
      <c r="A10" s="178" t="s">
        <v>230</v>
      </c>
      <c r="B10" s="38">
        <v>122</v>
      </c>
      <c r="C10" s="325" t="s">
        <v>120</v>
      </c>
      <c r="D10" s="326"/>
      <c r="E10" s="55" t="s">
        <v>121</v>
      </c>
      <c r="F10" s="327"/>
      <c r="G10" s="328"/>
      <c r="H10" s="162"/>
      <c r="I10" s="47">
        <v>900</v>
      </c>
      <c r="J10" s="51"/>
      <c r="K10" s="51"/>
      <c r="L10" s="313"/>
      <c r="M10" s="314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 x14ac:dyDescent="0.25">
      <c r="A11" s="178" t="s">
        <v>230</v>
      </c>
      <c r="B11" s="38">
        <v>123</v>
      </c>
      <c r="C11" s="325" t="s">
        <v>231</v>
      </c>
      <c r="D11" s="326"/>
      <c r="E11" s="55" t="s">
        <v>121</v>
      </c>
      <c r="F11" s="327"/>
      <c r="G11" s="328"/>
      <c r="H11" s="162"/>
      <c r="I11" s="47">
        <v>450</v>
      </c>
      <c r="J11" s="51"/>
      <c r="K11" s="51"/>
      <c r="L11" s="313"/>
      <c r="M11" s="314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 x14ac:dyDescent="0.25">
      <c r="A12" s="178" t="s">
        <v>230</v>
      </c>
      <c r="B12" s="221">
        <v>124</v>
      </c>
      <c r="C12" s="325" t="s">
        <v>232</v>
      </c>
      <c r="D12" s="326"/>
      <c r="E12" s="55" t="s">
        <v>130</v>
      </c>
      <c r="F12" s="327">
        <v>48</v>
      </c>
      <c r="G12" s="328"/>
      <c r="H12" s="162">
        <v>72</v>
      </c>
      <c r="I12" s="47"/>
      <c r="J12" s="51"/>
      <c r="K12" s="51"/>
      <c r="L12" s="313"/>
      <c r="M12" s="314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 x14ac:dyDescent="0.25">
      <c r="A13" s="178" t="s">
        <v>233</v>
      </c>
      <c r="B13" s="38">
        <v>125</v>
      </c>
      <c r="C13" s="325" t="s">
        <v>234</v>
      </c>
      <c r="D13" s="326"/>
      <c r="E13" s="44" t="s">
        <v>99</v>
      </c>
      <c r="F13" s="327"/>
      <c r="G13" s="328"/>
      <c r="H13" s="162"/>
      <c r="I13" s="47"/>
      <c r="J13" s="51"/>
      <c r="K13" s="51"/>
      <c r="L13" s="313"/>
      <c r="M13" s="314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 x14ac:dyDescent="0.25">
      <c r="A14" s="161" t="s">
        <v>233</v>
      </c>
      <c r="B14" s="186">
        <v>126</v>
      </c>
      <c r="C14" s="327" t="s">
        <v>226</v>
      </c>
      <c r="D14" s="314"/>
      <c r="E14" s="44" t="s">
        <v>103</v>
      </c>
      <c r="F14" s="327"/>
      <c r="G14" s="328"/>
      <c r="H14" s="162"/>
      <c r="I14" s="47"/>
      <c r="J14" s="51"/>
      <c r="K14" s="51"/>
      <c r="L14" s="313"/>
      <c r="M14" s="314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 x14ac:dyDescent="0.25">
      <c r="A15" s="193" t="s">
        <v>233</v>
      </c>
      <c r="B15" s="38">
        <v>127</v>
      </c>
      <c r="C15" s="325" t="s">
        <v>235</v>
      </c>
      <c r="D15" s="326"/>
      <c r="E15" s="44" t="s">
        <v>146</v>
      </c>
      <c r="F15" s="327"/>
      <c r="G15" s="328"/>
      <c r="H15" s="191"/>
      <c r="I15" s="47">
        <v>600</v>
      </c>
      <c r="J15" s="51">
        <v>240</v>
      </c>
      <c r="K15" s="51"/>
      <c r="L15" s="313"/>
      <c r="M15" s="314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 x14ac:dyDescent="0.25">
      <c r="A16" s="161" t="s">
        <v>236</v>
      </c>
      <c r="B16" s="38">
        <v>128</v>
      </c>
      <c r="C16" s="327" t="s">
        <v>237</v>
      </c>
      <c r="D16" s="314"/>
      <c r="E16" s="44" t="s">
        <v>142</v>
      </c>
      <c r="F16" s="327"/>
      <c r="G16" s="328"/>
      <c r="H16" s="162">
        <v>24</v>
      </c>
      <c r="I16" s="47"/>
      <c r="J16" s="51"/>
      <c r="K16" s="51"/>
      <c r="L16" s="313"/>
      <c r="M16" s="314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 x14ac:dyDescent="0.25">
      <c r="A17" s="161" t="s">
        <v>238</v>
      </c>
      <c r="B17" s="38">
        <v>129</v>
      </c>
      <c r="C17" s="325" t="s">
        <v>227</v>
      </c>
      <c r="D17" s="326"/>
      <c r="E17" s="44" t="s">
        <v>138</v>
      </c>
      <c r="F17" s="327"/>
      <c r="G17" s="328"/>
      <c r="H17" s="162"/>
      <c r="I17" s="47"/>
      <c r="J17" s="51">
        <v>24</v>
      </c>
      <c r="K17" s="51">
        <v>22</v>
      </c>
      <c r="L17" s="313">
        <v>22</v>
      </c>
      <c r="M17" s="314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 x14ac:dyDescent="0.25">
      <c r="A18" s="161" t="s">
        <v>238</v>
      </c>
      <c r="B18" s="38">
        <v>130</v>
      </c>
      <c r="C18" s="327" t="s">
        <v>239</v>
      </c>
      <c r="D18" s="314"/>
      <c r="E18" s="55" t="s">
        <v>118</v>
      </c>
      <c r="F18" s="327"/>
      <c r="G18" s="328"/>
      <c r="H18" s="162"/>
      <c r="I18" s="47"/>
      <c r="J18" s="51"/>
      <c r="K18" s="51"/>
      <c r="L18" s="313"/>
      <c r="M18" s="314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 x14ac:dyDescent="0.25">
      <c r="A19" s="161" t="s">
        <v>238</v>
      </c>
      <c r="B19" s="186">
        <v>131</v>
      </c>
      <c r="C19" s="327" t="s">
        <v>109</v>
      </c>
      <c r="D19" s="314"/>
      <c r="E19" s="44" t="s">
        <v>110</v>
      </c>
      <c r="F19" s="327"/>
      <c r="G19" s="328"/>
      <c r="H19" s="162">
        <v>24</v>
      </c>
      <c r="I19" s="47"/>
      <c r="J19" s="51"/>
      <c r="K19" s="51"/>
      <c r="L19" s="313"/>
      <c r="M19" s="314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 x14ac:dyDescent="0.25">
      <c r="A20" s="161" t="s">
        <v>238</v>
      </c>
      <c r="B20" s="38">
        <v>132</v>
      </c>
      <c r="C20" s="327" t="s">
        <v>240</v>
      </c>
      <c r="D20" s="314"/>
      <c r="E20" s="44" t="s">
        <v>112</v>
      </c>
      <c r="F20" s="327"/>
      <c r="G20" s="328"/>
      <c r="H20" s="162"/>
      <c r="I20" s="47">
        <v>6600</v>
      </c>
      <c r="J20" s="51"/>
      <c r="K20" s="51">
        <v>440</v>
      </c>
      <c r="L20" s="313"/>
      <c r="M20" s="314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 x14ac:dyDescent="0.25">
      <c r="A21" s="161" t="s">
        <v>241</v>
      </c>
      <c r="B21" s="38">
        <v>133</v>
      </c>
      <c r="C21" s="327" t="s">
        <v>249</v>
      </c>
      <c r="D21" s="314"/>
      <c r="E21" s="44" t="s">
        <v>245</v>
      </c>
      <c r="F21" s="327"/>
      <c r="G21" s="328"/>
      <c r="H21" s="162"/>
      <c r="I21" s="47"/>
      <c r="J21" s="51"/>
      <c r="K21" s="51"/>
      <c r="L21" s="313"/>
      <c r="M21" s="314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 x14ac:dyDescent="0.25">
      <c r="A22" s="161" t="s">
        <v>241</v>
      </c>
      <c r="B22" s="38">
        <v>134</v>
      </c>
      <c r="C22" s="325" t="s">
        <v>243</v>
      </c>
      <c r="D22" s="326"/>
      <c r="E22" s="55" t="s">
        <v>244</v>
      </c>
      <c r="F22" s="327"/>
      <c r="G22" s="328"/>
      <c r="H22" s="162"/>
      <c r="I22" s="47">
        <v>150</v>
      </c>
      <c r="J22" s="51"/>
      <c r="K22" s="51"/>
      <c r="L22" s="313"/>
      <c r="M22" s="314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 x14ac:dyDescent="0.25">
      <c r="A23" s="161" t="s">
        <v>241</v>
      </c>
      <c r="B23" s="38">
        <v>135</v>
      </c>
      <c r="C23" s="327" t="s">
        <v>242</v>
      </c>
      <c r="D23" s="314"/>
      <c r="E23" s="44" t="s">
        <v>96</v>
      </c>
      <c r="F23" s="327"/>
      <c r="G23" s="328"/>
      <c r="H23" s="188"/>
      <c r="I23" s="47"/>
      <c r="J23" s="51"/>
      <c r="K23" s="51">
        <v>220</v>
      </c>
      <c r="L23" s="313">
        <v>154</v>
      </c>
      <c r="M23" s="314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 x14ac:dyDescent="0.25">
      <c r="A24" s="185" t="s">
        <v>246</v>
      </c>
      <c r="B24" s="186">
        <v>136</v>
      </c>
      <c r="C24" s="325" t="s">
        <v>247</v>
      </c>
      <c r="D24" s="326"/>
      <c r="E24" s="55" t="s">
        <v>248</v>
      </c>
      <c r="F24" s="327"/>
      <c r="G24" s="328"/>
      <c r="H24" s="162"/>
      <c r="I24" s="47"/>
      <c r="J24" s="51"/>
      <c r="K24" s="51"/>
      <c r="L24" s="313"/>
      <c r="M24" s="314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 x14ac:dyDescent="0.25">
      <c r="A25" s="192" t="s">
        <v>250</v>
      </c>
      <c r="B25" s="221">
        <v>137</v>
      </c>
      <c r="C25" s="325" t="s">
        <v>253</v>
      </c>
      <c r="D25" s="326"/>
      <c r="E25" s="55" t="s">
        <v>108</v>
      </c>
      <c r="F25" s="327"/>
      <c r="G25" s="328"/>
      <c r="H25" s="191">
        <v>48</v>
      </c>
      <c r="I25" s="47"/>
      <c r="J25" s="51"/>
      <c r="K25" s="51"/>
      <c r="L25" s="313"/>
      <c r="M25" s="314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 x14ac:dyDescent="0.25">
      <c r="A26" s="189" t="s">
        <v>252</v>
      </c>
      <c r="B26" s="38">
        <v>138</v>
      </c>
      <c r="C26" s="327" t="s">
        <v>258</v>
      </c>
      <c r="D26" s="314"/>
      <c r="E26" s="55" t="s">
        <v>259</v>
      </c>
      <c r="F26" s="327"/>
      <c r="G26" s="328"/>
      <c r="H26" s="81"/>
      <c r="I26" s="56">
        <v>30</v>
      </c>
      <c r="J26" s="57"/>
      <c r="K26" s="57"/>
      <c r="L26" s="313"/>
      <c r="M26" s="314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 x14ac:dyDescent="0.25">
      <c r="A27" s="189" t="s">
        <v>251</v>
      </c>
      <c r="B27" s="38">
        <v>139</v>
      </c>
      <c r="C27" s="327" t="s">
        <v>240</v>
      </c>
      <c r="D27" s="314"/>
      <c r="E27" s="55" t="s">
        <v>112</v>
      </c>
      <c r="F27" s="327"/>
      <c r="G27" s="328"/>
      <c r="H27" s="81"/>
      <c r="I27" s="56">
        <v>9150</v>
      </c>
      <c r="J27" s="57"/>
      <c r="K27" s="57">
        <v>220</v>
      </c>
      <c r="L27" s="313"/>
      <c r="M27" s="314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 x14ac:dyDescent="0.25">
      <c r="A28" s="190" t="s">
        <v>251</v>
      </c>
      <c r="B28" s="38">
        <v>140</v>
      </c>
      <c r="C28" s="327" t="s">
        <v>254</v>
      </c>
      <c r="D28" s="314"/>
      <c r="E28" s="55" t="s">
        <v>255</v>
      </c>
      <c r="F28" s="327"/>
      <c r="G28" s="328"/>
      <c r="H28" s="81"/>
      <c r="I28" s="56"/>
      <c r="J28" s="57"/>
      <c r="K28" s="57"/>
      <c r="L28" s="313"/>
      <c r="M28" s="314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 x14ac:dyDescent="0.25">
      <c r="A29" s="190" t="s">
        <v>251</v>
      </c>
      <c r="B29" s="186">
        <v>141</v>
      </c>
      <c r="C29" s="327" t="s">
        <v>256</v>
      </c>
      <c r="D29" s="314"/>
      <c r="E29" s="55" t="s">
        <v>132</v>
      </c>
      <c r="F29" s="327"/>
      <c r="G29" s="328"/>
      <c r="H29" s="81"/>
      <c r="I29" s="56"/>
      <c r="J29" s="57"/>
      <c r="K29" s="57"/>
      <c r="L29" s="313"/>
      <c r="M29" s="314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 x14ac:dyDescent="0.25">
      <c r="A30" s="196" t="s">
        <v>251</v>
      </c>
      <c r="B30" s="186">
        <v>142</v>
      </c>
      <c r="C30" s="327" t="s">
        <v>257</v>
      </c>
      <c r="D30" s="314"/>
      <c r="E30" s="55" t="s">
        <v>99</v>
      </c>
      <c r="F30" s="327"/>
      <c r="G30" s="328"/>
      <c r="H30" s="81"/>
      <c r="I30" s="56">
        <v>60</v>
      </c>
      <c r="J30" s="57"/>
      <c r="K30" s="57"/>
      <c r="L30" s="313"/>
      <c r="M30" s="314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 x14ac:dyDescent="0.25">
      <c r="A31" s="196" t="s">
        <v>260</v>
      </c>
      <c r="B31" s="38">
        <v>143</v>
      </c>
      <c r="C31" s="327" t="s">
        <v>120</v>
      </c>
      <c r="D31" s="314"/>
      <c r="E31" s="55" t="s">
        <v>121</v>
      </c>
      <c r="F31" s="327"/>
      <c r="G31" s="328"/>
      <c r="H31" s="81"/>
      <c r="I31" s="56">
        <v>900</v>
      </c>
      <c r="J31" s="57"/>
      <c r="K31" s="57"/>
      <c r="L31" s="313"/>
      <c r="M31" s="314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 x14ac:dyDescent="0.25">
      <c r="A32" s="196" t="s">
        <v>260</v>
      </c>
      <c r="B32" s="38">
        <v>144</v>
      </c>
      <c r="C32" s="327" t="s">
        <v>231</v>
      </c>
      <c r="D32" s="314"/>
      <c r="E32" s="55" t="s">
        <v>121</v>
      </c>
      <c r="F32" s="327"/>
      <c r="G32" s="328"/>
      <c r="H32" s="81"/>
      <c r="I32" s="56">
        <v>750</v>
      </c>
      <c r="J32" s="57"/>
      <c r="K32" s="57"/>
      <c r="L32" s="313"/>
      <c r="M32" s="314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 x14ac:dyDescent="0.25">
      <c r="A33" s="196" t="s">
        <v>260</v>
      </c>
      <c r="B33" s="186">
        <v>145</v>
      </c>
      <c r="C33" s="327" t="s">
        <v>242</v>
      </c>
      <c r="D33" s="314"/>
      <c r="E33" s="55" t="s">
        <v>96</v>
      </c>
      <c r="F33" s="327"/>
      <c r="G33" s="328"/>
      <c r="H33" s="81"/>
      <c r="I33" s="56"/>
      <c r="J33" s="57"/>
      <c r="K33" s="57"/>
      <c r="L33" s="313"/>
      <c r="M33" s="314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 x14ac:dyDescent="0.25">
      <c r="A34" s="196" t="s">
        <v>260</v>
      </c>
      <c r="B34" s="186">
        <v>146</v>
      </c>
      <c r="C34" s="327" t="s">
        <v>240</v>
      </c>
      <c r="D34" s="314"/>
      <c r="E34" s="55" t="s">
        <v>112</v>
      </c>
      <c r="F34" s="327"/>
      <c r="G34" s="328"/>
      <c r="H34" s="81"/>
      <c r="I34" s="56">
        <v>9450</v>
      </c>
      <c r="J34" s="57"/>
      <c r="K34" s="57"/>
      <c r="L34" s="313"/>
      <c r="M34" s="314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 x14ac:dyDescent="0.25">
      <c r="A35" s="197" t="s">
        <v>261</v>
      </c>
      <c r="B35" s="38">
        <v>147</v>
      </c>
      <c r="C35" s="327" t="s">
        <v>235</v>
      </c>
      <c r="D35" s="314"/>
      <c r="E35" s="55" t="s">
        <v>262</v>
      </c>
      <c r="F35" s="327">
        <v>264</v>
      </c>
      <c r="G35" s="328"/>
      <c r="H35" s="81">
        <v>720</v>
      </c>
      <c r="I35" s="56">
        <v>660</v>
      </c>
      <c r="J35" s="57"/>
      <c r="K35" s="57">
        <v>330</v>
      </c>
      <c r="L35" s="313">
        <v>176</v>
      </c>
      <c r="M35" s="314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 x14ac:dyDescent="0.25">
      <c r="A36" s="197" t="s">
        <v>261</v>
      </c>
      <c r="B36" s="38">
        <v>148</v>
      </c>
      <c r="C36" s="327" t="s">
        <v>109</v>
      </c>
      <c r="D36" s="314"/>
      <c r="E36" s="55" t="s">
        <v>110</v>
      </c>
      <c r="F36" s="327"/>
      <c r="G36" s="328"/>
      <c r="H36" s="81">
        <v>24</v>
      </c>
      <c r="I36" s="56"/>
      <c r="J36" s="57"/>
      <c r="K36" s="57"/>
      <c r="L36" s="313"/>
      <c r="M36" s="314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 x14ac:dyDescent="0.25">
      <c r="A37" s="197" t="s">
        <v>261</v>
      </c>
      <c r="B37" s="186">
        <v>149</v>
      </c>
      <c r="C37" s="327" t="s">
        <v>243</v>
      </c>
      <c r="D37" s="314"/>
      <c r="E37" s="55" t="s">
        <v>244</v>
      </c>
      <c r="F37" s="327"/>
      <c r="G37" s="328"/>
      <c r="H37" s="81"/>
      <c r="I37" s="56"/>
      <c r="J37" s="57"/>
      <c r="K37" s="57"/>
      <c r="L37" s="313"/>
      <c r="M37" s="314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 x14ac:dyDescent="0.25">
      <c r="A38" s="198" t="s">
        <v>263</v>
      </c>
      <c r="B38" s="186">
        <v>150</v>
      </c>
      <c r="C38" s="327" t="s">
        <v>235</v>
      </c>
      <c r="D38" s="314"/>
      <c r="E38" s="55" t="s">
        <v>264</v>
      </c>
      <c r="F38" s="327">
        <v>720</v>
      </c>
      <c r="G38" s="328"/>
      <c r="H38" s="81">
        <v>1080</v>
      </c>
      <c r="I38" s="56">
        <v>300</v>
      </c>
      <c r="J38" s="57"/>
      <c r="K38" s="57">
        <v>220</v>
      </c>
      <c r="L38" s="313"/>
      <c r="M38" s="314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 x14ac:dyDescent="0.25">
      <c r="A39" s="198" t="s">
        <v>263</v>
      </c>
      <c r="B39" s="38">
        <v>151</v>
      </c>
      <c r="C39" s="327" t="s">
        <v>240</v>
      </c>
      <c r="D39" s="314"/>
      <c r="E39" s="55" t="s">
        <v>265</v>
      </c>
      <c r="F39" s="327"/>
      <c r="G39" s="328"/>
      <c r="H39" s="81"/>
      <c r="I39" s="56">
        <v>7800</v>
      </c>
      <c r="J39" s="57"/>
      <c r="K39" s="57">
        <v>330</v>
      </c>
      <c r="L39" s="313"/>
      <c r="M39" s="314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 x14ac:dyDescent="0.25">
      <c r="A40" s="198" t="s">
        <v>266</v>
      </c>
      <c r="B40" s="38">
        <v>152</v>
      </c>
      <c r="C40" s="327" t="s">
        <v>267</v>
      </c>
      <c r="D40" s="314"/>
      <c r="E40" s="55" t="s">
        <v>215</v>
      </c>
      <c r="F40" s="327"/>
      <c r="G40" s="328"/>
      <c r="H40" s="81"/>
      <c r="I40" s="56">
        <v>90</v>
      </c>
      <c r="J40" s="57"/>
      <c r="K40" s="57"/>
      <c r="L40" s="313"/>
      <c r="M40" s="314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 x14ac:dyDescent="0.25">
      <c r="A41" s="198" t="s">
        <v>266</v>
      </c>
      <c r="B41" s="186">
        <v>153</v>
      </c>
      <c r="C41" s="327" t="s">
        <v>226</v>
      </c>
      <c r="D41" s="314"/>
      <c r="E41" s="55" t="s">
        <v>103</v>
      </c>
      <c r="F41" s="327"/>
      <c r="G41" s="328"/>
      <c r="H41" s="81">
        <v>48</v>
      </c>
      <c r="I41" s="56"/>
      <c r="J41" s="57"/>
      <c r="K41" s="57"/>
      <c r="L41" s="313"/>
      <c r="M41" s="314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 x14ac:dyDescent="0.25">
      <c r="A42" s="198" t="s">
        <v>266</v>
      </c>
      <c r="B42" s="186">
        <v>154</v>
      </c>
      <c r="C42" s="327" t="s">
        <v>257</v>
      </c>
      <c r="D42" s="314"/>
      <c r="E42" s="55" t="s">
        <v>99</v>
      </c>
      <c r="F42" s="327"/>
      <c r="G42" s="328"/>
      <c r="H42" s="81">
        <v>72</v>
      </c>
      <c r="I42" s="56"/>
      <c r="J42" s="57"/>
      <c r="K42" s="57"/>
      <c r="L42" s="313"/>
      <c r="M42" s="314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 x14ac:dyDescent="0.25">
      <c r="A43" s="199" t="s">
        <v>266</v>
      </c>
      <c r="B43" s="38">
        <v>155</v>
      </c>
      <c r="C43" s="327" t="s">
        <v>268</v>
      </c>
      <c r="D43" s="314"/>
      <c r="E43" s="55" t="s">
        <v>269</v>
      </c>
      <c r="F43" s="327"/>
      <c r="G43" s="328"/>
      <c r="H43" s="81"/>
      <c r="I43" s="56"/>
      <c r="J43" s="57"/>
      <c r="K43" s="57"/>
      <c r="L43" s="313"/>
      <c r="M43" s="314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 x14ac:dyDescent="0.25">
      <c r="A44" s="199" t="s">
        <v>270</v>
      </c>
      <c r="B44" s="38">
        <v>156</v>
      </c>
      <c r="C44" s="327" t="s">
        <v>226</v>
      </c>
      <c r="D44" s="314"/>
      <c r="E44" s="55" t="s">
        <v>103</v>
      </c>
      <c r="F44" s="327"/>
      <c r="G44" s="328"/>
      <c r="H44" s="81"/>
      <c r="I44" s="56"/>
      <c r="J44" s="57"/>
      <c r="K44" s="57"/>
      <c r="L44" s="313"/>
      <c r="M44" s="314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 x14ac:dyDescent="0.25">
      <c r="A45" s="199" t="s">
        <v>270</v>
      </c>
      <c r="B45" s="186">
        <v>157</v>
      </c>
      <c r="C45" s="327" t="s">
        <v>120</v>
      </c>
      <c r="D45" s="314"/>
      <c r="E45" s="55" t="s">
        <v>121</v>
      </c>
      <c r="F45" s="327"/>
      <c r="G45" s="328"/>
      <c r="H45" s="81"/>
      <c r="I45" s="56">
        <v>900</v>
      </c>
      <c r="J45" s="57"/>
      <c r="K45" s="57"/>
      <c r="L45" s="313"/>
      <c r="M45" s="314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 x14ac:dyDescent="0.25">
      <c r="A46" s="199" t="s">
        <v>270</v>
      </c>
      <c r="B46" s="186">
        <v>158</v>
      </c>
      <c r="C46" s="327" t="s">
        <v>122</v>
      </c>
      <c r="D46" s="314"/>
      <c r="E46" s="55" t="s">
        <v>121</v>
      </c>
      <c r="F46" s="327"/>
      <c r="G46" s="328"/>
      <c r="H46" s="81"/>
      <c r="I46" s="56"/>
      <c r="J46" s="57"/>
      <c r="K46" s="57"/>
      <c r="L46" s="313"/>
      <c r="M46" s="314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 x14ac:dyDescent="0.25">
      <c r="A47" s="199" t="s">
        <v>270</v>
      </c>
      <c r="B47" s="38">
        <v>159</v>
      </c>
      <c r="C47" s="327" t="s">
        <v>231</v>
      </c>
      <c r="D47" s="314"/>
      <c r="E47" s="55" t="s">
        <v>121</v>
      </c>
      <c r="F47" s="327"/>
      <c r="G47" s="328"/>
      <c r="H47" s="81"/>
      <c r="I47" s="56">
        <v>450</v>
      </c>
      <c r="J47" s="57"/>
      <c r="K47" s="57"/>
      <c r="L47" s="313"/>
      <c r="M47" s="314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 x14ac:dyDescent="0.25">
      <c r="A48" s="199" t="s">
        <v>271</v>
      </c>
      <c r="B48" s="38">
        <v>160</v>
      </c>
      <c r="C48" s="327" t="s">
        <v>273</v>
      </c>
      <c r="D48" s="314"/>
      <c r="E48" s="55" t="s">
        <v>118</v>
      </c>
      <c r="F48" s="327"/>
      <c r="G48" s="328"/>
      <c r="H48" s="81"/>
      <c r="I48" s="56"/>
      <c r="J48" s="57"/>
      <c r="K48" s="57"/>
      <c r="L48" s="313"/>
      <c r="M48" s="314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 x14ac:dyDescent="0.25">
      <c r="A49" s="199" t="s">
        <v>271</v>
      </c>
      <c r="B49" s="186">
        <v>161</v>
      </c>
      <c r="C49" s="327" t="s">
        <v>235</v>
      </c>
      <c r="D49" s="314"/>
      <c r="E49" s="55" t="s">
        <v>146</v>
      </c>
      <c r="F49" s="327"/>
      <c r="G49" s="328"/>
      <c r="H49" s="81">
        <v>960</v>
      </c>
      <c r="I49" s="56"/>
      <c r="J49" s="57"/>
      <c r="K49" s="57"/>
      <c r="L49" s="313"/>
      <c r="M49" s="314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 x14ac:dyDescent="0.25">
      <c r="A50" s="200" t="s">
        <v>280</v>
      </c>
      <c r="B50" s="186">
        <v>162</v>
      </c>
      <c r="C50" s="327" t="s">
        <v>276</v>
      </c>
      <c r="D50" s="314"/>
      <c r="E50" s="55" t="s">
        <v>255</v>
      </c>
      <c r="F50" s="327"/>
      <c r="G50" s="328"/>
      <c r="H50" s="81"/>
      <c r="I50" s="56">
        <v>210</v>
      </c>
      <c r="J50" s="57"/>
      <c r="K50" s="57"/>
      <c r="L50" s="313"/>
      <c r="M50" s="314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 x14ac:dyDescent="0.25">
      <c r="A51" s="200" t="s">
        <v>280</v>
      </c>
      <c r="B51" s="38">
        <v>163</v>
      </c>
      <c r="C51" s="327" t="s">
        <v>274</v>
      </c>
      <c r="D51" s="314"/>
      <c r="E51" s="55" t="s">
        <v>277</v>
      </c>
      <c r="F51" s="327"/>
      <c r="G51" s="328"/>
      <c r="H51" s="81"/>
      <c r="I51" s="56"/>
      <c r="J51" s="57"/>
      <c r="K51" s="57"/>
      <c r="L51" s="313"/>
      <c r="M51" s="314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 x14ac:dyDescent="0.25">
      <c r="A52" s="200" t="s">
        <v>280</v>
      </c>
      <c r="B52" s="38">
        <v>164</v>
      </c>
      <c r="C52" s="327" t="s">
        <v>275</v>
      </c>
      <c r="D52" s="314"/>
      <c r="E52" s="55" t="s">
        <v>278</v>
      </c>
      <c r="F52" s="327"/>
      <c r="G52" s="328"/>
      <c r="H52" s="81"/>
      <c r="I52" s="56"/>
      <c r="J52" s="57"/>
      <c r="K52" s="57"/>
      <c r="L52" s="313"/>
      <c r="M52" s="314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 x14ac:dyDescent="0.25">
      <c r="A53" s="200" t="s">
        <v>280</v>
      </c>
      <c r="B53" s="186">
        <v>165</v>
      </c>
      <c r="C53" s="327" t="s">
        <v>52</v>
      </c>
      <c r="D53" s="314"/>
      <c r="E53" s="55" t="s">
        <v>279</v>
      </c>
      <c r="F53" s="327"/>
      <c r="G53" s="328"/>
      <c r="H53" s="81"/>
      <c r="I53" s="56"/>
      <c r="J53" s="57"/>
      <c r="K53" s="57"/>
      <c r="L53" s="313"/>
      <c r="M53" s="314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 x14ac:dyDescent="0.25">
      <c r="A54" s="200" t="s">
        <v>280</v>
      </c>
      <c r="B54" s="186">
        <v>166</v>
      </c>
      <c r="C54" s="327" t="s">
        <v>52</v>
      </c>
      <c r="D54" s="314"/>
      <c r="E54" s="55" t="s">
        <v>279</v>
      </c>
      <c r="F54" s="327"/>
      <c r="G54" s="328"/>
      <c r="H54" s="81"/>
      <c r="I54" s="56"/>
      <c r="J54" s="57"/>
      <c r="K54" s="57"/>
      <c r="L54" s="313"/>
      <c r="M54" s="314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 x14ac:dyDescent="0.25">
      <c r="A55" s="200" t="s">
        <v>280</v>
      </c>
      <c r="B55" s="38">
        <v>167</v>
      </c>
      <c r="C55" s="327" t="s">
        <v>235</v>
      </c>
      <c r="D55" s="314"/>
      <c r="E55" s="55" t="s">
        <v>262</v>
      </c>
      <c r="F55" s="327"/>
      <c r="G55" s="328"/>
      <c r="H55" s="81">
        <v>960</v>
      </c>
      <c r="I55" s="56"/>
      <c r="J55" s="57"/>
      <c r="K55" s="57">
        <v>154</v>
      </c>
      <c r="L55" s="313"/>
      <c r="M55" s="314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 x14ac:dyDescent="0.25">
      <c r="A56" s="200" t="s">
        <v>280</v>
      </c>
      <c r="B56" s="38">
        <v>168</v>
      </c>
      <c r="C56" s="327" t="s">
        <v>240</v>
      </c>
      <c r="D56" s="314"/>
      <c r="E56" s="55" t="s">
        <v>112</v>
      </c>
      <c r="F56" s="327"/>
      <c r="G56" s="328"/>
      <c r="H56" s="81"/>
      <c r="I56" s="56">
        <v>2850</v>
      </c>
      <c r="J56" s="57"/>
      <c r="K56" s="57">
        <v>220</v>
      </c>
      <c r="L56" s="313"/>
      <c r="M56" s="314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 x14ac:dyDescent="0.25">
      <c r="A57" s="200" t="s">
        <v>272</v>
      </c>
      <c r="B57" s="186">
        <v>169</v>
      </c>
      <c r="C57" s="327" t="s">
        <v>227</v>
      </c>
      <c r="D57" s="314"/>
      <c r="E57" s="55" t="s">
        <v>138</v>
      </c>
      <c r="F57" s="327"/>
      <c r="G57" s="328"/>
      <c r="H57" s="81"/>
      <c r="I57" s="56"/>
      <c r="J57" s="57"/>
      <c r="K57" s="57"/>
      <c r="L57" s="313"/>
      <c r="M57" s="314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 x14ac:dyDescent="0.25">
      <c r="A58" s="200" t="s">
        <v>272</v>
      </c>
      <c r="B58" s="186">
        <v>170</v>
      </c>
      <c r="C58" s="327" t="s">
        <v>144</v>
      </c>
      <c r="D58" s="314"/>
      <c r="E58" s="55" t="s">
        <v>145</v>
      </c>
      <c r="F58" s="327"/>
      <c r="G58" s="328"/>
      <c r="H58" s="81"/>
      <c r="I58" s="56"/>
      <c r="J58" s="57"/>
      <c r="K58" s="57"/>
      <c r="L58" s="313"/>
      <c r="M58" s="314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 x14ac:dyDescent="0.3">
      <c r="A59" s="200" t="s">
        <v>272</v>
      </c>
      <c r="B59" s="38">
        <v>171</v>
      </c>
      <c r="C59" s="327" t="s">
        <v>242</v>
      </c>
      <c r="D59" s="314"/>
      <c r="E59" s="55" t="s">
        <v>96</v>
      </c>
      <c r="F59" s="327"/>
      <c r="G59" s="328"/>
      <c r="H59" s="81">
        <v>96</v>
      </c>
      <c r="I59" s="56">
        <v>750</v>
      </c>
      <c r="J59" s="57"/>
      <c r="K59" s="57"/>
      <c r="L59" s="313"/>
      <c r="M59" s="314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 x14ac:dyDescent="0.3">
      <c r="A60" s="364" t="s">
        <v>16</v>
      </c>
      <c r="B60" s="365"/>
      <c r="C60" s="365"/>
      <c r="D60" s="61"/>
      <c r="E60" s="59"/>
      <c r="F60" s="321">
        <f>SUM(F5:G59)</f>
        <v>1080</v>
      </c>
      <c r="G60" s="323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324">
        <f>SUM(L5:M59)</f>
        <v>352</v>
      </c>
      <c r="M60" s="322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 x14ac:dyDescent="0.3">
      <c r="A61" s="364"/>
      <c r="B61" s="365"/>
      <c r="C61" s="365"/>
      <c r="D61" s="61"/>
      <c r="E61" s="59"/>
      <c r="F61" s="321">
        <f>F4+F60</f>
        <v>3576</v>
      </c>
      <c r="G61" s="323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324">
        <f>L4+L60</f>
        <v>1452</v>
      </c>
      <c r="M61" s="322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 x14ac:dyDescent="0.25">
      <c r="V62" s="13"/>
    </row>
    <row r="63" spans="1:24" x14ac:dyDescent="0.25">
      <c r="V63" s="13"/>
    </row>
    <row r="64" spans="1:24" x14ac:dyDescent="0.25">
      <c r="V64" s="13"/>
    </row>
    <row r="65" spans="1:22" x14ac:dyDescent="0.25">
      <c r="V65" s="13"/>
    </row>
    <row r="66" spans="1:22" x14ac:dyDescent="0.25">
      <c r="V66" s="13"/>
    </row>
    <row r="67" spans="1:22" x14ac:dyDescent="0.25">
      <c r="V67" s="13"/>
    </row>
    <row r="68" spans="1:22" x14ac:dyDescent="0.25">
      <c r="V68" s="13"/>
    </row>
    <row r="69" spans="1:22" x14ac:dyDescent="0.25">
      <c r="V69" s="13"/>
    </row>
    <row r="70" spans="1:22" x14ac:dyDescent="0.25">
      <c r="V70" s="13"/>
    </row>
    <row r="71" spans="1:22" x14ac:dyDescent="0.25">
      <c r="V71" s="13"/>
    </row>
    <row r="72" spans="1:22" x14ac:dyDescent="0.25">
      <c r="V72" s="13"/>
    </row>
    <row r="73" spans="1:22" x14ac:dyDescent="0.25">
      <c r="V73" s="13"/>
    </row>
    <row r="74" spans="1:22" x14ac:dyDescent="0.25">
      <c r="V74" s="13"/>
    </row>
    <row r="75" spans="1:22" x14ac:dyDescent="0.25">
      <c r="V75" s="13"/>
    </row>
    <row r="76" spans="1:22" x14ac:dyDescent="0.25">
      <c r="V76" s="13"/>
    </row>
    <row r="77" spans="1:22" x14ac:dyDescent="0.25">
      <c r="V77" s="13"/>
    </row>
    <row r="78" spans="1:22" ht="15.75" thickBot="1" x14ac:dyDescent="0.3">
      <c r="V78" s="13"/>
    </row>
    <row r="79" spans="1:22" ht="15.75" customHeight="1" thickBot="1" x14ac:dyDescent="0.3">
      <c r="A79" s="366" t="s">
        <v>281</v>
      </c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8"/>
      <c r="R79" s="1"/>
      <c r="S79" s="1"/>
      <c r="T79" s="28"/>
    </row>
    <row r="80" spans="1:22" ht="15.75" customHeight="1" thickBot="1" x14ac:dyDescent="0.3">
      <c r="A80" s="369" t="s">
        <v>34</v>
      </c>
      <c r="B80" s="370"/>
      <c r="C80" s="373" t="s">
        <v>33</v>
      </c>
      <c r="D80" s="373" t="s">
        <v>11</v>
      </c>
      <c r="E80" s="376" t="s">
        <v>19</v>
      </c>
      <c r="F80" s="369" t="s">
        <v>8</v>
      </c>
      <c r="G80" s="370"/>
      <c r="H80" s="378" t="s">
        <v>10</v>
      </c>
      <c r="I80" s="379"/>
      <c r="J80" s="380"/>
      <c r="K80" s="381" t="s">
        <v>25</v>
      </c>
      <c r="L80" s="382"/>
      <c r="M80" s="382"/>
      <c r="N80" s="382"/>
      <c r="O80" s="383"/>
      <c r="P80" s="373" t="s">
        <v>20</v>
      </c>
      <c r="Q80" s="384" t="s">
        <v>38</v>
      </c>
      <c r="R80" s="1"/>
      <c r="S80" s="1"/>
      <c r="T80" s="28"/>
    </row>
    <row r="81" spans="1:22" ht="15.75" thickBot="1" x14ac:dyDescent="0.3">
      <c r="A81" s="371"/>
      <c r="B81" s="372"/>
      <c r="C81" s="374"/>
      <c r="D81" s="375"/>
      <c r="E81" s="377"/>
      <c r="F81" s="371"/>
      <c r="G81" s="372"/>
      <c r="H81" s="69" t="s">
        <v>49</v>
      </c>
      <c r="I81" s="69" t="s">
        <v>48</v>
      </c>
      <c r="J81" s="69" t="s">
        <v>50</v>
      </c>
      <c r="K81" s="69" t="s">
        <v>24</v>
      </c>
      <c r="L81" s="381" t="s">
        <v>47</v>
      </c>
      <c r="M81" s="383"/>
      <c r="N81" s="69" t="s">
        <v>46</v>
      </c>
      <c r="O81" s="69" t="s">
        <v>45</v>
      </c>
      <c r="P81" s="375"/>
      <c r="Q81" s="385"/>
      <c r="T81" s="28"/>
    </row>
    <row r="82" spans="1:22" ht="15" customHeight="1" x14ac:dyDescent="0.25">
      <c r="A82" s="369" t="s">
        <v>27</v>
      </c>
      <c r="B82" s="370"/>
      <c r="C82" s="166" t="s">
        <v>28</v>
      </c>
      <c r="D82" s="166"/>
      <c r="E82" s="4">
        <v>720</v>
      </c>
      <c r="F82" s="391">
        <v>264</v>
      </c>
      <c r="G82" s="391"/>
      <c r="H82" s="4"/>
      <c r="I82" s="165"/>
      <c r="J82" s="4"/>
      <c r="K82" s="165"/>
      <c r="L82" s="392"/>
      <c r="M82" s="393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 x14ac:dyDescent="0.3">
      <c r="A83" s="371"/>
      <c r="B83" s="372"/>
      <c r="C83" s="168" t="s">
        <v>29</v>
      </c>
      <c r="D83" s="168"/>
      <c r="E83" s="14">
        <f>1080+960</f>
        <v>2040</v>
      </c>
      <c r="F83" s="398">
        <f>720+960</f>
        <v>1680</v>
      </c>
      <c r="G83" s="398"/>
      <c r="H83" s="14"/>
      <c r="I83" s="167"/>
      <c r="J83" s="14"/>
      <c r="K83" s="167"/>
      <c r="L83" s="399"/>
      <c r="M83" s="400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 x14ac:dyDescent="0.25">
      <c r="A84" s="369" t="s">
        <v>41</v>
      </c>
      <c r="B84" s="370"/>
      <c r="C84" s="4" t="s">
        <v>30</v>
      </c>
      <c r="D84" s="4">
        <f>6600+9150+9450+7800+2850</f>
        <v>35850</v>
      </c>
      <c r="E84" s="4">
        <f>600+300</f>
        <v>900</v>
      </c>
      <c r="F84" s="391">
        <v>660</v>
      </c>
      <c r="G84" s="391"/>
      <c r="H84" s="4"/>
      <c r="I84" s="165">
        <f>900+900+900</f>
        <v>2700</v>
      </c>
      <c r="J84" s="4">
        <f>450+750+450</f>
        <v>1650</v>
      </c>
      <c r="K84" s="165"/>
      <c r="L84" s="392"/>
      <c r="M84" s="393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 x14ac:dyDescent="0.25">
      <c r="A85" s="406"/>
      <c r="B85" s="407"/>
      <c r="C85" s="5" t="s">
        <v>32</v>
      </c>
      <c r="D85" s="172"/>
      <c r="E85" s="5">
        <v>240</v>
      </c>
      <c r="F85" s="411"/>
      <c r="G85" s="411"/>
      <c r="H85" s="5"/>
      <c r="I85" s="171"/>
      <c r="J85" s="5"/>
      <c r="K85" s="171"/>
      <c r="L85" s="412"/>
      <c r="M85" s="413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 x14ac:dyDescent="0.25">
      <c r="A86" s="406"/>
      <c r="B86" s="407"/>
      <c r="C86" s="5" t="s">
        <v>43</v>
      </c>
      <c r="D86" s="172">
        <f>440+220+330+220</f>
        <v>1210</v>
      </c>
      <c r="E86" s="5">
        <v>220</v>
      </c>
      <c r="F86" s="411">
        <f>330+154</f>
        <v>484</v>
      </c>
      <c r="G86" s="411"/>
      <c r="H86" s="5"/>
      <c r="I86" s="171"/>
      <c r="J86" s="5"/>
      <c r="K86" s="171"/>
      <c r="L86" s="412"/>
      <c r="M86" s="413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 x14ac:dyDescent="0.3">
      <c r="A87" s="371"/>
      <c r="B87" s="372"/>
      <c r="C87" s="64" t="s">
        <v>44</v>
      </c>
      <c r="D87" s="174"/>
      <c r="E87" s="15"/>
      <c r="F87" s="361">
        <v>176</v>
      </c>
      <c r="G87" s="361"/>
      <c r="H87" s="15"/>
      <c r="I87" s="173"/>
      <c r="J87" s="15"/>
      <c r="K87" s="173"/>
      <c r="L87" s="362"/>
      <c r="M87" s="363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 x14ac:dyDescent="0.25">
      <c r="A88" s="369" t="s">
        <v>40</v>
      </c>
      <c r="B88" s="370"/>
      <c r="C88" s="170" t="s">
        <v>28</v>
      </c>
      <c r="D88" s="170">
        <f>840+360+600+600+600</f>
        <v>3000</v>
      </c>
      <c r="E88" s="16">
        <f>480+240+960</f>
        <v>1680</v>
      </c>
      <c r="F88" s="408">
        <v>240</v>
      </c>
      <c r="G88" s="408"/>
      <c r="H88" s="16">
        <v>600</v>
      </c>
      <c r="I88" s="201">
        <f>1200+840</f>
        <v>2040</v>
      </c>
      <c r="J88" s="16">
        <v>240</v>
      </c>
      <c r="K88" s="169"/>
      <c r="L88" s="409">
        <v>48</v>
      </c>
      <c r="M88" s="410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 x14ac:dyDescent="0.25">
      <c r="A89" s="406"/>
      <c r="B89" s="407"/>
      <c r="C89" s="172" t="s">
        <v>31</v>
      </c>
      <c r="D89" s="172">
        <f>360+240+600+240+360</f>
        <v>1800</v>
      </c>
      <c r="E89" s="5">
        <f>480+240+960</f>
        <v>1680</v>
      </c>
      <c r="F89" s="411">
        <v>120</v>
      </c>
      <c r="G89" s="411"/>
      <c r="H89" s="5">
        <v>240</v>
      </c>
      <c r="I89" s="171">
        <v>480</v>
      </c>
      <c r="J89" s="5"/>
      <c r="K89" s="171"/>
      <c r="L89" s="412">
        <v>192</v>
      </c>
      <c r="M89" s="413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 x14ac:dyDescent="0.3">
      <c r="A90" s="371"/>
      <c r="B90" s="372"/>
      <c r="C90" s="64" t="s">
        <v>29</v>
      </c>
      <c r="D90" s="168">
        <f>3600+1800+2040+3120+1920</f>
        <v>12480</v>
      </c>
      <c r="E90" s="14">
        <f>2400+2400+4320</f>
        <v>9120</v>
      </c>
      <c r="F90" s="398">
        <f>3600+3600</f>
        <v>7200</v>
      </c>
      <c r="G90" s="398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99">
        <v>504</v>
      </c>
      <c r="M90" s="400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 x14ac:dyDescent="0.25">
      <c r="A91" s="369" t="s">
        <v>42</v>
      </c>
      <c r="B91" s="370"/>
      <c r="C91" s="166" t="s">
        <v>31</v>
      </c>
      <c r="D91" s="166">
        <f>1800+1800+840+2400+1980</f>
        <v>8820</v>
      </c>
      <c r="E91" s="4"/>
      <c r="F91" s="391">
        <f>240+300</f>
        <v>540</v>
      </c>
      <c r="G91" s="391"/>
      <c r="H91" s="4"/>
      <c r="I91" s="165"/>
      <c r="J91" s="4"/>
      <c r="K91" s="165"/>
      <c r="L91" s="392">
        <v>180</v>
      </c>
      <c r="M91" s="393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 x14ac:dyDescent="0.3">
      <c r="A92" s="371"/>
      <c r="B92" s="372"/>
      <c r="C92" s="64" t="s">
        <v>29</v>
      </c>
      <c r="D92" s="15">
        <v>12</v>
      </c>
      <c r="E92" s="15"/>
      <c r="F92" s="361"/>
      <c r="G92" s="361"/>
      <c r="H92" s="15"/>
      <c r="I92" s="173"/>
      <c r="J92" s="15"/>
      <c r="K92" s="173"/>
      <c r="L92" s="362"/>
      <c r="M92" s="363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 x14ac:dyDescent="0.3">
      <c r="A93" s="394" t="s">
        <v>37</v>
      </c>
      <c r="B93" s="395"/>
      <c r="C93" s="395"/>
      <c r="D93" s="23">
        <f>SUM(D82:D92)</f>
        <v>63172</v>
      </c>
      <c r="E93" s="23">
        <f t="shared" ref="E93" si="5">SUM(E82:E92)</f>
        <v>16600</v>
      </c>
      <c r="F93" s="396">
        <f>SUM(F82:G92)</f>
        <v>11364</v>
      </c>
      <c r="G93" s="397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96">
        <f>SUM(L82:M92)</f>
        <v>924</v>
      </c>
      <c r="M93" s="397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 x14ac:dyDescent="0.3">
      <c r="A94" s="401" t="s">
        <v>36</v>
      </c>
      <c r="B94" s="402"/>
      <c r="C94" s="402"/>
      <c r="D94" s="403">
        <f>D93+E93+F93+H93+I93+J93+K93+L93+N93+O93+P93</f>
        <v>131244</v>
      </c>
      <c r="E94" s="404"/>
      <c r="F94" s="404"/>
      <c r="G94" s="404"/>
      <c r="H94" s="404"/>
      <c r="I94" s="404"/>
      <c r="J94" s="404"/>
      <c r="K94" s="404"/>
      <c r="L94" s="404"/>
      <c r="M94" s="404"/>
      <c r="N94" s="404"/>
      <c r="O94" s="404"/>
      <c r="P94" s="404"/>
      <c r="Q94" s="405"/>
      <c r="T94" s="28"/>
      <c r="V94" s="13"/>
    </row>
    <row r="95" spans="1:22" s="20" customFormat="1" ht="15" customHeight="1" thickBot="1" x14ac:dyDescent="0.25">
      <c r="A95" s="386" t="s">
        <v>26</v>
      </c>
      <c r="B95" s="387"/>
      <c r="C95" s="387"/>
      <c r="D95" s="22">
        <f>4319949+4252517+4175553+4605009+2574956</f>
        <v>19927984</v>
      </c>
      <c r="E95" s="22">
        <f>1293840+1638888+2246237</f>
        <v>5178965</v>
      </c>
      <c r="F95" s="388">
        <f>2003393+1597114</f>
        <v>3600507</v>
      </c>
      <c r="G95" s="389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90">
        <v>304577</v>
      </c>
      <c r="M95" s="389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 x14ac:dyDescent="0.25">
      <c r="T96" s="28"/>
      <c r="V96" s="13"/>
    </row>
  </sheetData>
  <mergeCells count="230"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72"/>
  <sheetViews>
    <sheetView zoomScaleNormal="100" workbookViewId="0">
      <pane ySplit="4" topLeftCell="A17" activePane="bottomLeft" state="frozen"/>
      <selection pane="bottomLeft" activeCell="U2" sqref="A2:XFD3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 x14ac:dyDescent="0.3">
      <c r="A1" s="424" t="s">
        <v>357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6"/>
    </row>
    <row r="2" spans="1:23" s="6" customFormat="1" ht="12.75" customHeight="1" x14ac:dyDescent="0.25">
      <c r="A2" s="340" t="s">
        <v>9</v>
      </c>
      <c r="B2" s="427" t="s">
        <v>13</v>
      </c>
      <c r="C2" s="344" t="s">
        <v>23</v>
      </c>
      <c r="D2" s="345"/>
      <c r="E2" s="429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2" t="s">
        <v>14</v>
      </c>
      <c r="T2" s="315" t="s">
        <v>12</v>
      </c>
    </row>
    <row r="3" spans="1:23" s="6" customFormat="1" ht="15.75" thickBot="1" x14ac:dyDescent="0.3">
      <c r="A3" s="341"/>
      <c r="B3" s="428"/>
      <c r="C3" s="346"/>
      <c r="D3" s="347"/>
      <c r="E3" s="430"/>
      <c r="F3" s="317" t="s">
        <v>3</v>
      </c>
      <c r="G3" s="318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32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3"/>
      <c r="T3" s="316"/>
    </row>
    <row r="4" spans="1:23" s="18" customFormat="1" ht="15.75" thickBot="1" x14ac:dyDescent="0.3">
      <c r="A4" s="211" t="s">
        <v>35</v>
      </c>
      <c r="B4" s="30"/>
      <c r="C4" s="321"/>
      <c r="D4" s="322"/>
      <c r="E4" s="31"/>
      <c r="F4" s="321">
        <v>3576</v>
      </c>
      <c r="G4" s="323"/>
      <c r="H4" s="205">
        <v>19392</v>
      </c>
      <c r="I4" s="32">
        <v>132060</v>
      </c>
      <c r="J4" s="33">
        <v>1368</v>
      </c>
      <c r="K4" s="205">
        <v>7766</v>
      </c>
      <c r="L4" s="324">
        <v>1452</v>
      </c>
      <c r="M4" s="322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 x14ac:dyDescent="0.2">
      <c r="A5" s="207" t="s">
        <v>283</v>
      </c>
      <c r="B5" s="150">
        <v>172</v>
      </c>
      <c r="C5" s="329" t="s">
        <v>284</v>
      </c>
      <c r="D5" s="330"/>
      <c r="E5" s="151" t="s">
        <v>285</v>
      </c>
      <c r="F5" s="331"/>
      <c r="G5" s="332"/>
      <c r="H5" s="208">
        <v>48</v>
      </c>
      <c r="I5" s="39"/>
      <c r="J5" s="40"/>
      <c r="K5" s="40"/>
      <c r="L5" s="333"/>
      <c r="M5" s="334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 x14ac:dyDescent="0.25">
      <c r="A6" s="220" t="s">
        <v>286</v>
      </c>
      <c r="B6" s="38">
        <v>173</v>
      </c>
      <c r="C6" s="325" t="s">
        <v>287</v>
      </c>
      <c r="D6" s="326"/>
      <c r="E6" s="44" t="s">
        <v>288</v>
      </c>
      <c r="F6" s="327"/>
      <c r="G6" s="328"/>
      <c r="H6" s="202">
        <v>72</v>
      </c>
      <c r="I6" s="47"/>
      <c r="J6" s="51"/>
      <c r="K6" s="51"/>
      <c r="L6" s="313"/>
      <c r="M6" s="314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 x14ac:dyDescent="0.25">
      <c r="A7" s="220" t="s">
        <v>289</v>
      </c>
      <c r="B7" s="38">
        <v>174</v>
      </c>
      <c r="C7" s="325" t="s">
        <v>290</v>
      </c>
      <c r="D7" s="326"/>
      <c r="E7" s="44" t="s">
        <v>291</v>
      </c>
      <c r="F7" s="327"/>
      <c r="G7" s="328"/>
      <c r="H7" s="202"/>
      <c r="I7" s="47"/>
      <c r="J7" s="51"/>
      <c r="K7" s="51"/>
      <c r="L7" s="313"/>
      <c r="M7" s="314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 x14ac:dyDescent="0.25">
      <c r="A8" s="220" t="s">
        <v>292</v>
      </c>
      <c r="B8" s="38">
        <v>175</v>
      </c>
      <c r="C8" s="327" t="s">
        <v>293</v>
      </c>
      <c r="D8" s="314"/>
      <c r="E8" s="44" t="s">
        <v>294</v>
      </c>
      <c r="F8" s="327"/>
      <c r="G8" s="328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 x14ac:dyDescent="0.25">
      <c r="A9" s="220" t="s">
        <v>292</v>
      </c>
      <c r="B9" s="38">
        <v>176</v>
      </c>
      <c r="C9" s="417" t="s">
        <v>295</v>
      </c>
      <c r="D9" s="336"/>
      <c r="E9" s="44" t="s">
        <v>296</v>
      </c>
      <c r="F9" s="327"/>
      <c r="G9" s="328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 x14ac:dyDescent="0.25">
      <c r="A10" s="222" t="s">
        <v>297</v>
      </c>
      <c r="B10" s="38">
        <v>177</v>
      </c>
      <c r="C10" s="325" t="s">
        <v>298</v>
      </c>
      <c r="D10" s="326"/>
      <c r="E10" s="55" t="s">
        <v>299</v>
      </c>
      <c r="F10" s="327">
        <v>48</v>
      </c>
      <c r="G10" s="328"/>
      <c r="H10" s="202"/>
      <c r="I10" s="47">
        <v>60</v>
      </c>
      <c r="J10" s="51"/>
      <c r="K10" s="51"/>
      <c r="L10" s="313"/>
      <c r="M10" s="314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 x14ac:dyDescent="0.25">
      <c r="A11" s="222" t="s">
        <v>297</v>
      </c>
      <c r="B11" s="38">
        <v>178</v>
      </c>
      <c r="C11" s="325" t="s">
        <v>300</v>
      </c>
      <c r="D11" s="326"/>
      <c r="E11" s="55" t="s">
        <v>301</v>
      </c>
      <c r="F11" s="327">
        <v>48</v>
      </c>
      <c r="G11" s="328"/>
      <c r="H11" s="202">
        <v>72</v>
      </c>
      <c r="I11" s="47"/>
      <c r="J11" s="51"/>
      <c r="K11" s="51"/>
      <c r="L11" s="313"/>
      <c r="M11" s="314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 x14ac:dyDescent="0.25">
      <c r="A12" s="223" t="s">
        <v>302</v>
      </c>
      <c r="B12" s="38">
        <v>179</v>
      </c>
      <c r="C12" s="325" t="s">
        <v>303</v>
      </c>
      <c r="D12" s="326"/>
      <c r="E12" s="55" t="s">
        <v>11</v>
      </c>
      <c r="F12" s="327"/>
      <c r="G12" s="328"/>
      <c r="H12" s="202"/>
      <c r="I12" s="47">
        <v>7500</v>
      </c>
      <c r="J12" s="51">
        <v>120</v>
      </c>
      <c r="K12" s="51">
        <v>550</v>
      </c>
      <c r="L12" s="313"/>
      <c r="M12" s="314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 x14ac:dyDescent="0.25">
      <c r="A13" s="223" t="s">
        <v>302</v>
      </c>
      <c r="B13" s="38">
        <v>180</v>
      </c>
      <c r="C13" s="325" t="s">
        <v>304</v>
      </c>
      <c r="D13" s="326"/>
      <c r="E13" s="44" t="s">
        <v>305</v>
      </c>
      <c r="F13" s="327"/>
      <c r="G13" s="328"/>
      <c r="H13" s="202"/>
      <c r="I13" s="47">
        <v>150</v>
      </c>
      <c r="J13" s="51"/>
      <c r="K13" s="51"/>
      <c r="L13" s="313"/>
      <c r="M13" s="314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 x14ac:dyDescent="0.25">
      <c r="A14" s="223" t="s">
        <v>302</v>
      </c>
      <c r="B14" s="38">
        <v>181</v>
      </c>
      <c r="C14" s="327" t="s">
        <v>306</v>
      </c>
      <c r="D14" s="314"/>
      <c r="E14" s="44" t="s">
        <v>294</v>
      </c>
      <c r="F14" s="327"/>
      <c r="G14" s="328"/>
      <c r="H14" s="202"/>
      <c r="I14" s="47"/>
      <c r="J14" s="51"/>
      <c r="K14" s="51"/>
      <c r="L14" s="313"/>
      <c r="M14" s="314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 x14ac:dyDescent="0.25">
      <c r="A15" s="225" t="s">
        <v>307</v>
      </c>
      <c r="B15" s="38">
        <v>182</v>
      </c>
      <c r="C15" s="325" t="s">
        <v>308</v>
      </c>
      <c r="D15" s="326"/>
      <c r="E15" s="44" t="s">
        <v>8</v>
      </c>
      <c r="F15" s="327">
        <v>24</v>
      </c>
      <c r="G15" s="328"/>
      <c r="H15" s="202">
        <v>720</v>
      </c>
      <c r="I15" s="47">
        <v>60</v>
      </c>
      <c r="J15" s="51"/>
      <c r="K15" s="51">
        <v>110</v>
      </c>
      <c r="L15" s="313"/>
      <c r="M15" s="314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 x14ac:dyDescent="0.25">
      <c r="A16" s="226" t="s">
        <v>310</v>
      </c>
      <c r="B16" s="38">
        <v>183</v>
      </c>
      <c r="C16" s="327" t="s">
        <v>311</v>
      </c>
      <c r="D16" s="314"/>
      <c r="E16" s="44" t="s">
        <v>314</v>
      </c>
      <c r="F16" s="327"/>
      <c r="G16" s="328"/>
      <c r="H16" s="224" t="s">
        <v>309</v>
      </c>
      <c r="I16" s="47"/>
      <c r="J16" s="51"/>
      <c r="K16" s="51"/>
      <c r="L16" s="313"/>
      <c r="M16" s="314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 x14ac:dyDescent="0.25">
      <c r="A17" s="230" t="s">
        <v>310</v>
      </c>
      <c r="B17" s="231">
        <v>184</v>
      </c>
      <c r="C17" s="418" t="s">
        <v>308</v>
      </c>
      <c r="D17" s="419"/>
      <c r="E17" s="232" t="s">
        <v>19</v>
      </c>
      <c r="F17" s="420">
        <v>480</v>
      </c>
      <c r="G17" s="421"/>
      <c r="H17" s="233"/>
      <c r="I17" s="234">
        <v>600</v>
      </c>
      <c r="J17" s="235"/>
      <c r="K17" s="235"/>
      <c r="L17" s="422"/>
      <c r="M17" s="423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 x14ac:dyDescent="0.25">
      <c r="A18" s="226" t="s">
        <v>312</v>
      </c>
      <c r="B18" s="38">
        <v>185</v>
      </c>
      <c r="C18" s="327" t="s">
        <v>313</v>
      </c>
      <c r="D18" s="314"/>
      <c r="E18" s="55" t="s">
        <v>315</v>
      </c>
      <c r="F18" s="327"/>
      <c r="G18" s="328"/>
      <c r="H18" s="202">
        <v>48</v>
      </c>
      <c r="I18" s="47"/>
      <c r="J18" s="51"/>
      <c r="K18" s="51"/>
      <c r="L18" s="313"/>
      <c r="M18" s="314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 x14ac:dyDescent="0.25">
      <c r="A19" s="227" t="s">
        <v>317</v>
      </c>
      <c r="B19" s="38">
        <v>186</v>
      </c>
      <c r="C19" s="327" t="s">
        <v>316</v>
      </c>
      <c r="D19" s="314"/>
      <c r="E19" s="44" t="s">
        <v>318</v>
      </c>
      <c r="F19" s="327"/>
      <c r="G19" s="328"/>
      <c r="H19" s="202"/>
      <c r="I19" s="47"/>
      <c r="J19" s="51"/>
      <c r="K19" s="51"/>
      <c r="L19" s="313"/>
      <c r="M19" s="314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 x14ac:dyDescent="0.25">
      <c r="A20" s="227" t="s">
        <v>317</v>
      </c>
      <c r="B20" s="38">
        <v>187</v>
      </c>
      <c r="C20" s="327" t="s">
        <v>319</v>
      </c>
      <c r="D20" s="314"/>
      <c r="E20" s="44" t="s">
        <v>10</v>
      </c>
      <c r="F20" s="327"/>
      <c r="G20" s="328"/>
      <c r="H20" s="202"/>
      <c r="I20" s="47">
        <v>870</v>
      </c>
      <c r="J20" s="51"/>
      <c r="K20" s="51"/>
      <c r="L20" s="313"/>
      <c r="M20" s="314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 x14ac:dyDescent="0.25">
      <c r="A21" s="227" t="s">
        <v>317</v>
      </c>
      <c r="B21" s="38">
        <v>188</v>
      </c>
      <c r="C21" s="327" t="s">
        <v>320</v>
      </c>
      <c r="D21" s="314"/>
      <c r="E21" s="44" t="s">
        <v>10</v>
      </c>
      <c r="F21" s="327"/>
      <c r="G21" s="328"/>
      <c r="H21" s="202"/>
      <c r="I21" s="47"/>
      <c r="J21" s="51"/>
      <c r="K21" s="51"/>
      <c r="L21" s="313"/>
      <c r="M21" s="314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 x14ac:dyDescent="0.25">
      <c r="A22" s="227" t="s">
        <v>317</v>
      </c>
      <c r="B22" s="38">
        <v>189</v>
      </c>
      <c r="C22" s="325" t="s">
        <v>321</v>
      </c>
      <c r="D22" s="326"/>
      <c r="E22" s="44" t="s">
        <v>10</v>
      </c>
      <c r="F22" s="327"/>
      <c r="G22" s="328"/>
      <c r="H22" s="202"/>
      <c r="I22" s="47"/>
      <c r="J22" s="51"/>
      <c r="K22" s="51"/>
      <c r="L22" s="313"/>
      <c r="M22" s="314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 x14ac:dyDescent="0.25">
      <c r="A23" s="228" t="s">
        <v>322</v>
      </c>
      <c r="B23" s="38">
        <v>190</v>
      </c>
      <c r="C23" s="325" t="s">
        <v>284</v>
      </c>
      <c r="D23" s="326"/>
      <c r="E23" s="44" t="s">
        <v>285</v>
      </c>
      <c r="F23" s="327"/>
      <c r="G23" s="328"/>
      <c r="H23" s="229">
        <v>48</v>
      </c>
      <c r="I23" s="47"/>
      <c r="J23" s="51"/>
      <c r="K23" s="51"/>
      <c r="L23" s="313"/>
      <c r="M23" s="314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 x14ac:dyDescent="0.25">
      <c r="A24" s="228" t="s">
        <v>322</v>
      </c>
      <c r="B24" s="38">
        <v>191</v>
      </c>
      <c r="C24" s="325" t="s">
        <v>323</v>
      </c>
      <c r="D24" s="326"/>
      <c r="E24" s="44" t="s">
        <v>11</v>
      </c>
      <c r="F24" s="327"/>
      <c r="G24" s="328"/>
      <c r="H24" s="229"/>
      <c r="I24" s="47">
        <v>9300</v>
      </c>
      <c r="J24" s="51">
        <v>72</v>
      </c>
      <c r="K24" s="51"/>
      <c r="L24" s="313"/>
      <c r="M24" s="314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 x14ac:dyDescent="0.25">
      <c r="A25" s="228" t="s">
        <v>324</v>
      </c>
      <c r="B25" s="38">
        <v>192</v>
      </c>
      <c r="C25" s="325" t="s">
        <v>325</v>
      </c>
      <c r="D25" s="326"/>
      <c r="E25" s="44" t="s">
        <v>326</v>
      </c>
      <c r="F25" s="327"/>
      <c r="G25" s="328"/>
      <c r="H25" s="229"/>
      <c r="I25" s="47"/>
      <c r="J25" s="51"/>
      <c r="K25" s="51"/>
      <c r="L25" s="313"/>
      <c r="M25" s="314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 x14ac:dyDescent="0.25">
      <c r="A26" s="228" t="s">
        <v>324</v>
      </c>
      <c r="B26" s="38">
        <v>193</v>
      </c>
      <c r="C26" s="325" t="s">
        <v>327</v>
      </c>
      <c r="D26" s="326"/>
      <c r="E26" s="44" t="s">
        <v>305</v>
      </c>
      <c r="F26" s="327"/>
      <c r="G26" s="328"/>
      <c r="H26" s="229"/>
      <c r="I26" s="47">
        <v>150</v>
      </c>
      <c r="J26" s="51"/>
      <c r="K26" s="51"/>
      <c r="L26" s="313"/>
      <c r="M26" s="314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 x14ac:dyDescent="0.25">
      <c r="A27" s="228" t="s">
        <v>328</v>
      </c>
      <c r="B27" s="38">
        <v>194</v>
      </c>
      <c r="C27" s="325" t="s">
        <v>329</v>
      </c>
      <c r="D27" s="326"/>
      <c r="E27" s="44" t="s">
        <v>330</v>
      </c>
      <c r="F27" s="327"/>
      <c r="G27" s="328"/>
      <c r="H27" s="229"/>
      <c r="I27" s="47"/>
      <c r="J27" s="51"/>
      <c r="K27" s="51">
        <v>22</v>
      </c>
      <c r="L27" s="313"/>
      <c r="M27" s="314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 x14ac:dyDescent="0.25">
      <c r="A28" s="245" t="s">
        <v>328</v>
      </c>
      <c r="B28" s="38">
        <v>195</v>
      </c>
      <c r="C28" s="325" t="s">
        <v>331</v>
      </c>
      <c r="D28" s="326"/>
      <c r="E28" s="44" t="s">
        <v>20</v>
      </c>
      <c r="F28" s="327"/>
      <c r="G28" s="328"/>
      <c r="H28" s="244">
        <v>240</v>
      </c>
      <c r="I28" s="47"/>
      <c r="J28" s="51"/>
      <c r="K28" s="51"/>
      <c r="L28" s="313"/>
      <c r="M28" s="314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 x14ac:dyDescent="0.25">
      <c r="A29" s="245" t="s">
        <v>332</v>
      </c>
      <c r="B29" s="38">
        <v>196</v>
      </c>
      <c r="C29" s="325" t="s">
        <v>333</v>
      </c>
      <c r="D29" s="326"/>
      <c r="E29" s="44" t="s">
        <v>314</v>
      </c>
      <c r="F29" s="327"/>
      <c r="G29" s="328"/>
      <c r="H29" s="244">
        <v>48</v>
      </c>
      <c r="I29" s="47"/>
      <c r="J29" s="51"/>
      <c r="K29" s="51">
        <v>22</v>
      </c>
      <c r="L29" s="313"/>
      <c r="M29" s="314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 x14ac:dyDescent="0.25">
      <c r="A30" s="245" t="s">
        <v>332</v>
      </c>
      <c r="B30" s="38">
        <v>197</v>
      </c>
      <c r="C30" s="325" t="s">
        <v>293</v>
      </c>
      <c r="D30" s="326"/>
      <c r="E30" s="44" t="s">
        <v>294</v>
      </c>
      <c r="F30" s="327"/>
      <c r="G30" s="328"/>
      <c r="H30" s="244">
        <v>120</v>
      </c>
      <c r="I30" s="47"/>
      <c r="J30" s="51"/>
      <c r="K30" s="51"/>
      <c r="L30" s="313"/>
      <c r="M30" s="314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 x14ac:dyDescent="0.25">
      <c r="A31" s="245" t="s">
        <v>334</v>
      </c>
      <c r="B31" s="38">
        <v>198</v>
      </c>
      <c r="C31" s="325" t="s">
        <v>303</v>
      </c>
      <c r="D31" s="326"/>
      <c r="E31" s="44" t="s">
        <v>11</v>
      </c>
      <c r="F31" s="327"/>
      <c r="G31" s="328"/>
      <c r="H31" s="244"/>
      <c r="I31" s="47">
        <v>7200</v>
      </c>
      <c r="J31" s="51"/>
      <c r="K31" s="51"/>
      <c r="L31" s="313"/>
      <c r="M31" s="314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 x14ac:dyDescent="0.25">
      <c r="A32" s="245" t="s">
        <v>334</v>
      </c>
      <c r="B32" s="38">
        <v>199</v>
      </c>
      <c r="C32" s="325" t="s">
        <v>335</v>
      </c>
      <c r="D32" s="326"/>
      <c r="E32" s="44" t="s">
        <v>336</v>
      </c>
      <c r="F32" s="327"/>
      <c r="G32" s="328"/>
      <c r="H32" s="244">
        <v>48</v>
      </c>
      <c r="I32" s="47"/>
      <c r="J32" s="51"/>
      <c r="K32" s="51"/>
      <c r="L32" s="313"/>
      <c r="M32" s="314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 x14ac:dyDescent="0.25">
      <c r="A33" s="245" t="s">
        <v>334</v>
      </c>
      <c r="B33" s="38">
        <v>200</v>
      </c>
      <c r="C33" s="325" t="s">
        <v>308</v>
      </c>
      <c r="D33" s="326"/>
      <c r="E33" s="44" t="s">
        <v>8</v>
      </c>
      <c r="F33" s="327"/>
      <c r="G33" s="328"/>
      <c r="H33" s="244">
        <v>1680</v>
      </c>
      <c r="I33" s="47">
        <v>600</v>
      </c>
      <c r="J33" s="51"/>
      <c r="K33" s="51">
        <v>396</v>
      </c>
      <c r="L33" s="313">
        <v>220</v>
      </c>
      <c r="M33" s="314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 x14ac:dyDescent="0.25">
      <c r="A34" s="241" t="s">
        <v>337</v>
      </c>
      <c r="B34" s="38">
        <v>201</v>
      </c>
      <c r="C34" s="325" t="s">
        <v>333</v>
      </c>
      <c r="D34" s="326"/>
      <c r="E34" s="44" t="s">
        <v>314</v>
      </c>
      <c r="F34" s="327"/>
      <c r="G34" s="328"/>
      <c r="H34" s="229"/>
      <c r="I34" s="47"/>
      <c r="J34" s="51"/>
      <c r="K34" s="51"/>
      <c r="L34" s="313"/>
      <c r="M34" s="314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 x14ac:dyDescent="0.25">
      <c r="A35" s="241" t="s">
        <v>337</v>
      </c>
      <c r="B35" s="38">
        <v>202</v>
      </c>
      <c r="C35" s="325" t="s">
        <v>303</v>
      </c>
      <c r="D35" s="326"/>
      <c r="E35" s="44" t="s">
        <v>11</v>
      </c>
      <c r="F35" s="327"/>
      <c r="G35" s="328"/>
      <c r="H35" s="229"/>
      <c r="I35" s="47">
        <v>7800</v>
      </c>
      <c r="J35" s="51">
        <v>120</v>
      </c>
      <c r="K35" s="51">
        <v>110</v>
      </c>
      <c r="L35" s="313"/>
      <c r="M35" s="314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 x14ac:dyDescent="0.25">
      <c r="A36" s="241" t="s">
        <v>337</v>
      </c>
      <c r="B36" s="38">
        <v>203</v>
      </c>
      <c r="C36" s="325" t="s">
        <v>338</v>
      </c>
      <c r="D36" s="326"/>
      <c r="E36" s="44" t="s">
        <v>339</v>
      </c>
      <c r="F36" s="327"/>
      <c r="G36" s="328"/>
      <c r="H36" s="229"/>
      <c r="I36" s="47"/>
      <c r="J36" s="51"/>
      <c r="K36" s="51"/>
      <c r="L36" s="313"/>
      <c r="M36" s="314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 x14ac:dyDescent="0.25">
      <c r="A37" s="241" t="s">
        <v>337</v>
      </c>
      <c r="B37" s="38">
        <v>204</v>
      </c>
      <c r="C37" s="325" t="s">
        <v>340</v>
      </c>
      <c r="D37" s="326"/>
      <c r="E37" s="44" t="s">
        <v>341</v>
      </c>
      <c r="F37" s="327"/>
      <c r="G37" s="328"/>
      <c r="H37" s="229">
        <v>24</v>
      </c>
      <c r="I37" s="47"/>
      <c r="J37" s="51"/>
      <c r="K37" s="51"/>
      <c r="L37" s="313"/>
      <c r="M37" s="314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 x14ac:dyDescent="0.25">
      <c r="A38" s="242" t="s">
        <v>342</v>
      </c>
      <c r="B38" s="38">
        <v>205</v>
      </c>
      <c r="C38" s="325" t="s">
        <v>287</v>
      </c>
      <c r="D38" s="326"/>
      <c r="E38" s="44" t="s">
        <v>288</v>
      </c>
      <c r="F38" s="327"/>
      <c r="G38" s="328"/>
      <c r="H38" s="229"/>
      <c r="I38" s="47"/>
      <c r="J38" s="51"/>
      <c r="K38" s="51"/>
      <c r="L38" s="313"/>
      <c r="M38" s="314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 x14ac:dyDescent="0.25">
      <c r="A39" s="242" t="s">
        <v>342</v>
      </c>
      <c r="B39" s="38">
        <v>206</v>
      </c>
      <c r="C39" s="325" t="s">
        <v>329</v>
      </c>
      <c r="D39" s="326"/>
      <c r="E39" s="44" t="s">
        <v>330</v>
      </c>
      <c r="F39" s="327"/>
      <c r="G39" s="328"/>
      <c r="H39" s="229">
        <v>24</v>
      </c>
      <c r="I39" s="47">
        <v>30</v>
      </c>
      <c r="J39" s="51"/>
      <c r="K39" s="51"/>
      <c r="L39" s="313"/>
      <c r="M39" s="314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 x14ac:dyDescent="0.25">
      <c r="A40" s="242" t="s">
        <v>342</v>
      </c>
      <c r="B40" s="38">
        <v>207</v>
      </c>
      <c r="C40" s="325" t="s">
        <v>308</v>
      </c>
      <c r="D40" s="326"/>
      <c r="E40" s="44" t="s">
        <v>19</v>
      </c>
      <c r="F40" s="327"/>
      <c r="G40" s="328"/>
      <c r="H40" s="243">
        <v>1200</v>
      </c>
      <c r="I40" s="47"/>
      <c r="J40" s="51">
        <v>480</v>
      </c>
      <c r="K40" s="51">
        <v>220</v>
      </c>
      <c r="L40" s="313"/>
      <c r="M40" s="314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 x14ac:dyDescent="0.25">
      <c r="A41" s="242" t="s">
        <v>343</v>
      </c>
      <c r="B41" s="38">
        <v>208</v>
      </c>
      <c r="C41" s="325" t="s">
        <v>333</v>
      </c>
      <c r="D41" s="326"/>
      <c r="E41" s="44" t="s">
        <v>314</v>
      </c>
      <c r="F41" s="327"/>
      <c r="G41" s="328"/>
      <c r="H41" s="229">
        <v>48</v>
      </c>
      <c r="I41" s="47"/>
      <c r="J41" s="51"/>
      <c r="K41" s="51"/>
      <c r="L41" s="313"/>
      <c r="M41" s="314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 x14ac:dyDescent="0.25">
      <c r="A42" s="242" t="s">
        <v>343</v>
      </c>
      <c r="B42" s="38">
        <v>209</v>
      </c>
      <c r="C42" s="325" t="s">
        <v>344</v>
      </c>
      <c r="D42" s="326"/>
      <c r="E42" s="44" t="s">
        <v>345</v>
      </c>
      <c r="F42" s="327"/>
      <c r="G42" s="328"/>
      <c r="H42" s="229"/>
      <c r="I42" s="47"/>
      <c r="J42" s="51"/>
      <c r="K42" s="51"/>
      <c r="L42" s="313"/>
      <c r="M42" s="314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 x14ac:dyDescent="0.25">
      <c r="A43" s="246" t="s">
        <v>346</v>
      </c>
      <c r="B43" s="38">
        <v>210</v>
      </c>
      <c r="C43" s="325" t="s">
        <v>347</v>
      </c>
      <c r="D43" s="326"/>
      <c r="E43" s="44" t="s">
        <v>348</v>
      </c>
      <c r="F43" s="327"/>
      <c r="G43" s="328"/>
      <c r="H43" s="229"/>
      <c r="I43" s="47"/>
      <c r="J43" s="51"/>
      <c r="K43" s="51"/>
      <c r="L43" s="313"/>
      <c r="M43" s="314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 x14ac:dyDescent="0.25">
      <c r="A44" s="246" t="s">
        <v>346</v>
      </c>
      <c r="B44" s="38">
        <v>211</v>
      </c>
      <c r="C44" s="325" t="s">
        <v>349</v>
      </c>
      <c r="D44" s="326"/>
      <c r="E44" s="44" t="s">
        <v>350</v>
      </c>
      <c r="F44" s="327"/>
      <c r="G44" s="328"/>
      <c r="H44" s="229"/>
      <c r="I44" s="47">
        <v>150</v>
      </c>
      <c r="J44" s="51"/>
      <c r="K44" s="51"/>
      <c r="L44" s="313"/>
      <c r="M44" s="314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 x14ac:dyDescent="0.25">
      <c r="A45" s="246" t="s">
        <v>346</v>
      </c>
      <c r="B45" s="38">
        <v>212</v>
      </c>
      <c r="C45" s="325" t="s">
        <v>351</v>
      </c>
      <c r="D45" s="326"/>
      <c r="E45" s="44" t="s">
        <v>352</v>
      </c>
      <c r="F45" s="327"/>
      <c r="G45" s="328"/>
      <c r="H45" s="229"/>
      <c r="I45" s="47"/>
      <c r="J45" s="51"/>
      <c r="K45" s="51"/>
      <c r="L45" s="313"/>
      <c r="M45" s="314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 x14ac:dyDescent="0.25">
      <c r="A46" s="246" t="s">
        <v>346</v>
      </c>
      <c r="B46" s="38">
        <v>213</v>
      </c>
      <c r="C46" s="325" t="s">
        <v>331</v>
      </c>
      <c r="D46" s="326"/>
      <c r="E46" s="44" t="s">
        <v>20</v>
      </c>
      <c r="F46" s="327"/>
      <c r="G46" s="328"/>
      <c r="H46" s="229"/>
      <c r="I46" s="47"/>
      <c r="J46" s="51"/>
      <c r="K46" s="51">
        <v>330</v>
      </c>
      <c r="L46" s="313">
        <v>110</v>
      </c>
      <c r="M46" s="314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 x14ac:dyDescent="0.25">
      <c r="A47" s="246" t="s">
        <v>346</v>
      </c>
      <c r="B47" s="38">
        <v>214</v>
      </c>
      <c r="C47" s="325" t="s">
        <v>353</v>
      </c>
      <c r="D47" s="326"/>
      <c r="E47" s="44" t="s">
        <v>354</v>
      </c>
      <c r="F47" s="327"/>
      <c r="G47" s="328"/>
      <c r="H47" s="229"/>
      <c r="I47" s="47">
        <v>60</v>
      </c>
      <c r="J47" s="51"/>
      <c r="K47" s="51"/>
      <c r="L47" s="313"/>
      <c r="M47" s="314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 x14ac:dyDescent="0.25">
      <c r="A48" s="246" t="s">
        <v>355</v>
      </c>
      <c r="B48" s="38">
        <v>215</v>
      </c>
      <c r="C48" s="325" t="s">
        <v>319</v>
      </c>
      <c r="D48" s="326"/>
      <c r="E48" s="44" t="s">
        <v>10</v>
      </c>
      <c r="F48" s="327"/>
      <c r="G48" s="328"/>
      <c r="H48" s="229"/>
      <c r="I48" s="47">
        <v>1050</v>
      </c>
      <c r="J48" s="51"/>
      <c r="K48" s="51"/>
      <c r="L48" s="313"/>
      <c r="M48" s="314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 x14ac:dyDescent="0.25">
      <c r="A49" s="246" t="s">
        <v>355</v>
      </c>
      <c r="B49" s="38">
        <v>216</v>
      </c>
      <c r="C49" s="325" t="s">
        <v>320</v>
      </c>
      <c r="D49" s="326"/>
      <c r="E49" s="44" t="s">
        <v>10</v>
      </c>
      <c r="F49" s="327"/>
      <c r="G49" s="328"/>
      <c r="H49" s="229"/>
      <c r="I49" s="47"/>
      <c r="J49" s="51"/>
      <c r="K49" s="51"/>
      <c r="L49" s="313"/>
      <c r="M49" s="314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 x14ac:dyDescent="0.25">
      <c r="A50" s="246" t="s">
        <v>355</v>
      </c>
      <c r="B50" s="38">
        <v>217</v>
      </c>
      <c r="C50" s="325" t="s">
        <v>321</v>
      </c>
      <c r="D50" s="326"/>
      <c r="E50" s="44" t="s">
        <v>10</v>
      </c>
      <c r="F50" s="327"/>
      <c r="G50" s="328"/>
      <c r="H50" s="229"/>
      <c r="I50" s="47">
        <v>300</v>
      </c>
      <c r="J50" s="51"/>
      <c r="K50" s="51"/>
      <c r="L50" s="313"/>
      <c r="M50" s="314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 x14ac:dyDescent="0.3">
      <c r="A51" s="247" t="s">
        <v>356</v>
      </c>
      <c r="B51" s="38">
        <v>218</v>
      </c>
      <c r="C51" s="325" t="s">
        <v>327</v>
      </c>
      <c r="D51" s="326"/>
      <c r="E51" s="44" t="s">
        <v>305</v>
      </c>
      <c r="F51" s="327"/>
      <c r="G51" s="328"/>
      <c r="H51" s="229"/>
      <c r="I51" s="47">
        <v>150</v>
      </c>
      <c r="J51" s="51"/>
      <c r="K51" s="51"/>
      <c r="L51" s="313"/>
      <c r="M51" s="314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 x14ac:dyDescent="0.3">
      <c r="A52" s="364" t="s">
        <v>16</v>
      </c>
      <c r="B52" s="365"/>
      <c r="C52" s="365"/>
      <c r="D52" s="61"/>
      <c r="E52" s="59"/>
      <c r="F52" s="321">
        <f>SUM(F5:G51)</f>
        <v>600</v>
      </c>
      <c r="G52" s="323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324">
        <f>SUM(L5:M51)</f>
        <v>330</v>
      </c>
      <c r="M52" s="322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 x14ac:dyDescent="0.3">
      <c r="A53" s="364"/>
      <c r="B53" s="365"/>
      <c r="C53" s="365"/>
      <c r="D53" s="61"/>
      <c r="E53" s="59"/>
      <c r="F53" s="321">
        <f>F4+F52</f>
        <v>4176</v>
      </c>
      <c r="G53" s="323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324">
        <f>L4+L52</f>
        <v>1782</v>
      </c>
      <c r="M53" s="322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 x14ac:dyDescent="0.3">
      <c r="V54" s="13"/>
    </row>
    <row r="55" spans="1:24" ht="15.75" customHeight="1" thickBot="1" x14ac:dyDescent="0.3">
      <c r="A55" s="366" t="s">
        <v>358</v>
      </c>
      <c r="B55" s="367"/>
      <c r="C55" s="367"/>
      <c r="D55" s="367"/>
      <c r="E55" s="367"/>
      <c r="F55" s="367"/>
      <c r="G55" s="367"/>
      <c r="H55" s="367"/>
      <c r="I55" s="367"/>
      <c r="J55" s="367"/>
      <c r="K55" s="367"/>
      <c r="L55" s="367"/>
      <c r="M55" s="367"/>
      <c r="N55" s="367"/>
      <c r="O55" s="367"/>
      <c r="P55" s="367"/>
      <c r="Q55" s="368"/>
      <c r="R55" s="1"/>
      <c r="S55" s="1"/>
      <c r="T55" s="28"/>
    </row>
    <row r="56" spans="1:24" ht="15.75" customHeight="1" thickBot="1" x14ac:dyDescent="0.3">
      <c r="A56" s="369" t="s">
        <v>34</v>
      </c>
      <c r="B56" s="370"/>
      <c r="C56" s="373" t="s">
        <v>33</v>
      </c>
      <c r="D56" s="373" t="s">
        <v>11</v>
      </c>
      <c r="E56" s="376" t="s">
        <v>19</v>
      </c>
      <c r="F56" s="369" t="s">
        <v>8</v>
      </c>
      <c r="G56" s="370"/>
      <c r="H56" s="378" t="s">
        <v>10</v>
      </c>
      <c r="I56" s="379"/>
      <c r="J56" s="380"/>
      <c r="K56" s="381" t="s">
        <v>25</v>
      </c>
      <c r="L56" s="382"/>
      <c r="M56" s="382"/>
      <c r="N56" s="382"/>
      <c r="O56" s="383"/>
      <c r="P56" s="373" t="s">
        <v>20</v>
      </c>
      <c r="Q56" s="384" t="s">
        <v>38</v>
      </c>
      <c r="R56" s="1"/>
      <c r="S56" s="1"/>
      <c r="T56" s="28"/>
    </row>
    <row r="57" spans="1:24" ht="15.75" thickBot="1" x14ac:dyDescent="0.3">
      <c r="A57" s="371"/>
      <c r="B57" s="372"/>
      <c r="C57" s="374"/>
      <c r="D57" s="375"/>
      <c r="E57" s="377"/>
      <c r="F57" s="371"/>
      <c r="G57" s="372"/>
      <c r="H57" s="69" t="s">
        <v>49</v>
      </c>
      <c r="I57" s="69" t="s">
        <v>48</v>
      </c>
      <c r="J57" s="69" t="s">
        <v>50</v>
      </c>
      <c r="K57" s="69" t="s">
        <v>24</v>
      </c>
      <c r="L57" s="381" t="s">
        <v>47</v>
      </c>
      <c r="M57" s="383"/>
      <c r="N57" s="69" t="s">
        <v>46</v>
      </c>
      <c r="O57" s="69" t="s">
        <v>45</v>
      </c>
      <c r="P57" s="375"/>
      <c r="Q57" s="385"/>
      <c r="T57" s="28"/>
    </row>
    <row r="58" spans="1:24" ht="15" customHeight="1" x14ac:dyDescent="0.25">
      <c r="A58" s="369" t="s">
        <v>27</v>
      </c>
      <c r="B58" s="370"/>
      <c r="C58" s="213" t="s">
        <v>28</v>
      </c>
      <c r="D58" s="213"/>
      <c r="E58" s="4">
        <v>480</v>
      </c>
      <c r="F58" s="391">
        <v>24</v>
      </c>
      <c r="G58" s="391"/>
      <c r="H58" s="4"/>
      <c r="I58" s="212"/>
      <c r="J58" s="4"/>
      <c r="K58" s="212"/>
      <c r="L58" s="392"/>
      <c r="M58" s="393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 x14ac:dyDescent="0.3">
      <c r="A59" s="371"/>
      <c r="B59" s="372"/>
      <c r="C59" s="215" t="s">
        <v>29</v>
      </c>
      <c r="D59" s="215"/>
      <c r="E59" s="14">
        <v>1200</v>
      </c>
      <c r="F59" s="398">
        <f>720+1680</f>
        <v>2400</v>
      </c>
      <c r="G59" s="398"/>
      <c r="H59" s="14"/>
      <c r="I59" s="214"/>
      <c r="J59" s="14"/>
      <c r="K59" s="214"/>
      <c r="L59" s="399"/>
      <c r="M59" s="400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 x14ac:dyDescent="0.25">
      <c r="A60" s="369" t="s">
        <v>41</v>
      </c>
      <c r="B60" s="370"/>
      <c r="C60" s="4" t="s">
        <v>30</v>
      </c>
      <c r="D60" s="4">
        <v>31800</v>
      </c>
      <c r="E60" s="4">
        <v>600</v>
      </c>
      <c r="F60" s="391">
        <v>660</v>
      </c>
      <c r="G60" s="391"/>
      <c r="H60" s="4"/>
      <c r="I60" s="212">
        <v>1920</v>
      </c>
      <c r="J60" s="4">
        <v>300</v>
      </c>
      <c r="K60" s="212"/>
      <c r="L60" s="392">
        <v>60</v>
      </c>
      <c r="M60" s="393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 x14ac:dyDescent="0.25">
      <c r="A61" s="406"/>
      <c r="B61" s="407"/>
      <c r="C61" s="5" t="s">
        <v>32</v>
      </c>
      <c r="D61" s="219">
        <v>312</v>
      </c>
      <c r="E61" s="5">
        <v>480</v>
      </c>
      <c r="F61" s="411"/>
      <c r="G61" s="411"/>
      <c r="H61" s="5"/>
      <c r="I61" s="218"/>
      <c r="J61" s="5"/>
      <c r="K61" s="218"/>
      <c r="L61" s="412"/>
      <c r="M61" s="413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 x14ac:dyDescent="0.25">
      <c r="A62" s="406"/>
      <c r="B62" s="407"/>
      <c r="C62" s="5" t="s">
        <v>43</v>
      </c>
      <c r="D62" s="219">
        <v>660</v>
      </c>
      <c r="E62" s="5">
        <v>220</v>
      </c>
      <c r="F62" s="411">
        <f>110+396</f>
        <v>506</v>
      </c>
      <c r="G62" s="411"/>
      <c r="H62" s="5"/>
      <c r="I62" s="218"/>
      <c r="J62" s="5"/>
      <c r="K62" s="218"/>
      <c r="L62" s="412"/>
      <c r="M62" s="413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 x14ac:dyDescent="0.3">
      <c r="A63" s="371"/>
      <c r="B63" s="372"/>
      <c r="C63" s="64" t="s">
        <v>44</v>
      </c>
      <c r="D63" s="210"/>
      <c r="E63" s="15"/>
      <c r="F63" s="361">
        <v>220</v>
      </c>
      <c r="G63" s="361"/>
      <c r="H63" s="15"/>
      <c r="I63" s="209"/>
      <c r="J63" s="15"/>
      <c r="K63" s="209"/>
      <c r="L63" s="362"/>
      <c r="M63" s="363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 x14ac:dyDescent="0.25">
      <c r="A64" s="369" t="s">
        <v>40</v>
      </c>
      <c r="B64" s="370"/>
      <c r="C64" s="217" t="s">
        <v>28</v>
      </c>
      <c r="D64" s="217">
        <v>1560</v>
      </c>
      <c r="E64" s="16">
        <f>360+480</f>
        <v>840</v>
      </c>
      <c r="F64" s="408">
        <v>120</v>
      </c>
      <c r="G64" s="408"/>
      <c r="H64" s="16">
        <v>1320</v>
      </c>
      <c r="I64" s="216">
        <v>1560</v>
      </c>
      <c r="J64" s="16"/>
      <c r="K64" s="216"/>
      <c r="L64" s="409">
        <v>48</v>
      </c>
      <c r="M64" s="410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 x14ac:dyDescent="0.25">
      <c r="A65" s="406"/>
      <c r="B65" s="407"/>
      <c r="C65" s="219" t="s">
        <v>31</v>
      </c>
      <c r="D65" s="219">
        <v>1080</v>
      </c>
      <c r="E65" s="5">
        <v>480</v>
      </c>
      <c r="F65" s="411">
        <v>120</v>
      </c>
      <c r="G65" s="411"/>
      <c r="H65" s="5">
        <v>480</v>
      </c>
      <c r="I65" s="218"/>
      <c r="J65" s="5"/>
      <c r="K65" s="218"/>
      <c r="L65" s="412">
        <v>24</v>
      </c>
      <c r="M65" s="413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 x14ac:dyDescent="0.3">
      <c r="A66" s="371"/>
      <c r="B66" s="372"/>
      <c r="C66" s="64" t="s">
        <v>29</v>
      </c>
      <c r="D66" s="215">
        <v>12360</v>
      </c>
      <c r="E66" s="14">
        <f>6000</f>
        <v>6000</v>
      </c>
      <c r="F66" s="398">
        <v>5400</v>
      </c>
      <c r="G66" s="398"/>
      <c r="H66" s="14">
        <v>1080</v>
      </c>
      <c r="I66" s="214">
        <v>5640</v>
      </c>
      <c r="J66" s="14">
        <v>3240</v>
      </c>
      <c r="K66" s="214"/>
      <c r="L66" s="399">
        <v>360</v>
      </c>
      <c r="M66" s="400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 x14ac:dyDescent="0.25">
      <c r="A67" s="369" t="s">
        <v>42</v>
      </c>
      <c r="B67" s="370"/>
      <c r="C67" s="213" t="s">
        <v>31</v>
      </c>
      <c r="D67" s="213">
        <v>7320</v>
      </c>
      <c r="E67" s="4">
        <v>240</v>
      </c>
      <c r="F67" s="391">
        <v>300</v>
      </c>
      <c r="G67" s="391"/>
      <c r="H67" s="4"/>
      <c r="I67" s="212"/>
      <c r="J67" s="4"/>
      <c r="K67" s="212"/>
      <c r="L67" s="392">
        <v>60</v>
      </c>
      <c r="M67" s="393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 x14ac:dyDescent="0.3">
      <c r="A68" s="371"/>
      <c r="B68" s="372"/>
      <c r="C68" s="64" t="s">
        <v>29</v>
      </c>
      <c r="D68" s="15">
        <v>600</v>
      </c>
      <c r="E68" s="15"/>
      <c r="F68" s="361"/>
      <c r="G68" s="361"/>
      <c r="H68" s="15"/>
      <c r="I68" s="209"/>
      <c r="J68" s="15"/>
      <c r="K68" s="209"/>
      <c r="L68" s="362"/>
      <c r="M68" s="363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 x14ac:dyDescent="0.3">
      <c r="A69" s="394" t="s">
        <v>37</v>
      </c>
      <c r="B69" s="395"/>
      <c r="C69" s="395"/>
      <c r="D69" s="23">
        <f>SUM(D58:D68)</f>
        <v>55692</v>
      </c>
      <c r="E69" s="23">
        <f t="shared" ref="E69" si="4">SUM(E58:E68)</f>
        <v>10540</v>
      </c>
      <c r="F69" s="396">
        <f>SUM(F58:G68)</f>
        <v>9750</v>
      </c>
      <c r="G69" s="397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96">
        <f>SUM(L58:M68)</f>
        <v>552</v>
      </c>
      <c r="M69" s="397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 x14ac:dyDescent="0.3">
      <c r="A70" s="401" t="s">
        <v>36</v>
      </c>
      <c r="B70" s="402"/>
      <c r="C70" s="402"/>
      <c r="D70" s="403">
        <f>D69+E69+F69+H69+I69+J69+K69+L69+N69+O69+P69</f>
        <v>105428</v>
      </c>
      <c r="E70" s="404"/>
      <c r="F70" s="404"/>
      <c r="G70" s="404"/>
      <c r="H70" s="404"/>
      <c r="I70" s="404"/>
      <c r="J70" s="404"/>
      <c r="K70" s="404"/>
      <c r="L70" s="404"/>
      <c r="M70" s="404"/>
      <c r="N70" s="404"/>
      <c r="O70" s="404"/>
      <c r="P70" s="404"/>
      <c r="Q70" s="405"/>
      <c r="T70" s="28"/>
      <c r="V70" s="13"/>
    </row>
    <row r="71" spans="1:22" s="20" customFormat="1" ht="15" customHeight="1" thickBot="1" x14ac:dyDescent="0.25">
      <c r="A71" s="386" t="s">
        <v>26</v>
      </c>
      <c r="B71" s="387"/>
      <c r="C71" s="387"/>
      <c r="D71" s="22">
        <v>17582415</v>
      </c>
      <c r="E71" s="22">
        <v>3309541</v>
      </c>
      <c r="F71" s="388">
        <f>810866+2284848</f>
        <v>3095714</v>
      </c>
      <c r="G71" s="389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90">
        <v>178670</v>
      </c>
      <c r="M71" s="389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 x14ac:dyDescent="0.25">
      <c r="T72" s="28"/>
      <c r="V72" s="13"/>
    </row>
  </sheetData>
  <mergeCells count="206"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73"/>
  <sheetViews>
    <sheetView zoomScaleNormal="100" workbookViewId="0">
      <pane ySplit="2" topLeftCell="A3" activePane="bottomLeft" state="frozen"/>
      <selection pane="bottomLeft" activeCell="E10" sqref="E10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 x14ac:dyDescent="0.3">
      <c r="A1" s="424" t="s">
        <v>359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6"/>
    </row>
    <row r="2" spans="1:23" s="6" customFormat="1" ht="12.75" customHeight="1" x14ac:dyDescent="0.25">
      <c r="A2" s="427" t="s">
        <v>9</v>
      </c>
      <c r="B2" s="427" t="s">
        <v>13</v>
      </c>
      <c r="C2" s="344" t="s">
        <v>23</v>
      </c>
      <c r="D2" s="434"/>
      <c r="E2" s="429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5" t="s">
        <v>14</v>
      </c>
      <c r="T2" s="315" t="s">
        <v>12</v>
      </c>
    </row>
    <row r="3" spans="1:23" s="6" customFormat="1" ht="24.75" customHeight="1" thickBot="1" x14ac:dyDescent="0.3">
      <c r="A3" s="431"/>
      <c r="B3" s="431"/>
      <c r="C3" s="435"/>
      <c r="D3" s="436"/>
      <c r="E3" s="431"/>
      <c r="F3" s="317" t="s">
        <v>3</v>
      </c>
      <c r="G3" s="432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43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36"/>
      <c r="T3" s="431"/>
    </row>
    <row r="4" spans="1:23" s="18" customFormat="1" ht="15.75" customHeight="1" thickBot="1" x14ac:dyDescent="0.3">
      <c r="A4" s="261" t="s">
        <v>35</v>
      </c>
      <c r="B4" s="30"/>
      <c r="C4" s="321"/>
      <c r="D4" s="322"/>
      <c r="E4" s="31"/>
      <c r="F4" s="321">
        <v>4176</v>
      </c>
      <c r="G4" s="323"/>
      <c r="H4" s="263">
        <v>24000</v>
      </c>
      <c r="I4" s="32">
        <v>168090</v>
      </c>
      <c r="J4" s="33">
        <v>2160</v>
      </c>
      <c r="K4" s="263">
        <v>9526</v>
      </c>
      <c r="L4" s="324">
        <v>1782</v>
      </c>
      <c r="M4" s="322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 x14ac:dyDescent="0.25">
      <c r="A5" s="264" t="s">
        <v>360</v>
      </c>
      <c r="B5" s="150">
        <v>219</v>
      </c>
      <c r="C5" s="329" t="s">
        <v>361</v>
      </c>
      <c r="D5" s="330"/>
      <c r="E5" s="151" t="s">
        <v>8</v>
      </c>
      <c r="F5" s="331"/>
      <c r="G5" s="332"/>
      <c r="H5" s="265">
        <v>1920</v>
      </c>
      <c r="I5" s="39">
        <v>300</v>
      </c>
      <c r="J5" s="40"/>
      <c r="K5" s="40">
        <v>330</v>
      </c>
      <c r="L5" s="333"/>
      <c r="M5" s="334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 x14ac:dyDescent="0.3">
      <c r="A6" s="266" t="s">
        <v>362</v>
      </c>
      <c r="B6" s="150">
        <v>220</v>
      </c>
      <c r="C6" s="325" t="s">
        <v>284</v>
      </c>
      <c r="D6" s="326"/>
      <c r="E6" s="44" t="s">
        <v>363</v>
      </c>
      <c r="F6" s="327"/>
      <c r="G6" s="328"/>
      <c r="H6" s="249">
        <v>24</v>
      </c>
      <c r="I6" s="47"/>
      <c r="J6" s="51"/>
      <c r="K6" s="51">
        <v>22</v>
      </c>
      <c r="L6" s="313">
        <v>22</v>
      </c>
      <c r="M6" s="314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 x14ac:dyDescent="0.3">
      <c r="A7" s="266" t="s">
        <v>364</v>
      </c>
      <c r="B7" s="150">
        <v>221</v>
      </c>
      <c r="C7" s="325" t="s">
        <v>316</v>
      </c>
      <c r="D7" s="326"/>
      <c r="E7" s="44" t="s">
        <v>318</v>
      </c>
      <c r="F7" s="327"/>
      <c r="G7" s="328"/>
      <c r="H7" s="249"/>
      <c r="I7" s="47"/>
      <c r="J7" s="51"/>
      <c r="K7" s="51"/>
      <c r="L7" s="313"/>
      <c r="M7" s="314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 x14ac:dyDescent="0.3">
      <c r="A8" s="270" t="s">
        <v>365</v>
      </c>
      <c r="B8" s="150">
        <v>222</v>
      </c>
      <c r="C8" s="327" t="s">
        <v>366</v>
      </c>
      <c r="D8" s="314"/>
      <c r="E8" s="44" t="s">
        <v>101</v>
      </c>
      <c r="F8" s="327"/>
      <c r="G8" s="328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 x14ac:dyDescent="0.3">
      <c r="A9" s="270" t="s">
        <v>367</v>
      </c>
      <c r="B9" s="150">
        <v>223</v>
      </c>
      <c r="C9" s="417" t="s">
        <v>293</v>
      </c>
      <c r="D9" s="336"/>
      <c r="E9" s="44" t="s">
        <v>294</v>
      </c>
      <c r="F9" s="327"/>
      <c r="G9" s="328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 x14ac:dyDescent="0.3">
      <c r="A10" s="270" t="s">
        <v>368</v>
      </c>
      <c r="B10" s="150">
        <v>224</v>
      </c>
      <c r="C10" s="327" t="s">
        <v>331</v>
      </c>
      <c r="D10" s="314"/>
      <c r="E10" s="44" t="s">
        <v>20</v>
      </c>
      <c r="F10" s="327"/>
      <c r="G10" s="328"/>
      <c r="H10" s="249"/>
      <c r="I10" s="47"/>
      <c r="J10" s="51"/>
      <c r="K10" s="51"/>
      <c r="L10" s="313"/>
      <c r="M10" s="314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 x14ac:dyDescent="0.3">
      <c r="A11" s="270" t="s">
        <v>368</v>
      </c>
      <c r="B11" s="150">
        <v>225</v>
      </c>
      <c r="C11" s="327" t="s">
        <v>396</v>
      </c>
      <c r="D11" s="314"/>
      <c r="E11" s="44" t="s">
        <v>354</v>
      </c>
      <c r="F11" s="327">
        <v>24</v>
      </c>
      <c r="G11" s="328"/>
      <c r="H11" s="249">
        <v>96</v>
      </c>
      <c r="I11" s="47"/>
      <c r="J11" s="51"/>
      <c r="K11" s="51"/>
      <c r="L11" s="313"/>
      <c r="M11" s="314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 x14ac:dyDescent="0.3">
      <c r="A12" s="270" t="s">
        <v>368</v>
      </c>
      <c r="B12" s="150">
        <v>226</v>
      </c>
      <c r="C12" s="325" t="s">
        <v>323</v>
      </c>
      <c r="D12" s="326"/>
      <c r="E12" s="55" t="s">
        <v>11</v>
      </c>
      <c r="F12" s="327"/>
      <c r="G12" s="328"/>
      <c r="H12" s="249"/>
      <c r="I12" s="47">
        <v>6600</v>
      </c>
      <c r="J12" s="51">
        <v>96</v>
      </c>
      <c r="K12" s="51"/>
      <c r="L12" s="313"/>
      <c r="M12" s="314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 x14ac:dyDescent="0.3">
      <c r="A13" s="270" t="s">
        <v>369</v>
      </c>
      <c r="B13" s="150">
        <v>227</v>
      </c>
      <c r="C13" s="325" t="s">
        <v>290</v>
      </c>
      <c r="D13" s="326"/>
      <c r="E13" s="44" t="s">
        <v>291</v>
      </c>
      <c r="F13" s="327"/>
      <c r="G13" s="328"/>
      <c r="H13" s="249"/>
      <c r="I13" s="47"/>
      <c r="J13" s="51"/>
      <c r="K13" s="51"/>
      <c r="L13" s="313"/>
      <c r="M13" s="314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 x14ac:dyDescent="0.3">
      <c r="A14" s="270" t="s">
        <v>370</v>
      </c>
      <c r="B14" s="150">
        <v>228</v>
      </c>
      <c r="C14" s="327" t="s">
        <v>371</v>
      </c>
      <c r="D14" s="314"/>
      <c r="E14" s="44" t="s">
        <v>314</v>
      </c>
      <c r="F14" s="327"/>
      <c r="G14" s="328"/>
      <c r="H14" s="249"/>
      <c r="I14" s="47"/>
      <c r="J14" s="51"/>
      <c r="K14" s="51"/>
      <c r="L14" s="313"/>
      <c r="M14" s="314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 x14ac:dyDescent="0.3">
      <c r="A15" s="270" t="s">
        <v>370</v>
      </c>
      <c r="B15" s="150">
        <v>229</v>
      </c>
      <c r="C15" s="325" t="s">
        <v>361</v>
      </c>
      <c r="D15" s="326"/>
      <c r="E15" s="44" t="s">
        <v>19</v>
      </c>
      <c r="F15" s="327">
        <v>480</v>
      </c>
      <c r="G15" s="328"/>
      <c r="H15" s="249">
        <v>1200</v>
      </c>
      <c r="I15" s="47">
        <v>900</v>
      </c>
      <c r="J15" s="51"/>
      <c r="K15" s="51"/>
      <c r="L15" s="313"/>
      <c r="M15" s="314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 x14ac:dyDescent="0.3">
      <c r="A16" s="269" t="s">
        <v>370</v>
      </c>
      <c r="B16" s="150">
        <v>230</v>
      </c>
      <c r="C16" s="327" t="s">
        <v>361</v>
      </c>
      <c r="D16" s="314"/>
      <c r="E16" s="44" t="s">
        <v>8</v>
      </c>
      <c r="F16" s="327">
        <v>360</v>
      </c>
      <c r="G16" s="328"/>
      <c r="H16" s="249">
        <v>240</v>
      </c>
      <c r="I16" s="47">
        <v>600</v>
      </c>
      <c r="J16" s="51"/>
      <c r="K16" s="51">
        <v>220</v>
      </c>
      <c r="L16" s="313">
        <v>220</v>
      </c>
      <c r="M16" s="314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 x14ac:dyDescent="0.3">
      <c r="A17" s="271" t="s">
        <v>372</v>
      </c>
      <c r="B17" s="150">
        <v>231</v>
      </c>
      <c r="C17" s="418" t="s">
        <v>335</v>
      </c>
      <c r="D17" s="419"/>
      <c r="E17" s="232" t="s">
        <v>336</v>
      </c>
      <c r="F17" s="420"/>
      <c r="G17" s="421"/>
      <c r="H17" s="268">
        <v>48</v>
      </c>
      <c r="I17" s="234"/>
      <c r="J17" s="235"/>
      <c r="K17" s="235"/>
      <c r="L17" s="422"/>
      <c r="M17" s="423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 x14ac:dyDescent="0.3">
      <c r="A18" s="271" t="s">
        <v>372</v>
      </c>
      <c r="B18" s="150">
        <v>232</v>
      </c>
      <c r="C18" s="327" t="s">
        <v>373</v>
      </c>
      <c r="D18" s="314"/>
      <c r="E18" s="55" t="s">
        <v>294</v>
      </c>
      <c r="F18" s="327"/>
      <c r="G18" s="328"/>
      <c r="H18" s="249"/>
      <c r="I18" s="47"/>
      <c r="J18" s="51"/>
      <c r="K18" s="51"/>
      <c r="L18" s="313"/>
      <c r="M18" s="314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 x14ac:dyDescent="0.3">
      <c r="A19" s="271" t="s">
        <v>372</v>
      </c>
      <c r="B19" s="150">
        <v>233</v>
      </c>
      <c r="C19" s="327" t="s">
        <v>323</v>
      </c>
      <c r="D19" s="314"/>
      <c r="E19" s="44" t="s">
        <v>11</v>
      </c>
      <c r="F19" s="327"/>
      <c r="G19" s="328"/>
      <c r="H19" s="286"/>
      <c r="I19" s="285">
        <v>8700</v>
      </c>
      <c r="J19" s="307"/>
      <c r="K19" s="51"/>
      <c r="L19" s="313"/>
      <c r="M19" s="314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 x14ac:dyDescent="0.3">
      <c r="A20" s="272" t="s">
        <v>374</v>
      </c>
      <c r="B20" s="150">
        <v>234</v>
      </c>
      <c r="C20" s="327" t="s">
        <v>319</v>
      </c>
      <c r="D20" s="314"/>
      <c r="E20" s="44" t="s">
        <v>10</v>
      </c>
      <c r="F20" s="327"/>
      <c r="G20" s="328"/>
      <c r="H20" s="249"/>
      <c r="I20" s="47">
        <v>2100</v>
      </c>
      <c r="J20" s="51"/>
      <c r="K20" s="51"/>
      <c r="L20" s="313"/>
      <c r="M20" s="314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 x14ac:dyDescent="0.3">
      <c r="A21" s="272" t="s">
        <v>374</v>
      </c>
      <c r="B21" s="150">
        <v>235</v>
      </c>
      <c r="C21" s="327" t="s">
        <v>320</v>
      </c>
      <c r="D21" s="314"/>
      <c r="E21" s="44" t="s">
        <v>10</v>
      </c>
      <c r="F21" s="327"/>
      <c r="G21" s="328"/>
      <c r="H21" s="249"/>
      <c r="I21" s="47"/>
      <c r="J21" s="51"/>
      <c r="K21" s="51"/>
      <c r="L21" s="313"/>
      <c r="M21" s="314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 x14ac:dyDescent="0.3">
      <c r="A22" s="272" t="s">
        <v>374</v>
      </c>
      <c r="B22" s="150">
        <v>236</v>
      </c>
      <c r="C22" s="325" t="s">
        <v>321</v>
      </c>
      <c r="D22" s="326"/>
      <c r="E22" s="44" t="s">
        <v>10</v>
      </c>
      <c r="F22" s="327"/>
      <c r="G22" s="328"/>
      <c r="H22" s="249"/>
      <c r="I22" s="47">
        <v>900</v>
      </c>
      <c r="J22" s="51"/>
      <c r="K22" s="51"/>
      <c r="L22" s="313"/>
      <c r="M22" s="314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 x14ac:dyDescent="0.3">
      <c r="A23" s="272" t="s">
        <v>375</v>
      </c>
      <c r="B23" s="150">
        <v>237</v>
      </c>
      <c r="C23" s="325" t="s">
        <v>376</v>
      </c>
      <c r="D23" s="326"/>
      <c r="E23" s="44" t="s">
        <v>377</v>
      </c>
      <c r="F23" s="327"/>
      <c r="G23" s="328"/>
      <c r="H23" s="249"/>
      <c r="I23" s="47"/>
      <c r="J23" s="51"/>
      <c r="K23" s="51"/>
      <c r="L23" s="313"/>
      <c r="M23" s="314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 x14ac:dyDescent="0.3">
      <c r="A24" s="272" t="s">
        <v>378</v>
      </c>
      <c r="B24" s="150">
        <v>238</v>
      </c>
      <c r="C24" s="325" t="s">
        <v>379</v>
      </c>
      <c r="D24" s="326"/>
      <c r="E24" s="44" t="s">
        <v>380</v>
      </c>
      <c r="F24" s="327"/>
      <c r="G24" s="328"/>
      <c r="H24" s="249"/>
      <c r="I24" s="47"/>
      <c r="J24" s="51"/>
      <c r="K24" s="51"/>
      <c r="L24" s="313"/>
      <c r="M24" s="314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 x14ac:dyDescent="0.3">
      <c r="A25" s="272" t="s">
        <v>378</v>
      </c>
      <c r="B25" s="150">
        <v>239</v>
      </c>
      <c r="C25" s="325" t="s">
        <v>284</v>
      </c>
      <c r="D25" s="326"/>
      <c r="E25" s="44" t="s">
        <v>381</v>
      </c>
      <c r="F25" s="327"/>
      <c r="G25" s="328"/>
      <c r="H25" s="249">
        <v>24</v>
      </c>
      <c r="I25" s="47"/>
      <c r="J25" s="51"/>
      <c r="K25" s="51"/>
      <c r="L25" s="313"/>
      <c r="M25" s="314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 x14ac:dyDescent="0.3">
      <c r="A26" s="272" t="s">
        <v>382</v>
      </c>
      <c r="B26" s="150">
        <v>240</v>
      </c>
      <c r="C26" s="325" t="s">
        <v>361</v>
      </c>
      <c r="D26" s="326"/>
      <c r="E26" s="44" t="s">
        <v>8</v>
      </c>
      <c r="F26" s="327">
        <v>24</v>
      </c>
      <c r="G26" s="328"/>
      <c r="H26" s="249">
        <v>360</v>
      </c>
      <c r="I26" s="47">
        <v>90</v>
      </c>
      <c r="J26" s="51"/>
      <c r="K26" s="51">
        <v>110</v>
      </c>
      <c r="L26" s="313">
        <v>110</v>
      </c>
      <c r="M26" s="314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 x14ac:dyDescent="0.3">
      <c r="A27" s="272" t="s">
        <v>383</v>
      </c>
      <c r="B27" s="150">
        <v>241</v>
      </c>
      <c r="C27" s="325" t="s">
        <v>371</v>
      </c>
      <c r="D27" s="326"/>
      <c r="E27" s="44" t="s">
        <v>314</v>
      </c>
      <c r="F27" s="327"/>
      <c r="G27" s="328"/>
      <c r="H27" s="249">
        <v>72</v>
      </c>
      <c r="I27" s="47"/>
      <c r="J27" s="51"/>
      <c r="K27" s="51"/>
      <c r="L27" s="313"/>
      <c r="M27" s="314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 x14ac:dyDescent="0.3">
      <c r="A28" s="272" t="s">
        <v>383</v>
      </c>
      <c r="B28" s="150">
        <v>242</v>
      </c>
      <c r="C28" s="325" t="s">
        <v>373</v>
      </c>
      <c r="D28" s="326"/>
      <c r="E28" s="44" t="s">
        <v>294</v>
      </c>
      <c r="F28" s="327"/>
      <c r="G28" s="328"/>
      <c r="H28" s="249"/>
      <c r="I28" s="47"/>
      <c r="J28" s="51"/>
      <c r="K28" s="51"/>
      <c r="L28" s="313"/>
      <c r="M28" s="314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 x14ac:dyDescent="0.3">
      <c r="A29" s="272" t="s">
        <v>383</v>
      </c>
      <c r="B29" s="150">
        <v>243</v>
      </c>
      <c r="C29" s="325" t="s">
        <v>323</v>
      </c>
      <c r="D29" s="326"/>
      <c r="E29" s="44" t="s">
        <v>11</v>
      </c>
      <c r="F29" s="327">
        <v>72</v>
      </c>
      <c r="G29" s="328"/>
      <c r="H29" s="249">
        <v>72</v>
      </c>
      <c r="I29" s="47">
        <v>4800</v>
      </c>
      <c r="J29" s="51"/>
      <c r="K29" s="51">
        <v>110</v>
      </c>
      <c r="L29" s="313"/>
      <c r="M29" s="314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 x14ac:dyDescent="0.3">
      <c r="A30" s="272" t="s">
        <v>383</v>
      </c>
      <c r="B30" s="150">
        <v>244</v>
      </c>
      <c r="C30" s="325" t="s">
        <v>319</v>
      </c>
      <c r="D30" s="326"/>
      <c r="E30" s="44" t="s">
        <v>10</v>
      </c>
      <c r="F30" s="327"/>
      <c r="G30" s="328"/>
      <c r="H30" s="249"/>
      <c r="I30" s="47">
        <v>1800</v>
      </c>
      <c r="J30" s="51"/>
      <c r="K30" s="51"/>
      <c r="L30" s="313"/>
      <c r="M30" s="314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 x14ac:dyDescent="0.3">
      <c r="A31" s="278" t="s">
        <v>384</v>
      </c>
      <c r="B31" s="150">
        <v>245</v>
      </c>
      <c r="C31" s="325" t="s">
        <v>385</v>
      </c>
      <c r="D31" s="326"/>
      <c r="E31" s="44" t="s">
        <v>315</v>
      </c>
      <c r="F31" s="327"/>
      <c r="G31" s="328"/>
      <c r="H31" s="249"/>
      <c r="I31" s="47"/>
      <c r="J31" s="51"/>
      <c r="K31" s="51"/>
      <c r="L31" s="313"/>
      <c r="M31" s="314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 x14ac:dyDescent="0.3">
      <c r="A32" s="278" t="s">
        <v>386</v>
      </c>
      <c r="B32" s="150">
        <v>246</v>
      </c>
      <c r="C32" s="325" t="s">
        <v>387</v>
      </c>
      <c r="D32" s="326"/>
      <c r="E32" s="44" t="s">
        <v>388</v>
      </c>
      <c r="F32" s="327"/>
      <c r="G32" s="328"/>
      <c r="H32" s="249">
        <v>48</v>
      </c>
      <c r="I32" s="47"/>
      <c r="J32" s="51"/>
      <c r="K32" s="51"/>
      <c r="L32" s="313"/>
      <c r="M32" s="314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 x14ac:dyDescent="0.3">
      <c r="A33" s="278" t="s">
        <v>386</v>
      </c>
      <c r="B33" s="150">
        <v>247</v>
      </c>
      <c r="C33" s="325" t="s">
        <v>295</v>
      </c>
      <c r="D33" s="326"/>
      <c r="E33" s="44" t="s">
        <v>46</v>
      </c>
      <c r="F33" s="327"/>
      <c r="G33" s="328"/>
      <c r="H33" s="249"/>
      <c r="I33" s="47">
        <v>300</v>
      </c>
      <c r="J33" s="51"/>
      <c r="K33" s="51"/>
      <c r="L33" s="313"/>
      <c r="M33" s="314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 x14ac:dyDescent="0.3">
      <c r="A34" s="282" t="s">
        <v>386</v>
      </c>
      <c r="B34" s="150">
        <v>248</v>
      </c>
      <c r="C34" s="327" t="s">
        <v>316</v>
      </c>
      <c r="D34" s="314"/>
      <c r="E34" s="44" t="s">
        <v>318</v>
      </c>
      <c r="F34" s="327"/>
      <c r="G34" s="328"/>
      <c r="H34" s="279"/>
      <c r="I34" s="47"/>
      <c r="J34" s="51"/>
      <c r="K34" s="51"/>
      <c r="L34" s="313"/>
      <c r="M34" s="314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 x14ac:dyDescent="0.3">
      <c r="A35" s="282" t="s">
        <v>393</v>
      </c>
      <c r="B35" s="150">
        <v>249</v>
      </c>
      <c r="C35" s="327" t="s">
        <v>323</v>
      </c>
      <c r="D35" s="314"/>
      <c r="E35" s="44" t="s">
        <v>11</v>
      </c>
      <c r="F35" s="327"/>
      <c r="G35" s="328"/>
      <c r="H35" s="279"/>
      <c r="I35" s="47">
        <v>7500</v>
      </c>
      <c r="J35" s="51"/>
      <c r="K35" s="51">
        <v>110</v>
      </c>
      <c r="L35" s="313"/>
      <c r="M35" s="314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 x14ac:dyDescent="0.3">
      <c r="A36" s="282" t="s">
        <v>393</v>
      </c>
      <c r="B36" s="150">
        <v>250</v>
      </c>
      <c r="C36" s="327" t="s">
        <v>331</v>
      </c>
      <c r="D36" s="314"/>
      <c r="E36" s="44" t="s">
        <v>20</v>
      </c>
      <c r="F36" s="327"/>
      <c r="G36" s="328"/>
      <c r="H36" s="279"/>
      <c r="I36" s="47">
        <v>900</v>
      </c>
      <c r="J36" s="51"/>
      <c r="K36" s="51"/>
      <c r="L36" s="313"/>
      <c r="M36" s="314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 x14ac:dyDescent="0.3">
      <c r="A37" s="282" t="s">
        <v>389</v>
      </c>
      <c r="B37" s="150">
        <v>251</v>
      </c>
      <c r="C37" s="327" t="s">
        <v>371</v>
      </c>
      <c r="D37" s="314"/>
      <c r="E37" s="44" t="s">
        <v>314</v>
      </c>
      <c r="F37" s="327"/>
      <c r="G37" s="328"/>
      <c r="H37" s="279"/>
      <c r="I37" s="47">
        <v>30</v>
      </c>
      <c r="J37" s="51"/>
      <c r="K37" s="51"/>
      <c r="L37" s="313"/>
      <c r="M37" s="314"/>
      <c r="N37" s="282"/>
      <c r="O37" s="279"/>
      <c r="P37" s="286"/>
      <c r="Q37" s="285"/>
      <c r="R37" s="51"/>
      <c r="S37" s="285"/>
      <c r="T37" s="53">
        <v>9246</v>
      </c>
    </row>
    <row r="38" spans="1:20" ht="15.75" customHeight="1" thickBot="1" x14ac:dyDescent="0.3">
      <c r="A38" s="282" t="s">
        <v>389</v>
      </c>
      <c r="B38" s="150">
        <v>252</v>
      </c>
      <c r="C38" s="327" t="s">
        <v>300</v>
      </c>
      <c r="D38" s="314"/>
      <c r="E38" s="44" t="s">
        <v>301</v>
      </c>
      <c r="F38" s="327">
        <v>72</v>
      </c>
      <c r="G38" s="328"/>
      <c r="H38" s="279">
        <v>120</v>
      </c>
      <c r="I38" s="47"/>
      <c r="J38" s="51"/>
      <c r="K38" s="51"/>
      <c r="L38" s="313"/>
      <c r="M38" s="314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 x14ac:dyDescent="0.3">
      <c r="A39" s="282" t="s">
        <v>389</v>
      </c>
      <c r="B39" s="150">
        <v>253</v>
      </c>
      <c r="C39" s="327" t="s">
        <v>327</v>
      </c>
      <c r="D39" s="314"/>
      <c r="E39" s="44" t="s">
        <v>101</v>
      </c>
      <c r="F39" s="327"/>
      <c r="G39" s="328"/>
      <c r="H39" s="279"/>
      <c r="I39" s="47"/>
      <c r="J39" s="51"/>
      <c r="K39" s="51"/>
      <c r="L39" s="313"/>
      <c r="M39" s="314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 x14ac:dyDescent="0.3">
      <c r="A40" s="282" t="s">
        <v>389</v>
      </c>
      <c r="B40" s="150">
        <v>254</v>
      </c>
      <c r="C40" s="327" t="s">
        <v>293</v>
      </c>
      <c r="D40" s="314"/>
      <c r="E40" s="44" t="s">
        <v>294</v>
      </c>
      <c r="F40" s="327"/>
      <c r="G40" s="328"/>
      <c r="H40" s="279">
        <v>120</v>
      </c>
      <c r="I40" s="47"/>
      <c r="J40" s="51"/>
      <c r="K40" s="51"/>
      <c r="L40" s="313"/>
      <c r="M40" s="314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 x14ac:dyDescent="0.3">
      <c r="A41" s="282" t="s">
        <v>390</v>
      </c>
      <c r="B41" s="150">
        <v>255</v>
      </c>
      <c r="C41" s="327" t="s">
        <v>391</v>
      </c>
      <c r="D41" s="314"/>
      <c r="E41" s="44" t="s">
        <v>392</v>
      </c>
      <c r="F41" s="327"/>
      <c r="G41" s="328"/>
      <c r="H41" s="279"/>
      <c r="I41" s="47">
        <v>30</v>
      </c>
      <c r="J41" s="51"/>
      <c r="K41" s="51">
        <v>22</v>
      </c>
      <c r="L41" s="313"/>
      <c r="M41" s="314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 x14ac:dyDescent="0.3">
      <c r="A42" s="282" t="s">
        <v>390</v>
      </c>
      <c r="B42" s="150">
        <v>256</v>
      </c>
      <c r="C42" s="327" t="s">
        <v>361</v>
      </c>
      <c r="D42" s="314"/>
      <c r="E42" s="44" t="s">
        <v>19</v>
      </c>
      <c r="F42" s="327">
        <v>720</v>
      </c>
      <c r="G42" s="328"/>
      <c r="H42" s="279">
        <v>960</v>
      </c>
      <c r="I42" s="47">
        <v>1050</v>
      </c>
      <c r="J42" s="51">
        <v>288</v>
      </c>
      <c r="K42" s="51">
        <v>110</v>
      </c>
      <c r="L42" s="313"/>
      <c r="M42" s="314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 x14ac:dyDescent="0.3">
      <c r="A43" s="282" t="s">
        <v>390</v>
      </c>
      <c r="B43" s="150">
        <v>257</v>
      </c>
      <c r="C43" s="327" t="s">
        <v>323</v>
      </c>
      <c r="D43" s="314"/>
      <c r="E43" s="44" t="s">
        <v>11</v>
      </c>
      <c r="F43" s="327"/>
      <c r="G43" s="328"/>
      <c r="H43" s="279"/>
      <c r="I43" s="47">
        <v>6600</v>
      </c>
      <c r="J43" s="51"/>
      <c r="K43" s="51">
        <v>550</v>
      </c>
      <c r="L43" s="313"/>
      <c r="M43" s="314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 x14ac:dyDescent="0.3">
      <c r="A44" s="284" t="s">
        <v>395</v>
      </c>
      <c r="B44" s="150">
        <v>258</v>
      </c>
      <c r="C44" s="327" t="s">
        <v>396</v>
      </c>
      <c r="D44" s="314"/>
      <c r="E44" s="44" t="s">
        <v>354</v>
      </c>
      <c r="F44" s="327"/>
      <c r="G44" s="328"/>
      <c r="H44" s="279">
        <v>48</v>
      </c>
      <c r="I44" s="47">
        <v>30</v>
      </c>
      <c r="J44" s="51"/>
      <c r="K44" s="51"/>
      <c r="L44" s="313"/>
      <c r="M44" s="314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 x14ac:dyDescent="0.3">
      <c r="A45" s="284" t="s">
        <v>397</v>
      </c>
      <c r="B45" s="150">
        <v>259</v>
      </c>
      <c r="C45" s="327" t="s">
        <v>287</v>
      </c>
      <c r="D45" s="314"/>
      <c r="E45" s="44" t="s">
        <v>288</v>
      </c>
      <c r="F45" s="327"/>
      <c r="G45" s="328"/>
      <c r="H45" s="279"/>
      <c r="I45" s="47"/>
      <c r="J45" s="51"/>
      <c r="K45" s="51"/>
      <c r="L45" s="313"/>
      <c r="M45" s="314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 x14ac:dyDescent="0.3">
      <c r="A46" s="284" t="s">
        <v>401</v>
      </c>
      <c r="B46" s="150">
        <v>260</v>
      </c>
      <c r="C46" s="327" t="s">
        <v>347</v>
      </c>
      <c r="D46" s="314"/>
      <c r="E46" s="44" t="s">
        <v>348</v>
      </c>
      <c r="F46" s="327"/>
      <c r="G46" s="328"/>
      <c r="H46" s="279"/>
      <c r="I46" s="47"/>
      <c r="J46" s="51"/>
      <c r="K46" s="51"/>
      <c r="L46" s="313"/>
      <c r="M46" s="314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 x14ac:dyDescent="0.3">
      <c r="A47" s="284" t="s">
        <v>402</v>
      </c>
      <c r="B47" s="150">
        <v>261</v>
      </c>
      <c r="C47" s="327" t="s">
        <v>398</v>
      </c>
      <c r="D47" s="314"/>
      <c r="E47" s="44" t="s">
        <v>339</v>
      </c>
      <c r="F47" s="327"/>
      <c r="G47" s="328"/>
      <c r="H47" s="279"/>
      <c r="I47" s="47"/>
      <c r="J47" s="51"/>
      <c r="K47" s="51"/>
      <c r="L47" s="313"/>
      <c r="M47" s="314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 x14ac:dyDescent="0.3">
      <c r="A48" s="284" t="s">
        <v>403</v>
      </c>
      <c r="B48" s="150">
        <v>262</v>
      </c>
      <c r="C48" s="327" t="s">
        <v>399</v>
      </c>
      <c r="D48" s="314"/>
      <c r="E48" s="44" t="s">
        <v>400</v>
      </c>
      <c r="F48" s="327"/>
      <c r="G48" s="328"/>
      <c r="H48" s="283"/>
      <c r="I48" s="47"/>
      <c r="J48" s="51"/>
      <c r="K48" s="51"/>
      <c r="L48" s="313"/>
      <c r="M48" s="314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 x14ac:dyDescent="0.3">
      <c r="A49" s="284" t="s">
        <v>404</v>
      </c>
      <c r="B49" s="150">
        <v>263</v>
      </c>
      <c r="C49" s="327" t="s">
        <v>319</v>
      </c>
      <c r="D49" s="314"/>
      <c r="E49" s="44" t="s">
        <v>10</v>
      </c>
      <c r="F49" s="327"/>
      <c r="G49" s="328"/>
      <c r="H49" s="283"/>
      <c r="I49" s="47"/>
      <c r="J49" s="51"/>
      <c r="K49" s="51"/>
      <c r="L49" s="313"/>
      <c r="M49" s="314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  <c r="W49" s="1">
        <f>SUM(F53:R53)</f>
        <v>697130</v>
      </c>
    </row>
    <row r="50" spans="1:24" ht="15.75" customHeight="1" thickBot="1" x14ac:dyDescent="0.3">
      <c r="A50" s="284" t="s">
        <v>405</v>
      </c>
      <c r="B50" s="150">
        <v>264</v>
      </c>
      <c r="C50" s="327" t="s">
        <v>321</v>
      </c>
      <c r="D50" s="314"/>
      <c r="E50" s="44" t="s">
        <v>10</v>
      </c>
      <c r="F50" s="327"/>
      <c r="G50" s="328"/>
      <c r="H50" s="283"/>
      <c r="I50" s="47"/>
      <c r="J50" s="51"/>
      <c r="K50" s="51"/>
      <c r="L50" s="313"/>
      <c r="M50" s="314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 x14ac:dyDescent="0.3">
      <c r="A51" s="284" t="s">
        <v>406</v>
      </c>
      <c r="B51" s="150">
        <v>265</v>
      </c>
      <c r="C51" s="327" t="s">
        <v>331</v>
      </c>
      <c r="D51" s="314"/>
      <c r="E51" s="44" t="s">
        <v>20</v>
      </c>
      <c r="F51" s="327"/>
      <c r="G51" s="328"/>
      <c r="H51" s="283"/>
      <c r="I51" s="47"/>
      <c r="J51" s="51"/>
      <c r="K51" s="51"/>
      <c r="L51" s="313"/>
      <c r="M51" s="314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 x14ac:dyDescent="0.3">
      <c r="A52" s="364" t="s">
        <v>16</v>
      </c>
      <c r="B52" s="365"/>
      <c r="C52" s="365"/>
      <c r="D52" s="61"/>
      <c r="E52" s="59"/>
      <c r="F52" s="321">
        <f>SUM(F5:G51)</f>
        <v>1752</v>
      </c>
      <c r="G52" s="323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324">
        <f>SUM(L5:M51)</f>
        <v>352</v>
      </c>
      <c r="M52" s="322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135994</v>
      </c>
      <c r="T52" s="36">
        <f t="shared" si="1"/>
        <v>42628017</v>
      </c>
      <c r="V52" s="13"/>
      <c r="W52" s="13"/>
      <c r="X52" s="13"/>
    </row>
    <row r="53" spans="1:24" ht="15.75" customHeight="1" thickBot="1" x14ac:dyDescent="0.3">
      <c r="A53" s="364"/>
      <c r="B53" s="365"/>
      <c r="C53" s="365"/>
      <c r="D53" s="61"/>
      <c r="E53" s="59"/>
      <c r="F53" s="321">
        <f>F4+F52</f>
        <v>5928</v>
      </c>
      <c r="G53" s="323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324">
        <f>L4+L52</f>
        <v>2134</v>
      </c>
      <c r="M53" s="322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697100</v>
      </c>
      <c r="T53" s="36">
        <f t="shared" si="2"/>
        <v>221910053</v>
      </c>
      <c r="W53" s="13"/>
      <c r="X53" s="13"/>
    </row>
    <row r="54" spans="1:24" x14ac:dyDescent="0.25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 x14ac:dyDescent="0.3">
      <c r="V55" s="13"/>
    </row>
    <row r="56" spans="1:24" ht="15.75" customHeight="1" thickBot="1" x14ac:dyDescent="0.3">
      <c r="A56" s="366" t="s">
        <v>394</v>
      </c>
      <c r="B56" s="367"/>
      <c r="C56" s="367"/>
      <c r="D56" s="367"/>
      <c r="E56" s="367"/>
      <c r="F56" s="367"/>
      <c r="G56" s="367"/>
      <c r="H56" s="367"/>
      <c r="I56" s="367"/>
      <c r="J56" s="367"/>
      <c r="K56" s="367"/>
      <c r="L56" s="367"/>
      <c r="M56" s="367"/>
      <c r="N56" s="367"/>
      <c r="O56" s="367"/>
      <c r="P56" s="367"/>
      <c r="Q56" s="368"/>
      <c r="R56" s="1"/>
      <c r="S56" s="1"/>
      <c r="T56" s="28"/>
    </row>
    <row r="57" spans="1:24" ht="15.75" customHeight="1" thickBot="1" x14ac:dyDescent="0.3">
      <c r="A57" s="369" t="s">
        <v>34</v>
      </c>
      <c r="B57" s="370"/>
      <c r="C57" s="373" t="s">
        <v>33</v>
      </c>
      <c r="D57" s="373" t="s">
        <v>11</v>
      </c>
      <c r="E57" s="376" t="s">
        <v>19</v>
      </c>
      <c r="F57" s="369" t="s">
        <v>8</v>
      </c>
      <c r="G57" s="370"/>
      <c r="H57" s="378" t="s">
        <v>10</v>
      </c>
      <c r="I57" s="379"/>
      <c r="J57" s="380"/>
      <c r="K57" s="381" t="s">
        <v>25</v>
      </c>
      <c r="L57" s="382"/>
      <c r="M57" s="382"/>
      <c r="N57" s="382"/>
      <c r="O57" s="383"/>
      <c r="P57" s="373" t="s">
        <v>20</v>
      </c>
      <c r="Q57" s="384" t="s">
        <v>38</v>
      </c>
      <c r="R57" s="1"/>
      <c r="S57" s="1"/>
      <c r="T57" s="28"/>
    </row>
    <row r="58" spans="1:24" ht="15.75" thickBot="1" x14ac:dyDescent="0.3">
      <c r="A58" s="371"/>
      <c r="B58" s="372"/>
      <c r="C58" s="374"/>
      <c r="D58" s="375"/>
      <c r="E58" s="377"/>
      <c r="F58" s="371"/>
      <c r="G58" s="372"/>
      <c r="H58" s="69" t="s">
        <v>49</v>
      </c>
      <c r="I58" s="69" t="s">
        <v>48</v>
      </c>
      <c r="J58" s="69" t="s">
        <v>50</v>
      </c>
      <c r="K58" s="69" t="s">
        <v>24</v>
      </c>
      <c r="L58" s="381" t="s">
        <v>47</v>
      </c>
      <c r="M58" s="383"/>
      <c r="N58" s="69" t="s">
        <v>46</v>
      </c>
      <c r="O58" s="69" t="s">
        <v>45</v>
      </c>
      <c r="P58" s="375"/>
      <c r="Q58" s="385"/>
      <c r="T58" s="28"/>
    </row>
    <row r="59" spans="1:24" ht="15" customHeight="1" x14ac:dyDescent="0.25">
      <c r="A59" s="369" t="s">
        <v>27</v>
      </c>
      <c r="B59" s="370"/>
      <c r="C59" s="252" t="s">
        <v>28</v>
      </c>
      <c r="D59" s="252">
        <v>72</v>
      </c>
      <c r="E59" s="4">
        <v>1200</v>
      </c>
      <c r="F59" s="391">
        <v>384</v>
      </c>
      <c r="G59" s="391"/>
      <c r="H59" s="4"/>
      <c r="I59" s="251"/>
      <c r="J59" s="4"/>
      <c r="K59" s="251"/>
      <c r="L59" s="392">
        <v>24</v>
      </c>
      <c r="M59" s="393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 x14ac:dyDescent="0.3">
      <c r="A60" s="371"/>
      <c r="B60" s="372"/>
      <c r="C60" s="254" t="s">
        <v>29</v>
      </c>
      <c r="D60" s="254">
        <v>72</v>
      </c>
      <c r="E60" s="14">
        <v>2160</v>
      </c>
      <c r="F60" s="398">
        <v>2520</v>
      </c>
      <c r="G60" s="398"/>
      <c r="H60" s="14"/>
      <c r="I60" s="253"/>
      <c r="J60" s="14"/>
      <c r="K60" s="253"/>
      <c r="L60" s="399">
        <v>144</v>
      </c>
      <c r="M60" s="400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 x14ac:dyDescent="0.25">
      <c r="A61" s="369" t="s">
        <v>41</v>
      </c>
      <c r="B61" s="370"/>
      <c r="C61" s="4" t="s">
        <v>30</v>
      </c>
      <c r="D61" s="4">
        <v>34200</v>
      </c>
      <c r="E61" s="4">
        <v>1950</v>
      </c>
      <c r="F61" s="391">
        <v>990</v>
      </c>
      <c r="G61" s="391"/>
      <c r="H61" s="4"/>
      <c r="I61" s="251">
        <v>3900</v>
      </c>
      <c r="J61" s="4">
        <v>900</v>
      </c>
      <c r="K61" s="251"/>
      <c r="L61" s="392">
        <v>30</v>
      </c>
      <c r="M61" s="393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 x14ac:dyDescent="0.25">
      <c r="A62" s="406"/>
      <c r="B62" s="407"/>
      <c r="C62" s="5" t="s">
        <v>32</v>
      </c>
      <c r="D62" s="258">
        <v>96</v>
      </c>
      <c r="E62" s="5">
        <v>288</v>
      </c>
      <c r="F62" s="411"/>
      <c r="G62" s="411"/>
      <c r="H62" s="5"/>
      <c r="I62" s="257"/>
      <c r="J62" s="5"/>
      <c r="K62" s="257"/>
      <c r="L62" s="412"/>
      <c r="M62" s="413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 x14ac:dyDescent="0.25">
      <c r="A63" s="406"/>
      <c r="B63" s="407"/>
      <c r="C63" s="5" t="s">
        <v>43</v>
      </c>
      <c r="D63" s="258">
        <v>770</v>
      </c>
      <c r="E63" s="5">
        <v>110</v>
      </c>
      <c r="F63" s="411">
        <v>660</v>
      </c>
      <c r="G63" s="411"/>
      <c r="H63" s="5"/>
      <c r="I63" s="257"/>
      <c r="J63" s="5"/>
      <c r="K63" s="257"/>
      <c r="L63" s="412"/>
      <c r="M63" s="413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 x14ac:dyDescent="0.3">
      <c r="A64" s="371"/>
      <c r="B64" s="372"/>
      <c r="C64" s="64" t="s">
        <v>44</v>
      </c>
      <c r="D64" s="260"/>
      <c r="E64" s="15"/>
      <c r="F64" s="361">
        <v>330</v>
      </c>
      <c r="G64" s="361"/>
      <c r="H64" s="15"/>
      <c r="I64" s="259"/>
      <c r="J64" s="15"/>
      <c r="K64" s="259"/>
      <c r="L64" s="362"/>
      <c r="M64" s="363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 x14ac:dyDescent="0.25">
      <c r="A65" s="369" t="s">
        <v>40</v>
      </c>
      <c r="B65" s="370"/>
      <c r="C65" s="256" t="s">
        <v>28</v>
      </c>
      <c r="D65" s="256">
        <v>3240</v>
      </c>
      <c r="E65" s="16">
        <v>1440</v>
      </c>
      <c r="F65" s="408">
        <v>240</v>
      </c>
      <c r="G65" s="408"/>
      <c r="H65" s="16">
        <v>480</v>
      </c>
      <c r="I65" s="255">
        <v>480</v>
      </c>
      <c r="J65" s="16">
        <v>240</v>
      </c>
      <c r="K65" s="255"/>
      <c r="L65" s="409">
        <v>96</v>
      </c>
      <c r="M65" s="410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 x14ac:dyDescent="0.25">
      <c r="A66" s="406"/>
      <c r="B66" s="407"/>
      <c r="C66" s="258" t="s">
        <v>31</v>
      </c>
      <c r="D66" s="258">
        <v>2040</v>
      </c>
      <c r="E66" s="5">
        <v>960</v>
      </c>
      <c r="F66" s="411">
        <v>240</v>
      </c>
      <c r="G66" s="411"/>
      <c r="H66" s="5"/>
      <c r="I66" s="257">
        <v>240</v>
      </c>
      <c r="J66" s="5">
        <v>240</v>
      </c>
      <c r="K66" s="257"/>
      <c r="L66" s="412">
        <v>120</v>
      </c>
      <c r="M66" s="413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 x14ac:dyDescent="0.3">
      <c r="A67" s="371"/>
      <c r="B67" s="372"/>
      <c r="C67" s="64" t="s">
        <v>29</v>
      </c>
      <c r="D67" s="254">
        <v>12840</v>
      </c>
      <c r="E67" s="14">
        <v>7800</v>
      </c>
      <c r="F67" s="398">
        <v>8400</v>
      </c>
      <c r="G67" s="398"/>
      <c r="H67" s="14">
        <v>600</v>
      </c>
      <c r="I67" s="253">
        <v>8400</v>
      </c>
      <c r="J67" s="14">
        <f>1800+600</f>
        <v>2400</v>
      </c>
      <c r="K67" s="253"/>
      <c r="L67" s="399">
        <v>768</v>
      </c>
      <c r="M67" s="400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 x14ac:dyDescent="0.25">
      <c r="A68" s="369" t="s">
        <v>42</v>
      </c>
      <c r="B68" s="370"/>
      <c r="C68" s="252" t="s">
        <v>31</v>
      </c>
      <c r="D68" s="252">
        <v>6900</v>
      </c>
      <c r="E68" s="4">
        <v>180</v>
      </c>
      <c r="F68" s="391">
        <v>360</v>
      </c>
      <c r="G68" s="391"/>
      <c r="H68" s="4"/>
      <c r="I68" s="251"/>
      <c r="J68" s="4"/>
      <c r="K68" s="251"/>
      <c r="L68" s="392">
        <v>192</v>
      </c>
      <c r="M68" s="393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 x14ac:dyDescent="0.3">
      <c r="A69" s="371"/>
      <c r="B69" s="372"/>
      <c r="C69" s="64" t="s">
        <v>29</v>
      </c>
      <c r="D69" s="15">
        <v>7212</v>
      </c>
      <c r="E69" s="15"/>
      <c r="F69" s="361"/>
      <c r="G69" s="361"/>
      <c r="H69" s="15"/>
      <c r="I69" s="259"/>
      <c r="J69" s="15"/>
      <c r="K69" s="259"/>
      <c r="L69" s="362"/>
      <c r="M69" s="363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 x14ac:dyDescent="0.3">
      <c r="A70" s="394" t="s">
        <v>37</v>
      </c>
      <c r="B70" s="395"/>
      <c r="C70" s="395"/>
      <c r="D70" s="23">
        <f>SUM(D59:D69)</f>
        <v>67442</v>
      </c>
      <c r="E70" s="23">
        <f t="shared" ref="E70" si="4">SUM(E59:E69)</f>
        <v>16088</v>
      </c>
      <c r="F70" s="396">
        <f>SUM(F59:G69)</f>
        <v>14124</v>
      </c>
      <c r="G70" s="397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396">
        <f>SUM(L59:M69)</f>
        <v>1374</v>
      </c>
      <c r="M70" s="397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-30</v>
      </c>
    </row>
    <row r="71" spans="1:22" ht="15.75" thickBot="1" x14ac:dyDescent="0.3">
      <c r="A71" s="401" t="s">
        <v>407</v>
      </c>
      <c r="B71" s="402"/>
      <c r="C71" s="402"/>
      <c r="D71" s="403">
        <f>D70+E70+F70+H70+I70+J70+K70+L70+N70+O70+P70</f>
        <v>136024</v>
      </c>
      <c r="E71" s="404"/>
      <c r="F71" s="404"/>
      <c r="G71" s="404"/>
      <c r="H71" s="404"/>
      <c r="I71" s="404"/>
      <c r="J71" s="404"/>
      <c r="K71" s="404"/>
      <c r="L71" s="404"/>
      <c r="M71" s="404"/>
      <c r="N71" s="404"/>
      <c r="O71" s="404"/>
      <c r="P71" s="404"/>
      <c r="Q71" s="405"/>
      <c r="T71" s="28"/>
      <c r="V71" s="13"/>
    </row>
    <row r="72" spans="1:22" s="20" customFormat="1" ht="15" customHeight="1" thickBot="1" x14ac:dyDescent="0.25">
      <c r="A72" s="386" t="s">
        <v>26</v>
      </c>
      <c r="B72" s="387"/>
      <c r="C72" s="387"/>
      <c r="D72" s="22">
        <v>21173229</v>
      </c>
      <c r="E72" s="22">
        <v>5017604</v>
      </c>
      <c r="F72" s="388">
        <v>4465756</v>
      </c>
      <c r="G72" s="389"/>
      <c r="H72" s="22">
        <v>334264</v>
      </c>
      <c r="I72" s="26">
        <v>4003538</v>
      </c>
      <c r="J72" s="22">
        <v>1164648</v>
      </c>
      <c r="K72" s="22">
        <v>0</v>
      </c>
      <c r="L72" s="390">
        <v>439556</v>
      </c>
      <c r="M72" s="389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 x14ac:dyDescent="0.25">
      <c r="T73" s="28"/>
      <c r="V73" s="13"/>
    </row>
  </sheetData>
  <mergeCells count="206"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</mergeCells>
  <pageMargins left="0.16" right="0.16" top="0.34" bottom="0.16" header="0.23" footer="0.16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73"/>
  <sheetViews>
    <sheetView tabSelected="1" zoomScaleNormal="100" workbookViewId="0">
      <pane ySplit="2" topLeftCell="A54" activePane="bottomLeft" state="frozen"/>
      <selection pane="bottomLeft" activeCell="A56" sqref="A56:Q72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1.5703125" style="3" bestFit="1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 x14ac:dyDescent="0.3">
      <c r="A1" s="424" t="s">
        <v>409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6"/>
    </row>
    <row r="2" spans="1:23" s="6" customFormat="1" ht="12.75" customHeight="1" x14ac:dyDescent="0.25">
      <c r="A2" s="427" t="s">
        <v>9</v>
      </c>
      <c r="B2" s="427" t="s">
        <v>13</v>
      </c>
      <c r="C2" s="344" t="s">
        <v>23</v>
      </c>
      <c r="D2" s="434"/>
      <c r="E2" s="429" t="s">
        <v>15</v>
      </c>
      <c r="F2" s="350" t="s">
        <v>0</v>
      </c>
      <c r="G2" s="342"/>
      <c r="H2" s="351"/>
      <c r="I2" s="352" t="s">
        <v>39</v>
      </c>
      <c r="J2" s="353"/>
      <c r="K2" s="353"/>
      <c r="L2" s="354"/>
      <c r="M2" s="351"/>
      <c r="N2" s="352" t="s">
        <v>1</v>
      </c>
      <c r="O2" s="353"/>
      <c r="P2" s="351"/>
      <c r="Q2" s="355" t="s">
        <v>2</v>
      </c>
      <c r="R2" s="356"/>
      <c r="S2" s="345" t="s">
        <v>14</v>
      </c>
      <c r="T2" s="315" t="s">
        <v>12</v>
      </c>
    </row>
    <row r="3" spans="1:23" s="6" customFormat="1" ht="24.75" customHeight="1" thickBot="1" x14ac:dyDescent="0.3">
      <c r="A3" s="431"/>
      <c r="B3" s="431"/>
      <c r="C3" s="435"/>
      <c r="D3" s="436"/>
      <c r="E3" s="431"/>
      <c r="F3" s="317" t="s">
        <v>3</v>
      </c>
      <c r="G3" s="432"/>
      <c r="H3" s="9" t="s">
        <v>4</v>
      </c>
      <c r="I3" s="10" t="s">
        <v>22</v>
      </c>
      <c r="J3" s="11" t="s">
        <v>7</v>
      </c>
      <c r="K3" s="11" t="s">
        <v>17</v>
      </c>
      <c r="L3" s="319" t="s">
        <v>18</v>
      </c>
      <c r="M3" s="43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36"/>
      <c r="T3" s="431"/>
    </row>
    <row r="4" spans="1:23" s="18" customFormat="1" ht="15.75" customHeight="1" thickBot="1" x14ac:dyDescent="0.3">
      <c r="A4" s="296" t="s">
        <v>35</v>
      </c>
      <c r="B4" s="30"/>
      <c r="C4" s="321"/>
      <c r="D4" s="322"/>
      <c r="E4" s="31"/>
      <c r="F4" s="321">
        <v>5928</v>
      </c>
      <c r="G4" s="323"/>
      <c r="H4" s="290">
        <v>29592</v>
      </c>
      <c r="I4" s="32">
        <v>211410</v>
      </c>
      <c r="J4" s="33">
        <v>2544</v>
      </c>
      <c r="K4" s="290">
        <v>11110</v>
      </c>
      <c r="L4" s="324">
        <v>2134</v>
      </c>
      <c r="M4" s="322"/>
      <c r="N4" s="289">
        <v>54792</v>
      </c>
      <c r="O4" s="290">
        <v>32112</v>
      </c>
      <c r="P4" s="34">
        <v>283608</v>
      </c>
      <c r="Q4" s="289">
        <v>49632</v>
      </c>
      <c r="R4" s="34">
        <v>14268</v>
      </c>
      <c r="S4" s="35">
        <f>SUM(F4:R4)</f>
        <v>697130</v>
      </c>
      <c r="T4" s="36">
        <v>221910053</v>
      </c>
    </row>
    <row r="5" spans="1:23" s="20" customFormat="1" ht="13.5" customHeight="1" thickBot="1" x14ac:dyDescent="0.25">
      <c r="A5" s="292" t="s">
        <v>408</v>
      </c>
      <c r="B5" s="150">
        <v>266</v>
      </c>
      <c r="C5" s="329" t="s">
        <v>410</v>
      </c>
      <c r="D5" s="330"/>
      <c r="E5" s="151" t="s">
        <v>380</v>
      </c>
      <c r="F5" s="331"/>
      <c r="G5" s="332"/>
      <c r="H5" s="293"/>
      <c r="I5" s="39"/>
      <c r="J5" s="40"/>
      <c r="K5" s="40"/>
      <c r="L5" s="333"/>
      <c r="M5" s="334"/>
      <c r="N5" s="39"/>
      <c r="O5" s="293"/>
      <c r="P5" s="41"/>
      <c r="Q5" s="39">
        <v>60</v>
      </c>
      <c r="R5" s="41"/>
      <c r="S5" s="148">
        <f t="shared" ref="S5:S51" si="0">SUM(F5:R5)</f>
        <v>60</v>
      </c>
      <c r="T5" s="43">
        <v>22686</v>
      </c>
    </row>
    <row r="6" spans="1:23" ht="15.75" customHeight="1" thickBot="1" x14ac:dyDescent="0.3">
      <c r="A6" s="308" t="s">
        <v>411</v>
      </c>
      <c r="B6" s="150">
        <v>267</v>
      </c>
      <c r="C6" s="325" t="s">
        <v>327</v>
      </c>
      <c r="D6" s="326"/>
      <c r="E6" s="44" t="s">
        <v>412</v>
      </c>
      <c r="F6" s="327"/>
      <c r="G6" s="328"/>
      <c r="H6" s="287"/>
      <c r="I6" s="47">
        <v>150</v>
      </c>
      <c r="J6" s="51"/>
      <c r="K6" s="51"/>
      <c r="L6" s="313"/>
      <c r="M6" s="314"/>
      <c r="N6" s="47"/>
      <c r="O6" s="287"/>
      <c r="P6" s="48"/>
      <c r="Q6" s="47"/>
      <c r="R6" s="48"/>
      <c r="S6" s="148">
        <f t="shared" si="0"/>
        <v>150</v>
      </c>
      <c r="T6" s="53">
        <v>46229</v>
      </c>
    </row>
    <row r="7" spans="1:23" ht="15.75" customHeight="1" thickBot="1" x14ac:dyDescent="0.3">
      <c r="A7" s="308" t="s">
        <v>411</v>
      </c>
      <c r="B7" s="150">
        <v>268</v>
      </c>
      <c r="C7" s="325" t="s">
        <v>413</v>
      </c>
      <c r="D7" s="326"/>
      <c r="E7" s="44" t="s">
        <v>8</v>
      </c>
      <c r="F7" s="327"/>
      <c r="G7" s="328"/>
      <c r="H7" s="287">
        <v>600</v>
      </c>
      <c r="I7" s="47">
        <v>300</v>
      </c>
      <c r="J7" s="51"/>
      <c r="K7" s="51">
        <v>154</v>
      </c>
      <c r="L7" s="313">
        <v>220</v>
      </c>
      <c r="M7" s="314"/>
      <c r="N7" s="47">
        <v>240</v>
      </c>
      <c r="O7" s="287"/>
      <c r="P7" s="48">
        <v>3360</v>
      </c>
      <c r="Q7" s="47">
        <v>240</v>
      </c>
      <c r="R7" s="48"/>
      <c r="S7" s="148">
        <f t="shared" si="0"/>
        <v>5114</v>
      </c>
      <c r="T7" s="53">
        <v>1618491</v>
      </c>
    </row>
    <row r="8" spans="1:23" ht="15" customHeight="1" thickBot="1" x14ac:dyDescent="0.3">
      <c r="A8" s="308" t="s">
        <v>414</v>
      </c>
      <c r="B8" s="150">
        <v>269</v>
      </c>
      <c r="C8" s="327" t="s">
        <v>373</v>
      </c>
      <c r="D8" s="314"/>
      <c r="E8" s="44" t="s">
        <v>294</v>
      </c>
      <c r="F8" s="327"/>
      <c r="G8" s="328"/>
      <c r="H8" s="287"/>
      <c r="I8" s="47"/>
      <c r="J8" s="51"/>
      <c r="K8" s="51"/>
      <c r="L8" s="287"/>
      <c r="M8" s="288"/>
      <c r="N8" s="47"/>
      <c r="O8" s="287"/>
      <c r="P8" s="48">
        <v>120</v>
      </c>
      <c r="Q8" s="47"/>
      <c r="R8" s="48"/>
      <c r="S8" s="148">
        <f t="shared" si="0"/>
        <v>120</v>
      </c>
      <c r="T8" s="53">
        <v>38899</v>
      </c>
    </row>
    <row r="9" spans="1:23" ht="15.75" customHeight="1" thickBot="1" x14ac:dyDescent="0.3">
      <c r="A9" s="308" t="s">
        <v>414</v>
      </c>
      <c r="B9" s="150">
        <v>270</v>
      </c>
      <c r="C9" s="417" t="s">
        <v>335</v>
      </c>
      <c r="D9" s="336"/>
      <c r="E9" s="44" t="s">
        <v>336</v>
      </c>
      <c r="F9" s="327"/>
      <c r="G9" s="328"/>
      <c r="H9" s="287">
        <v>48</v>
      </c>
      <c r="I9" s="47"/>
      <c r="J9" s="51"/>
      <c r="K9" s="51"/>
      <c r="L9" s="287"/>
      <c r="M9" s="288"/>
      <c r="N9" s="47"/>
      <c r="O9" s="287"/>
      <c r="P9" s="48"/>
      <c r="Q9" s="47"/>
      <c r="R9" s="48"/>
      <c r="S9" s="148">
        <f t="shared" si="0"/>
        <v>48</v>
      </c>
      <c r="T9" s="53">
        <v>16133</v>
      </c>
      <c r="W9" s="120"/>
    </row>
    <row r="10" spans="1:23" ht="15.75" customHeight="1" thickBot="1" x14ac:dyDescent="0.3">
      <c r="A10" s="308" t="s">
        <v>414</v>
      </c>
      <c r="B10" s="150">
        <v>271</v>
      </c>
      <c r="C10" s="327" t="s">
        <v>323</v>
      </c>
      <c r="D10" s="314"/>
      <c r="E10" s="44" t="s">
        <v>11</v>
      </c>
      <c r="F10" s="327"/>
      <c r="G10" s="328"/>
      <c r="H10" s="287"/>
      <c r="I10" s="47">
        <v>6600</v>
      </c>
      <c r="J10" s="51">
        <v>240</v>
      </c>
      <c r="K10" s="51"/>
      <c r="L10" s="313"/>
      <c r="M10" s="314"/>
      <c r="N10" s="47">
        <v>480</v>
      </c>
      <c r="O10" s="287">
        <v>600</v>
      </c>
      <c r="P10" s="48">
        <v>3000</v>
      </c>
      <c r="Q10" s="47">
        <v>2400</v>
      </c>
      <c r="R10" s="48">
        <v>132</v>
      </c>
      <c r="S10" s="148">
        <f t="shared" si="0"/>
        <v>13452</v>
      </c>
      <c r="T10" s="53">
        <v>4191925</v>
      </c>
    </row>
    <row r="11" spans="1:23" ht="15.75" customHeight="1" thickBot="1" x14ac:dyDescent="0.3">
      <c r="A11" s="308" t="s">
        <v>414</v>
      </c>
      <c r="B11" s="150">
        <v>272</v>
      </c>
      <c r="C11" s="327" t="s">
        <v>290</v>
      </c>
      <c r="D11" s="314"/>
      <c r="E11" s="44" t="s">
        <v>291</v>
      </c>
      <c r="F11" s="327"/>
      <c r="G11" s="328"/>
      <c r="H11" s="287"/>
      <c r="I11" s="47"/>
      <c r="J11" s="51"/>
      <c r="K11" s="51"/>
      <c r="L11" s="313"/>
      <c r="M11" s="314"/>
      <c r="N11" s="47"/>
      <c r="O11" s="287"/>
      <c r="P11" s="48">
        <v>240</v>
      </c>
      <c r="Q11" s="47"/>
      <c r="R11" s="48"/>
      <c r="S11" s="148">
        <f t="shared" si="0"/>
        <v>240</v>
      </c>
      <c r="T11" s="53">
        <v>77797</v>
      </c>
    </row>
    <row r="12" spans="1:23" ht="15.75" customHeight="1" thickBot="1" x14ac:dyDescent="0.3">
      <c r="A12" s="309" t="s">
        <v>415</v>
      </c>
      <c r="B12" s="150">
        <v>273</v>
      </c>
      <c r="C12" s="325" t="s">
        <v>416</v>
      </c>
      <c r="D12" s="326"/>
      <c r="E12" s="55" t="s">
        <v>345</v>
      </c>
      <c r="F12" s="327"/>
      <c r="G12" s="328"/>
      <c r="H12" s="287"/>
      <c r="I12" s="47"/>
      <c r="J12" s="51"/>
      <c r="K12" s="51"/>
      <c r="L12" s="313"/>
      <c r="M12" s="314"/>
      <c r="N12" s="47"/>
      <c r="O12" s="287"/>
      <c r="P12" s="48">
        <v>240</v>
      </c>
      <c r="Q12" s="47"/>
      <c r="R12" s="48"/>
      <c r="S12" s="148">
        <f t="shared" si="0"/>
        <v>240</v>
      </c>
      <c r="T12" s="53">
        <v>77797</v>
      </c>
    </row>
    <row r="13" spans="1:23" ht="15.75" customHeight="1" thickBot="1" x14ac:dyDescent="0.3">
      <c r="A13" s="309" t="s">
        <v>415</v>
      </c>
      <c r="B13" s="150">
        <v>274</v>
      </c>
      <c r="C13" s="325" t="s">
        <v>413</v>
      </c>
      <c r="D13" s="326"/>
      <c r="E13" s="44" t="s">
        <v>19</v>
      </c>
      <c r="F13" s="327">
        <v>1008</v>
      </c>
      <c r="G13" s="328"/>
      <c r="H13" s="287">
        <v>720</v>
      </c>
      <c r="I13" s="47"/>
      <c r="J13" s="51">
        <v>240</v>
      </c>
      <c r="K13" s="51"/>
      <c r="L13" s="313"/>
      <c r="M13" s="314"/>
      <c r="N13" s="47">
        <v>600</v>
      </c>
      <c r="O13" s="287">
        <v>600</v>
      </c>
      <c r="P13" s="48">
        <v>2400</v>
      </c>
      <c r="Q13" s="47"/>
      <c r="R13" s="48"/>
      <c r="S13" s="148">
        <f t="shared" si="0"/>
        <v>5568</v>
      </c>
      <c r="T13" s="53">
        <v>1748733</v>
      </c>
    </row>
    <row r="14" spans="1:23" ht="15" customHeight="1" thickBot="1" x14ac:dyDescent="0.3">
      <c r="A14" s="309" t="s">
        <v>417</v>
      </c>
      <c r="B14" s="150">
        <v>275</v>
      </c>
      <c r="C14" s="327" t="s">
        <v>331</v>
      </c>
      <c r="D14" s="314"/>
      <c r="E14" s="44" t="s">
        <v>20</v>
      </c>
      <c r="F14" s="327"/>
      <c r="G14" s="328"/>
      <c r="H14" s="287"/>
      <c r="I14" s="47"/>
      <c r="J14" s="51"/>
      <c r="K14" s="51"/>
      <c r="L14" s="313"/>
      <c r="M14" s="314"/>
      <c r="N14" s="291">
        <v>1440</v>
      </c>
      <c r="O14" s="287">
        <v>960</v>
      </c>
      <c r="P14" s="48">
        <v>3000</v>
      </c>
      <c r="Q14" s="291"/>
      <c r="R14" s="48"/>
      <c r="S14" s="148">
        <f t="shared" si="0"/>
        <v>5400</v>
      </c>
      <c r="T14" s="53">
        <v>1674204</v>
      </c>
    </row>
    <row r="15" spans="1:23" ht="15.75" thickBot="1" x14ac:dyDescent="0.3">
      <c r="A15" s="309" t="s">
        <v>417</v>
      </c>
      <c r="B15" s="150">
        <v>276</v>
      </c>
      <c r="C15" s="325" t="s">
        <v>327</v>
      </c>
      <c r="D15" s="326"/>
      <c r="E15" s="44" t="s">
        <v>412</v>
      </c>
      <c r="F15" s="327"/>
      <c r="G15" s="328"/>
      <c r="H15" s="287"/>
      <c r="I15" s="47">
        <v>150</v>
      </c>
      <c r="J15" s="51"/>
      <c r="K15" s="51"/>
      <c r="L15" s="313"/>
      <c r="M15" s="314"/>
      <c r="N15" s="291"/>
      <c r="O15" s="287"/>
      <c r="P15" s="48">
        <v>480</v>
      </c>
      <c r="Q15" s="291"/>
      <c r="R15" s="54"/>
      <c r="S15" s="148">
        <f t="shared" si="0"/>
        <v>630</v>
      </c>
      <c r="T15" s="53">
        <v>201824</v>
      </c>
    </row>
    <row r="16" spans="1:23" ht="15.75" customHeight="1" thickBot="1" x14ac:dyDescent="0.3">
      <c r="A16" s="310" t="s">
        <v>418</v>
      </c>
      <c r="B16" s="150">
        <v>277</v>
      </c>
      <c r="C16" s="327" t="s">
        <v>419</v>
      </c>
      <c r="D16" s="314"/>
      <c r="E16" s="44" t="s">
        <v>314</v>
      </c>
      <c r="F16" s="327"/>
      <c r="G16" s="328"/>
      <c r="H16" s="287">
        <v>48</v>
      </c>
      <c r="I16" s="47"/>
      <c r="J16" s="51"/>
      <c r="K16" s="51"/>
      <c r="L16" s="313"/>
      <c r="M16" s="314"/>
      <c r="N16" s="291"/>
      <c r="O16" s="287"/>
      <c r="P16" s="48"/>
      <c r="Q16" s="291"/>
      <c r="R16" s="54"/>
      <c r="S16" s="148">
        <f t="shared" si="0"/>
        <v>48</v>
      </c>
      <c r="T16" s="53">
        <v>16133</v>
      </c>
    </row>
    <row r="17" spans="1:22" s="240" customFormat="1" ht="15.75" customHeight="1" thickBot="1" x14ac:dyDescent="0.3">
      <c r="A17" s="311" t="s">
        <v>418</v>
      </c>
      <c r="B17" s="150">
        <v>278</v>
      </c>
      <c r="C17" s="418" t="s">
        <v>293</v>
      </c>
      <c r="D17" s="419"/>
      <c r="E17" s="232" t="s">
        <v>294</v>
      </c>
      <c r="F17" s="420"/>
      <c r="G17" s="421"/>
      <c r="H17" s="306">
        <v>240</v>
      </c>
      <c r="I17" s="234"/>
      <c r="J17" s="235"/>
      <c r="K17" s="235"/>
      <c r="L17" s="422"/>
      <c r="M17" s="423"/>
      <c r="N17" s="305"/>
      <c r="O17" s="306"/>
      <c r="P17" s="236"/>
      <c r="Q17" s="305"/>
      <c r="R17" s="237"/>
      <c r="S17" s="148">
        <f t="shared" si="0"/>
        <v>240</v>
      </c>
      <c r="T17" s="239">
        <v>80665</v>
      </c>
      <c r="V17" s="1"/>
    </row>
    <row r="18" spans="1:22" ht="15.75" customHeight="1" thickBot="1" x14ac:dyDescent="0.3">
      <c r="A18" s="311" t="s">
        <v>420</v>
      </c>
      <c r="B18" s="150">
        <v>279</v>
      </c>
      <c r="C18" s="327" t="s">
        <v>323</v>
      </c>
      <c r="D18" s="314"/>
      <c r="E18" s="55" t="s">
        <v>11</v>
      </c>
      <c r="F18" s="327"/>
      <c r="G18" s="328"/>
      <c r="H18" s="287"/>
      <c r="I18" s="47">
        <v>9300</v>
      </c>
      <c r="J18" s="51">
        <v>96</v>
      </c>
      <c r="K18" s="51"/>
      <c r="L18" s="313"/>
      <c r="M18" s="314"/>
      <c r="N18" s="291">
        <v>480</v>
      </c>
      <c r="O18" s="287">
        <v>120</v>
      </c>
      <c r="P18" s="48">
        <v>1800</v>
      </c>
      <c r="Q18" s="291">
        <v>1800</v>
      </c>
      <c r="R18" s="54"/>
      <c r="S18" s="148">
        <f t="shared" si="0"/>
        <v>13596</v>
      </c>
      <c r="T18" s="53">
        <v>4153613</v>
      </c>
    </row>
    <row r="19" spans="1:22" ht="15.75" customHeight="1" thickBot="1" x14ac:dyDescent="0.3">
      <c r="A19" s="2" t="s">
        <v>421</v>
      </c>
      <c r="B19" s="150">
        <v>280</v>
      </c>
      <c r="C19" s="327" t="s">
        <v>319</v>
      </c>
      <c r="D19" s="314"/>
      <c r="E19" s="44" t="s">
        <v>10</v>
      </c>
      <c r="F19" s="327"/>
      <c r="G19" s="328"/>
      <c r="H19" s="287"/>
      <c r="I19" s="291"/>
      <c r="J19" s="307"/>
      <c r="K19" s="51"/>
      <c r="L19" s="313"/>
      <c r="M19" s="314"/>
      <c r="N19" s="291">
        <v>1200</v>
      </c>
      <c r="O19" s="287">
        <v>480</v>
      </c>
      <c r="P19" s="48">
        <v>2400</v>
      </c>
      <c r="Q19" s="291"/>
      <c r="R19" s="54"/>
      <c r="S19" s="148">
        <f t="shared" si="0"/>
        <v>4080</v>
      </c>
      <c r="T19" s="53">
        <v>1265151</v>
      </c>
    </row>
    <row r="20" spans="1:22" ht="15.75" customHeight="1" thickBot="1" x14ac:dyDescent="0.3">
      <c r="A20" s="311" t="s">
        <v>421</v>
      </c>
      <c r="B20" s="150">
        <v>281</v>
      </c>
      <c r="C20" s="327" t="s">
        <v>320</v>
      </c>
      <c r="D20" s="314"/>
      <c r="E20" s="44" t="s">
        <v>10</v>
      </c>
      <c r="F20" s="327"/>
      <c r="G20" s="328"/>
      <c r="H20" s="287"/>
      <c r="I20" s="47"/>
      <c r="J20" s="51"/>
      <c r="K20" s="51"/>
      <c r="L20" s="313"/>
      <c r="M20" s="314"/>
      <c r="N20" s="291">
        <v>480</v>
      </c>
      <c r="O20" s="287">
        <v>480</v>
      </c>
      <c r="P20" s="48">
        <v>1440</v>
      </c>
      <c r="Q20" s="291"/>
      <c r="R20" s="54"/>
      <c r="S20" s="148">
        <f t="shared" si="0"/>
        <v>2400</v>
      </c>
      <c r="T20" s="53">
        <v>744998</v>
      </c>
    </row>
    <row r="21" spans="1:22" ht="15.75" customHeight="1" thickBot="1" x14ac:dyDescent="0.3">
      <c r="A21" s="312" t="s">
        <v>422</v>
      </c>
      <c r="B21" s="150">
        <v>282</v>
      </c>
      <c r="C21" s="327" t="s">
        <v>423</v>
      </c>
      <c r="D21" s="314"/>
      <c r="E21" s="44" t="s">
        <v>318</v>
      </c>
      <c r="F21" s="327"/>
      <c r="G21" s="328"/>
      <c r="H21" s="287">
        <v>120</v>
      </c>
      <c r="I21" s="47"/>
      <c r="J21" s="51"/>
      <c r="K21" s="51"/>
      <c r="L21" s="313"/>
      <c r="M21" s="314"/>
      <c r="N21" s="291"/>
      <c r="O21" s="287"/>
      <c r="P21" s="48"/>
      <c r="Q21" s="291"/>
      <c r="R21" s="54"/>
      <c r="S21" s="148">
        <f t="shared" si="0"/>
        <v>120</v>
      </c>
      <c r="T21" s="53">
        <v>40333</v>
      </c>
    </row>
    <row r="22" spans="1:22" ht="15.75" customHeight="1" thickBot="1" x14ac:dyDescent="0.3">
      <c r="A22" s="312" t="s">
        <v>422</v>
      </c>
      <c r="B22" s="150">
        <v>283</v>
      </c>
      <c r="C22" s="325" t="s">
        <v>424</v>
      </c>
      <c r="D22" s="326"/>
      <c r="E22" s="44" t="s">
        <v>425</v>
      </c>
      <c r="F22" s="327"/>
      <c r="G22" s="328"/>
      <c r="H22" s="287">
        <v>24</v>
      </c>
      <c r="I22" s="47"/>
      <c r="J22" s="51"/>
      <c r="K22" s="51"/>
      <c r="L22" s="313"/>
      <c r="M22" s="314"/>
      <c r="N22" s="291"/>
      <c r="O22" s="287"/>
      <c r="P22" s="48">
        <v>48</v>
      </c>
      <c r="Q22" s="291"/>
      <c r="R22" s="54"/>
      <c r="S22" s="148">
        <f t="shared" si="0"/>
        <v>72</v>
      </c>
      <c r="T22" s="53">
        <v>23626</v>
      </c>
    </row>
    <row r="23" spans="1:22" ht="15.75" customHeight="1" thickBot="1" x14ac:dyDescent="0.3">
      <c r="A23" s="291"/>
      <c r="B23" s="150">
        <v>284</v>
      </c>
      <c r="C23" s="325"/>
      <c r="D23" s="326"/>
      <c r="E23" s="44"/>
      <c r="F23" s="327"/>
      <c r="G23" s="328"/>
      <c r="H23" s="287"/>
      <c r="I23" s="47"/>
      <c r="J23" s="51"/>
      <c r="K23" s="51"/>
      <c r="L23" s="313"/>
      <c r="M23" s="314"/>
      <c r="N23" s="291"/>
      <c r="O23" s="287"/>
      <c r="P23" s="48"/>
      <c r="Q23" s="291"/>
      <c r="R23" s="54"/>
      <c r="S23" s="148">
        <f t="shared" si="0"/>
        <v>0</v>
      </c>
      <c r="T23" s="53"/>
    </row>
    <row r="24" spans="1:22" ht="15.75" customHeight="1" thickBot="1" x14ac:dyDescent="0.3">
      <c r="A24" s="291"/>
      <c r="B24" s="150">
        <v>285</v>
      </c>
      <c r="C24" s="325"/>
      <c r="D24" s="326"/>
      <c r="E24" s="44"/>
      <c r="F24" s="327"/>
      <c r="G24" s="328"/>
      <c r="H24" s="287"/>
      <c r="I24" s="47"/>
      <c r="J24" s="51"/>
      <c r="K24" s="51"/>
      <c r="L24" s="313"/>
      <c r="M24" s="314"/>
      <c r="N24" s="291"/>
      <c r="O24" s="287"/>
      <c r="P24" s="48"/>
      <c r="Q24" s="291"/>
      <c r="R24" s="54"/>
      <c r="S24" s="148">
        <f t="shared" si="0"/>
        <v>0</v>
      </c>
      <c r="T24" s="53"/>
    </row>
    <row r="25" spans="1:22" ht="15.75" customHeight="1" thickBot="1" x14ac:dyDescent="0.3">
      <c r="A25" s="291"/>
      <c r="B25" s="150">
        <v>286</v>
      </c>
      <c r="C25" s="325"/>
      <c r="D25" s="326"/>
      <c r="E25" s="44"/>
      <c r="F25" s="327"/>
      <c r="G25" s="328"/>
      <c r="H25" s="287"/>
      <c r="I25" s="47"/>
      <c r="J25" s="51"/>
      <c r="K25" s="51"/>
      <c r="L25" s="313"/>
      <c r="M25" s="314"/>
      <c r="N25" s="291"/>
      <c r="O25" s="287"/>
      <c r="P25" s="48"/>
      <c r="Q25" s="291"/>
      <c r="R25" s="54"/>
      <c r="S25" s="148">
        <f t="shared" si="0"/>
        <v>0</v>
      </c>
      <c r="T25" s="53"/>
    </row>
    <row r="26" spans="1:22" ht="15.75" customHeight="1" thickBot="1" x14ac:dyDescent="0.3">
      <c r="A26" s="291"/>
      <c r="B26" s="150">
        <v>287</v>
      </c>
      <c r="C26" s="325"/>
      <c r="D26" s="326"/>
      <c r="E26" s="44"/>
      <c r="F26" s="327"/>
      <c r="G26" s="328"/>
      <c r="H26" s="287"/>
      <c r="I26" s="47"/>
      <c r="J26" s="51"/>
      <c r="K26" s="51"/>
      <c r="L26" s="313"/>
      <c r="M26" s="314"/>
      <c r="N26" s="291"/>
      <c r="O26" s="287"/>
      <c r="P26" s="48"/>
      <c r="Q26" s="291"/>
      <c r="R26" s="54"/>
      <c r="S26" s="148">
        <f t="shared" si="0"/>
        <v>0</v>
      </c>
      <c r="T26" s="53"/>
    </row>
    <row r="27" spans="1:22" ht="15.75" customHeight="1" thickBot="1" x14ac:dyDescent="0.3">
      <c r="A27" s="291"/>
      <c r="B27" s="150">
        <v>288</v>
      </c>
      <c r="C27" s="325"/>
      <c r="D27" s="326"/>
      <c r="E27" s="44"/>
      <c r="F27" s="327"/>
      <c r="G27" s="328"/>
      <c r="H27" s="287"/>
      <c r="I27" s="47"/>
      <c r="J27" s="51"/>
      <c r="K27" s="51"/>
      <c r="L27" s="313"/>
      <c r="M27" s="314"/>
      <c r="N27" s="291"/>
      <c r="O27" s="287"/>
      <c r="P27" s="48"/>
      <c r="Q27" s="291"/>
      <c r="R27" s="54"/>
      <c r="S27" s="148">
        <f t="shared" si="0"/>
        <v>0</v>
      </c>
      <c r="T27" s="53"/>
    </row>
    <row r="28" spans="1:22" ht="15.75" customHeight="1" thickBot="1" x14ac:dyDescent="0.3">
      <c r="A28" s="291"/>
      <c r="B28" s="150">
        <v>289</v>
      </c>
      <c r="C28" s="325"/>
      <c r="D28" s="326"/>
      <c r="E28" s="44"/>
      <c r="F28" s="327"/>
      <c r="G28" s="328"/>
      <c r="H28" s="287"/>
      <c r="I28" s="47"/>
      <c r="J28" s="51"/>
      <c r="K28" s="51"/>
      <c r="L28" s="313"/>
      <c r="M28" s="314"/>
      <c r="N28" s="291"/>
      <c r="O28" s="287"/>
      <c r="P28" s="48"/>
      <c r="Q28" s="291"/>
      <c r="R28" s="54"/>
      <c r="S28" s="148">
        <f t="shared" si="0"/>
        <v>0</v>
      </c>
      <c r="T28" s="53"/>
    </row>
    <row r="29" spans="1:22" ht="15.75" customHeight="1" thickBot="1" x14ac:dyDescent="0.3">
      <c r="A29" s="291"/>
      <c r="B29" s="150">
        <v>290</v>
      </c>
      <c r="C29" s="325"/>
      <c r="D29" s="326"/>
      <c r="E29" s="44"/>
      <c r="F29" s="327"/>
      <c r="G29" s="328"/>
      <c r="H29" s="287"/>
      <c r="I29" s="47"/>
      <c r="J29" s="51"/>
      <c r="K29" s="51"/>
      <c r="L29" s="313"/>
      <c r="M29" s="314"/>
      <c r="N29" s="291"/>
      <c r="O29" s="287"/>
      <c r="P29" s="48"/>
      <c r="Q29" s="291"/>
      <c r="R29" s="54"/>
      <c r="S29" s="148">
        <f t="shared" si="0"/>
        <v>0</v>
      </c>
      <c r="T29" s="53"/>
    </row>
    <row r="30" spans="1:22" ht="15.75" customHeight="1" thickBot="1" x14ac:dyDescent="0.3">
      <c r="A30" s="291"/>
      <c r="B30" s="150">
        <v>291</v>
      </c>
      <c r="C30" s="325"/>
      <c r="D30" s="326"/>
      <c r="E30" s="44"/>
      <c r="F30" s="327"/>
      <c r="G30" s="328"/>
      <c r="H30" s="287"/>
      <c r="I30" s="47"/>
      <c r="J30" s="51"/>
      <c r="K30" s="51"/>
      <c r="L30" s="313"/>
      <c r="M30" s="314"/>
      <c r="N30" s="291"/>
      <c r="O30" s="287"/>
      <c r="P30" s="48"/>
      <c r="Q30" s="291"/>
      <c r="R30" s="54"/>
      <c r="S30" s="148">
        <f t="shared" si="0"/>
        <v>0</v>
      </c>
      <c r="T30" s="53"/>
    </row>
    <row r="31" spans="1:22" ht="15.75" customHeight="1" thickBot="1" x14ac:dyDescent="0.3">
      <c r="A31" s="291"/>
      <c r="B31" s="150">
        <v>292</v>
      </c>
      <c r="C31" s="325"/>
      <c r="D31" s="326"/>
      <c r="E31" s="44"/>
      <c r="F31" s="327"/>
      <c r="G31" s="328"/>
      <c r="H31" s="287"/>
      <c r="I31" s="47"/>
      <c r="J31" s="51"/>
      <c r="K31" s="51"/>
      <c r="L31" s="313"/>
      <c r="M31" s="314"/>
      <c r="N31" s="291"/>
      <c r="O31" s="287"/>
      <c r="P31" s="48"/>
      <c r="Q31" s="291"/>
      <c r="R31" s="54"/>
      <c r="S31" s="148">
        <f t="shared" si="0"/>
        <v>0</v>
      </c>
      <c r="T31" s="53"/>
    </row>
    <row r="32" spans="1:22" ht="15.75" customHeight="1" thickBot="1" x14ac:dyDescent="0.3">
      <c r="A32" s="291"/>
      <c r="B32" s="150">
        <v>293</v>
      </c>
      <c r="C32" s="325"/>
      <c r="D32" s="326"/>
      <c r="E32" s="44"/>
      <c r="F32" s="327"/>
      <c r="G32" s="328"/>
      <c r="H32" s="287"/>
      <c r="I32" s="47"/>
      <c r="J32" s="51"/>
      <c r="K32" s="51"/>
      <c r="L32" s="313"/>
      <c r="M32" s="314"/>
      <c r="N32" s="291"/>
      <c r="O32" s="287"/>
      <c r="P32" s="48"/>
      <c r="Q32" s="291"/>
      <c r="R32" s="54"/>
      <c r="S32" s="148">
        <f t="shared" si="0"/>
        <v>0</v>
      </c>
      <c r="T32" s="53"/>
    </row>
    <row r="33" spans="1:20" ht="15.75" customHeight="1" thickBot="1" x14ac:dyDescent="0.3">
      <c r="A33" s="291"/>
      <c r="B33" s="150">
        <v>294</v>
      </c>
      <c r="C33" s="325"/>
      <c r="D33" s="326"/>
      <c r="E33" s="44"/>
      <c r="F33" s="327"/>
      <c r="G33" s="328"/>
      <c r="H33" s="287"/>
      <c r="I33" s="47"/>
      <c r="J33" s="51"/>
      <c r="K33" s="51"/>
      <c r="L33" s="313"/>
      <c r="M33" s="314"/>
      <c r="N33" s="291"/>
      <c r="O33" s="287"/>
      <c r="P33" s="48"/>
      <c r="Q33" s="291"/>
      <c r="R33" s="54"/>
      <c r="S33" s="148">
        <f t="shared" si="0"/>
        <v>0</v>
      </c>
      <c r="T33" s="53"/>
    </row>
    <row r="34" spans="1:20" ht="15.75" customHeight="1" thickBot="1" x14ac:dyDescent="0.3">
      <c r="A34" s="291"/>
      <c r="B34" s="150">
        <v>295</v>
      </c>
      <c r="C34" s="327"/>
      <c r="D34" s="314"/>
      <c r="E34" s="44"/>
      <c r="F34" s="327"/>
      <c r="G34" s="328"/>
      <c r="H34" s="287"/>
      <c r="I34" s="47"/>
      <c r="J34" s="51"/>
      <c r="K34" s="51"/>
      <c r="L34" s="313"/>
      <c r="M34" s="314"/>
      <c r="N34" s="291"/>
      <c r="O34" s="287"/>
      <c r="P34" s="48"/>
      <c r="Q34" s="291"/>
      <c r="R34" s="54"/>
      <c r="S34" s="148">
        <f t="shared" si="0"/>
        <v>0</v>
      </c>
      <c r="T34" s="53"/>
    </row>
    <row r="35" spans="1:20" ht="15.75" customHeight="1" thickBot="1" x14ac:dyDescent="0.3">
      <c r="A35" s="291"/>
      <c r="B35" s="150">
        <v>296</v>
      </c>
      <c r="C35" s="327"/>
      <c r="D35" s="314"/>
      <c r="E35" s="44"/>
      <c r="F35" s="327"/>
      <c r="G35" s="328"/>
      <c r="H35" s="287"/>
      <c r="I35" s="47"/>
      <c r="J35" s="51"/>
      <c r="K35" s="51"/>
      <c r="L35" s="313"/>
      <c r="M35" s="314"/>
      <c r="N35" s="291"/>
      <c r="O35" s="287"/>
      <c r="P35" s="48"/>
      <c r="Q35" s="291"/>
      <c r="R35" s="54"/>
      <c r="S35" s="148">
        <f t="shared" si="0"/>
        <v>0</v>
      </c>
      <c r="T35" s="53"/>
    </row>
    <row r="36" spans="1:20" ht="15.75" customHeight="1" thickBot="1" x14ac:dyDescent="0.3">
      <c r="A36" s="291"/>
      <c r="B36" s="150">
        <v>297</v>
      </c>
      <c r="C36" s="327"/>
      <c r="D36" s="314"/>
      <c r="E36" s="44"/>
      <c r="F36" s="327"/>
      <c r="G36" s="328"/>
      <c r="H36" s="287"/>
      <c r="I36" s="47"/>
      <c r="J36" s="51"/>
      <c r="K36" s="51"/>
      <c r="L36" s="313"/>
      <c r="M36" s="314"/>
      <c r="N36" s="291"/>
      <c r="O36" s="287"/>
      <c r="P36" s="48"/>
      <c r="Q36" s="291"/>
      <c r="R36" s="54"/>
      <c r="S36" s="148">
        <f t="shared" si="0"/>
        <v>0</v>
      </c>
      <c r="T36" s="53"/>
    </row>
    <row r="37" spans="1:20" ht="15.75" customHeight="1" thickBot="1" x14ac:dyDescent="0.3">
      <c r="A37" s="291"/>
      <c r="B37" s="150">
        <v>298</v>
      </c>
      <c r="C37" s="327"/>
      <c r="D37" s="314"/>
      <c r="E37" s="44"/>
      <c r="F37" s="327"/>
      <c r="G37" s="328"/>
      <c r="H37" s="287"/>
      <c r="I37" s="47"/>
      <c r="J37" s="51"/>
      <c r="K37" s="51"/>
      <c r="L37" s="313"/>
      <c r="M37" s="314"/>
      <c r="N37" s="291"/>
      <c r="O37" s="287"/>
      <c r="P37" s="287"/>
      <c r="Q37" s="291"/>
      <c r="R37" s="51"/>
      <c r="S37" s="148">
        <f>SUM(F37:R37)</f>
        <v>0</v>
      </c>
      <c r="T37" s="53"/>
    </row>
    <row r="38" spans="1:20" ht="15.75" customHeight="1" thickBot="1" x14ac:dyDescent="0.3">
      <c r="A38" s="291"/>
      <c r="B38" s="150">
        <v>299</v>
      </c>
      <c r="C38" s="327"/>
      <c r="D38" s="314"/>
      <c r="E38" s="44"/>
      <c r="F38" s="327"/>
      <c r="G38" s="328"/>
      <c r="H38" s="287"/>
      <c r="I38" s="47"/>
      <c r="J38" s="51"/>
      <c r="K38" s="51"/>
      <c r="L38" s="313"/>
      <c r="M38" s="314"/>
      <c r="N38" s="291"/>
      <c r="O38" s="287"/>
      <c r="P38" s="48"/>
      <c r="Q38" s="291"/>
      <c r="R38" s="54"/>
      <c r="S38" s="148">
        <f t="shared" si="0"/>
        <v>0</v>
      </c>
      <c r="T38" s="53"/>
    </row>
    <row r="39" spans="1:20" ht="15.75" customHeight="1" thickBot="1" x14ac:dyDescent="0.3">
      <c r="A39" s="291"/>
      <c r="B39" s="150">
        <v>300</v>
      </c>
      <c r="C39" s="327"/>
      <c r="D39" s="314"/>
      <c r="E39" s="44"/>
      <c r="F39" s="327"/>
      <c r="G39" s="328"/>
      <c r="H39" s="287"/>
      <c r="I39" s="47"/>
      <c r="J39" s="51"/>
      <c r="K39" s="51"/>
      <c r="L39" s="313"/>
      <c r="M39" s="314"/>
      <c r="N39" s="291"/>
      <c r="O39" s="287"/>
      <c r="P39" s="48"/>
      <c r="Q39" s="291"/>
      <c r="R39" s="54"/>
      <c r="S39" s="148">
        <f t="shared" si="0"/>
        <v>0</v>
      </c>
      <c r="T39" s="53"/>
    </row>
    <row r="40" spans="1:20" ht="15.75" customHeight="1" thickBot="1" x14ac:dyDescent="0.3">
      <c r="A40" s="291"/>
      <c r="B40" s="150">
        <v>301</v>
      </c>
      <c r="C40" s="327"/>
      <c r="D40" s="314"/>
      <c r="E40" s="44"/>
      <c r="F40" s="327"/>
      <c r="G40" s="328"/>
      <c r="H40" s="287"/>
      <c r="I40" s="47"/>
      <c r="J40" s="51"/>
      <c r="K40" s="51"/>
      <c r="L40" s="313"/>
      <c r="M40" s="314"/>
      <c r="N40" s="291"/>
      <c r="O40" s="287"/>
      <c r="P40" s="48"/>
      <c r="Q40" s="291"/>
      <c r="R40" s="54"/>
      <c r="S40" s="148">
        <f t="shared" si="0"/>
        <v>0</v>
      </c>
      <c r="T40" s="53"/>
    </row>
    <row r="41" spans="1:20" ht="15.75" customHeight="1" thickBot="1" x14ac:dyDescent="0.3">
      <c r="A41" s="291"/>
      <c r="B41" s="150">
        <v>302</v>
      </c>
      <c r="C41" s="327"/>
      <c r="D41" s="314"/>
      <c r="E41" s="44"/>
      <c r="F41" s="327"/>
      <c r="G41" s="328"/>
      <c r="H41" s="287"/>
      <c r="I41" s="47"/>
      <c r="J41" s="51"/>
      <c r="K41" s="51"/>
      <c r="L41" s="313"/>
      <c r="M41" s="314"/>
      <c r="N41" s="291"/>
      <c r="O41" s="287"/>
      <c r="P41" s="48"/>
      <c r="Q41" s="291"/>
      <c r="R41" s="54"/>
      <c r="S41" s="148">
        <f t="shared" si="0"/>
        <v>0</v>
      </c>
      <c r="T41" s="53"/>
    </row>
    <row r="42" spans="1:20" ht="15.75" thickBot="1" x14ac:dyDescent="0.3">
      <c r="A42" s="291"/>
      <c r="B42" s="150">
        <v>303</v>
      </c>
      <c r="C42" s="327"/>
      <c r="D42" s="314"/>
      <c r="E42" s="44"/>
      <c r="F42" s="327"/>
      <c r="G42" s="328"/>
      <c r="H42" s="287"/>
      <c r="I42" s="47"/>
      <c r="J42" s="51"/>
      <c r="K42" s="51"/>
      <c r="L42" s="313"/>
      <c r="M42" s="314"/>
      <c r="N42" s="291"/>
      <c r="O42" s="287"/>
      <c r="P42" s="48"/>
      <c r="Q42" s="291"/>
      <c r="R42" s="54"/>
      <c r="S42" s="148">
        <f t="shared" si="0"/>
        <v>0</v>
      </c>
      <c r="T42" s="53"/>
    </row>
    <row r="43" spans="1:20" ht="15.75" customHeight="1" thickBot="1" x14ac:dyDescent="0.3">
      <c r="A43" s="291"/>
      <c r="B43" s="150">
        <v>304</v>
      </c>
      <c r="C43" s="327"/>
      <c r="D43" s="314"/>
      <c r="E43" s="44"/>
      <c r="F43" s="327"/>
      <c r="G43" s="328"/>
      <c r="H43" s="287"/>
      <c r="I43" s="47"/>
      <c r="J43" s="51"/>
      <c r="K43" s="51"/>
      <c r="L43" s="313"/>
      <c r="M43" s="314"/>
      <c r="N43" s="291"/>
      <c r="O43" s="287"/>
      <c r="P43" s="48"/>
      <c r="Q43" s="291"/>
      <c r="R43" s="54"/>
      <c r="S43" s="148">
        <f t="shared" si="0"/>
        <v>0</v>
      </c>
      <c r="T43" s="53"/>
    </row>
    <row r="44" spans="1:20" ht="15.75" customHeight="1" thickBot="1" x14ac:dyDescent="0.3">
      <c r="A44" s="291"/>
      <c r="B44" s="150">
        <v>305</v>
      </c>
      <c r="C44" s="327"/>
      <c r="D44" s="314"/>
      <c r="E44" s="44"/>
      <c r="F44" s="327"/>
      <c r="G44" s="328"/>
      <c r="H44" s="287"/>
      <c r="I44" s="47"/>
      <c r="J44" s="51"/>
      <c r="K44" s="51"/>
      <c r="L44" s="313"/>
      <c r="M44" s="314"/>
      <c r="N44" s="291"/>
      <c r="O44" s="287"/>
      <c r="P44" s="48"/>
      <c r="Q44" s="291"/>
      <c r="R44" s="54"/>
      <c r="S44" s="148">
        <f t="shared" si="0"/>
        <v>0</v>
      </c>
      <c r="T44" s="53"/>
    </row>
    <row r="45" spans="1:20" ht="15.75" customHeight="1" thickBot="1" x14ac:dyDescent="0.3">
      <c r="A45" s="291"/>
      <c r="B45" s="150">
        <v>306</v>
      </c>
      <c r="C45" s="327"/>
      <c r="D45" s="314"/>
      <c r="E45" s="44"/>
      <c r="F45" s="327"/>
      <c r="G45" s="328"/>
      <c r="H45" s="287"/>
      <c r="I45" s="47"/>
      <c r="J45" s="51"/>
      <c r="K45" s="51"/>
      <c r="L45" s="313"/>
      <c r="M45" s="314"/>
      <c r="N45" s="291"/>
      <c r="O45" s="287"/>
      <c r="P45" s="48"/>
      <c r="Q45" s="291"/>
      <c r="R45" s="54"/>
      <c r="S45" s="148">
        <f t="shared" si="0"/>
        <v>0</v>
      </c>
      <c r="T45" s="53"/>
    </row>
    <row r="46" spans="1:20" ht="15.75" customHeight="1" thickBot="1" x14ac:dyDescent="0.3">
      <c r="A46" s="291"/>
      <c r="B46" s="150">
        <v>307</v>
      </c>
      <c r="C46" s="327"/>
      <c r="D46" s="314"/>
      <c r="E46" s="44"/>
      <c r="F46" s="327"/>
      <c r="G46" s="328"/>
      <c r="H46" s="287"/>
      <c r="I46" s="47"/>
      <c r="J46" s="51"/>
      <c r="K46" s="51"/>
      <c r="L46" s="313"/>
      <c r="M46" s="314"/>
      <c r="N46" s="291"/>
      <c r="O46" s="287"/>
      <c r="P46" s="48"/>
      <c r="Q46" s="291"/>
      <c r="R46" s="54"/>
      <c r="S46" s="148">
        <f t="shared" si="0"/>
        <v>0</v>
      </c>
      <c r="T46" s="53"/>
    </row>
    <row r="47" spans="1:20" ht="15.75" customHeight="1" thickBot="1" x14ac:dyDescent="0.3">
      <c r="A47" s="291"/>
      <c r="B47" s="150">
        <v>308</v>
      </c>
      <c r="C47" s="327"/>
      <c r="D47" s="314"/>
      <c r="E47" s="44"/>
      <c r="F47" s="327"/>
      <c r="G47" s="328"/>
      <c r="H47" s="287"/>
      <c r="I47" s="47"/>
      <c r="J47" s="51"/>
      <c r="K47" s="51"/>
      <c r="L47" s="313"/>
      <c r="M47" s="314"/>
      <c r="N47" s="291"/>
      <c r="O47" s="287"/>
      <c r="P47" s="48"/>
      <c r="Q47" s="291"/>
      <c r="R47" s="54"/>
      <c r="S47" s="148">
        <f t="shared" si="0"/>
        <v>0</v>
      </c>
      <c r="T47" s="53"/>
    </row>
    <row r="48" spans="1:20" ht="15.75" customHeight="1" thickBot="1" x14ac:dyDescent="0.3">
      <c r="A48" s="291"/>
      <c r="B48" s="150">
        <v>309</v>
      </c>
      <c r="C48" s="327"/>
      <c r="D48" s="314"/>
      <c r="E48" s="44"/>
      <c r="F48" s="327"/>
      <c r="G48" s="328"/>
      <c r="H48" s="287"/>
      <c r="I48" s="47"/>
      <c r="J48" s="51"/>
      <c r="K48" s="51"/>
      <c r="L48" s="313"/>
      <c r="M48" s="314"/>
      <c r="N48" s="291"/>
      <c r="O48" s="287"/>
      <c r="P48" s="48"/>
      <c r="Q48" s="291"/>
      <c r="R48" s="54"/>
      <c r="S48" s="148">
        <f t="shared" si="0"/>
        <v>0</v>
      </c>
      <c r="T48" s="53"/>
    </row>
    <row r="49" spans="1:24" ht="15.75" customHeight="1" thickBot="1" x14ac:dyDescent="0.3">
      <c r="A49" s="291"/>
      <c r="B49" s="150">
        <v>310</v>
      </c>
      <c r="C49" s="327"/>
      <c r="D49" s="314"/>
      <c r="E49" s="44"/>
      <c r="F49" s="327"/>
      <c r="G49" s="328"/>
      <c r="H49" s="287"/>
      <c r="I49" s="47"/>
      <c r="J49" s="51"/>
      <c r="K49" s="51"/>
      <c r="L49" s="313"/>
      <c r="M49" s="314"/>
      <c r="N49" s="291"/>
      <c r="O49" s="287"/>
      <c r="P49" s="48"/>
      <c r="Q49" s="291"/>
      <c r="R49" s="54"/>
      <c r="S49" s="148">
        <f t="shared" si="0"/>
        <v>0</v>
      </c>
      <c r="T49" s="53"/>
    </row>
    <row r="50" spans="1:24" ht="15.75" customHeight="1" thickBot="1" x14ac:dyDescent="0.3">
      <c r="A50" s="291"/>
      <c r="B50" s="150">
        <v>311</v>
      </c>
      <c r="C50" s="327"/>
      <c r="D50" s="314"/>
      <c r="E50" s="44"/>
      <c r="F50" s="327"/>
      <c r="G50" s="328"/>
      <c r="H50" s="287"/>
      <c r="I50" s="47"/>
      <c r="J50" s="51"/>
      <c r="K50" s="51"/>
      <c r="L50" s="313"/>
      <c r="M50" s="314"/>
      <c r="N50" s="291"/>
      <c r="O50" s="287"/>
      <c r="P50" s="48"/>
      <c r="Q50" s="291"/>
      <c r="R50" s="54"/>
      <c r="S50" s="148">
        <f t="shared" si="0"/>
        <v>0</v>
      </c>
      <c r="T50" s="53"/>
    </row>
    <row r="51" spans="1:24" ht="15.75" customHeight="1" thickBot="1" x14ac:dyDescent="0.3">
      <c r="A51" s="291"/>
      <c r="B51" s="150"/>
      <c r="C51" s="327"/>
      <c r="D51" s="314"/>
      <c r="E51" s="44"/>
      <c r="F51" s="327"/>
      <c r="G51" s="328"/>
      <c r="H51" s="287"/>
      <c r="I51" s="47"/>
      <c r="J51" s="51"/>
      <c r="K51" s="51"/>
      <c r="L51" s="313"/>
      <c r="M51" s="314"/>
      <c r="N51" s="291"/>
      <c r="O51" s="287"/>
      <c r="P51" s="48"/>
      <c r="Q51" s="291"/>
      <c r="R51" s="54"/>
      <c r="S51" s="148">
        <f t="shared" si="0"/>
        <v>0</v>
      </c>
      <c r="T51" s="53"/>
    </row>
    <row r="52" spans="1:24" ht="15.75" customHeight="1" thickBot="1" x14ac:dyDescent="0.3">
      <c r="A52" s="364" t="s">
        <v>16</v>
      </c>
      <c r="B52" s="365"/>
      <c r="C52" s="365"/>
      <c r="D52" s="61"/>
      <c r="E52" s="59"/>
      <c r="F52" s="321">
        <f>SUM(F5:G51)</f>
        <v>1008</v>
      </c>
      <c r="G52" s="323"/>
      <c r="H52" s="34">
        <f>SUM(H5:H51)</f>
        <v>1800</v>
      </c>
      <c r="I52" s="289">
        <f>SUM(I5:I51)</f>
        <v>16500</v>
      </c>
      <c r="J52" s="290">
        <f>SUM(J5:J51)</f>
        <v>576</v>
      </c>
      <c r="K52" s="290">
        <f>SUM(K5:K51)</f>
        <v>154</v>
      </c>
      <c r="L52" s="324">
        <f>SUM(L5:M51)</f>
        <v>220</v>
      </c>
      <c r="M52" s="322"/>
      <c r="N52" s="289">
        <f t="shared" ref="N52:T52" si="1">SUM(N5:N51)</f>
        <v>4920</v>
      </c>
      <c r="O52" s="290">
        <f t="shared" si="1"/>
        <v>3240</v>
      </c>
      <c r="P52" s="34">
        <f t="shared" si="1"/>
        <v>18528</v>
      </c>
      <c r="Q52" s="289">
        <f t="shared" si="1"/>
        <v>4500</v>
      </c>
      <c r="R52" s="34">
        <f t="shared" si="1"/>
        <v>132</v>
      </c>
      <c r="S52" s="60">
        <f t="shared" si="1"/>
        <v>51578</v>
      </c>
      <c r="T52" s="36">
        <f t="shared" si="1"/>
        <v>16039237</v>
      </c>
      <c r="V52" s="13"/>
      <c r="W52" s="13"/>
      <c r="X52" s="13"/>
    </row>
    <row r="53" spans="1:24" ht="15.75" customHeight="1" thickBot="1" x14ac:dyDescent="0.3">
      <c r="A53" s="364"/>
      <c r="B53" s="365"/>
      <c r="C53" s="365"/>
      <c r="D53" s="61"/>
      <c r="E53" s="59"/>
      <c r="F53" s="321">
        <f>F4+F52</f>
        <v>6936</v>
      </c>
      <c r="G53" s="323"/>
      <c r="H53" s="34">
        <f>H4+H52</f>
        <v>31392</v>
      </c>
      <c r="I53" s="61">
        <f>I4+I52</f>
        <v>227910</v>
      </c>
      <c r="J53" s="290">
        <f>J4+J52</f>
        <v>3120</v>
      </c>
      <c r="K53" s="290">
        <f>K4+K52</f>
        <v>11264</v>
      </c>
      <c r="L53" s="324">
        <f>L4+L52</f>
        <v>2354</v>
      </c>
      <c r="M53" s="322"/>
      <c r="N53" s="289">
        <f t="shared" ref="N53:T53" si="2">N4+N52</f>
        <v>59712</v>
      </c>
      <c r="O53" s="290">
        <f t="shared" si="2"/>
        <v>35352</v>
      </c>
      <c r="P53" s="34">
        <f t="shared" si="2"/>
        <v>302136</v>
      </c>
      <c r="Q53" s="61">
        <f t="shared" si="2"/>
        <v>54132</v>
      </c>
      <c r="R53" s="290">
        <f t="shared" si="2"/>
        <v>14400</v>
      </c>
      <c r="S53" s="62">
        <f t="shared" si="2"/>
        <v>748708</v>
      </c>
      <c r="T53" s="36">
        <f t="shared" si="2"/>
        <v>237949290</v>
      </c>
      <c r="W53" s="13"/>
      <c r="X53" s="13"/>
    </row>
    <row r="54" spans="1:24" x14ac:dyDescent="0.25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 x14ac:dyDescent="0.3">
      <c r="V55" s="13"/>
    </row>
    <row r="56" spans="1:24" ht="15.75" customHeight="1" thickBot="1" x14ac:dyDescent="0.3">
      <c r="A56" s="366" t="s">
        <v>426</v>
      </c>
      <c r="B56" s="367"/>
      <c r="C56" s="367"/>
      <c r="D56" s="367"/>
      <c r="E56" s="367"/>
      <c r="F56" s="367"/>
      <c r="G56" s="367"/>
      <c r="H56" s="367"/>
      <c r="I56" s="367"/>
      <c r="J56" s="367"/>
      <c r="K56" s="367"/>
      <c r="L56" s="367"/>
      <c r="M56" s="367"/>
      <c r="N56" s="367"/>
      <c r="O56" s="367"/>
      <c r="P56" s="367"/>
      <c r="Q56" s="368"/>
      <c r="R56" s="1"/>
      <c r="S56" s="1"/>
      <c r="T56" s="28"/>
    </row>
    <row r="57" spans="1:24" ht="15.75" customHeight="1" thickBot="1" x14ac:dyDescent="0.3">
      <c r="A57" s="369" t="s">
        <v>34</v>
      </c>
      <c r="B57" s="370"/>
      <c r="C57" s="373" t="s">
        <v>33</v>
      </c>
      <c r="D57" s="373" t="s">
        <v>11</v>
      </c>
      <c r="E57" s="376" t="s">
        <v>19</v>
      </c>
      <c r="F57" s="369" t="s">
        <v>8</v>
      </c>
      <c r="G57" s="370"/>
      <c r="H57" s="378" t="s">
        <v>10</v>
      </c>
      <c r="I57" s="379"/>
      <c r="J57" s="380"/>
      <c r="K57" s="381" t="s">
        <v>25</v>
      </c>
      <c r="L57" s="382"/>
      <c r="M57" s="382"/>
      <c r="N57" s="382"/>
      <c r="O57" s="383"/>
      <c r="P57" s="373" t="s">
        <v>20</v>
      </c>
      <c r="Q57" s="384" t="s">
        <v>38</v>
      </c>
      <c r="R57" s="1"/>
      <c r="S57" s="1"/>
      <c r="T57" s="28"/>
    </row>
    <row r="58" spans="1:24" ht="15.75" thickBot="1" x14ac:dyDescent="0.3">
      <c r="A58" s="371"/>
      <c r="B58" s="372"/>
      <c r="C58" s="374"/>
      <c r="D58" s="375"/>
      <c r="E58" s="377"/>
      <c r="F58" s="371"/>
      <c r="G58" s="372"/>
      <c r="H58" s="69" t="s">
        <v>49</v>
      </c>
      <c r="I58" s="69" t="s">
        <v>48</v>
      </c>
      <c r="J58" s="69" t="s">
        <v>50</v>
      </c>
      <c r="K58" s="69" t="s">
        <v>24</v>
      </c>
      <c r="L58" s="381" t="s">
        <v>47</v>
      </c>
      <c r="M58" s="383"/>
      <c r="N58" s="69" t="s">
        <v>46</v>
      </c>
      <c r="O58" s="69" t="s">
        <v>45</v>
      </c>
      <c r="P58" s="375"/>
      <c r="Q58" s="385"/>
      <c r="T58" s="28"/>
    </row>
    <row r="59" spans="1:24" ht="15" customHeight="1" x14ac:dyDescent="0.25">
      <c r="A59" s="369" t="s">
        <v>27</v>
      </c>
      <c r="B59" s="370"/>
      <c r="C59" s="298" t="s">
        <v>28</v>
      </c>
      <c r="D59" s="298"/>
      <c r="E59" s="4">
        <v>1008</v>
      </c>
      <c r="F59" s="391"/>
      <c r="G59" s="391"/>
      <c r="H59" s="4"/>
      <c r="I59" s="297"/>
      <c r="J59" s="4"/>
      <c r="K59" s="297"/>
      <c r="L59" s="392"/>
      <c r="M59" s="393"/>
      <c r="N59" s="297"/>
      <c r="O59" s="4"/>
      <c r="P59" s="297"/>
      <c r="Q59" s="4">
        <f>SUM(D59:P59)</f>
        <v>1008</v>
      </c>
      <c r="T59" s="28"/>
      <c r="V59" s="13">
        <f>Q59-F52</f>
        <v>0</v>
      </c>
    </row>
    <row r="60" spans="1:24" ht="15.75" thickBot="1" x14ac:dyDescent="0.3">
      <c r="A60" s="371"/>
      <c r="B60" s="372"/>
      <c r="C60" s="300" t="s">
        <v>29</v>
      </c>
      <c r="D60" s="300"/>
      <c r="E60" s="14">
        <v>720</v>
      </c>
      <c r="F60" s="398">
        <v>600</v>
      </c>
      <c r="G60" s="398"/>
      <c r="H60" s="14"/>
      <c r="I60" s="299"/>
      <c r="J60" s="14"/>
      <c r="K60" s="299"/>
      <c r="L60" s="399"/>
      <c r="M60" s="400"/>
      <c r="N60" s="299"/>
      <c r="O60" s="14">
        <v>480</v>
      </c>
      <c r="P60" s="299"/>
      <c r="Q60" s="16">
        <f t="shared" ref="Q60:Q69" si="3">SUM(D60:P60)</f>
        <v>1800</v>
      </c>
      <c r="T60" s="28"/>
      <c r="V60" s="13">
        <f>H52-Q60</f>
        <v>0</v>
      </c>
    </row>
    <row r="61" spans="1:24" x14ac:dyDescent="0.25">
      <c r="A61" s="369" t="s">
        <v>41</v>
      </c>
      <c r="B61" s="370"/>
      <c r="C61" s="4" t="s">
        <v>30</v>
      </c>
      <c r="D61" s="4">
        <v>15900</v>
      </c>
      <c r="E61" s="4"/>
      <c r="F61" s="391">
        <v>300</v>
      </c>
      <c r="G61" s="391"/>
      <c r="H61" s="4"/>
      <c r="I61" s="297"/>
      <c r="J61" s="4"/>
      <c r="K61" s="297"/>
      <c r="L61" s="392"/>
      <c r="M61" s="393"/>
      <c r="N61" s="297"/>
      <c r="O61" s="4">
        <v>300</v>
      </c>
      <c r="P61" s="297"/>
      <c r="Q61" s="4">
        <f t="shared" si="3"/>
        <v>16500</v>
      </c>
      <c r="T61" s="28"/>
      <c r="V61" s="13">
        <f>I52-Q61</f>
        <v>0</v>
      </c>
    </row>
    <row r="62" spans="1:24" x14ac:dyDescent="0.25">
      <c r="A62" s="406"/>
      <c r="B62" s="407"/>
      <c r="C62" s="5" t="s">
        <v>32</v>
      </c>
      <c r="D62" s="304">
        <f>240+96</f>
        <v>336</v>
      </c>
      <c r="E62" s="5">
        <v>240</v>
      </c>
      <c r="F62" s="411"/>
      <c r="G62" s="411"/>
      <c r="H62" s="5"/>
      <c r="I62" s="303"/>
      <c r="J62" s="5"/>
      <c r="K62" s="303"/>
      <c r="L62" s="412"/>
      <c r="M62" s="413"/>
      <c r="N62" s="303"/>
      <c r="O62" s="5"/>
      <c r="P62" s="303"/>
      <c r="Q62" s="5">
        <f t="shared" si="3"/>
        <v>576</v>
      </c>
      <c r="T62" s="28"/>
      <c r="V62" s="13">
        <f>J52-Q62</f>
        <v>0</v>
      </c>
    </row>
    <row r="63" spans="1:24" x14ac:dyDescent="0.25">
      <c r="A63" s="406"/>
      <c r="B63" s="407"/>
      <c r="C63" s="5" t="s">
        <v>43</v>
      </c>
      <c r="D63" s="304"/>
      <c r="E63" s="5"/>
      <c r="F63" s="411">
        <v>154</v>
      </c>
      <c r="G63" s="411"/>
      <c r="H63" s="5"/>
      <c r="I63" s="303"/>
      <c r="J63" s="5"/>
      <c r="K63" s="303"/>
      <c r="L63" s="412"/>
      <c r="M63" s="413"/>
      <c r="N63" s="303"/>
      <c r="O63" s="5"/>
      <c r="P63" s="303"/>
      <c r="Q63" s="5">
        <f t="shared" si="3"/>
        <v>154</v>
      </c>
      <c r="T63" s="28"/>
      <c r="V63" s="13">
        <f>K52-Q63</f>
        <v>0</v>
      </c>
    </row>
    <row r="64" spans="1:24" ht="15.75" thickBot="1" x14ac:dyDescent="0.3">
      <c r="A64" s="371"/>
      <c r="B64" s="372"/>
      <c r="C64" s="64" t="s">
        <v>44</v>
      </c>
      <c r="D64" s="295"/>
      <c r="E64" s="15"/>
      <c r="F64" s="361">
        <v>220</v>
      </c>
      <c r="G64" s="361"/>
      <c r="H64" s="15"/>
      <c r="I64" s="294"/>
      <c r="J64" s="15"/>
      <c r="K64" s="294"/>
      <c r="L64" s="362"/>
      <c r="M64" s="363"/>
      <c r="N64" s="294"/>
      <c r="O64" s="15"/>
      <c r="P64" s="294"/>
      <c r="Q64" s="16">
        <f t="shared" si="3"/>
        <v>220</v>
      </c>
      <c r="T64" s="28"/>
      <c r="V64" s="13">
        <f>L52-Q64</f>
        <v>0</v>
      </c>
    </row>
    <row r="65" spans="1:22" x14ac:dyDescent="0.25">
      <c r="A65" s="369" t="s">
        <v>40</v>
      </c>
      <c r="B65" s="370"/>
      <c r="C65" s="302" t="s">
        <v>28</v>
      </c>
      <c r="D65" s="302">
        <v>960</v>
      </c>
      <c r="E65" s="16">
        <v>600</v>
      </c>
      <c r="F65" s="408">
        <v>240</v>
      </c>
      <c r="G65" s="408"/>
      <c r="H65" s="16"/>
      <c r="I65" s="301">
        <v>1200</v>
      </c>
      <c r="J65" s="16">
        <v>480</v>
      </c>
      <c r="K65" s="301"/>
      <c r="L65" s="409"/>
      <c r="M65" s="410"/>
      <c r="N65" s="301"/>
      <c r="O65" s="16"/>
      <c r="P65" s="301">
        <v>1440</v>
      </c>
      <c r="Q65" s="4">
        <f t="shared" si="3"/>
        <v>4920</v>
      </c>
      <c r="T65" s="28"/>
      <c r="V65" s="13">
        <f>N52-Q65</f>
        <v>0</v>
      </c>
    </row>
    <row r="66" spans="1:22" x14ac:dyDescent="0.25">
      <c r="A66" s="406"/>
      <c r="B66" s="407"/>
      <c r="C66" s="304" t="s">
        <v>31</v>
      </c>
      <c r="D66" s="304">
        <v>720</v>
      </c>
      <c r="E66" s="5">
        <v>600</v>
      </c>
      <c r="F66" s="411"/>
      <c r="G66" s="411"/>
      <c r="H66" s="5"/>
      <c r="I66" s="303">
        <v>480</v>
      </c>
      <c r="J66" s="5">
        <v>480</v>
      </c>
      <c r="K66" s="303"/>
      <c r="L66" s="412"/>
      <c r="M66" s="413"/>
      <c r="N66" s="303"/>
      <c r="O66" s="5"/>
      <c r="P66" s="303">
        <v>960</v>
      </c>
      <c r="Q66" s="5">
        <f t="shared" si="3"/>
        <v>3240</v>
      </c>
      <c r="T66" s="28"/>
      <c r="V66" s="13">
        <f>O52-Q66</f>
        <v>0</v>
      </c>
    </row>
    <row r="67" spans="1:22" ht="15.75" thickBot="1" x14ac:dyDescent="0.3">
      <c r="A67" s="371"/>
      <c r="B67" s="372"/>
      <c r="C67" s="64" t="s">
        <v>29</v>
      </c>
      <c r="D67" s="300">
        <v>4800</v>
      </c>
      <c r="E67" s="14">
        <v>2400</v>
      </c>
      <c r="F67" s="398">
        <v>3360</v>
      </c>
      <c r="G67" s="398"/>
      <c r="H67" s="14"/>
      <c r="I67" s="299">
        <v>2400</v>
      </c>
      <c r="J67" s="14">
        <v>1440</v>
      </c>
      <c r="K67" s="299"/>
      <c r="L67" s="399"/>
      <c r="M67" s="400"/>
      <c r="N67" s="299"/>
      <c r="O67" s="14">
        <v>1128</v>
      </c>
      <c r="P67" s="299">
        <v>3000</v>
      </c>
      <c r="Q67" s="16">
        <f t="shared" si="3"/>
        <v>18528</v>
      </c>
      <c r="T67" s="28"/>
      <c r="V67" s="13">
        <f>P52-Q67</f>
        <v>0</v>
      </c>
    </row>
    <row r="68" spans="1:22" x14ac:dyDescent="0.25">
      <c r="A68" s="369" t="s">
        <v>42</v>
      </c>
      <c r="B68" s="370"/>
      <c r="C68" s="298" t="s">
        <v>31</v>
      </c>
      <c r="D68" s="298">
        <v>4200</v>
      </c>
      <c r="E68" s="4"/>
      <c r="F68" s="391">
        <v>240</v>
      </c>
      <c r="G68" s="391"/>
      <c r="H68" s="4"/>
      <c r="I68" s="297"/>
      <c r="J68" s="4"/>
      <c r="K68" s="297"/>
      <c r="L68" s="392"/>
      <c r="M68" s="393"/>
      <c r="N68" s="297"/>
      <c r="O68" s="4">
        <v>60</v>
      </c>
      <c r="P68" s="297"/>
      <c r="Q68" s="4">
        <f t="shared" si="3"/>
        <v>4500</v>
      </c>
      <c r="T68" s="28"/>
      <c r="V68" s="13">
        <f>Q52-Q68</f>
        <v>0</v>
      </c>
    </row>
    <row r="69" spans="1:22" ht="15.75" thickBot="1" x14ac:dyDescent="0.3">
      <c r="A69" s="371"/>
      <c r="B69" s="372"/>
      <c r="C69" s="64" t="s">
        <v>29</v>
      </c>
      <c r="D69" s="15">
        <v>132</v>
      </c>
      <c r="E69" s="15"/>
      <c r="F69" s="361"/>
      <c r="G69" s="361"/>
      <c r="H69" s="15"/>
      <c r="I69" s="294"/>
      <c r="J69" s="15"/>
      <c r="K69" s="294"/>
      <c r="L69" s="362"/>
      <c r="M69" s="363"/>
      <c r="N69" s="294"/>
      <c r="O69" s="15"/>
      <c r="P69" s="294"/>
      <c r="Q69" s="16">
        <f t="shared" si="3"/>
        <v>132</v>
      </c>
      <c r="T69" s="28"/>
      <c r="V69" s="13">
        <f>R52-Q69</f>
        <v>0</v>
      </c>
    </row>
    <row r="70" spans="1:22" ht="15.75" thickBot="1" x14ac:dyDescent="0.3">
      <c r="A70" s="394" t="s">
        <v>37</v>
      </c>
      <c r="B70" s="395"/>
      <c r="C70" s="395"/>
      <c r="D70" s="23">
        <f>SUM(D59:D69)</f>
        <v>27048</v>
      </c>
      <c r="E70" s="23">
        <f t="shared" ref="E70" si="4">SUM(E59:E69)</f>
        <v>5568</v>
      </c>
      <c r="F70" s="396">
        <f>SUM(F59:G69)</f>
        <v>5114</v>
      </c>
      <c r="G70" s="397"/>
      <c r="H70" s="23">
        <f>SUM(H59:H69)</f>
        <v>0</v>
      </c>
      <c r="I70" s="23">
        <f>SUM(I59:I69)</f>
        <v>4080</v>
      </c>
      <c r="J70" s="23">
        <f>SUM(J59:J69)</f>
        <v>2400</v>
      </c>
      <c r="K70" s="23">
        <f>SUM(K59:K69)</f>
        <v>0</v>
      </c>
      <c r="L70" s="396">
        <f>SUM(L59:M69)</f>
        <v>0</v>
      </c>
      <c r="M70" s="397"/>
      <c r="N70" s="23">
        <f>SUM(N59:N69)</f>
        <v>0</v>
      </c>
      <c r="O70" s="23">
        <f>SUM(O59:O69)</f>
        <v>1968</v>
      </c>
      <c r="P70" s="23">
        <f>SUM(P59:P69)</f>
        <v>5400</v>
      </c>
      <c r="Q70" s="24">
        <f>SUM(Q59:Q69)</f>
        <v>51578</v>
      </c>
      <c r="R70" s="12"/>
      <c r="S70" s="1"/>
      <c r="T70" s="28"/>
      <c r="V70" s="13">
        <f>S52-Q70</f>
        <v>0</v>
      </c>
    </row>
    <row r="71" spans="1:22" ht="15.75" thickBot="1" x14ac:dyDescent="0.3">
      <c r="A71" s="401" t="s">
        <v>407</v>
      </c>
      <c r="B71" s="402"/>
      <c r="C71" s="402"/>
      <c r="D71" s="403">
        <f>D70+E70+F70+H70+I70+J70+K70+L70+N70+O70+P70</f>
        <v>51578</v>
      </c>
      <c r="E71" s="404"/>
      <c r="F71" s="404"/>
      <c r="G71" s="404"/>
      <c r="H71" s="404"/>
      <c r="I71" s="404"/>
      <c r="J71" s="404"/>
      <c r="K71" s="404"/>
      <c r="L71" s="404"/>
      <c r="M71" s="404"/>
      <c r="N71" s="404"/>
      <c r="O71" s="404"/>
      <c r="P71" s="404"/>
      <c r="Q71" s="405"/>
      <c r="T71" s="28"/>
      <c r="V71" s="13"/>
    </row>
    <row r="72" spans="1:22" s="20" customFormat="1" ht="15" customHeight="1" thickBot="1" x14ac:dyDescent="0.25">
      <c r="A72" s="386" t="s">
        <v>26</v>
      </c>
      <c r="B72" s="387"/>
      <c r="C72" s="387"/>
      <c r="D72" s="22">
        <v>8345538</v>
      </c>
      <c r="E72" s="22">
        <v>1748733</v>
      </c>
      <c r="F72" s="388">
        <v>1618491</v>
      </c>
      <c r="G72" s="389"/>
      <c r="H72" s="22"/>
      <c r="I72" s="26">
        <v>1265151</v>
      </c>
      <c r="J72" s="22">
        <v>744998</v>
      </c>
      <c r="K72" s="22"/>
      <c r="L72" s="390"/>
      <c r="M72" s="389"/>
      <c r="N72" s="26"/>
      <c r="O72" s="22">
        <v>642122</v>
      </c>
      <c r="P72" s="26">
        <v>1674204</v>
      </c>
      <c r="Q72" s="119">
        <f>D72+E72+F72+H72+I72+J72+K72+L72+N72+O72+P72</f>
        <v>16039237</v>
      </c>
      <c r="R72" s="19"/>
      <c r="S72" s="19"/>
      <c r="T72" s="29"/>
      <c r="V72" s="21">
        <f>T52-Q72</f>
        <v>0</v>
      </c>
    </row>
    <row r="73" spans="1:22" x14ac:dyDescent="0.25">
      <c r="T73" s="28"/>
      <c r="V73" s="13"/>
    </row>
  </sheetData>
  <mergeCells count="206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A52:C52"/>
    <mergeCell ref="F52:G52"/>
    <mergeCell ref="L52:M52"/>
    <mergeCell ref="A53:C53"/>
    <mergeCell ref="F53:G53"/>
    <mergeCell ref="L53:M53"/>
    <mergeCell ref="C50:D50"/>
    <mergeCell ref="F50:G50"/>
    <mergeCell ref="L50:M50"/>
    <mergeCell ref="C51:D51"/>
    <mergeCell ref="F51:G51"/>
    <mergeCell ref="L51:M5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Tushar Panja</cp:lastModifiedBy>
  <cp:lastPrinted>2021-10-16T07:29:34Z</cp:lastPrinted>
  <dcterms:created xsi:type="dcterms:W3CDTF">2013-12-03T07:14:02Z</dcterms:created>
  <dcterms:modified xsi:type="dcterms:W3CDTF">2021-10-16T09:00:22Z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