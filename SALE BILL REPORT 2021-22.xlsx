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New folder\"/>
    </mc:Choice>
  </mc:AlternateContent>
  <xr:revisionPtr revIDLastSave="0" documentId="13_ncr:1_{42B53A20-4F82-4CEB-A53A-802C28FAF993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pril 2021-22" sheetId="68" r:id="rId1"/>
    <sheet name="May 2021" sheetId="69" r:id="rId2"/>
  </sheets>
  <definedNames>
    <definedName name="_xlnm._FilterDatabase" localSheetId="0" hidden="1">'April 2021-22'!$A$2:$X$65</definedName>
    <definedName name="_xlnm._FilterDatabase" localSheetId="1" hidden="1">'May 2021'!$A$2:$X$61</definedName>
  </definedNames>
  <calcPr calcId="181029"/>
</workbook>
</file>

<file path=xl/calcChain.xml><?xml version="1.0" encoding="utf-8"?>
<calcChain xmlns="http://schemas.openxmlformats.org/spreadsheetml/2006/main">
  <c r="S4" i="69" l="1"/>
  <c r="P77" i="69"/>
  <c r="O77" i="69"/>
  <c r="N77" i="69"/>
  <c r="L77" i="69"/>
  <c r="K77" i="69"/>
  <c r="J77" i="69"/>
  <c r="I77" i="69"/>
  <c r="H77" i="69"/>
  <c r="F77" i="69"/>
  <c r="E77" i="69"/>
  <c r="D77" i="69"/>
  <c r="Q76" i="69"/>
  <c r="Q75" i="69"/>
  <c r="Q74" i="69"/>
  <c r="Q73" i="69"/>
  <c r="Q72" i="69"/>
  <c r="Q71" i="69"/>
  <c r="Q70" i="69"/>
  <c r="Q69" i="69"/>
  <c r="Q68" i="69"/>
  <c r="Q67" i="69"/>
  <c r="Q66" i="69"/>
  <c r="T60" i="69"/>
  <c r="V79" i="69" s="1"/>
  <c r="R60" i="69"/>
  <c r="R61" i="69" s="1"/>
  <c r="Q60" i="69"/>
  <c r="Q61" i="69" s="1"/>
  <c r="P60" i="69"/>
  <c r="P61" i="69" s="1"/>
  <c r="O60" i="69"/>
  <c r="V73" i="69" s="1"/>
  <c r="N60" i="69"/>
  <c r="V72" i="69" s="1"/>
  <c r="L60" i="69"/>
  <c r="L61" i="69" s="1"/>
  <c r="K60" i="69"/>
  <c r="K61" i="69" s="1"/>
  <c r="J60" i="69"/>
  <c r="V69" i="69" s="1"/>
  <c r="I60" i="69"/>
  <c r="V68" i="69" s="1"/>
  <c r="H60" i="69"/>
  <c r="H61" i="69" s="1"/>
  <c r="F60" i="69"/>
  <c r="F61" i="69" s="1"/>
  <c r="S59" i="69"/>
  <c r="S58" i="69"/>
  <c r="S57" i="69"/>
  <c r="S56" i="69"/>
  <c r="S55" i="69"/>
  <c r="S54" i="69"/>
  <c r="S53" i="69"/>
  <c r="S52" i="69"/>
  <c r="S51" i="69"/>
  <c r="S50" i="69"/>
  <c r="S49" i="69"/>
  <c r="S48" i="69"/>
  <c r="S47" i="69"/>
  <c r="S46" i="69"/>
  <c r="S45" i="69"/>
  <c r="S44" i="69"/>
  <c r="S43" i="69"/>
  <c r="S42" i="69"/>
  <c r="S41" i="69"/>
  <c r="S40" i="69"/>
  <c r="S39" i="69"/>
  <c r="S38" i="69"/>
  <c r="S37" i="69"/>
  <c r="S36" i="69"/>
  <c r="S35" i="69"/>
  <c r="S34" i="69"/>
  <c r="S33" i="69"/>
  <c r="S32" i="69"/>
  <c r="S31" i="69"/>
  <c r="S30" i="69"/>
  <c r="S29" i="69"/>
  <c r="S28" i="69"/>
  <c r="S27" i="69"/>
  <c r="S26" i="69"/>
  <c r="S25" i="69"/>
  <c r="S24" i="69"/>
  <c r="S23" i="69"/>
  <c r="S22" i="69"/>
  <c r="S21" i="69"/>
  <c r="S20" i="69"/>
  <c r="S19" i="69"/>
  <c r="S18" i="69"/>
  <c r="S17" i="69"/>
  <c r="S16" i="69"/>
  <c r="S15" i="69"/>
  <c r="S14" i="69"/>
  <c r="S13" i="69"/>
  <c r="S12" i="69"/>
  <c r="S11" i="69"/>
  <c r="S10" i="69"/>
  <c r="S9" i="69"/>
  <c r="S8" i="69"/>
  <c r="S7" i="69"/>
  <c r="S6" i="69"/>
  <c r="S5" i="69"/>
  <c r="R64" i="68"/>
  <c r="N64" i="68"/>
  <c r="J64" i="68"/>
  <c r="J65" i="68" s="1"/>
  <c r="I64" i="68"/>
  <c r="S46" i="68"/>
  <c r="S58" i="68"/>
  <c r="S57" i="68"/>
  <c r="S56" i="68"/>
  <c r="S55" i="68"/>
  <c r="S54" i="68"/>
  <c r="S53" i="68"/>
  <c r="S52" i="68"/>
  <c r="S51" i="68"/>
  <c r="S50" i="68"/>
  <c r="S49" i="68"/>
  <c r="S48" i="68"/>
  <c r="S47" i="68"/>
  <c r="S45" i="68"/>
  <c r="S44" i="68"/>
  <c r="S43" i="68"/>
  <c r="S42" i="68"/>
  <c r="S41" i="68"/>
  <c r="S40" i="68"/>
  <c r="S39" i="68"/>
  <c r="S25" i="68"/>
  <c r="S26" i="68"/>
  <c r="S27" i="68"/>
  <c r="S28" i="68"/>
  <c r="S29" i="68"/>
  <c r="S30" i="68"/>
  <c r="S31" i="68"/>
  <c r="S32" i="68"/>
  <c r="S33" i="68"/>
  <c r="S34" i="68"/>
  <c r="S35" i="68"/>
  <c r="S36" i="68"/>
  <c r="S37" i="68"/>
  <c r="S38" i="68"/>
  <c r="S59" i="68"/>
  <c r="S60" i="68"/>
  <c r="S61" i="68"/>
  <c r="S62" i="68"/>
  <c r="P81" i="68"/>
  <c r="O81" i="68"/>
  <c r="N81" i="68"/>
  <c r="L81" i="68"/>
  <c r="K81" i="68"/>
  <c r="J81" i="68"/>
  <c r="I81" i="68"/>
  <c r="H81" i="68"/>
  <c r="F81" i="68"/>
  <c r="E81" i="68"/>
  <c r="D81" i="68"/>
  <c r="Q80" i="68"/>
  <c r="Q79" i="68"/>
  <c r="Q78" i="68"/>
  <c r="Q77" i="68"/>
  <c r="Q76" i="68"/>
  <c r="Q75" i="68"/>
  <c r="Q74" i="68"/>
  <c r="Q73" i="68"/>
  <c r="Q72" i="68"/>
  <c r="Q71" i="68"/>
  <c r="Q70" i="68"/>
  <c r="T64" i="68"/>
  <c r="Q64" i="68"/>
  <c r="Q65" i="68" s="1"/>
  <c r="P64" i="68"/>
  <c r="P65" i="68" s="1"/>
  <c r="O64" i="68"/>
  <c r="O65" i="68" s="1"/>
  <c r="L64" i="68"/>
  <c r="L65" i="68" s="1"/>
  <c r="K64" i="68"/>
  <c r="K65" i="68" s="1"/>
  <c r="H64" i="68"/>
  <c r="H65" i="68" s="1"/>
  <c r="F64" i="68"/>
  <c r="F65" i="68" s="1"/>
  <c r="S63" i="68"/>
  <c r="S24" i="68"/>
  <c r="S23" i="68"/>
  <c r="S22" i="68"/>
  <c r="S21" i="68"/>
  <c r="S20" i="68"/>
  <c r="S19" i="68"/>
  <c r="S18" i="68"/>
  <c r="S17" i="68"/>
  <c r="S16" i="68"/>
  <c r="S15" i="68"/>
  <c r="S14" i="68"/>
  <c r="S13" i="68"/>
  <c r="S12" i="68"/>
  <c r="S11" i="68"/>
  <c r="S10" i="68"/>
  <c r="S9" i="68"/>
  <c r="S8" i="68"/>
  <c r="S7" i="68"/>
  <c r="S6" i="68"/>
  <c r="S5" i="68"/>
  <c r="S4" i="68"/>
  <c r="S60" i="69" l="1"/>
  <c r="S61" i="69" s="1"/>
  <c r="D78" i="69"/>
  <c r="V67" i="69"/>
  <c r="V71" i="69"/>
  <c r="V75" i="69"/>
  <c r="V66" i="69"/>
  <c r="V70" i="69"/>
  <c r="V74" i="69"/>
  <c r="Q77" i="69"/>
  <c r="V77" i="69" s="1"/>
  <c r="I61" i="69"/>
  <c r="N61" i="69"/>
  <c r="V76" i="69"/>
  <c r="J61" i="69"/>
  <c r="O61" i="69"/>
  <c r="T61" i="69"/>
  <c r="V72" i="68"/>
  <c r="T65" i="68"/>
  <c r="V80" i="68"/>
  <c r="V76" i="68"/>
  <c r="Q81" i="68"/>
  <c r="N65" i="68"/>
  <c r="V78" i="68"/>
  <c r="V70" i="68"/>
  <c r="S64" i="68"/>
  <c r="S65" i="68" s="1"/>
  <c r="V83" i="68"/>
  <c r="I65" i="68"/>
  <c r="R65" i="68"/>
  <c r="V74" i="68"/>
  <c r="D82" i="68"/>
  <c r="V71" i="68"/>
  <c r="V75" i="68"/>
  <c r="V79" i="68"/>
  <c r="V73" i="68"/>
  <c r="V77" i="68"/>
  <c r="V81" i="68" l="1"/>
</calcChain>
</file>

<file path=xl/sharedStrings.xml><?xml version="1.0" encoding="utf-8"?>
<sst xmlns="http://schemas.openxmlformats.org/spreadsheetml/2006/main" count="327" uniqueCount="185">
  <si>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</si>
  <si>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</si>
  <si>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</si>
  <si>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</si>
  <si>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</si>
  <si>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</si>
  <si>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</si>
  <si>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</si>
  <si>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</si>
  <si>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</si>
  <si>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</si>
  <si>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</si>
  <si>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</si>
  <si>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</si>
  <si>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</si>
  <si>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</si>
  <si>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</si>
  <si>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</si>
  <si>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</si>
  <si>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</si>
  <si>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</si>
  <si>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</si>
  <si>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</si>
  <si>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</si>
  <si>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</si>
  <si>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</si>
  <si>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</si>
  <si>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</si>
  <si>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</si>
  <si>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</si>
  <si>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</si>
  <si>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</si>
  <si>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</si>
  <si>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</si>
  <si>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</si>
  <si>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</si>
  <si>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</si>
  <si>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</si>
  <si>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</si>
  <si>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</si>
  <si>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</si>
  <si>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</si>
  <si>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</si>
  <si>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</si>
  <si>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</si>
  <si>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</si>
  <si>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</si>
  <si>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</si>
  <si>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</si>
  <si>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</si>
  <si>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</si>
  <si>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</si>
  <si>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</si>
  <si>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</si>
  <si>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</si>
  <si>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</si>
  <si>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</si>
  <si>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</si>
  <si>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</si>
  <si>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</si>
  <si>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</si>
  <si>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</si>
  <si>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</si>
  <si>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</si>
  <si>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</si>
  <si>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</si>
  <si>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</si>
  <si>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</si>
  <si>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</si>
  <si>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</si>
  <si>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</si>
  <si>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</si>
  <si>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</si>
  <si>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</si>
  <si>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</si>
  <si>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</si>
  <si>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</si>
  <si>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</si>
  <si>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</si>
  <si>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</si>
  <si>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</si>
  <si>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</si>
  <si>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</si>
  <si>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</si>
  <si>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</si>
  <si>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</si>
  <si>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</si>
  <si>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</si>
  <si>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</si>
  <si>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</si>
  <si>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</si>
  <si>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</si>
  <si>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</si>
  <si>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</si>
  <si>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</si>
  <si>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</si>
  <si>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</si>
  <si>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</si>
  <si>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</si>
  <si>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</si>
  <si>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</si>
  <si>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</si>
  <si>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</si>
  <si>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</si>
  <si>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</si>
  <si>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</si>
  <si>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</si>
  <si>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</si>
  <si>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</si>
  <si>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</si>
  <si>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</si>
  <si>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</si>
  <si>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</si>
  <si>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</si>
  <si>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</si>
  <si>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</si>
  <si>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</si>
  <si>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</si>
  <si>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</si>
  <si>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</si>
  <si>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</si>
  <si>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</si>
  <si>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</si>
  <si>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</si>
  <si>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</si>
  <si>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</si>
  <si>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</si>
  <si>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</si>
  <si>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</si>
  <si>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</si>
  <si>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</si>
  <si>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</si>
  <si>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</si>
  <si>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</si>
  <si>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</si>
  <si>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</si>
  <si>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</si>
  <si>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</si>
  <si>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</si>
  <si>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</si>
  <si>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</si>
  <si>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</si>
  <si>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</si>
  <si>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</si>
  <si>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</si>
  <si>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</si>
  <si>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</si>
  <si>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</si>
  <si>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</si>
  <si>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</si>
  <si>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</si>
  <si>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</si>
  <si>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</si>
  <si>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</si>
  <si>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</si>
  <si>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</si>
  <si>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</si>
  <si>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</si>
  <si>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</si>
  <si>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</si>
  <si>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</si>
  <si>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</si>
  <si>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</si>
  <si>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</si>
  <si>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</si>
  <si>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</si>
  <si>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</si>
  <si>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</si>
  <si>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</si>
  <si>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</si>
  <si>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</si>
  <si>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</si>
  <si>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</si>
  <si>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</si>
  <si>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23.04.2021</t>
  </si>
  <si>
    <t>26.04.2021</t>
  </si>
  <si>
    <t>27.04.2021</t>
  </si>
  <si>
    <t>Khan Kiryana Store</t>
  </si>
  <si>
    <t>- - - U.P.- - -</t>
  </si>
  <si>
    <t>28.04.2021</t>
  </si>
  <si>
    <t>Shri Nemchand Traders</t>
  </si>
  <si>
    <t>Mathura</t>
  </si>
  <si>
    <t>29.04.2021</t>
  </si>
  <si>
    <t>DESTINETION WISE DESPATCHED REPOTR FOR THE MONTH OF MAY 01.05.2021 TO 15.05.2021</t>
  </si>
  <si>
    <t>SALE BILL REPORT FOR THE MONTH OF MAY 01.05.2021 TO 15.05.2021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</si>
</sst>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9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16" xfId="0" applyFont="1" applyFill="1" applyBorder="1" applyAlignment="1"/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164" fontId="8" fillId="2" borderId="42" xfId="0" applyNumberFormat="1" applyFont="1" applyFill="1" applyBorder="1"/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8" fillId="2" borderId="42" xfId="0" applyFont="1" applyFill="1" applyBorder="1" applyAlignment="1"/>
    <xf numFmtId="0" fontId="8" fillId="2" borderId="4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2" fillId="2" borderId="8" xfId="0" applyFont="1" applyFill="1" applyBorder="1"/>
    <xf numFmtId="0" fontId="8" fillId="2" borderId="30" xfId="0" applyFont="1" applyFill="1" applyBorder="1" applyAlignment="1">
      <alignment horizontal="center"/>
    </xf>
    <xf numFmtId="0" fontId="8" fillId="2" borderId="61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8" fillId="2" borderId="39" xfId="0" applyFont="1" applyFill="1" applyBorder="1" applyAlignment="1">
      <alignment horizontal="center"/>
    </xf>
    <xf numFmtId="0" fontId="8" fillId="2" borderId="38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84"/>
  <sheetViews>
    <sheetView zoomScaleNormal="100" workbookViewId="0">
      <pane ySplit="4" topLeftCell="A5" activePane="bottomLeft" state="frozen"/>
      <selection pane="bottomLeft" activeCell="T73" sqref="T73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71" customWidth="1"/>
    <col min="4" max="4" width="9.7109375" style="71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 x14ac:dyDescent="0.3">
      <c r="A1" s="150" t="s">
        <v>160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2"/>
    </row>
    <row r="2" spans="1:20" s="6" customFormat="1" ht="12.75" customHeight="1" x14ac:dyDescent="0.25">
      <c r="A2" s="153" t="s">
        <v>9</v>
      </c>
      <c r="B2" s="155" t="s">
        <v>13</v>
      </c>
      <c r="C2" s="157" t="s">
        <v>23</v>
      </c>
      <c r="D2" s="158"/>
      <c r="E2" s="161" t="s">
        <v>15</v>
      </c>
      <c r="F2" s="163" t="s">
        <v>0</v>
      </c>
      <c r="G2" s="155"/>
      <c r="H2" s="164"/>
      <c r="I2" s="165" t="s">
        <v>39</v>
      </c>
      <c r="J2" s="166"/>
      <c r="K2" s="166"/>
      <c r="L2" s="167"/>
      <c r="M2" s="164"/>
      <c r="N2" s="165" t="s">
        <v>1</v>
      </c>
      <c r="O2" s="166"/>
      <c r="P2" s="164"/>
      <c r="Q2" s="168" t="s">
        <v>2</v>
      </c>
      <c r="R2" s="169"/>
      <c r="S2" s="155" t="s">
        <v>14</v>
      </c>
      <c r="T2" s="140" t="s">
        <v>12</v>
      </c>
    </row>
    <row r="3" spans="1:20" s="6" customFormat="1" ht="15.75" thickBot="1" x14ac:dyDescent="0.3">
      <c r="A3" s="154"/>
      <c r="B3" s="156"/>
      <c r="C3" s="159"/>
      <c r="D3" s="160"/>
      <c r="E3" s="162"/>
      <c r="F3" s="142" t="s">
        <v>3</v>
      </c>
      <c r="G3" s="143"/>
      <c r="H3" s="9" t="s">
        <v>4</v>
      </c>
      <c r="I3" s="10" t="s">
        <v>22</v>
      </c>
      <c r="J3" s="11" t="s">
        <v>7</v>
      </c>
      <c r="K3" s="11" t="s">
        <v>17</v>
      </c>
      <c r="L3" s="144" t="s">
        <v>18</v>
      </c>
      <c r="M3" s="14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56"/>
      <c r="T3" s="141"/>
    </row>
    <row r="4" spans="1:20" s="18" customFormat="1" ht="15.75" thickBot="1" x14ac:dyDescent="0.3">
      <c r="A4" s="102" t="s">
        <v>35</v>
      </c>
      <c r="B4" s="30"/>
      <c r="C4" s="146"/>
      <c r="D4" s="147"/>
      <c r="E4" s="31"/>
      <c r="F4" s="146"/>
      <c r="G4" s="148"/>
      <c r="H4" s="97"/>
      <c r="I4" s="32"/>
      <c r="J4" s="33"/>
      <c r="K4" s="97"/>
      <c r="L4" s="149"/>
      <c r="M4" s="147"/>
      <c r="N4" s="96"/>
      <c r="O4" s="97"/>
      <c r="P4" s="34"/>
      <c r="Q4" s="96"/>
      <c r="R4" s="34"/>
      <c r="S4" s="35">
        <f>SUM(F4:R4)</f>
        <v>0</v>
      </c>
      <c r="T4" s="36"/>
    </row>
    <row r="5" spans="1:20" x14ac:dyDescent="0.25">
      <c r="A5" s="37" t="s">
        <v>51</v>
      </c>
      <c r="B5" s="38" t="s">
        <v>54</v>
      </c>
      <c r="C5" s="172" t="s">
        <v>52</v>
      </c>
      <c r="D5" s="173"/>
      <c r="E5" s="39" t="s">
        <v>53</v>
      </c>
      <c r="F5" s="174"/>
      <c r="G5" s="175"/>
      <c r="H5" s="101"/>
      <c r="I5" s="40"/>
      <c r="J5" s="41"/>
      <c r="K5" s="41"/>
      <c r="L5" s="176"/>
      <c r="M5" s="177"/>
      <c r="N5" s="40"/>
      <c r="O5" s="41"/>
      <c r="P5" s="101"/>
      <c r="Q5" s="40">
        <v>120</v>
      </c>
      <c r="R5" s="42"/>
      <c r="S5" s="43">
        <f t="shared" ref="S5:S63" si="0">SUM(F5:R5)</f>
        <v>120</v>
      </c>
      <c r="T5" s="44">
        <v>46333</v>
      </c>
    </row>
    <row r="6" spans="1:20" x14ac:dyDescent="0.25">
      <c r="A6" s="37" t="s">
        <v>55</v>
      </c>
      <c r="B6" s="38" t="s">
        <v>56</v>
      </c>
      <c r="C6" s="170" t="s">
        <v>57</v>
      </c>
      <c r="D6" s="171"/>
      <c r="E6" s="45" t="s">
        <v>58</v>
      </c>
      <c r="F6" s="136"/>
      <c r="G6" s="137"/>
      <c r="H6" s="100"/>
      <c r="I6" s="46">
        <v>60</v>
      </c>
      <c r="J6" s="47"/>
      <c r="K6" s="47">
        <v>22</v>
      </c>
      <c r="L6" s="178"/>
      <c r="M6" s="179"/>
      <c r="N6" s="48"/>
      <c r="O6" s="100"/>
      <c r="P6" s="49"/>
      <c r="Q6" s="46"/>
      <c r="R6" s="50"/>
      <c r="S6" s="43">
        <f t="shared" si="0"/>
        <v>82</v>
      </c>
      <c r="T6" s="51">
        <v>26799</v>
      </c>
    </row>
    <row r="7" spans="1:20" x14ac:dyDescent="0.25">
      <c r="A7" s="37" t="s">
        <v>59</v>
      </c>
      <c r="B7" s="38" t="s">
        <v>60</v>
      </c>
      <c r="C7" s="170" t="s">
        <v>95</v>
      </c>
      <c r="D7" s="171"/>
      <c r="E7" s="45" t="s">
        <v>96</v>
      </c>
      <c r="F7" s="136"/>
      <c r="G7" s="137"/>
      <c r="H7" s="100"/>
      <c r="I7" s="48"/>
      <c r="J7" s="52"/>
      <c r="K7" s="52"/>
      <c r="L7" s="138"/>
      <c r="M7" s="139"/>
      <c r="N7" s="48">
        <v>600</v>
      </c>
      <c r="O7" s="100">
        <v>480</v>
      </c>
      <c r="P7" s="49">
        <v>1800</v>
      </c>
      <c r="Q7" s="48"/>
      <c r="R7" s="49"/>
      <c r="S7" s="53">
        <f t="shared" si="0"/>
        <v>2880</v>
      </c>
      <c r="T7" s="54">
        <v>917226</v>
      </c>
    </row>
    <row r="8" spans="1:20" x14ac:dyDescent="0.25">
      <c r="A8" s="37" t="s">
        <v>97</v>
      </c>
      <c r="B8" s="38" t="s">
        <v>61</v>
      </c>
      <c r="C8" s="170" t="s">
        <v>98</v>
      </c>
      <c r="D8" s="171"/>
      <c r="E8" s="45" t="s">
        <v>99</v>
      </c>
      <c r="F8" s="136"/>
      <c r="G8" s="137"/>
      <c r="H8" s="100">
        <v>120</v>
      </c>
      <c r="I8" s="48"/>
      <c r="J8" s="52"/>
      <c r="K8" s="52"/>
      <c r="L8" s="138"/>
      <c r="M8" s="139"/>
      <c r="N8" s="48"/>
      <c r="O8" s="100"/>
      <c r="P8" s="49">
        <v>120</v>
      </c>
      <c r="Q8" s="48"/>
      <c r="R8" s="49"/>
      <c r="S8" s="53">
        <f t="shared" si="0"/>
        <v>240</v>
      </c>
      <c r="T8" s="54">
        <v>81150</v>
      </c>
    </row>
    <row r="9" spans="1:20" x14ac:dyDescent="0.25">
      <c r="A9" s="37" t="s">
        <v>97</v>
      </c>
      <c r="B9" s="38" t="s">
        <v>62</v>
      </c>
      <c r="C9" s="170" t="s">
        <v>100</v>
      </c>
      <c r="D9" s="171"/>
      <c r="E9" s="45" t="s">
        <v>101</v>
      </c>
      <c r="F9" s="136"/>
      <c r="G9" s="137"/>
      <c r="H9" s="100"/>
      <c r="I9" s="48">
        <v>150</v>
      </c>
      <c r="J9" s="52"/>
      <c r="K9" s="52"/>
      <c r="L9" s="138"/>
      <c r="M9" s="139"/>
      <c r="N9" s="48"/>
      <c r="O9" s="100"/>
      <c r="P9" s="49">
        <v>360</v>
      </c>
      <c r="Q9" s="48"/>
      <c r="R9" s="49"/>
      <c r="S9" s="53">
        <f t="shared" si="0"/>
        <v>510</v>
      </c>
      <c r="T9" s="54">
        <v>166853</v>
      </c>
    </row>
    <row r="10" spans="1:20" x14ac:dyDescent="0.25">
      <c r="A10" s="37" t="s">
        <v>97</v>
      </c>
      <c r="B10" s="38" t="s">
        <v>63</v>
      </c>
      <c r="C10" s="170" t="s">
        <v>102</v>
      </c>
      <c r="D10" s="171"/>
      <c r="E10" s="45" t="s">
        <v>103</v>
      </c>
      <c r="F10" s="136"/>
      <c r="G10" s="137"/>
      <c r="H10" s="100"/>
      <c r="I10" s="48"/>
      <c r="J10" s="52"/>
      <c r="K10" s="52"/>
      <c r="L10" s="138"/>
      <c r="M10" s="139"/>
      <c r="N10" s="48"/>
      <c r="O10" s="100"/>
      <c r="P10" s="49"/>
      <c r="Q10" s="48">
        <v>48</v>
      </c>
      <c r="R10" s="49"/>
      <c r="S10" s="53">
        <f t="shared" si="0"/>
        <v>48</v>
      </c>
      <c r="T10" s="54">
        <v>18533</v>
      </c>
    </row>
    <row r="11" spans="1:20" x14ac:dyDescent="0.25">
      <c r="A11" s="37" t="s">
        <v>104</v>
      </c>
      <c r="B11" s="38" t="s">
        <v>64</v>
      </c>
      <c r="C11" s="170" t="s">
        <v>100</v>
      </c>
      <c r="D11" s="171"/>
      <c r="E11" s="45" t="s">
        <v>101</v>
      </c>
      <c r="F11" s="136"/>
      <c r="G11" s="137"/>
      <c r="H11" s="100">
        <v>24</v>
      </c>
      <c r="I11" s="48"/>
      <c r="J11" s="52"/>
      <c r="K11" s="52"/>
      <c r="L11" s="138"/>
      <c r="M11" s="139"/>
      <c r="N11" s="48"/>
      <c r="O11" s="100"/>
      <c r="P11" s="49"/>
      <c r="Q11" s="48"/>
      <c r="R11" s="49"/>
      <c r="S11" s="53">
        <f t="shared" si="0"/>
        <v>24</v>
      </c>
      <c r="T11" s="54">
        <v>8259</v>
      </c>
    </row>
    <row r="12" spans="1:20" x14ac:dyDescent="0.25">
      <c r="A12" s="37" t="s">
        <v>104</v>
      </c>
      <c r="B12" s="38" t="s">
        <v>65</v>
      </c>
      <c r="C12" s="170" t="s">
        <v>105</v>
      </c>
      <c r="D12" s="171"/>
      <c r="E12" s="117" t="s">
        <v>178</v>
      </c>
      <c r="F12" s="136"/>
      <c r="G12" s="137"/>
      <c r="H12" s="100"/>
      <c r="I12" s="48"/>
      <c r="J12" s="52"/>
      <c r="K12" s="52"/>
      <c r="L12" s="138"/>
      <c r="M12" s="139"/>
      <c r="N12" s="48"/>
      <c r="O12" s="100"/>
      <c r="P12" s="49">
        <v>480</v>
      </c>
      <c r="Q12" s="48">
        <v>48</v>
      </c>
      <c r="R12" s="49"/>
      <c r="S12" s="53">
        <f t="shared" si="0"/>
        <v>528</v>
      </c>
      <c r="T12" s="54">
        <v>177963</v>
      </c>
    </row>
    <row r="13" spans="1:20" x14ac:dyDescent="0.25">
      <c r="A13" s="104" t="s">
        <v>106</v>
      </c>
      <c r="B13" s="38" t="s">
        <v>66</v>
      </c>
      <c r="C13" s="170" t="s">
        <v>107</v>
      </c>
      <c r="D13" s="171"/>
      <c r="E13" s="45" t="s">
        <v>108</v>
      </c>
      <c r="F13" s="136"/>
      <c r="G13" s="137"/>
      <c r="H13" s="100">
        <v>48</v>
      </c>
      <c r="I13" s="48"/>
      <c r="J13" s="52"/>
      <c r="K13" s="52"/>
      <c r="L13" s="138"/>
      <c r="M13" s="139"/>
      <c r="N13" s="48"/>
      <c r="O13" s="100"/>
      <c r="P13" s="49"/>
      <c r="Q13" s="48"/>
      <c r="R13" s="49"/>
      <c r="S13" s="53">
        <f t="shared" si="0"/>
        <v>48</v>
      </c>
      <c r="T13" s="54">
        <v>16517</v>
      </c>
    </row>
    <row r="14" spans="1:20" x14ac:dyDescent="0.25">
      <c r="A14" s="104" t="s">
        <v>106</v>
      </c>
      <c r="B14" s="38" t="s">
        <v>67</v>
      </c>
      <c r="C14" s="170" t="s">
        <v>109</v>
      </c>
      <c r="D14" s="171"/>
      <c r="E14" s="45" t="s">
        <v>110</v>
      </c>
      <c r="F14" s="136"/>
      <c r="G14" s="137"/>
      <c r="H14" s="100">
        <v>48</v>
      </c>
      <c r="I14" s="48"/>
      <c r="J14" s="52"/>
      <c r="K14" s="52"/>
      <c r="L14" s="138"/>
      <c r="M14" s="139"/>
      <c r="N14" s="48"/>
      <c r="O14" s="100"/>
      <c r="P14" s="49"/>
      <c r="Q14" s="48"/>
      <c r="R14" s="49"/>
      <c r="S14" s="53">
        <f>SUM(F14:R14)</f>
        <v>48</v>
      </c>
      <c r="T14" s="54">
        <v>16517</v>
      </c>
    </row>
    <row r="15" spans="1:20" x14ac:dyDescent="0.25">
      <c r="A15" s="104" t="s">
        <v>106</v>
      </c>
      <c r="B15" s="38" t="s">
        <v>68</v>
      </c>
      <c r="C15" s="170" t="s">
        <v>111</v>
      </c>
      <c r="D15" s="171"/>
      <c r="E15" s="45" t="s">
        <v>112</v>
      </c>
      <c r="F15" s="136"/>
      <c r="G15" s="137"/>
      <c r="H15" s="100"/>
      <c r="I15" s="48">
        <v>7050</v>
      </c>
      <c r="J15" s="52">
        <v>120</v>
      </c>
      <c r="K15" s="52">
        <v>440</v>
      </c>
      <c r="L15" s="138"/>
      <c r="M15" s="139"/>
      <c r="N15" s="99">
        <v>840</v>
      </c>
      <c r="O15" s="100"/>
      <c r="P15" s="49">
        <v>2400</v>
      </c>
      <c r="Q15" s="99">
        <v>1560</v>
      </c>
      <c r="R15" s="49">
        <v>900</v>
      </c>
      <c r="S15" s="53">
        <f t="shared" si="0"/>
        <v>13310</v>
      </c>
      <c r="T15" s="54">
        <v>4257270</v>
      </c>
    </row>
    <row r="16" spans="1:20" x14ac:dyDescent="0.25">
      <c r="A16" s="105" t="s">
        <v>113</v>
      </c>
      <c r="B16" s="38" t="s">
        <v>69</v>
      </c>
      <c r="C16" s="170" t="s">
        <v>114</v>
      </c>
      <c r="D16" s="171"/>
      <c r="E16" s="45" t="s">
        <v>115</v>
      </c>
      <c r="F16" s="136"/>
      <c r="G16" s="137"/>
      <c r="H16" s="100"/>
      <c r="I16" s="48"/>
      <c r="J16" s="52"/>
      <c r="K16" s="52"/>
      <c r="L16" s="138"/>
      <c r="M16" s="139"/>
      <c r="N16" s="99"/>
      <c r="O16" s="100"/>
      <c r="P16" s="49">
        <v>264</v>
      </c>
      <c r="Q16" s="99">
        <v>24</v>
      </c>
      <c r="R16" s="55"/>
      <c r="S16" s="53">
        <f t="shared" si="0"/>
        <v>288</v>
      </c>
      <c r="T16" s="54">
        <v>96953</v>
      </c>
    </row>
    <row r="17" spans="1:22" x14ac:dyDescent="0.25">
      <c r="A17" s="105" t="s">
        <v>116</v>
      </c>
      <c r="B17" s="38" t="s">
        <v>70</v>
      </c>
      <c r="C17" s="170" t="s">
        <v>117</v>
      </c>
      <c r="D17" s="171"/>
      <c r="E17" s="45" t="s">
        <v>118</v>
      </c>
      <c r="F17" s="136"/>
      <c r="G17" s="137"/>
      <c r="H17" s="100"/>
      <c r="I17" s="48"/>
      <c r="J17" s="52"/>
      <c r="K17" s="52"/>
      <c r="L17" s="138"/>
      <c r="M17" s="139"/>
      <c r="N17" s="99"/>
      <c r="O17" s="100"/>
      <c r="P17" s="49">
        <v>360</v>
      </c>
      <c r="Q17" s="99"/>
      <c r="R17" s="55"/>
      <c r="S17" s="53">
        <f t="shared" si="0"/>
        <v>360</v>
      </c>
      <c r="T17" s="54">
        <v>119573</v>
      </c>
    </row>
    <row r="18" spans="1:22" x14ac:dyDescent="0.25">
      <c r="A18" s="105" t="s">
        <v>116</v>
      </c>
      <c r="B18" s="38" t="s">
        <v>71</v>
      </c>
      <c r="C18" s="170" t="s">
        <v>120</v>
      </c>
      <c r="D18" s="171"/>
      <c r="E18" s="45" t="s">
        <v>121</v>
      </c>
      <c r="F18" s="136"/>
      <c r="G18" s="137"/>
      <c r="H18" s="100"/>
      <c r="I18" s="48"/>
      <c r="J18" s="52"/>
      <c r="K18" s="52"/>
      <c r="L18" s="138"/>
      <c r="M18" s="139"/>
      <c r="N18" s="99">
        <v>600</v>
      </c>
      <c r="O18" s="100">
        <v>240</v>
      </c>
      <c r="P18" s="49">
        <v>3600</v>
      </c>
      <c r="Q18" s="99"/>
      <c r="R18" s="55"/>
      <c r="S18" s="53">
        <f>SUM(F18:R18)</f>
        <v>4440</v>
      </c>
      <c r="T18" s="54">
        <v>1418333</v>
      </c>
    </row>
    <row r="19" spans="1:22" x14ac:dyDescent="0.25">
      <c r="A19" s="105" t="s">
        <v>116</v>
      </c>
      <c r="B19" s="38" t="s">
        <v>72</v>
      </c>
      <c r="C19" s="170" t="s">
        <v>122</v>
      </c>
      <c r="D19" s="171"/>
      <c r="E19" s="45" t="s">
        <v>121</v>
      </c>
      <c r="F19" s="136"/>
      <c r="G19" s="137"/>
      <c r="H19" s="100"/>
      <c r="I19" s="48"/>
      <c r="J19" s="52"/>
      <c r="K19" s="52"/>
      <c r="L19" s="138"/>
      <c r="M19" s="139"/>
      <c r="N19" s="99">
        <v>600</v>
      </c>
      <c r="O19" s="100">
        <v>480</v>
      </c>
      <c r="P19" s="49">
        <v>840</v>
      </c>
      <c r="Q19" s="99"/>
      <c r="R19" s="55"/>
      <c r="S19" s="53">
        <f t="shared" si="0"/>
        <v>1920</v>
      </c>
      <c r="T19" s="54">
        <v>609443</v>
      </c>
      <c r="V19" s="13"/>
    </row>
    <row r="20" spans="1:22" x14ac:dyDescent="0.25">
      <c r="A20" s="105" t="s">
        <v>116</v>
      </c>
      <c r="B20" s="38" t="s">
        <v>73</v>
      </c>
      <c r="C20" s="136" t="s">
        <v>123</v>
      </c>
      <c r="D20" s="139"/>
      <c r="E20" s="45" t="s">
        <v>121</v>
      </c>
      <c r="F20" s="136"/>
      <c r="G20" s="137"/>
      <c r="H20" s="100"/>
      <c r="I20" s="48">
        <v>600</v>
      </c>
      <c r="J20" s="52"/>
      <c r="K20" s="52"/>
      <c r="L20" s="138"/>
      <c r="M20" s="139"/>
      <c r="N20" s="99"/>
      <c r="O20" s="100"/>
      <c r="P20" s="49">
        <v>1920</v>
      </c>
      <c r="Q20" s="99"/>
      <c r="R20" s="55"/>
      <c r="S20" s="53">
        <f t="shared" si="0"/>
        <v>2520</v>
      </c>
      <c r="T20" s="54">
        <v>797736</v>
      </c>
    </row>
    <row r="21" spans="1:22" x14ac:dyDescent="0.25">
      <c r="A21" s="105" t="s">
        <v>116</v>
      </c>
      <c r="B21" s="38" t="s">
        <v>74</v>
      </c>
      <c r="C21" s="136" t="s">
        <v>95</v>
      </c>
      <c r="D21" s="139"/>
      <c r="E21" s="45" t="s">
        <v>96</v>
      </c>
      <c r="F21" s="136"/>
      <c r="G21" s="137"/>
      <c r="H21" s="100"/>
      <c r="I21" s="48"/>
      <c r="J21" s="52"/>
      <c r="K21" s="52">
        <v>220</v>
      </c>
      <c r="L21" s="138"/>
      <c r="M21" s="139"/>
      <c r="N21" s="99">
        <v>600</v>
      </c>
      <c r="O21" s="100">
        <v>240</v>
      </c>
      <c r="P21" s="49">
        <v>1440</v>
      </c>
      <c r="Q21" s="99"/>
      <c r="R21" s="55"/>
      <c r="S21" s="53">
        <f t="shared" si="0"/>
        <v>2500</v>
      </c>
      <c r="T21" s="54">
        <v>802040</v>
      </c>
    </row>
    <row r="22" spans="1:22" x14ac:dyDescent="0.25">
      <c r="A22" s="106" t="s">
        <v>119</v>
      </c>
      <c r="B22" s="38" t="s">
        <v>75</v>
      </c>
      <c r="C22" s="136" t="s">
        <v>124</v>
      </c>
      <c r="D22" s="139"/>
      <c r="E22" s="45" t="s">
        <v>125</v>
      </c>
      <c r="F22" s="136">
        <v>48</v>
      </c>
      <c r="G22" s="137"/>
      <c r="H22" s="100">
        <v>24</v>
      </c>
      <c r="I22" s="48"/>
      <c r="J22" s="52"/>
      <c r="K22" s="52"/>
      <c r="L22" s="138"/>
      <c r="M22" s="139"/>
      <c r="N22" s="99"/>
      <c r="O22" s="100"/>
      <c r="P22" s="49">
        <v>72</v>
      </c>
      <c r="Q22" s="99">
        <v>24</v>
      </c>
      <c r="R22" s="55"/>
      <c r="S22" s="53">
        <f t="shared" si="0"/>
        <v>168</v>
      </c>
      <c r="T22" s="54">
        <v>57621</v>
      </c>
    </row>
    <row r="23" spans="1:22" x14ac:dyDescent="0.25">
      <c r="A23" s="106" t="s">
        <v>126</v>
      </c>
      <c r="B23" s="38" t="s">
        <v>76</v>
      </c>
      <c r="C23" s="136" t="s">
        <v>127</v>
      </c>
      <c r="D23" s="139"/>
      <c r="E23" s="45" t="s">
        <v>128</v>
      </c>
      <c r="F23" s="136"/>
      <c r="G23" s="137"/>
      <c r="H23" s="100">
        <v>1200</v>
      </c>
      <c r="I23" s="48">
        <v>900</v>
      </c>
      <c r="J23" s="52"/>
      <c r="K23" s="52">
        <v>660</v>
      </c>
      <c r="L23" s="138"/>
      <c r="M23" s="139"/>
      <c r="N23" s="99"/>
      <c r="O23" s="100"/>
      <c r="P23" s="49">
        <v>4320</v>
      </c>
      <c r="Q23" s="99"/>
      <c r="R23" s="55"/>
      <c r="S23" s="53">
        <f t="shared" si="0"/>
        <v>7080</v>
      </c>
      <c r="T23" s="54">
        <v>2223353</v>
      </c>
    </row>
    <row r="24" spans="1:22" x14ac:dyDescent="0.25">
      <c r="A24" s="106" t="s">
        <v>126</v>
      </c>
      <c r="B24" s="38" t="s">
        <v>77</v>
      </c>
      <c r="C24" s="136" t="s">
        <v>98</v>
      </c>
      <c r="D24" s="139"/>
      <c r="E24" s="45" t="s">
        <v>99</v>
      </c>
      <c r="F24" s="136"/>
      <c r="G24" s="137"/>
      <c r="H24" s="100">
        <v>120</v>
      </c>
      <c r="I24" s="48"/>
      <c r="J24" s="52"/>
      <c r="K24" s="52"/>
      <c r="L24" s="138"/>
      <c r="M24" s="139"/>
      <c r="N24" s="99"/>
      <c r="O24" s="100"/>
      <c r="P24" s="49"/>
      <c r="Q24" s="99">
        <v>24</v>
      </c>
      <c r="R24" s="55"/>
      <c r="S24" s="53">
        <f t="shared" si="0"/>
        <v>144</v>
      </c>
      <c r="T24" s="54">
        <v>50559</v>
      </c>
    </row>
    <row r="25" spans="1:22" x14ac:dyDescent="0.25">
      <c r="A25" s="106" t="s">
        <v>126</v>
      </c>
      <c r="B25" s="38" t="s">
        <v>78</v>
      </c>
      <c r="C25" s="136" t="s">
        <v>129</v>
      </c>
      <c r="D25" s="139"/>
      <c r="E25" s="45" t="s">
        <v>130</v>
      </c>
      <c r="F25" s="136"/>
      <c r="G25" s="137"/>
      <c r="H25" s="100">
        <v>120</v>
      </c>
      <c r="I25" s="48"/>
      <c r="J25" s="52"/>
      <c r="K25" s="52"/>
      <c r="L25" s="138"/>
      <c r="M25" s="139"/>
      <c r="N25" s="99"/>
      <c r="O25" s="100"/>
      <c r="P25" s="49"/>
      <c r="Q25" s="99"/>
      <c r="R25" s="55"/>
      <c r="S25" s="53">
        <f t="shared" si="0"/>
        <v>120</v>
      </c>
      <c r="T25" s="54">
        <v>41293</v>
      </c>
    </row>
    <row r="26" spans="1:22" x14ac:dyDescent="0.25">
      <c r="A26" s="106" t="s">
        <v>131</v>
      </c>
      <c r="B26" s="38" t="s">
        <v>79</v>
      </c>
      <c r="C26" s="136" t="s">
        <v>95</v>
      </c>
      <c r="D26" s="139"/>
      <c r="E26" s="45" t="s">
        <v>96</v>
      </c>
      <c r="F26" s="136"/>
      <c r="G26" s="137"/>
      <c r="H26" s="100"/>
      <c r="I26" s="48">
        <v>1200</v>
      </c>
      <c r="J26" s="52"/>
      <c r="K26" s="52"/>
      <c r="L26" s="138"/>
      <c r="M26" s="139"/>
      <c r="N26" s="99">
        <v>1200</v>
      </c>
      <c r="O26" s="100">
        <v>600</v>
      </c>
      <c r="P26" s="49">
        <v>2400</v>
      </c>
      <c r="Q26" s="99">
        <v>120</v>
      </c>
      <c r="R26" s="55"/>
      <c r="S26" s="53">
        <f t="shared" si="0"/>
        <v>5520</v>
      </c>
      <c r="T26" s="54">
        <v>1744853</v>
      </c>
    </row>
    <row r="27" spans="1:22" x14ac:dyDescent="0.25">
      <c r="A27" s="106" t="s">
        <v>131</v>
      </c>
      <c r="B27" s="38" t="s">
        <v>80</v>
      </c>
      <c r="C27" s="136" t="s">
        <v>133</v>
      </c>
      <c r="D27" s="139"/>
      <c r="E27" s="56" t="s">
        <v>132</v>
      </c>
      <c r="F27" s="136"/>
      <c r="G27" s="137"/>
      <c r="H27" s="103"/>
      <c r="I27" s="57"/>
      <c r="J27" s="58"/>
      <c r="K27" s="58"/>
      <c r="L27" s="138"/>
      <c r="M27" s="139"/>
      <c r="N27" s="98"/>
      <c r="O27" s="103"/>
      <c r="P27" s="55">
        <v>120</v>
      </c>
      <c r="Q27" s="98"/>
      <c r="R27" s="55"/>
      <c r="S27" s="53">
        <f t="shared" si="0"/>
        <v>120</v>
      </c>
      <c r="T27" s="59">
        <v>39858</v>
      </c>
    </row>
    <row r="28" spans="1:22" x14ac:dyDescent="0.25">
      <c r="A28" s="106" t="s">
        <v>131</v>
      </c>
      <c r="B28" s="38" t="s">
        <v>81</v>
      </c>
      <c r="C28" s="136" t="s">
        <v>134</v>
      </c>
      <c r="D28" s="139"/>
      <c r="E28" s="56" t="s">
        <v>135</v>
      </c>
      <c r="F28" s="136"/>
      <c r="G28" s="137"/>
      <c r="H28" s="103">
        <v>48</v>
      </c>
      <c r="I28" s="57"/>
      <c r="J28" s="58"/>
      <c r="K28" s="58"/>
      <c r="L28" s="138"/>
      <c r="M28" s="139"/>
      <c r="N28" s="98"/>
      <c r="O28" s="103"/>
      <c r="P28" s="55">
        <v>120</v>
      </c>
      <c r="Q28" s="98">
        <v>120</v>
      </c>
      <c r="R28" s="55"/>
      <c r="S28" s="53">
        <f t="shared" si="0"/>
        <v>288</v>
      </c>
      <c r="T28" s="59">
        <v>102707</v>
      </c>
    </row>
    <row r="29" spans="1:22" x14ac:dyDescent="0.25">
      <c r="A29" s="107" t="s">
        <v>136</v>
      </c>
      <c r="B29" s="38" t="s">
        <v>82</v>
      </c>
      <c r="C29" s="136" t="s">
        <v>137</v>
      </c>
      <c r="D29" s="139"/>
      <c r="E29" s="56" t="s">
        <v>138</v>
      </c>
      <c r="F29" s="136"/>
      <c r="G29" s="137"/>
      <c r="H29" s="103"/>
      <c r="I29" s="57"/>
      <c r="J29" s="58"/>
      <c r="K29" s="58"/>
      <c r="L29" s="138"/>
      <c r="M29" s="139"/>
      <c r="N29" s="98"/>
      <c r="O29" s="103"/>
      <c r="P29" s="55"/>
      <c r="Q29" s="98">
        <v>60</v>
      </c>
      <c r="R29" s="55"/>
      <c r="S29" s="53">
        <f t="shared" si="0"/>
        <v>60</v>
      </c>
      <c r="T29" s="59">
        <v>23166</v>
      </c>
    </row>
    <row r="30" spans="1:22" x14ac:dyDescent="0.25">
      <c r="A30" s="107" t="s">
        <v>136</v>
      </c>
      <c r="B30" s="38" t="s">
        <v>83</v>
      </c>
      <c r="C30" s="136" t="s">
        <v>140</v>
      </c>
      <c r="D30" s="139"/>
      <c r="E30" s="56" t="s">
        <v>139</v>
      </c>
      <c r="F30" s="136"/>
      <c r="G30" s="137"/>
      <c r="H30" s="103"/>
      <c r="I30" s="57"/>
      <c r="J30" s="58"/>
      <c r="K30" s="58"/>
      <c r="L30" s="138"/>
      <c r="M30" s="139"/>
      <c r="N30" s="98"/>
      <c r="O30" s="103"/>
      <c r="P30" s="55"/>
      <c r="Q30" s="98">
        <v>60</v>
      </c>
      <c r="R30" s="55"/>
      <c r="S30" s="53">
        <f t="shared" si="0"/>
        <v>60</v>
      </c>
      <c r="T30" s="59">
        <v>23166</v>
      </c>
    </row>
    <row r="31" spans="1:22" x14ac:dyDescent="0.25">
      <c r="A31" s="107" t="s">
        <v>136</v>
      </c>
      <c r="B31" s="38" t="s">
        <v>84</v>
      </c>
      <c r="C31" s="136" t="s">
        <v>141</v>
      </c>
      <c r="D31" s="139"/>
      <c r="E31" s="56" t="s">
        <v>142</v>
      </c>
      <c r="F31" s="136"/>
      <c r="G31" s="137"/>
      <c r="H31" s="103"/>
      <c r="I31" s="57"/>
      <c r="J31" s="58"/>
      <c r="K31" s="58"/>
      <c r="L31" s="138"/>
      <c r="M31" s="139"/>
      <c r="N31" s="98"/>
      <c r="O31" s="103"/>
      <c r="P31" s="55">
        <v>72</v>
      </c>
      <c r="Q31" s="98"/>
      <c r="R31" s="55"/>
      <c r="S31" s="53">
        <f t="shared" si="0"/>
        <v>72</v>
      </c>
      <c r="T31" s="59">
        <v>23915</v>
      </c>
    </row>
    <row r="32" spans="1:22" x14ac:dyDescent="0.25">
      <c r="A32" s="108" t="s">
        <v>143</v>
      </c>
      <c r="B32" s="38" t="s">
        <v>85</v>
      </c>
      <c r="C32" s="136" t="s">
        <v>144</v>
      </c>
      <c r="D32" s="139"/>
      <c r="E32" s="56" t="s">
        <v>145</v>
      </c>
      <c r="F32" s="136"/>
      <c r="G32" s="137"/>
      <c r="H32" s="103"/>
      <c r="I32" s="57">
        <v>120</v>
      </c>
      <c r="J32" s="58"/>
      <c r="K32" s="58"/>
      <c r="L32" s="138"/>
      <c r="M32" s="139"/>
      <c r="N32" s="98"/>
      <c r="O32" s="103">
        <v>144</v>
      </c>
      <c r="P32" s="55">
        <v>720</v>
      </c>
      <c r="Q32" s="98">
        <v>120</v>
      </c>
      <c r="R32" s="55"/>
      <c r="S32" s="53">
        <f t="shared" si="0"/>
        <v>1104</v>
      </c>
      <c r="T32" s="59">
        <v>357629</v>
      </c>
    </row>
    <row r="33" spans="1:20" x14ac:dyDescent="0.25">
      <c r="A33" s="108" t="s">
        <v>143</v>
      </c>
      <c r="B33" s="38" t="s">
        <v>86</v>
      </c>
      <c r="C33" s="136" t="s">
        <v>127</v>
      </c>
      <c r="D33" s="139"/>
      <c r="E33" s="56" t="s">
        <v>146</v>
      </c>
      <c r="F33" s="136">
        <v>720</v>
      </c>
      <c r="G33" s="137"/>
      <c r="H33" s="103">
        <v>1440</v>
      </c>
      <c r="I33" s="57">
        <v>600</v>
      </c>
      <c r="J33" s="58"/>
      <c r="K33" s="58"/>
      <c r="L33" s="138"/>
      <c r="M33" s="139"/>
      <c r="N33" s="98">
        <v>480</v>
      </c>
      <c r="O33" s="103">
        <v>720</v>
      </c>
      <c r="P33" s="55">
        <v>4800</v>
      </c>
      <c r="Q33" s="98"/>
      <c r="R33" s="55"/>
      <c r="S33" s="53">
        <f t="shared" si="0"/>
        <v>8760</v>
      </c>
      <c r="T33" s="59">
        <v>2737951</v>
      </c>
    </row>
    <row r="34" spans="1:20" x14ac:dyDescent="0.25">
      <c r="A34" s="109" t="s">
        <v>147</v>
      </c>
      <c r="B34" s="38" t="s">
        <v>87</v>
      </c>
      <c r="C34" s="136" t="s">
        <v>117</v>
      </c>
      <c r="D34" s="139"/>
      <c r="E34" s="56" t="s">
        <v>118</v>
      </c>
      <c r="F34" s="136"/>
      <c r="G34" s="137"/>
      <c r="H34" s="103"/>
      <c r="I34" s="57"/>
      <c r="J34" s="58"/>
      <c r="K34" s="58"/>
      <c r="L34" s="138"/>
      <c r="M34" s="139"/>
      <c r="N34" s="98"/>
      <c r="O34" s="103"/>
      <c r="P34" s="55">
        <v>480</v>
      </c>
      <c r="Q34" s="98"/>
      <c r="R34" s="55"/>
      <c r="S34" s="53">
        <f t="shared" si="0"/>
        <v>480</v>
      </c>
      <c r="T34" s="59">
        <v>159430</v>
      </c>
    </row>
    <row r="35" spans="1:20" x14ac:dyDescent="0.25">
      <c r="A35" s="110" t="s">
        <v>147</v>
      </c>
      <c r="B35" s="38" t="s">
        <v>88</v>
      </c>
      <c r="C35" s="136" t="s">
        <v>111</v>
      </c>
      <c r="D35" s="139"/>
      <c r="E35" s="56" t="s">
        <v>112</v>
      </c>
      <c r="F35" s="136"/>
      <c r="G35" s="137"/>
      <c r="H35" s="103"/>
      <c r="I35" s="57">
        <v>9750</v>
      </c>
      <c r="J35" s="58"/>
      <c r="K35" s="58">
        <v>330</v>
      </c>
      <c r="L35" s="138"/>
      <c r="M35" s="139"/>
      <c r="N35" s="98"/>
      <c r="O35" s="103">
        <v>120</v>
      </c>
      <c r="P35" s="55">
        <v>2400</v>
      </c>
      <c r="Q35" s="98">
        <v>1500</v>
      </c>
      <c r="R35" s="55"/>
      <c r="S35" s="53">
        <f t="shared" si="0"/>
        <v>14100</v>
      </c>
      <c r="T35" s="59">
        <v>4400818</v>
      </c>
    </row>
    <row r="36" spans="1:20" x14ac:dyDescent="0.25">
      <c r="A36" s="111" t="s">
        <v>148</v>
      </c>
      <c r="B36" s="38" t="s">
        <v>89</v>
      </c>
      <c r="C36" s="136" t="s">
        <v>102</v>
      </c>
      <c r="D36" s="139"/>
      <c r="E36" s="56" t="s">
        <v>103</v>
      </c>
      <c r="F36" s="136"/>
      <c r="G36" s="137"/>
      <c r="H36" s="103"/>
      <c r="I36" s="57"/>
      <c r="J36" s="58"/>
      <c r="K36" s="58"/>
      <c r="L36" s="138"/>
      <c r="M36" s="139"/>
      <c r="N36" s="98"/>
      <c r="O36" s="103"/>
      <c r="P36" s="55"/>
      <c r="Q36" s="98">
        <v>60</v>
      </c>
      <c r="R36" s="55"/>
      <c r="S36" s="53">
        <f t="shared" si="0"/>
        <v>60</v>
      </c>
      <c r="T36" s="59">
        <v>23166</v>
      </c>
    </row>
    <row r="37" spans="1:20" x14ac:dyDescent="0.25">
      <c r="A37" s="111" t="s">
        <v>148</v>
      </c>
      <c r="B37" s="38" t="s">
        <v>90</v>
      </c>
      <c r="C37" s="136" t="s">
        <v>149</v>
      </c>
      <c r="D37" s="139"/>
      <c r="E37" s="56" t="s">
        <v>99</v>
      </c>
      <c r="F37" s="136"/>
      <c r="G37" s="137"/>
      <c r="H37" s="103"/>
      <c r="I37" s="57"/>
      <c r="J37" s="58"/>
      <c r="K37" s="58"/>
      <c r="L37" s="138"/>
      <c r="M37" s="139"/>
      <c r="N37" s="98"/>
      <c r="O37" s="103"/>
      <c r="P37" s="55">
        <v>120</v>
      </c>
      <c r="Q37" s="98">
        <v>24</v>
      </c>
      <c r="R37" s="55"/>
      <c r="S37" s="53">
        <f t="shared" si="0"/>
        <v>144</v>
      </c>
      <c r="T37" s="59">
        <v>49124</v>
      </c>
    </row>
    <row r="38" spans="1:20" x14ac:dyDescent="0.25">
      <c r="A38" s="111" t="s">
        <v>148</v>
      </c>
      <c r="B38" s="38" t="s">
        <v>91</v>
      </c>
      <c r="C38" s="136" t="s">
        <v>95</v>
      </c>
      <c r="D38" s="139"/>
      <c r="E38" s="56" t="s">
        <v>96</v>
      </c>
      <c r="F38" s="136"/>
      <c r="G38" s="137"/>
      <c r="H38" s="103"/>
      <c r="I38" s="57">
        <v>600</v>
      </c>
      <c r="J38" s="58"/>
      <c r="K38" s="58"/>
      <c r="L38" s="138"/>
      <c r="M38" s="139"/>
      <c r="N38" s="98">
        <v>480</v>
      </c>
      <c r="O38" s="103">
        <v>480</v>
      </c>
      <c r="P38" s="55">
        <v>1200</v>
      </c>
      <c r="Q38" s="98"/>
      <c r="R38" s="55"/>
      <c r="S38" s="53">
        <f t="shared" si="0"/>
        <v>2760</v>
      </c>
      <c r="T38" s="59">
        <v>869400</v>
      </c>
    </row>
    <row r="39" spans="1:20" x14ac:dyDescent="0.25">
      <c r="A39" s="52" t="s">
        <v>150</v>
      </c>
      <c r="B39" s="114" t="s">
        <v>92</v>
      </c>
      <c r="C39" s="170" t="s">
        <v>52</v>
      </c>
      <c r="D39" s="171"/>
      <c r="E39" s="56" t="s">
        <v>158</v>
      </c>
      <c r="F39" s="136"/>
      <c r="G39" s="137"/>
      <c r="H39" s="103">
        <v>120</v>
      </c>
      <c r="I39" s="57"/>
      <c r="J39" s="58"/>
      <c r="K39" s="58"/>
      <c r="L39" s="138"/>
      <c r="M39" s="139"/>
      <c r="N39" s="112"/>
      <c r="O39" s="103"/>
      <c r="P39" s="55"/>
      <c r="Q39" s="112"/>
      <c r="R39" s="55"/>
      <c r="S39" s="53">
        <f t="shared" si="0"/>
        <v>120</v>
      </c>
      <c r="T39" s="59">
        <v>41293</v>
      </c>
    </row>
    <row r="40" spans="1:20" x14ac:dyDescent="0.25">
      <c r="A40" s="113" t="s">
        <v>150</v>
      </c>
      <c r="B40" s="38" t="s">
        <v>93</v>
      </c>
      <c r="C40" s="170" t="s">
        <v>111</v>
      </c>
      <c r="D40" s="171"/>
      <c r="E40" s="56" t="s">
        <v>112</v>
      </c>
      <c r="F40" s="136"/>
      <c r="G40" s="137"/>
      <c r="H40" s="103"/>
      <c r="I40" s="57">
        <v>6450</v>
      </c>
      <c r="J40" s="58"/>
      <c r="K40" s="58">
        <v>110</v>
      </c>
      <c r="L40" s="138"/>
      <c r="M40" s="139"/>
      <c r="N40" s="112">
        <v>240</v>
      </c>
      <c r="O40" s="103">
        <v>120</v>
      </c>
      <c r="P40" s="55">
        <v>4200</v>
      </c>
      <c r="Q40" s="112">
        <v>2100</v>
      </c>
      <c r="R40" s="55"/>
      <c r="S40" s="53">
        <f t="shared" si="0"/>
        <v>13220</v>
      </c>
      <c r="T40" s="59">
        <v>4201426</v>
      </c>
    </row>
    <row r="41" spans="1:20" x14ac:dyDescent="0.25">
      <c r="A41" s="52" t="s">
        <v>159</v>
      </c>
      <c r="B41" s="114" t="s">
        <v>94</v>
      </c>
      <c r="C41" s="170" t="s">
        <v>120</v>
      </c>
      <c r="D41" s="171"/>
      <c r="E41" s="56" t="s">
        <v>121</v>
      </c>
      <c r="F41" s="136"/>
      <c r="G41" s="137"/>
      <c r="H41" s="103"/>
      <c r="I41" s="57">
        <v>1800</v>
      </c>
      <c r="J41" s="58"/>
      <c r="K41" s="58"/>
      <c r="L41" s="138"/>
      <c r="M41" s="139"/>
      <c r="N41" s="112">
        <v>240</v>
      </c>
      <c r="O41" s="103">
        <v>240</v>
      </c>
      <c r="P41" s="55">
        <v>2640</v>
      </c>
      <c r="Q41" s="112"/>
      <c r="R41" s="55"/>
      <c r="S41" s="53">
        <f t="shared" si="0"/>
        <v>4920</v>
      </c>
      <c r="T41" s="59">
        <v>1544165</v>
      </c>
    </row>
    <row r="42" spans="1:20" x14ac:dyDescent="0.25">
      <c r="A42" s="52" t="s">
        <v>159</v>
      </c>
      <c r="B42" s="114" t="s">
        <v>151</v>
      </c>
      <c r="C42" s="170" t="s">
        <v>122</v>
      </c>
      <c r="D42" s="171"/>
      <c r="E42" s="56" t="s">
        <v>121</v>
      </c>
      <c r="F42" s="136"/>
      <c r="G42" s="137"/>
      <c r="H42" s="103"/>
      <c r="I42" s="57"/>
      <c r="J42" s="58"/>
      <c r="K42" s="58"/>
      <c r="L42" s="138"/>
      <c r="M42" s="139"/>
      <c r="N42" s="112">
        <v>600</v>
      </c>
      <c r="O42" s="103"/>
      <c r="P42" s="55">
        <v>1200</v>
      </c>
      <c r="Q42" s="112"/>
      <c r="R42" s="55"/>
      <c r="S42" s="53">
        <f t="shared" si="0"/>
        <v>1800</v>
      </c>
      <c r="T42" s="59">
        <v>572891</v>
      </c>
    </row>
    <row r="43" spans="1:20" x14ac:dyDescent="0.25">
      <c r="A43" s="52" t="s">
        <v>159</v>
      </c>
      <c r="B43" s="114" t="s">
        <v>152</v>
      </c>
      <c r="C43" s="170" t="s">
        <v>123</v>
      </c>
      <c r="D43" s="171"/>
      <c r="E43" s="56" t="s">
        <v>121</v>
      </c>
      <c r="F43" s="136"/>
      <c r="G43" s="137"/>
      <c r="H43" s="103"/>
      <c r="I43" s="57"/>
      <c r="J43" s="58"/>
      <c r="K43" s="58"/>
      <c r="L43" s="138"/>
      <c r="M43" s="139"/>
      <c r="N43" s="112"/>
      <c r="O43" s="103"/>
      <c r="P43" s="55">
        <v>1800</v>
      </c>
      <c r="Q43" s="112"/>
      <c r="R43" s="55"/>
      <c r="S43" s="53">
        <f t="shared" si="0"/>
        <v>1800</v>
      </c>
      <c r="T43" s="59">
        <v>577093</v>
      </c>
    </row>
    <row r="44" spans="1:20" x14ac:dyDescent="0.25">
      <c r="A44" s="52" t="s">
        <v>174</v>
      </c>
      <c r="B44" s="114" t="s">
        <v>153</v>
      </c>
      <c r="C44" s="170" t="s">
        <v>95</v>
      </c>
      <c r="D44" s="171"/>
      <c r="E44" s="56" t="s">
        <v>96</v>
      </c>
      <c r="F44" s="136"/>
      <c r="G44" s="137"/>
      <c r="H44" s="103"/>
      <c r="I44" s="57"/>
      <c r="J44" s="58"/>
      <c r="K44" s="58"/>
      <c r="L44" s="138"/>
      <c r="M44" s="139"/>
      <c r="N44" s="112">
        <v>1200</v>
      </c>
      <c r="O44" s="103">
        <v>1200</v>
      </c>
      <c r="P44" s="55">
        <v>5400</v>
      </c>
      <c r="Q44" s="112"/>
      <c r="R44" s="55"/>
      <c r="S44" s="53">
        <f t="shared" si="0"/>
        <v>7800</v>
      </c>
      <c r="T44" s="59">
        <v>2487530</v>
      </c>
    </row>
    <row r="45" spans="1:20" x14ac:dyDescent="0.25">
      <c r="A45" s="52" t="s">
        <v>175</v>
      </c>
      <c r="B45" s="114" t="s">
        <v>154</v>
      </c>
      <c r="C45" s="170" t="s">
        <v>102</v>
      </c>
      <c r="D45" s="171"/>
      <c r="E45" s="56" t="s">
        <v>103</v>
      </c>
      <c r="F45" s="136"/>
      <c r="G45" s="137"/>
      <c r="H45" s="103"/>
      <c r="I45" s="57"/>
      <c r="J45" s="58"/>
      <c r="K45" s="58"/>
      <c r="L45" s="138"/>
      <c r="M45" s="139"/>
      <c r="N45" s="112"/>
      <c r="O45" s="103"/>
      <c r="P45" s="55">
        <v>120</v>
      </c>
      <c r="Q45" s="112">
        <v>60</v>
      </c>
      <c r="R45" s="55"/>
      <c r="S45" s="53">
        <f t="shared" si="0"/>
        <v>180</v>
      </c>
      <c r="T45" s="59">
        <v>63024</v>
      </c>
    </row>
    <row r="46" spans="1:20" x14ac:dyDescent="0.25">
      <c r="A46" s="52" t="s">
        <v>175</v>
      </c>
      <c r="B46" s="114" t="s">
        <v>155</v>
      </c>
      <c r="C46" s="170" t="s">
        <v>95</v>
      </c>
      <c r="D46" s="171"/>
      <c r="E46" s="56" t="s">
        <v>96</v>
      </c>
      <c r="F46" s="136"/>
      <c r="G46" s="137"/>
      <c r="H46" s="103">
        <v>240</v>
      </c>
      <c r="I46" s="57">
        <v>450</v>
      </c>
      <c r="J46" s="58"/>
      <c r="K46" s="58"/>
      <c r="L46" s="138">
        <v>110</v>
      </c>
      <c r="M46" s="139"/>
      <c r="N46" s="116"/>
      <c r="O46" s="103"/>
      <c r="P46" s="55"/>
      <c r="Q46" s="116"/>
      <c r="R46" s="55"/>
      <c r="S46" s="53">
        <f t="shared" si="0"/>
        <v>800</v>
      </c>
      <c r="T46" s="59">
        <v>254659</v>
      </c>
    </row>
    <row r="47" spans="1:20" x14ac:dyDescent="0.25">
      <c r="A47" s="52" t="s">
        <v>175</v>
      </c>
      <c r="B47" s="114" t="s">
        <v>156</v>
      </c>
      <c r="C47" s="170" t="s">
        <v>98</v>
      </c>
      <c r="D47" s="171"/>
      <c r="E47" s="56" t="s">
        <v>99</v>
      </c>
      <c r="F47" s="136"/>
      <c r="G47" s="137"/>
      <c r="H47" s="103"/>
      <c r="I47" s="57"/>
      <c r="J47" s="58"/>
      <c r="K47" s="58"/>
      <c r="L47" s="138"/>
      <c r="M47" s="139"/>
      <c r="N47" s="116"/>
      <c r="O47" s="103"/>
      <c r="P47" s="55">
        <v>120</v>
      </c>
      <c r="Q47" s="116"/>
      <c r="R47" s="55"/>
      <c r="S47" s="53">
        <f t="shared" si="0"/>
        <v>120</v>
      </c>
      <c r="T47" s="59">
        <v>39858</v>
      </c>
    </row>
    <row r="48" spans="1:20" x14ac:dyDescent="0.25">
      <c r="A48" s="52" t="s">
        <v>176</v>
      </c>
      <c r="B48" s="114" t="s">
        <v>157</v>
      </c>
      <c r="C48" s="170" t="s">
        <v>127</v>
      </c>
      <c r="D48" s="171"/>
      <c r="E48" s="56" t="s">
        <v>146</v>
      </c>
      <c r="F48" s="136"/>
      <c r="G48" s="137"/>
      <c r="H48" s="103">
        <v>1200</v>
      </c>
      <c r="I48" s="57"/>
      <c r="J48" s="58">
        <v>240</v>
      </c>
      <c r="K48" s="58"/>
      <c r="L48" s="138"/>
      <c r="M48" s="139"/>
      <c r="N48" s="116">
        <v>1200</v>
      </c>
      <c r="O48" s="103">
        <v>720</v>
      </c>
      <c r="P48" s="55">
        <v>3600</v>
      </c>
      <c r="Q48" s="116">
        <v>240</v>
      </c>
      <c r="R48" s="55"/>
      <c r="S48" s="53">
        <f t="shared" si="0"/>
        <v>7200</v>
      </c>
      <c r="T48" s="59">
        <v>2265173</v>
      </c>
    </row>
    <row r="49" spans="1:24" x14ac:dyDescent="0.25">
      <c r="A49" s="52" t="s">
        <v>176</v>
      </c>
      <c r="B49" s="114" t="s">
        <v>162</v>
      </c>
      <c r="C49" s="170" t="s">
        <v>177</v>
      </c>
      <c r="D49" s="171"/>
      <c r="E49" s="117" t="s">
        <v>178</v>
      </c>
      <c r="F49" s="136"/>
      <c r="G49" s="137"/>
      <c r="H49" s="103"/>
      <c r="I49" s="57"/>
      <c r="J49" s="58"/>
      <c r="K49" s="58"/>
      <c r="L49" s="138"/>
      <c r="M49" s="139"/>
      <c r="N49" s="116"/>
      <c r="O49" s="103"/>
      <c r="P49" s="55">
        <v>240</v>
      </c>
      <c r="Q49" s="116"/>
      <c r="R49" s="55"/>
      <c r="S49" s="53">
        <f t="shared" si="0"/>
        <v>240</v>
      </c>
      <c r="T49" s="59">
        <v>79715</v>
      </c>
    </row>
    <row r="50" spans="1:24" x14ac:dyDescent="0.25">
      <c r="A50" s="52" t="s">
        <v>176</v>
      </c>
      <c r="B50" s="114" t="s">
        <v>163</v>
      </c>
      <c r="C50" s="170" t="s">
        <v>100</v>
      </c>
      <c r="D50" s="171"/>
      <c r="E50" s="56" t="s">
        <v>101</v>
      </c>
      <c r="F50" s="136"/>
      <c r="G50" s="137"/>
      <c r="H50" s="103"/>
      <c r="I50" s="57"/>
      <c r="J50" s="58"/>
      <c r="K50" s="58"/>
      <c r="L50" s="138"/>
      <c r="M50" s="139"/>
      <c r="N50" s="116"/>
      <c r="O50" s="103"/>
      <c r="P50" s="55">
        <v>360</v>
      </c>
      <c r="Q50" s="116"/>
      <c r="R50" s="55"/>
      <c r="S50" s="53">
        <f t="shared" si="0"/>
        <v>360</v>
      </c>
      <c r="T50" s="59">
        <v>119573</v>
      </c>
    </row>
    <row r="51" spans="1:24" x14ac:dyDescent="0.25">
      <c r="A51" s="52" t="s">
        <v>179</v>
      </c>
      <c r="B51" s="114" t="s">
        <v>164</v>
      </c>
      <c r="C51" s="170" t="s">
        <v>180</v>
      </c>
      <c r="D51" s="171"/>
      <c r="E51" s="56" t="s">
        <v>181</v>
      </c>
      <c r="F51" s="136"/>
      <c r="G51" s="137"/>
      <c r="H51" s="103"/>
      <c r="I51" s="57"/>
      <c r="J51" s="58"/>
      <c r="K51" s="58"/>
      <c r="L51" s="138"/>
      <c r="M51" s="139"/>
      <c r="N51" s="116"/>
      <c r="O51" s="103"/>
      <c r="P51" s="55">
        <v>240</v>
      </c>
      <c r="Q51" s="116"/>
      <c r="R51" s="55"/>
      <c r="S51" s="53">
        <f t="shared" si="0"/>
        <v>240</v>
      </c>
      <c r="T51" s="59">
        <v>79715</v>
      </c>
    </row>
    <row r="52" spans="1:24" x14ac:dyDescent="0.25">
      <c r="A52" s="52" t="s">
        <v>179</v>
      </c>
      <c r="B52" s="114" t="s">
        <v>165</v>
      </c>
      <c r="C52" s="170" t="s">
        <v>127</v>
      </c>
      <c r="D52" s="171"/>
      <c r="E52" s="56" t="s">
        <v>128</v>
      </c>
      <c r="F52" s="136"/>
      <c r="G52" s="137"/>
      <c r="H52" s="103">
        <v>960</v>
      </c>
      <c r="I52" s="57">
        <v>750</v>
      </c>
      <c r="J52" s="58"/>
      <c r="K52" s="58">
        <v>660</v>
      </c>
      <c r="L52" s="138">
        <v>330</v>
      </c>
      <c r="M52" s="139"/>
      <c r="N52" s="116">
        <v>360</v>
      </c>
      <c r="O52" s="103">
        <v>240</v>
      </c>
      <c r="P52" s="55">
        <v>1200</v>
      </c>
      <c r="Q52" s="116">
        <v>360</v>
      </c>
      <c r="R52" s="55"/>
      <c r="S52" s="53">
        <f t="shared" si="0"/>
        <v>4860</v>
      </c>
      <c r="T52" s="59">
        <v>1557805</v>
      </c>
    </row>
    <row r="53" spans="1:24" x14ac:dyDescent="0.25">
      <c r="A53" s="52" t="s">
        <v>182</v>
      </c>
      <c r="B53" s="114" t="s">
        <v>166</v>
      </c>
      <c r="C53" s="170" t="s">
        <v>120</v>
      </c>
      <c r="D53" s="171"/>
      <c r="E53" s="56" t="s">
        <v>121</v>
      </c>
      <c r="F53" s="136"/>
      <c r="G53" s="137"/>
      <c r="H53" s="103"/>
      <c r="I53" s="57">
        <v>1800</v>
      </c>
      <c r="J53" s="58"/>
      <c r="K53" s="58"/>
      <c r="L53" s="138"/>
      <c r="M53" s="139"/>
      <c r="N53" s="116">
        <v>720</v>
      </c>
      <c r="O53" s="103">
        <v>240</v>
      </c>
      <c r="P53" s="55">
        <v>2640</v>
      </c>
      <c r="Q53" s="116"/>
      <c r="R53" s="55"/>
      <c r="S53" s="53">
        <f t="shared" si="0"/>
        <v>5400</v>
      </c>
      <c r="T53" s="59">
        <v>1694695</v>
      </c>
    </row>
    <row r="54" spans="1:24" x14ac:dyDescent="0.25">
      <c r="A54" s="52" t="s">
        <v>182</v>
      </c>
      <c r="B54" s="114" t="s">
        <v>167</v>
      </c>
      <c r="C54" s="170" t="s">
        <v>123</v>
      </c>
      <c r="D54" s="171"/>
      <c r="E54" s="56" t="s">
        <v>121</v>
      </c>
      <c r="F54" s="136"/>
      <c r="G54" s="137"/>
      <c r="H54" s="103"/>
      <c r="I54" s="57">
        <v>600</v>
      </c>
      <c r="J54" s="58"/>
      <c r="K54" s="58"/>
      <c r="L54" s="138"/>
      <c r="M54" s="139"/>
      <c r="N54" s="116"/>
      <c r="O54" s="103"/>
      <c r="P54" s="55">
        <v>1200</v>
      </c>
      <c r="Q54" s="116"/>
      <c r="R54" s="55"/>
      <c r="S54" s="53">
        <f t="shared" si="0"/>
        <v>1800</v>
      </c>
      <c r="T54" s="59">
        <v>566899</v>
      </c>
    </row>
    <row r="55" spans="1:24" x14ac:dyDescent="0.25">
      <c r="A55" s="52" t="s">
        <v>182</v>
      </c>
      <c r="B55" s="114" t="s">
        <v>168</v>
      </c>
      <c r="C55" s="170" t="s">
        <v>122</v>
      </c>
      <c r="D55" s="171"/>
      <c r="E55" s="56" t="s">
        <v>121</v>
      </c>
      <c r="F55" s="136"/>
      <c r="G55" s="137"/>
      <c r="H55" s="103"/>
      <c r="I55" s="57"/>
      <c r="J55" s="58"/>
      <c r="K55" s="58"/>
      <c r="L55" s="138"/>
      <c r="M55" s="139"/>
      <c r="N55" s="116">
        <v>480</v>
      </c>
      <c r="O55" s="103">
        <v>240</v>
      </c>
      <c r="P55" s="55">
        <v>480</v>
      </c>
      <c r="Q55" s="116"/>
      <c r="R55" s="55"/>
      <c r="S55" s="53">
        <f t="shared" si="0"/>
        <v>1200</v>
      </c>
      <c r="T55" s="59">
        <v>380407</v>
      </c>
    </row>
    <row r="56" spans="1:24" x14ac:dyDescent="0.25">
      <c r="A56" s="52"/>
      <c r="B56" s="114" t="s">
        <v>169</v>
      </c>
      <c r="C56" s="170"/>
      <c r="D56" s="171"/>
      <c r="E56" s="56"/>
      <c r="F56" s="136"/>
      <c r="G56" s="137"/>
      <c r="H56" s="103"/>
      <c r="I56" s="57"/>
      <c r="J56" s="58"/>
      <c r="K56" s="58"/>
      <c r="L56" s="138"/>
      <c r="M56" s="139"/>
      <c r="N56" s="116"/>
      <c r="O56" s="103"/>
      <c r="P56" s="55"/>
      <c r="Q56" s="116"/>
      <c r="R56" s="55"/>
      <c r="S56" s="53">
        <f t="shared" si="0"/>
        <v>0</v>
      </c>
      <c r="T56" s="59"/>
    </row>
    <row r="57" spans="1:24" x14ac:dyDescent="0.25">
      <c r="A57" s="52"/>
      <c r="B57" s="114" t="s">
        <v>170</v>
      </c>
      <c r="C57" s="170"/>
      <c r="D57" s="171"/>
      <c r="E57" s="56"/>
      <c r="F57" s="136"/>
      <c r="G57" s="137"/>
      <c r="H57" s="103"/>
      <c r="I57" s="57"/>
      <c r="J57" s="58"/>
      <c r="K57" s="58"/>
      <c r="L57" s="138"/>
      <c r="M57" s="139"/>
      <c r="N57" s="116"/>
      <c r="O57" s="103"/>
      <c r="P57" s="55"/>
      <c r="Q57" s="116"/>
      <c r="R57" s="55"/>
      <c r="S57" s="53">
        <f t="shared" si="0"/>
        <v>0</v>
      </c>
      <c r="T57" s="59"/>
    </row>
    <row r="58" spans="1:24" x14ac:dyDescent="0.25">
      <c r="A58" s="52"/>
      <c r="B58" s="114" t="s">
        <v>171</v>
      </c>
      <c r="C58" s="170"/>
      <c r="D58" s="171"/>
      <c r="E58" s="56"/>
      <c r="F58" s="136"/>
      <c r="G58" s="137"/>
      <c r="H58" s="103"/>
      <c r="I58" s="57"/>
      <c r="J58" s="58"/>
      <c r="K58" s="58"/>
      <c r="L58" s="138"/>
      <c r="M58" s="139"/>
      <c r="N58" s="116"/>
      <c r="O58" s="103"/>
      <c r="P58" s="55"/>
      <c r="Q58" s="116"/>
      <c r="R58" s="55"/>
      <c r="S58" s="53">
        <f t="shared" si="0"/>
        <v>0</v>
      </c>
      <c r="T58" s="59"/>
    </row>
    <row r="59" spans="1:24" ht="15.75" thickBot="1" x14ac:dyDescent="0.3">
      <c r="A59" s="115"/>
      <c r="B59" s="114" t="s">
        <v>172</v>
      </c>
      <c r="C59" s="170"/>
      <c r="D59" s="171"/>
      <c r="E59" s="60"/>
      <c r="F59" s="136"/>
      <c r="G59" s="137"/>
      <c r="H59" s="103"/>
      <c r="I59" s="57"/>
      <c r="J59" s="58"/>
      <c r="K59" s="58"/>
      <c r="L59" s="138"/>
      <c r="M59" s="139"/>
      <c r="N59" s="116"/>
      <c r="O59" s="103"/>
      <c r="P59" s="55"/>
      <c r="Q59" s="116"/>
      <c r="R59" s="55"/>
      <c r="S59" s="64">
        <f t="shared" si="0"/>
        <v>0</v>
      </c>
      <c r="T59" s="65"/>
    </row>
    <row r="60" spans="1:24" x14ac:dyDescent="0.25">
      <c r="A60" s="115"/>
      <c r="B60" s="114" t="s">
        <v>173</v>
      </c>
      <c r="C60" s="174"/>
      <c r="D60" s="177"/>
      <c r="E60" s="72"/>
      <c r="F60" s="174"/>
      <c r="G60" s="175"/>
      <c r="H60" s="94"/>
      <c r="I60" s="40"/>
      <c r="J60" s="41"/>
      <c r="K60" s="41"/>
      <c r="L60" s="176"/>
      <c r="M60" s="177"/>
      <c r="N60" s="93"/>
      <c r="O60" s="94"/>
      <c r="P60" s="42"/>
      <c r="Q60" s="89"/>
      <c r="R60" s="42"/>
      <c r="S60" s="66">
        <f t="shared" si="0"/>
        <v>0</v>
      </c>
      <c r="T60" s="44"/>
    </row>
    <row r="61" spans="1:24" x14ac:dyDescent="0.25">
      <c r="A61" s="73"/>
      <c r="B61" s="1"/>
      <c r="C61" s="136"/>
      <c r="D61" s="139"/>
      <c r="E61" s="39"/>
      <c r="F61" s="136"/>
      <c r="G61" s="137"/>
      <c r="H61" s="95"/>
      <c r="I61" s="46"/>
      <c r="J61" s="47"/>
      <c r="K61" s="47"/>
      <c r="L61" s="138"/>
      <c r="M61" s="139"/>
      <c r="N61" s="37"/>
      <c r="O61" s="95"/>
      <c r="P61" s="50"/>
      <c r="Q61" s="37"/>
      <c r="R61" s="50"/>
      <c r="S61" s="53">
        <f t="shared" si="0"/>
        <v>0</v>
      </c>
      <c r="T61" s="51"/>
    </row>
    <row r="62" spans="1:24" x14ac:dyDescent="0.25">
      <c r="A62" s="73"/>
      <c r="B62" s="38"/>
      <c r="C62" s="136"/>
      <c r="D62" s="139"/>
      <c r="E62" s="39"/>
      <c r="F62" s="136"/>
      <c r="G62" s="137"/>
      <c r="H62" s="95"/>
      <c r="I62" s="46"/>
      <c r="J62" s="47"/>
      <c r="K62" s="47"/>
      <c r="L62" s="138"/>
      <c r="M62" s="139"/>
      <c r="N62" s="37"/>
      <c r="O62" s="95"/>
      <c r="P62" s="50"/>
      <c r="Q62" s="37"/>
      <c r="R62" s="50"/>
      <c r="S62" s="53">
        <f t="shared" si="0"/>
        <v>0</v>
      </c>
      <c r="T62" s="51"/>
    </row>
    <row r="63" spans="1:24" ht="8.25" customHeight="1" thickBot="1" x14ac:dyDescent="0.3">
      <c r="A63" s="74"/>
      <c r="B63" s="74"/>
      <c r="C63" s="180"/>
      <c r="D63" s="181"/>
      <c r="E63" s="60"/>
      <c r="F63" s="182"/>
      <c r="G63" s="183"/>
      <c r="H63" s="92"/>
      <c r="I63" s="61"/>
      <c r="J63" s="62"/>
      <c r="K63" s="62"/>
      <c r="L63" s="184"/>
      <c r="M63" s="185"/>
      <c r="N63" s="91"/>
      <c r="O63" s="92"/>
      <c r="P63" s="63"/>
      <c r="Q63" s="90"/>
      <c r="R63" s="63"/>
      <c r="S63" s="64">
        <f t="shared" si="0"/>
        <v>0</v>
      </c>
      <c r="T63" s="65">
        <v>0</v>
      </c>
    </row>
    <row r="64" spans="1:24" ht="15.75" thickBot="1" x14ac:dyDescent="0.3">
      <c r="A64" s="186" t="s">
        <v>16</v>
      </c>
      <c r="B64" s="187"/>
      <c r="C64" s="187"/>
      <c r="D64" s="69"/>
      <c r="E64" s="67"/>
      <c r="F64" s="146">
        <f>SUM(F5:G63)</f>
        <v>768</v>
      </c>
      <c r="G64" s="148"/>
      <c r="H64" s="34">
        <f>SUM(H5:H63)</f>
        <v>5712</v>
      </c>
      <c r="I64" s="87">
        <f>SUM(I5:I63)</f>
        <v>32880</v>
      </c>
      <c r="J64" s="88">
        <f>SUM(J5:J63)</f>
        <v>360</v>
      </c>
      <c r="K64" s="88">
        <f>SUM(K5:K63)</f>
        <v>2442</v>
      </c>
      <c r="L64" s="149">
        <f>SUM(L5:M63)</f>
        <v>440</v>
      </c>
      <c r="M64" s="147"/>
      <c r="N64" s="87">
        <f t="shared" ref="N64:T64" si="1">SUM(N5:N63)</f>
        <v>10440</v>
      </c>
      <c r="O64" s="88">
        <f t="shared" si="1"/>
        <v>6504</v>
      </c>
      <c r="P64" s="34">
        <f t="shared" si="1"/>
        <v>55848</v>
      </c>
      <c r="Q64" s="87">
        <f t="shared" si="1"/>
        <v>6672</v>
      </c>
      <c r="R64" s="34">
        <f t="shared" si="1"/>
        <v>900</v>
      </c>
      <c r="S64" s="68">
        <f t="shared" si="1"/>
        <v>122966</v>
      </c>
      <c r="T64" s="36">
        <f t="shared" si="1"/>
        <v>39031428</v>
      </c>
      <c r="V64" s="13"/>
      <c r="W64" s="13"/>
      <c r="X64" s="13"/>
    </row>
    <row r="65" spans="1:24" ht="15.75" thickBot="1" x14ac:dyDescent="0.3">
      <c r="A65" s="186"/>
      <c r="B65" s="187"/>
      <c r="C65" s="187"/>
      <c r="D65" s="69"/>
      <c r="E65" s="67"/>
      <c r="F65" s="146">
        <f>F4+F64</f>
        <v>768</v>
      </c>
      <c r="G65" s="148"/>
      <c r="H65" s="34">
        <f>H4+H64</f>
        <v>5712</v>
      </c>
      <c r="I65" s="69">
        <f>I4+I64</f>
        <v>32880</v>
      </c>
      <c r="J65" s="88">
        <f>J4+J64</f>
        <v>360</v>
      </c>
      <c r="K65" s="88">
        <f>K4+K64</f>
        <v>2442</v>
      </c>
      <c r="L65" s="149">
        <f>L4+L64</f>
        <v>440</v>
      </c>
      <c r="M65" s="147"/>
      <c r="N65" s="87">
        <f t="shared" ref="N65:T65" si="2">N4+N64</f>
        <v>10440</v>
      </c>
      <c r="O65" s="88">
        <f t="shared" si="2"/>
        <v>6504</v>
      </c>
      <c r="P65" s="34">
        <f t="shared" si="2"/>
        <v>55848</v>
      </c>
      <c r="Q65" s="69">
        <f t="shared" si="2"/>
        <v>6672</v>
      </c>
      <c r="R65" s="88">
        <f t="shared" si="2"/>
        <v>900</v>
      </c>
      <c r="S65" s="70">
        <f t="shared" si="2"/>
        <v>122966</v>
      </c>
      <c r="T65" s="36">
        <f t="shared" si="2"/>
        <v>39031428</v>
      </c>
      <c r="W65" s="13"/>
      <c r="X65" s="13"/>
    </row>
    <row r="66" spans="1:24" ht="15.75" thickBot="1" x14ac:dyDescent="0.3">
      <c r="V66" s="13"/>
    </row>
    <row r="67" spans="1:24" ht="15.75" customHeight="1" thickBot="1" x14ac:dyDescent="0.3">
      <c r="A67" s="188" t="s">
        <v>161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  <c r="N67" s="189"/>
      <c r="O67" s="189"/>
      <c r="P67" s="189"/>
      <c r="Q67" s="190"/>
      <c r="R67" s="1"/>
      <c r="S67" s="1"/>
      <c r="T67" s="28"/>
    </row>
    <row r="68" spans="1:24" ht="15.75" customHeight="1" thickBot="1" x14ac:dyDescent="0.3">
      <c r="A68" s="191" t="s">
        <v>34</v>
      </c>
      <c r="B68" s="192"/>
      <c r="C68" s="195" t="s">
        <v>33</v>
      </c>
      <c r="D68" s="195" t="s">
        <v>11</v>
      </c>
      <c r="E68" s="198" t="s">
        <v>19</v>
      </c>
      <c r="F68" s="191" t="s">
        <v>8</v>
      </c>
      <c r="G68" s="192"/>
      <c r="H68" s="200" t="s">
        <v>10</v>
      </c>
      <c r="I68" s="201"/>
      <c r="J68" s="202"/>
      <c r="K68" s="203" t="s">
        <v>25</v>
      </c>
      <c r="L68" s="204"/>
      <c r="M68" s="204"/>
      <c r="N68" s="204"/>
      <c r="O68" s="205"/>
      <c r="P68" s="195" t="s">
        <v>20</v>
      </c>
      <c r="Q68" s="206" t="s">
        <v>38</v>
      </c>
      <c r="R68" s="1"/>
      <c r="S68" s="1"/>
      <c r="T68" s="28"/>
    </row>
    <row r="69" spans="1:24" ht="15.75" thickBot="1" x14ac:dyDescent="0.3">
      <c r="A69" s="193"/>
      <c r="B69" s="194"/>
      <c r="C69" s="196"/>
      <c r="D69" s="197"/>
      <c r="E69" s="199"/>
      <c r="F69" s="193"/>
      <c r="G69" s="194"/>
      <c r="H69" s="80" t="s">
        <v>49</v>
      </c>
      <c r="I69" s="80" t="s">
        <v>48</v>
      </c>
      <c r="J69" s="80" t="s">
        <v>50</v>
      </c>
      <c r="K69" s="80" t="s">
        <v>24</v>
      </c>
      <c r="L69" s="203" t="s">
        <v>47</v>
      </c>
      <c r="M69" s="205"/>
      <c r="N69" s="80" t="s">
        <v>46</v>
      </c>
      <c r="O69" s="80" t="s">
        <v>45</v>
      </c>
      <c r="P69" s="197"/>
      <c r="Q69" s="207"/>
      <c r="T69" s="28"/>
    </row>
    <row r="70" spans="1:24" ht="15" customHeight="1" x14ac:dyDescent="0.25">
      <c r="A70" s="191" t="s">
        <v>27</v>
      </c>
      <c r="B70" s="192"/>
      <c r="C70" s="76" t="s">
        <v>28</v>
      </c>
      <c r="D70" s="76"/>
      <c r="E70" s="4">
        <v>720</v>
      </c>
      <c r="F70" s="212"/>
      <c r="G70" s="212"/>
      <c r="H70" s="4"/>
      <c r="I70" s="77"/>
      <c r="J70" s="4"/>
      <c r="K70" s="77"/>
      <c r="L70" s="213"/>
      <c r="M70" s="214"/>
      <c r="N70" s="77"/>
      <c r="O70" s="4">
        <v>48</v>
      </c>
      <c r="P70" s="77"/>
      <c r="Q70" s="4">
        <f>SUM(D70:P70)</f>
        <v>768</v>
      </c>
      <c r="T70" s="28"/>
      <c r="V70" s="13">
        <f>Q70-F64</f>
        <v>0</v>
      </c>
    </row>
    <row r="71" spans="1:24" ht="15.75" thickBot="1" x14ac:dyDescent="0.3">
      <c r="A71" s="193"/>
      <c r="B71" s="194"/>
      <c r="C71" s="84" t="s">
        <v>29</v>
      </c>
      <c r="D71" s="84"/>
      <c r="E71" s="14">
        <v>2640</v>
      </c>
      <c r="F71" s="221">
        <v>2160</v>
      </c>
      <c r="G71" s="221"/>
      <c r="H71" s="14"/>
      <c r="I71" s="81"/>
      <c r="J71" s="14"/>
      <c r="K71" s="81"/>
      <c r="L71" s="208"/>
      <c r="M71" s="209"/>
      <c r="N71" s="81"/>
      <c r="O71" s="14">
        <v>672</v>
      </c>
      <c r="P71" s="81">
        <v>240</v>
      </c>
      <c r="Q71" s="16">
        <f t="shared" ref="Q71:Q80" si="3">SUM(D71:P71)</f>
        <v>5712</v>
      </c>
      <c r="T71" s="28"/>
      <c r="V71" s="13">
        <f>H64-Q71</f>
        <v>0</v>
      </c>
    </row>
    <row r="72" spans="1:24" x14ac:dyDescent="0.25">
      <c r="A72" s="191" t="s">
        <v>41</v>
      </c>
      <c r="B72" s="192"/>
      <c r="C72" s="4" t="s">
        <v>30</v>
      </c>
      <c r="D72" s="76">
        <v>23250</v>
      </c>
      <c r="E72" s="4">
        <v>600</v>
      </c>
      <c r="F72" s="212">
        <v>1650</v>
      </c>
      <c r="G72" s="212"/>
      <c r="H72" s="4"/>
      <c r="I72" s="77">
        <v>3600</v>
      </c>
      <c r="J72" s="4">
        <v>1200</v>
      </c>
      <c r="K72" s="77"/>
      <c r="L72" s="213">
        <v>120</v>
      </c>
      <c r="M72" s="214"/>
      <c r="N72" s="77"/>
      <c r="O72" s="4">
        <v>210</v>
      </c>
      <c r="P72" s="77">
        <v>2250</v>
      </c>
      <c r="Q72" s="4">
        <f t="shared" si="3"/>
        <v>32880</v>
      </c>
      <c r="T72" s="28"/>
      <c r="V72" s="13">
        <f>I64-Q72</f>
        <v>0</v>
      </c>
    </row>
    <row r="73" spans="1:24" x14ac:dyDescent="0.25">
      <c r="A73" s="210"/>
      <c r="B73" s="211"/>
      <c r="C73" s="5" t="s">
        <v>32</v>
      </c>
      <c r="D73" s="78">
        <v>120</v>
      </c>
      <c r="E73" s="5">
        <v>240</v>
      </c>
      <c r="F73" s="215"/>
      <c r="G73" s="215"/>
      <c r="H73" s="5"/>
      <c r="I73" s="79"/>
      <c r="J73" s="5"/>
      <c r="K73" s="79"/>
      <c r="L73" s="216"/>
      <c r="M73" s="217"/>
      <c r="N73" s="79"/>
      <c r="O73" s="5"/>
      <c r="P73" s="79"/>
      <c r="Q73" s="5">
        <f t="shared" si="3"/>
        <v>360</v>
      </c>
      <c r="T73" s="28"/>
      <c r="V73" s="13">
        <f>J64-Q73</f>
        <v>0</v>
      </c>
    </row>
    <row r="74" spans="1:24" x14ac:dyDescent="0.25">
      <c r="A74" s="210"/>
      <c r="B74" s="211"/>
      <c r="C74" s="5" t="s">
        <v>43</v>
      </c>
      <c r="D74" s="78">
        <v>880</v>
      </c>
      <c r="E74" s="5"/>
      <c r="F74" s="215">
        <v>1320</v>
      </c>
      <c r="G74" s="215"/>
      <c r="H74" s="5"/>
      <c r="I74" s="79"/>
      <c r="J74" s="5"/>
      <c r="K74" s="79"/>
      <c r="L74" s="216"/>
      <c r="M74" s="217"/>
      <c r="N74" s="79"/>
      <c r="O74" s="5">
        <v>22</v>
      </c>
      <c r="P74" s="79">
        <v>220</v>
      </c>
      <c r="Q74" s="5">
        <f t="shared" si="3"/>
        <v>2442</v>
      </c>
      <c r="T74" s="28"/>
      <c r="V74" s="13">
        <f>K64-Q74</f>
        <v>0</v>
      </c>
    </row>
    <row r="75" spans="1:24" ht="15.75" thickBot="1" x14ac:dyDescent="0.3">
      <c r="A75" s="193"/>
      <c r="B75" s="194"/>
      <c r="C75" s="75" t="s">
        <v>44</v>
      </c>
      <c r="D75" s="83"/>
      <c r="E75" s="15"/>
      <c r="F75" s="218">
        <v>330</v>
      </c>
      <c r="G75" s="218"/>
      <c r="H75" s="15"/>
      <c r="I75" s="82"/>
      <c r="J75" s="15"/>
      <c r="K75" s="82"/>
      <c r="L75" s="219"/>
      <c r="M75" s="220"/>
      <c r="N75" s="82"/>
      <c r="O75" s="15"/>
      <c r="P75" s="82">
        <v>110</v>
      </c>
      <c r="Q75" s="16">
        <f t="shared" si="3"/>
        <v>440</v>
      </c>
      <c r="T75" s="28"/>
      <c r="V75" s="13">
        <f>L64-Q75</f>
        <v>0</v>
      </c>
    </row>
    <row r="76" spans="1:24" x14ac:dyDescent="0.25">
      <c r="A76" s="191" t="s">
        <v>40</v>
      </c>
      <c r="B76" s="192"/>
      <c r="C76" s="86" t="s">
        <v>28</v>
      </c>
      <c r="D76" s="86">
        <v>1080</v>
      </c>
      <c r="E76" s="16">
        <v>1680</v>
      </c>
      <c r="F76" s="236">
        <v>360</v>
      </c>
      <c r="G76" s="236"/>
      <c r="H76" s="16">
        <v>1680</v>
      </c>
      <c r="I76" s="85">
        <v>1560</v>
      </c>
      <c r="J76" s="16"/>
      <c r="K76" s="85"/>
      <c r="L76" s="237"/>
      <c r="M76" s="238"/>
      <c r="N76" s="85"/>
      <c r="O76" s="16"/>
      <c r="P76" s="85">
        <v>4080</v>
      </c>
      <c r="Q76" s="4">
        <f t="shared" si="3"/>
        <v>10440</v>
      </c>
      <c r="T76" s="28"/>
      <c r="V76" s="13">
        <f>N64-Q76</f>
        <v>0</v>
      </c>
    </row>
    <row r="77" spans="1:24" x14ac:dyDescent="0.25">
      <c r="A77" s="210"/>
      <c r="B77" s="211"/>
      <c r="C77" s="78" t="s">
        <v>31</v>
      </c>
      <c r="D77" s="78">
        <v>240</v>
      </c>
      <c r="E77" s="5">
        <v>1440</v>
      </c>
      <c r="F77" s="215">
        <v>240</v>
      </c>
      <c r="G77" s="215"/>
      <c r="H77" s="5">
        <v>720</v>
      </c>
      <c r="I77" s="79">
        <v>720</v>
      </c>
      <c r="J77" s="5"/>
      <c r="K77" s="79"/>
      <c r="L77" s="216">
        <v>144</v>
      </c>
      <c r="M77" s="217"/>
      <c r="N77" s="79"/>
      <c r="O77" s="5"/>
      <c r="P77" s="79">
        <v>3000</v>
      </c>
      <c r="Q77" s="5">
        <f t="shared" si="3"/>
        <v>6504</v>
      </c>
      <c r="T77" s="28"/>
      <c r="V77" s="13">
        <f>O64-Q77</f>
        <v>0</v>
      </c>
    </row>
    <row r="78" spans="1:24" ht="15.75" thickBot="1" x14ac:dyDescent="0.3">
      <c r="A78" s="193"/>
      <c r="B78" s="194"/>
      <c r="C78" s="75" t="s">
        <v>29</v>
      </c>
      <c r="D78" s="84">
        <v>9000</v>
      </c>
      <c r="E78" s="14">
        <v>8400</v>
      </c>
      <c r="F78" s="221">
        <v>5520</v>
      </c>
      <c r="G78" s="221"/>
      <c r="H78" s="14">
        <v>2520</v>
      </c>
      <c r="I78" s="81">
        <v>8880</v>
      </c>
      <c r="J78" s="14">
        <v>4920</v>
      </c>
      <c r="K78" s="81"/>
      <c r="L78" s="208">
        <v>720</v>
      </c>
      <c r="M78" s="209"/>
      <c r="N78" s="81"/>
      <c r="O78" s="14">
        <v>3648</v>
      </c>
      <c r="P78" s="81">
        <v>12240</v>
      </c>
      <c r="Q78" s="16">
        <f t="shared" si="3"/>
        <v>55848</v>
      </c>
      <c r="T78" s="28"/>
      <c r="V78" s="13">
        <f>P64-Q78</f>
        <v>0</v>
      </c>
    </row>
    <row r="79" spans="1:24" x14ac:dyDescent="0.25">
      <c r="A79" s="191" t="s">
        <v>42</v>
      </c>
      <c r="B79" s="192"/>
      <c r="C79" s="76" t="s">
        <v>31</v>
      </c>
      <c r="D79" s="76">
        <v>5160</v>
      </c>
      <c r="E79" s="4">
        <v>240</v>
      </c>
      <c r="F79" s="212">
        <v>360</v>
      </c>
      <c r="G79" s="212"/>
      <c r="H79" s="4"/>
      <c r="I79" s="77"/>
      <c r="J79" s="4"/>
      <c r="K79" s="77"/>
      <c r="L79" s="213">
        <v>120</v>
      </c>
      <c r="M79" s="214"/>
      <c r="N79" s="77"/>
      <c r="O79" s="4">
        <v>672</v>
      </c>
      <c r="P79" s="77">
        <v>120</v>
      </c>
      <c r="Q79" s="4">
        <f t="shared" si="3"/>
        <v>6672</v>
      </c>
      <c r="T79" s="28"/>
      <c r="V79" s="13">
        <f>Q64-Q79</f>
        <v>0</v>
      </c>
    </row>
    <row r="80" spans="1:24" ht="15.75" thickBot="1" x14ac:dyDescent="0.3">
      <c r="A80" s="193"/>
      <c r="B80" s="194"/>
      <c r="C80" s="75" t="s">
        <v>29</v>
      </c>
      <c r="D80" s="83">
        <v>900</v>
      </c>
      <c r="E80" s="15"/>
      <c r="F80" s="218"/>
      <c r="G80" s="218"/>
      <c r="H80" s="15"/>
      <c r="I80" s="82"/>
      <c r="J80" s="15"/>
      <c r="K80" s="82"/>
      <c r="L80" s="219"/>
      <c r="M80" s="220"/>
      <c r="N80" s="82"/>
      <c r="O80" s="15"/>
      <c r="P80" s="82"/>
      <c r="Q80" s="16">
        <f t="shared" si="3"/>
        <v>900</v>
      </c>
      <c r="T80" s="28"/>
      <c r="V80" s="13">
        <f>R64-Q80</f>
        <v>0</v>
      </c>
    </row>
    <row r="81" spans="1:22" ht="15.75" thickBot="1" x14ac:dyDescent="0.3">
      <c r="A81" s="232" t="s">
        <v>37</v>
      </c>
      <c r="B81" s="233"/>
      <c r="C81" s="233"/>
      <c r="D81" s="23">
        <f>SUM(D70:D80)</f>
        <v>40630</v>
      </c>
      <c r="E81" s="23">
        <f t="shared" ref="E81" si="4">SUM(E70:E80)</f>
        <v>15960</v>
      </c>
      <c r="F81" s="234">
        <f>SUM(F70:G80)</f>
        <v>11940</v>
      </c>
      <c r="G81" s="235"/>
      <c r="H81" s="23">
        <f>SUM(H70:H80)</f>
        <v>4920</v>
      </c>
      <c r="I81" s="23">
        <f>SUM(I70:I80)</f>
        <v>14760</v>
      </c>
      <c r="J81" s="23">
        <f>SUM(J70:J80)</f>
        <v>6120</v>
      </c>
      <c r="K81" s="23">
        <f>SUM(K70:K80)</f>
        <v>0</v>
      </c>
      <c r="L81" s="234">
        <f>SUM(L70:M80)</f>
        <v>1104</v>
      </c>
      <c r="M81" s="235"/>
      <c r="N81" s="23">
        <f>SUM(N70:N80)</f>
        <v>0</v>
      </c>
      <c r="O81" s="23">
        <f>SUM(O70:O80)</f>
        <v>5272</v>
      </c>
      <c r="P81" s="23">
        <f>SUM(P70:P80)</f>
        <v>22260</v>
      </c>
      <c r="Q81" s="24">
        <f>SUM(Q70:Q80)</f>
        <v>122966</v>
      </c>
      <c r="R81" s="12"/>
      <c r="S81" s="1"/>
      <c r="T81" s="28"/>
      <c r="V81" s="13">
        <f>S64-Q81</f>
        <v>0</v>
      </c>
    </row>
    <row r="82" spans="1:22" ht="15.75" thickBot="1" x14ac:dyDescent="0.3">
      <c r="A82" s="222" t="s">
        <v>36</v>
      </c>
      <c r="B82" s="223"/>
      <c r="C82" s="223"/>
      <c r="D82" s="224">
        <f>D81+E81+F81+H81+I81+J81+K81+L81+N81+O81+P81</f>
        <v>122966</v>
      </c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6"/>
      <c r="T82" s="28"/>
      <c r="V82" s="13"/>
    </row>
    <row r="83" spans="1:22" s="20" customFormat="1" ht="15" customHeight="1" thickBot="1" x14ac:dyDescent="0.25">
      <c r="A83" s="227" t="s">
        <v>26</v>
      </c>
      <c r="B83" s="228"/>
      <c r="C83" s="228"/>
      <c r="D83" s="25">
        <v>12859514</v>
      </c>
      <c r="E83" s="22">
        <v>5003124</v>
      </c>
      <c r="F83" s="229">
        <v>3781158</v>
      </c>
      <c r="G83" s="230"/>
      <c r="H83" s="22">
        <v>1562741</v>
      </c>
      <c r="I83" s="26">
        <v>4657193</v>
      </c>
      <c r="J83" s="22">
        <v>1941728</v>
      </c>
      <c r="K83" s="22"/>
      <c r="L83" s="231">
        <v>357629</v>
      </c>
      <c r="M83" s="230"/>
      <c r="N83" s="26"/>
      <c r="O83" s="22">
        <v>1792633</v>
      </c>
      <c r="P83" s="26">
        <v>7075708</v>
      </c>
      <c r="Q83" s="118">
        <v>39031428</v>
      </c>
      <c r="R83" s="19"/>
      <c r="S83" s="19"/>
      <c r="T83" s="29"/>
      <c r="V83" s="21">
        <f>T64-Q83</f>
        <v>0</v>
      </c>
    </row>
    <row r="84" spans="1:22" x14ac:dyDescent="0.25">
      <c r="T84" s="28"/>
      <c r="V84" s="13"/>
    </row>
  </sheetData>
  <mergeCells count="244">
    <mergeCell ref="F57:G57"/>
    <mergeCell ref="L57:M57"/>
    <mergeCell ref="F58:G58"/>
    <mergeCell ref="L58:M58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F52:G52"/>
    <mergeCell ref="L52:M52"/>
    <mergeCell ref="F53:G53"/>
    <mergeCell ref="L53:M53"/>
    <mergeCell ref="F54:G54"/>
    <mergeCell ref="L54:M54"/>
    <mergeCell ref="F55:G55"/>
    <mergeCell ref="L55:M55"/>
    <mergeCell ref="F56:G56"/>
    <mergeCell ref="L56:M56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70:B71"/>
    <mergeCell ref="F70:G70"/>
    <mergeCell ref="L70:M70"/>
    <mergeCell ref="F71:G71"/>
    <mergeCell ref="L71:M71"/>
    <mergeCell ref="A82:C82"/>
    <mergeCell ref="D82:Q82"/>
    <mergeCell ref="A83:C83"/>
    <mergeCell ref="F83:G83"/>
    <mergeCell ref="L83:M83"/>
    <mergeCell ref="A79:B80"/>
    <mergeCell ref="F79:G79"/>
    <mergeCell ref="L79:M79"/>
    <mergeCell ref="F80:G80"/>
    <mergeCell ref="L80:M80"/>
    <mergeCell ref="A81:C81"/>
    <mergeCell ref="F81:G81"/>
    <mergeCell ref="L81:M81"/>
    <mergeCell ref="A76:B78"/>
    <mergeCell ref="F76:G76"/>
    <mergeCell ref="L76:M76"/>
    <mergeCell ref="F77:G77"/>
    <mergeCell ref="L77:M77"/>
    <mergeCell ref="F78:G78"/>
    <mergeCell ref="L78:M78"/>
    <mergeCell ref="A72:B75"/>
    <mergeCell ref="F72:G72"/>
    <mergeCell ref="L72:M72"/>
    <mergeCell ref="F73:G73"/>
    <mergeCell ref="L73:M73"/>
    <mergeCell ref="F74:G74"/>
    <mergeCell ref="L74:M74"/>
    <mergeCell ref="F75:G75"/>
    <mergeCell ref="L75:M75"/>
    <mergeCell ref="A65:C65"/>
    <mergeCell ref="F65:G65"/>
    <mergeCell ref="L65:M65"/>
    <mergeCell ref="A67:Q67"/>
    <mergeCell ref="A68:B69"/>
    <mergeCell ref="C68:C69"/>
    <mergeCell ref="D68:D69"/>
    <mergeCell ref="E68:E69"/>
    <mergeCell ref="F68:G69"/>
    <mergeCell ref="H68:J68"/>
    <mergeCell ref="K68:O68"/>
    <mergeCell ref="P68:P69"/>
    <mergeCell ref="Q68:Q69"/>
    <mergeCell ref="L69:M69"/>
    <mergeCell ref="C63:D63"/>
    <mergeCell ref="F63:G63"/>
    <mergeCell ref="L63:M63"/>
    <mergeCell ref="A64:C64"/>
    <mergeCell ref="F64:G64"/>
    <mergeCell ref="L64:M64"/>
    <mergeCell ref="C61:D61"/>
    <mergeCell ref="F61:G61"/>
    <mergeCell ref="L61:M61"/>
    <mergeCell ref="C62:D62"/>
    <mergeCell ref="F62:G62"/>
    <mergeCell ref="L62:M62"/>
    <mergeCell ref="C59:D59"/>
    <mergeCell ref="F59:G59"/>
    <mergeCell ref="L59:M59"/>
    <mergeCell ref="C60:D60"/>
    <mergeCell ref="F60:G60"/>
    <mergeCell ref="L60:M60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F43:G43"/>
    <mergeCell ref="F44:G44"/>
    <mergeCell ref="F45:G45"/>
    <mergeCell ref="F46:G46"/>
    <mergeCell ref="L39:M39"/>
    <mergeCell ref="L40:M40"/>
    <mergeCell ref="L41:M41"/>
    <mergeCell ref="L42:M42"/>
    <mergeCell ref="L43:M43"/>
    <mergeCell ref="L44:M44"/>
    <mergeCell ref="L45:M45"/>
    <mergeCell ref="L46:M46"/>
  </mergeCells>
  <pageMargins left="0.16" right="0.16" top="0.34" bottom="0.16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79F8-8D7C-40F0-827E-AE9912EAAD12}">
  <dimension ref="A1:X80"/>
  <sheetViews>
    <sheetView tabSelected="1" zoomScaleNormal="100" workbookViewId="0">
      <pane ySplit="4" topLeftCell="A74" activePane="bottomLeft" state="frozen"/>
      <selection pane="bottomLeft" activeCell="V46" sqref="V46"/>
    </sheetView>
  </sheetViews>
  <sheetFormatPr defaultRowHeight="15" x14ac:dyDescent="0.25"/>
  <cols>
    <col min="1" max="1" width="8.7109375" style="2" customWidth="1"/>
    <col min="2" max="2" width="4.140625" style="2" customWidth="1"/>
    <col min="3" max="3" width="10.42578125" style="71" customWidth="1"/>
    <col min="4" max="4" width="9.7109375" style="71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 x14ac:dyDescent="0.3">
      <c r="A1" s="150" t="s">
        <v>184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2"/>
    </row>
    <row r="2" spans="1:20" s="6" customFormat="1" ht="12.75" customHeight="1" x14ac:dyDescent="0.25">
      <c r="A2" s="153" t="s">
        <v>9</v>
      </c>
      <c r="B2" s="155" t="s">
        <v>13</v>
      </c>
      <c r="C2" s="157" t="s">
        <v>23</v>
      </c>
      <c r="D2" s="158"/>
      <c r="E2" s="161" t="s">
        <v>15</v>
      </c>
      <c r="F2" s="163" t="s">
        <v>0</v>
      </c>
      <c r="G2" s="155"/>
      <c r="H2" s="164"/>
      <c r="I2" s="165" t="s">
        <v>39</v>
      </c>
      <c r="J2" s="166"/>
      <c r="K2" s="166"/>
      <c r="L2" s="167"/>
      <c r="M2" s="164"/>
      <c r="N2" s="165" t="s">
        <v>1</v>
      </c>
      <c r="O2" s="166"/>
      <c r="P2" s="164"/>
      <c r="Q2" s="168" t="s">
        <v>2</v>
      </c>
      <c r="R2" s="169"/>
      <c r="S2" s="155" t="s">
        <v>14</v>
      </c>
      <c r="T2" s="140" t="s">
        <v>12</v>
      </c>
    </row>
    <row r="3" spans="1:20" s="6" customFormat="1" ht="15.75" thickBot="1" x14ac:dyDescent="0.3">
      <c r="A3" s="154"/>
      <c r="B3" s="156"/>
      <c r="C3" s="159"/>
      <c r="D3" s="160"/>
      <c r="E3" s="162"/>
      <c r="F3" s="142" t="s">
        <v>3</v>
      </c>
      <c r="G3" s="143"/>
      <c r="H3" s="9" t="s">
        <v>4</v>
      </c>
      <c r="I3" s="10" t="s">
        <v>22</v>
      </c>
      <c r="J3" s="11" t="s">
        <v>7</v>
      </c>
      <c r="K3" s="11" t="s">
        <v>17</v>
      </c>
      <c r="L3" s="144" t="s">
        <v>18</v>
      </c>
      <c r="M3" s="14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56"/>
      <c r="T3" s="141"/>
    </row>
    <row r="4" spans="1:20" s="18" customFormat="1" ht="15.75" thickBot="1" x14ac:dyDescent="0.3">
      <c r="A4" s="132" t="s">
        <v>35</v>
      </c>
      <c r="B4" s="30"/>
      <c r="C4" s="146"/>
      <c r="D4" s="147"/>
      <c r="E4" s="31"/>
      <c r="F4" s="146">
        <v>768</v>
      </c>
      <c r="G4" s="148"/>
      <c r="H4" s="134">
        <v>5712</v>
      </c>
      <c r="I4" s="32">
        <v>32880</v>
      </c>
      <c r="J4" s="33">
        <v>360</v>
      </c>
      <c r="K4" s="134">
        <v>2442</v>
      </c>
      <c r="L4" s="149">
        <v>440</v>
      </c>
      <c r="M4" s="147"/>
      <c r="N4" s="133">
        <v>10440</v>
      </c>
      <c r="O4" s="134">
        <v>6504</v>
      </c>
      <c r="P4" s="34">
        <v>55848</v>
      </c>
      <c r="Q4" s="133">
        <v>6672</v>
      </c>
      <c r="R4" s="34">
        <v>900</v>
      </c>
      <c r="S4" s="35">
        <f>SUM(F4:R4)</f>
        <v>122966</v>
      </c>
      <c r="T4" s="36">
        <v>39031428</v>
      </c>
    </row>
    <row r="5" spans="1:20" x14ac:dyDescent="0.25">
      <c r="A5" s="37"/>
      <c r="B5" s="38">
        <v>51</v>
      </c>
      <c r="C5" s="172"/>
      <c r="D5" s="173"/>
      <c r="E5" s="39"/>
      <c r="F5" s="174"/>
      <c r="G5" s="175"/>
      <c r="H5" s="135"/>
      <c r="I5" s="40"/>
      <c r="J5" s="41"/>
      <c r="K5" s="41"/>
      <c r="L5" s="176"/>
      <c r="M5" s="177"/>
      <c r="N5" s="40"/>
      <c r="O5" s="41"/>
      <c r="P5" s="135"/>
      <c r="Q5" s="40"/>
      <c r="R5" s="42"/>
      <c r="S5" s="43">
        <f t="shared" ref="S5:S59" si="0">SUM(F5:R5)</f>
        <v>0</v>
      </c>
      <c r="T5" s="44"/>
    </row>
    <row r="6" spans="1:20" x14ac:dyDescent="0.25">
      <c r="A6" s="37"/>
      <c r="B6" s="38">
        <v>52</v>
      </c>
      <c r="C6" s="170"/>
      <c r="D6" s="171"/>
      <c r="E6" s="45"/>
      <c r="F6" s="136"/>
      <c r="G6" s="137"/>
      <c r="H6" s="120"/>
      <c r="I6" s="46"/>
      <c r="J6" s="47"/>
      <c r="K6" s="47"/>
      <c r="L6" s="178"/>
      <c r="M6" s="179"/>
      <c r="N6" s="48"/>
      <c r="O6" s="120"/>
      <c r="P6" s="49"/>
      <c r="Q6" s="46"/>
      <c r="R6" s="50"/>
      <c r="S6" s="43">
        <f t="shared" si="0"/>
        <v>0</v>
      </c>
      <c r="T6" s="51"/>
    </row>
    <row r="7" spans="1:20" x14ac:dyDescent="0.25">
      <c r="A7" s="37"/>
      <c r="B7" s="38">
        <v>53</v>
      </c>
      <c r="C7" s="170"/>
      <c r="D7" s="171"/>
      <c r="E7" s="45"/>
      <c r="F7" s="136"/>
      <c r="G7" s="137"/>
      <c r="H7" s="120"/>
      <c r="I7" s="48"/>
      <c r="J7" s="52"/>
      <c r="K7" s="52"/>
      <c r="L7" s="138"/>
      <c r="M7" s="139"/>
      <c r="N7" s="48"/>
      <c r="O7" s="120"/>
      <c r="P7" s="49"/>
      <c r="Q7" s="48"/>
      <c r="R7" s="49"/>
      <c r="S7" s="53">
        <f t="shared" si="0"/>
        <v>0</v>
      </c>
      <c r="T7" s="54"/>
    </row>
    <row r="8" spans="1:20" x14ac:dyDescent="0.25">
      <c r="A8" s="37"/>
      <c r="B8" s="38">
        <v>54</v>
      </c>
      <c r="C8" s="170"/>
      <c r="D8" s="171"/>
      <c r="E8" s="45"/>
      <c r="F8" s="136"/>
      <c r="G8" s="137"/>
      <c r="H8" s="120"/>
      <c r="I8" s="48"/>
      <c r="J8" s="52"/>
      <c r="K8" s="52"/>
      <c r="L8" s="138"/>
      <c r="M8" s="139"/>
      <c r="N8" s="48"/>
      <c r="O8" s="120"/>
      <c r="P8" s="49"/>
      <c r="Q8" s="48"/>
      <c r="R8" s="49"/>
      <c r="S8" s="53">
        <f t="shared" si="0"/>
        <v>0</v>
      </c>
      <c r="T8" s="54"/>
    </row>
    <row r="9" spans="1:20" x14ac:dyDescent="0.25">
      <c r="A9" s="37"/>
      <c r="B9" s="38">
        <v>55</v>
      </c>
      <c r="C9" s="170"/>
      <c r="D9" s="171"/>
      <c r="E9" s="45"/>
      <c r="F9" s="136"/>
      <c r="G9" s="137"/>
      <c r="H9" s="120"/>
      <c r="I9" s="48"/>
      <c r="J9" s="52"/>
      <c r="K9" s="52"/>
      <c r="L9" s="138"/>
      <c r="M9" s="139"/>
      <c r="N9" s="48"/>
      <c r="O9" s="120"/>
      <c r="P9" s="49"/>
      <c r="Q9" s="48"/>
      <c r="R9" s="49"/>
      <c r="S9" s="53">
        <f t="shared" si="0"/>
        <v>0</v>
      </c>
      <c r="T9" s="54"/>
    </row>
    <row r="10" spans="1:20" x14ac:dyDescent="0.25">
      <c r="A10" s="37"/>
      <c r="B10" s="38">
        <v>56</v>
      </c>
      <c r="C10" s="170"/>
      <c r="D10" s="171"/>
      <c r="E10" s="45"/>
      <c r="F10" s="136"/>
      <c r="G10" s="137"/>
      <c r="H10" s="120"/>
      <c r="I10" s="48"/>
      <c r="J10" s="52"/>
      <c r="K10" s="52"/>
      <c r="L10" s="138"/>
      <c r="M10" s="139"/>
      <c r="N10" s="48"/>
      <c r="O10" s="120"/>
      <c r="P10" s="49"/>
      <c r="Q10" s="48"/>
      <c r="R10" s="49"/>
      <c r="S10" s="53">
        <f t="shared" si="0"/>
        <v>0</v>
      </c>
      <c r="T10" s="54"/>
    </row>
    <row r="11" spans="1:20" x14ac:dyDescent="0.25">
      <c r="A11" s="37"/>
      <c r="B11" s="38">
        <v>57</v>
      </c>
      <c r="C11" s="170"/>
      <c r="D11" s="171"/>
      <c r="E11" s="45"/>
      <c r="F11" s="136"/>
      <c r="G11" s="137"/>
      <c r="H11" s="120"/>
      <c r="I11" s="48"/>
      <c r="J11" s="52"/>
      <c r="K11" s="52"/>
      <c r="L11" s="138"/>
      <c r="M11" s="139"/>
      <c r="N11" s="48"/>
      <c r="O11" s="120"/>
      <c r="P11" s="49"/>
      <c r="Q11" s="48"/>
      <c r="R11" s="49"/>
      <c r="S11" s="53">
        <f t="shared" si="0"/>
        <v>0</v>
      </c>
      <c r="T11" s="54"/>
    </row>
    <row r="12" spans="1:20" x14ac:dyDescent="0.25">
      <c r="A12" s="37"/>
      <c r="B12" s="38">
        <v>58</v>
      </c>
      <c r="C12" s="170"/>
      <c r="D12" s="171"/>
      <c r="E12" s="117"/>
      <c r="F12" s="136"/>
      <c r="G12" s="137"/>
      <c r="H12" s="120"/>
      <c r="I12" s="48"/>
      <c r="J12" s="52"/>
      <c r="K12" s="52"/>
      <c r="L12" s="138"/>
      <c r="M12" s="139"/>
      <c r="N12" s="48"/>
      <c r="O12" s="120"/>
      <c r="P12" s="49"/>
      <c r="Q12" s="48"/>
      <c r="R12" s="49"/>
      <c r="S12" s="53">
        <f t="shared" si="0"/>
        <v>0</v>
      </c>
      <c r="T12" s="54"/>
    </row>
    <row r="13" spans="1:20" x14ac:dyDescent="0.25">
      <c r="A13" s="119"/>
      <c r="B13" s="38">
        <v>59</v>
      </c>
      <c r="C13" s="170"/>
      <c r="D13" s="171"/>
      <c r="E13" s="45"/>
      <c r="F13" s="136"/>
      <c r="G13" s="137"/>
      <c r="H13" s="120"/>
      <c r="I13" s="48"/>
      <c r="J13" s="52"/>
      <c r="K13" s="52"/>
      <c r="L13" s="138"/>
      <c r="M13" s="139"/>
      <c r="N13" s="48"/>
      <c r="O13" s="120"/>
      <c r="P13" s="49"/>
      <c r="Q13" s="48"/>
      <c r="R13" s="49"/>
      <c r="S13" s="53">
        <f t="shared" si="0"/>
        <v>0</v>
      </c>
      <c r="T13" s="54"/>
    </row>
    <row r="14" spans="1:20" x14ac:dyDescent="0.25">
      <c r="A14" s="119"/>
      <c r="B14" s="38">
        <v>60</v>
      </c>
      <c r="C14" s="170"/>
      <c r="D14" s="171"/>
      <c r="E14" s="45"/>
      <c r="F14" s="136"/>
      <c r="G14" s="137"/>
      <c r="H14" s="120"/>
      <c r="I14" s="48"/>
      <c r="J14" s="52"/>
      <c r="K14" s="52"/>
      <c r="L14" s="138"/>
      <c r="M14" s="139"/>
      <c r="N14" s="48"/>
      <c r="O14" s="120"/>
      <c r="P14" s="49"/>
      <c r="Q14" s="48"/>
      <c r="R14" s="49"/>
      <c r="S14" s="53">
        <f>SUM(F14:R14)</f>
        <v>0</v>
      </c>
      <c r="T14" s="54"/>
    </row>
    <row r="15" spans="1:20" x14ac:dyDescent="0.25">
      <c r="A15" s="119"/>
      <c r="B15" s="38">
        <v>61</v>
      </c>
      <c r="C15" s="170"/>
      <c r="D15" s="171"/>
      <c r="E15" s="45"/>
      <c r="F15" s="136"/>
      <c r="G15" s="137"/>
      <c r="H15" s="120"/>
      <c r="I15" s="48"/>
      <c r="J15" s="52"/>
      <c r="K15" s="52"/>
      <c r="L15" s="138"/>
      <c r="M15" s="139"/>
      <c r="N15" s="119"/>
      <c r="O15" s="120"/>
      <c r="P15" s="49"/>
      <c r="Q15" s="119"/>
      <c r="R15" s="49"/>
      <c r="S15" s="53">
        <f t="shared" si="0"/>
        <v>0</v>
      </c>
      <c r="T15" s="54"/>
    </row>
    <row r="16" spans="1:20" x14ac:dyDescent="0.25">
      <c r="A16" s="119"/>
      <c r="B16" s="38">
        <v>62</v>
      </c>
      <c r="C16" s="170"/>
      <c r="D16" s="171"/>
      <c r="E16" s="45"/>
      <c r="F16" s="136"/>
      <c r="G16" s="137"/>
      <c r="H16" s="120"/>
      <c r="I16" s="48"/>
      <c r="J16" s="52"/>
      <c r="K16" s="52"/>
      <c r="L16" s="138"/>
      <c r="M16" s="139"/>
      <c r="N16" s="119"/>
      <c r="O16" s="120"/>
      <c r="P16" s="49"/>
      <c r="Q16" s="119"/>
      <c r="R16" s="55"/>
      <c r="S16" s="53">
        <f t="shared" si="0"/>
        <v>0</v>
      </c>
      <c r="T16" s="54"/>
    </row>
    <row r="17" spans="1:22" x14ac:dyDescent="0.25">
      <c r="A17" s="119"/>
      <c r="B17" s="38">
        <v>63</v>
      </c>
      <c r="C17" s="170"/>
      <c r="D17" s="171"/>
      <c r="E17" s="45"/>
      <c r="F17" s="136"/>
      <c r="G17" s="137"/>
      <c r="H17" s="120"/>
      <c r="I17" s="48"/>
      <c r="J17" s="52"/>
      <c r="K17" s="52"/>
      <c r="L17" s="138"/>
      <c r="M17" s="139"/>
      <c r="N17" s="119"/>
      <c r="O17" s="120"/>
      <c r="P17" s="49"/>
      <c r="Q17" s="119"/>
      <c r="R17" s="55"/>
      <c r="S17" s="53">
        <f t="shared" si="0"/>
        <v>0</v>
      </c>
      <c r="T17" s="54"/>
    </row>
    <row r="18" spans="1:22" x14ac:dyDescent="0.25">
      <c r="A18" s="119"/>
      <c r="B18" s="38">
        <v>64</v>
      </c>
      <c r="C18" s="170"/>
      <c r="D18" s="171"/>
      <c r="E18" s="45"/>
      <c r="F18" s="136"/>
      <c r="G18" s="137"/>
      <c r="H18" s="120"/>
      <c r="I18" s="48"/>
      <c r="J18" s="52"/>
      <c r="K18" s="52"/>
      <c r="L18" s="138"/>
      <c r="M18" s="139"/>
      <c r="N18" s="119"/>
      <c r="O18" s="120"/>
      <c r="P18" s="49"/>
      <c r="Q18" s="119"/>
      <c r="R18" s="55"/>
      <c r="S18" s="53">
        <f>SUM(F18:R18)</f>
        <v>0</v>
      </c>
      <c r="T18" s="54"/>
    </row>
    <row r="19" spans="1:22" x14ac:dyDescent="0.25">
      <c r="A19" s="119"/>
      <c r="B19" s="38">
        <v>65</v>
      </c>
      <c r="C19" s="170"/>
      <c r="D19" s="171"/>
      <c r="E19" s="45"/>
      <c r="F19" s="136"/>
      <c r="G19" s="137"/>
      <c r="H19" s="120"/>
      <c r="I19" s="48"/>
      <c r="J19" s="52"/>
      <c r="K19" s="52"/>
      <c r="L19" s="138"/>
      <c r="M19" s="139"/>
      <c r="N19" s="119"/>
      <c r="O19" s="120"/>
      <c r="P19" s="49"/>
      <c r="Q19" s="119"/>
      <c r="R19" s="55"/>
      <c r="S19" s="53">
        <f t="shared" si="0"/>
        <v>0</v>
      </c>
      <c r="T19" s="54"/>
      <c r="V19" s="13"/>
    </row>
    <row r="20" spans="1:22" x14ac:dyDescent="0.25">
      <c r="A20" s="119"/>
      <c r="B20" s="38">
        <v>66</v>
      </c>
      <c r="C20" s="136"/>
      <c r="D20" s="139"/>
      <c r="E20" s="45"/>
      <c r="F20" s="136"/>
      <c r="G20" s="137"/>
      <c r="H20" s="120"/>
      <c r="I20" s="48"/>
      <c r="J20" s="52"/>
      <c r="K20" s="52"/>
      <c r="L20" s="138"/>
      <c r="M20" s="139"/>
      <c r="N20" s="119"/>
      <c r="O20" s="120"/>
      <c r="P20" s="49"/>
      <c r="Q20" s="119"/>
      <c r="R20" s="55"/>
      <c r="S20" s="53">
        <f t="shared" si="0"/>
        <v>0</v>
      </c>
      <c r="T20" s="54"/>
    </row>
    <row r="21" spans="1:22" x14ac:dyDescent="0.25">
      <c r="A21" s="119"/>
      <c r="B21" s="38">
        <v>67</v>
      </c>
      <c r="C21" s="136"/>
      <c r="D21" s="139"/>
      <c r="E21" s="45"/>
      <c r="F21" s="136"/>
      <c r="G21" s="137"/>
      <c r="H21" s="120"/>
      <c r="I21" s="48"/>
      <c r="J21" s="52"/>
      <c r="K21" s="52"/>
      <c r="L21" s="138"/>
      <c r="M21" s="139"/>
      <c r="N21" s="119"/>
      <c r="O21" s="120"/>
      <c r="P21" s="49"/>
      <c r="Q21" s="119"/>
      <c r="R21" s="55"/>
      <c r="S21" s="53">
        <f t="shared" si="0"/>
        <v>0</v>
      </c>
      <c r="T21" s="54"/>
    </row>
    <row r="22" spans="1:22" x14ac:dyDescent="0.25">
      <c r="A22" s="121"/>
      <c r="B22" s="38">
        <v>68</v>
      </c>
      <c r="C22" s="136"/>
      <c r="D22" s="139"/>
      <c r="E22" s="45"/>
      <c r="F22" s="136"/>
      <c r="G22" s="137"/>
      <c r="H22" s="120"/>
      <c r="I22" s="48"/>
      <c r="J22" s="52"/>
      <c r="K22" s="52"/>
      <c r="L22" s="138"/>
      <c r="M22" s="139"/>
      <c r="N22" s="119"/>
      <c r="O22" s="120"/>
      <c r="P22" s="49"/>
      <c r="Q22" s="119"/>
      <c r="R22" s="55"/>
      <c r="S22" s="53">
        <f t="shared" si="0"/>
        <v>0</v>
      </c>
      <c r="T22" s="54"/>
    </row>
    <row r="23" spans="1:22" x14ac:dyDescent="0.25">
      <c r="A23" s="121"/>
      <c r="B23" s="38">
        <v>69</v>
      </c>
      <c r="C23" s="136"/>
      <c r="D23" s="139"/>
      <c r="E23" s="45"/>
      <c r="F23" s="136"/>
      <c r="G23" s="137"/>
      <c r="H23" s="120"/>
      <c r="I23" s="48"/>
      <c r="J23" s="52"/>
      <c r="K23" s="52"/>
      <c r="L23" s="138"/>
      <c r="M23" s="139"/>
      <c r="N23" s="119"/>
      <c r="O23" s="120"/>
      <c r="P23" s="49"/>
      <c r="Q23" s="119"/>
      <c r="R23" s="55"/>
      <c r="S23" s="53">
        <f t="shared" si="0"/>
        <v>0</v>
      </c>
      <c r="T23" s="54"/>
    </row>
    <row r="24" spans="1:22" x14ac:dyDescent="0.25">
      <c r="A24" s="121"/>
      <c r="B24" s="38">
        <v>70</v>
      </c>
      <c r="C24" s="136"/>
      <c r="D24" s="139"/>
      <c r="E24" s="45"/>
      <c r="F24" s="136"/>
      <c r="G24" s="137"/>
      <c r="H24" s="120"/>
      <c r="I24" s="48"/>
      <c r="J24" s="52"/>
      <c r="K24" s="52"/>
      <c r="L24" s="138"/>
      <c r="M24" s="139"/>
      <c r="N24" s="119"/>
      <c r="O24" s="120"/>
      <c r="P24" s="49"/>
      <c r="Q24" s="119"/>
      <c r="R24" s="55"/>
      <c r="S24" s="53">
        <f t="shared" si="0"/>
        <v>0</v>
      </c>
      <c r="T24" s="54"/>
    </row>
    <row r="25" spans="1:22" x14ac:dyDescent="0.25">
      <c r="A25" s="121"/>
      <c r="B25" s="38">
        <v>71</v>
      </c>
      <c r="C25" s="136"/>
      <c r="D25" s="139"/>
      <c r="E25" s="45"/>
      <c r="F25" s="136"/>
      <c r="G25" s="137"/>
      <c r="H25" s="120"/>
      <c r="I25" s="48"/>
      <c r="J25" s="52"/>
      <c r="K25" s="52"/>
      <c r="L25" s="138"/>
      <c r="M25" s="139"/>
      <c r="N25" s="119"/>
      <c r="O25" s="120"/>
      <c r="P25" s="49"/>
      <c r="Q25" s="119"/>
      <c r="R25" s="55"/>
      <c r="S25" s="53">
        <f t="shared" si="0"/>
        <v>0</v>
      </c>
      <c r="T25" s="54"/>
    </row>
    <row r="26" spans="1:22" x14ac:dyDescent="0.25">
      <c r="A26" s="121"/>
      <c r="B26" s="38">
        <v>72</v>
      </c>
      <c r="C26" s="136"/>
      <c r="D26" s="139"/>
      <c r="E26" s="45"/>
      <c r="F26" s="136"/>
      <c r="G26" s="137"/>
      <c r="H26" s="120"/>
      <c r="I26" s="48"/>
      <c r="J26" s="52"/>
      <c r="K26" s="52"/>
      <c r="L26" s="138"/>
      <c r="M26" s="139"/>
      <c r="N26" s="119"/>
      <c r="O26" s="120"/>
      <c r="P26" s="49"/>
      <c r="Q26" s="119"/>
      <c r="R26" s="55"/>
      <c r="S26" s="53">
        <f t="shared" si="0"/>
        <v>0</v>
      </c>
      <c r="T26" s="54"/>
    </row>
    <row r="27" spans="1:22" x14ac:dyDescent="0.25">
      <c r="A27" s="121"/>
      <c r="B27" s="38">
        <v>73</v>
      </c>
      <c r="C27" s="136"/>
      <c r="D27" s="139"/>
      <c r="E27" s="56"/>
      <c r="F27" s="136"/>
      <c r="G27" s="137"/>
      <c r="H27" s="103"/>
      <c r="I27" s="57"/>
      <c r="J27" s="58"/>
      <c r="K27" s="58"/>
      <c r="L27" s="138"/>
      <c r="M27" s="139"/>
      <c r="N27" s="121"/>
      <c r="O27" s="103"/>
      <c r="P27" s="55"/>
      <c r="Q27" s="121"/>
      <c r="R27" s="55"/>
      <c r="S27" s="53">
        <f t="shared" si="0"/>
        <v>0</v>
      </c>
      <c r="T27" s="59"/>
    </row>
    <row r="28" spans="1:22" x14ac:dyDescent="0.25">
      <c r="A28" s="121"/>
      <c r="B28" s="38">
        <v>74</v>
      </c>
      <c r="C28" s="136"/>
      <c r="D28" s="139"/>
      <c r="E28" s="56"/>
      <c r="F28" s="136"/>
      <c r="G28" s="137"/>
      <c r="H28" s="103"/>
      <c r="I28" s="57"/>
      <c r="J28" s="58"/>
      <c r="K28" s="58"/>
      <c r="L28" s="138"/>
      <c r="M28" s="139"/>
      <c r="N28" s="121"/>
      <c r="O28" s="103"/>
      <c r="P28" s="55"/>
      <c r="Q28" s="121"/>
      <c r="R28" s="55"/>
      <c r="S28" s="53">
        <f t="shared" si="0"/>
        <v>0</v>
      </c>
      <c r="T28" s="59"/>
    </row>
    <row r="29" spans="1:22" x14ac:dyDescent="0.25">
      <c r="A29" s="121"/>
      <c r="B29" s="38">
        <v>75</v>
      </c>
      <c r="C29" s="136"/>
      <c r="D29" s="139"/>
      <c r="E29" s="56"/>
      <c r="F29" s="136"/>
      <c r="G29" s="137"/>
      <c r="H29" s="103"/>
      <c r="I29" s="57"/>
      <c r="J29" s="58"/>
      <c r="K29" s="58"/>
      <c r="L29" s="138"/>
      <c r="M29" s="139"/>
      <c r="N29" s="121"/>
      <c r="O29" s="103"/>
      <c r="P29" s="55"/>
      <c r="Q29" s="121"/>
      <c r="R29" s="55"/>
      <c r="S29" s="53">
        <f t="shared" si="0"/>
        <v>0</v>
      </c>
      <c r="T29" s="59"/>
    </row>
    <row r="30" spans="1:22" x14ac:dyDescent="0.25">
      <c r="A30" s="121"/>
      <c r="B30" s="38">
        <v>76</v>
      </c>
      <c r="C30" s="136"/>
      <c r="D30" s="139"/>
      <c r="E30" s="56"/>
      <c r="F30" s="136"/>
      <c r="G30" s="137"/>
      <c r="H30" s="103"/>
      <c r="I30" s="57"/>
      <c r="J30" s="58"/>
      <c r="K30" s="58"/>
      <c r="L30" s="138"/>
      <c r="M30" s="139"/>
      <c r="N30" s="121"/>
      <c r="O30" s="103"/>
      <c r="P30" s="55"/>
      <c r="Q30" s="121"/>
      <c r="R30" s="55"/>
      <c r="S30" s="53">
        <f t="shared" si="0"/>
        <v>0</v>
      </c>
      <c r="T30" s="59"/>
    </row>
    <row r="31" spans="1:22" x14ac:dyDescent="0.25">
      <c r="A31" s="121"/>
      <c r="B31" s="38">
        <v>77</v>
      </c>
      <c r="C31" s="136"/>
      <c r="D31" s="139"/>
      <c r="E31" s="56"/>
      <c r="F31" s="136"/>
      <c r="G31" s="137"/>
      <c r="H31" s="103"/>
      <c r="I31" s="57"/>
      <c r="J31" s="58"/>
      <c r="K31" s="58"/>
      <c r="L31" s="138"/>
      <c r="M31" s="139"/>
      <c r="N31" s="121"/>
      <c r="O31" s="103"/>
      <c r="P31" s="55"/>
      <c r="Q31" s="121"/>
      <c r="R31" s="55"/>
      <c r="S31" s="53">
        <f t="shared" si="0"/>
        <v>0</v>
      </c>
      <c r="T31" s="59"/>
    </row>
    <row r="32" spans="1:22" x14ac:dyDescent="0.25">
      <c r="A32" s="121"/>
      <c r="B32" s="38">
        <v>78</v>
      </c>
      <c r="C32" s="136"/>
      <c r="D32" s="139"/>
      <c r="E32" s="56"/>
      <c r="F32" s="136"/>
      <c r="G32" s="137"/>
      <c r="H32" s="103"/>
      <c r="I32" s="57"/>
      <c r="J32" s="58"/>
      <c r="K32" s="58"/>
      <c r="L32" s="138"/>
      <c r="M32" s="139"/>
      <c r="N32" s="121"/>
      <c r="O32" s="103"/>
      <c r="P32" s="55"/>
      <c r="Q32" s="121"/>
      <c r="R32" s="55"/>
      <c r="S32" s="53">
        <f t="shared" si="0"/>
        <v>0</v>
      </c>
      <c r="T32" s="59"/>
    </row>
    <row r="33" spans="1:20" x14ac:dyDescent="0.25">
      <c r="A33" s="121"/>
      <c r="B33" s="38">
        <v>79</v>
      </c>
      <c r="C33" s="136"/>
      <c r="D33" s="139"/>
      <c r="E33" s="56"/>
      <c r="F33" s="136"/>
      <c r="G33" s="137"/>
      <c r="H33" s="103"/>
      <c r="I33" s="57"/>
      <c r="J33" s="58"/>
      <c r="K33" s="58"/>
      <c r="L33" s="138"/>
      <c r="M33" s="139"/>
      <c r="N33" s="121"/>
      <c r="O33" s="103"/>
      <c r="P33" s="55"/>
      <c r="Q33" s="121"/>
      <c r="R33" s="55"/>
      <c r="S33" s="53">
        <f t="shared" si="0"/>
        <v>0</v>
      </c>
      <c r="T33" s="59"/>
    </row>
    <row r="34" spans="1:20" x14ac:dyDescent="0.25">
      <c r="A34" s="121"/>
      <c r="B34" s="38">
        <v>80</v>
      </c>
      <c r="C34" s="136"/>
      <c r="D34" s="139"/>
      <c r="E34" s="56"/>
      <c r="F34" s="136"/>
      <c r="G34" s="137"/>
      <c r="H34" s="103"/>
      <c r="I34" s="57"/>
      <c r="J34" s="58"/>
      <c r="K34" s="58"/>
      <c r="L34" s="138"/>
      <c r="M34" s="139"/>
      <c r="N34" s="121"/>
      <c r="O34" s="103"/>
      <c r="P34" s="55"/>
      <c r="Q34" s="121"/>
      <c r="R34" s="55"/>
      <c r="S34" s="53">
        <f t="shared" si="0"/>
        <v>0</v>
      </c>
      <c r="T34" s="59"/>
    </row>
    <row r="35" spans="1:20" x14ac:dyDescent="0.25">
      <c r="A35" s="121"/>
      <c r="B35" s="38">
        <v>81</v>
      </c>
      <c r="C35" s="136"/>
      <c r="D35" s="139"/>
      <c r="E35" s="56"/>
      <c r="F35" s="136"/>
      <c r="G35" s="137"/>
      <c r="H35" s="103"/>
      <c r="I35" s="57"/>
      <c r="J35" s="58"/>
      <c r="K35" s="58"/>
      <c r="L35" s="138"/>
      <c r="M35" s="139"/>
      <c r="N35" s="121"/>
      <c r="O35" s="103"/>
      <c r="P35" s="55"/>
      <c r="Q35" s="121"/>
      <c r="R35" s="55"/>
      <c r="S35" s="53">
        <f t="shared" si="0"/>
        <v>0</v>
      </c>
      <c r="T35" s="59"/>
    </row>
    <row r="36" spans="1:20" x14ac:dyDescent="0.25">
      <c r="A36" s="121"/>
      <c r="B36" s="38">
        <v>82</v>
      </c>
      <c r="C36" s="136"/>
      <c r="D36" s="139"/>
      <c r="E36" s="56"/>
      <c r="F36" s="136"/>
      <c r="G36" s="137"/>
      <c r="H36" s="103"/>
      <c r="I36" s="57"/>
      <c r="J36" s="58"/>
      <c r="K36" s="58"/>
      <c r="L36" s="138"/>
      <c r="M36" s="139"/>
      <c r="N36" s="121"/>
      <c r="O36" s="103"/>
      <c r="P36" s="55"/>
      <c r="Q36" s="121"/>
      <c r="R36" s="55"/>
      <c r="S36" s="53">
        <f t="shared" si="0"/>
        <v>0</v>
      </c>
      <c r="T36" s="59"/>
    </row>
    <row r="37" spans="1:20" x14ac:dyDescent="0.25">
      <c r="A37" s="121"/>
      <c r="B37" s="38">
        <v>83</v>
      </c>
      <c r="C37" s="136"/>
      <c r="D37" s="139"/>
      <c r="E37" s="56"/>
      <c r="F37" s="136"/>
      <c r="G37" s="137"/>
      <c r="H37" s="103"/>
      <c r="I37" s="57"/>
      <c r="J37" s="58"/>
      <c r="K37" s="58"/>
      <c r="L37" s="138"/>
      <c r="M37" s="139"/>
      <c r="N37" s="121"/>
      <c r="O37" s="103"/>
      <c r="P37" s="55"/>
      <c r="Q37" s="121"/>
      <c r="R37" s="55"/>
      <c r="S37" s="53">
        <f t="shared" si="0"/>
        <v>0</v>
      </c>
      <c r="T37" s="59"/>
    </row>
    <row r="38" spans="1:20" x14ac:dyDescent="0.25">
      <c r="A38" s="121"/>
      <c r="B38" s="38">
        <v>84</v>
      </c>
      <c r="C38" s="136"/>
      <c r="D38" s="139"/>
      <c r="E38" s="56"/>
      <c r="F38" s="136"/>
      <c r="G38" s="137"/>
      <c r="H38" s="103"/>
      <c r="I38" s="57"/>
      <c r="J38" s="58"/>
      <c r="K38" s="58"/>
      <c r="L38" s="138"/>
      <c r="M38" s="139"/>
      <c r="N38" s="121"/>
      <c r="O38" s="103"/>
      <c r="P38" s="55"/>
      <c r="Q38" s="121"/>
      <c r="R38" s="55"/>
      <c r="S38" s="53">
        <f t="shared" si="0"/>
        <v>0</v>
      </c>
      <c r="T38" s="59"/>
    </row>
    <row r="39" spans="1:20" x14ac:dyDescent="0.25">
      <c r="A39" s="52"/>
      <c r="B39" s="38">
        <v>85</v>
      </c>
      <c r="C39" s="170"/>
      <c r="D39" s="171"/>
      <c r="E39" s="56"/>
      <c r="F39" s="136"/>
      <c r="G39" s="137"/>
      <c r="H39" s="103"/>
      <c r="I39" s="57"/>
      <c r="J39" s="58"/>
      <c r="K39" s="58"/>
      <c r="L39" s="138"/>
      <c r="M39" s="139"/>
      <c r="N39" s="121"/>
      <c r="O39" s="103"/>
      <c r="P39" s="55"/>
      <c r="Q39" s="121"/>
      <c r="R39" s="55"/>
      <c r="S39" s="53">
        <f t="shared" si="0"/>
        <v>0</v>
      </c>
      <c r="T39" s="59"/>
    </row>
    <row r="40" spans="1:20" x14ac:dyDescent="0.25">
      <c r="A40" s="113"/>
      <c r="B40" s="38">
        <v>86</v>
      </c>
      <c r="C40" s="170"/>
      <c r="D40" s="171"/>
      <c r="E40" s="56"/>
      <c r="F40" s="136"/>
      <c r="G40" s="137"/>
      <c r="H40" s="103"/>
      <c r="I40" s="57"/>
      <c r="J40" s="58"/>
      <c r="K40" s="58"/>
      <c r="L40" s="138"/>
      <c r="M40" s="139"/>
      <c r="N40" s="121"/>
      <c r="O40" s="103"/>
      <c r="P40" s="55"/>
      <c r="Q40" s="121"/>
      <c r="R40" s="55"/>
      <c r="S40" s="53">
        <f t="shared" si="0"/>
        <v>0</v>
      </c>
      <c r="T40" s="59"/>
    </row>
    <row r="41" spans="1:20" x14ac:dyDescent="0.25">
      <c r="A41" s="52"/>
      <c r="B41" s="38">
        <v>87</v>
      </c>
      <c r="C41" s="170"/>
      <c r="D41" s="171"/>
      <c r="E41" s="56"/>
      <c r="F41" s="136"/>
      <c r="G41" s="137"/>
      <c r="H41" s="103"/>
      <c r="I41" s="57"/>
      <c r="J41" s="58"/>
      <c r="K41" s="58"/>
      <c r="L41" s="138"/>
      <c r="M41" s="139"/>
      <c r="N41" s="121"/>
      <c r="O41" s="103"/>
      <c r="P41" s="55"/>
      <c r="Q41" s="121"/>
      <c r="R41" s="55"/>
      <c r="S41" s="53">
        <f t="shared" si="0"/>
        <v>0</v>
      </c>
      <c r="T41" s="59"/>
    </row>
    <row r="42" spans="1:20" x14ac:dyDescent="0.25">
      <c r="A42" s="52"/>
      <c r="B42" s="38">
        <v>88</v>
      </c>
      <c r="C42" s="170"/>
      <c r="D42" s="171"/>
      <c r="E42" s="56"/>
      <c r="F42" s="136"/>
      <c r="G42" s="137"/>
      <c r="H42" s="103"/>
      <c r="I42" s="57"/>
      <c r="J42" s="58"/>
      <c r="K42" s="58"/>
      <c r="L42" s="138"/>
      <c r="M42" s="139"/>
      <c r="N42" s="121"/>
      <c r="O42" s="103"/>
      <c r="P42" s="55"/>
      <c r="Q42" s="121"/>
      <c r="R42" s="55"/>
      <c r="S42" s="53">
        <f t="shared" si="0"/>
        <v>0</v>
      </c>
      <c r="T42" s="59"/>
    </row>
    <row r="43" spans="1:20" x14ac:dyDescent="0.25">
      <c r="A43" s="52"/>
      <c r="B43" s="38">
        <v>89</v>
      </c>
      <c r="C43" s="170"/>
      <c r="D43" s="171"/>
      <c r="E43" s="56"/>
      <c r="F43" s="136"/>
      <c r="G43" s="137"/>
      <c r="H43" s="103"/>
      <c r="I43" s="57"/>
      <c r="J43" s="58"/>
      <c r="K43" s="58"/>
      <c r="L43" s="138"/>
      <c r="M43" s="139"/>
      <c r="N43" s="121"/>
      <c r="O43" s="103"/>
      <c r="P43" s="55"/>
      <c r="Q43" s="121"/>
      <c r="R43" s="55"/>
      <c r="S43" s="53">
        <f t="shared" si="0"/>
        <v>0</v>
      </c>
      <c r="T43" s="59"/>
    </row>
    <row r="44" spans="1:20" x14ac:dyDescent="0.25">
      <c r="A44" s="52"/>
      <c r="B44" s="38">
        <v>90</v>
      </c>
      <c r="C44" s="170"/>
      <c r="D44" s="171"/>
      <c r="E44" s="56"/>
      <c r="F44" s="136"/>
      <c r="G44" s="137"/>
      <c r="H44" s="103"/>
      <c r="I44" s="57"/>
      <c r="J44" s="58"/>
      <c r="K44" s="58"/>
      <c r="L44" s="138"/>
      <c r="M44" s="139"/>
      <c r="N44" s="121"/>
      <c r="O44" s="103"/>
      <c r="P44" s="55"/>
      <c r="Q44" s="121"/>
      <c r="R44" s="55"/>
      <c r="S44" s="53">
        <f t="shared" si="0"/>
        <v>0</v>
      </c>
      <c r="T44" s="59"/>
    </row>
    <row r="45" spans="1:20" x14ac:dyDescent="0.25">
      <c r="A45" s="52"/>
      <c r="B45" s="38">
        <v>91</v>
      </c>
      <c r="C45" s="170"/>
      <c r="D45" s="171"/>
      <c r="E45" s="56"/>
      <c r="F45" s="136"/>
      <c r="G45" s="137"/>
      <c r="H45" s="103"/>
      <c r="I45" s="57"/>
      <c r="J45" s="58"/>
      <c r="K45" s="58"/>
      <c r="L45" s="138"/>
      <c r="M45" s="139"/>
      <c r="N45" s="121"/>
      <c r="O45" s="103"/>
      <c r="P45" s="55"/>
      <c r="Q45" s="121"/>
      <c r="R45" s="55"/>
      <c r="S45" s="53">
        <f t="shared" si="0"/>
        <v>0</v>
      </c>
      <c r="T45" s="59"/>
    </row>
    <row r="46" spans="1:20" x14ac:dyDescent="0.25">
      <c r="A46" s="52"/>
      <c r="B46" s="38">
        <v>92</v>
      </c>
      <c r="C46" s="170"/>
      <c r="D46" s="171"/>
      <c r="E46" s="56"/>
      <c r="F46" s="136"/>
      <c r="G46" s="137"/>
      <c r="H46" s="103"/>
      <c r="I46" s="57"/>
      <c r="J46" s="58"/>
      <c r="K46" s="58"/>
      <c r="L46" s="138"/>
      <c r="M46" s="139"/>
      <c r="N46" s="121"/>
      <c r="O46" s="103"/>
      <c r="P46" s="55"/>
      <c r="Q46" s="121"/>
      <c r="R46" s="55"/>
      <c r="S46" s="53">
        <f t="shared" si="0"/>
        <v>0</v>
      </c>
      <c r="T46" s="59"/>
    </row>
    <row r="47" spans="1:20" x14ac:dyDescent="0.25">
      <c r="A47" s="52"/>
      <c r="B47" s="38">
        <v>93</v>
      </c>
      <c r="C47" s="170"/>
      <c r="D47" s="171"/>
      <c r="E47" s="56"/>
      <c r="F47" s="136"/>
      <c r="G47" s="137"/>
      <c r="H47" s="103"/>
      <c r="I47" s="57"/>
      <c r="J47" s="58"/>
      <c r="K47" s="58"/>
      <c r="L47" s="138"/>
      <c r="M47" s="139"/>
      <c r="N47" s="121"/>
      <c r="O47" s="103"/>
      <c r="P47" s="55"/>
      <c r="Q47" s="121"/>
      <c r="R47" s="55"/>
      <c r="S47" s="53">
        <f t="shared" si="0"/>
        <v>0</v>
      </c>
      <c r="T47" s="59"/>
    </row>
    <row r="48" spans="1:20" x14ac:dyDescent="0.25">
      <c r="A48" s="52"/>
      <c r="B48" s="38">
        <v>94</v>
      </c>
      <c r="C48" s="170"/>
      <c r="D48" s="171"/>
      <c r="E48" s="56"/>
      <c r="F48" s="136"/>
      <c r="G48" s="137"/>
      <c r="H48" s="103"/>
      <c r="I48" s="57"/>
      <c r="J48" s="58"/>
      <c r="K48" s="58"/>
      <c r="L48" s="138"/>
      <c r="M48" s="139"/>
      <c r="N48" s="121"/>
      <c r="O48" s="103"/>
      <c r="P48" s="55"/>
      <c r="Q48" s="121"/>
      <c r="R48" s="55"/>
      <c r="S48" s="53">
        <f t="shared" si="0"/>
        <v>0</v>
      </c>
      <c r="T48" s="59"/>
    </row>
    <row r="49" spans="1:24" x14ac:dyDescent="0.25">
      <c r="A49" s="52"/>
      <c r="B49" s="38">
        <v>95</v>
      </c>
      <c r="C49" s="170"/>
      <c r="D49" s="171"/>
      <c r="E49" s="117"/>
      <c r="F49" s="136"/>
      <c r="G49" s="137"/>
      <c r="H49" s="103"/>
      <c r="I49" s="57"/>
      <c r="J49" s="58"/>
      <c r="K49" s="58"/>
      <c r="L49" s="138"/>
      <c r="M49" s="139"/>
      <c r="N49" s="121"/>
      <c r="O49" s="103"/>
      <c r="P49" s="55"/>
      <c r="Q49" s="121"/>
      <c r="R49" s="55"/>
      <c r="S49" s="53">
        <f t="shared" si="0"/>
        <v>0</v>
      </c>
      <c r="T49" s="59"/>
    </row>
    <row r="50" spans="1:24" x14ac:dyDescent="0.25">
      <c r="A50" s="52"/>
      <c r="B50" s="38">
        <v>96</v>
      </c>
      <c r="C50" s="170"/>
      <c r="D50" s="171"/>
      <c r="E50" s="56"/>
      <c r="F50" s="136"/>
      <c r="G50" s="137"/>
      <c r="H50" s="103"/>
      <c r="I50" s="57"/>
      <c r="J50" s="58"/>
      <c r="K50" s="58"/>
      <c r="L50" s="138"/>
      <c r="M50" s="139"/>
      <c r="N50" s="121"/>
      <c r="O50" s="103"/>
      <c r="P50" s="55"/>
      <c r="Q50" s="121"/>
      <c r="R50" s="55"/>
      <c r="S50" s="53">
        <f t="shared" si="0"/>
        <v>0</v>
      </c>
      <c r="T50" s="59"/>
    </row>
    <row r="51" spans="1:24" x14ac:dyDescent="0.25">
      <c r="A51" s="52"/>
      <c r="B51" s="38">
        <v>97</v>
      </c>
      <c r="C51" s="170"/>
      <c r="D51" s="171"/>
      <c r="E51" s="56"/>
      <c r="F51" s="136"/>
      <c r="G51" s="137"/>
      <c r="H51" s="103"/>
      <c r="I51" s="57"/>
      <c r="J51" s="58"/>
      <c r="K51" s="58"/>
      <c r="L51" s="138"/>
      <c r="M51" s="139"/>
      <c r="N51" s="121"/>
      <c r="O51" s="103"/>
      <c r="P51" s="55"/>
      <c r="Q51" s="121"/>
      <c r="R51" s="55"/>
      <c r="S51" s="53">
        <f t="shared" si="0"/>
        <v>0</v>
      </c>
      <c r="T51" s="59"/>
    </row>
    <row r="52" spans="1:24" x14ac:dyDescent="0.25">
      <c r="A52" s="52"/>
      <c r="B52" s="38">
        <v>98</v>
      </c>
      <c r="C52" s="170"/>
      <c r="D52" s="171"/>
      <c r="E52" s="56"/>
      <c r="F52" s="136"/>
      <c r="G52" s="137"/>
      <c r="H52" s="103"/>
      <c r="I52" s="57"/>
      <c r="J52" s="58"/>
      <c r="K52" s="58"/>
      <c r="L52" s="138"/>
      <c r="M52" s="139"/>
      <c r="N52" s="121"/>
      <c r="O52" s="103"/>
      <c r="P52" s="55"/>
      <c r="Q52" s="121"/>
      <c r="R52" s="55"/>
      <c r="S52" s="53">
        <f t="shared" si="0"/>
        <v>0</v>
      </c>
      <c r="T52" s="59"/>
    </row>
    <row r="53" spans="1:24" x14ac:dyDescent="0.25">
      <c r="A53" s="52"/>
      <c r="B53" s="38">
        <v>99</v>
      </c>
      <c r="C53" s="170"/>
      <c r="D53" s="171"/>
      <c r="E53" s="56"/>
      <c r="F53" s="136"/>
      <c r="G53" s="137"/>
      <c r="H53" s="103"/>
      <c r="I53" s="57"/>
      <c r="J53" s="58"/>
      <c r="K53" s="58"/>
      <c r="L53" s="138"/>
      <c r="M53" s="139"/>
      <c r="N53" s="121"/>
      <c r="O53" s="103"/>
      <c r="P53" s="55"/>
      <c r="Q53" s="121"/>
      <c r="R53" s="55"/>
      <c r="S53" s="53">
        <f t="shared" si="0"/>
        <v>0</v>
      </c>
      <c r="T53" s="59"/>
    </row>
    <row r="54" spans="1:24" x14ac:dyDescent="0.25">
      <c r="A54" s="52"/>
      <c r="B54" s="38">
        <v>100</v>
      </c>
      <c r="C54" s="170"/>
      <c r="D54" s="171"/>
      <c r="E54" s="56"/>
      <c r="F54" s="136"/>
      <c r="G54" s="137"/>
      <c r="H54" s="103"/>
      <c r="I54" s="57"/>
      <c r="J54" s="58"/>
      <c r="K54" s="58"/>
      <c r="L54" s="138"/>
      <c r="M54" s="139"/>
      <c r="N54" s="121"/>
      <c r="O54" s="103"/>
      <c r="P54" s="55"/>
      <c r="Q54" s="121"/>
      <c r="R54" s="55"/>
      <c r="S54" s="53">
        <f t="shared" si="0"/>
        <v>0</v>
      </c>
      <c r="T54" s="59"/>
    </row>
    <row r="55" spans="1:24" x14ac:dyDescent="0.25">
      <c r="A55" s="52"/>
      <c r="B55" s="38">
        <v>101</v>
      </c>
      <c r="C55" s="170"/>
      <c r="D55" s="171"/>
      <c r="E55" s="56"/>
      <c r="F55" s="136"/>
      <c r="G55" s="137"/>
      <c r="H55" s="103"/>
      <c r="I55" s="57"/>
      <c r="J55" s="58"/>
      <c r="K55" s="58"/>
      <c r="L55" s="138"/>
      <c r="M55" s="139"/>
      <c r="N55" s="121"/>
      <c r="O55" s="103"/>
      <c r="P55" s="55"/>
      <c r="Q55" s="121"/>
      <c r="R55" s="55"/>
      <c r="S55" s="53">
        <f t="shared" si="0"/>
        <v>0</v>
      </c>
      <c r="T55" s="59"/>
    </row>
    <row r="56" spans="1:24" x14ac:dyDescent="0.25">
      <c r="A56" s="52"/>
      <c r="B56" s="38">
        <v>102</v>
      </c>
      <c r="C56" s="170"/>
      <c r="D56" s="171"/>
      <c r="E56" s="56"/>
      <c r="F56" s="136"/>
      <c r="G56" s="137"/>
      <c r="H56" s="103"/>
      <c r="I56" s="57"/>
      <c r="J56" s="58"/>
      <c r="K56" s="58"/>
      <c r="L56" s="138"/>
      <c r="M56" s="139"/>
      <c r="N56" s="121"/>
      <c r="O56" s="103"/>
      <c r="P56" s="55"/>
      <c r="Q56" s="121"/>
      <c r="R56" s="55"/>
      <c r="S56" s="53">
        <f t="shared" si="0"/>
        <v>0</v>
      </c>
      <c r="T56" s="59"/>
    </row>
    <row r="57" spans="1:24" x14ac:dyDescent="0.25">
      <c r="A57" s="52"/>
      <c r="B57" s="38">
        <v>103</v>
      </c>
      <c r="C57" s="170"/>
      <c r="D57" s="171"/>
      <c r="E57" s="56"/>
      <c r="F57" s="136"/>
      <c r="G57" s="137"/>
      <c r="H57" s="103"/>
      <c r="I57" s="57"/>
      <c r="J57" s="58"/>
      <c r="K57" s="58"/>
      <c r="L57" s="138"/>
      <c r="M57" s="139"/>
      <c r="N57" s="121"/>
      <c r="O57" s="103"/>
      <c r="P57" s="55"/>
      <c r="Q57" s="121"/>
      <c r="R57" s="55"/>
      <c r="S57" s="53">
        <f t="shared" si="0"/>
        <v>0</v>
      </c>
      <c r="T57" s="59"/>
    </row>
    <row r="58" spans="1:24" x14ac:dyDescent="0.25">
      <c r="A58" s="52"/>
      <c r="B58" s="38">
        <v>104</v>
      </c>
      <c r="C58" s="170"/>
      <c r="D58" s="171"/>
      <c r="E58" s="56"/>
      <c r="F58" s="136"/>
      <c r="G58" s="137"/>
      <c r="H58" s="103"/>
      <c r="I58" s="57"/>
      <c r="J58" s="58"/>
      <c r="K58" s="58"/>
      <c r="L58" s="138"/>
      <c r="M58" s="139"/>
      <c r="N58" s="121"/>
      <c r="O58" s="103"/>
      <c r="P58" s="55"/>
      <c r="Q58" s="121"/>
      <c r="R58" s="55"/>
      <c r="S58" s="53">
        <f t="shared" si="0"/>
        <v>0</v>
      </c>
      <c r="T58" s="59"/>
    </row>
    <row r="59" spans="1:24" ht="15.75" thickBot="1" x14ac:dyDescent="0.3">
      <c r="A59" s="115"/>
      <c r="B59" s="114"/>
      <c r="C59" s="170"/>
      <c r="D59" s="171"/>
      <c r="E59" s="60"/>
      <c r="F59" s="136"/>
      <c r="G59" s="137"/>
      <c r="H59" s="103"/>
      <c r="I59" s="57"/>
      <c r="J59" s="58"/>
      <c r="K59" s="58"/>
      <c r="L59" s="138"/>
      <c r="M59" s="139"/>
      <c r="N59" s="121"/>
      <c r="O59" s="103"/>
      <c r="P59" s="55"/>
      <c r="Q59" s="121"/>
      <c r="R59" s="55"/>
      <c r="S59" s="64">
        <f t="shared" si="0"/>
        <v>0</v>
      </c>
      <c r="T59" s="65"/>
    </row>
    <row r="60" spans="1:24" ht="15.75" thickBot="1" x14ac:dyDescent="0.3">
      <c r="A60" s="186" t="s">
        <v>16</v>
      </c>
      <c r="B60" s="187"/>
      <c r="C60" s="187"/>
      <c r="D60" s="69"/>
      <c r="E60" s="67"/>
      <c r="F60" s="146">
        <f>SUM(F5:G59)</f>
        <v>0</v>
      </c>
      <c r="G60" s="148"/>
      <c r="H60" s="34">
        <f>SUM(H5:H59)</f>
        <v>0</v>
      </c>
      <c r="I60" s="133">
        <f>SUM(I5:I59)</f>
        <v>0</v>
      </c>
      <c r="J60" s="134">
        <f>SUM(J5:J59)</f>
        <v>0</v>
      </c>
      <c r="K60" s="134">
        <f>SUM(K5:K59)</f>
        <v>0</v>
      </c>
      <c r="L60" s="149">
        <f>SUM(L5:M59)</f>
        <v>0</v>
      </c>
      <c r="M60" s="147"/>
      <c r="N60" s="133">
        <f>SUM(N5:N59)</f>
        <v>0</v>
      </c>
      <c r="O60" s="134">
        <f>SUM(O5:O59)</f>
        <v>0</v>
      </c>
      <c r="P60" s="34">
        <f>SUM(P5:P59)</f>
        <v>0</v>
      </c>
      <c r="Q60" s="133">
        <f>SUM(Q5:Q59)</f>
        <v>0</v>
      </c>
      <c r="R60" s="34">
        <f>SUM(R5:R59)</f>
        <v>0</v>
      </c>
      <c r="S60" s="68">
        <f>SUM(S5:S59)</f>
        <v>0</v>
      </c>
      <c r="T60" s="36">
        <f>SUM(T5:T59)</f>
        <v>0</v>
      </c>
      <c r="V60" s="13"/>
      <c r="W60" s="13"/>
      <c r="X60" s="13"/>
    </row>
    <row r="61" spans="1:24" ht="15.75" thickBot="1" x14ac:dyDescent="0.3">
      <c r="A61" s="186"/>
      <c r="B61" s="187"/>
      <c r="C61" s="187"/>
      <c r="D61" s="69"/>
      <c r="E61" s="67"/>
      <c r="F61" s="146">
        <f>F4+F60</f>
        <v>768</v>
      </c>
      <c r="G61" s="148"/>
      <c r="H61" s="34">
        <f>H4+H60</f>
        <v>5712</v>
      </c>
      <c r="I61" s="69">
        <f>I4+I60</f>
        <v>32880</v>
      </c>
      <c r="J61" s="134">
        <f>J4+J60</f>
        <v>360</v>
      </c>
      <c r="K61" s="134">
        <f>K4+K60</f>
        <v>2442</v>
      </c>
      <c r="L61" s="149">
        <f>L4+L60</f>
        <v>440</v>
      </c>
      <c r="M61" s="147"/>
      <c r="N61" s="133">
        <f>N4+N60</f>
        <v>10440</v>
      </c>
      <c r="O61" s="134">
        <f>O4+O60</f>
        <v>6504</v>
      </c>
      <c r="P61" s="34">
        <f>P4+P60</f>
        <v>55848</v>
      </c>
      <c r="Q61" s="69">
        <f>Q4+Q60</f>
        <v>6672</v>
      </c>
      <c r="R61" s="134">
        <f>R4+R60</f>
        <v>900</v>
      </c>
      <c r="S61" s="70">
        <f>S4+S60</f>
        <v>122966</v>
      </c>
      <c r="T61" s="36">
        <f>T4+T60</f>
        <v>39031428</v>
      </c>
      <c r="W61" s="13"/>
      <c r="X61" s="13"/>
    </row>
    <row r="62" spans="1:24" ht="15.75" thickBot="1" x14ac:dyDescent="0.3">
      <c r="V62" s="13"/>
    </row>
    <row r="63" spans="1:24" ht="15.75" customHeight="1" thickBot="1" x14ac:dyDescent="0.3">
      <c r="A63" s="188" t="s">
        <v>183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  <c r="N63" s="189"/>
      <c r="O63" s="189"/>
      <c r="P63" s="189"/>
      <c r="Q63" s="190"/>
      <c r="R63" s="1"/>
      <c r="S63" s="1"/>
      <c r="T63" s="28"/>
    </row>
    <row r="64" spans="1:24" ht="15.75" customHeight="1" thickBot="1" x14ac:dyDescent="0.3">
      <c r="A64" s="191" t="s">
        <v>34</v>
      </c>
      <c r="B64" s="192"/>
      <c r="C64" s="195" t="s">
        <v>33</v>
      </c>
      <c r="D64" s="195" t="s">
        <v>11</v>
      </c>
      <c r="E64" s="198" t="s">
        <v>19</v>
      </c>
      <c r="F64" s="191" t="s">
        <v>8</v>
      </c>
      <c r="G64" s="192"/>
      <c r="H64" s="200" t="s">
        <v>10</v>
      </c>
      <c r="I64" s="201"/>
      <c r="J64" s="202"/>
      <c r="K64" s="203" t="s">
        <v>25</v>
      </c>
      <c r="L64" s="204"/>
      <c r="M64" s="204"/>
      <c r="N64" s="204"/>
      <c r="O64" s="205"/>
      <c r="P64" s="195" t="s">
        <v>20</v>
      </c>
      <c r="Q64" s="206" t="s">
        <v>38</v>
      </c>
      <c r="R64" s="1"/>
      <c r="S64" s="1"/>
      <c r="T64" s="28"/>
    </row>
    <row r="65" spans="1:22" ht="15.75" thickBot="1" x14ac:dyDescent="0.3">
      <c r="A65" s="193"/>
      <c r="B65" s="194"/>
      <c r="C65" s="196"/>
      <c r="D65" s="197"/>
      <c r="E65" s="199"/>
      <c r="F65" s="193"/>
      <c r="G65" s="194"/>
      <c r="H65" s="80" t="s">
        <v>49</v>
      </c>
      <c r="I65" s="80" t="s">
        <v>48</v>
      </c>
      <c r="J65" s="80" t="s">
        <v>50</v>
      </c>
      <c r="K65" s="80" t="s">
        <v>24</v>
      </c>
      <c r="L65" s="203" t="s">
        <v>47</v>
      </c>
      <c r="M65" s="205"/>
      <c r="N65" s="80" t="s">
        <v>46</v>
      </c>
      <c r="O65" s="80" t="s">
        <v>45</v>
      </c>
      <c r="P65" s="197"/>
      <c r="Q65" s="207"/>
      <c r="T65" s="28"/>
    </row>
    <row r="66" spans="1:22" ht="15" customHeight="1" x14ac:dyDescent="0.25">
      <c r="A66" s="191" t="s">
        <v>27</v>
      </c>
      <c r="B66" s="192"/>
      <c r="C66" s="123" t="s">
        <v>28</v>
      </c>
      <c r="D66" s="123"/>
      <c r="E66" s="4"/>
      <c r="F66" s="212"/>
      <c r="G66" s="212"/>
      <c r="H66" s="4"/>
      <c r="I66" s="122"/>
      <c r="J66" s="4"/>
      <c r="K66" s="122"/>
      <c r="L66" s="213"/>
      <c r="M66" s="214"/>
      <c r="N66" s="122"/>
      <c r="O66" s="4"/>
      <c r="P66" s="122"/>
      <c r="Q66" s="4">
        <f>SUM(D66:P66)</f>
        <v>0</v>
      </c>
      <c r="T66" s="28"/>
      <c r="V66" s="13">
        <f>Q66-F60</f>
        <v>0</v>
      </c>
    </row>
    <row r="67" spans="1:22" ht="15.75" thickBot="1" x14ac:dyDescent="0.3">
      <c r="A67" s="193"/>
      <c r="B67" s="194"/>
      <c r="C67" s="125" t="s">
        <v>29</v>
      </c>
      <c r="D67" s="125"/>
      <c r="E67" s="14"/>
      <c r="F67" s="221"/>
      <c r="G67" s="221"/>
      <c r="H67" s="14"/>
      <c r="I67" s="124"/>
      <c r="J67" s="14"/>
      <c r="K67" s="124"/>
      <c r="L67" s="208"/>
      <c r="M67" s="209"/>
      <c r="N67" s="124"/>
      <c r="O67" s="14"/>
      <c r="P67" s="124"/>
      <c r="Q67" s="16">
        <f t="shared" ref="Q67:Q76" si="1">SUM(D67:P67)</f>
        <v>0</v>
      </c>
      <c r="T67" s="28"/>
      <c r="V67" s="13">
        <f>H60-Q67</f>
        <v>0</v>
      </c>
    </row>
    <row r="68" spans="1:22" x14ac:dyDescent="0.25">
      <c r="A68" s="191" t="s">
        <v>41</v>
      </c>
      <c r="B68" s="192"/>
      <c r="C68" s="4" t="s">
        <v>30</v>
      </c>
      <c r="D68" s="123"/>
      <c r="E68" s="4"/>
      <c r="F68" s="212"/>
      <c r="G68" s="212"/>
      <c r="H68" s="4"/>
      <c r="I68" s="122"/>
      <c r="J68" s="4"/>
      <c r="K68" s="122"/>
      <c r="L68" s="213"/>
      <c r="M68" s="214"/>
      <c r="N68" s="122"/>
      <c r="O68" s="4"/>
      <c r="P68" s="122"/>
      <c r="Q68" s="4">
        <f t="shared" si="1"/>
        <v>0</v>
      </c>
      <c r="T68" s="28"/>
      <c r="V68" s="13">
        <f>I60-Q68</f>
        <v>0</v>
      </c>
    </row>
    <row r="69" spans="1:22" x14ac:dyDescent="0.25">
      <c r="A69" s="210"/>
      <c r="B69" s="211"/>
      <c r="C69" s="5" t="s">
        <v>32</v>
      </c>
      <c r="D69" s="131"/>
      <c r="E69" s="5"/>
      <c r="F69" s="215"/>
      <c r="G69" s="215"/>
      <c r="H69" s="5"/>
      <c r="I69" s="130"/>
      <c r="J69" s="5"/>
      <c r="K69" s="130"/>
      <c r="L69" s="216"/>
      <c r="M69" s="217"/>
      <c r="N69" s="130"/>
      <c r="O69" s="5"/>
      <c r="P69" s="130"/>
      <c r="Q69" s="5">
        <f t="shared" si="1"/>
        <v>0</v>
      </c>
      <c r="T69" s="28"/>
      <c r="V69" s="13">
        <f>J60-Q69</f>
        <v>0</v>
      </c>
    </row>
    <row r="70" spans="1:22" x14ac:dyDescent="0.25">
      <c r="A70" s="210"/>
      <c r="B70" s="211"/>
      <c r="C70" s="5" t="s">
        <v>43</v>
      </c>
      <c r="D70" s="131"/>
      <c r="E70" s="5"/>
      <c r="F70" s="215"/>
      <c r="G70" s="215"/>
      <c r="H70" s="5"/>
      <c r="I70" s="130"/>
      <c r="J70" s="5"/>
      <c r="K70" s="130"/>
      <c r="L70" s="216"/>
      <c r="M70" s="217"/>
      <c r="N70" s="130"/>
      <c r="O70" s="5"/>
      <c r="P70" s="130"/>
      <c r="Q70" s="5">
        <f t="shared" si="1"/>
        <v>0</v>
      </c>
      <c r="T70" s="28"/>
      <c r="V70" s="13">
        <f>K60-Q70</f>
        <v>0</v>
      </c>
    </row>
    <row r="71" spans="1:22" ht="15.75" thickBot="1" x14ac:dyDescent="0.3">
      <c r="A71" s="193"/>
      <c r="B71" s="194"/>
      <c r="C71" s="75" t="s">
        <v>44</v>
      </c>
      <c r="D71" s="127"/>
      <c r="E71" s="15"/>
      <c r="F71" s="218"/>
      <c r="G71" s="218"/>
      <c r="H71" s="15"/>
      <c r="I71" s="126"/>
      <c r="J71" s="15"/>
      <c r="K71" s="126"/>
      <c r="L71" s="219"/>
      <c r="M71" s="220"/>
      <c r="N71" s="126"/>
      <c r="O71" s="15"/>
      <c r="P71" s="126"/>
      <c r="Q71" s="16">
        <f t="shared" si="1"/>
        <v>0</v>
      </c>
      <c r="T71" s="28"/>
      <c r="V71" s="13">
        <f>L60-Q71</f>
        <v>0</v>
      </c>
    </row>
    <row r="72" spans="1:22" x14ac:dyDescent="0.25">
      <c r="A72" s="191" t="s">
        <v>40</v>
      </c>
      <c r="B72" s="192"/>
      <c r="C72" s="129" t="s">
        <v>28</v>
      </c>
      <c r="D72" s="129"/>
      <c r="E72" s="16"/>
      <c r="F72" s="236"/>
      <c r="G72" s="236"/>
      <c r="H72" s="16"/>
      <c r="I72" s="128"/>
      <c r="J72" s="16"/>
      <c r="K72" s="128"/>
      <c r="L72" s="237"/>
      <c r="M72" s="238"/>
      <c r="N72" s="128"/>
      <c r="O72" s="16"/>
      <c r="P72" s="128"/>
      <c r="Q72" s="4">
        <f t="shared" si="1"/>
        <v>0</v>
      </c>
      <c r="T72" s="28"/>
      <c r="V72" s="13">
        <f>N60-Q72</f>
        <v>0</v>
      </c>
    </row>
    <row r="73" spans="1:22" x14ac:dyDescent="0.25">
      <c r="A73" s="210"/>
      <c r="B73" s="211"/>
      <c r="C73" s="131" t="s">
        <v>31</v>
      </c>
      <c r="D73" s="131"/>
      <c r="E73" s="5"/>
      <c r="F73" s="215"/>
      <c r="G73" s="215"/>
      <c r="H73" s="5"/>
      <c r="I73" s="130"/>
      <c r="J73" s="5"/>
      <c r="K73" s="130"/>
      <c r="L73" s="216"/>
      <c r="M73" s="217"/>
      <c r="N73" s="130"/>
      <c r="O73" s="5"/>
      <c r="P73" s="130"/>
      <c r="Q73" s="5">
        <f t="shared" si="1"/>
        <v>0</v>
      </c>
      <c r="T73" s="28"/>
      <c r="V73" s="13">
        <f>O60-Q73</f>
        <v>0</v>
      </c>
    </row>
    <row r="74" spans="1:22" ht="15.75" thickBot="1" x14ac:dyDescent="0.3">
      <c r="A74" s="193"/>
      <c r="B74" s="194"/>
      <c r="C74" s="75" t="s">
        <v>29</v>
      </c>
      <c r="D74" s="125"/>
      <c r="E74" s="14"/>
      <c r="F74" s="221"/>
      <c r="G74" s="221"/>
      <c r="H74" s="14"/>
      <c r="I74" s="124"/>
      <c r="J74" s="14"/>
      <c r="K74" s="124"/>
      <c r="L74" s="208"/>
      <c r="M74" s="209"/>
      <c r="N74" s="124"/>
      <c r="O74" s="14"/>
      <c r="P74" s="124"/>
      <c r="Q74" s="16">
        <f t="shared" si="1"/>
        <v>0</v>
      </c>
      <c r="T74" s="28"/>
      <c r="V74" s="13">
        <f>P60-Q74</f>
        <v>0</v>
      </c>
    </row>
    <row r="75" spans="1:22" x14ac:dyDescent="0.25">
      <c r="A75" s="191" t="s">
        <v>42</v>
      </c>
      <c r="B75" s="192"/>
      <c r="C75" s="123" t="s">
        <v>31</v>
      </c>
      <c r="D75" s="123"/>
      <c r="E75" s="4"/>
      <c r="F75" s="212"/>
      <c r="G75" s="212"/>
      <c r="H75" s="4"/>
      <c r="I75" s="122"/>
      <c r="J75" s="4"/>
      <c r="K75" s="122"/>
      <c r="L75" s="213"/>
      <c r="M75" s="214"/>
      <c r="N75" s="122"/>
      <c r="O75" s="4"/>
      <c r="P75" s="122"/>
      <c r="Q75" s="4">
        <f t="shared" si="1"/>
        <v>0</v>
      </c>
      <c r="T75" s="28"/>
      <c r="V75" s="13">
        <f>Q60-Q75</f>
        <v>0</v>
      </c>
    </row>
    <row r="76" spans="1:22" ht="15.75" thickBot="1" x14ac:dyDescent="0.3">
      <c r="A76" s="193"/>
      <c r="B76" s="194"/>
      <c r="C76" s="75" t="s">
        <v>29</v>
      </c>
      <c r="D76" s="127"/>
      <c r="E76" s="15"/>
      <c r="F76" s="218"/>
      <c r="G76" s="218"/>
      <c r="H76" s="15"/>
      <c r="I76" s="126"/>
      <c r="J76" s="15"/>
      <c r="K76" s="126"/>
      <c r="L76" s="219"/>
      <c r="M76" s="220"/>
      <c r="N76" s="126"/>
      <c r="O76" s="15"/>
      <c r="P76" s="126"/>
      <c r="Q76" s="16">
        <f t="shared" si="1"/>
        <v>0</v>
      </c>
      <c r="T76" s="28"/>
      <c r="V76" s="13">
        <f>R60-Q76</f>
        <v>0</v>
      </c>
    </row>
    <row r="77" spans="1:22" ht="15.75" thickBot="1" x14ac:dyDescent="0.3">
      <c r="A77" s="232" t="s">
        <v>37</v>
      </c>
      <c r="B77" s="233"/>
      <c r="C77" s="233"/>
      <c r="D77" s="23">
        <f>SUM(D66:D76)</f>
        <v>0</v>
      </c>
      <c r="E77" s="23">
        <f t="shared" ref="E77" si="2">SUM(E66:E76)</f>
        <v>0</v>
      </c>
      <c r="F77" s="234">
        <f>SUM(F66:G76)</f>
        <v>0</v>
      </c>
      <c r="G77" s="235"/>
      <c r="H77" s="23">
        <f>SUM(H66:H76)</f>
        <v>0</v>
      </c>
      <c r="I77" s="23">
        <f>SUM(I66:I76)</f>
        <v>0</v>
      </c>
      <c r="J77" s="23">
        <f>SUM(J66:J76)</f>
        <v>0</v>
      </c>
      <c r="K77" s="23">
        <f>SUM(K66:K76)</f>
        <v>0</v>
      </c>
      <c r="L77" s="234">
        <f>SUM(L66:M76)</f>
        <v>0</v>
      </c>
      <c r="M77" s="235"/>
      <c r="N77" s="23">
        <f>SUM(N66:N76)</f>
        <v>0</v>
      </c>
      <c r="O77" s="23">
        <f>SUM(O66:O76)</f>
        <v>0</v>
      </c>
      <c r="P77" s="23">
        <f>SUM(P66:P76)</f>
        <v>0</v>
      </c>
      <c r="Q77" s="24">
        <f>SUM(Q66:Q76)</f>
        <v>0</v>
      </c>
      <c r="R77" s="12"/>
      <c r="S77" s="1"/>
      <c r="T77" s="28"/>
      <c r="V77" s="13">
        <f>S60-Q77</f>
        <v>0</v>
      </c>
    </row>
    <row r="78" spans="1:22" ht="15.75" thickBot="1" x14ac:dyDescent="0.3">
      <c r="A78" s="222" t="s">
        <v>36</v>
      </c>
      <c r="B78" s="223"/>
      <c r="C78" s="223"/>
      <c r="D78" s="224">
        <f>D77+E77+F77+H77+I77+J77+K77+L77+N77+O77+P77</f>
        <v>0</v>
      </c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6"/>
      <c r="T78" s="28"/>
      <c r="V78" s="13"/>
    </row>
    <row r="79" spans="1:22" s="20" customFormat="1" ht="15" customHeight="1" thickBot="1" x14ac:dyDescent="0.25">
      <c r="A79" s="227" t="s">
        <v>26</v>
      </c>
      <c r="B79" s="228"/>
      <c r="C79" s="228"/>
      <c r="D79" s="25"/>
      <c r="E79" s="22"/>
      <c r="F79" s="229"/>
      <c r="G79" s="230"/>
      <c r="H79" s="22"/>
      <c r="I79" s="26"/>
      <c r="J79" s="22"/>
      <c r="K79" s="22"/>
      <c r="L79" s="231"/>
      <c r="M79" s="230"/>
      <c r="N79" s="26"/>
      <c r="O79" s="22"/>
      <c r="P79" s="26"/>
      <c r="Q79" s="118"/>
      <c r="R79" s="19"/>
      <c r="S79" s="19"/>
      <c r="T79" s="29"/>
      <c r="V79" s="21">
        <f>T60-Q79</f>
        <v>0</v>
      </c>
    </row>
    <row r="80" spans="1:22" x14ac:dyDescent="0.25">
      <c r="T80" s="28"/>
      <c r="V80" s="13"/>
    </row>
  </sheetData>
  <mergeCells count="232">
    <mergeCell ref="A78:C78"/>
    <mergeCell ref="D78:Q78"/>
    <mergeCell ref="A79:C79"/>
    <mergeCell ref="F79:G79"/>
    <mergeCell ref="L79:M79"/>
    <mergeCell ref="A75:B76"/>
    <mergeCell ref="F75:G75"/>
    <mergeCell ref="L75:M75"/>
    <mergeCell ref="F76:G76"/>
    <mergeCell ref="L76:M76"/>
    <mergeCell ref="A77:C77"/>
    <mergeCell ref="F77:G77"/>
    <mergeCell ref="L77:M77"/>
    <mergeCell ref="A72:B74"/>
    <mergeCell ref="F72:G72"/>
    <mergeCell ref="L72:M72"/>
    <mergeCell ref="F73:G73"/>
    <mergeCell ref="L73:M73"/>
    <mergeCell ref="F74:G74"/>
    <mergeCell ref="L74:M74"/>
    <mergeCell ref="A68:B71"/>
    <mergeCell ref="F68:G68"/>
    <mergeCell ref="L68:M68"/>
    <mergeCell ref="F69:G69"/>
    <mergeCell ref="L69:M69"/>
    <mergeCell ref="F70:G70"/>
    <mergeCell ref="L70:M70"/>
    <mergeCell ref="F71:G71"/>
    <mergeCell ref="L71:M71"/>
    <mergeCell ref="K64:O64"/>
    <mergeCell ref="P64:P65"/>
    <mergeCell ref="Q64:Q65"/>
    <mergeCell ref="L65:M65"/>
    <mergeCell ref="A66:B67"/>
    <mergeCell ref="F66:G66"/>
    <mergeCell ref="L66:M66"/>
    <mergeCell ref="F67:G67"/>
    <mergeCell ref="L67:M67"/>
    <mergeCell ref="A61:C61"/>
    <mergeCell ref="F61:G61"/>
    <mergeCell ref="L61:M61"/>
    <mergeCell ref="A63:Q63"/>
    <mergeCell ref="A64:B65"/>
    <mergeCell ref="C64:C65"/>
    <mergeCell ref="D64:D65"/>
    <mergeCell ref="E64:E65"/>
    <mergeCell ref="F64:G65"/>
    <mergeCell ref="H64:J64"/>
    <mergeCell ref="A60:C60"/>
    <mergeCell ref="F60:G60"/>
    <mergeCell ref="L60:M60"/>
    <mergeCell ref="C59:D59"/>
    <mergeCell ref="F59:G59"/>
    <mergeCell ref="L59:M59"/>
    <mergeCell ref="C57:D57"/>
    <mergeCell ref="F57:G57"/>
    <mergeCell ref="L57:M57"/>
    <mergeCell ref="C58:D58"/>
    <mergeCell ref="F58:G58"/>
    <mergeCell ref="L58:M58"/>
    <mergeCell ref="C55:D55"/>
    <mergeCell ref="F55:G55"/>
    <mergeCell ref="L55:M55"/>
    <mergeCell ref="C56:D56"/>
    <mergeCell ref="F56:G56"/>
    <mergeCell ref="L56:M56"/>
    <mergeCell ref="C53:D53"/>
    <mergeCell ref="F53:G53"/>
    <mergeCell ref="L53:M53"/>
    <mergeCell ref="C54:D54"/>
    <mergeCell ref="F54:G54"/>
    <mergeCell ref="L54:M54"/>
    <mergeCell ref="C51:D51"/>
    <mergeCell ref="F51:G51"/>
    <mergeCell ref="L51:M51"/>
    <mergeCell ref="C52:D52"/>
    <mergeCell ref="F52:G52"/>
    <mergeCell ref="L52:M52"/>
    <mergeCell ref="C49:D49"/>
    <mergeCell ref="F49:G49"/>
    <mergeCell ref="L49:M49"/>
    <mergeCell ref="C50:D50"/>
    <mergeCell ref="F50:G50"/>
    <mergeCell ref="L50:M50"/>
    <mergeCell ref="C47:D47"/>
    <mergeCell ref="F47:G47"/>
    <mergeCell ref="L47:M47"/>
    <mergeCell ref="C48:D48"/>
    <mergeCell ref="F48:G48"/>
    <mergeCell ref="L48:M48"/>
    <mergeCell ref="C45:D45"/>
    <mergeCell ref="F45:G45"/>
    <mergeCell ref="L45:M45"/>
    <mergeCell ref="C46:D46"/>
    <mergeCell ref="F46:G46"/>
    <mergeCell ref="L46:M46"/>
    <mergeCell ref="C43:D43"/>
    <mergeCell ref="F43:G43"/>
    <mergeCell ref="L43:M43"/>
    <mergeCell ref="C44:D44"/>
    <mergeCell ref="F44:G44"/>
    <mergeCell ref="L44:M44"/>
    <mergeCell ref="C41:D41"/>
    <mergeCell ref="F41:G41"/>
    <mergeCell ref="L41:M41"/>
    <mergeCell ref="C42:D42"/>
    <mergeCell ref="F42:G42"/>
    <mergeCell ref="L42:M42"/>
    <mergeCell ref="C39:D39"/>
    <mergeCell ref="F39:G39"/>
    <mergeCell ref="L39:M39"/>
    <mergeCell ref="C40:D40"/>
    <mergeCell ref="F40:G40"/>
    <mergeCell ref="L40:M40"/>
    <mergeCell ref="C37:D37"/>
    <mergeCell ref="F37:G37"/>
    <mergeCell ref="L37:M37"/>
    <mergeCell ref="C38:D38"/>
    <mergeCell ref="F38:G38"/>
    <mergeCell ref="L38:M38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Raj</cp:lastModifiedBy>
  <cp:lastPrinted>2021-05-03T06:28:37Z</cp:lastPrinted>
  <dcterms:created xsi:type="dcterms:W3CDTF">2013-12-03T07:14:02Z</dcterms:created>
  <dcterms:modified xsi:type="dcterms:W3CDTF">2021-05-14T14:09:01Z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