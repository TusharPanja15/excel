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0730" windowHeight="11160" activeTab="1"/>
  </bookViews>
  <sheets>
    <sheet name="April 2021-22" sheetId="68" r:id="rId1"/>
    <sheet name="May 2021" sheetId="69" r:id="rId2"/>
  </sheets>
  <definedNames>
    <definedName name="_xlnm._FilterDatabase" localSheetId="0" hidden="1">'April 2021-22'!$A$2:$X$3</definedName>
    <definedName name="_xlnm._FilterDatabase" localSheetId="1" hidden="1">'May 2021'!$A$2:$X$31</definedName>
  </definedNames>
  <calcPr calcId="125725"/>
</workbook>
</file>

<file path=xl/calcChain.xml><?xml version="1.0" encoding="utf-8"?>
<calcChain xmlns="http://schemas.openxmlformats.org/spreadsheetml/2006/main">
  <c r="Q43" i="69"/>
  <c r="S4"/>
  <c r="O47"/>
  <c r="N47"/>
  <c r="L47"/>
  <c r="K47"/>
  <c r="J47"/>
  <c r="I47"/>
  <c r="H47"/>
  <c r="F47"/>
  <c r="E47"/>
  <c r="D47"/>
  <c r="Q46"/>
  <c r="Q45"/>
  <c r="Q44"/>
  <c r="Q42"/>
  <c r="Q41"/>
  <c r="Q40"/>
  <c r="Q39"/>
  <c r="Q38"/>
  <c r="Q37"/>
  <c r="Q36"/>
  <c r="T30"/>
  <c r="R30"/>
  <c r="R31" s="1"/>
  <c r="Q30"/>
  <c r="Q31" s="1"/>
  <c r="P30"/>
  <c r="P31" s="1"/>
  <c r="O30"/>
  <c r="N30"/>
  <c r="L30"/>
  <c r="L31" s="1"/>
  <c r="K30"/>
  <c r="K31" s="1"/>
  <c r="J30"/>
  <c r="V39" s="1"/>
  <c r="I30"/>
  <c r="H30"/>
  <c r="H31" s="1"/>
  <c r="F30"/>
  <c r="F31" s="1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R56" i="68"/>
  <c r="N56"/>
  <c r="J56"/>
  <c r="J57" s="1"/>
  <c r="I56"/>
  <c r="S46"/>
  <c r="S55"/>
  <c r="S54"/>
  <c r="S53"/>
  <c r="S52"/>
  <c r="S51"/>
  <c r="S50"/>
  <c r="S49"/>
  <c r="S48"/>
  <c r="S47"/>
  <c r="S45"/>
  <c r="S44"/>
  <c r="S43"/>
  <c r="S42"/>
  <c r="S41"/>
  <c r="S40"/>
  <c r="S39"/>
  <c r="S25"/>
  <c r="S26"/>
  <c r="S27"/>
  <c r="S28"/>
  <c r="S29"/>
  <c r="S30"/>
  <c r="S31"/>
  <c r="S32"/>
  <c r="S33"/>
  <c r="S34"/>
  <c r="S35"/>
  <c r="S36"/>
  <c r="S37"/>
  <c r="S38"/>
  <c r="P73"/>
  <c r="O73"/>
  <c r="N73"/>
  <c r="L73"/>
  <c r="K73"/>
  <c r="J73"/>
  <c r="I73"/>
  <c r="H73"/>
  <c r="F73"/>
  <c r="E73"/>
  <c r="D73"/>
  <c r="Q72"/>
  <c r="Q71"/>
  <c r="Q70"/>
  <c r="Q69"/>
  <c r="Q68"/>
  <c r="Q67"/>
  <c r="Q66"/>
  <c r="Q65"/>
  <c r="Q64"/>
  <c r="Q63"/>
  <c r="Q62"/>
  <c r="T56"/>
  <c r="Q56"/>
  <c r="Q57" s="1"/>
  <c r="P56"/>
  <c r="P57" s="1"/>
  <c r="O56"/>
  <c r="O57" s="1"/>
  <c r="L56"/>
  <c r="L57" s="1"/>
  <c r="K56"/>
  <c r="K57" s="1"/>
  <c r="H56"/>
  <c r="H57" s="1"/>
  <c r="F56"/>
  <c r="F57" s="1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V38" i="69" l="1"/>
  <c r="P47"/>
  <c r="D48" s="1"/>
  <c r="V43"/>
  <c r="V42"/>
  <c r="V49"/>
  <c r="S30"/>
  <c r="S31" s="1"/>
  <c r="V37"/>
  <c r="V41"/>
  <c r="V45"/>
  <c r="V36"/>
  <c r="V40"/>
  <c r="V44"/>
  <c r="Q47"/>
  <c r="I31"/>
  <c r="N31"/>
  <c r="V46"/>
  <c r="J31"/>
  <c r="O31"/>
  <c r="T31"/>
  <c r="V64" i="68"/>
  <c r="T57"/>
  <c r="V72"/>
  <c r="V68"/>
  <c r="Q73"/>
  <c r="N57"/>
  <c r="V70"/>
  <c r="V62"/>
  <c r="S56"/>
  <c r="S57" s="1"/>
  <c r="V75"/>
  <c r="I57"/>
  <c r="R57"/>
  <c r="V66"/>
  <c r="D74"/>
  <c r="V63"/>
  <c r="V67"/>
  <c r="V71"/>
  <c r="V65"/>
  <c r="V69"/>
  <c r="V47" i="69" l="1"/>
  <c r="V73" i="68"/>
</calcChain>
</file>

<file path=xl/sharedStrings.xml><?xml version="1.0" encoding="utf-8"?>
<sst xmlns="http://schemas.openxmlformats.org/spreadsheetml/2006/main" count="394" uniqueCount="197">
  <si>
    <t>Pataka Premium</t>
  </si>
  <si>
    <t xml:space="preserve">Pataka Special </t>
  </si>
  <si>
    <t>Pataka Mukta</t>
  </si>
  <si>
    <t xml:space="preserve"> 1 Kg.</t>
  </si>
  <si>
    <t>250 gm.</t>
  </si>
  <si>
    <t>500 gm</t>
  </si>
  <si>
    <t>250 gm</t>
  </si>
  <si>
    <t>100 gm.</t>
  </si>
  <si>
    <t>KUNDLI</t>
  </si>
  <si>
    <t>DATE</t>
  </si>
  <si>
    <t>AMRITSAR</t>
  </si>
  <si>
    <t>JAMMU</t>
  </si>
  <si>
    <t>Amount</t>
  </si>
  <si>
    <t>BILL NO.</t>
  </si>
  <si>
    <t>Total Kgs.</t>
  </si>
  <si>
    <t>Destination</t>
  </si>
  <si>
    <t>TOTAL DESPATCHED</t>
  </si>
  <si>
    <t xml:space="preserve">Rs.10 </t>
  </si>
  <si>
    <t xml:space="preserve">Rs.5 </t>
  </si>
  <si>
    <t>JAIPUR</t>
  </si>
  <si>
    <t>DADRI</t>
  </si>
  <si>
    <t xml:space="preserve"> 1 Kg </t>
  </si>
  <si>
    <t>5 Kg</t>
  </si>
  <si>
    <t>NAME OF THE PARTY</t>
  </si>
  <si>
    <t>UJJAIN</t>
  </si>
  <si>
    <t>OTHER</t>
  </si>
  <si>
    <t>AMOUNT</t>
  </si>
  <si>
    <t>PATAKA PREMIUM LEAF</t>
  </si>
  <si>
    <t>1 KG.</t>
  </si>
  <si>
    <t>250 GM.</t>
  </si>
  <si>
    <t>5 KG.</t>
  </si>
  <si>
    <t>500 GM.</t>
  </si>
  <si>
    <t>100 GM.</t>
  </si>
  <si>
    <t>PACK.</t>
  </si>
  <si>
    <t>BRAND NAME</t>
  </si>
  <si>
    <t>MONTH TO DATE</t>
  </si>
  <si>
    <t>TATAL DESPATCHED</t>
  </si>
  <si>
    <t>DESTINETTION WISE TOTAL</t>
  </si>
  <si>
    <t>TOTAL   KGS.</t>
  </si>
  <si>
    <t>5 KG Pack</t>
  </si>
  <si>
    <t>PATAKA SPECIAL LEAF</t>
  </si>
  <si>
    <t>PATAKA 5 KG PACK LEAF</t>
  </si>
  <si>
    <t>PATAKA MUKTA LEAF</t>
  </si>
  <si>
    <t>RS.10/-</t>
  </si>
  <si>
    <t>RS.5/-</t>
  </si>
  <si>
    <t>U.P</t>
  </si>
  <si>
    <t>DELHI</t>
  </si>
  <si>
    <t>BAREI</t>
  </si>
  <si>
    <t>SHUBH</t>
  </si>
  <si>
    <t>A.S</t>
  </si>
  <si>
    <t>RIDHIMA</t>
  </si>
  <si>
    <t>01.04.2021</t>
  </si>
  <si>
    <t>Ajay Traders</t>
  </si>
  <si>
    <t>Gzb</t>
  </si>
  <si>
    <t>01</t>
  </si>
  <si>
    <t>02.04.2021</t>
  </si>
  <si>
    <t>02</t>
  </si>
  <si>
    <t>Arora Traders</t>
  </si>
  <si>
    <t>Modi Nagar</t>
  </si>
  <si>
    <t>03.04.2021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</si>
  <si>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</si>
  <si>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</si>
  <si>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</si>
  <si>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</si>
  <si>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</si>
  <si>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</si>
  <si>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</si>
  <si>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</si>
  <si>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</si>
  <si>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</si>
  <si>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</si>
  <si>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</si>
  <si>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</si>
  <si>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</si>
  <si>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</si>
  <si>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</si>
  <si>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</si>
  <si>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</si>
  <si>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</si>
  <si>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</si>
  <si>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</si>
  <si>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</si>
  <si>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</si>
  <si>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</si>
  <si>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</si>
  <si>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</si>
  <si>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</si>
  <si>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</si>
  <si>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</si>
  <si>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</si>
  <si>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</si>
  <si>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</si>
  <si>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</si>
  <si>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</si>
  <si>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</si>
  <si>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Gaba Agencies</t>
  </si>
  <si>
    <t>Dadri</t>
  </si>
  <si>
    <t>05.04.2021</t>
  </si>
  <si>
    <t>Vijay Agencies</t>
  </si>
  <si>
    <t>Agra</t>
  </si>
  <si>
    <t>M/S Ishwar Trading Co.</t>
  </si>
  <si>
    <t>Muzaffar Ngr.</t>
  </si>
  <si>
    <t>Gupta General Merchant</t>
  </si>
  <si>
    <t>Siyana</t>
  </si>
  <si>
    <t>06.04.2021</t>
  </si>
  <si>
    <t>Dham Dass Mam Dass</t>
  </si>
  <si>
    <t>07.04.2021</t>
  </si>
  <si>
    <t>Agarwal Agencies</t>
  </si>
  <si>
    <t>Moradabad</t>
  </si>
  <si>
    <t>Varshney Agencies</t>
  </si>
  <si>
    <t>Aligarh</t>
  </si>
  <si>
    <t>G.D. Agencies</t>
  </si>
  <si>
    <t>Jammu</t>
  </si>
  <si>
    <t>08.04.2021</t>
  </si>
  <si>
    <t>Mussadi Lal Ram Kishan Dass</t>
  </si>
  <si>
    <t>Bijnor</t>
  </si>
  <si>
    <t>09.04.2021</t>
  </si>
  <si>
    <t>Shri Jagdamba Trading Co.</t>
  </si>
  <si>
    <t>Noida</t>
  </si>
  <si>
    <t>10.04.2021</t>
  </si>
  <si>
    <t>Shubh Enterprises</t>
  </si>
  <si>
    <t>Amritsar</t>
  </si>
  <si>
    <t>A.S. Enterprises</t>
  </si>
  <si>
    <t>Ridhima Enterprises</t>
  </si>
  <si>
    <t>Laxman General Store</t>
  </si>
  <si>
    <t>Koshi</t>
  </si>
  <si>
    <t>12.04.2021</t>
  </si>
  <si>
    <t>Pataka Industries Pvt Ltd</t>
  </si>
  <si>
    <t>Kundli</t>
  </si>
  <si>
    <t>Govind Marchent</t>
  </si>
  <si>
    <t>Hathras</t>
  </si>
  <si>
    <t>13.04.2021</t>
  </si>
  <si>
    <t>Govardhan</t>
  </si>
  <si>
    <t>Raman Lal Pramod Kumar</t>
  </si>
  <si>
    <t>Mittal Trading Co.</t>
  </si>
  <si>
    <t>Bulandshar</t>
  </si>
  <si>
    <t>14.04.2021</t>
  </si>
  <si>
    <t>Vision</t>
  </si>
  <si>
    <t>Rampur</t>
  </si>
  <si>
    <t>Jewar</t>
  </si>
  <si>
    <t>Prince Trading Company</t>
  </si>
  <si>
    <t>M/S Agrasen Trading company</t>
  </si>
  <si>
    <t>Khair</t>
  </si>
  <si>
    <t>15.04.2021</t>
  </si>
  <si>
    <t>Samarth Overseas</t>
  </si>
  <si>
    <t>Bareilly</t>
  </si>
  <si>
    <t>Jaipur</t>
  </si>
  <si>
    <t>16.04.2021</t>
  </si>
  <si>
    <t>19.04.2021</t>
  </si>
  <si>
    <t>Lal Chand Bachu Mal</t>
  </si>
  <si>
    <t>20.04.2021</t>
  </si>
  <si>
    <t>38</t>
  </si>
  <si>
    <t>39</t>
  </si>
  <si>
    <t>40</t>
  </si>
  <si>
    <t>41</t>
  </si>
  <si>
    <t>42</t>
  </si>
  <si>
    <t>43</t>
  </si>
  <si>
    <t>44</t>
  </si>
  <si>
    <t>Ghurmandi</t>
  </si>
  <si>
    <t>21.04.2021</t>
  </si>
  <si>
    <t>SALE BILL REPORT FOR THE MONTH OF APRIL 01.04.2021 TO 30.04.2021</t>
  </si>
  <si>
    <t>DESTINETION WISE DESPATCHED REPOTR FOR THE MONTH OF APRIL 01.04.2021 TO 30.04.2021</t>
  </si>
  <si>
    <t>45</t>
  </si>
  <si>
    <t>46</t>
  </si>
  <si>
    <t>47</t>
  </si>
  <si>
    <t>48</t>
  </si>
  <si>
    <t>49</t>
  </si>
  <si>
    <t>50</t>
  </si>
  <si>
    <t>51</t>
  </si>
  <si>
    <t>23.04.2021</t>
  </si>
  <si>
    <t>26.04.2021</t>
  </si>
  <si>
    <t>27.04.2021</t>
  </si>
  <si>
    <t>Khan Kiryana Store</t>
  </si>
  <si>
    <t>- - - U.P.- - -</t>
  </si>
  <si>
    <t>28.04.2021</t>
  </si>
  <si>
    <t>Shri Nemchand Traders</t>
  </si>
  <si>
    <t>Mathura</t>
  </si>
  <si>
    <t>29.04.2021</t>
  </si>
  <si>
    <t>10.05.2021</t>
  </si>
  <si>
    <t>11.05.2021</t>
  </si>
  <si>
    <t>12.05.2021</t>
  </si>
  <si>
    <t>Mohit Trading Company</t>
  </si>
  <si>
    <t>Hapur</t>
  </si>
  <si>
    <t>13.05.2021</t>
  </si>
  <si>
    <t>07.05.2021</t>
  </si>
  <si>
    <t>17.05.2021</t>
  </si>
  <si>
    <t>18.05.2021</t>
  </si>
  <si>
    <t>15.05.2021</t>
  </si>
  <si>
    <t>SALE BILL REPORT FOR THE MONTH OF MAY 01.05.2021 TO 31.05.2021</t>
  </si>
  <si>
    <t>DESTINETION WISE DESPATCHED REPOTR FOR THE MONTH OF MAY 01.05.2021 TO 31.05.2021</t>
  </si>
  <si>
    <t>21.05.2021</t>
  </si>
  <si>
    <t>Govind Merchant</t>
  </si>
  <si>
    <t>24.05.2021</t>
  </si>
  <si>
    <t>25.05.2021</t>
  </si>
  <si>
    <t>26.05.2021</t>
  </si>
  <si>
    <t>Ghazizbad</t>
  </si>
  <si>
    <t>31.05.2021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</si>
</sst>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i/>
      <sz val="9"/>
      <name val="Arial"/>
      <family val="2"/>
    </font>
    <font>
      <b/>
      <i/>
      <sz val="12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/>
    <xf numFmtId="0" fontId="5" fillId="2" borderId="4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/>
    <xf numFmtId="0" fontId="5" fillId="2" borderId="61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1" fillId="2" borderId="5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2" borderId="0" xfId="0" applyFont="1" applyFill="1"/>
    <xf numFmtId="0" fontId="9" fillId="2" borderId="0" xfId="0" applyFont="1" applyFill="1"/>
    <xf numFmtId="164" fontId="9" fillId="2" borderId="0" xfId="0" applyNumberFormat="1" applyFont="1" applyFill="1"/>
    <xf numFmtId="1" fontId="7" fillId="2" borderId="17" xfId="0" applyNumberFormat="1" applyFont="1" applyFill="1" applyBorder="1" applyAlignment="1">
      <alignment horizontal="center"/>
    </xf>
    <xf numFmtId="1" fontId="5" fillId="2" borderId="62" xfId="0" applyNumberFormat="1" applyFont="1" applyFill="1" applyBorder="1" applyAlignment="1">
      <alignment horizontal="center" vertical="center"/>
    </xf>
    <xf numFmtId="1" fontId="5" fillId="2" borderId="17" xfId="0" applyNumberFormat="1" applyFont="1" applyFill="1" applyBorder="1" applyAlignment="1">
      <alignment horizontal="center" vertical="center"/>
    </xf>
    <xf numFmtId="1" fontId="7" fillId="2" borderId="39" xfId="0" applyNumberFormat="1" applyFont="1" applyFill="1" applyBorder="1" applyAlignment="1">
      <alignment horizontal="center" vertical="center"/>
    </xf>
    <xf numFmtId="1" fontId="7" fillId="2" borderId="33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right"/>
    </xf>
    <xf numFmtId="1" fontId="9" fillId="2" borderId="0" xfId="0" applyNumberFormat="1" applyFont="1" applyFill="1" applyAlignment="1">
      <alignment horizontal="right"/>
    </xf>
    <xf numFmtId="0" fontId="8" fillId="2" borderId="17" xfId="0" quotePrefix="1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/>
    </xf>
    <xf numFmtId="164" fontId="8" fillId="2" borderId="17" xfId="0" applyNumberFormat="1" applyFont="1" applyFill="1" applyBorder="1" applyAlignment="1">
      <alignment horizontal="center"/>
    </xf>
    <xf numFmtId="1" fontId="8" fillId="2" borderId="17" xfId="0" applyNumberFormat="1" applyFont="1" applyFill="1" applyBorder="1" applyAlignment="1">
      <alignment horizontal="right"/>
    </xf>
    <xf numFmtId="0" fontId="8" fillId="2" borderId="29" xfId="0" applyFont="1" applyFill="1" applyBorder="1" applyAlignment="1">
      <alignment horizontal="center"/>
    </xf>
    <xf numFmtId="0" fontId="8" fillId="2" borderId="16" xfId="0" quotePrefix="1" applyFont="1" applyFill="1" applyBorder="1" applyAlignment="1">
      <alignment horizontal="center"/>
    </xf>
    <xf numFmtId="0" fontId="8" fillId="2" borderId="16" xfId="0" applyFont="1" applyFill="1" applyBorder="1" applyAlignment="1"/>
    <xf numFmtId="0" fontId="8" fillId="2" borderId="52" xfId="0" applyFont="1" applyFill="1" applyBorder="1" applyAlignment="1">
      <alignment horizontal="center"/>
    </xf>
    <xf numFmtId="0" fontId="8" fillId="2" borderId="53" xfId="0" applyFont="1" applyFill="1" applyBorder="1" applyAlignment="1">
      <alignment horizontal="center"/>
    </xf>
    <xf numFmtId="0" fontId="8" fillId="2" borderId="54" xfId="0" applyFont="1" applyFill="1" applyBorder="1" applyAlignment="1">
      <alignment horizontal="center"/>
    </xf>
    <xf numFmtId="164" fontId="8" fillId="2" borderId="16" xfId="0" applyNumberFormat="1" applyFont="1" applyFill="1" applyBorder="1"/>
    <xf numFmtId="1" fontId="8" fillId="2" borderId="42" xfId="0" applyNumberFormat="1" applyFont="1" applyFill="1" applyBorder="1" applyAlignment="1">
      <alignment horizontal="right"/>
    </xf>
    <xf numFmtId="0" fontId="8" fillId="2" borderId="4" xfId="0" applyFont="1" applyFill="1" applyBorder="1" applyAlignment="1"/>
    <xf numFmtId="0" fontId="8" fillId="2" borderId="21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1" fontId="8" fillId="2" borderId="16" xfId="0" applyNumberFormat="1" applyFont="1" applyFill="1" applyBorder="1" applyAlignment="1">
      <alignment horizontal="right"/>
    </xf>
    <xf numFmtId="0" fontId="8" fillId="2" borderId="8" xfId="0" applyFont="1" applyFill="1" applyBorder="1" applyAlignment="1">
      <alignment horizontal="center"/>
    </xf>
    <xf numFmtId="164" fontId="8" fillId="2" borderId="4" xfId="0" applyNumberFormat="1" applyFont="1" applyFill="1" applyBorder="1"/>
    <xf numFmtId="1" fontId="8" fillId="2" borderId="4" xfId="0" applyNumberFormat="1" applyFont="1" applyFill="1" applyBorder="1" applyAlignment="1">
      <alignment horizontal="right"/>
    </xf>
    <xf numFmtId="0" fontId="8" fillId="2" borderId="60" xfId="0" applyFont="1" applyFill="1" applyBorder="1" applyAlignment="1">
      <alignment horizontal="center"/>
    </xf>
    <xf numFmtId="0" fontId="8" fillId="2" borderId="61" xfId="0" applyFont="1" applyFill="1" applyBorder="1" applyAlignment="1"/>
    <xf numFmtId="0" fontId="8" fillId="2" borderId="58" xfId="0" applyFont="1" applyFill="1" applyBorder="1" applyAlignment="1">
      <alignment horizontal="center"/>
    </xf>
    <xf numFmtId="0" fontId="8" fillId="2" borderId="59" xfId="0" applyFont="1" applyFill="1" applyBorder="1" applyAlignment="1">
      <alignment horizontal="center"/>
    </xf>
    <xf numFmtId="1" fontId="8" fillId="2" borderId="61" xfId="0" applyNumberFormat="1" applyFont="1" applyFill="1" applyBorder="1" applyAlignment="1">
      <alignment horizontal="right"/>
    </xf>
    <xf numFmtId="0" fontId="8" fillId="2" borderId="17" xfId="0" applyFont="1" applyFill="1" applyBorder="1" applyAlignment="1"/>
    <xf numFmtId="164" fontId="8" fillId="2" borderId="11" xfId="0" applyNumberFormat="1" applyFont="1" applyFill="1" applyBorder="1" applyAlignment="1">
      <alignment horizontal="right"/>
    </xf>
    <xf numFmtId="0" fontId="8" fillId="2" borderId="12" xfId="0" applyFont="1" applyFill="1" applyBorder="1" applyAlignment="1">
      <alignment horizontal="center"/>
    </xf>
    <xf numFmtId="164" fontId="8" fillId="2" borderId="17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63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64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36" xfId="0" quotePrefix="1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61" xfId="0" quotePrefix="1" applyFont="1" applyFill="1" applyBorder="1" applyAlignment="1">
      <alignment horizontal="center"/>
    </xf>
    <xf numFmtId="0" fontId="1" fillId="2" borderId="17" xfId="0" applyFont="1" applyFill="1" applyBorder="1"/>
    <xf numFmtId="0" fontId="8" fillId="2" borderId="2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63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64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37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2" borderId="63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2" fontId="6" fillId="2" borderId="11" xfId="0" applyNumberFormat="1" applyFont="1" applyFill="1" applyBorder="1" applyAlignment="1">
      <alignment horizontal="center" vertical="center"/>
    </xf>
    <xf numFmtId="2" fontId="6" fillId="2" borderId="12" xfId="0" applyNumberFormat="1" applyFont="1" applyFill="1" applyBorder="1" applyAlignment="1">
      <alignment horizontal="center" vertical="center"/>
    </xf>
    <xf numFmtId="2" fontId="6" fillId="2" borderId="4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/>
    </xf>
    <xf numFmtId="1" fontId="7" fillId="2" borderId="15" xfId="0" applyNumberFormat="1" applyFont="1" applyFill="1" applyBorder="1" applyAlignment="1">
      <alignment horizontal="center"/>
    </xf>
    <xf numFmtId="1" fontId="7" fillId="2" borderId="12" xfId="0" applyNumberFormat="1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5" fillId="2" borderId="15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center"/>
    </xf>
    <xf numFmtId="0" fontId="8" fillId="2" borderId="4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49" fontId="3" fillId="2" borderId="11" xfId="0" applyNumberFormat="1" applyFont="1" applyFill="1" applyBorder="1" applyAlignment="1">
      <alignment horizontal="center" wrapText="1"/>
    </xf>
    <xf numFmtId="49" fontId="3" fillId="2" borderId="12" xfId="0" applyNumberFormat="1" applyFont="1" applyFill="1" applyBorder="1" applyAlignment="1">
      <alignment horizontal="center" wrapText="1"/>
    </xf>
    <xf numFmtId="49" fontId="3" fillId="2" borderId="15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 shrinkToFit="1"/>
    </xf>
    <xf numFmtId="0" fontId="1" fillId="2" borderId="35" xfId="0" applyFont="1" applyFill="1" applyBorder="1" applyAlignment="1">
      <alignment horizontal="center" vertical="center" wrapText="1" shrinkToFi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/>
    </xf>
    <xf numFmtId="0" fontId="8" fillId="2" borderId="43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8" fillId="2" borderId="50" xfId="0" applyFont="1" applyFill="1" applyBorder="1" applyAlignment="1">
      <alignment horizontal="center"/>
    </xf>
    <xf numFmtId="0" fontId="8" fillId="2" borderId="51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3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zoomScaleNormal="100" workbookViewId="0">
      <pane ySplit="4" topLeftCell="A38" activePane="bottomLeft" state="frozen"/>
      <selection pane="bottomLeft" activeCell="E50" sqref="E50"/>
    </sheetView>
  </sheetViews>
  <sheetFormatPr defaultRowHeight="15"/>
  <cols>
    <col min="1" max="1" width="8.7109375" style="2" customWidth="1"/>
    <col min="2" max="2" width="4.140625" style="2" customWidth="1"/>
    <col min="3" max="3" width="10.42578125" style="64" customWidth="1"/>
    <col min="4" max="4" width="9.7109375" style="64" customWidth="1"/>
    <col min="5" max="5" width="9" style="3" customWidth="1"/>
    <col min="6" max="6" width="3.7109375" style="2" bestFit="1" customWidth="1"/>
    <col min="7" max="7" width="4.140625" style="2" customWidth="1"/>
    <col min="8" max="8" width="7" style="2" customWidth="1"/>
    <col min="9" max="10" width="7.140625" style="2" customWidth="1"/>
    <col min="11" max="11" width="5.5703125" style="2" customWidth="1"/>
    <col min="12" max="12" width="3" style="2" customWidth="1"/>
    <col min="13" max="13" width="3.140625" style="2" customWidth="1"/>
    <col min="14" max="14" width="5" style="2" customWidth="1"/>
    <col min="15" max="15" width="7" style="2" customWidth="1"/>
    <col min="16" max="16" width="8" style="2" customWidth="1"/>
    <col min="17" max="17" width="9.28515625" style="2" customWidth="1"/>
    <col min="18" max="18" width="5.7109375" style="2" customWidth="1"/>
    <col min="19" max="19" width="8.42578125" style="2" bestFit="1" customWidth="1"/>
    <col min="20" max="20" width="9.28515625" style="27" customWidth="1"/>
    <col min="21" max="21" width="9.140625" style="1"/>
    <col min="22" max="22" width="10.5703125" style="1" bestFit="1" customWidth="1"/>
    <col min="23" max="16384" width="9.140625" style="1"/>
  </cols>
  <sheetData>
    <row r="1" spans="1:20" ht="16.5" thickBot="1">
      <c r="A1" s="186" t="s">
        <v>160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</row>
    <row r="2" spans="1:20" s="6" customFormat="1" ht="12.75" customHeight="1">
      <c r="A2" s="189" t="s">
        <v>9</v>
      </c>
      <c r="B2" s="191" t="s">
        <v>13</v>
      </c>
      <c r="C2" s="193" t="s">
        <v>23</v>
      </c>
      <c r="D2" s="194"/>
      <c r="E2" s="197" t="s">
        <v>15</v>
      </c>
      <c r="F2" s="199" t="s">
        <v>0</v>
      </c>
      <c r="G2" s="191"/>
      <c r="H2" s="200"/>
      <c r="I2" s="201" t="s">
        <v>39</v>
      </c>
      <c r="J2" s="202"/>
      <c r="K2" s="202"/>
      <c r="L2" s="203"/>
      <c r="M2" s="200"/>
      <c r="N2" s="201" t="s">
        <v>1</v>
      </c>
      <c r="O2" s="202"/>
      <c r="P2" s="200"/>
      <c r="Q2" s="204" t="s">
        <v>2</v>
      </c>
      <c r="R2" s="205"/>
      <c r="S2" s="191" t="s">
        <v>14</v>
      </c>
      <c r="T2" s="206" t="s">
        <v>12</v>
      </c>
    </row>
    <row r="3" spans="1:20" s="6" customFormat="1" ht="15.75" thickBot="1">
      <c r="A3" s="190"/>
      <c r="B3" s="192"/>
      <c r="C3" s="195"/>
      <c r="D3" s="196"/>
      <c r="E3" s="198"/>
      <c r="F3" s="208" t="s">
        <v>3</v>
      </c>
      <c r="G3" s="209"/>
      <c r="H3" s="9" t="s">
        <v>4</v>
      </c>
      <c r="I3" s="10" t="s">
        <v>22</v>
      </c>
      <c r="J3" s="11" t="s">
        <v>7</v>
      </c>
      <c r="K3" s="11" t="s">
        <v>17</v>
      </c>
      <c r="L3" s="210" t="s">
        <v>18</v>
      </c>
      <c r="M3" s="211"/>
      <c r="N3" s="8" t="s">
        <v>21</v>
      </c>
      <c r="O3" s="7" t="s">
        <v>5</v>
      </c>
      <c r="P3" s="9" t="s">
        <v>4</v>
      </c>
      <c r="Q3" s="8" t="s">
        <v>5</v>
      </c>
      <c r="R3" s="17" t="s">
        <v>6</v>
      </c>
      <c r="S3" s="192"/>
      <c r="T3" s="207"/>
    </row>
    <row r="4" spans="1:20" s="18" customFormat="1" ht="15.75" thickBot="1">
      <c r="A4" s="85" t="s">
        <v>35</v>
      </c>
      <c r="B4" s="30"/>
      <c r="C4" s="166"/>
      <c r="D4" s="169"/>
      <c r="E4" s="31"/>
      <c r="F4" s="166"/>
      <c r="G4" s="167"/>
      <c r="H4" s="80"/>
      <c r="I4" s="32"/>
      <c r="J4" s="33"/>
      <c r="K4" s="80"/>
      <c r="L4" s="168"/>
      <c r="M4" s="169"/>
      <c r="N4" s="79"/>
      <c r="O4" s="80"/>
      <c r="P4" s="34"/>
      <c r="Q4" s="79"/>
      <c r="R4" s="34"/>
      <c r="S4" s="35">
        <f>SUM(F4:R4)</f>
        <v>0</v>
      </c>
      <c r="T4" s="36"/>
    </row>
    <row r="5" spans="1:20">
      <c r="A5" s="37" t="s">
        <v>51</v>
      </c>
      <c r="B5" s="38" t="s">
        <v>54</v>
      </c>
      <c r="C5" s="212" t="s">
        <v>52</v>
      </c>
      <c r="D5" s="213"/>
      <c r="E5" s="39" t="s">
        <v>53</v>
      </c>
      <c r="F5" s="214"/>
      <c r="G5" s="215"/>
      <c r="H5" s="84"/>
      <c r="I5" s="40"/>
      <c r="J5" s="41"/>
      <c r="K5" s="41"/>
      <c r="L5" s="216"/>
      <c r="M5" s="217"/>
      <c r="N5" s="40"/>
      <c r="O5" s="41"/>
      <c r="P5" s="84"/>
      <c r="Q5" s="40">
        <v>120</v>
      </c>
      <c r="R5" s="42"/>
      <c r="S5" s="43">
        <f t="shared" ref="S5:S55" si="0">SUM(F5:R5)</f>
        <v>120</v>
      </c>
      <c r="T5" s="44">
        <v>46333</v>
      </c>
    </row>
    <row r="6" spans="1:20">
      <c r="A6" s="37" t="s">
        <v>55</v>
      </c>
      <c r="B6" s="38" t="s">
        <v>56</v>
      </c>
      <c r="C6" s="127" t="s">
        <v>57</v>
      </c>
      <c r="D6" s="128"/>
      <c r="E6" s="45" t="s">
        <v>58</v>
      </c>
      <c r="F6" s="123"/>
      <c r="G6" s="124"/>
      <c r="H6" s="83"/>
      <c r="I6" s="46">
        <v>60</v>
      </c>
      <c r="J6" s="47"/>
      <c r="K6" s="47">
        <v>22</v>
      </c>
      <c r="L6" s="218"/>
      <c r="M6" s="219"/>
      <c r="N6" s="48"/>
      <c r="O6" s="83"/>
      <c r="P6" s="49"/>
      <c r="Q6" s="46"/>
      <c r="R6" s="50"/>
      <c r="S6" s="43">
        <f t="shared" si="0"/>
        <v>82</v>
      </c>
      <c r="T6" s="51">
        <v>26799</v>
      </c>
    </row>
    <row r="7" spans="1:20">
      <c r="A7" s="37" t="s">
        <v>59</v>
      </c>
      <c r="B7" s="38" t="s">
        <v>60</v>
      </c>
      <c r="C7" s="127" t="s">
        <v>95</v>
      </c>
      <c r="D7" s="128"/>
      <c r="E7" s="45" t="s">
        <v>96</v>
      </c>
      <c r="F7" s="123"/>
      <c r="G7" s="124"/>
      <c r="H7" s="83"/>
      <c r="I7" s="48"/>
      <c r="J7" s="52"/>
      <c r="K7" s="52"/>
      <c r="L7" s="125"/>
      <c r="M7" s="126"/>
      <c r="N7" s="48">
        <v>600</v>
      </c>
      <c r="O7" s="83">
        <v>480</v>
      </c>
      <c r="P7" s="49">
        <v>1800</v>
      </c>
      <c r="Q7" s="48"/>
      <c r="R7" s="49"/>
      <c r="S7" s="53">
        <f t="shared" si="0"/>
        <v>2880</v>
      </c>
      <c r="T7" s="54">
        <v>917226</v>
      </c>
    </row>
    <row r="8" spans="1:20">
      <c r="A8" s="37" t="s">
        <v>97</v>
      </c>
      <c r="B8" s="38" t="s">
        <v>61</v>
      </c>
      <c r="C8" s="127" t="s">
        <v>98</v>
      </c>
      <c r="D8" s="128"/>
      <c r="E8" s="45" t="s">
        <v>99</v>
      </c>
      <c r="F8" s="123"/>
      <c r="G8" s="124"/>
      <c r="H8" s="83">
        <v>120</v>
      </c>
      <c r="I8" s="48"/>
      <c r="J8" s="52"/>
      <c r="K8" s="52"/>
      <c r="L8" s="125"/>
      <c r="M8" s="126"/>
      <c r="N8" s="48"/>
      <c r="O8" s="83"/>
      <c r="P8" s="49">
        <v>120</v>
      </c>
      <c r="Q8" s="48"/>
      <c r="R8" s="49"/>
      <c r="S8" s="53">
        <f t="shared" si="0"/>
        <v>240</v>
      </c>
      <c r="T8" s="54">
        <v>81150</v>
      </c>
    </row>
    <row r="9" spans="1:20">
      <c r="A9" s="37" t="s">
        <v>97</v>
      </c>
      <c r="B9" s="38" t="s">
        <v>62</v>
      </c>
      <c r="C9" s="127" t="s">
        <v>100</v>
      </c>
      <c r="D9" s="128"/>
      <c r="E9" s="45" t="s">
        <v>101</v>
      </c>
      <c r="F9" s="123"/>
      <c r="G9" s="124"/>
      <c r="H9" s="83"/>
      <c r="I9" s="48">
        <v>150</v>
      </c>
      <c r="J9" s="52"/>
      <c r="K9" s="52"/>
      <c r="L9" s="125"/>
      <c r="M9" s="126"/>
      <c r="N9" s="48"/>
      <c r="O9" s="83"/>
      <c r="P9" s="49">
        <v>360</v>
      </c>
      <c r="Q9" s="48"/>
      <c r="R9" s="49"/>
      <c r="S9" s="53">
        <f t="shared" si="0"/>
        <v>510</v>
      </c>
      <c r="T9" s="54">
        <v>166853</v>
      </c>
    </row>
    <row r="10" spans="1:20">
      <c r="A10" s="37" t="s">
        <v>97</v>
      </c>
      <c r="B10" s="38" t="s">
        <v>63</v>
      </c>
      <c r="C10" s="127" t="s">
        <v>102</v>
      </c>
      <c r="D10" s="128"/>
      <c r="E10" s="45" t="s">
        <v>103</v>
      </c>
      <c r="F10" s="123"/>
      <c r="G10" s="124"/>
      <c r="H10" s="83"/>
      <c r="I10" s="48"/>
      <c r="J10" s="52"/>
      <c r="K10" s="52"/>
      <c r="L10" s="125"/>
      <c r="M10" s="126"/>
      <c r="N10" s="48"/>
      <c r="O10" s="83"/>
      <c r="P10" s="49"/>
      <c r="Q10" s="48">
        <v>48</v>
      </c>
      <c r="R10" s="49"/>
      <c r="S10" s="53">
        <f t="shared" si="0"/>
        <v>48</v>
      </c>
      <c r="T10" s="54">
        <v>18533</v>
      </c>
    </row>
    <row r="11" spans="1:20">
      <c r="A11" s="37" t="s">
        <v>104</v>
      </c>
      <c r="B11" s="38" t="s">
        <v>64</v>
      </c>
      <c r="C11" s="127" t="s">
        <v>100</v>
      </c>
      <c r="D11" s="128"/>
      <c r="E11" s="45" t="s">
        <v>101</v>
      </c>
      <c r="F11" s="123"/>
      <c r="G11" s="124"/>
      <c r="H11" s="83">
        <v>24</v>
      </c>
      <c r="I11" s="48"/>
      <c r="J11" s="52"/>
      <c r="K11" s="52"/>
      <c r="L11" s="125"/>
      <c r="M11" s="126"/>
      <c r="N11" s="48"/>
      <c r="O11" s="83"/>
      <c r="P11" s="49"/>
      <c r="Q11" s="48"/>
      <c r="R11" s="49"/>
      <c r="S11" s="53">
        <f t="shared" si="0"/>
        <v>24</v>
      </c>
      <c r="T11" s="54">
        <v>8259</v>
      </c>
    </row>
    <row r="12" spans="1:20">
      <c r="A12" s="37" t="s">
        <v>104</v>
      </c>
      <c r="B12" s="38" t="s">
        <v>65</v>
      </c>
      <c r="C12" s="127" t="s">
        <v>105</v>
      </c>
      <c r="D12" s="128"/>
      <c r="E12" s="99" t="s">
        <v>173</v>
      </c>
      <c r="F12" s="123"/>
      <c r="G12" s="124"/>
      <c r="H12" s="83"/>
      <c r="I12" s="48"/>
      <c r="J12" s="52"/>
      <c r="K12" s="52"/>
      <c r="L12" s="125"/>
      <c r="M12" s="126"/>
      <c r="N12" s="48"/>
      <c r="O12" s="83"/>
      <c r="P12" s="49">
        <v>480</v>
      </c>
      <c r="Q12" s="48">
        <v>48</v>
      </c>
      <c r="R12" s="49"/>
      <c r="S12" s="53">
        <f t="shared" si="0"/>
        <v>528</v>
      </c>
      <c r="T12" s="54">
        <v>177963</v>
      </c>
    </row>
    <row r="13" spans="1:20">
      <c r="A13" s="87" t="s">
        <v>106</v>
      </c>
      <c r="B13" s="38" t="s">
        <v>66</v>
      </c>
      <c r="C13" s="127" t="s">
        <v>107</v>
      </c>
      <c r="D13" s="128"/>
      <c r="E13" s="45" t="s">
        <v>108</v>
      </c>
      <c r="F13" s="123"/>
      <c r="G13" s="124"/>
      <c r="H13" s="83">
        <v>48</v>
      </c>
      <c r="I13" s="48"/>
      <c r="J13" s="52"/>
      <c r="K13" s="52"/>
      <c r="L13" s="125"/>
      <c r="M13" s="126"/>
      <c r="N13" s="48"/>
      <c r="O13" s="83"/>
      <c r="P13" s="49"/>
      <c r="Q13" s="48"/>
      <c r="R13" s="49"/>
      <c r="S13" s="53">
        <f t="shared" si="0"/>
        <v>48</v>
      </c>
      <c r="T13" s="54">
        <v>16517</v>
      </c>
    </row>
    <row r="14" spans="1:20">
      <c r="A14" s="87" t="s">
        <v>106</v>
      </c>
      <c r="B14" s="38" t="s">
        <v>67</v>
      </c>
      <c r="C14" s="127" t="s">
        <v>109</v>
      </c>
      <c r="D14" s="128"/>
      <c r="E14" s="45" t="s">
        <v>110</v>
      </c>
      <c r="F14" s="123"/>
      <c r="G14" s="124"/>
      <c r="H14" s="83">
        <v>48</v>
      </c>
      <c r="I14" s="48"/>
      <c r="J14" s="52"/>
      <c r="K14" s="52"/>
      <c r="L14" s="125"/>
      <c r="M14" s="126"/>
      <c r="N14" s="48"/>
      <c r="O14" s="83"/>
      <c r="P14" s="49"/>
      <c r="Q14" s="48"/>
      <c r="R14" s="49"/>
      <c r="S14" s="53">
        <f>SUM(F14:R14)</f>
        <v>48</v>
      </c>
      <c r="T14" s="54">
        <v>16517</v>
      </c>
    </row>
    <row r="15" spans="1:20">
      <c r="A15" s="87" t="s">
        <v>106</v>
      </c>
      <c r="B15" s="38" t="s">
        <v>68</v>
      </c>
      <c r="C15" s="127" t="s">
        <v>111</v>
      </c>
      <c r="D15" s="128"/>
      <c r="E15" s="45" t="s">
        <v>112</v>
      </c>
      <c r="F15" s="123"/>
      <c r="G15" s="124"/>
      <c r="H15" s="83"/>
      <c r="I15" s="48">
        <v>7050</v>
      </c>
      <c r="J15" s="52">
        <v>120</v>
      </c>
      <c r="K15" s="52">
        <v>440</v>
      </c>
      <c r="L15" s="125"/>
      <c r="M15" s="126"/>
      <c r="N15" s="82">
        <v>840</v>
      </c>
      <c r="O15" s="83"/>
      <c r="P15" s="49">
        <v>2400</v>
      </c>
      <c r="Q15" s="82">
        <v>1560</v>
      </c>
      <c r="R15" s="49">
        <v>900</v>
      </c>
      <c r="S15" s="53">
        <f t="shared" si="0"/>
        <v>13310</v>
      </c>
      <c r="T15" s="54">
        <v>4257270</v>
      </c>
    </row>
    <row r="16" spans="1:20">
      <c r="A16" s="88" t="s">
        <v>113</v>
      </c>
      <c r="B16" s="38" t="s">
        <v>69</v>
      </c>
      <c r="C16" s="127" t="s">
        <v>114</v>
      </c>
      <c r="D16" s="128"/>
      <c r="E16" s="45" t="s">
        <v>115</v>
      </c>
      <c r="F16" s="123"/>
      <c r="G16" s="124"/>
      <c r="H16" s="83"/>
      <c r="I16" s="48"/>
      <c r="J16" s="52"/>
      <c r="K16" s="52"/>
      <c r="L16" s="125"/>
      <c r="M16" s="126"/>
      <c r="N16" s="82"/>
      <c r="O16" s="83"/>
      <c r="P16" s="49">
        <v>264</v>
      </c>
      <c r="Q16" s="82">
        <v>24</v>
      </c>
      <c r="R16" s="55"/>
      <c r="S16" s="53">
        <f t="shared" si="0"/>
        <v>288</v>
      </c>
      <c r="T16" s="54">
        <v>96953</v>
      </c>
    </row>
    <row r="17" spans="1:22">
      <c r="A17" s="88" t="s">
        <v>116</v>
      </c>
      <c r="B17" s="38" t="s">
        <v>70</v>
      </c>
      <c r="C17" s="127" t="s">
        <v>117</v>
      </c>
      <c r="D17" s="128"/>
      <c r="E17" s="45" t="s">
        <v>118</v>
      </c>
      <c r="F17" s="123"/>
      <c r="G17" s="124"/>
      <c r="H17" s="83"/>
      <c r="I17" s="48"/>
      <c r="J17" s="52"/>
      <c r="K17" s="52"/>
      <c r="L17" s="125"/>
      <c r="M17" s="126"/>
      <c r="N17" s="82"/>
      <c r="O17" s="83"/>
      <c r="P17" s="49">
        <v>360</v>
      </c>
      <c r="Q17" s="82"/>
      <c r="R17" s="55"/>
      <c r="S17" s="53">
        <f t="shared" si="0"/>
        <v>360</v>
      </c>
      <c r="T17" s="54">
        <v>119573</v>
      </c>
    </row>
    <row r="18" spans="1:22">
      <c r="A18" s="88" t="s">
        <v>116</v>
      </c>
      <c r="B18" s="38" t="s">
        <v>71</v>
      </c>
      <c r="C18" s="127" t="s">
        <v>120</v>
      </c>
      <c r="D18" s="128"/>
      <c r="E18" s="45" t="s">
        <v>121</v>
      </c>
      <c r="F18" s="123"/>
      <c r="G18" s="124"/>
      <c r="H18" s="83"/>
      <c r="I18" s="48"/>
      <c r="J18" s="52"/>
      <c r="K18" s="52"/>
      <c r="L18" s="125"/>
      <c r="M18" s="126"/>
      <c r="N18" s="82">
        <v>600</v>
      </c>
      <c r="O18" s="83">
        <v>240</v>
      </c>
      <c r="P18" s="49">
        <v>3600</v>
      </c>
      <c r="Q18" s="82"/>
      <c r="R18" s="55"/>
      <c r="S18" s="53">
        <f>SUM(F18:R18)</f>
        <v>4440</v>
      </c>
      <c r="T18" s="54">
        <v>1418333</v>
      </c>
    </row>
    <row r="19" spans="1:22">
      <c r="A19" s="88" t="s">
        <v>116</v>
      </c>
      <c r="B19" s="38" t="s">
        <v>72</v>
      </c>
      <c r="C19" s="127" t="s">
        <v>122</v>
      </c>
      <c r="D19" s="128"/>
      <c r="E19" s="45" t="s">
        <v>121</v>
      </c>
      <c r="F19" s="123"/>
      <c r="G19" s="124"/>
      <c r="H19" s="83"/>
      <c r="I19" s="48"/>
      <c r="J19" s="52"/>
      <c r="K19" s="52"/>
      <c r="L19" s="125"/>
      <c r="M19" s="126"/>
      <c r="N19" s="82">
        <v>600</v>
      </c>
      <c r="O19" s="83">
        <v>480</v>
      </c>
      <c r="P19" s="49">
        <v>840</v>
      </c>
      <c r="Q19" s="82"/>
      <c r="R19" s="55"/>
      <c r="S19" s="53">
        <f t="shared" si="0"/>
        <v>1920</v>
      </c>
      <c r="T19" s="54">
        <v>609443</v>
      </c>
      <c r="V19" s="13"/>
    </row>
    <row r="20" spans="1:22">
      <c r="A20" s="88" t="s">
        <v>116</v>
      </c>
      <c r="B20" s="38" t="s">
        <v>73</v>
      </c>
      <c r="C20" s="123" t="s">
        <v>123</v>
      </c>
      <c r="D20" s="126"/>
      <c r="E20" s="45" t="s">
        <v>121</v>
      </c>
      <c r="F20" s="123"/>
      <c r="G20" s="124"/>
      <c r="H20" s="83"/>
      <c r="I20" s="48">
        <v>600</v>
      </c>
      <c r="J20" s="52"/>
      <c r="K20" s="52"/>
      <c r="L20" s="125"/>
      <c r="M20" s="126"/>
      <c r="N20" s="82"/>
      <c r="O20" s="83"/>
      <c r="P20" s="49">
        <v>1920</v>
      </c>
      <c r="Q20" s="82"/>
      <c r="R20" s="55"/>
      <c r="S20" s="53">
        <f t="shared" si="0"/>
        <v>2520</v>
      </c>
      <c r="T20" s="54">
        <v>797736</v>
      </c>
    </row>
    <row r="21" spans="1:22">
      <c r="A21" s="88" t="s">
        <v>116</v>
      </c>
      <c r="B21" s="38" t="s">
        <v>74</v>
      </c>
      <c r="C21" s="123" t="s">
        <v>95</v>
      </c>
      <c r="D21" s="126"/>
      <c r="E21" s="45" t="s">
        <v>96</v>
      </c>
      <c r="F21" s="123"/>
      <c r="G21" s="124"/>
      <c r="H21" s="83"/>
      <c r="I21" s="48"/>
      <c r="J21" s="52"/>
      <c r="K21" s="52">
        <v>220</v>
      </c>
      <c r="L21" s="125"/>
      <c r="M21" s="126"/>
      <c r="N21" s="82">
        <v>600</v>
      </c>
      <c r="O21" s="83">
        <v>240</v>
      </c>
      <c r="P21" s="49">
        <v>1440</v>
      </c>
      <c r="Q21" s="82"/>
      <c r="R21" s="55"/>
      <c r="S21" s="53">
        <f t="shared" si="0"/>
        <v>2500</v>
      </c>
      <c r="T21" s="54">
        <v>802040</v>
      </c>
    </row>
    <row r="22" spans="1:22">
      <c r="A22" s="89" t="s">
        <v>119</v>
      </c>
      <c r="B22" s="38" t="s">
        <v>75</v>
      </c>
      <c r="C22" s="123" t="s">
        <v>124</v>
      </c>
      <c r="D22" s="126"/>
      <c r="E22" s="45" t="s">
        <v>125</v>
      </c>
      <c r="F22" s="123">
        <v>48</v>
      </c>
      <c r="G22" s="124"/>
      <c r="H22" s="83">
        <v>24</v>
      </c>
      <c r="I22" s="48"/>
      <c r="J22" s="52"/>
      <c r="K22" s="52"/>
      <c r="L22" s="125"/>
      <c r="M22" s="126"/>
      <c r="N22" s="82"/>
      <c r="O22" s="83"/>
      <c r="P22" s="49">
        <v>72</v>
      </c>
      <c r="Q22" s="82">
        <v>24</v>
      </c>
      <c r="R22" s="55"/>
      <c r="S22" s="53">
        <f t="shared" si="0"/>
        <v>168</v>
      </c>
      <c r="T22" s="54">
        <v>57621</v>
      </c>
    </row>
    <row r="23" spans="1:22">
      <c r="A23" s="89" t="s">
        <v>126</v>
      </c>
      <c r="B23" s="38" t="s">
        <v>76</v>
      </c>
      <c r="C23" s="123" t="s">
        <v>127</v>
      </c>
      <c r="D23" s="126"/>
      <c r="E23" s="45" t="s">
        <v>128</v>
      </c>
      <c r="F23" s="123"/>
      <c r="G23" s="124"/>
      <c r="H23" s="83">
        <v>1200</v>
      </c>
      <c r="I23" s="48">
        <v>900</v>
      </c>
      <c r="J23" s="52"/>
      <c r="K23" s="52">
        <v>660</v>
      </c>
      <c r="L23" s="125"/>
      <c r="M23" s="126"/>
      <c r="N23" s="82"/>
      <c r="O23" s="83"/>
      <c r="P23" s="49">
        <v>4320</v>
      </c>
      <c r="Q23" s="82"/>
      <c r="R23" s="55"/>
      <c r="S23" s="53">
        <f t="shared" si="0"/>
        <v>7080</v>
      </c>
      <c r="T23" s="54">
        <v>2223353</v>
      </c>
    </row>
    <row r="24" spans="1:22">
      <c r="A24" s="89" t="s">
        <v>126</v>
      </c>
      <c r="B24" s="38" t="s">
        <v>77</v>
      </c>
      <c r="C24" s="123" t="s">
        <v>98</v>
      </c>
      <c r="D24" s="126"/>
      <c r="E24" s="45" t="s">
        <v>99</v>
      </c>
      <c r="F24" s="123"/>
      <c r="G24" s="124"/>
      <c r="H24" s="83">
        <v>120</v>
      </c>
      <c r="I24" s="48"/>
      <c r="J24" s="52"/>
      <c r="K24" s="52"/>
      <c r="L24" s="125"/>
      <c r="M24" s="126"/>
      <c r="N24" s="82"/>
      <c r="O24" s="83"/>
      <c r="P24" s="49"/>
      <c r="Q24" s="82">
        <v>24</v>
      </c>
      <c r="R24" s="55"/>
      <c r="S24" s="53">
        <f t="shared" si="0"/>
        <v>144</v>
      </c>
      <c r="T24" s="54">
        <v>50559</v>
      </c>
    </row>
    <row r="25" spans="1:22">
      <c r="A25" s="89" t="s">
        <v>126</v>
      </c>
      <c r="B25" s="38" t="s">
        <v>78</v>
      </c>
      <c r="C25" s="123" t="s">
        <v>129</v>
      </c>
      <c r="D25" s="126"/>
      <c r="E25" s="45" t="s">
        <v>130</v>
      </c>
      <c r="F25" s="123"/>
      <c r="G25" s="124"/>
      <c r="H25" s="83">
        <v>120</v>
      </c>
      <c r="I25" s="48"/>
      <c r="J25" s="52"/>
      <c r="K25" s="52"/>
      <c r="L25" s="125"/>
      <c r="M25" s="126"/>
      <c r="N25" s="82"/>
      <c r="O25" s="83"/>
      <c r="P25" s="49"/>
      <c r="Q25" s="82"/>
      <c r="R25" s="55"/>
      <c r="S25" s="53">
        <f t="shared" si="0"/>
        <v>120</v>
      </c>
      <c r="T25" s="54">
        <v>41293</v>
      </c>
    </row>
    <row r="26" spans="1:22">
      <c r="A26" s="89" t="s">
        <v>131</v>
      </c>
      <c r="B26" s="38" t="s">
        <v>79</v>
      </c>
      <c r="C26" s="123" t="s">
        <v>95</v>
      </c>
      <c r="D26" s="126"/>
      <c r="E26" s="45" t="s">
        <v>96</v>
      </c>
      <c r="F26" s="123"/>
      <c r="G26" s="124"/>
      <c r="H26" s="83"/>
      <c r="I26" s="48">
        <v>1200</v>
      </c>
      <c r="J26" s="52"/>
      <c r="K26" s="52"/>
      <c r="L26" s="125"/>
      <c r="M26" s="126"/>
      <c r="N26" s="82">
        <v>1200</v>
      </c>
      <c r="O26" s="83">
        <v>600</v>
      </c>
      <c r="P26" s="49">
        <v>2400</v>
      </c>
      <c r="Q26" s="82">
        <v>120</v>
      </c>
      <c r="R26" s="55"/>
      <c r="S26" s="53">
        <f t="shared" si="0"/>
        <v>5520</v>
      </c>
      <c r="T26" s="54">
        <v>1744853</v>
      </c>
    </row>
    <row r="27" spans="1:22">
      <c r="A27" s="89" t="s">
        <v>131</v>
      </c>
      <c r="B27" s="38" t="s">
        <v>80</v>
      </c>
      <c r="C27" s="123" t="s">
        <v>133</v>
      </c>
      <c r="D27" s="126"/>
      <c r="E27" s="56" t="s">
        <v>132</v>
      </c>
      <c r="F27" s="123"/>
      <c r="G27" s="124"/>
      <c r="H27" s="86"/>
      <c r="I27" s="57"/>
      <c r="J27" s="58"/>
      <c r="K27" s="58"/>
      <c r="L27" s="125"/>
      <c r="M27" s="126"/>
      <c r="N27" s="81"/>
      <c r="O27" s="86"/>
      <c r="P27" s="55">
        <v>120</v>
      </c>
      <c r="Q27" s="81"/>
      <c r="R27" s="55"/>
      <c r="S27" s="53">
        <f t="shared" si="0"/>
        <v>120</v>
      </c>
      <c r="T27" s="59">
        <v>39858</v>
      </c>
    </row>
    <row r="28" spans="1:22">
      <c r="A28" s="89" t="s">
        <v>131</v>
      </c>
      <c r="B28" s="38" t="s">
        <v>81</v>
      </c>
      <c r="C28" s="123" t="s">
        <v>134</v>
      </c>
      <c r="D28" s="126"/>
      <c r="E28" s="56" t="s">
        <v>135</v>
      </c>
      <c r="F28" s="123"/>
      <c r="G28" s="124"/>
      <c r="H28" s="86">
        <v>48</v>
      </c>
      <c r="I28" s="57"/>
      <c r="J28" s="58"/>
      <c r="K28" s="58"/>
      <c r="L28" s="125"/>
      <c r="M28" s="126"/>
      <c r="N28" s="81"/>
      <c r="O28" s="86"/>
      <c r="P28" s="55">
        <v>120</v>
      </c>
      <c r="Q28" s="81">
        <v>120</v>
      </c>
      <c r="R28" s="55"/>
      <c r="S28" s="53">
        <f t="shared" si="0"/>
        <v>288</v>
      </c>
      <c r="T28" s="59">
        <v>102707</v>
      </c>
    </row>
    <row r="29" spans="1:22">
      <c r="A29" s="90" t="s">
        <v>136</v>
      </c>
      <c r="B29" s="38" t="s">
        <v>82</v>
      </c>
      <c r="C29" s="123" t="s">
        <v>137</v>
      </c>
      <c r="D29" s="126"/>
      <c r="E29" s="56" t="s">
        <v>138</v>
      </c>
      <c r="F29" s="123"/>
      <c r="G29" s="124"/>
      <c r="H29" s="86"/>
      <c r="I29" s="57"/>
      <c r="J29" s="58"/>
      <c r="K29" s="58"/>
      <c r="L29" s="125"/>
      <c r="M29" s="126"/>
      <c r="N29" s="81"/>
      <c r="O29" s="86"/>
      <c r="P29" s="55"/>
      <c r="Q29" s="81">
        <v>60</v>
      </c>
      <c r="R29" s="55"/>
      <c r="S29" s="53">
        <f t="shared" si="0"/>
        <v>60</v>
      </c>
      <c r="T29" s="59">
        <v>23166</v>
      </c>
    </row>
    <row r="30" spans="1:22">
      <c r="A30" s="90" t="s">
        <v>136</v>
      </c>
      <c r="B30" s="38" t="s">
        <v>83</v>
      </c>
      <c r="C30" s="123" t="s">
        <v>140</v>
      </c>
      <c r="D30" s="126"/>
      <c r="E30" s="56" t="s">
        <v>139</v>
      </c>
      <c r="F30" s="123"/>
      <c r="G30" s="124"/>
      <c r="H30" s="86"/>
      <c r="I30" s="57"/>
      <c r="J30" s="58"/>
      <c r="K30" s="58"/>
      <c r="L30" s="125"/>
      <c r="M30" s="126"/>
      <c r="N30" s="81"/>
      <c r="O30" s="86"/>
      <c r="P30" s="55"/>
      <c r="Q30" s="81">
        <v>60</v>
      </c>
      <c r="R30" s="55"/>
      <c r="S30" s="53">
        <f t="shared" si="0"/>
        <v>60</v>
      </c>
      <c r="T30" s="59">
        <v>23166</v>
      </c>
    </row>
    <row r="31" spans="1:22">
      <c r="A31" s="90" t="s">
        <v>136</v>
      </c>
      <c r="B31" s="38" t="s">
        <v>84</v>
      </c>
      <c r="C31" s="123" t="s">
        <v>141</v>
      </c>
      <c r="D31" s="126"/>
      <c r="E31" s="56" t="s">
        <v>142</v>
      </c>
      <c r="F31" s="123"/>
      <c r="G31" s="124"/>
      <c r="H31" s="86"/>
      <c r="I31" s="57"/>
      <c r="J31" s="58"/>
      <c r="K31" s="58"/>
      <c r="L31" s="125"/>
      <c r="M31" s="126"/>
      <c r="N31" s="81"/>
      <c r="O31" s="86"/>
      <c r="P31" s="55">
        <v>72</v>
      </c>
      <c r="Q31" s="81"/>
      <c r="R31" s="55"/>
      <c r="S31" s="53">
        <f t="shared" si="0"/>
        <v>72</v>
      </c>
      <c r="T31" s="59">
        <v>23915</v>
      </c>
    </row>
    <row r="32" spans="1:22">
      <c r="A32" s="91" t="s">
        <v>143</v>
      </c>
      <c r="B32" s="38" t="s">
        <v>85</v>
      </c>
      <c r="C32" s="123" t="s">
        <v>144</v>
      </c>
      <c r="D32" s="126"/>
      <c r="E32" s="56" t="s">
        <v>145</v>
      </c>
      <c r="F32" s="123"/>
      <c r="G32" s="124"/>
      <c r="H32" s="86"/>
      <c r="I32" s="57">
        <v>120</v>
      </c>
      <c r="J32" s="58"/>
      <c r="K32" s="58"/>
      <c r="L32" s="125"/>
      <c r="M32" s="126"/>
      <c r="N32" s="81"/>
      <c r="O32" s="86">
        <v>144</v>
      </c>
      <c r="P32" s="55">
        <v>720</v>
      </c>
      <c r="Q32" s="81">
        <v>120</v>
      </c>
      <c r="R32" s="55"/>
      <c r="S32" s="53">
        <f t="shared" si="0"/>
        <v>1104</v>
      </c>
      <c r="T32" s="59">
        <v>357629</v>
      </c>
    </row>
    <row r="33" spans="1:20">
      <c r="A33" s="91" t="s">
        <v>143</v>
      </c>
      <c r="B33" s="38" t="s">
        <v>86</v>
      </c>
      <c r="C33" s="123" t="s">
        <v>127</v>
      </c>
      <c r="D33" s="126"/>
      <c r="E33" s="56" t="s">
        <v>146</v>
      </c>
      <c r="F33" s="123">
        <v>720</v>
      </c>
      <c r="G33" s="124"/>
      <c r="H33" s="86">
        <v>1440</v>
      </c>
      <c r="I33" s="57">
        <v>600</v>
      </c>
      <c r="J33" s="58"/>
      <c r="K33" s="58"/>
      <c r="L33" s="125"/>
      <c r="M33" s="126"/>
      <c r="N33" s="81">
        <v>480</v>
      </c>
      <c r="O33" s="86">
        <v>720</v>
      </c>
      <c r="P33" s="55">
        <v>4800</v>
      </c>
      <c r="Q33" s="81"/>
      <c r="R33" s="55"/>
      <c r="S33" s="53">
        <f t="shared" si="0"/>
        <v>8760</v>
      </c>
      <c r="T33" s="59">
        <v>2737951</v>
      </c>
    </row>
    <row r="34" spans="1:20">
      <c r="A34" s="92" t="s">
        <v>147</v>
      </c>
      <c r="B34" s="38" t="s">
        <v>87</v>
      </c>
      <c r="C34" s="123" t="s">
        <v>117</v>
      </c>
      <c r="D34" s="126"/>
      <c r="E34" s="56" t="s">
        <v>118</v>
      </c>
      <c r="F34" s="123"/>
      <c r="G34" s="124"/>
      <c r="H34" s="86"/>
      <c r="I34" s="57"/>
      <c r="J34" s="58"/>
      <c r="K34" s="58"/>
      <c r="L34" s="125"/>
      <c r="M34" s="126"/>
      <c r="N34" s="81"/>
      <c r="O34" s="86"/>
      <c r="P34" s="55">
        <v>480</v>
      </c>
      <c r="Q34" s="81"/>
      <c r="R34" s="55"/>
      <c r="S34" s="53">
        <f t="shared" si="0"/>
        <v>480</v>
      </c>
      <c r="T34" s="59">
        <v>159430</v>
      </c>
    </row>
    <row r="35" spans="1:20">
      <c r="A35" s="93" t="s">
        <v>147</v>
      </c>
      <c r="B35" s="38" t="s">
        <v>88</v>
      </c>
      <c r="C35" s="123" t="s">
        <v>111</v>
      </c>
      <c r="D35" s="126"/>
      <c r="E35" s="56" t="s">
        <v>112</v>
      </c>
      <c r="F35" s="123"/>
      <c r="G35" s="124"/>
      <c r="H35" s="86"/>
      <c r="I35" s="57">
        <v>9750</v>
      </c>
      <c r="J35" s="58"/>
      <c r="K35" s="58">
        <v>330</v>
      </c>
      <c r="L35" s="125"/>
      <c r="M35" s="126"/>
      <c r="N35" s="81"/>
      <c r="O35" s="86">
        <v>120</v>
      </c>
      <c r="P35" s="55">
        <v>2400</v>
      </c>
      <c r="Q35" s="81">
        <v>1500</v>
      </c>
      <c r="R35" s="55"/>
      <c r="S35" s="53">
        <f t="shared" si="0"/>
        <v>14100</v>
      </c>
      <c r="T35" s="59">
        <v>4400818</v>
      </c>
    </row>
    <row r="36" spans="1:20">
      <c r="A36" s="94" t="s">
        <v>148</v>
      </c>
      <c r="B36" s="38" t="s">
        <v>89</v>
      </c>
      <c r="C36" s="123" t="s">
        <v>102</v>
      </c>
      <c r="D36" s="126"/>
      <c r="E36" s="56" t="s">
        <v>103</v>
      </c>
      <c r="F36" s="123"/>
      <c r="G36" s="124"/>
      <c r="H36" s="86"/>
      <c r="I36" s="57"/>
      <c r="J36" s="58"/>
      <c r="K36" s="58"/>
      <c r="L36" s="125"/>
      <c r="M36" s="126"/>
      <c r="N36" s="81"/>
      <c r="O36" s="86"/>
      <c r="P36" s="55"/>
      <c r="Q36" s="81">
        <v>60</v>
      </c>
      <c r="R36" s="55"/>
      <c r="S36" s="53">
        <f t="shared" si="0"/>
        <v>60</v>
      </c>
      <c r="T36" s="59">
        <v>23166</v>
      </c>
    </row>
    <row r="37" spans="1:20">
      <c r="A37" s="94" t="s">
        <v>148</v>
      </c>
      <c r="B37" s="38" t="s">
        <v>90</v>
      </c>
      <c r="C37" s="123" t="s">
        <v>149</v>
      </c>
      <c r="D37" s="126"/>
      <c r="E37" s="56" t="s">
        <v>99</v>
      </c>
      <c r="F37" s="123"/>
      <c r="G37" s="124"/>
      <c r="H37" s="86"/>
      <c r="I37" s="57"/>
      <c r="J37" s="58"/>
      <c r="K37" s="58"/>
      <c r="L37" s="125"/>
      <c r="M37" s="126"/>
      <c r="N37" s="81"/>
      <c r="O37" s="86"/>
      <c r="P37" s="55">
        <v>120</v>
      </c>
      <c r="Q37" s="81">
        <v>24</v>
      </c>
      <c r="R37" s="55"/>
      <c r="S37" s="53">
        <f t="shared" si="0"/>
        <v>144</v>
      </c>
      <c r="T37" s="59">
        <v>49124</v>
      </c>
    </row>
    <row r="38" spans="1:20">
      <c r="A38" s="94" t="s">
        <v>148</v>
      </c>
      <c r="B38" s="38" t="s">
        <v>91</v>
      </c>
      <c r="C38" s="123" t="s">
        <v>95</v>
      </c>
      <c r="D38" s="126"/>
      <c r="E38" s="56" t="s">
        <v>96</v>
      </c>
      <c r="F38" s="123"/>
      <c r="G38" s="124"/>
      <c r="H38" s="86"/>
      <c r="I38" s="57">
        <v>600</v>
      </c>
      <c r="J38" s="58"/>
      <c r="K38" s="58"/>
      <c r="L38" s="125"/>
      <c r="M38" s="126"/>
      <c r="N38" s="81">
        <v>480</v>
      </c>
      <c r="O38" s="86">
        <v>480</v>
      </c>
      <c r="P38" s="55">
        <v>1200</v>
      </c>
      <c r="Q38" s="81"/>
      <c r="R38" s="55"/>
      <c r="S38" s="53">
        <f t="shared" si="0"/>
        <v>2760</v>
      </c>
      <c r="T38" s="59">
        <v>869400</v>
      </c>
    </row>
    <row r="39" spans="1:20">
      <c r="A39" s="52" t="s">
        <v>150</v>
      </c>
      <c r="B39" s="97" t="s">
        <v>92</v>
      </c>
      <c r="C39" s="127" t="s">
        <v>52</v>
      </c>
      <c r="D39" s="128"/>
      <c r="E39" s="56" t="s">
        <v>158</v>
      </c>
      <c r="F39" s="123"/>
      <c r="G39" s="124"/>
      <c r="H39" s="86">
        <v>120</v>
      </c>
      <c r="I39" s="57"/>
      <c r="J39" s="58"/>
      <c r="K39" s="58"/>
      <c r="L39" s="125"/>
      <c r="M39" s="126"/>
      <c r="N39" s="95"/>
      <c r="O39" s="86"/>
      <c r="P39" s="55"/>
      <c r="Q39" s="95"/>
      <c r="R39" s="55"/>
      <c r="S39" s="53">
        <f t="shared" si="0"/>
        <v>120</v>
      </c>
      <c r="T39" s="59">
        <v>41293</v>
      </c>
    </row>
    <row r="40" spans="1:20">
      <c r="A40" s="96" t="s">
        <v>150</v>
      </c>
      <c r="B40" s="38" t="s">
        <v>93</v>
      </c>
      <c r="C40" s="127" t="s">
        <v>111</v>
      </c>
      <c r="D40" s="128"/>
      <c r="E40" s="56" t="s">
        <v>112</v>
      </c>
      <c r="F40" s="123"/>
      <c r="G40" s="124"/>
      <c r="H40" s="86"/>
      <c r="I40" s="57">
        <v>6450</v>
      </c>
      <c r="J40" s="58"/>
      <c r="K40" s="58">
        <v>110</v>
      </c>
      <c r="L40" s="125"/>
      <c r="M40" s="126"/>
      <c r="N40" s="95">
        <v>240</v>
      </c>
      <c r="O40" s="86">
        <v>120</v>
      </c>
      <c r="P40" s="55">
        <v>4200</v>
      </c>
      <c r="Q40" s="95">
        <v>2100</v>
      </c>
      <c r="R40" s="55"/>
      <c r="S40" s="53">
        <f t="shared" si="0"/>
        <v>13220</v>
      </c>
      <c r="T40" s="59">
        <v>4201426</v>
      </c>
    </row>
    <row r="41" spans="1:20">
      <c r="A41" s="52" t="s">
        <v>159</v>
      </c>
      <c r="B41" s="97" t="s">
        <v>94</v>
      </c>
      <c r="C41" s="127" t="s">
        <v>120</v>
      </c>
      <c r="D41" s="128"/>
      <c r="E41" s="56" t="s">
        <v>121</v>
      </c>
      <c r="F41" s="123"/>
      <c r="G41" s="124"/>
      <c r="H41" s="86"/>
      <c r="I41" s="57">
        <v>1800</v>
      </c>
      <c r="J41" s="58"/>
      <c r="K41" s="58"/>
      <c r="L41" s="125"/>
      <c r="M41" s="126"/>
      <c r="N41" s="95">
        <v>240</v>
      </c>
      <c r="O41" s="86">
        <v>240</v>
      </c>
      <c r="P41" s="55">
        <v>2640</v>
      </c>
      <c r="Q41" s="95"/>
      <c r="R41" s="55"/>
      <c r="S41" s="53">
        <f t="shared" si="0"/>
        <v>4920</v>
      </c>
      <c r="T41" s="59">
        <v>1544165</v>
      </c>
    </row>
    <row r="42" spans="1:20">
      <c r="A42" s="52" t="s">
        <v>159</v>
      </c>
      <c r="B42" s="97" t="s">
        <v>151</v>
      </c>
      <c r="C42" s="127" t="s">
        <v>122</v>
      </c>
      <c r="D42" s="128"/>
      <c r="E42" s="56" t="s">
        <v>121</v>
      </c>
      <c r="F42" s="123"/>
      <c r="G42" s="124"/>
      <c r="H42" s="86"/>
      <c r="I42" s="57"/>
      <c r="J42" s="58"/>
      <c r="K42" s="58"/>
      <c r="L42" s="125"/>
      <c r="M42" s="126"/>
      <c r="N42" s="95">
        <v>600</v>
      </c>
      <c r="O42" s="86"/>
      <c r="P42" s="55">
        <v>1200</v>
      </c>
      <c r="Q42" s="95"/>
      <c r="R42" s="55"/>
      <c r="S42" s="53">
        <f t="shared" si="0"/>
        <v>1800</v>
      </c>
      <c r="T42" s="59">
        <v>572891</v>
      </c>
    </row>
    <row r="43" spans="1:20">
      <c r="A43" s="52" t="s">
        <v>159</v>
      </c>
      <c r="B43" s="97" t="s">
        <v>152</v>
      </c>
      <c r="C43" s="127" t="s">
        <v>123</v>
      </c>
      <c r="D43" s="128"/>
      <c r="E43" s="56" t="s">
        <v>121</v>
      </c>
      <c r="F43" s="123"/>
      <c r="G43" s="124"/>
      <c r="H43" s="86"/>
      <c r="I43" s="57"/>
      <c r="J43" s="58"/>
      <c r="K43" s="58"/>
      <c r="L43" s="125"/>
      <c r="M43" s="126"/>
      <c r="N43" s="95"/>
      <c r="O43" s="86"/>
      <c r="P43" s="55">
        <v>1800</v>
      </c>
      <c r="Q43" s="95"/>
      <c r="R43" s="55"/>
      <c r="S43" s="53">
        <f t="shared" si="0"/>
        <v>1800</v>
      </c>
      <c r="T43" s="59">
        <v>577093</v>
      </c>
    </row>
    <row r="44" spans="1:20">
      <c r="A44" s="52" t="s">
        <v>169</v>
      </c>
      <c r="B44" s="97" t="s">
        <v>153</v>
      </c>
      <c r="C44" s="127" t="s">
        <v>95</v>
      </c>
      <c r="D44" s="128"/>
      <c r="E44" s="56" t="s">
        <v>96</v>
      </c>
      <c r="F44" s="123"/>
      <c r="G44" s="124"/>
      <c r="H44" s="86"/>
      <c r="I44" s="57"/>
      <c r="J44" s="58"/>
      <c r="K44" s="58"/>
      <c r="L44" s="125"/>
      <c r="M44" s="126"/>
      <c r="N44" s="95">
        <v>1200</v>
      </c>
      <c r="O44" s="86">
        <v>1200</v>
      </c>
      <c r="P44" s="55">
        <v>5400</v>
      </c>
      <c r="Q44" s="95"/>
      <c r="R44" s="55"/>
      <c r="S44" s="53">
        <f t="shared" si="0"/>
        <v>7800</v>
      </c>
      <c r="T44" s="59">
        <v>2487530</v>
      </c>
    </row>
    <row r="45" spans="1:20">
      <c r="A45" s="52" t="s">
        <v>170</v>
      </c>
      <c r="B45" s="97" t="s">
        <v>154</v>
      </c>
      <c r="C45" s="127" t="s">
        <v>102</v>
      </c>
      <c r="D45" s="128"/>
      <c r="E45" s="56" t="s">
        <v>103</v>
      </c>
      <c r="F45" s="123"/>
      <c r="G45" s="124"/>
      <c r="H45" s="86"/>
      <c r="I45" s="57"/>
      <c r="J45" s="58"/>
      <c r="K45" s="58"/>
      <c r="L45" s="125"/>
      <c r="M45" s="126"/>
      <c r="N45" s="95"/>
      <c r="O45" s="86"/>
      <c r="P45" s="55">
        <v>120</v>
      </c>
      <c r="Q45" s="95">
        <v>60</v>
      </c>
      <c r="R45" s="55"/>
      <c r="S45" s="53">
        <f t="shared" si="0"/>
        <v>180</v>
      </c>
      <c r="T45" s="59">
        <v>63024</v>
      </c>
    </row>
    <row r="46" spans="1:20">
      <c r="A46" s="52" t="s">
        <v>170</v>
      </c>
      <c r="B46" s="97" t="s">
        <v>155</v>
      </c>
      <c r="C46" s="127" t="s">
        <v>95</v>
      </c>
      <c r="D46" s="128"/>
      <c r="E46" s="56" t="s">
        <v>96</v>
      </c>
      <c r="F46" s="123"/>
      <c r="G46" s="124"/>
      <c r="H46" s="86">
        <v>240</v>
      </c>
      <c r="I46" s="57">
        <v>450</v>
      </c>
      <c r="J46" s="58"/>
      <c r="K46" s="58"/>
      <c r="L46" s="125">
        <v>110</v>
      </c>
      <c r="M46" s="126"/>
      <c r="N46" s="98"/>
      <c r="O46" s="86"/>
      <c r="P46" s="55"/>
      <c r="Q46" s="98"/>
      <c r="R46" s="55"/>
      <c r="S46" s="53">
        <f t="shared" si="0"/>
        <v>800</v>
      </c>
      <c r="T46" s="59">
        <v>254659</v>
      </c>
    </row>
    <row r="47" spans="1:20">
      <c r="A47" s="52" t="s">
        <v>170</v>
      </c>
      <c r="B47" s="97" t="s">
        <v>156</v>
      </c>
      <c r="C47" s="127" t="s">
        <v>98</v>
      </c>
      <c r="D47" s="128"/>
      <c r="E47" s="56" t="s">
        <v>99</v>
      </c>
      <c r="F47" s="123"/>
      <c r="G47" s="124"/>
      <c r="H47" s="86"/>
      <c r="I47" s="57"/>
      <c r="J47" s="58"/>
      <c r="K47" s="58"/>
      <c r="L47" s="125"/>
      <c r="M47" s="126"/>
      <c r="N47" s="98"/>
      <c r="O47" s="86"/>
      <c r="P47" s="55">
        <v>120</v>
      </c>
      <c r="Q47" s="98"/>
      <c r="R47" s="55"/>
      <c r="S47" s="53">
        <f t="shared" si="0"/>
        <v>120</v>
      </c>
      <c r="T47" s="59">
        <v>39858</v>
      </c>
    </row>
    <row r="48" spans="1:20">
      <c r="A48" s="52" t="s">
        <v>171</v>
      </c>
      <c r="B48" s="97" t="s">
        <v>157</v>
      </c>
      <c r="C48" s="127" t="s">
        <v>127</v>
      </c>
      <c r="D48" s="128"/>
      <c r="E48" s="56" t="s">
        <v>146</v>
      </c>
      <c r="F48" s="123"/>
      <c r="G48" s="124"/>
      <c r="H48" s="86">
        <v>1200</v>
      </c>
      <c r="I48" s="57"/>
      <c r="J48" s="58">
        <v>240</v>
      </c>
      <c r="K48" s="58"/>
      <c r="L48" s="125"/>
      <c r="M48" s="126"/>
      <c r="N48" s="98">
        <v>1200</v>
      </c>
      <c r="O48" s="86">
        <v>720</v>
      </c>
      <c r="P48" s="55">
        <v>3600</v>
      </c>
      <c r="Q48" s="98">
        <v>240</v>
      </c>
      <c r="R48" s="55"/>
      <c r="S48" s="53">
        <f t="shared" si="0"/>
        <v>7200</v>
      </c>
      <c r="T48" s="59">
        <v>2265173</v>
      </c>
    </row>
    <row r="49" spans="1:24">
      <c r="A49" s="52" t="s">
        <v>171</v>
      </c>
      <c r="B49" s="97" t="s">
        <v>162</v>
      </c>
      <c r="C49" s="127" t="s">
        <v>172</v>
      </c>
      <c r="D49" s="128"/>
      <c r="E49" s="99" t="s">
        <v>173</v>
      </c>
      <c r="F49" s="123"/>
      <c r="G49" s="124"/>
      <c r="H49" s="86"/>
      <c r="I49" s="57"/>
      <c r="J49" s="58"/>
      <c r="K49" s="58"/>
      <c r="L49" s="125"/>
      <c r="M49" s="126"/>
      <c r="N49" s="98"/>
      <c r="O49" s="86"/>
      <c r="P49" s="55">
        <v>240</v>
      </c>
      <c r="Q49" s="98"/>
      <c r="R49" s="55"/>
      <c r="S49" s="53">
        <f t="shared" si="0"/>
        <v>240</v>
      </c>
      <c r="T49" s="59">
        <v>79715</v>
      </c>
    </row>
    <row r="50" spans="1:24">
      <c r="A50" s="52" t="s">
        <v>171</v>
      </c>
      <c r="B50" s="97" t="s">
        <v>163</v>
      </c>
      <c r="C50" s="127" t="s">
        <v>100</v>
      </c>
      <c r="D50" s="128"/>
      <c r="E50" s="56" t="s">
        <v>101</v>
      </c>
      <c r="F50" s="123"/>
      <c r="G50" s="124"/>
      <c r="H50" s="86"/>
      <c r="I50" s="57"/>
      <c r="J50" s="58"/>
      <c r="K50" s="58"/>
      <c r="L50" s="125"/>
      <c r="M50" s="126"/>
      <c r="N50" s="98"/>
      <c r="O50" s="86"/>
      <c r="P50" s="55">
        <v>360</v>
      </c>
      <c r="Q50" s="98"/>
      <c r="R50" s="55"/>
      <c r="S50" s="53">
        <f t="shared" si="0"/>
        <v>360</v>
      </c>
      <c r="T50" s="59">
        <v>119573</v>
      </c>
    </row>
    <row r="51" spans="1:24">
      <c r="A51" s="52" t="s">
        <v>174</v>
      </c>
      <c r="B51" s="97" t="s">
        <v>164</v>
      </c>
      <c r="C51" s="127" t="s">
        <v>175</v>
      </c>
      <c r="D51" s="128"/>
      <c r="E51" s="56" t="s">
        <v>176</v>
      </c>
      <c r="F51" s="123"/>
      <c r="G51" s="124"/>
      <c r="H51" s="86"/>
      <c r="I51" s="57"/>
      <c r="J51" s="58"/>
      <c r="K51" s="58"/>
      <c r="L51" s="125"/>
      <c r="M51" s="126"/>
      <c r="N51" s="98"/>
      <c r="O51" s="86"/>
      <c r="P51" s="55">
        <v>240</v>
      </c>
      <c r="Q51" s="98"/>
      <c r="R51" s="55"/>
      <c r="S51" s="53">
        <f t="shared" si="0"/>
        <v>240</v>
      </c>
      <c r="T51" s="59">
        <v>79715</v>
      </c>
    </row>
    <row r="52" spans="1:24">
      <c r="A52" s="52" t="s">
        <v>174</v>
      </c>
      <c r="B52" s="97" t="s">
        <v>165</v>
      </c>
      <c r="C52" s="127" t="s">
        <v>127</v>
      </c>
      <c r="D52" s="128"/>
      <c r="E52" s="56" t="s">
        <v>128</v>
      </c>
      <c r="F52" s="123"/>
      <c r="G52" s="124"/>
      <c r="H52" s="86">
        <v>960</v>
      </c>
      <c r="I52" s="57">
        <v>750</v>
      </c>
      <c r="J52" s="58"/>
      <c r="K52" s="58">
        <v>660</v>
      </c>
      <c r="L52" s="125">
        <v>330</v>
      </c>
      <c r="M52" s="126"/>
      <c r="N52" s="98">
        <v>360</v>
      </c>
      <c r="O52" s="86">
        <v>240</v>
      </c>
      <c r="P52" s="55">
        <v>1200</v>
      </c>
      <c r="Q52" s="98">
        <v>360</v>
      </c>
      <c r="R52" s="55"/>
      <c r="S52" s="53">
        <f t="shared" si="0"/>
        <v>4860</v>
      </c>
      <c r="T52" s="59">
        <v>1557805</v>
      </c>
    </row>
    <row r="53" spans="1:24">
      <c r="A53" s="52" t="s">
        <v>177</v>
      </c>
      <c r="B53" s="97" t="s">
        <v>166</v>
      </c>
      <c r="C53" s="127" t="s">
        <v>120</v>
      </c>
      <c r="D53" s="128"/>
      <c r="E53" s="56" t="s">
        <v>121</v>
      </c>
      <c r="F53" s="123"/>
      <c r="G53" s="124"/>
      <c r="H53" s="86"/>
      <c r="I53" s="57">
        <v>1800</v>
      </c>
      <c r="J53" s="58"/>
      <c r="K53" s="58"/>
      <c r="L53" s="125"/>
      <c r="M53" s="126"/>
      <c r="N53" s="98">
        <v>720</v>
      </c>
      <c r="O53" s="86">
        <v>240</v>
      </c>
      <c r="P53" s="55">
        <v>2640</v>
      </c>
      <c r="Q53" s="98"/>
      <c r="R53" s="55"/>
      <c r="S53" s="53">
        <f t="shared" si="0"/>
        <v>5400</v>
      </c>
      <c r="T53" s="59">
        <v>1694695</v>
      </c>
    </row>
    <row r="54" spans="1:24">
      <c r="A54" s="52" t="s">
        <v>177</v>
      </c>
      <c r="B54" s="97" t="s">
        <v>167</v>
      </c>
      <c r="C54" s="127" t="s">
        <v>123</v>
      </c>
      <c r="D54" s="128"/>
      <c r="E54" s="56" t="s">
        <v>121</v>
      </c>
      <c r="F54" s="123"/>
      <c r="G54" s="124"/>
      <c r="H54" s="86"/>
      <c r="I54" s="57">
        <v>600</v>
      </c>
      <c r="J54" s="58"/>
      <c r="K54" s="58"/>
      <c r="L54" s="125"/>
      <c r="M54" s="126"/>
      <c r="N54" s="98"/>
      <c r="O54" s="86"/>
      <c r="P54" s="55">
        <v>1200</v>
      </c>
      <c r="Q54" s="98"/>
      <c r="R54" s="55"/>
      <c r="S54" s="53">
        <f t="shared" si="0"/>
        <v>1800</v>
      </c>
      <c r="T54" s="59">
        <v>566899</v>
      </c>
    </row>
    <row r="55" spans="1:24" ht="15.75" thickBot="1">
      <c r="A55" s="52" t="s">
        <v>177</v>
      </c>
      <c r="B55" s="97" t="s">
        <v>168</v>
      </c>
      <c r="C55" s="127" t="s">
        <v>122</v>
      </c>
      <c r="D55" s="128"/>
      <c r="E55" s="56" t="s">
        <v>121</v>
      </c>
      <c r="F55" s="123"/>
      <c r="G55" s="124"/>
      <c r="H55" s="86"/>
      <c r="I55" s="57"/>
      <c r="J55" s="58"/>
      <c r="K55" s="58"/>
      <c r="L55" s="125"/>
      <c r="M55" s="126"/>
      <c r="N55" s="98">
        <v>480</v>
      </c>
      <c r="O55" s="86">
        <v>240</v>
      </c>
      <c r="P55" s="55">
        <v>480</v>
      </c>
      <c r="Q55" s="98"/>
      <c r="R55" s="55"/>
      <c r="S55" s="53">
        <f t="shared" si="0"/>
        <v>1200</v>
      </c>
      <c r="T55" s="59">
        <v>380407</v>
      </c>
    </row>
    <row r="56" spans="1:24" ht="15.75" thickBot="1">
      <c r="A56" s="164" t="s">
        <v>16</v>
      </c>
      <c r="B56" s="165"/>
      <c r="C56" s="165"/>
      <c r="D56" s="62"/>
      <c r="E56" s="60"/>
      <c r="F56" s="166">
        <f>SUM(F5:G55)</f>
        <v>768</v>
      </c>
      <c r="G56" s="167"/>
      <c r="H56" s="34">
        <f>SUM(H5:H55)</f>
        <v>5712</v>
      </c>
      <c r="I56" s="77">
        <f>SUM(I5:I55)</f>
        <v>32880</v>
      </c>
      <c r="J56" s="78">
        <f>SUM(J5:J55)</f>
        <v>360</v>
      </c>
      <c r="K56" s="78">
        <f>SUM(K5:K55)</f>
        <v>2442</v>
      </c>
      <c r="L56" s="168">
        <f>SUM(L5:M55)</f>
        <v>440</v>
      </c>
      <c r="M56" s="169"/>
      <c r="N56" s="77">
        <f t="shared" ref="N56:T56" si="1">SUM(N5:N55)</f>
        <v>10440</v>
      </c>
      <c r="O56" s="78">
        <f t="shared" si="1"/>
        <v>6504</v>
      </c>
      <c r="P56" s="34">
        <f t="shared" si="1"/>
        <v>55848</v>
      </c>
      <c r="Q56" s="77">
        <f t="shared" si="1"/>
        <v>6672</v>
      </c>
      <c r="R56" s="34">
        <f t="shared" si="1"/>
        <v>900</v>
      </c>
      <c r="S56" s="61">
        <f t="shared" si="1"/>
        <v>122966</v>
      </c>
      <c r="T56" s="36">
        <f t="shared" si="1"/>
        <v>39031428</v>
      </c>
      <c r="V56" s="13"/>
      <c r="W56" s="13"/>
      <c r="X56" s="13"/>
    </row>
    <row r="57" spans="1:24" ht="15.75" thickBot="1">
      <c r="A57" s="164"/>
      <c r="B57" s="165"/>
      <c r="C57" s="165"/>
      <c r="D57" s="62"/>
      <c r="E57" s="60"/>
      <c r="F57" s="166">
        <f>F4+F56</f>
        <v>768</v>
      </c>
      <c r="G57" s="167"/>
      <c r="H57" s="34">
        <f>H4+H56</f>
        <v>5712</v>
      </c>
      <c r="I57" s="62">
        <f>I4+I56</f>
        <v>32880</v>
      </c>
      <c r="J57" s="78">
        <f>J4+J56</f>
        <v>360</v>
      </c>
      <c r="K57" s="78">
        <f>K4+K56</f>
        <v>2442</v>
      </c>
      <c r="L57" s="168">
        <f>L4+L56</f>
        <v>440</v>
      </c>
      <c r="M57" s="169"/>
      <c r="N57" s="77">
        <f t="shared" ref="N57:T57" si="2">N4+N56</f>
        <v>10440</v>
      </c>
      <c r="O57" s="78">
        <f t="shared" si="2"/>
        <v>6504</v>
      </c>
      <c r="P57" s="34">
        <f t="shared" si="2"/>
        <v>55848</v>
      </c>
      <c r="Q57" s="62">
        <f t="shared" si="2"/>
        <v>6672</v>
      </c>
      <c r="R57" s="78">
        <f t="shared" si="2"/>
        <v>900</v>
      </c>
      <c r="S57" s="63">
        <f t="shared" si="2"/>
        <v>122966</v>
      </c>
      <c r="T57" s="36">
        <f t="shared" si="2"/>
        <v>39031428</v>
      </c>
      <c r="W57" s="13"/>
      <c r="X57" s="13"/>
    </row>
    <row r="58" spans="1:24" ht="15.75" thickBot="1">
      <c r="V58" s="13"/>
    </row>
    <row r="59" spans="1:24" ht="15.75" customHeight="1" thickBot="1">
      <c r="A59" s="170" t="s">
        <v>161</v>
      </c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2"/>
      <c r="R59" s="1"/>
      <c r="S59" s="1"/>
      <c r="T59" s="28"/>
    </row>
    <row r="60" spans="1:24" ht="15.75" customHeight="1" thickBot="1">
      <c r="A60" s="129" t="s">
        <v>34</v>
      </c>
      <c r="B60" s="130"/>
      <c r="C60" s="173" t="s">
        <v>33</v>
      </c>
      <c r="D60" s="173" t="s">
        <v>11</v>
      </c>
      <c r="E60" s="176" t="s">
        <v>19</v>
      </c>
      <c r="F60" s="129" t="s">
        <v>8</v>
      </c>
      <c r="G60" s="130"/>
      <c r="H60" s="178" t="s">
        <v>10</v>
      </c>
      <c r="I60" s="179"/>
      <c r="J60" s="180"/>
      <c r="K60" s="181" t="s">
        <v>25</v>
      </c>
      <c r="L60" s="182"/>
      <c r="M60" s="182"/>
      <c r="N60" s="182"/>
      <c r="O60" s="183"/>
      <c r="P60" s="173" t="s">
        <v>20</v>
      </c>
      <c r="Q60" s="184" t="s">
        <v>38</v>
      </c>
      <c r="R60" s="1"/>
      <c r="S60" s="1"/>
      <c r="T60" s="28"/>
    </row>
    <row r="61" spans="1:24" ht="15.75" thickBot="1">
      <c r="A61" s="131"/>
      <c r="B61" s="132"/>
      <c r="C61" s="174"/>
      <c r="D61" s="175"/>
      <c r="E61" s="177"/>
      <c r="F61" s="131"/>
      <c r="G61" s="132"/>
      <c r="H61" s="70" t="s">
        <v>49</v>
      </c>
      <c r="I61" s="70" t="s">
        <v>48</v>
      </c>
      <c r="J61" s="70" t="s">
        <v>50</v>
      </c>
      <c r="K61" s="70" t="s">
        <v>24</v>
      </c>
      <c r="L61" s="181" t="s">
        <v>47</v>
      </c>
      <c r="M61" s="183"/>
      <c r="N61" s="70" t="s">
        <v>46</v>
      </c>
      <c r="O61" s="70" t="s">
        <v>45</v>
      </c>
      <c r="P61" s="175"/>
      <c r="Q61" s="185"/>
      <c r="T61" s="28"/>
    </row>
    <row r="62" spans="1:24" ht="15" customHeight="1">
      <c r="A62" s="129" t="s">
        <v>27</v>
      </c>
      <c r="B62" s="130"/>
      <c r="C62" s="66" t="s">
        <v>28</v>
      </c>
      <c r="D62" s="66"/>
      <c r="E62" s="4">
        <v>720</v>
      </c>
      <c r="F62" s="133"/>
      <c r="G62" s="133"/>
      <c r="H62" s="4"/>
      <c r="I62" s="67"/>
      <c r="J62" s="4"/>
      <c r="K62" s="67"/>
      <c r="L62" s="134"/>
      <c r="M62" s="135"/>
      <c r="N62" s="67"/>
      <c r="O62" s="4">
        <v>48</v>
      </c>
      <c r="P62" s="67"/>
      <c r="Q62" s="4">
        <f>SUM(D62:P62)</f>
        <v>768</v>
      </c>
      <c r="T62" s="28"/>
      <c r="V62" s="13">
        <f>Q62-F56</f>
        <v>0</v>
      </c>
    </row>
    <row r="63" spans="1:24" ht="15.75" thickBot="1">
      <c r="A63" s="131"/>
      <c r="B63" s="132"/>
      <c r="C63" s="74" t="s">
        <v>29</v>
      </c>
      <c r="D63" s="74"/>
      <c r="E63" s="14">
        <v>2640</v>
      </c>
      <c r="F63" s="136">
        <v>2160</v>
      </c>
      <c r="G63" s="136"/>
      <c r="H63" s="14"/>
      <c r="I63" s="71"/>
      <c r="J63" s="14"/>
      <c r="K63" s="71"/>
      <c r="L63" s="137"/>
      <c r="M63" s="138"/>
      <c r="N63" s="71"/>
      <c r="O63" s="14">
        <v>672</v>
      </c>
      <c r="P63" s="71">
        <v>240</v>
      </c>
      <c r="Q63" s="16">
        <f t="shared" ref="Q63:Q72" si="3">SUM(D63:P63)</f>
        <v>5712</v>
      </c>
      <c r="T63" s="28"/>
      <c r="V63" s="13">
        <f>H56-Q63</f>
        <v>0</v>
      </c>
    </row>
    <row r="64" spans="1:24">
      <c r="A64" s="129" t="s">
        <v>41</v>
      </c>
      <c r="B64" s="130"/>
      <c r="C64" s="4" t="s">
        <v>30</v>
      </c>
      <c r="D64" s="66">
        <v>23250</v>
      </c>
      <c r="E64" s="4">
        <v>600</v>
      </c>
      <c r="F64" s="133">
        <v>1650</v>
      </c>
      <c r="G64" s="133"/>
      <c r="H64" s="4"/>
      <c r="I64" s="67">
        <v>3600</v>
      </c>
      <c r="J64" s="4">
        <v>1200</v>
      </c>
      <c r="K64" s="67"/>
      <c r="L64" s="134">
        <v>120</v>
      </c>
      <c r="M64" s="135"/>
      <c r="N64" s="67"/>
      <c r="O64" s="4">
        <v>210</v>
      </c>
      <c r="P64" s="67">
        <v>2250</v>
      </c>
      <c r="Q64" s="4">
        <f t="shared" si="3"/>
        <v>32880</v>
      </c>
      <c r="T64" s="28"/>
      <c r="V64" s="13">
        <f>I56-Q64</f>
        <v>0</v>
      </c>
    </row>
    <row r="65" spans="1:22">
      <c r="A65" s="144"/>
      <c r="B65" s="145"/>
      <c r="C65" s="5" t="s">
        <v>32</v>
      </c>
      <c r="D65" s="68">
        <v>120</v>
      </c>
      <c r="E65" s="5">
        <v>240</v>
      </c>
      <c r="F65" s="149"/>
      <c r="G65" s="149"/>
      <c r="H65" s="5"/>
      <c r="I65" s="69"/>
      <c r="J65" s="5"/>
      <c r="K65" s="69"/>
      <c r="L65" s="150"/>
      <c r="M65" s="151"/>
      <c r="N65" s="69"/>
      <c r="O65" s="5"/>
      <c r="P65" s="69"/>
      <c r="Q65" s="5">
        <f t="shared" si="3"/>
        <v>360</v>
      </c>
      <c r="T65" s="28"/>
      <c r="V65" s="13">
        <f>J56-Q65</f>
        <v>0</v>
      </c>
    </row>
    <row r="66" spans="1:22">
      <c r="A66" s="144"/>
      <c r="B66" s="145"/>
      <c r="C66" s="5" t="s">
        <v>43</v>
      </c>
      <c r="D66" s="68">
        <v>880</v>
      </c>
      <c r="E66" s="5"/>
      <c r="F66" s="149">
        <v>1320</v>
      </c>
      <c r="G66" s="149"/>
      <c r="H66" s="5"/>
      <c r="I66" s="69"/>
      <c r="J66" s="5"/>
      <c r="K66" s="69"/>
      <c r="L66" s="150"/>
      <c r="M66" s="151"/>
      <c r="N66" s="69"/>
      <c r="O66" s="5">
        <v>22</v>
      </c>
      <c r="P66" s="69">
        <v>220</v>
      </c>
      <c r="Q66" s="5">
        <f t="shared" si="3"/>
        <v>2442</v>
      </c>
      <c r="T66" s="28"/>
      <c r="V66" s="13">
        <f>K56-Q66</f>
        <v>0</v>
      </c>
    </row>
    <row r="67" spans="1:22" ht="15.75" thickBot="1">
      <c r="A67" s="131"/>
      <c r="B67" s="132"/>
      <c r="C67" s="65" t="s">
        <v>44</v>
      </c>
      <c r="D67" s="73"/>
      <c r="E67" s="15"/>
      <c r="F67" s="157">
        <v>330</v>
      </c>
      <c r="G67" s="157"/>
      <c r="H67" s="15"/>
      <c r="I67" s="72"/>
      <c r="J67" s="15"/>
      <c r="K67" s="72"/>
      <c r="L67" s="158"/>
      <c r="M67" s="159"/>
      <c r="N67" s="72"/>
      <c r="O67" s="15"/>
      <c r="P67" s="72">
        <v>110</v>
      </c>
      <c r="Q67" s="16">
        <f t="shared" si="3"/>
        <v>440</v>
      </c>
      <c r="T67" s="28"/>
      <c r="V67" s="13">
        <f>L56-Q67</f>
        <v>0</v>
      </c>
    </row>
    <row r="68" spans="1:22">
      <c r="A68" s="129" t="s">
        <v>40</v>
      </c>
      <c r="B68" s="130"/>
      <c r="C68" s="76" t="s">
        <v>28</v>
      </c>
      <c r="D68" s="76">
        <v>1080</v>
      </c>
      <c r="E68" s="16">
        <v>1680</v>
      </c>
      <c r="F68" s="146">
        <v>360</v>
      </c>
      <c r="G68" s="146"/>
      <c r="H68" s="16">
        <v>1680</v>
      </c>
      <c r="I68" s="75">
        <v>1560</v>
      </c>
      <c r="J68" s="16"/>
      <c r="K68" s="75"/>
      <c r="L68" s="147"/>
      <c r="M68" s="148"/>
      <c r="N68" s="75"/>
      <c r="O68" s="16"/>
      <c r="P68" s="75">
        <v>4080</v>
      </c>
      <c r="Q68" s="4">
        <f t="shared" si="3"/>
        <v>10440</v>
      </c>
      <c r="T68" s="28"/>
      <c r="V68" s="13">
        <f>N56-Q68</f>
        <v>0</v>
      </c>
    </row>
    <row r="69" spans="1:22">
      <c r="A69" s="144"/>
      <c r="B69" s="145"/>
      <c r="C69" s="68" t="s">
        <v>31</v>
      </c>
      <c r="D69" s="68">
        <v>240</v>
      </c>
      <c r="E69" s="5">
        <v>1440</v>
      </c>
      <c r="F69" s="149">
        <v>240</v>
      </c>
      <c r="G69" s="149"/>
      <c r="H69" s="5">
        <v>720</v>
      </c>
      <c r="I69" s="69">
        <v>720</v>
      </c>
      <c r="J69" s="5"/>
      <c r="K69" s="69"/>
      <c r="L69" s="150">
        <v>144</v>
      </c>
      <c r="M69" s="151"/>
      <c r="N69" s="69"/>
      <c r="O69" s="5"/>
      <c r="P69" s="69">
        <v>3000</v>
      </c>
      <c r="Q69" s="5">
        <f t="shared" si="3"/>
        <v>6504</v>
      </c>
      <c r="T69" s="28"/>
      <c r="V69" s="13">
        <f>O56-Q69</f>
        <v>0</v>
      </c>
    </row>
    <row r="70" spans="1:22" ht="15.75" thickBot="1">
      <c r="A70" s="131"/>
      <c r="B70" s="132"/>
      <c r="C70" s="65" t="s">
        <v>29</v>
      </c>
      <c r="D70" s="74">
        <v>9000</v>
      </c>
      <c r="E70" s="14">
        <v>8400</v>
      </c>
      <c r="F70" s="136">
        <v>5520</v>
      </c>
      <c r="G70" s="136"/>
      <c r="H70" s="14">
        <v>2520</v>
      </c>
      <c r="I70" s="71">
        <v>8880</v>
      </c>
      <c r="J70" s="14">
        <v>4920</v>
      </c>
      <c r="K70" s="71"/>
      <c r="L70" s="137">
        <v>720</v>
      </c>
      <c r="M70" s="138"/>
      <c r="N70" s="71"/>
      <c r="O70" s="14">
        <v>3648</v>
      </c>
      <c r="P70" s="71">
        <v>12240</v>
      </c>
      <c r="Q70" s="16">
        <f t="shared" si="3"/>
        <v>55848</v>
      </c>
      <c r="T70" s="28"/>
      <c r="V70" s="13">
        <f>P56-Q70</f>
        <v>0</v>
      </c>
    </row>
    <row r="71" spans="1:22">
      <c r="A71" s="129" t="s">
        <v>42</v>
      </c>
      <c r="B71" s="130"/>
      <c r="C71" s="66" t="s">
        <v>31</v>
      </c>
      <c r="D71" s="66">
        <v>5160</v>
      </c>
      <c r="E71" s="4">
        <v>240</v>
      </c>
      <c r="F71" s="133">
        <v>360</v>
      </c>
      <c r="G71" s="133"/>
      <c r="H71" s="4"/>
      <c r="I71" s="67"/>
      <c r="J71" s="4"/>
      <c r="K71" s="67"/>
      <c r="L71" s="134">
        <v>120</v>
      </c>
      <c r="M71" s="135"/>
      <c r="N71" s="67"/>
      <c r="O71" s="4">
        <v>672</v>
      </c>
      <c r="P71" s="67">
        <v>120</v>
      </c>
      <c r="Q71" s="4">
        <f t="shared" si="3"/>
        <v>6672</v>
      </c>
      <c r="T71" s="28"/>
      <c r="V71" s="13">
        <f>Q56-Q71</f>
        <v>0</v>
      </c>
    </row>
    <row r="72" spans="1:22" ht="15.75" thickBot="1">
      <c r="A72" s="131"/>
      <c r="B72" s="132"/>
      <c r="C72" s="65" t="s">
        <v>29</v>
      </c>
      <c r="D72" s="73">
        <v>900</v>
      </c>
      <c r="E72" s="15"/>
      <c r="F72" s="157"/>
      <c r="G72" s="157"/>
      <c r="H72" s="15"/>
      <c r="I72" s="72"/>
      <c r="J72" s="15"/>
      <c r="K72" s="72"/>
      <c r="L72" s="158"/>
      <c r="M72" s="159"/>
      <c r="N72" s="72"/>
      <c r="O72" s="15"/>
      <c r="P72" s="72"/>
      <c r="Q72" s="16">
        <f t="shared" si="3"/>
        <v>900</v>
      </c>
      <c r="T72" s="28"/>
      <c r="V72" s="13">
        <f>R56-Q72</f>
        <v>0</v>
      </c>
    </row>
    <row r="73" spans="1:22" ht="15.75" thickBot="1">
      <c r="A73" s="160" t="s">
        <v>37</v>
      </c>
      <c r="B73" s="161"/>
      <c r="C73" s="161"/>
      <c r="D73" s="23">
        <f>SUM(D62:D72)</f>
        <v>40630</v>
      </c>
      <c r="E73" s="23">
        <f t="shared" ref="E73" si="4">SUM(E62:E72)</f>
        <v>15960</v>
      </c>
      <c r="F73" s="162">
        <f>SUM(F62:G72)</f>
        <v>11940</v>
      </c>
      <c r="G73" s="163"/>
      <c r="H73" s="23">
        <f>SUM(H62:H72)</f>
        <v>4920</v>
      </c>
      <c r="I73" s="23">
        <f>SUM(I62:I72)</f>
        <v>14760</v>
      </c>
      <c r="J73" s="23">
        <f>SUM(J62:J72)</f>
        <v>6120</v>
      </c>
      <c r="K73" s="23">
        <f>SUM(K62:K72)</f>
        <v>0</v>
      </c>
      <c r="L73" s="162">
        <f>SUM(L62:M72)</f>
        <v>1104</v>
      </c>
      <c r="M73" s="163"/>
      <c r="N73" s="23">
        <f>SUM(N62:N72)</f>
        <v>0</v>
      </c>
      <c r="O73" s="23">
        <f>SUM(O62:O72)</f>
        <v>5272</v>
      </c>
      <c r="P73" s="23">
        <f>SUM(P62:P72)</f>
        <v>22260</v>
      </c>
      <c r="Q73" s="24">
        <f>SUM(Q62:Q72)</f>
        <v>122966</v>
      </c>
      <c r="R73" s="12"/>
      <c r="S73" s="1"/>
      <c r="T73" s="28"/>
      <c r="V73" s="13">
        <f>S56-Q73</f>
        <v>0</v>
      </c>
    </row>
    <row r="74" spans="1:22" ht="15.75" thickBot="1">
      <c r="A74" s="139" t="s">
        <v>36</v>
      </c>
      <c r="B74" s="140"/>
      <c r="C74" s="140"/>
      <c r="D74" s="141">
        <f>D73+E73+F73+H73+I73+J73+K73+L73+N73+O73+P73</f>
        <v>122966</v>
      </c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3"/>
      <c r="T74" s="28"/>
      <c r="V74" s="13"/>
    </row>
    <row r="75" spans="1:22" s="20" customFormat="1" ht="15" customHeight="1" thickBot="1">
      <c r="A75" s="152" t="s">
        <v>26</v>
      </c>
      <c r="B75" s="153"/>
      <c r="C75" s="153"/>
      <c r="D75" s="25">
        <v>12859514</v>
      </c>
      <c r="E75" s="22">
        <v>5003124</v>
      </c>
      <c r="F75" s="154">
        <v>3781158</v>
      </c>
      <c r="G75" s="155"/>
      <c r="H75" s="22">
        <v>1562741</v>
      </c>
      <c r="I75" s="26">
        <v>4657193</v>
      </c>
      <c r="J75" s="22">
        <v>1941728</v>
      </c>
      <c r="K75" s="22"/>
      <c r="L75" s="156">
        <v>357629</v>
      </c>
      <c r="M75" s="155"/>
      <c r="N75" s="26"/>
      <c r="O75" s="22">
        <v>1792633</v>
      </c>
      <c r="P75" s="26">
        <v>7075708</v>
      </c>
      <c r="Q75" s="100">
        <v>39031428</v>
      </c>
      <c r="R75" s="19"/>
      <c r="S75" s="19"/>
      <c r="T75" s="29"/>
      <c r="V75" s="21">
        <f>T56-Q75</f>
        <v>0</v>
      </c>
    </row>
    <row r="76" spans="1:22">
      <c r="T76" s="28"/>
      <c r="V76" s="13"/>
    </row>
  </sheetData>
  <autoFilter ref="A2:X3">
    <filterColumn colId="2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6" showButton="0"/>
  </autoFilter>
  <mergeCells count="220">
    <mergeCell ref="L42:M42"/>
    <mergeCell ref="L43:M43"/>
    <mergeCell ref="L44:M44"/>
    <mergeCell ref="L45:M45"/>
    <mergeCell ref="L46:M46"/>
    <mergeCell ref="T2:T3"/>
    <mergeCell ref="F3:G3"/>
    <mergeCell ref="L3:M3"/>
    <mergeCell ref="C4:D4"/>
    <mergeCell ref="F4:G4"/>
    <mergeCell ref="L4:M4"/>
    <mergeCell ref="C7:D7"/>
    <mergeCell ref="F7:G7"/>
    <mergeCell ref="L7:M7"/>
    <mergeCell ref="C8:D8"/>
    <mergeCell ref="F8:G8"/>
    <mergeCell ref="L8:M8"/>
    <mergeCell ref="C5:D5"/>
    <mergeCell ref="F5:G5"/>
    <mergeCell ref="L5:M5"/>
    <mergeCell ref="C6:D6"/>
    <mergeCell ref="F6:G6"/>
    <mergeCell ref="L6:M6"/>
    <mergeCell ref="C11:D11"/>
    <mergeCell ref="A1:T1"/>
    <mergeCell ref="A2:A3"/>
    <mergeCell ref="B2:B3"/>
    <mergeCell ref="C2:D3"/>
    <mergeCell ref="E2:E3"/>
    <mergeCell ref="F2:H2"/>
    <mergeCell ref="I2:M2"/>
    <mergeCell ref="N2:P2"/>
    <mergeCell ref="Q2:R2"/>
    <mergeCell ref="S2:S3"/>
    <mergeCell ref="F11:G11"/>
    <mergeCell ref="L11:M11"/>
    <mergeCell ref="C12:D12"/>
    <mergeCell ref="F12:G12"/>
    <mergeCell ref="L12:M12"/>
    <mergeCell ref="C9:D9"/>
    <mergeCell ref="F9:G9"/>
    <mergeCell ref="L9:M9"/>
    <mergeCell ref="C10:D10"/>
    <mergeCell ref="F10:G10"/>
    <mergeCell ref="L10:M10"/>
    <mergeCell ref="C15:D15"/>
    <mergeCell ref="F15:G15"/>
    <mergeCell ref="L15:M15"/>
    <mergeCell ref="C16:D16"/>
    <mergeCell ref="F16:G16"/>
    <mergeCell ref="L16:M16"/>
    <mergeCell ref="C13:D13"/>
    <mergeCell ref="F13:G13"/>
    <mergeCell ref="L13:M13"/>
    <mergeCell ref="C14:D14"/>
    <mergeCell ref="F14:G14"/>
    <mergeCell ref="L14:M14"/>
    <mergeCell ref="C19:D19"/>
    <mergeCell ref="F19:G19"/>
    <mergeCell ref="L19:M19"/>
    <mergeCell ref="C20:D20"/>
    <mergeCell ref="F20:G20"/>
    <mergeCell ref="L20:M20"/>
    <mergeCell ref="C17:D17"/>
    <mergeCell ref="F17:G17"/>
    <mergeCell ref="L17:M17"/>
    <mergeCell ref="C18:D18"/>
    <mergeCell ref="F18:G18"/>
    <mergeCell ref="L18:M18"/>
    <mergeCell ref="C23:D23"/>
    <mergeCell ref="F23:G23"/>
    <mergeCell ref="L23:M23"/>
    <mergeCell ref="C24:D24"/>
    <mergeCell ref="F24:G24"/>
    <mergeCell ref="L24:M24"/>
    <mergeCell ref="C21:D21"/>
    <mergeCell ref="F21:G21"/>
    <mergeCell ref="L21:M21"/>
    <mergeCell ref="C22:D22"/>
    <mergeCell ref="F22:G22"/>
    <mergeCell ref="L22:M22"/>
    <mergeCell ref="C27:D27"/>
    <mergeCell ref="F27:G27"/>
    <mergeCell ref="L27:M27"/>
    <mergeCell ref="C28:D28"/>
    <mergeCell ref="F28:G28"/>
    <mergeCell ref="L28:M28"/>
    <mergeCell ref="C25:D25"/>
    <mergeCell ref="F25:G25"/>
    <mergeCell ref="L25:M25"/>
    <mergeCell ref="C26:D26"/>
    <mergeCell ref="F26:G26"/>
    <mergeCell ref="L26:M26"/>
    <mergeCell ref="C31:D31"/>
    <mergeCell ref="F31:G31"/>
    <mergeCell ref="L31:M31"/>
    <mergeCell ref="C32:D32"/>
    <mergeCell ref="F32:G32"/>
    <mergeCell ref="L32:M32"/>
    <mergeCell ref="C29:D29"/>
    <mergeCell ref="F29:G29"/>
    <mergeCell ref="L29:M29"/>
    <mergeCell ref="C30:D30"/>
    <mergeCell ref="F30:G30"/>
    <mergeCell ref="L30:M30"/>
    <mergeCell ref="C35:D35"/>
    <mergeCell ref="F35:G35"/>
    <mergeCell ref="L35:M35"/>
    <mergeCell ref="C36:D36"/>
    <mergeCell ref="F36:G36"/>
    <mergeCell ref="L36:M36"/>
    <mergeCell ref="C33:D33"/>
    <mergeCell ref="F33:G33"/>
    <mergeCell ref="L33:M33"/>
    <mergeCell ref="C34:D34"/>
    <mergeCell ref="F34:G34"/>
    <mergeCell ref="L34:M34"/>
    <mergeCell ref="C37:D37"/>
    <mergeCell ref="F37:G37"/>
    <mergeCell ref="L37:M37"/>
    <mergeCell ref="C38:D38"/>
    <mergeCell ref="F38:G38"/>
    <mergeCell ref="L38:M38"/>
    <mergeCell ref="C39:D39"/>
    <mergeCell ref="C40:D40"/>
    <mergeCell ref="C41:D41"/>
    <mergeCell ref="L39:M39"/>
    <mergeCell ref="L40:M40"/>
    <mergeCell ref="L41:M41"/>
    <mergeCell ref="C42:D42"/>
    <mergeCell ref="C43:D43"/>
    <mergeCell ref="C44:D44"/>
    <mergeCell ref="C45:D45"/>
    <mergeCell ref="C46:D46"/>
    <mergeCell ref="F39:G39"/>
    <mergeCell ref="F40:G40"/>
    <mergeCell ref="F41:G41"/>
    <mergeCell ref="F42:G42"/>
    <mergeCell ref="F43:G43"/>
    <mergeCell ref="F44:G44"/>
    <mergeCell ref="F45:G45"/>
    <mergeCell ref="F46:G46"/>
    <mergeCell ref="F67:G67"/>
    <mergeCell ref="L67:M67"/>
    <mergeCell ref="A56:C56"/>
    <mergeCell ref="F56:G56"/>
    <mergeCell ref="L56:M56"/>
    <mergeCell ref="A57:C57"/>
    <mergeCell ref="F57:G57"/>
    <mergeCell ref="L57:M57"/>
    <mergeCell ref="A59:Q59"/>
    <mergeCell ref="A60:B61"/>
    <mergeCell ref="C60:C61"/>
    <mergeCell ref="D60:D61"/>
    <mergeCell ref="E60:E61"/>
    <mergeCell ref="F60:G61"/>
    <mergeCell ref="H60:J60"/>
    <mergeCell ref="K60:O60"/>
    <mergeCell ref="P60:P61"/>
    <mergeCell ref="Q60:Q61"/>
    <mergeCell ref="L61:M61"/>
    <mergeCell ref="A75:C75"/>
    <mergeCell ref="F75:G75"/>
    <mergeCell ref="L75:M75"/>
    <mergeCell ref="A71:B72"/>
    <mergeCell ref="F71:G71"/>
    <mergeCell ref="L71:M71"/>
    <mergeCell ref="F72:G72"/>
    <mergeCell ref="L72:M72"/>
    <mergeCell ref="A73:C73"/>
    <mergeCell ref="F73:G73"/>
    <mergeCell ref="L73:M73"/>
    <mergeCell ref="L50:M50"/>
    <mergeCell ref="F51:G51"/>
    <mergeCell ref="L51:M51"/>
    <mergeCell ref="A62:B63"/>
    <mergeCell ref="F62:G62"/>
    <mergeCell ref="L62:M62"/>
    <mergeCell ref="F63:G63"/>
    <mergeCell ref="L63:M63"/>
    <mergeCell ref="A74:C74"/>
    <mergeCell ref="D74:Q74"/>
    <mergeCell ref="A68:B70"/>
    <mergeCell ref="F68:G68"/>
    <mergeCell ref="L68:M68"/>
    <mergeCell ref="F69:G69"/>
    <mergeCell ref="L69:M69"/>
    <mergeCell ref="F70:G70"/>
    <mergeCell ref="L70:M70"/>
    <mergeCell ref="A64:B67"/>
    <mergeCell ref="F64:G64"/>
    <mergeCell ref="L64:M64"/>
    <mergeCell ref="F65:G65"/>
    <mergeCell ref="L65:M65"/>
    <mergeCell ref="F66:G66"/>
    <mergeCell ref="L66:M66"/>
    <mergeCell ref="F52:G52"/>
    <mergeCell ref="L52:M52"/>
    <mergeCell ref="F53:G53"/>
    <mergeCell ref="L53:M53"/>
    <mergeCell ref="F54:G54"/>
    <mergeCell ref="L54:M54"/>
    <mergeCell ref="F55:G55"/>
    <mergeCell ref="L55:M55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F47:G47"/>
    <mergeCell ref="L47:M47"/>
    <mergeCell ref="F48:G48"/>
    <mergeCell ref="L48:M48"/>
    <mergeCell ref="F49:G49"/>
    <mergeCell ref="L49:M49"/>
    <mergeCell ref="F50:G50"/>
  </mergeCells>
  <pageMargins left="0.16" right="0.16" top="0.34" bottom="0.16" header="0.23" footer="0.16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tabSelected="1" zoomScaleNormal="100" workbookViewId="0">
      <pane ySplit="4" topLeftCell="A32" activePane="bottomLeft" state="frozen"/>
      <selection pane="bottomLeft" activeCell="W35" sqref="W35"/>
    </sheetView>
  </sheetViews>
  <sheetFormatPr defaultRowHeight="15"/>
  <cols>
    <col min="1" max="1" width="8.7109375" style="2" customWidth="1"/>
    <col min="2" max="2" width="4.140625" style="2" customWidth="1"/>
    <col min="3" max="3" width="10.42578125" style="64" customWidth="1"/>
    <col min="4" max="4" width="9.7109375" style="64" customWidth="1"/>
    <col min="5" max="5" width="9" style="3" customWidth="1"/>
    <col min="6" max="6" width="3.7109375" style="2" bestFit="1" customWidth="1"/>
    <col min="7" max="7" width="4.140625" style="2" customWidth="1"/>
    <col min="8" max="8" width="7" style="2" customWidth="1"/>
    <col min="9" max="10" width="7.140625" style="2" customWidth="1"/>
    <col min="11" max="11" width="5.5703125" style="2" customWidth="1"/>
    <col min="12" max="12" width="3" style="2" customWidth="1"/>
    <col min="13" max="13" width="3.140625" style="2" customWidth="1"/>
    <col min="14" max="14" width="5" style="2" customWidth="1"/>
    <col min="15" max="15" width="7" style="2" customWidth="1"/>
    <col min="16" max="16" width="8" style="2" customWidth="1"/>
    <col min="17" max="17" width="9.28515625" style="2" customWidth="1"/>
    <col min="18" max="18" width="5.7109375" style="2" customWidth="1"/>
    <col min="19" max="19" width="8.42578125" style="2" bestFit="1" customWidth="1"/>
    <col min="20" max="20" width="9.28515625" style="27" customWidth="1"/>
    <col min="21" max="21" width="9.140625" style="1"/>
    <col min="22" max="22" width="10.5703125" style="1" bestFit="1" customWidth="1"/>
    <col min="23" max="16384" width="9.140625" style="1"/>
  </cols>
  <sheetData>
    <row r="1" spans="1:20" ht="16.5" thickBot="1">
      <c r="A1" s="186" t="s">
        <v>188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</row>
    <row r="2" spans="1:20" s="6" customFormat="1" ht="12.75" customHeight="1">
      <c r="A2" s="189" t="s">
        <v>9</v>
      </c>
      <c r="B2" s="191" t="s">
        <v>13</v>
      </c>
      <c r="C2" s="193" t="s">
        <v>23</v>
      </c>
      <c r="D2" s="194"/>
      <c r="E2" s="197" t="s">
        <v>15</v>
      </c>
      <c r="F2" s="199" t="s">
        <v>0</v>
      </c>
      <c r="G2" s="191"/>
      <c r="H2" s="200"/>
      <c r="I2" s="201" t="s">
        <v>39</v>
      </c>
      <c r="J2" s="202"/>
      <c r="K2" s="202"/>
      <c r="L2" s="203"/>
      <c r="M2" s="200"/>
      <c r="N2" s="201" t="s">
        <v>1</v>
      </c>
      <c r="O2" s="202"/>
      <c r="P2" s="200"/>
      <c r="Q2" s="204" t="s">
        <v>2</v>
      </c>
      <c r="R2" s="205"/>
      <c r="S2" s="191" t="s">
        <v>14</v>
      </c>
      <c r="T2" s="206" t="s">
        <v>12</v>
      </c>
    </row>
    <row r="3" spans="1:20" s="6" customFormat="1" ht="15.75" thickBot="1">
      <c r="A3" s="190"/>
      <c r="B3" s="192"/>
      <c r="C3" s="195"/>
      <c r="D3" s="196"/>
      <c r="E3" s="198"/>
      <c r="F3" s="208" t="s">
        <v>3</v>
      </c>
      <c r="G3" s="209"/>
      <c r="H3" s="9" t="s">
        <v>4</v>
      </c>
      <c r="I3" s="10" t="s">
        <v>22</v>
      </c>
      <c r="J3" s="11" t="s">
        <v>7</v>
      </c>
      <c r="K3" s="11" t="s">
        <v>17</v>
      </c>
      <c r="L3" s="210" t="s">
        <v>18</v>
      </c>
      <c r="M3" s="211"/>
      <c r="N3" s="8" t="s">
        <v>21</v>
      </c>
      <c r="O3" s="7" t="s">
        <v>5</v>
      </c>
      <c r="P3" s="9" t="s">
        <v>4</v>
      </c>
      <c r="Q3" s="8" t="s">
        <v>5</v>
      </c>
      <c r="R3" s="17" t="s">
        <v>6</v>
      </c>
      <c r="S3" s="192"/>
      <c r="T3" s="207"/>
    </row>
    <row r="4" spans="1:20" s="18" customFormat="1" ht="15.75" thickBot="1">
      <c r="A4" s="114" t="s">
        <v>35</v>
      </c>
      <c r="B4" s="30"/>
      <c r="C4" s="166"/>
      <c r="D4" s="169"/>
      <c r="E4" s="31"/>
      <c r="F4" s="166">
        <v>768</v>
      </c>
      <c r="G4" s="167"/>
      <c r="H4" s="116">
        <v>5712</v>
      </c>
      <c r="I4" s="32">
        <v>32880</v>
      </c>
      <c r="J4" s="33">
        <v>360</v>
      </c>
      <c r="K4" s="116">
        <v>2442</v>
      </c>
      <c r="L4" s="168">
        <v>440</v>
      </c>
      <c r="M4" s="169"/>
      <c r="N4" s="115">
        <v>10440</v>
      </c>
      <c r="O4" s="116">
        <v>6504</v>
      </c>
      <c r="P4" s="34">
        <v>55848</v>
      </c>
      <c r="Q4" s="115">
        <v>6672</v>
      </c>
      <c r="R4" s="34">
        <v>900</v>
      </c>
      <c r="S4" s="35">
        <f>SUM(F4:R4)</f>
        <v>122966</v>
      </c>
      <c r="T4" s="36">
        <v>39031428</v>
      </c>
    </row>
    <row r="5" spans="1:20">
      <c r="A5" s="37" t="s">
        <v>184</v>
      </c>
      <c r="B5" s="38">
        <v>52</v>
      </c>
      <c r="C5" s="214" t="s">
        <v>98</v>
      </c>
      <c r="D5" s="217"/>
      <c r="E5" s="45" t="s">
        <v>99</v>
      </c>
      <c r="F5" s="123"/>
      <c r="G5" s="124"/>
      <c r="H5" s="102"/>
      <c r="I5" s="46">
        <v>90</v>
      </c>
      <c r="J5" s="47"/>
      <c r="K5" s="47"/>
      <c r="L5" s="218"/>
      <c r="M5" s="219"/>
      <c r="N5" s="48"/>
      <c r="O5" s="102"/>
      <c r="P5" s="49"/>
      <c r="Q5" s="46"/>
      <c r="R5" s="50"/>
      <c r="S5" s="43">
        <f t="shared" ref="S5:S29" si="0">SUM(F5:R5)</f>
        <v>90</v>
      </c>
      <c r="T5" s="51">
        <v>28368</v>
      </c>
    </row>
    <row r="6" spans="1:20">
      <c r="A6" s="37" t="s">
        <v>178</v>
      </c>
      <c r="B6" s="38">
        <v>53</v>
      </c>
      <c r="C6" s="127" t="s">
        <v>95</v>
      </c>
      <c r="D6" s="128"/>
      <c r="E6" s="45" t="s">
        <v>96</v>
      </c>
      <c r="F6" s="123"/>
      <c r="G6" s="124"/>
      <c r="H6" s="102"/>
      <c r="I6" s="48"/>
      <c r="J6" s="52"/>
      <c r="K6" s="52"/>
      <c r="L6" s="125"/>
      <c r="M6" s="126"/>
      <c r="N6" s="48">
        <v>960</v>
      </c>
      <c r="O6" s="102">
        <v>600</v>
      </c>
      <c r="P6" s="49">
        <v>2400</v>
      </c>
      <c r="Q6" s="48"/>
      <c r="R6" s="49"/>
      <c r="S6" s="53">
        <f t="shared" si="0"/>
        <v>3960</v>
      </c>
      <c r="T6" s="54">
        <v>1260480</v>
      </c>
    </row>
    <row r="7" spans="1:20">
      <c r="A7" s="37" t="s">
        <v>179</v>
      </c>
      <c r="B7" s="38">
        <v>54</v>
      </c>
      <c r="C7" s="127" t="s">
        <v>109</v>
      </c>
      <c r="D7" s="128"/>
      <c r="E7" s="45" t="s">
        <v>110</v>
      </c>
      <c r="F7" s="123"/>
      <c r="G7" s="124"/>
      <c r="H7" s="102">
        <v>48</v>
      </c>
      <c r="I7" s="48"/>
      <c r="J7" s="52"/>
      <c r="K7" s="52"/>
      <c r="L7" s="125"/>
      <c r="M7" s="126"/>
      <c r="N7" s="48"/>
      <c r="O7" s="102"/>
      <c r="P7" s="49"/>
      <c r="Q7" s="48"/>
      <c r="R7" s="49"/>
      <c r="S7" s="53">
        <f t="shared" si="0"/>
        <v>48</v>
      </c>
      <c r="T7" s="54">
        <v>16517</v>
      </c>
    </row>
    <row r="8" spans="1:20">
      <c r="A8" s="37" t="s">
        <v>179</v>
      </c>
      <c r="B8" s="38">
        <v>55</v>
      </c>
      <c r="C8" s="123" t="s">
        <v>149</v>
      </c>
      <c r="D8" s="126"/>
      <c r="E8" s="45" t="s">
        <v>99</v>
      </c>
      <c r="F8" s="123"/>
      <c r="G8" s="124"/>
      <c r="H8" s="102"/>
      <c r="I8" s="48"/>
      <c r="J8" s="52"/>
      <c r="K8" s="52"/>
      <c r="L8" s="125"/>
      <c r="M8" s="126"/>
      <c r="N8" s="48"/>
      <c r="O8" s="102"/>
      <c r="P8" s="49">
        <v>120</v>
      </c>
      <c r="Q8" s="48"/>
      <c r="R8" s="49"/>
      <c r="S8" s="53">
        <f t="shared" si="0"/>
        <v>120</v>
      </c>
      <c r="T8" s="54">
        <v>39858</v>
      </c>
    </row>
    <row r="9" spans="1:20">
      <c r="A9" s="37" t="s">
        <v>180</v>
      </c>
      <c r="B9" s="38">
        <v>56</v>
      </c>
      <c r="C9" s="127" t="s">
        <v>137</v>
      </c>
      <c r="D9" s="128"/>
      <c r="E9" s="45" t="s">
        <v>138</v>
      </c>
      <c r="F9" s="123"/>
      <c r="G9" s="124"/>
      <c r="H9" s="102"/>
      <c r="I9" s="48"/>
      <c r="J9" s="52"/>
      <c r="K9" s="52"/>
      <c r="L9" s="125"/>
      <c r="M9" s="126"/>
      <c r="N9" s="48"/>
      <c r="O9" s="102"/>
      <c r="P9" s="49"/>
      <c r="Q9" s="48">
        <v>60</v>
      </c>
      <c r="R9" s="49"/>
      <c r="S9" s="53">
        <f t="shared" si="0"/>
        <v>60</v>
      </c>
      <c r="T9" s="54">
        <v>23166</v>
      </c>
    </row>
    <row r="10" spans="1:20">
      <c r="A10" s="37" t="s">
        <v>180</v>
      </c>
      <c r="B10" s="38">
        <v>57</v>
      </c>
      <c r="C10" s="127" t="s">
        <v>120</v>
      </c>
      <c r="D10" s="128"/>
      <c r="E10" s="56" t="s">
        <v>121</v>
      </c>
      <c r="F10" s="123"/>
      <c r="G10" s="124"/>
      <c r="H10" s="102"/>
      <c r="I10" s="48">
        <v>750</v>
      </c>
      <c r="J10" s="52"/>
      <c r="K10" s="52"/>
      <c r="L10" s="125"/>
      <c r="M10" s="126"/>
      <c r="N10" s="48">
        <v>600</v>
      </c>
      <c r="O10" s="102"/>
      <c r="P10" s="49">
        <v>2400</v>
      </c>
      <c r="Q10" s="48"/>
      <c r="R10" s="49">
        <v>720</v>
      </c>
      <c r="S10" s="53">
        <f t="shared" si="0"/>
        <v>4470</v>
      </c>
      <c r="T10" s="54">
        <v>1472650</v>
      </c>
    </row>
    <row r="11" spans="1:20">
      <c r="A11" s="37" t="s">
        <v>180</v>
      </c>
      <c r="B11" s="38">
        <v>58</v>
      </c>
      <c r="C11" s="127" t="s">
        <v>122</v>
      </c>
      <c r="D11" s="128"/>
      <c r="E11" s="56" t="s">
        <v>121</v>
      </c>
      <c r="F11" s="123"/>
      <c r="G11" s="124"/>
      <c r="H11" s="102"/>
      <c r="I11" s="48"/>
      <c r="J11" s="52"/>
      <c r="K11" s="52"/>
      <c r="L11" s="125"/>
      <c r="M11" s="126"/>
      <c r="N11" s="48">
        <v>960</v>
      </c>
      <c r="O11" s="102">
        <v>480</v>
      </c>
      <c r="P11" s="49">
        <v>840</v>
      </c>
      <c r="Q11" s="48"/>
      <c r="R11" s="49"/>
      <c r="S11" s="53">
        <f t="shared" si="0"/>
        <v>2280</v>
      </c>
      <c r="T11" s="54">
        <v>722340</v>
      </c>
    </row>
    <row r="12" spans="1:20">
      <c r="A12" s="37" t="s">
        <v>180</v>
      </c>
      <c r="B12" s="38">
        <v>59</v>
      </c>
      <c r="C12" s="127" t="s">
        <v>123</v>
      </c>
      <c r="D12" s="128"/>
      <c r="E12" s="56" t="s">
        <v>121</v>
      </c>
      <c r="F12" s="123"/>
      <c r="G12" s="124"/>
      <c r="H12" s="102"/>
      <c r="I12" s="48">
        <v>450</v>
      </c>
      <c r="J12" s="52"/>
      <c r="K12" s="52"/>
      <c r="L12" s="125"/>
      <c r="M12" s="126"/>
      <c r="N12" s="48"/>
      <c r="O12" s="102"/>
      <c r="P12" s="49">
        <v>1320</v>
      </c>
      <c r="Q12" s="48"/>
      <c r="R12" s="49"/>
      <c r="S12" s="53">
        <f t="shared" si="0"/>
        <v>1770</v>
      </c>
      <c r="T12" s="54">
        <v>559829</v>
      </c>
    </row>
    <row r="13" spans="1:20">
      <c r="A13" s="37" t="s">
        <v>180</v>
      </c>
      <c r="B13" s="38">
        <v>60</v>
      </c>
      <c r="C13" s="127" t="s">
        <v>181</v>
      </c>
      <c r="D13" s="128"/>
      <c r="E13" s="45" t="s">
        <v>182</v>
      </c>
      <c r="F13" s="123"/>
      <c r="G13" s="124"/>
      <c r="H13" s="102"/>
      <c r="I13" s="48"/>
      <c r="J13" s="52"/>
      <c r="K13" s="52"/>
      <c r="L13" s="125"/>
      <c r="M13" s="126"/>
      <c r="N13" s="48"/>
      <c r="O13" s="102"/>
      <c r="P13" s="49"/>
      <c r="Q13" s="48">
        <v>120</v>
      </c>
      <c r="R13" s="49"/>
      <c r="S13" s="53">
        <f>SUM(F13:R13)</f>
        <v>120</v>
      </c>
      <c r="T13" s="54">
        <v>46333</v>
      </c>
    </row>
    <row r="14" spans="1:20">
      <c r="A14" s="117" t="s">
        <v>183</v>
      </c>
      <c r="B14" s="38">
        <v>61</v>
      </c>
      <c r="C14" s="127" t="s">
        <v>111</v>
      </c>
      <c r="D14" s="128"/>
      <c r="E14" s="45" t="s">
        <v>112</v>
      </c>
      <c r="F14" s="123"/>
      <c r="G14" s="124"/>
      <c r="H14" s="102"/>
      <c r="I14" s="48">
        <v>6450</v>
      </c>
      <c r="J14" s="52"/>
      <c r="K14" s="52"/>
      <c r="L14" s="125"/>
      <c r="M14" s="126"/>
      <c r="N14" s="101"/>
      <c r="O14" s="102"/>
      <c r="P14" s="49"/>
      <c r="Q14" s="101"/>
      <c r="R14" s="49">
        <v>2412</v>
      </c>
      <c r="S14" s="53">
        <f t="shared" si="0"/>
        <v>8862</v>
      </c>
      <c r="T14" s="54">
        <v>2866322</v>
      </c>
    </row>
    <row r="15" spans="1:20">
      <c r="A15" s="118" t="s">
        <v>187</v>
      </c>
      <c r="B15" s="38">
        <v>62</v>
      </c>
      <c r="C15" s="127" t="s">
        <v>127</v>
      </c>
      <c r="D15" s="128"/>
      <c r="E15" s="45" t="s">
        <v>128</v>
      </c>
      <c r="F15" s="123">
        <v>24</v>
      </c>
      <c r="G15" s="124"/>
      <c r="H15" s="102">
        <v>1200</v>
      </c>
      <c r="I15" s="48">
        <v>690</v>
      </c>
      <c r="J15" s="52"/>
      <c r="K15" s="52">
        <v>220</v>
      </c>
      <c r="L15" s="125">
        <v>110</v>
      </c>
      <c r="M15" s="126"/>
      <c r="N15" s="101">
        <v>240</v>
      </c>
      <c r="O15" s="102"/>
      <c r="P15" s="49">
        <v>4200</v>
      </c>
      <c r="Q15" s="101">
        <v>360</v>
      </c>
      <c r="R15" s="55"/>
      <c r="S15" s="53">
        <f t="shared" si="0"/>
        <v>7044</v>
      </c>
      <c r="T15" s="54">
        <v>2226736</v>
      </c>
    </row>
    <row r="16" spans="1:20">
      <c r="A16" s="118" t="s">
        <v>185</v>
      </c>
      <c r="B16" s="38">
        <v>63</v>
      </c>
      <c r="C16" s="127" t="s">
        <v>127</v>
      </c>
      <c r="D16" s="128"/>
      <c r="E16" s="45" t="s">
        <v>146</v>
      </c>
      <c r="F16" s="123">
        <v>600</v>
      </c>
      <c r="G16" s="124"/>
      <c r="H16" s="102">
        <v>1200</v>
      </c>
      <c r="I16" s="48"/>
      <c r="J16" s="52"/>
      <c r="K16" s="52">
        <v>220</v>
      </c>
      <c r="L16" s="125"/>
      <c r="M16" s="126"/>
      <c r="N16" s="101">
        <v>480</v>
      </c>
      <c r="O16" s="102">
        <v>600</v>
      </c>
      <c r="P16" s="49">
        <v>5400</v>
      </c>
      <c r="Q16" s="101"/>
      <c r="R16" s="55"/>
      <c r="S16" s="53">
        <f t="shared" si="0"/>
        <v>8500</v>
      </c>
      <c r="T16" s="54">
        <v>2670081</v>
      </c>
    </row>
    <row r="17" spans="1:24">
      <c r="A17" s="121" t="s">
        <v>186</v>
      </c>
      <c r="B17" s="38">
        <v>64</v>
      </c>
      <c r="C17" s="127" t="s">
        <v>95</v>
      </c>
      <c r="D17" s="128"/>
      <c r="E17" s="45" t="s">
        <v>96</v>
      </c>
      <c r="F17" s="123">
        <v>120</v>
      </c>
      <c r="G17" s="124"/>
      <c r="H17" s="102">
        <v>240</v>
      </c>
      <c r="I17" s="48">
        <v>300</v>
      </c>
      <c r="J17" s="52"/>
      <c r="K17" s="52"/>
      <c r="L17" s="125"/>
      <c r="M17" s="126"/>
      <c r="N17" s="101">
        <v>1200</v>
      </c>
      <c r="O17" s="102">
        <v>720</v>
      </c>
      <c r="P17" s="49"/>
      <c r="Q17" s="101">
        <v>120</v>
      </c>
      <c r="R17" s="55"/>
      <c r="S17" s="53">
        <f>SUM(F17:R17)</f>
        <v>2700</v>
      </c>
      <c r="T17" s="54">
        <v>858472</v>
      </c>
    </row>
    <row r="18" spans="1:24">
      <c r="A18" s="119" t="s">
        <v>190</v>
      </c>
      <c r="B18" s="38">
        <v>65</v>
      </c>
      <c r="C18" s="127" t="s">
        <v>107</v>
      </c>
      <c r="D18" s="128"/>
      <c r="E18" s="45" t="s">
        <v>108</v>
      </c>
      <c r="F18" s="123"/>
      <c r="G18" s="124"/>
      <c r="H18" s="102">
        <v>72</v>
      </c>
      <c r="I18" s="48"/>
      <c r="J18" s="52"/>
      <c r="K18" s="52"/>
      <c r="L18" s="125"/>
      <c r="M18" s="126"/>
      <c r="N18" s="101"/>
      <c r="O18" s="102"/>
      <c r="P18" s="49"/>
      <c r="Q18" s="101"/>
      <c r="R18" s="55"/>
      <c r="S18" s="53">
        <f t="shared" si="0"/>
        <v>72</v>
      </c>
      <c r="T18" s="54">
        <v>24776</v>
      </c>
      <c r="V18" s="13"/>
    </row>
    <row r="19" spans="1:24">
      <c r="A19" s="119" t="s">
        <v>192</v>
      </c>
      <c r="B19" s="38">
        <v>66</v>
      </c>
      <c r="C19" s="123" t="s">
        <v>191</v>
      </c>
      <c r="D19" s="126"/>
      <c r="E19" s="45" t="s">
        <v>130</v>
      </c>
      <c r="F19" s="123">
        <v>72</v>
      </c>
      <c r="G19" s="124"/>
      <c r="H19" s="102">
        <v>48</v>
      </c>
      <c r="I19" s="48"/>
      <c r="J19" s="52"/>
      <c r="K19" s="52"/>
      <c r="L19" s="125"/>
      <c r="M19" s="126"/>
      <c r="N19" s="101"/>
      <c r="O19" s="102"/>
      <c r="P19" s="49"/>
      <c r="Q19" s="101"/>
      <c r="R19" s="55"/>
      <c r="S19" s="53">
        <f t="shared" si="0"/>
        <v>120</v>
      </c>
      <c r="T19" s="54">
        <v>40788</v>
      </c>
    </row>
    <row r="20" spans="1:24">
      <c r="A20" s="119" t="s">
        <v>192</v>
      </c>
      <c r="B20" s="38">
        <v>67</v>
      </c>
      <c r="C20" s="123" t="s">
        <v>120</v>
      </c>
      <c r="D20" s="126"/>
      <c r="E20" s="45" t="s">
        <v>121</v>
      </c>
      <c r="F20" s="123"/>
      <c r="G20" s="124"/>
      <c r="H20" s="102"/>
      <c r="I20" s="48">
        <v>900</v>
      </c>
      <c r="J20" s="52"/>
      <c r="K20" s="52"/>
      <c r="L20" s="125"/>
      <c r="M20" s="126"/>
      <c r="N20" s="101">
        <v>960</v>
      </c>
      <c r="O20" s="102">
        <v>240</v>
      </c>
      <c r="P20" s="49">
        <v>3600</v>
      </c>
      <c r="Q20" s="101"/>
      <c r="R20" s="55"/>
      <c r="S20" s="53">
        <f t="shared" si="0"/>
        <v>5700</v>
      </c>
      <c r="T20" s="54">
        <v>1804486</v>
      </c>
    </row>
    <row r="21" spans="1:24">
      <c r="A21" s="119" t="s">
        <v>192</v>
      </c>
      <c r="B21" s="38">
        <v>68</v>
      </c>
      <c r="C21" s="123" t="s">
        <v>123</v>
      </c>
      <c r="D21" s="126"/>
      <c r="E21" s="45" t="s">
        <v>121</v>
      </c>
      <c r="F21" s="123"/>
      <c r="G21" s="124"/>
      <c r="H21" s="102"/>
      <c r="I21" s="48">
        <v>300</v>
      </c>
      <c r="J21" s="52"/>
      <c r="K21" s="52"/>
      <c r="L21" s="125"/>
      <c r="M21" s="126"/>
      <c r="N21" s="101"/>
      <c r="O21" s="102"/>
      <c r="P21" s="49">
        <v>1440</v>
      </c>
      <c r="Q21" s="101"/>
      <c r="R21" s="55"/>
      <c r="S21" s="53">
        <f t="shared" si="0"/>
        <v>1740</v>
      </c>
      <c r="T21" s="54">
        <v>552759</v>
      </c>
    </row>
    <row r="22" spans="1:24">
      <c r="A22" s="119" t="s">
        <v>192</v>
      </c>
      <c r="B22" s="38">
        <v>69</v>
      </c>
      <c r="C22" s="123" t="s">
        <v>95</v>
      </c>
      <c r="D22" s="126"/>
      <c r="E22" s="45" t="s">
        <v>96</v>
      </c>
      <c r="F22" s="123"/>
      <c r="G22" s="124"/>
      <c r="H22" s="102"/>
      <c r="I22" s="48"/>
      <c r="J22" s="52"/>
      <c r="K22" s="52"/>
      <c r="L22" s="125">
        <v>110</v>
      </c>
      <c r="M22" s="126"/>
      <c r="N22" s="101">
        <v>720</v>
      </c>
      <c r="O22" s="102">
        <v>360</v>
      </c>
      <c r="P22" s="49">
        <v>2400</v>
      </c>
      <c r="Q22" s="101"/>
      <c r="R22" s="55"/>
      <c r="S22" s="53">
        <f t="shared" si="0"/>
        <v>3590</v>
      </c>
      <c r="T22" s="54">
        <v>1147808</v>
      </c>
    </row>
    <row r="23" spans="1:24">
      <c r="A23" s="120" t="s">
        <v>193</v>
      </c>
      <c r="B23" s="38">
        <v>70</v>
      </c>
      <c r="C23" s="123" t="s">
        <v>111</v>
      </c>
      <c r="D23" s="126"/>
      <c r="E23" s="45" t="s">
        <v>112</v>
      </c>
      <c r="F23" s="123"/>
      <c r="G23" s="124"/>
      <c r="H23" s="102"/>
      <c r="I23" s="48">
        <v>3600</v>
      </c>
      <c r="J23" s="52"/>
      <c r="K23" s="52">
        <v>330</v>
      </c>
      <c r="L23" s="125"/>
      <c r="M23" s="126"/>
      <c r="N23" s="101">
        <v>480</v>
      </c>
      <c r="O23" s="102">
        <v>360</v>
      </c>
      <c r="P23" s="49">
        <v>1800</v>
      </c>
      <c r="Q23" s="101">
        <v>2100</v>
      </c>
      <c r="R23" s="55"/>
      <c r="S23" s="53">
        <f t="shared" si="0"/>
        <v>8670</v>
      </c>
      <c r="T23" s="54">
        <v>2807295</v>
      </c>
    </row>
    <row r="24" spans="1:24">
      <c r="A24" s="120" t="s">
        <v>194</v>
      </c>
      <c r="B24" s="38">
        <v>71</v>
      </c>
      <c r="C24" s="123" t="s">
        <v>52</v>
      </c>
      <c r="D24" s="126"/>
      <c r="E24" s="45" t="s">
        <v>195</v>
      </c>
      <c r="F24" s="123"/>
      <c r="G24" s="124"/>
      <c r="H24" s="102"/>
      <c r="I24" s="48"/>
      <c r="J24" s="52"/>
      <c r="K24" s="52"/>
      <c r="L24" s="125"/>
      <c r="M24" s="126"/>
      <c r="N24" s="101"/>
      <c r="O24" s="102"/>
      <c r="P24" s="49">
        <v>48</v>
      </c>
      <c r="Q24" s="101"/>
      <c r="R24" s="55"/>
      <c r="S24" s="53">
        <f t="shared" si="0"/>
        <v>48</v>
      </c>
      <c r="T24" s="54">
        <v>15934</v>
      </c>
    </row>
    <row r="25" spans="1:24">
      <c r="A25" s="120" t="s">
        <v>194</v>
      </c>
      <c r="B25" s="38">
        <v>72</v>
      </c>
      <c r="C25" s="127" t="s">
        <v>100</v>
      </c>
      <c r="D25" s="128"/>
      <c r="E25" s="56" t="s">
        <v>101</v>
      </c>
      <c r="F25" s="123"/>
      <c r="G25" s="124"/>
      <c r="H25" s="102"/>
      <c r="I25" s="48">
        <v>150</v>
      </c>
      <c r="J25" s="52"/>
      <c r="K25" s="52"/>
      <c r="L25" s="125"/>
      <c r="M25" s="126"/>
      <c r="N25" s="101"/>
      <c r="O25" s="102"/>
      <c r="P25" s="49"/>
      <c r="Q25" s="101"/>
      <c r="R25" s="55"/>
      <c r="S25" s="53">
        <f t="shared" si="0"/>
        <v>150</v>
      </c>
      <c r="T25" s="54">
        <v>47280</v>
      </c>
    </row>
    <row r="26" spans="1:24">
      <c r="A26" s="122" t="s">
        <v>196</v>
      </c>
      <c r="B26" s="38">
        <v>73</v>
      </c>
      <c r="C26" s="123" t="s">
        <v>120</v>
      </c>
      <c r="D26" s="126"/>
      <c r="E26" s="56" t="s">
        <v>121</v>
      </c>
      <c r="F26" s="123"/>
      <c r="G26" s="124"/>
      <c r="H26" s="86"/>
      <c r="I26" s="57"/>
      <c r="J26" s="58"/>
      <c r="K26" s="58"/>
      <c r="L26" s="125"/>
      <c r="M26" s="126"/>
      <c r="N26" s="103">
        <v>480</v>
      </c>
      <c r="O26" s="86"/>
      <c r="P26" s="55">
        <v>2400</v>
      </c>
      <c r="Q26" s="103"/>
      <c r="R26" s="55"/>
      <c r="S26" s="53">
        <f t="shared" si="0"/>
        <v>2880</v>
      </c>
      <c r="T26" s="59">
        <v>919986</v>
      </c>
    </row>
    <row r="27" spans="1:24">
      <c r="A27" s="122" t="s">
        <v>196</v>
      </c>
      <c r="B27" s="38">
        <v>74</v>
      </c>
      <c r="C27" s="123" t="s">
        <v>122</v>
      </c>
      <c r="D27" s="126"/>
      <c r="E27" s="56" t="s">
        <v>121</v>
      </c>
      <c r="F27" s="123"/>
      <c r="G27" s="124"/>
      <c r="H27" s="86"/>
      <c r="I27" s="57"/>
      <c r="J27" s="58"/>
      <c r="K27" s="58"/>
      <c r="L27" s="125"/>
      <c r="M27" s="126"/>
      <c r="N27" s="103">
        <v>1200</v>
      </c>
      <c r="O27" s="86"/>
      <c r="P27" s="55">
        <v>1440</v>
      </c>
      <c r="Q27" s="103"/>
      <c r="R27" s="55"/>
      <c r="S27" s="53">
        <f t="shared" si="0"/>
        <v>2640</v>
      </c>
      <c r="T27" s="59">
        <v>837998</v>
      </c>
    </row>
    <row r="28" spans="1:24">
      <c r="A28" s="122" t="s">
        <v>196</v>
      </c>
      <c r="B28" s="38">
        <v>75</v>
      </c>
      <c r="C28" s="123" t="s">
        <v>123</v>
      </c>
      <c r="D28" s="126"/>
      <c r="E28" s="56" t="s">
        <v>121</v>
      </c>
      <c r="F28" s="123"/>
      <c r="G28" s="124"/>
      <c r="H28" s="86"/>
      <c r="I28" s="57">
        <v>450</v>
      </c>
      <c r="J28" s="58"/>
      <c r="K28" s="58"/>
      <c r="L28" s="125"/>
      <c r="M28" s="126"/>
      <c r="N28" s="103"/>
      <c r="O28" s="86">
        <v>120</v>
      </c>
      <c r="P28" s="55">
        <v>1200</v>
      </c>
      <c r="Q28" s="103"/>
      <c r="R28" s="55"/>
      <c r="S28" s="53">
        <f t="shared" si="0"/>
        <v>1770</v>
      </c>
      <c r="T28" s="59">
        <v>559349</v>
      </c>
    </row>
    <row r="29" spans="1:24" ht="15.75" thickBot="1">
      <c r="A29" s="103"/>
      <c r="B29" s="38">
        <v>76</v>
      </c>
      <c r="C29" s="123"/>
      <c r="D29" s="126"/>
      <c r="E29" s="56"/>
      <c r="F29" s="123"/>
      <c r="G29" s="124"/>
      <c r="H29" s="86"/>
      <c r="I29" s="57"/>
      <c r="J29" s="58"/>
      <c r="K29" s="58"/>
      <c r="L29" s="125"/>
      <c r="M29" s="126"/>
      <c r="N29" s="103"/>
      <c r="O29" s="86"/>
      <c r="P29" s="55"/>
      <c r="Q29" s="103"/>
      <c r="R29" s="55"/>
      <c r="S29" s="53">
        <f t="shared" si="0"/>
        <v>0</v>
      </c>
      <c r="T29" s="59"/>
    </row>
    <row r="30" spans="1:24" ht="15.75" thickBot="1">
      <c r="A30" s="164" t="s">
        <v>16</v>
      </c>
      <c r="B30" s="165"/>
      <c r="C30" s="165"/>
      <c r="D30" s="62"/>
      <c r="E30" s="60"/>
      <c r="F30" s="166">
        <f>SUM(F5:G29)</f>
        <v>816</v>
      </c>
      <c r="G30" s="167"/>
      <c r="H30" s="34">
        <f>SUM(H5:H29)</f>
        <v>2808</v>
      </c>
      <c r="I30" s="115">
        <f>SUM(I5:I29)</f>
        <v>14130</v>
      </c>
      <c r="J30" s="116">
        <f>SUM(J5:J29)</f>
        <v>0</v>
      </c>
      <c r="K30" s="116">
        <f>SUM(K5:K29)</f>
        <v>770</v>
      </c>
      <c r="L30" s="168">
        <f>SUM(L5:M29)</f>
        <v>220</v>
      </c>
      <c r="M30" s="169"/>
      <c r="N30" s="115">
        <f t="shared" ref="N30:T30" si="1">SUM(N5:N29)</f>
        <v>8280</v>
      </c>
      <c r="O30" s="116">
        <f t="shared" si="1"/>
        <v>3480</v>
      </c>
      <c r="P30" s="34">
        <f t="shared" si="1"/>
        <v>31008</v>
      </c>
      <c r="Q30" s="115">
        <f t="shared" si="1"/>
        <v>2760</v>
      </c>
      <c r="R30" s="34">
        <f t="shared" si="1"/>
        <v>3132</v>
      </c>
      <c r="S30" s="61">
        <f t="shared" si="1"/>
        <v>67404</v>
      </c>
      <c r="T30" s="36">
        <f t="shared" si="1"/>
        <v>21549611</v>
      </c>
      <c r="V30" s="13"/>
      <c r="W30" s="13"/>
      <c r="X30" s="13"/>
    </row>
    <row r="31" spans="1:24" ht="15.75" thickBot="1">
      <c r="A31" s="164"/>
      <c r="B31" s="165"/>
      <c r="C31" s="165"/>
      <c r="D31" s="62"/>
      <c r="E31" s="60"/>
      <c r="F31" s="166">
        <f>F4+F30</f>
        <v>1584</v>
      </c>
      <c r="G31" s="167"/>
      <c r="H31" s="34">
        <f>H4+H30</f>
        <v>8520</v>
      </c>
      <c r="I31" s="62">
        <f>I4+I30</f>
        <v>47010</v>
      </c>
      <c r="J31" s="116">
        <f>J4+J30</f>
        <v>360</v>
      </c>
      <c r="K31" s="116">
        <f>K4+K30</f>
        <v>3212</v>
      </c>
      <c r="L31" s="168">
        <f>L4+L30</f>
        <v>660</v>
      </c>
      <c r="M31" s="169"/>
      <c r="N31" s="115">
        <f t="shared" ref="N31:T31" si="2">N4+N30</f>
        <v>18720</v>
      </c>
      <c r="O31" s="116">
        <f t="shared" si="2"/>
        <v>9984</v>
      </c>
      <c r="P31" s="34">
        <f t="shared" si="2"/>
        <v>86856</v>
      </c>
      <c r="Q31" s="62">
        <f t="shared" si="2"/>
        <v>9432</v>
      </c>
      <c r="R31" s="116">
        <f t="shared" si="2"/>
        <v>4032</v>
      </c>
      <c r="S31" s="63">
        <f t="shared" si="2"/>
        <v>190370</v>
      </c>
      <c r="T31" s="36">
        <f t="shared" si="2"/>
        <v>60581039</v>
      </c>
      <c r="W31" s="13"/>
      <c r="X31" s="13"/>
    </row>
    <row r="32" spans="1:24" ht="15.75" thickBot="1">
      <c r="V32" s="13"/>
    </row>
    <row r="33" spans="1:22" ht="15.75" customHeight="1" thickBot="1">
      <c r="A33" s="170" t="s">
        <v>189</v>
      </c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2"/>
      <c r="R33" s="1"/>
      <c r="S33" s="1"/>
      <c r="T33" s="28"/>
    </row>
    <row r="34" spans="1:22" ht="15.75" customHeight="1" thickBot="1">
      <c r="A34" s="129" t="s">
        <v>34</v>
      </c>
      <c r="B34" s="130"/>
      <c r="C34" s="173" t="s">
        <v>33</v>
      </c>
      <c r="D34" s="173" t="s">
        <v>11</v>
      </c>
      <c r="E34" s="176" t="s">
        <v>19</v>
      </c>
      <c r="F34" s="129" t="s">
        <v>8</v>
      </c>
      <c r="G34" s="130"/>
      <c r="H34" s="178" t="s">
        <v>10</v>
      </c>
      <c r="I34" s="179"/>
      <c r="J34" s="180"/>
      <c r="K34" s="181" t="s">
        <v>25</v>
      </c>
      <c r="L34" s="182"/>
      <c r="M34" s="182"/>
      <c r="N34" s="182"/>
      <c r="O34" s="183"/>
      <c r="P34" s="173" t="s">
        <v>20</v>
      </c>
      <c r="Q34" s="184" t="s">
        <v>38</v>
      </c>
      <c r="R34" s="1"/>
      <c r="S34" s="1"/>
      <c r="T34" s="28"/>
    </row>
    <row r="35" spans="1:22" ht="15.75" thickBot="1">
      <c r="A35" s="131"/>
      <c r="B35" s="132"/>
      <c r="C35" s="174"/>
      <c r="D35" s="175"/>
      <c r="E35" s="177"/>
      <c r="F35" s="131"/>
      <c r="G35" s="132"/>
      <c r="H35" s="70" t="s">
        <v>49</v>
      </c>
      <c r="I35" s="70" t="s">
        <v>48</v>
      </c>
      <c r="J35" s="70" t="s">
        <v>50</v>
      </c>
      <c r="K35" s="70" t="s">
        <v>24</v>
      </c>
      <c r="L35" s="181" t="s">
        <v>47</v>
      </c>
      <c r="M35" s="183"/>
      <c r="N35" s="70" t="s">
        <v>46</v>
      </c>
      <c r="O35" s="70" t="s">
        <v>45</v>
      </c>
      <c r="P35" s="175"/>
      <c r="Q35" s="185"/>
      <c r="T35" s="28"/>
    </row>
    <row r="36" spans="1:22" ht="15" customHeight="1">
      <c r="A36" s="129" t="s">
        <v>27</v>
      </c>
      <c r="B36" s="130"/>
      <c r="C36" s="105" t="s">
        <v>28</v>
      </c>
      <c r="D36" s="105"/>
      <c r="E36" s="4">
        <v>600</v>
      </c>
      <c r="F36" s="133">
        <v>24</v>
      </c>
      <c r="G36" s="133"/>
      <c r="H36" s="4"/>
      <c r="I36" s="104"/>
      <c r="J36" s="4"/>
      <c r="K36" s="104"/>
      <c r="L36" s="134"/>
      <c r="M36" s="135"/>
      <c r="N36" s="104"/>
      <c r="O36" s="4">
        <v>72</v>
      </c>
      <c r="P36" s="104">
        <v>120</v>
      </c>
      <c r="Q36" s="4">
        <f>SUM(D36:P36)</f>
        <v>816</v>
      </c>
      <c r="T36" s="28"/>
      <c r="V36" s="13">
        <f>Q36-F30</f>
        <v>0</v>
      </c>
    </row>
    <row r="37" spans="1:22" ht="15.75" thickBot="1">
      <c r="A37" s="131"/>
      <c r="B37" s="132"/>
      <c r="C37" s="107" t="s">
        <v>29</v>
      </c>
      <c r="D37" s="107"/>
      <c r="E37" s="14">
        <v>1200</v>
      </c>
      <c r="F37" s="136">
        <v>1200</v>
      </c>
      <c r="G37" s="136"/>
      <c r="H37" s="14"/>
      <c r="I37" s="106"/>
      <c r="J37" s="14"/>
      <c r="K37" s="106"/>
      <c r="L37" s="137"/>
      <c r="M37" s="138"/>
      <c r="N37" s="106"/>
      <c r="O37" s="14">
        <v>168</v>
      </c>
      <c r="P37" s="106">
        <v>240</v>
      </c>
      <c r="Q37" s="16">
        <f t="shared" ref="Q37:Q46" si="3">SUM(D37:P37)</f>
        <v>2808</v>
      </c>
      <c r="T37" s="28"/>
      <c r="V37" s="13">
        <f>H30-Q37</f>
        <v>0</v>
      </c>
    </row>
    <row r="38" spans="1:22">
      <c r="A38" s="129" t="s">
        <v>41</v>
      </c>
      <c r="B38" s="130"/>
      <c r="C38" s="4" t="s">
        <v>30</v>
      </c>
      <c r="D38" s="4">
        <v>10050</v>
      </c>
      <c r="E38" s="4"/>
      <c r="F38" s="133">
        <v>690</v>
      </c>
      <c r="G38" s="133"/>
      <c r="H38" s="4"/>
      <c r="I38" s="104">
        <v>1650</v>
      </c>
      <c r="J38" s="4">
        <v>1200</v>
      </c>
      <c r="K38" s="104"/>
      <c r="L38" s="134"/>
      <c r="M38" s="135"/>
      <c r="N38" s="104"/>
      <c r="O38" s="4">
        <v>240</v>
      </c>
      <c r="P38" s="104">
        <v>300</v>
      </c>
      <c r="Q38" s="4">
        <f t="shared" si="3"/>
        <v>14130</v>
      </c>
      <c r="T38" s="28"/>
      <c r="V38" s="13">
        <f>I30-Q38</f>
        <v>0</v>
      </c>
    </row>
    <row r="39" spans="1:22">
      <c r="A39" s="144"/>
      <c r="B39" s="145"/>
      <c r="C39" s="5" t="s">
        <v>32</v>
      </c>
      <c r="D39" s="113"/>
      <c r="E39" s="5"/>
      <c r="F39" s="149"/>
      <c r="G39" s="149"/>
      <c r="H39" s="5"/>
      <c r="I39" s="112"/>
      <c r="J39" s="5"/>
      <c r="K39" s="112"/>
      <c r="L39" s="150"/>
      <c r="M39" s="151"/>
      <c r="N39" s="112"/>
      <c r="O39" s="5"/>
      <c r="P39" s="112"/>
      <c r="Q39" s="5">
        <f t="shared" si="3"/>
        <v>0</v>
      </c>
      <c r="T39" s="28"/>
      <c r="V39" s="13">
        <f>J30-Q39</f>
        <v>0</v>
      </c>
    </row>
    <row r="40" spans="1:22">
      <c r="A40" s="144"/>
      <c r="B40" s="145"/>
      <c r="C40" s="5" t="s">
        <v>43</v>
      </c>
      <c r="D40" s="113">
        <v>330</v>
      </c>
      <c r="E40" s="5">
        <v>220</v>
      </c>
      <c r="F40" s="149">
        <v>220</v>
      </c>
      <c r="G40" s="149"/>
      <c r="H40" s="5"/>
      <c r="I40" s="112"/>
      <c r="J40" s="5"/>
      <c r="K40" s="112"/>
      <c r="L40" s="150"/>
      <c r="M40" s="151"/>
      <c r="N40" s="112"/>
      <c r="O40" s="5"/>
      <c r="P40" s="112"/>
      <c r="Q40" s="5">
        <f t="shared" si="3"/>
        <v>770</v>
      </c>
      <c r="T40" s="28"/>
      <c r="V40" s="13">
        <f>K30-Q40</f>
        <v>0</v>
      </c>
    </row>
    <row r="41" spans="1:22" ht="15.75" thickBot="1">
      <c r="A41" s="131"/>
      <c r="B41" s="132"/>
      <c r="C41" s="65" t="s">
        <v>44</v>
      </c>
      <c r="D41" s="109"/>
      <c r="E41" s="15"/>
      <c r="F41" s="157">
        <v>110</v>
      </c>
      <c r="G41" s="157"/>
      <c r="H41" s="15"/>
      <c r="I41" s="108"/>
      <c r="J41" s="15"/>
      <c r="K41" s="108"/>
      <c r="L41" s="158"/>
      <c r="M41" s="159"/>
      <c r="N41" s="108"/>
      <c r="O41" s="15"/>
      <c r="P41" s="108">
        <v>110</v>
      </c>
      <c r="Q41" s="16">
        <f t="shared" si="3"/>
        <v>220</v>
      </c>
      <c r="T41" s="28"/>
      <c r="V41" s="13">
        <f>L30-Q41</f>
        <v>0</v>
      </c>
    </row>
    <row r="42" spans="1:22">
      <c r="A42" s="129" t="s">
        <v>40</v>
      </c>
      <c r="B42" s="130"/>
      <c r="C42" s="111" t="s">
        <v>28</v>
      </c>
      <c r="D42" s="111">
        <v>480</v>
      </c>
      <c r="E42" s="16">
        <v>480</v>
      </c>
      <c r="F42" s="146">
        <v>240</v>
      </c>
      <c r="G42" s="146"/>
      <c r="H42" s="16">
        <v>2160</v>
      </c>
      <c r="I42" s="110">
        <v>2040</v>
      </c>
      <c r="J42" s="16"/>
      <c r="K42" s="110"/>
      <c r="L42" s="147"/>
      <c r="M42" s="148"/>
      <c r="N42" s="110"/>
      <c r="O42" s="16"/>
      <c r="P42" s="110">
        <v>2880</v>
      </c>
      <c r="Q42" s="4">
        <f t="shared" si="3"/>
        <v>8280</v>
      </c>
      <c r="T42" s="28"/>
      <c r="V42" s="13">
        <f>N30-Q42</f>
        <v>0</v>
      </c>
    </row>
    <row r="43" spans="1:22">
      <c r="A43" s="144"/>
      <c r="B43" s="145"/>
      <c r="C43" s="113" t="s">
        <v>31</v>
      </c>
      <c r="D43" s="113">
        <v>360</v>
      </c>
      <c r="E43" s="5">
        <v>600</v>
      </c>
      <c r="F43" s="149"/>
      <c r="G43" s="149"/>
      <c r="H43" s="5">
        <v>480</v>
      </c>
      <c r="I43" s="112">
        <v>240</v>
      </c>
      <c r="J43" s="5">
        <v>120</v>
      </c>
      <c r="K43" s="112"/>
      <c r="L43" s="150"/>
      <c r="M43" s="151"/>
      <c r="N43" s="112"/>
      <c r="O43" s="5"/>
      <c r="P43" s="112">
        <v>1680</v>
      </c>
      <c r="Q43" s="5">
        <f t="shared" si="3"/>
        <v>3480</v>
      </c>
      <c r="T43" s="28"/>
      <c r="V43" s="13">
        <f>O30-Q43</f>
        <v>0</v>
      </c>
    </row>
    <row r="44" spans="1:22" ht="15.75" thickBot="1">
      <c r="A44" s="131"/>
      <c r="B44" s="132"/>
      <c r="C44" s="65" t="s">
        <v>29</v>
      </c>
      <c r="D44" s="107">
        <v>1800</v>
      </c>
      <c r="E44" s="14">
        <v>5400</v>
      </c>
      <c r="F44" s="136">
        <v>4200</v>
      </c>
      <c r="G44" s="136"/>
      <c r="H44" s="14">
        <v>2280</v>
      </c>
      <c r="I44" s="106">
        <v>8400</v>
      </c>
      <c r="J44" s="14">
        <v>3960</v>
      </c>
      <c r="K44" s="106"/>
      <c r="L44" s="137"/>
      <c r="M44" s="138"/>
      <c r="N44" s="106"/>
      <c r="O44" s="14">
        <v>168</v>
      </c>
      <c r="P44" s="106">
        <v>4800</v>
      </c>
      <c r="Q44" s="16">
        <f t="shared" si="3"/>
        <v>31008</v>
      </c>
      <c r="T44" s="28"/>
      <c r="V44" s="13">
        <f>P30-Q44</f>
        <v>0</v>
      </c>
    </row>
    <row r="45" spans="1:22">
      <c r="A45" s="129" t="s">
        <v>42</v>
      </c>
      <c r="B45" s="130"/>
      <c r="C45" s="105" t="s">
        <v>31</v>
      </c>
      <c r="D45" s="105">
        <v>2100</v>
      </c>
      <c r="E45" s="4"/>
      <c r="F45" s="133">
        <v>360</v>
      </c>
      <c r="G45" s="133"/>
      <c r="H45" s="4"/>
      <c r="I45" s="104"/>
      <c r="J45" s="4"/>
      <c r="K45" s="104"/>
      <c r="L45" s="134"/>
      <c r="M45" s="135"/>
      <c r="N45" s="104"/>
      <c r="O45" s="4">
        <v>180</v>
      </c>
      <c r="P45" s="104">
        <v>120</v>
      </c>
      <c r="Q45" s="4">
        <f t="shared" si="3"/>
        <v>2760</v>
      </c>
      <c r="T45" s="28"/>
      <c r="V45" s="13">
        <f>Q30-Q45</f>
        <v>0</v>
      </c>
    </row>
    <row r="46" spans="1:22" ht="15.75" thickBot="1">
      <c r="A46" s="131"/>
      <c r="B46" s="132"/>
      <c r="C46" s="65" t="s">
        <v>29</v>
      </c>
      <c r="D46" s="15">
        <v>2412</v>
      </c>
      <c r="E46" s="15"/>
      <c r="F46" s="157"/>
      <c r="G46" s="157"/>
      <c r="H46" s="15"/>
      <c r="I46" s="108">
        <v>720</v>
      </c>
      <c r="J46" s="15"/>
      <c r="K46" s="108"/>
      <c r="L46" s="158"/>
      <c r="M46" s="159"/>
      <c r="N46" s="108"/>
      <c r="O46" s="15"/>
      <c r="P46" s="108"/>
      <c r="Q46" s="16">
        <f t="shared" si="3"/>
        <v>3132</v>
      </c>
      <c r="T46" s="28"/>
      <c r="V46" s="13">
        <f>R30-Q46</f>
        <v>0</v>
      </c>
    </row>
    <row r="47" spans="1:22" ht="15.75" thickBot="1">
      <c r="A47" s="160" t="s">
        <v>37</v>
      </c>
      <c r="B47" s="161"/>
      <c r="C47" s="161"/>
      <c r="D47" s="23">
        <f>SUM(D36:D46)</f>
        <v>17532</v>
      </c>
      <c r="E47" s="23">
        <f t="shared" ref="E47" si="4">SUM(E36:E46)</f>
        <v>8500</v>
      </c>
      <c r="F47" s="162">
        <f>SUM(F36:G46)</f>
        <v>7044</v>
      </c>
      <c r="G47" s="163"/>
      <c r="H47" s="23">
        <f>SUM(H36:H46)</f>
        <v>4920</v>
      </c>
      <c r="I47" s="23">
        <f>SUM(I36:I46)</f>
        <v>13050</v>
      </c>
      <c r="J47" s="23">
        <f>SUM(J36:J46)</f>
        <v>5280</v>
      </c>
      <c r="K47" s="23">
        <f>SUM(K36:K46)</f>
        <v>0</v>
      </c>
      <c r="L47" s="162">
        <f>SUM(L36:M46)</f>
        <v>0</v>
      </c>
      <c r="M47" s="163"/>
      <c r="N47" s="23">
        <f>SUM(N36:N46)</f>
        <v>0</v>
      </c>
      <c r="O47" s="23">
        <f>SUM(O36:O46)</f>
        <v>828</v>
      </c>
      <c r="P47" s="23">
        <f>SUM(P36:P46)</f>
        <v>10250</v>
      </c>
      <c r="Q47" s="24">
        <f>SUM(Q36:Q46)</f>
        <v>67404</v>
      </c>
      <c r="R47" s="12"/>
      <c r="S47" s="1"/>
      <c r="T47" s="28"/>
      <c r="V47" s="13">
        <f>S30-Q47</f>
        <v>0</v>
      </c>
    </row>
    <row r="48" spans="1:22" ht="15.75" thickBot="1">
      <c r="A48" s="139" t="s">
        <v>36</v>
      </c>
      <c r="B48" s="140"/>
      <c r="C48" s="140"/>
      <c r="D48" s="141">
        <f>D47+E47+F47+H47+I47+J47+K47+L47+N47+O47+P47</f>
        <v>67404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3"/>
      <c r="T48" s="28"/>
      <c r="V48" s="13"/>
    </row>
    <row r="49" spans="1:22" s="20" customFormat="1" ht="15" customHeight="1" thickBot="1">
      <c r="A49" s="152" t="s">
        <v>26</v>
      </c>
      <c r="B49" s="153"/>
      <c r="C49" s="153"/>
      <c r="D49" s="22">
        <v>5673617</v>
      </c>
      <c r="E49" s="22">
        <v>2670081</v>
      </c>
      <c r="F49" s="154">
        <v>2226736</v>
      </c>
      <c r="G49" s="155"/>
      <c r="H49" s="22">
        <v>1560338</v>
      </c>
      <c r="I49" s="26">
        <v>4197122</v>
      </c>
      <c r="J49" s="22">
        <v>1671937</v>
      </c>
      <c r="K49" s="22"/>
      <c r="L49" s="156"/>
      <c r="M49" s="155"/>
      <c r="N49" s="26"/>
      <c r="O49" s="22">
        <v>283020</v>
      </c>
      <c r="P49" s="26">
        <v>3266760</v>
      </c>
      <c r="Q49" s="100">
        <v>21549611</v>
      </c>
      <c r="R49" s="19"/>
      <c r="S49" s="19"/>
      <c r="T49" s="29"/>
      <c r="V49" s="21">
        <f>T30-Q49</f>
        <v>0</v>
      </c>
    </row>
    <row r="50" spans="1:22">
      <c r="T50" s="28"/>
      <c r="V50" s="13"/>
    </row>
  </sheetData>
  <mergeCells count="142">
    <mergeCell ref="T2:T3"/>
    <mergeCell ref="F3:G3"/>
    <mergeCell ref="L3:M3"/>
    <mergeCell ref="C4:D4"/>
    <mergeCell ref="F4:G4"/>
    <mergeCell ref="L4:M4"/>
    <mergeCell ref="A1:T1"/>
    <mergeCell ref="A2:A3"/>
    <mergeCell ref="B2:B3"/>
    <mergeCell ref="C2:D3"/>
    <mergeCell ref="E2:E3"/>
    <mergeCell ref="F2:H2"/>
    <mergeCell ref="I2:M2"/>
    <mergeCell ref="N2:P2"/>
    <mergeCell ref="Q2:R2"/>
    <mergeCell ref="S2:S3"/>
    <mergeCell ref="C6:D6"/>
    <mergeCell ref="F6:G6"/>
    <mergeCell ref="L6:M6"/>
    <mergeCell ref="C7:D7"/>
    <mergeCell ref="F7:G7"/>
    <mergeCell ref="L7:M7"/>
    <mergeCell ref="C5:D5"/>
    <mergeCell ref="F5:G5"/>
    <mergeCell ref="L5:M5"/>
    <mergeCell ref="C10:D10"/>
    <mergeCell ref="F10:G10"/>
    <mergeCell ref="L10:M10"/>
    <mergeCell ref="C11:D11"/>
    <mergeCell ref="F11:G11"/>
    <mergeCell ref="L11:M11"/>
    <mergeCell ref="C8:D8"/>
    <mergeCell ref="F8:G8"/>
    <mergeCell ref="L8:M8"/>
    <mergeCell ref="C9:D9"/>
    <mergeCell ref="F9:G9"/>
    <mergeCell ref="L9:M9"/>
    <mergeCell ref="C14:D14"/>
    <mergeCell ref="F14:G14"/>
    <mergeCell ref="L14:M14"/>
    <mergeCell ref="C15:D15"/>
    <mergeCell ref="F15:G15"/>
    <mergeCell ref="L15:M15"/>
    <mergeCell ref="C12:D12"/>
    <mergeCell ref="F12:G12"/>
    <mergeCell ref="L12:M12"/>
    <mergeCell ref="C13:D13"/>
    <mergeCell ref="F13:G13"/>
    <mergeCell ref="L13:M13"/>
    <mergeCell ref="C18:D18"/>
    <mergeCell ref="F18:G18"/>
    <mergeCell ref="L18:M18"/>
    <mergeCell ref="C19:D19"/>
    <mergeCell ref="F19:G19"/>
    <mergeCell ref="L19:M19"/>
    <mergeCell ref="C16:D16"/>
    <mergeCell ref="F16:G16"/>
    <mergeCell ref="L16:M16"/>
    <mergeCell ref="C17:D17"/>
    <mergeCell ref="F17:G17"/>
    <mergeCell ref="L17:M17"/>
    <mergeCell ref="C22:D22"/>
    <mergeCell ref="F22:G22"/>
    <mergeCell ref="L22:M22"/>
    <mergeCell ref="C23:D23"/>
    <mergeCell ref="F23:G23"/>
    <mergeCell ref="L23:M23"/>
    <mergeCell ref="C20:D20"/>
    <mergeCell ref="F20:G20"/>
    <mergeCell ref="L20:M20"/>
    <mergeCell ref="C21:D21"/>
    <mergeCell ref="F21:G21"/>
    <mergeCell ref="L21:M21"/>
    <mergeCell ref="C26:D26"/>
    <mergeCell ref="F26:G26"/>
    <mergeCell ref="L26:M26"/>
    <mergeCell ref="C27:D27"/>
    <mergeCell ref="F27:G27"/>
    <mergeCell ref="L27:M27"/>
    <mergeCell ref="C24:D24"/>
    <mergeCell ref="F24:G24"/>
    <mergeCell ref="L24:M24"/>
    <mergeCell ref="C25:D25"/>
    <mergeCell ref="F25:G25"/>
    <mergeCell ref="L25:M25"/>
    <mergeCell ref="C28:D28"/>
    <mergeCell ref="F28:G28"/>
    <mergeCell ref="L28:M28"/>
    <mergeCell ref="C29:D29"/>
    <mergeCell ref="F29:G29"/>
    <mergeCell ref="L29:M29"/>
    <mergeCell ref="A30:C30"/>
    <mergeCell ref="F30:G30"/>
    <mergeCell ref="L30:M30"/>
    <mergeCell ref="A31:C31"/>
    <mergeCell ref="F31:G31"/>
    <mergeCell ref="L31:M31"/>
    <mergeCell ref="A33:Q33"/>
    <mergeCell ref="A34:B35"/>
    <mergeCell ref="C34:C35"/>
    <mergeCell ref="D34:D35"/>
    <mergeCell ref="E34:E35"/>
    <mergeCell ref="F34:G35"/>
    <mergeCell ref="H34:J34"/>
    <mergeCell ref="K34:O34"/>
    <mergeCell ref="P34:P35"/>
    <mergeCell ref="Q34:Q35"/>
    <mergeCell ref="L35:M35"/>
    <mergeCell ref="A36:B37"/>
    <mergeCell ref="F36:G36"/>
    <mergeCell ref="L36:M36"/>
    <mergeCell ref="F37:G37"/>
    <mergeCell ref="L37:M37"/>
    <mergeCell ref="A42:B44"/>
    <mergeCell ref="F42:G42"/>
    <mergeCell ref="L42:M42"/>
    <mergeCell ref="F43:G43"/>
    <mergeCell ref="L43:M43"/>
    <mergeCell ref="F44:G44"/>
    <mergeCell ref="L44:M44"/>
    <mergeCell ref="A38:B41"/>
    <mergeCell ref="F38:G38"/>
    <mergeCell ref="L38:M38"/>
    <mergeCell ref="F39:G39"/>
    <mergeCell ref="L39:M39"/>
    <mergeCell ref="F40:G40"/>
    <mergeCell ref="L40:M40"/>
    <mergeCell ref="F41:G41"/>
    <mergeCell ref="L41:M41"/>
    <mergeCell ref="A48:C48"/>
    <mergeCell ref="D48:Q48"/>
    <mergeCell ref="A49:C49"/>
    <mergeCell ref="F49:G49"/>
    <mergeCell ref="L49:M49"/>
    <mergeCell ref="A45:B46"/>
    <mergeCell ref="F45:G45"/>
    <mergeCell ref="L45:M45"/>
    <mergeCell ref="F46:G46"/>
    <mergeCell ref="L46:M46"/>
    <mergeCell ref="A47:C47"/>
    <mergeCell ref="F47:G47"/>
    <mergeCell ref="L47:M47"/>
  </mergeCells>
  <pageMargins left="0.16" right="0.16" top="0.34" bottom="0.16" header="0.23" footer="0.16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2021-22</vt:lpstr>
      <vt:lpstr>May 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sarowar</dc:creator>
  <cp:lastModifiedBy>pataka</cp:lastModifiedBy>
  <cp:lastPrinted>2021-05-19T06:36:28Z</cp:lastPrinted>
  <dcterms:created xsi:type="dcterms:W3CDTF">2013-12-03T07:14:02Z</dcterms:created>
  <dcterms:modified xsi:type="dcterms:W3CDTF">2021-06-01T05:03:05Z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e25c3fe3-5dc6-4651-8a65-715d8b50f7f6</vt:lpwstr>
  </property>
</Properties>
</file>