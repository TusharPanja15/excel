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firstSheet="1" activeTab="6"/>
  </bookViews>
  <sheets>
    <sheet name="April 2021-22" sheetId="68" r:id="rId1"/>
    <sheet name="May 2021" sheetId="69" r:id="rId2"/>
    <sheet name="June 2021" sheetId="70" r:id="rId3"/>
    <sheet name="July 2021" sheetId="71" r:id="rId4"/>
    <sheet name="August 2021" sheetId="72" r:id="rId5"/>
    <sheet name="September 2021" sheetId="73" r:id="rId6"/>
    <sheet name="October 2021" sheetId="75" r:id="rId7"/>
  </sheets>
  <definedNames>
    <definedName name="_xlnm._FilterDatabase" localSheetId="0" hidden="1">'April 2021-22'!$A$2:$X$3</definedName>
    <definedName name="_xlnm._FilterDatabase" localSheetId="4" hidden="1">'August 2021'!$A$4:$X$53</definedName>
    <definedName name="_xlnm._FilterDatabase" localSheetId="3" hidden="1">'July 2021'!$A$4:$X$61</definedName>
    <definedName name="_xlnm._FilterDatabase" localSheetId="2" hidden="1">'June 2021'!$A$2:$X$47</definedName>
    <definedName name="_xlnm._FilterDatabase" localSheetId="1" hidden="1">'May 2021'!$A$4:$X$4</definedName>
    <definedName name="_xlnm._FilterDatabase" localSheetId="6" hidden="1">'October 2021'!$A$2:$X$53</definedName>
    <definedName name="_xlnm._FilterDatabase" localSheetId="5" hidden="1">'September 2021'!$A$2:$X$53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1" i="73"/>
  <c r="P70" i="75"/>
  <c r="O70"/>
  <c r="N70"/>
  <c r="L70"/>
  <c r="K70"/>
  <c r="J70"/>
  <c r="I70"/>
  <c r="H70"/>
  <c r="F70"/>
  <c r="E70"/>
  <c r="D70"/>
  <c r="Q69"/>
  <c r="Q68"/>
  <c r="Q67"/>
  <c r="Q66"/>
  <c r="Q65"/>
  <c r="Q64"/>
  <c r="Q63"/>
  <c r="Q62"/>
  <c r="Q61"/>
  <c r="Q60"/>
  <c r="Q59"/>
  <c r="S37"/>
  <c r="S51"/>
  <c r="S50"/>
  <c r="S49"/>
  <c r="S48"/>
  <c r="S47"/>
  <c r="S46"/>
  <c r="S45"/>
  <c r="S44"/>
  <c r="S43"/>
  <c r="S42"/>
  <c r="S41"/>
  <c r="S40"/>
  <c r="S39"/>
  <c r="S38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W49" i="73"/>
  <c r="S4" i="75"/>
  <c r="T52"/>
  <c r="T53" s="1"/>
  <c r="R52"/>
  <c r="R53" s="1"/>
  <c r="Q52"/>
  <c r="Q53" s="1"/>
  <c r="P52"/>
  <c r="P53" s="1"/>
  <c r="O52"/>
  <c r="O53" s="1"/>
  <c r="N52"/>
  <c r="L52"/>
  <c r="K52"/>
  <c r="K53" s="1"/>
  <c r="J52"/>
  <c r="J53" s="1"/>
  <c r="I52"/>
  <c r="H52"/>
  <c r="F52"/>
  <c r="F53" s="1"/>
  <c r="J67" i="73"/>
  <c r="J70" s="1"/>
  <c r="S51"/>
  <c r="S50"/>
  <c r="S49"/>
  <c r="S48"/>
  <c r="S47"/>
  <c r="S46"/>
  <c r="S45"/>
  <c r="S44"/>
  <c r="S43"/>
  <c r="S42"/>
  <c r="S41"/>
  <c r="S40"/>
  <c r="S39"/>
  <c r="S38"/>
  <c r="S36"/>
  <c r="S35"/>
  <c r="S34"/>
  <c r="F52"/>
  <c r="F53" s="1"/>
  <c r="H52"/>
  <c r="H53" s="1"/>
  <c r="I52"/>
  <c r="I53" s="1"/>
  <c r="J52"/>
  <c r="J53" s="1"/>
  <c r="K52"/>
  <c r="K53" s="1"/>
  <c r="L52"/>
  <c r="L53" s="1"/>
  <c r="N52"/>
  <c r="N53" s="1"/>
  <c r="O52"/>
  <c r="O53" s="1"/>
  <c r="P52"/>
  <c r="P53" s="1"/>
  <c r="Q52"/>
  <c r="Q53" s="1"/>
  <c r="R52"/>
  <c r="R53" s="1"/>
  <c r="T52"/>
  <c r="T53" s="1"/>
  <c r="Q67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5"/>
  <c r="O70"/>
  <c r="E70"/>
  <c r="D70"/>
  <c r="H70"/>
  <c r="I70"/>
  <c r="K70"/>
  <c r="L70"/>
  <c r="N70"/>
  <c r="P70"/>
  <c r="Q72"/>
  <c r="Q69"/>
  <c r="Q68"/>
  <c r="Q66"/>
  <c r="Q65"/>
  <c r="Q64"/>
  <c r="Q63"/>
  <c r="Q62"/>
  <c r="Q61"/>
  <c r="S4"/>
  <c r="F71" i="72"/>
  <c r="F62"/>
  <c r="F59"/>
  <c r="E66"/>
  <c r="E64"/>
  <c r="P66"/>
  <c r="I71"/>
  <c r="J71"/>
  <c r="H71"/>
  <c r="Q70" i="75" l="1"/>
  <c r="D71"/>
  <c r="V61"/>
  <c r="V65"/>
  <c r="V60"/>
  <c r="V64"/>
  <c r="S52"/>
  <c r="V68"/>
  <c r="L53"/>
  <c r="V59"/>
  <c r="H53"/>
  <c r="V62"/>
  <c r="V66"/>
  <c r="V69"/>
  <c r="V72"/>
  <c r="I53"/>
  <c r="N53"/>
  <c r="V63"/>
  <c r="S52" i="73"/>
  <c r="S53" s="1"/>
  <c r="F70"/>
  <c r="Q60"/>
  <c r="V60" s="1"/>
  <c r="V69"/>
  <c r="V72"/>
  <c r="V67"/>
  <c r="V62"/>
  <c r="V63"/>
  <c r="V65"/>
  <c r="V66"/>
  <c r="V61"/>
  <c r="V64"/>
  <c r="Q59"/>
  <c r="V68"/>
  <c r="T52" i="72"/>
  <c r="R52"/>
  <c r="Q52"/>
  <c r="P52"/>
  <c r="O52"/>
  <c r="N52"/>
  <c r="L52"/>
  <c r="K52"/>
  <c r="J52"/>
  <c r="I52"/>
  <c r="H52"/>
  <c r="F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O58"/>
  <c r="V70" i="75" l="1"/>
  <c r="S53"/>
  <c r="V67"/>
  <c r="V59" i="73"/>
  <c r="Q70"/>
  <c r="V70" s="1"/>
  <c r="Q66" i="72"/>
  <c r="Q59"/>
  <c r="Q71"/>
  <c r="N69"/>
  <c r="L69"/>
  <c r="K69"/>
  <c r="H69"/>
  <c r="Q68"/>
  <c r="Q67"/>
  <c r="Q65"/>
  <c r="P69"/>
  <c r="Q64"/>
  <c r="Q63"/>
  <c r="Q62"/>
  <c r="Q61"/>
  <c r="J69"/>
  <c r="I69"/>
  <c r="Q60"/>
  <c r="F69"/>
  <c r="Q58"/>
  <c r="T53"/>
  <c r="Q53"/>
  <c r="P53"/>
  <c r="O53"/>
  <c r="N53"/>
  <c r="L53"/>
  <c r="I53"/>
  <c r="H53"/>
  <c r="F5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J54" i="68"/>
  <c r="I60" i="71"/>
  <c r="H60"/>
  <c r="O91"/>
  <c r="O90"/>
  <c r="O84"/>
  <c r="O83"/>
  <c r="F95"/>
  <c r="F91"/>
  <c r="F90"/>
  <c r="F86"/>
  <c r="F83"/>
  <c r="D95"/>
  <c r="D91"/>
  <c r="D90"/>
  <c r="D89"/>
  <c r="D88"/>
  <c r="D86"/>
  <c r="D84"/>
  <c r="E95"/>
  <c r="E90"/>
  <c r="E89"/>
  <c r="E88"/>
  <c r="E84"/>
  <c r="E83"/>
  <c r="P95"/>
  <c r="P91"/>
  <c r="P90"/>
  <c r="P89"/>
  <c r="P88"/>
  <c r="I95"/>
  <c r="I90"/>
  <c r="I88"/>
  <c r="I84"/>
  <c r="J84"/>
  <c r="J95"/>
  <c r="J90"/>
  <c r="S52" i="72" l="1"/>
  <c r="S53" s="1"/>
  <c r="V62"/>
  <c r="V61"/>
  <c r="J53"/>
  <c r="V68"/>
  <c r="V64"/>
  <c r="V65"/>
  <c r="K53"/>
  <c r="V60"/>
  <c r="V66"/>
  <c r="V71"/>
  <c r="Q69"/>
  <c r="V58"/>
  <c r="V59"/>
  <c r="V67"/>
  <c r="E69"/>
  <c r="O69"/>
  <c r="D69"/>
  <c r="R53"/>
  <c r="V63"/>
  <c r="S59" i="71"/>
  <c r="S58"/>
  <c r="S57"/>
  <c r="S56"/>
  <c r="S55"/>
  <c r="S54"/>
  <c r="S53"/>
  <c r="S52"/>
  <c r="S51"/>
  <c r="S50"/>
  <c r="S49"/>
  <c r="S48"/>
  <c r="S47"/>
  <c r="S46"/>
  <c r="S45"/>
  <c r="T60"/>
  <c r="R60"/>
  <c r="Q60"/>
  <c r="P60"/>
  <c r="O60"/>
  <c r="N60"/>
  <c r="L60"/>
  <c r="K60"/>
  <c r="J60"/>
  <c r="F60"/>
  <c r="W19"/>
  <c r="W21" s="1"/>
  <c r="S44"/>
  <c r="S43"/>
  <c r="S42"/>
  <c r="S41"/>
  <c r="S40"/>
  <c r="S39"/>
  <c r="S38"/>
  <c r="S37"/>
  <c r="S36"/>
  <c r="S35"/>
  <c r="S34"/>
  <c r="S33"/>
  <c r="S32"/>
  <c r="S31"/>
  <c r="O87"/>
  <c r="O86"/>
  <c r="O85"/>
  <c r="O82"/>
  <c r="D70" i="72" l="1"/>
  <c r="V69"/>
  <c r="S23" i="71"/>
  <c r="Q95"/>
  <c r="O93"/>
  <c r="N93"/>
  <c r="L93"/>
  <c r="K93"/>
  <c r="J93"/>
  <c r="I93"/>
  <c r="Q92"/>
  <c r="Q88"/>
  <c r="Q87"/>
  <c r="Q86"/>
  <c r="Q85"/>
  <c r="F93"/>
  <c r="Q83"/>
  <c r="Q82"/>
  <c r="T61"/>
  <c r="Q61"/>
  <c r="O61"/>
  <c r="L61"/>
  <c r="K61"/>
  <c r="J61"/>
  <c r="H61"/>
  <c r="F61"/>
  <c r="S30"/>
  <c r="S29"/>
  <c r="S28"/>
  <c r="S27"/>
  <c r="S26"/>
  <c r="S25"/>
  <c r="S24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P65" i="70"/>
  <c r="P60"/>
  <c r="P58"/>
  <c r="F65"/>
  <c r="F61"/>
  <c r="F60"/>
  <c r="F56"/>
  <c r="F54"/>
  <c r="J60"/>
  <c r="J54"/>
  <c r="H60"/>
  <c r="H59"/>
  <c r="H58"/>
  <c r="H54"/>
  <c r="P61"/>
  <c r="P59"/>
  <c r="P54"/>
  <c r="F59"/>
  <c r="F58"/>
  <c r="F57"/>
  <c r="E61"/>
  <c r="E60"/>
  <c r="E59"/>
  <c r="E58"/>
  <c r="E56"/>
  <c r="E54"/>
  <c r="E53"/>
  <c r="D62"/>
  <c r="S45"/>
  <c r="S44"/>
  <c r="S43"/>
  <c r="S42"/>
  <c r="S41"/>
  <c r="S40"/>
  <c r="S39"/>
  <c r="S38"/>
  <c r="S37"/>
  <c r="S36"/>
  <c r="S35"/>
  <c r="S34"/>
  <c r="S33"/>
  <c r="S32"/>
  <c r="S31"/>
  <c r="S30"/>
  <c r="S29"/>
  <c r="S60" i="71" l="1"/>
  <c r="V88"/>
  <c r="V92"/>
  <c r="Q84"/>
  <c r="V84" s="1"/>
  <c r="P93"/>
  <c r="Q91"/>
  <c r="V91" s="1"/>
  <c r="Q89"/>
  <c r="V89" s="1"/>
  <c r="Q90"/>
  <c r="V90" s="1"/>
  <c r="H93"/>
  <c r="V87"/>
  <c r="V86"/>
  <c r="V82"/>
  <c r="I61"/>
  <c r="R61"/>
  <c r="V83"/>
  <c r="N61"/>
  <c r="V95"/>
  <c r="V85"/>
  <c r="E93"/>
  <c r="D93"/>
  <c r="P61"/>
  <c r="Q65" i="70"/>
  <c r="S28"/>
  <c r="P63"/>
  <c r="O63"/>
  <c r="N63"/>
  <c r="L63"/>
  <c r="K63"/>
  <c r="J63"/>
  <c r="I63"/>
  <c r="H63"/>
  <c r="F63"/>
  <c r="E63"/>
  <c r="D63"/>
  <c r="Q62"/>
  <c r="Q61"/>
  <c r="Q60"/>
  <c r="Q59"/>
  <c r="Q58"/>
  <c r="Q57"/>
  <c r="Q56"/>
  <c r="Q55"/>
  <c r="Q54"/>
  <c r="Q53"/>
  <c r="Q52"/>
  <c r="T46"/>
  <c r="R46"/>
  <c r="V62" s="1"/>
  <c r="Q46"/>
  <c r="Q47" s="1"/>
  <c r="P46"/>
  <c r="P47" s="1"/>
  <c r="O46"/>
  <c r="N46"/>
  <c r="L46"/>
  <c r="L47" s="1"/>
  <c r="K46"/>
  <c r="K47" s="1"/>
  <c r="J46"/>
  <c r="I46"/>
  <c r="I47" s="1"/>
  <c r="H46"/>
  <c r="H47" s="1"/>
  <c r="F46"/>
  <c r="F47" s="1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93" i="71" l="1"/>
  <c r="V93" s="1"/>
  <c r="S61"/>
  <c r="D94"/>
  <c r="V65" i="70"/>
  <c r="V59"/>
  <c r="V55"/>
  <c r="V58"/>
  <c r="S46"/>
  <c r="V56"/>
  <c r="Q63"/>
  <c r="D64"/>
  <c r="R47"/>
  <c r="V54"/>
  <c r="V52"/>
  <c r="V60"/>
  <c r="N47"/>
  <c r="J47"/>
  <c r="O47"/>
  <c r="T47"/>
  <c r="V53"/>
  <c r="V57"/>
  <c r="V61"/>
  <c r="V37" i="69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63" i="70" l="1"/>
  <c r="S47"/>
  <c r="V46" i="69"/>
  <c r="V73" i="68"/>
</calcChain>
</file>

<file path=xl/sharedStrings.xml><?xml version="1.0" encoding="utf-8"?>
<sst xmlns="http://schemas.openxmlformats.org/spreadsheetml/2006/main" count="1280" uniqueCount="416">
  <si>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</si>
  <si>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</si>
  <si>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</si>
  <si>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</si>
  <si>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</si>
  <si>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</si>
  <si>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</si>
  <si>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</si>
  <si>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</si>
  <si>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</si>
  <si>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</si>
  <si>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</si>
  <si>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</si>
  <si>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</si>
  <si>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</si>
  <si>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</si>
  <si>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</si>
  <si>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</si>
  <si>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</si>
  <si>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</si>
  <si>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</si>
  <si>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</si>
  <si>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</si>
  <si>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</si>
  <si>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</si>
  <si>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</si>
  <si>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</si>
  <si>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</si>
  <si>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</si>
  <si>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</si>
  <si>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</si>
  <si>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</si>
  <si>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</si>
  <si>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</si>
  <si>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</si>
  <si>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</si>
  <si>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</si>
  <si>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</si>
  <si>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</si>
  <si>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</si>
  <si>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</si>
  <si>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</si>
  <si>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</si>
  <si>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</si>
  <si>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</si>
  <si>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</si>
  <si>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</si>
  <si>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</si>
  <si>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</si>
  <si>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</si>
  <si>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</si>
  <si>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</si>
  <si>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</si>
  <si>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</si>
  <si>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</si>
  <si>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</si>
  <si>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</si>
  <si>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</si>
  <si>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</si>
  <si>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</si>
  <si>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</si>
  <si>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</si>
  <si>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</si>
  <si>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</si>
  <si>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</si>
  <si>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</si>
  <si>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</si>
  <si>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</si>
  <si>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</si>
  <si>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</si>
  <si>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</si>
  <si>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</si>
  <si>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</si>
  <si>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</si>
  <si>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</si>
  <si>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</si>
  <si>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</si>
  <si>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</si>
  <si>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</si>
  <si>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</si>
  <si>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</si>
  <si>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</si>
  <si>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</si>
  <si>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</si>
  <si>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</si>
  <si>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</si>
  <si>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</si>
  <si>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</si>
  <si>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</si>
  <si>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</si>
  <si>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</si>
  <si>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</si>
  <si>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</si>
  <si>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</si>
  <si>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</si>
  <si>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</si>
  <si>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</si>
  <si>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</si>
  <si>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</si>
  <si>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</si>
  <si>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</si>
  <si>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</si>
  <si>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</si>
  <si>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</si>
  <si>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</si>
  <si>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</si>
  <si>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</si>
  <si>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</si>
  <si>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</si>
  <si>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</si>
  <si>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</si>
  <si>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</si>
  <si>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</si>
  <si>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</si>
  <si>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</si>
  <si>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</si>
  <si>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</si>
  <si>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</si>
  <si>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</si>
  <si>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</si>
  <si>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</si>
  <si>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</si>
  <si>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</si>
  <si>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</si>
  <si>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</si>
  <si>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</si>
  <si>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</si>
  <si>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</si>
  <si>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</si>
  <si>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</si>
  <si>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</si>
  <si>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</si>
  <si>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</si>
  <si>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</si>
  <si>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</si>
  <si>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</si>
  <si>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</si>
  <si>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</si>
  <si>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</si>
  <si>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</si>
  <si>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</si>
  <si>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</si>
  <si>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</si>
  <si>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</si>
  <si>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</si>
  <si>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</si>
  <si>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</si>
  <si>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</si>
  <si>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</si>
  <si>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</si>
  <si>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</si>
  <si>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</si>
  <si>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</si>
  <si>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</si>
  <si>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</si>
  <si>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</si>
  <si>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</si>
  <si>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</si>
  <si>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</si>
  <si>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</si>
  <si>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</si>
  <si>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</si>
  <si>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</si>
  <si>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</si>
  <si>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</si>
  <si>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</si>
  <si>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</si>
  <si>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</si>
  <si>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</si>
  <si>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</si>
  <si>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</si>
  <si>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</si>
  <si>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</si>
  <si>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</si>
  <si>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</si>
  <si>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</si>
  <si>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</si>
  <si>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</si>
  <si>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</si>
  <si>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</si>
  <si>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</si>
  <si>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</si>
  <si>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</si>
  <si>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</si>
  <si>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</si>
  <si>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</si>
  <si>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</si>
  <si>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</si>
  <si>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</si>
  <si>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</si>
  <si>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</si>
  <si>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</si>
  <si>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</si>
  <si>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</si>
  <si>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</si>
  <si>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</si>
  <si>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</si>
  <si>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</si>
  <si>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</si>
  <si>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</si>
  <si>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</si>
  <si>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</si>
  <si>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</si>
  <si>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</si>
  <si>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</si>
  <si>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16.06.2021</t>
  </si>
  <si>
    <t>SALE BILL REPORT FOR THE MONTH OF JUNE 01.06.2021 TO 30.06.2021</t>
  </si>
  <si>
    <t>22.06.2021</t>
  </si>
  <si>
    <t>23.06.2021</t>
  </si>
  <si>
    <t>24.06.2021</t>
  </si>
  <si>
    <t>25.06.2021</t>
  </si>
  <si>
    <t>21.06.2021</t>
  </si>
  <si>
    <t>DESTINETION WISE DESPATCHED REPOTR FOR THE MONTH OF JUNE 01.06.2021 TO 30.06.2021</t>
  </si>
  <si>
    <t>26.06.2021</t>
  </si>
  <si>
    <t>Dham Dass Man Dass</t>
  </si>
  <si>
    <t>Saharanpur</t>
  </si>
  <si>
    <t>28.06.2021</t>
  </si>
  <si>
    <t>29.06.2021</t>
  </si>
  <si>
    <t>30.06.2021</t>
  </si>
  <si>
    <t>Maha Laxmi Agency</t>
  </si>
  <si>
    <t>Gajrolla</t>
  </si>
  <si>
    <t>Meerut</t>
  </si>
  <si>
    <t>01.07.2021</t>
  </si>
  <si>
    <t>Mittal trading co.</t>
  </si>
  <si>
    <t>Laxman general store</t>
  </si>
  <si>
    <t>02.07.2021</t>
  </si>
  <si>
    <t xml:space="preserve">Gupta general merchant </t>
  </si>
  <si>
    <t xml:space="preserve">Vision </t>
  </si>
  <si>
    <t>Amar traders</t>
  </si>
  <si>
    <t>Nayaganj</t>
  </si>
  <si>
    <t>05.07.2021</t>
  </si>
  <si>
    <t>Ridhima enterprises</t>
  </si>
  <si>
    <t>Govind marchent</t>
  </si>
  <si>
    <t>06.07.2021</t>
  </si>
  <si>
    <t>Lal chand bachu mal</t>
  </si>
  <si>
    <t>Pataka industries pvt.ltd.</t>
  </si>
  <si>
    <t>07.07.2021</t>
  </si>
  <si>
    <t xml:space="preserve">Agrasen trading company </t>
  </si>
  <si>
    <t>08.07.2021</t>
  </si>
  <si>
    <t>Shri Jagdamba trading co.</t>
  </si>
  <si>
    <t>G.D.Agencies</t>
  </si>
  <si>
    <t>09.07.2021</t>
  </si>
  <si>
    <t>Gaba agencies</t>
  </si>
  <si>
    <t>Ishwar trading co.</t>
  </si>
  <si>
    <t>Mzf. Ngr.</t>
  </si>
  <si>
    <t>Baraut</t>
  </si>
  <si>
    <t>10.07.2021</t>
  </si>
  <si>
    <t>Shree Ram trading co.</t>
  </si>
  <si>
    <t>Khurja</t>
  </si>
  <si>
    <t>Vinod Kr Cipin Kr.</t>
  </si>
  <si>
    <t>11.07.2021</t>
  </si>
  <si>
    <t>14.07.2021</t>
  </si>
  <si>
    <t>13.07.2021</t>
  </si>
  <si>
    <t xml:space="preserve">Agarwal agencies </t>
  </si>
  <si>
    <t>Suresh trading co.</t>
  </si>
  <si>
    <t>Shamli</t>
  </si>
  <si>
    <t>Raman lal pramod kumar</t>
  </si>
  <si>
    <t>Vijay agencies</t>
  </si>
  <si>
    <t>Arora traders</t>
  </si>
  <si>
    <t>Modi ngr</t>
  </si>
  <si>
    <t>16.07.2021</t>
  </si>
  <si>
    <t>20.07.2021</t>
  </si>
  <si>
    <t>kundli</t>
  </si>
  <si>
    <t>23.07.2021</t>
  </si>
  <si>
    <t>jaipur</t>
  </si>
  <si>
    <t>jammu</t>
  </si>
  <si>
    <t>24.07.2021</t>
  </si>
  <si>
    <t>khan kirana store</t>
  </si>
  <si>
    <t>Dhamdas Mamdash</t>
  </si>
  <si>
    <t>Merrut</t>
  </si>
  <si>
    <t>28.07.2021</t>
  </si>
  <si>
    <t>29.07.2021</t>
  </si>
  <si>
    <t>31.07.2021</t>
  </si>
  <si>
    <t>Shree Jagdamba Trading co.</t>
  </si>
  <si>
    <t>Miusoddilal Ram Kishan</t>
  </si>
  <si>
    <t>Arora Trading  co</t>
  </si>
  <si>
    <t>Suresh Trading Co.</t>
  </si>
  <si>
    <t>Kirotpur</t>
  </si>
  <si>
    <t>Modi Ngr.</t>
  </si>
  <si>
    <t>Gzb.</t>
  </si>
  <si>
    <t>30.07.2021</t>
  </si>
  <si>
    <t>DESTINETION WISE DESPATCHED REPOTR FOR THE MONTH OF JULY 01.07.2021 TO 31.07.2021</t>
  </si>
  <si>
    <t>SALE BILL REPORT FOR THE MONTH OF JULY 01.07.2021 TO 31.07.2021</t>
  </si>
  <si>
    <t>04.08.2021</t>
  </si>
  <si>
    <t>VARSHNEY AGENCIES</t>
  </si>
  <si>
    <t>ALIGHARH</t>
  </si>
  <si>
    <t>05.08.2021</t>
  </si>
  <si>
    <t>SHRI JAGDAMBA TRADING CO.</t>
  </si>
  <si>
    <t>NOIDA</t>
  </si>
  <si>
    <t>06.08.2021</t>
  </si>
  <si>
    <t>MITTAL TRADING CO.</t>
  </si>
  <si>
    <t>BULANDSHAR</t>
  </si>
  <si>
    <t>07.08.2021</t>
  </si>
  <si>
    <t>VIJAY AGENCIES</t>
  </si>
  <si>
    <t>AGRA</t>
  </si>
  <si>
    <t>SURESH TRADING CO.</t>
  </si>
  <si>
    <t>SHAMLI</t>
  </si>
  <si>
    <t>09.08.2021</t>
  </si>
  <si>
    <t>LAXMAN GENERAL STORE</t>
  </si>
  <si>
    <t>KOSHI</t>
  </si>
  <si>
    <t>GOVIND MARCHENT</t>
  </si>
  <si>
    <t>HATHRAS</t>
  </si>
  <si>
    <t>10.08.2021</t>
  </si>
  <si>
    <t>G.D AGENCIES</t>
  </si>
  <si>
    <t>M/S ISHWAR TRADING CO.</t>
  </si>
  <si>
    <t>MZF.NGR.</t>
  </si>
  <si>
    <t xml:space="preserve">LAL CHAND BACHUMAL </t>
  </si>
  <si>
    <t>11.08.2021</t>
  </si>
  <si>
    <t>PATAKA INDUSTRIES PVT LTD.</t>
  </si>
  <si>
    <t xml:space="preserve"> </t>
  </si>
  <si>
    <t>12.08.2021</t>
  </si>
  <si>
    <t>Gupt generl mrchent</t>
  </si>
  <si>
    <t>13.08.2021</t>
  </si>
  <si>
    <t>MOHIT TRADING CO.</t>
  </si>
  <si>
    <t>SIYANA</t>
  </si>
  <si>
    <t>HAPUR</t>
  </si>
  <si>
    <t>RAMAN LAL PRAMOD KUMAR</t>
  </si>
  <si>
    <t>14.08.2021</t>
  </si>
  <si>
    <t>GOVARDHAN</t>
  </si>
  <si>
    <t>SHUBH ENTERPRISES</t>
  </si>
  <si>
    <t>A.S. ENTERPRISES</t>
  </si>
  <si>
    <t>RIDHIMA ENTERPRISES</t>
  </si>
  <si>
    <t>16.08.2021</t>
  </si>
  <si>
    <t>G.D. AGENCIES</t>
  </si>
  <si>
    <t>17.08.2021</t>
  </si>
  <si>
    <t>MAHA LAXMI AGENCY</t>
  </si>
  <si>
    <t>GAJROLLA</t>
  </si>
  <si>
    <t>ISHWAR TRADING CO.</t>
  </si>
  <si>
    <t>18.08.2021</t>
  </si>
  <si>
    <t>ARORA TRADING CO.</t>
  </si>
  <si>
    <t>MODI NGR.</t>
  </si>
  <si>
    <t>GABA AGENCIES</t>
  </si>
  <si>
    <t>21.08.2021</t>
  </si>
  <si>
    <t xml:space="preserve">GUPTA GENERAL MARCHANT </t>
  </si>
  <si>
    <t>23.08.2021</t>
  </si>
  <si>
    <t>AGARWAL AGENCIES</t>
  </si>
  <si>
    <t>MORADABAD</t>
  </si>
  <si>
    <t>25.08.2021</t>
  </si>
  <si>
    <t>PRINCE TRADING CO.</t>
  </si>
  <si>
    <t>JEWAR</t>
  </si>
  <si>
    <t>AGRASEN TRADING CO.</t>
  </si>
  <si>
    <t>KHAIR</t>
  </si>
  <si>
    <t>26.08.2021</t>
  </si>
  <si>
    <t>27.08.2021</t>
  </si>
  <si>
    <t>VINOD KR VIPIN KR</t>
  </si>
  <si>
    <t>BARAUT</t>
  </si>
  <si>
    <t>28.08.2021</t>
  </si>
  <si>
    <t>SHREE RAM TRADING CO.</t>
  </si>
  <si>
    <t>KHURJA</t>
  </si>
  <si>
    <t>KHAN KIRYANA STORE</t>
  </si>
  <si>
    <t>SAHARANPUR</t>
  </si>
  <si>
    <t>DHAM DASS MAM DASS</t>
  </si>
  <si>
    <t>MEERUT</t>
  </si>
  <si>
    <t>SAMARTH OVERSWAS</t>
  </si>
  <si>
    <t>BAREILLY</t>
  </si>
  <si>
    <t>30.08.2021</t>
  </si>
  <si>
    <t>31.08.2021</t>
  </si>
  <si>
    <t>SALE BILL REPORT FOR THE MONTH OF AUGUST 01.08.2021 TO 31.08.2021</t>
  </si>
  <si>
    <t>DESTINETION WISE DESPATCHED REPOTR FOR THE MONTH OF AUGUST 01.08.2021 TO 31.08.2021</t>
  </si>
  <si>
    <t>SALE BILL REPORT FOR THE MONTH OF SEPTEMBER 01.09.2021 TO 30.09.2021</t>
  </si>
  <si>
    <t>01.09.2021</t>
  </si>
  <si>
    <t>PATAKA INDUSTRIES PVT. LTD.</t>
  </si>
  <si>
    <t>02.09.2021</t>
  </si>
  <si>
    <t>BARAHWARI</t>
  </si>
  <si>
    <t>03.09.2021</t>
  </si>
  <si>
    <t>08.09.2021</t>
  </si>
  <si>
    <t>M/s Ishwar Trading Co.</t>
  </si>
  <si>
    <t>09.09.2021</t>
  </si>
  <si>
    <t>10.09.2021</t>
  </si>
  <si>
    <t>11.09.20241</t>
  </si>
  <si>
    <t>13.09.2021</t>
  </si>
  <si>
    <t>GUPTA GENRAL MERCHANT</t>
  </si>
  <si>
    <t>14.09.2021</t>
  </si>
  <si>
    <t>LAL CHAND BACHU MAL</t>
  </si>
  <si>
    <t>16.09.2021</t>
  </si>
  <si>
    <t>17.09.2021</t>
  </si>
  <si>
    <t>LAXMAN GENRAL STORE</t>
  </si>
  <si>
    <t>KOSHI KALAN</t>
  </si>
  <si>
    <t>18.09.2021</t>
  </si>
  <si>
    <t>VISION</t>
  </si>
  <si>
    <t>RAMPUR</t>
  </si>
  <si>
    <t>ALIGARH</t>
  </si>
  <si>
    <t>20.09.2021</t>
  </si>
  <si>
    <t>22.09.2021</t>
  </si>
  <si>
    <t>23.09.2021</t>
  </si>
  <si>
    <t>MOHIT TRADING C O.</t>
  </si>
  <si>
    <t>24.09.2021</t>
  </si>
  <si>
    <t>AJAY TRADERS</t>
  </si>
  <si>
    <t>GHAZIABAD</t>
  </si>
  <si>
    <t>27.09.2021</t>
  </si>
  <si>
    <t>28.09.2021</t>
  </si>
  <si>
    <t>ARORA TRADERS</t>
  </si>
  <si>
    <t>MODI NAGAR</t>
  </si>
  <si>
    <t>25.09.2021</t>
  </si>
  <si>
    <t>DESTINETION WISE DESPATCHED REPOTR FOR THE MONTH OF SEPTEMBER 01.09.2021 TO 30.09.2021</t>
  </si>
  <si>
    <t>29.09.2021</t>
  </si>
  <si>
    <t>SAMRATH OVERSEAS</t>
  </si>
  <si>
    <t>30.09.2021</t>
  </si>
  <si>
    <t xml:space="preserve">PRINCE TRADING COMPANY </t>
  </si>
  <si>
    <t>M/S AGRASEN TRADING CO.</t>
  </si>
  <si>
    <t>KHARI</t>
  </si>
  <si>
    <t>30.09.2022</t>
  </si>
  <si>
    <t>30.09.2023</t>
  </si>
  <si>
    <t>30.09.2024</t>
  </si>
  <si>
    <t>30.09.2025</t>
  </si>
  <si>
    <t>30.09.2026</t>
  </si>
  <si>
    <t>30.09.2027</t>
  </si>
  <si>
    <t>TOTAL DISPATCHED</t>
  </si>
  <si>
    <t>DESTINETION WISE DESPATCHED REPOTR FOR THE MONTH OF  OCTOBER 01.10.2021 TO 15.31.2021</t>
  </si>
  <si>
    <t>01.10.2021</t>
  </si>
  <si>
    <t>SALE BILL REPORT FOR THE MONTH OF OCTOBER 01.10.2021 TO 31.10.2021</t>
  </si>
  <si>
    <t>VIJSION</t>
  </si>
  <si>
    <t>04.10.2021</t>
  </si>
  <si>
    <t>MUZAFFAR NGR</t>
  </si>
  <si>
    <t>PATAKA INDUSTRIES PVT LTD</t>
  </si>
  <si>
    <t>06.10.2021</t>
  </si>
</sst>
</file>

<file path=xl/styles.xml><?xml version="1.0" encoding="utf-8"?>
<styleSheet xmlns="http://schemas.openxmlformats.org/spreadsheetml/2006/main">
  <numFmts count="1">
    <numFmt numFmtId="164" formatCode="0.0"/>
  </numFmts>
  <fonts count="11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34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16" xfId="0" quotePrefix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2" xfId="0" quotePrefix="1" applyNumberFormat="1" applyFont="1" applyFill="1" applyBorder="1" applyAlignment="1">
      <alignment horizontal="center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42" xfId="0" quotePrefix="1" applyNumberFormat="1" applyFont="1" applyFill="1" applyBorder="1" applyAlignment="1">
      <alignment horizontal="center"/>
    </xf>
    <xf numFmtId="0" fontId="8" fillId="2" borderId="1" xfId="0" applyFont="1" applyFill="1" applyBorder="1" applyAlignment="1"/>
    <xf numFmtId="0" fontId="8" fillId="2" borderId="65" xfId="0" applyFont="1" applyFill="1" applyBorder="1" applyAlignment="1">
      <alignment horizontal="center"/>
    </xf>
    <xf numFmtId="0" fontId="8" fillId="2" borderId="62" xfId="0" applyFont="1" applyFill="1" applyBorder="1" applyAlignment="1">
      <alignment horizontal="center"/>
    </xf>
    <xf numFmtId="0" fontId="8" fillId="2" borderId="66" xfId="0" applyFont="1" applyFill="1" applyBorder="1" applyAlignment="1">
      <alignment horizontal="center"/>
    </xf>
    <xf numFmtId="0" fontId="8" fillId="2" borderId="67" xfId="0" applyFont="1" applyFill="1" applyBorder="1" applyAlignment="1">
      <alignment horizontal="center"/>
    </xf>
    <xf numFmtId="164" fontId="8" fillId="2" borderId="42" xfId="0" applyNumberFormat="1" applyFont="1" applyFill="1" applyBorder="1"/>
    <xf numFmtId="1" fontId="8" fillId="2" borderId="1" xfId="0" applyNumberFormat="1" applyFont="1" applyFill="1" applyBorder="1" applyAlignment="1">
      <alignment horizontal="right"/>
    </xf>
    <xf numFmtId="0" fontId="8" fillId="2" borderId="42" xfId="0" quotePrefix="1" applyFont="1" applyFill="1" applyBorder="1" applyAlignment="1">
      <alignment horizontal="center"/>
    </xf>
    <xf numFmtId="0" fontId="8" fillId="2" borderId="42" xfId="0" applyFont="1" applyFill="1" applyBorder="1" applyAlignment="1"/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38" xfId="0" quotePrefix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8" fillId="2" borderId="61" xfId="0" applyFont="1" applyFill="1" applyBorder="1" applyAlignment="1">
      <alignment horizontal="left"/>
    </xf>
    <xf numFmtId="0" fontId="8" fillId="2" borderId="32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4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3" borderId="16" xfId="0" quotePrefix="1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16" xfId="0" quotePrefix="1" applyFont="1" applyFill="1" applyBorder="1" applyAlignment="1">
      <alignment horizontal="center"/>
    </xf>
    <xf numFmtId="0" fontId="10" fillId="2" borderId="4" xfId="0" applyFont="1" applyFill="1" applyBorder="1" applyAlignment="1"/>
    <xf numFmtId="0" fontId="10" fillId="2" borderId="9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164" fontId="10" fillId="2" borderId="4" xfId="0" applyNumberFormat="1" applyFont="1" applyFill="1" applyBorder="1"/>
    <xf numFmtId="1" fontId="10" fillId="2" borderId="4" xfId="0" applyNumberFormat="1" applyFont="1" applyFill="1" applyBorder="1" applyAlignment="1">
      <alignment horizontal="right"/>
    </xf>
    <xf numFmtId="0" fontId="0" fillId="2" borderId="0" xfId="0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center"/>
    </xf>
    <xf numFmtId="0" fontId="8" fillId="2" borderId="0" xfId="0" applyFont="1" applyFill="1" applyBorder="1" applyAlignment="1"/>
    <xf numFmtId="164" fontId="8" fillId="2" borderId="0" xfId="0" applyNumberFormat="1" applyFont="1" applyFill="1" applyBorder="1" applyAlignment="1">
      <alignment horizontal="right"/>
    </xf>
    <xf numFmtId="1" fontId="8" fillId="2" borderId="0" xfId="0" applyNumberFormat="1" applyFont="1" applyFill="1" applyBorder="1" applyAlignment="1">
      <alignment horizontal="right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8" xfId="0" applyFont="1" applyFill="1" applyBorder="1" applyAlignment="1"/>
    <xf numFmtId="0" fontId="8" fillId="2" borderId="2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30" xfId="0" applyFont="1" applyFill="1" applyBorder="1" applyAlignment="1">
      <alignment horizontal="center"/>
    </xf>
    <xf numFmtId="0" fontId="10" fillId="2" borderId="37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34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 shrinkToFit="1"/>
    </xf>
    <xf numFmtId="0" fontId="1" fillId="2" borderId="2" xfId="0" applyFont="1" applyFill="1" applyBorder="1" applyAlignment="1">
      <alignment horizontal="center" vertical="center" wrapText="1" shrinkToFit="1"/>
    </xf>
    <xf numFmtId="0" fontId="0" fillId="0" borderId="2" xfId="0" applyBorder="1"/>
    <xf numFmtId="0" fontId="0" fillId="0" borderId="40" xfId="0" applyBorder="1"/>
    <xf numFmtId="0" fontId="0" fillId="0" borderId="49" xfId="0" applyBorder="1"/>
    <xf numFmtId="0" fontId="0" fillId="0" borderId="43" xfId="0" applyBorder="1"/>
    <xf numFmtId="0" fontId="0" fillId="0" borderId="39" xfId="0" applyBorder="1"/>
    <xf numFmtId="0" fontId="0" fillId="0" borderId="38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39" activePane="bottomLeft" state="frozen"/>
      <selection pane="bottomLeft" activeCell="J54" sqref="J54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334" t="s">
        <v>160</v>
      </c>
      <c r="B1" s="335"/>
      <c r="C1" s="335"/>
      <c r="D1" s="335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6"/>
    </row>
    <row r="2" spans="1:20" s="6" customFormat="1" ht="12.75" customHeight="1">
      <c r="A2" s="337" t="s">
        <v>9</v>
      </c>
      <c r="B2" s="339" t="s">
        <v>13</v>
      </c>
      <c r="C2" s="341" t="s">
        <v>23</v>
      </c>
      <c r="D2" s="342"/>
      <c r="E2" s="345" t="s">
        <v>15</v>
      </c>
      <c r="F2" s="347" t="s">
        <v>0</v>
      </c>
      <c r="G2" s="339"/>
      <c r="H2" s="348"/>
      <c r="I2" s="349" t="s">
        <v>39</v>
      </c>
      <c r="J2" s="350"/>
      <c r="K2" s="350"/>
      <c r="L2" s="351"/>
      <c r="M2" s="348"/>
      <c r="N2" s="349" t="s">
        <v>1</v>
      </c>
      <c r="O2" s="350"/>
      <c r="P2" s="348"/>
      <c r="Q2" s="352" t="s">
        <v>2</v>
      </c>
      <c r="R2" s="353"/>
      <c r="S2" s="339" t="s">
        <v>14</v>
      </c>
      <c r="T2" s="312" t="s">
        <v>12</v>
      </c>
    </row>
    <row r="3" spans="1:20" s="6" customFormat="1" ht="15.75" thickBot="1">
      <c r="A3" s="338"/>
      <c r="B3" s="340"/>
      <c r="C3" s="343"/>
      <c r="D3" s="344"/>
      <c r="E3" s="346"/>
      <c r="F3" s="314" t="s">
        <v>3</v>
      </c>
      <c r="G3" s="315"/>
      <c r="H3" s="9" t="s">
        <v>4</v>
      </c>
      <c r="I3" s="10" t="s">
        <v>22</v>
      </c>
      <c r="J3" s="11" t="s">
        <v>7</v>
      </c>
      <c r="K3" s="11" t="s">
        <v>17</v>
      </c>
      <c r="L3" s="316" t="s">
        <v>18</v>
      </c>
      <c r="M3" s="31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0"/>
      <c r="T3" s="313"/>
    </row>
    <row r="4" spans="1:20" s="18" customFormat="1" ht="15.75" thickBot="1">
      <c r="A4" s="80" t="s">
        <v>35</v>
      </c>
      <c r="B4" s="30"/>
      <c r="C4" s="318"/>
      <c r="D4" s="319"/>
      <c r="E4" s="31"/>
      <c r="F4" s="318"/>
      <c r="G4" s="320"/>
      <c r="H4" s="79"/>
      <c r="I4" s="32"/>
      <c r="J4" s="33"/>
      <c r="K4" s="79"/>
      <c r="L4" s="321"/>
      <c r="M4" s="319"/>
      <c r="N4" s="78"/>
      <c r="O4" s="79"/>
      <c r="P4" s="34"/>
      <c r="Q4" s="78"/>
      <c r="R4" s="34"/>
      <c r="S4" s="35">
        <f>SUM(F4:R4)</f>
        <v>0</v>
      </c>
      <c r="T4" s="36"/>
    </row>
    <row r="5" spans="1:20">
      <c r="A5" s="156" t="s">
        <v>51</v>
      </c>
      <c r="B5" s="150" t="s">
        <v>54</v>
      </c>
      <c r="C5" s="326" t="s">
        <v>52</v>
      </c>
      <c r="D5" s="327"/>
      <c r="E5" s="151" t="s">
        <v>53</v>
      </c>
      <c r="F5" s="328"/>
      <c r="G5" s="329"/>
      <c r="H5" s="157"/>
      <c r="I5" s="39"/>
      <c r="J5" s="40"/>
      <c r="K5" s="40"/>
      <c r="L5" s="330"/>
      <c r="M5" s="331"/>
      <c r="N5" s="39"/>
      <c r="O5" s="40"/>
      <c r="P5" s="157"/>
      <c r="Q5" s="39">
        <v>120</v>
      </c>
      <c r="R5" s="41"/>
      <c r="S5" s="148">
        <f t="shared" ref="S5:S55" si="0">SUM(F5:R5)</f>
        <v>120</v>
      </c>
      <c r="T5" s="43">
        <v>46333</v>
      </c>
    </row>
    <row r="6" spans="1:20">
      <c r="A6" s="160" t="s">
        <v>55</v>
      </c>
      <c r="B6" s="38" t="s">
        <v>56</v>
      </c>
      <c r="C6" s="322" t="s">
        <v>57</v>
      </c>
      <c r="D6" s="323"/>
      <c r="E6" s="44" t="s">
        <v>58</v>
      </c>
      <c r="F6" s="324"/>
      <c r="G6" s="325"/>
      <c r="H6" s="152"/>
      <c r="I6" s="45">
        <v>60</v>
      </c>
      <c r="J6" s="46"/>
      <c r="K6" s="46">
        <v>22</v>
      </c>
      <c r="L6" s="332"/>
      <c r="M6" s="333"/>
      <c r="N6" s="47"/>
      <c r="O6" s="152"/>
      <c r="P6" s="48"/>
      <c r="Q6" s="45"/>
      <c r="R6" s="49"/>
      <c r="S6" s="42">
        <f t="shared" si="0"/>
        <v>82</v>
      </c>
      <c r="T6" s="50">
        <v>26799</v>
      </c>
    </row>
    <row r="7" spans="1:20">
      <c r="A7" s="160" t="s">
        <v>59</v>
      </c>
      <c r="B7" s="38" t="s">
        <v>60</v>
      </c>
      <c r="C7" s="322" t="s">
        <v>95</v>
      </c>
      <c r="D7" s="323"/>
      <c r="E7" s="44" t="s">
        <v>96</v>
      </c>
      <c r="F7" s="324"/>
      <c r="G7" s="325"/>
      <c r="H7" s="152"/>
      <c r="I7" s="47"/>
      <c r="J7" s="51"/>
      <c r="K7" s="51"/>
      <c r="L7" s="310"/>
      <c r="M7" s="311"/>
      <c r="N7" s="47">
        <v>600</v>
      </c>
      <c r="O7" s="152">
        <v>480</v>
      </c>
      <c r="P7" s="48">
        <v>1800</v>
      </c>
      <c r="Q7" s="47"/>
      <c r="R7" s="48"/>
      <c r="S7" s="52">
        <f t="shared" si="0"/>
        <v>2880</v>
      </c>
      <c r="T7" s="53">
        <v>917226</v>
      </c>
    </row>
    <row r="8" spans="1:20">
      <c r="A8" s="160" t="s">
        <v>97</v>
      </c>
      <c r="B8" s="38" t="s">
        <v>61</v>
      </c>
      <c r="C8" s="322" t="s">
        <v>98</v>
      </c>
      <c r="D8" s="323"/>
      <c r="E8" s="44" t="s">
        <v>99</v>
      </c>
      <c r="F8" s="324"/>
      <c r="G8" s="325"/>
      <c r="H8" s="152">
        <v>120</v>
      </c>
      <c r="I8" s="47"/>
      <c r="J8" s="51"/>
      <c r="K8" s="51"/>
      <c r="L8" s="310"/>
      <c r="M8" s="311"/>
      <c r="N8" s="47"/>
      <c r="O8" s="15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0">
      <c r="A9" s="160" t="s">
        <v>97</v>
      </c>
      <c r="B9" s="38" t="s">
        <v>62</v>
      </c>
      <c r="C9" s="322" t="s">
        <v>100</v>
      </c>
      <c r="D9" s="323"/>
      <c r="E9" s="44" t="s">
        <v>101</v>
      </c>
      <c r="F9" s="324"/>
      <c r="G9" s="325"/>
      <c r="H9" s="152"/>
      <c r="I9" s="47">
        <v>150</v>
      </c>
      <c r="J9" s="51"/>
      <c r="K9" s="51"/>
      <c r="L9" s="310"/>
      <c r="M9" s="311"/>
      <c r="N9" s="47"/>
      <c r="O9" s="152"/>
      <c r="P9" s="48">
        <v>360</v>
      </c>
      <c r="Q9" s="47"/>
      <c r="R9" s="48"/>
      <c r="S9" s="52">
        <f t="shared" si="0"/>
        <v>510</v>
      </c>
      <c r="T9" s="53">
        <v>166853</v>
      </c>
    </row>
    <row r="10" spans="1:20">
      <c r="A10" s="160" t="s">
        <v>97</v>
      </c>
      <c r="B10" s="38" t="s">
        <v>63</v>
      </c>
      <c r="C10" s="322" t="s">
        <v>102</v>
      </c>
      <c r="D10" s="323"/>
      <c r="E10" s="44" t="s">
        <v>103</v>
      </c>
      <c r="F10" s="324"/>
      <c r="G10" s="325"/>
      <c r="H10" s="152"/>
      <c r="I10" s="47"/>
      <c r="J10" s="51"/>
      <c r="K10" s="51"/>
      <c r="L10" s="310"/>
      <c r="M10" s="311"/>
      <c r="N10" s="47"/>
      <c r="O10" s="152"/>
      <c r="P10" s="48"/>
      <c r="Q10" s="47">
        <v>48</v>
      </c>
      <c r="R10" s="48"/>
      <c r="S10" s="52">
        <f t="shared" si="0"/>
        <v>48</v>
      </c>
      <c r="T10" s="53">
        <v>18533</v>
      </c>
    </row>
    <row r="11" spans="1:20">
      <c r="A11" s="160" t="s">
        <v>104</v>
      </c>
      <c r="B11" s="38" t="s">
        <v>64</v>
      </c>
      <c r="C11" s="322" t="s">
        <v>100</v>
      </c>
      <c r="D11" s="323"/>
      <c r="E11" s="44" t="s">
        <v>101</v>
      </c>
      <c r="F11" s="324"/>
      <c r="G11" s="325"/>
      <c r="H11" s="152">
        <v>24</v>
      </c>
      <c r="I11" s="47"/>
      <c r="J11" s="51"/>
      <c r="K11" s="51"/>
      <c r="L11" s="310"/>
      <c r="M11" s="311"/>
      <c r="N11" s="47"/>
      <c r="O11" s="152"/>
      <c r="P11" s="48"/>
      <c r="Q11" s="47"/>
      <c r="R11" s="48"/>
      <c r="S11" s="52">
        <f t="shared" si="0"/>
        <v>24</v>
      </c>
      <c r="T11" s="53">
        <v>8259</v>
      </c>
    </row>
    <row r="12" spans="1:20">
      <c r="A12" s="160" t="s">
        <v>104</v>
      </c>
      <c r="B12" s="38" t="s">
        <v>65</v>
      </c>
      <c r="C12" s="322" t="s">
        <v>105</v>
      </c>
      <c r="D12" s="323"/>
      <c r="E12" s="183" t="s">
        <v>221</v>
      </c>
      <c r="F12" s="324"/>
      <c r="G12" s="325"/>
      <c r="H12" s="152"/>
      <c r="I12" s="47"/>
      <c r="J12" s="51"/>
      <c r="K12" s="51"/>
      <c r="L12" s="310"/>
      <c r="M12" s="311"/>
      <c r="N12" s="47"/>
      <c r="O12" s="152"/>
      <c r="P12" s="48">
        <v>480</v>
      </c>
      <c r="Q12" s="47">
        <v>48</v>
      </c>
      <c r="R12" s="48"/>
      <c r="S12" s="52">
        <f t="shared" si="0"/>
        <v>528</v>
      </c>
      <c r="T12" s="53">
        <v>177963</v>
      </c>
    </row>
    <row r="13" spans="1:20">
      <c r="A13" s="154" t="s">
        <v>106</v>
      </c>
      <c r="B13" s="38" t="s">
        <v>66</v>
      </c>
      <c r="C13" s="322" t="s">
        <v>107</v>
      </c>
      <c r="D13" s="323"/>
      <c r="E13" s="44" t="s">
        <v>108</v>
      </c>
      <c r="F13" s="324"/>
      <c r="G13" s="325"/>
      <c r="H13" s="152">
        <v>48</v>
      </c>
      <c r="I13" s="47"/>
      <c r="J13" s="51"/>
      <c r="K13" s="51"/>
      <c r="L13" s="310"/>
      <c r="M13" s="311"/>
      <c r="N13" s="47"/>
      <c r="O13" s="152"/>
      <c r="P13" s="48"/>
      <c r="Q13" s="47"/>
      <c r="R13" s="48"/>
      <c r="S13" s="52">
        <f t="shared" si="0"/>
        <v>48</v>
      </c>
      <c r="T13" s="53">
        <v>16517</v>
      </c>
    </row>
    <row r="14" spans="1:20">
      <c r="A14" s="154" t="s">
        <v>106</v>
      </c>
      <c r="B14" s="38" t="s">
        <v>67</v>
      </c>
      <c r="C14" s="322" t="s">
        <v>109</v>
      </c>
      <c r="D14" s="323"/>
      <c r="E14" s="44" t="s">
        <v>110</v>
      </c>
      <c r="F14" s="324"/>
      <c r="G14" s="325"/>
      <c r="H14" s="152">
        <v>48</v>
      </c>
      <c r="I14" s="47"/>
      <c r="J14" s="51"/>
      <c r="K14" s="51"/>
      <c r="L14" s="310"/>
      <c r="M14" s="311"/>
      <c r="N14" s="47"/>
      <c r="O14" s="152"/>
      <c r="P14" s="48"/>
      <c r="Q14" s="47"/>
      <c r="R14" s="48"/>
      <c r="S14" s="52">
        <f>SUM(F14:R14)</f>
        <v>48</v>
      </c>
      <c r="T14" s="53">
        <v>16517</v>
      </c>
    </row>
    <row r="15" spans="1:20">
      <c r="A15" s="154" t="s">
        <v>106</v>
      </c>
      <c r="B15" s="38" t="s">
        <v>68</v>
      </c>
      <c r="C15" s="322" t="s">
        <v>111</v>
      </c>
      <c r="D15" s="323"/>
      <c r="E15" s="44" t="s">
        <v>112</v>
      </c>
      <c r="F15" s="324"/>
      <c r="G15" s="325"/>
      <c r="H15" s="152"/>
      <c r="I15" s="47">
        <v>7050</v>
      </c>
      <c r="J15" s="51">
        <v>120</v>
      </c>
      <c r="K15" s="51">
        <v>440</v>
      </c>
      <c r="L15" s="310"/>
      <c r="M15" s="311"/>
      <c r="N15" s="154">
        <v>840</v>
      </c>
      <c r="O15" s="152"/>
      <c r="P15" s="48">
        <v>2400</v>
      </c>
      <c r="Q15" s="154">
        <v>1560</v>
      </c>
      <c r="R15" s="48">
        <v>900</v>
      </c>
      <c r="S15" s="52">
        <f t="shared" si="0"/>
        <v>13310</v>
      </c>
      <c r="T15" s="53">
        <v>4257270</v>
      </c>
    </row>
    <row r="16" spans="1:20">
      <c r="A16" s="154" t="s">
        <v>113</v>
      </c>
      <c r="B16" s="38" t="s">
        <v>69</v>
      </c>
      <c r="C16" s="322" t="s">
        <v>114</v>
      </c>
      <c r="D16" s="323"/>
      <c r="E16" s="44" t="s">
        <v>115</v>
      </c>
      <c r="F16" s="324"/>
      <c r="G16" s="325"/>
      <c r="H16" s="152"/>
      <c r="I16" s="47"/>
      <c r="J16" s="51"/>
      <c r="K16" s="51"/>
      <c r="L16" s="310"/>
      <c r="M16" s="311"/>
      <c r="N16" s="154"/>
      <c r="O16" s="152"/>
      <c r="P16" s="48">
        <v>264</v>
      </c>
      <c r="Q16" s="154">
        <v>24</v>
      </c>
      <c r="R16" s="54"/>
      <c r="S16" s="52">
        <f t="shared" si="0"/>
        <v>288</v>
      </c>
      <c r="T16" s="53">
        <v>96953</v>
      </c>
    </row>
    <row r="17" spans="1:22">
      <c r="A17" s="154" t="s">
        <v>116</v>
      </c>
      <c r="B17" s="38" t="s">
        <v>70</v>
      </c>
      <c r="C17" s="322" t="s">
        <v>117</v>
      </c>
      <c r="D17" s="323"/>
      <c r="E17" s="44" t="s">
        <v>118</v>
      </c>
      <c r="F17" s="324"/>
      <c r="G17" s="325"/>
      <c r="H17" s="152"/>
      <c r="I17" s="47"/>
      <c r="J17" s="51"/>
      <c r="K17" s="51"/>
      <c r="L17" s="310"/>
      <c r="M17" s="311"/>
      <c r="N17" s="154"/>
      <c r="O17" s="152"/>
      <c r="P17" s="48">
        <v>360</v>
      </c>
      <c r="Q17" s="154"/>
      <c r="R17" s="54"/>
      <c r="S17" s="52">
        <f t="shared" si="0"/>
        <v>360</v>
      </c>
      <c r="T17" s="53">
        <v>119573</v>
      </c>
    </row>
    <row r="18" spans="1:22">
      <c r="A18" s="154" t="s">
        <v>116</v>
      </c>
      <c r="B18" s="38" t="s">
        <v>71</v>
      </c>
      <c r="C18" s="322" t="s">
        <v>120</v>
      </c>
      <c r="D18" s="323"/>
      <c r="E18" s="44" t="s">
        <v>121</v>
      </c>
      <c r="F18" s="324"/>
      <c r="G18" s="325"/>
      <c r="H18" s="152"/>
      <c r="I18" s="47"/>
      <c r="J18" s="51"/>
      <c r="K18" s="51"/>
      <c r="L18" s="310"/>
      <c r="M18" s="311"/>
      <c r="N18" s="154">
        <v>600</v>
      </c>
      <c r="O18" s="152">
        <v>240</v>
      </c>
      <c r="P18" s="48">
        <v>3600</v>
      </c>
      <c r="Q18" s="154"/>
      <c r="R18" s="54"/>
      <c r="S18" s="52">
        <f>SUM(F18:R18)</f>
        <v>4440</v>
      </c>
      <c r="T18" s="53">
        <v>1418333</v>
      </c>
    </row>
    <row r="19" spans="1:22">
      <c r="A19" s="154" t="s">
        <v>116</v>
      </c>
      <c r="B19" s="38" t="s">
        <v>72</v>
      </c>
      <c r="C19" s="322" t="s">
        <v>122</v>
      </c>
      <c r="D19" s="323"/>
      <c r="E19" s="44" t="s">
        <v>121</v>
      </c>
      <c r="F19" s="324"/>
      <c r="G19" s="325"/>
      <c r="H19" s="152"/>
      <c r="I19" s="47"/>
      <c r="J19" s="51"/>
      <c r="K19" s="51"/>
      <c r="L19" s="310"/>
      <c r="M19" s="311"/>
      <c r="N19" s="154">
        <v>600</v>
      </c>
      <c r="O19" s="152">
        <v>480</v>
      </c>
      <c r="P19" s="48">
        <v>840</v>
      </c>
      <c r="Q19" s="154"/>
      <c r="R19" s="54"/>
      <c r="S19" s="52">
        <f t="shared" si="0"/>
        <v>1920</v>
      </c>
      <c r="T19" s="53">
        <v>609443</v>
      </c>
      <c r="V19" s="13"/>
    </row>
    <row r="20" spans="1:22">
      <c r="A20" s="154" t="s">
        <v>116</v>
      </c>
      <c r="B20" s="38" t="s">
        <v>73</v>
      </c>
      <c r="C20" s="324" t="s">
        <v>123</v>
      </c>
      <c r="D20" s="311"/>
      <c r="E20" s="44" t="s">
        <v>121</v>
      </c>
      <c r="F20" s="324"/>
      <c r="G20" s="325"/>
      <c r="H20" s="152"/>
      <c r="I20" s="47">
        <v>600</v>
      </c>
      <c r="J20" s="51"/>
      <c r="K20" s="51"/>
      <c r="L20" s="310"/>
      <c r="M20" s="311"/>
      <c r="N20" s="154"/>
      <c r="O20" s="152"/>
      <c r="P20" s="48">
        <v>1920</v>
      </c>
      <c r="Q20" s="154"/>
      <c r="R20" s="54"/>
      <c r="S20" s="52">
        <f t="shared" si="0"/>
        <v>2520</v>
      </c>
      <c r="T20" s="53">
        <v>797736</v>
      </c>
    </row>
    <row r="21" spans="1:22">
      <c r="A21" s="154" t="s">
        <v>116</v>
      </c>
      <c r="B21" s="38" t="s">
        <v>74</v>
      </c>
      <c r="C21" s="324" t="s">
        <v>95</v>
      </c>
      <c r="D21" s="311"/>
      <c r="E21" s="44" t="s">
        <v>96</v>
      </c>
      <c r="F21" s="324"/>
      <c r="G21" s="325"/>
      <c r="H21" s="152"/>
      <c r="I21" s="47"/>
      <c r="J21" s="51"/>
      <c r="K21" s="51">
        <v>220</v>
      </c>
      <c r="L21" s="310"/>
      <c r="M21" s="311"/>
      <c r="N21" s="154">
        <v>600</v>
      </c>
      <c r="O21" s="152">
        <v>240</v>
      </c>
      <c r="P21" s="48">
        <v>1440</v>
      </c>
      <c r="Q21" s="154"/>
      <c r="R21" s="54"/>
      <c r="S21" s="52">
        <f t="shared" si="0"/>
        <v>2500</v>
      </c>
      <c r="T21" s="53">
        <v>802040</v>
      </c>
    </row>
    <row r="22" spans="1:22">
      <c r="A22" s="153" t="s">
        <v>119</v>
      </c>
      <c r="B22" s="38" t="s">
        <v>75</v>
      </c>
      <c r="C22" s="324" t="s">
        <v>124</v>
      </c>
      <c r="D22" s="311"/>
      <c r="E22" s="44" t="s">
        <v>125</v>
      </c>
      <c r="F22" s="324">
        <v>48</v>
      </c>
      <c r="G22" s="325"/>
      <c r="H22" s="152">
        <v>24</v>
      </c>
      <c r="I22" s="47"/>
      <c r="J22" s="51"/>
      <c r="K22" s="51"/>
      <c r="L22" s="310"/>
      <c r="M22" s="311"/>
      <c r="N22" s="154"/>
      <c r="O22" s="152"/>
      <c r="P22" s="48">
        <v>72</v>
      </c>
      <c r="Q22" s="154">
        <v>24</v>
      </c>
      <c r="R22" s="54"/>
      <c r="S22" s="52">
        <f t="shared" si="0"/>
        <v>168</v>
      </c>
      <c r="T22" s="53">
        <v>57621</v>
      </c>
    </row>
    <row r="23" spans="1:22">
      <c r="A23" s="153" t="s">
        <v>126</v>
      </c>
      <c r="B23" s="38" t="s">
        <v>76</v>
      </c>
      <c r="C23" s="324" t="s">
        <v>127</v>
      </c>
      <c r="D23" s="311"/>
      <c r="E23" s="44" t="s">
        <v>128</v>
      </c>
      <c r="F23" s="324"/>
      <c r="G23" s="325"/>
      <c r="H23" s="152">
        <v>1200</v>
      </c>
      <c r="I23" s="47">
        <v>900</v>
      </c>
      <c r="J23" s="51"/>
      <c r="K23" s="51">
        <v>660</v>
      </c>
      <c r="L23" s="310"/>
      <c r="M23" s="311"/>
      <c r="N23" s="154"/>
      <c r="O23" s="152"/>
      <c r="P23" s="48">
        <v>4320</v>
      </c>
      <c r="Q23" s="154"/>
      <c r="R23" s="54"/>
      <c r="S23" s="52">
        <f t="shared" si="0"/>
        <v>7080</v>
      </c>
      <c r="T23" s="53">
        <v>2223353</v>
      </c>
    </row>
    <row r="24" spans="1:22">
      <c r="A24" s="153" t="s">
        <v>126</v>
      </c>
      <c r="B24" s="38" t="s">
        <v>77</v>
      </c>
      <c r="C24" s="324" t="s">
        <v>98</v>
      </c>
      <c r="D24" s="311"/>
      <c r="E24" s="44" t="s">
        <v>99</v>
      </c>
      <c r="F24" s="324"/>
      <c r="G24" s="325"/>
      <c r="H24" s="152">
        <v>120</v>
      </c>
      <c r="I24" s="47"/>
      <c r="J24" s="51"/>
      <c r="K24" s="51"/>
      <c r="L24" s="310"/>
      <c r="M24" s="311"/>
      <c r="N24" s="154"/>
      <c r="O24" s="152"/>
      <c r="P24" s="48"/>
      <c r="Q24" s="154">
        <v>24</v>
      </c>
      <c r="R24" s="54"/>
      <c r="S24" s="52">
        <f t="shared" si="0"/>
        <v>144</v>
      </c>
      <c r="T24" s="53">
        <v>50559</v>
      </c>
    </row>
    <row r="25" spans="1:22">
      <c r="A25" s="153" t="s">
        <v>126</v>
      </c>
      <c r="B25" s="38" t="s">
        <v>78</v>
      </c>
      <c r="C25" s="324" t="s">
        <v>129</v>
      </c>
      <c r="D25" s="311"/>
      <c r="E25" s="44" t="s">
        <v>130</v>
      </c>
      <c r="F25" s="324"/>
      <c r="G25" s="325"/>
      <c r="H25" s="152">
        <v>120</v>
      </c>
      <c r="I25" s="47"/>
      <c r="J25" s="51"/>
      <c r="K25" s="51"/>
      <c r="L25" s="310"/>
      <c r="M25" s="311"/>
      <c r="N25" s="154"/>
      <c r="O25" s="152"/>
      <c r="P25" s="48"/>
      <c r="Q25" s="154"/>
      <c r="R25" s="54"/>
      <c r="S25" s="52">
        <f t="shared" si="0"/>
        <v>120</v>
      </c>
      <c r="T25" s="53">
        <v>41293</v>
      </c>
    </row>
    <row r="26" spans="1:22">
      <c r="A26" s="153" t="s">
        <v>131</v>
      </c>
      <c r="B26" s="38" t="s">
        <v>79</v>
      </c>
      <c r="C26" s="324" t="s">
        <v>95</v>
      </c>
      <c r="D26" s="311"/>
      <c r="E26" s="44" t="s">
        <v>96</v>
      </c>
      <c r="F26" s="324"/>
      <c r="G26" s="325"/>
      <c r="H26" s="152"/>
      <c r="I26" s="47">
        <v>1200</v>
      </c>
      <c r="J26" s="51"/>
      <c r="K26" s="51"/>
      <c r="L26" s="310"/>
      <c r="M26" s="311"/>
      <c r="N26" s="154">
        <v>1200</v>
      </c>
      <c r="O26" s="152">
        <v>600</v>
      </c>
      <c r="P26" s="48">
        <v>2400</v>
      </c>
      <c r="Q26" s="154">
        <v>120</v>
      </c>
      <c r="R26" s="54"/>
      <c r="S26" s="52">
        <f t="shared" si="0"/>
        <v>5520</v>
      </c>
      <c r="T26" s="53">
        <v>1744853</v>
      </c>
    </row>
    <row r="27" spans="1:22">
      <c r="A27" s="153" t="s">
        <v>131</v>
      </c>
      <c r="B27" s="38" t="s">
        <v>80</v>
      </c>
      <c r="C27" s="324" t="s">
        <v>133</v>
      </c>
      <c r="D27" s="311"/>
      <c r="E27" s="55" t="s">
        <v>132</v>
      </c>
      <c r="F27" s="324"/>
      <c r="G27" s="325"/>
      <c r="H27" s="81"/>
      <c r="I27" s="56"/>
      <c r="J27" s="57"/>
      <c r="K27" s="57"/>
      <c r="L27" s="310"/>
      <c r="M27" s="311"/>
      <c r="N27" s="153"/>
      <c r="O27" s="81"/>
      <c r="P27" s="54">
        <v>120</v>
      </c>
      <c r="Q27" s="153"/>
      <c r="R27" s="54"/>
      <c r="S27" s="52">
        <f t="shared" si="0"/>
        <v>120</v>
      </c>
      <c r="T27" s="58">
        <v>39858</v>
      </c>
    </row>
    <row r="28" spans="1:22">
      <c r="A28" s="153" t="s">
        <v>131</v>
      </c>
      <c r="B28" s="38" t="s">
        <v>81</v>
      </c>
      <c r="C28" s="324" t="s">
        <v>134</v>
      </c>
      <c r="D28" s="311"/>
      <c r="E28" s="55" t="s">
        <v>135</v>
      </c>
      <c r="F28" s="324"/>
      <c r="G28" s="325"/>
      <c r="H28" s="81">
        <v>48</v>
      </c>
      <c r="I28" s="56"/>
      <c r="J28" s="57"/>
      <c r="K28" s="57"/>
      <c r="L28" s="310"/>
      <c r="M28" s="311"/>
      <c r="N28" s="153"/>
      <c r="O28" s="81"/>
      <c r="P28" s="54">
        <v>120</v>
      </c>
      <c r="Q28" s="153">
        <v>120</v>
      </c>
      <c r="R28" s="54"/>
      <c r="S28" s="52">
        <f t="shared" si="0"/>
        <v>288</v>
      </c>
      <c r="T28" s="58">
        <v>102707</v>
      </c>
    </row>
    <row r="29" spans="1:22">
      <c r="A29" s="153" t="s">
        <v>136</v>
      </c>
      <c r="B29" s="38" t="s">
        <v>82</v>
      </c>
      <c r="C29" s="324" t="s">
        <v>137</v>
      </c>
      <c r="D29" s="311"/>
      <c r="E29" s="55" t="s">
        <v>138</v>
      </c>
      <c r="F29" s="324"/>
      <c r="G29" s="325"/>
      <c r="H29" s="81"/>
      <c r="I29" s="56"/>
      <c r="J29" s="57"/>
      <c r="K29" s="57"/>
      <c r="L29" s="310"/>
      <c r="M29" s="311"/>
      <c r="N29" s="153"/>
      <c r="O29" s="81"/>
      <c r="P29" s="54"/>
      <c r="Q29" s="153">
        <v>60</v>
      </c>
      <c r="R29" s="54"/>
      <c r="S29" s="52">
        <f t="shared" si="0"/>
        <v>60</v>
      </c>
      <c r="T29" s="58">
        <v>23166</v>
      </c>
    </row>
    <row r="30" spans="1:22">
      <c r="A30" s="153" t="s">
        <v>136</v>
      </c>
      <c r="B30" s="38" t="s">
        <v>83</v>
      </c>
      <c r="C30" s="324" t="s">
        <v>140</v>
      </c>
      <c r="D30" s="311"/>
      <c r="E30" s="55" t="s">
        <v>139</v>
      </c>
      <c r="F30" s="324"/>
      <c r="G30" s="325"/>
      <c r="H30" s="81"/>
      <c r="I30" s="56"/>
      <c r="J30" s="57"/>
      <c r="K30" s="57"/>
      <c r="L30" s="310"/>
      <c r="M30" s="311"/>
      <c r="N30" s="153"/>
      <c r="O30" s="81"/>
      <c r="P30" s="54"/>
      <c r="Q30" s="153">
        <v>60</v>
      </c>
      <c r="R30" s="54"/>
      <c r="S30" s="52">
        <f t="shared" si="0"/>
        <v>60</v>
      </c>
      <c r="T30" s="58">
        <v>23166</v>
      </c>
    </row>
    <row r="31" spans="1:22">
      <c r="A31" s="153" t="s">
        <v>136</v>
      </c>
      <c r="B31" s="38" t="s">
        <v>84</v>
      </c>
      <c r="C31" s="324" t="s">
        <v>141</v>
      </c>
      <c r="D31" s="311"/>
      <c r="E31" s="55" t="s">
        <v>142</v>
      </c>
      <c r="F31" s="324"/>
      <c r="G31" s="325"/>
      <c r="H31" s="81"/>
      <c r="I31" s="56"/>
      <c r="J31" s="57"/>
      <c r="K31" s="57"/>
      <c r="L31" s="310"/>
      <c r="M31" s="311"/>
      <c r="N31" s="153"/>
      <c r="O31" s="81"/>
      <c r="P31" s="54">
        <v>72</v>
      </c>
      <c r="Q31" s="153"/>
      <c r="R31" s="54"/>
      <c r="S31" s="52">
        <f t="shared" si="0"/>
        <v>72</v>
      </c>
      <c r="T31" s="58">
        <v>23915</v>
      </c>
    </row>
    <row r="32" spans="1:22">
      <c r="A32" s="153" t="s">
        <v>143</v>
      </c>
      <c r="B32" s="38" t="s">
        <v>85</v>
      </c>
      <c r="C32" s="324" t="s">
        <v>144</v>
      </c>
      <c r="D32" s="311"/>
      <c r="E32" s="55" t="s">
        <v>145</v>
      </c>
      <c r="F32" s="324"/>
      <c r="G32" s="325"/>
      <c r="H32" s="81"/>
      <c r="I32" s="56">
        <v>120</v>
      </c>
      <c r="J32" s="57"/>
      <c r="K32" s="57"/>
      <c r="L32" s="310"/>
      <c r="M32" s="311"/>
      <c r="N32" s="153"/>
      <c r="O32" s="81">
        <v>144</v>
      </c>
      <c r="P32" s="54">
        <v>720</v>
      </c>
      <c r="Q32" s="153">
        <v>120</v>
      </c>
      <c r="R32" s="54"/>
      <c r="S32" s="52">
        <f t="shared" si="0"/>
        <v>1104</v>
      </c>
      <c r="T32" s="58">
        <v>357629</v>
      </c>
    </row>
    <row r="33" spans="1:20">
      <c r="A33" s="153" t="s">
        <v>143</v>
      </c>
      <c r="B33" s="38" t="s">
        <v>86</v>
      </c>
      <c r="C33" s="324" t="s">
        <v>127</v>
      </c>
      <c r="D33" s="311"/>
      <c r="E33" s="55" t="s">
        <v>146</v>
      </c>
      <c r="F33" s="324">
        <v>720</v>
      </c>
      <c r="G33" s="325"/>
      <c r="H33" s="81">
        <v>1440</v>
      </c>
      <c r="I33" s="56">
        <v>600</v>
      </c>
      <c r="J33" s="57"/>
      <c r="K33" s="57"/>
      <c r="L33" s="310"/>
      <c r="M33" s="311"/>
      <c r="N33" s="153">
        <v>480</v>
      </c>
      <c r="O33" s="81">
        <v>720</v>
      </c>
      <c r="P33" s="54">
        <v>4800</v>
      </c>
      <c r="Q33" s="153"/>
      <c r="R33" s="54"/>
      <c r="S33" s="52">
        <f t="shared" si="0"/>
        <v>8760</v>
      </c>
      <c r="T33" s="58">
        <v>2737951</v>
      </c>
    </row>
    <row r="34" spans="1:20">
      <c r="A34" s="153" t="s">
        <v>147</v>
      </c>
      <c r="B34" s="38" t="s">
        <v>87</v>
      </c>
      <c r="C34" s="324" t="s">
        <v>117</v>
      </c>
      <c r="D34" s="311"/>
      <c r="E34" s="55" t="s">
        <v>118</v>
      </c>
      <c r="F34" s="324"/>
      <c r="G34" s="325"/>
      <c r="H34" s="81"/>
      <c r="I34" s="56"/>
      <c r="J34" s="57"/>
      <c r="K34" s="57"/>
      <c r="L34" s="310"/>
      <c r="M34" s="311"/>
      <c r="N34" s="153"/>
      <c r="O34" s="81"/>
      <c r="P34" s="54">
        <v>480</v>
      </c>
      <c r="Q34" s="153"/>
      <c r="R34" s="54"/>
      <c r="S34" s="52">
        <f t="shared" si="0"/>
        <v>480</v>
      </c>
      <c r="T34" s="58">
        <v>159430</v>
      </c>
    </row>
    <row r="35" spans="1:20">
      <c r="A35" s="153" t="s">
        <v>147</v>
      </c>
      <c r="B35" s="38" t="s">
        <v>88</v>
      </c>
      <c r="C35" s="324" t="s">
        <v>111</v>
      </c>
      <c r="D35" s="311"/>
      <c r="E35" s="55" t="s">
        <v>112</v>
      </c>
      <c r="F35" s="324"/>
      <c r="G35" s="325"/>
      <c r="H35" s="81"/>
      <c r="I35" s="56">
        <v>9750</v>
      </c>
      <c r="J35" s="57"/>
      <c r="K35" s="57">
        <v>330</v>
      </c>
      <c r="L35" s="310"/>
      <c r="M35" s="311"/>
      <c r="N35" s="153"/>
      <c r="O35" s="81">
        <v>120</v>
      </c>
      <c r="P35" s="54">
        <v>2400</v>
      </c>
      <c r="Q35" s="153">
        <v>1500</v>
      </c>
      <c r="R35" s="54"/>
      <c r="S35" s="52">
        <f t="shared" si="0"/>
        <v>14100</v>
      </c>
      <c r="T35" s="58">
        <v>4400818</v>
      </c>
    </row>
    <row r="36" spans="1:20">
      <c r="A36" s="153" t="s">
        <v>148</v>
      </c>
      <c r="B36" s="38" t="s">
        <v>89</v>
      </c>
      <c r="C36" s="324" t="s">
        <v>102</v>
      </c>
      <c r="D36" s="311"/>
      <c r="E36" s="55" t="s">
        <v>103</v>
      </c>
      <c r="F36" s="324"/>
      <c r="G36" s="325"/>
      <c r="H36" s="81"/>
      <c r="I36" s="56"/>
      <c r="J36" s="57"/>
      <c r="K36" s="57"/>
      <c r="L36" s="310"/>
      <c r="M36" s="311"/>
      <c r="N36" s="153"/>
      <c r="O36" s="81"/>
      <c r="P36" s="54"/>
      <c r="Q36" s="153">
        <v>60</v>
      </c>
      <c r="R36" s="54"/>
      <c r="S36" s="52">
        <f t="shared" si="0"/>
        <v>60</v>
      </c>
      <c r="T36" s="58">
        <v>23166</v>
      </c>
    </row>
    <row r="37" spans="1:20">
      <c r="A37" s="153" t="s">
        <v>148</v>
      </c>
      <c r="B37" s="38" t="s">
        <v>90</v>
      </c>
      <c r="C37" s="324" t="s">
        <v>149</v>
      </c>
      <c r="D37" s="311"/>
      <c r="E37" s="55" t="s">
        <v>99</v>
      </c>
      <c r="F37" s="324"/>
      <c r="G37" s="325"/>
      <c r="H37" s="81"/>
      <c r="I37" s="56"/>
      <c r="J37" s="57"/>
      <c r="K37" s="57"/>
      <c r="L37" s="310"/>
      <c r="M37" s="311"/>
      <c r="N37" s="153"/>
      <c r="O37" s="81"/>
      <c r="P37" s="54">
        <v>120</v>
      </c>
      <c r="Q37" s="153">
        <v>24</v>
      </c>
      <c r="R37" s="54"/>
      <c r="S37" s="52">
        <f t="shared" si="0"/>
        <v>144</v>
      </c>
      <c r="T37" s="58">
        <v>49124</v>
      </c>
    </row>
    <row r="38" spans="1:20" ht="15.75" thickBot="1">
      <c r="A38" s="153" t="s">
        <v>148</v>
      </c>
      <c r="B38" s="38" t="s">
        <v>91</v>
      </c>
      <c r="C38" s="324" t="s">
        <v>95</v>
      </c>
      <c r="D38" s="311"/>
      <c r="E38" s="55" t="s">
        <v>96</v>
      </c>
      <c r="F38" s="324"/>
      <c r="G38" s="325"/>
      <c r="H38" s="81"/>
      <c r="I38" s="56">
        <v>600</v>
      </c>
      <c r="J38" s="57"/>
      <c r="K38" s="57"/>
      <c r="L38" s="310"/>
      <c r="M38" s="311"/>
      <c r="N38" s="153">
        <v>480</v>
      </c>
      <c r="O38" s="81">
        <v>480</v>
      </c>
      <c r="P38" s="54">
        <v>1200</v>
      </c>
      <c r="Q38" s="153"/>
      <c r="R38" s="54"/>
      <c r="S38" s="52">
        <f t="shared" si="0"/>
        <v>2760</v>
      </c>
      <c r="T38" s="58">
        <v>869400</v>
      </c>
    </row>
    <row r="39" spans="1:20" ht="15.75" thickBot="1">
      <c r="A39" s="31" t="s">
        <v>150</v>
      </c>
      <c r="B39" s="179" t="s">
        <v>92</v>
      </c>
      <c r="C39" s="354" t="s">
        <v>52</v>
      </c>
      <c r="D39" s="355"/>
      <c r="E39" s="126" t="s">
        <v>158</v>
      </c>
      <c r="F39" s="354"/>
      <c r="G39" s="357"/>
      <c r="H39" s="158">
        <v>120</v>
      </c>
      <c r="I39" s="127"/>
      <c r="J39" s="128"/>
      <c r="K39" s="128"/>
      <c r="L39" s="356"/>
      <c r="M39" s="355"/>
      <c r="N39" s="159"/>
      <c r="O39" s="158"/>
      <c r="P39" s="129"/>
      <c r="Q39" s="159"/>
      <c r="R39" s="129"/>
      <c r="S39" s="130">
        <f t="shared" si="0"/>
        <v>120</v>
      </c>
      <c r="T39" s="131">
        <v>41293</v>
      </c>
    </row>
    <row r="40" spans="1:20">
      <c r="A40" s="180" t="s">
        <v>150</v>
      </c>
      <c r="B40" s="184" t="s">
        <v>93</v>
      </c>
      <c r="C40" s="326" t="s">
        <v>111</v>
      </c>
      <c r="D40" s="327"/>
      <c r="E40" s="143" t="s">
        <v>112</v>
      </c>
      <c r="F40" s="328"/>
      <c r="G40" s="329"/>
      <c r="H40" s="144"/>
      <c r="I40" s="145">
        <v>6450</v>
      </c>
      <c r="J40" s="146"/>
      <c r="K40" s="146">
        <v>110</v>
      </c>
      <c r="L40" s="330"/>
      <c r="M40" s="331"/>
      <c r="N40" s="155">
        <v>240</v>
      </c>
      <c r="O40" s="144">
        <v>120</v>
      </c>
      <c r="P40" s="147">
        <v>4200</v>
      </c>
      <c r="Q40" s="155">
        <v>2100</v>
      </c>
      <c r="R40" s="147"/>
      <c r="S40" s="148">
        <f t="shared" si="0"/>
        <v>13220</v>
      </c>
      <c r="T40" s="149">
        <v>4201426</v>
      </c>
    </row>
    <row r="41" spans="1:20">
      <c r="A41" s="181" t="s">
        <v>159</v>
      </c>
      <c r="B41" s="83" t="s">
        <v>94</v>
      </c>
      <c r="C41" s="322" t="s">
        <v>120</v>
      </c>
      <c r="D41" s="323"/>
      <c r="E41" s="55" t="s">
        <v>121</v>
      </c>
      <c r="F41" s="324"/>
      <c r="G41" s="325"/>
      <c r="H41" s="81"/>
      <c r="I41" s="56">
        <v>1800</v>
      </c>
      <c r="J41" s="57"/>
      <c r="K41" s="57"/>
      <c r="L41" s="310"/>
      <c r="M41" s="311"/>
      <c r="N41" s="153">
        <v>240</v>
      </c>
      <c r="O41" s="81">
        <v>240</v>
      </c>
      <c r="P41" s="54">
        <v>2640</v>
      </c>
      <c r="Q41" s="153"/>
      <c r="R41" s="54"/>
      <c r="S41" s="52">
        <f t="shared" si="0"/>
        <v>4920</v>
      </c>
      <c r="T41" s="58">
        <v>1544165</v>
      </c>
    </row>
    <row r="42" spans="1:20">
      <c r="A42" s="181" t="s">
        <v>159</v>
      </c>
      <c r="B42" s="83" t="s">
        <v>151</v>
      </c>
      <c r="C42" s="322" t="s">
        <v>122</v>
      </c>
      <c r="D42" s="323"/>
      <c r="E42" s="55" t="s">
        <v>121</v>
      </c>
      <c r="F42" s="324"/>
      <c r="G42" s="325"/>
      <c r="H42" s="81"/>
      <c r="I42" s="56"/>
      <c r="J42" s="57"/>
      <c r="K42" s="57"/>
      <c r="L42" s="310"/>
      <c r="M42" s="311"/>
      <c r="N42" s="153">
        <v>600</v>
      </c>
      <c r="O42" s="81"/>
      <c r="P42" s="54">
        <v>1200</v>
      </c>
      <c r="Q42" s="153"/>
      <c r="R42" s="54"/>
      <c r="S42" s="52">
        <f t="shared" si="0"/>
        <v>1800</v>
      </c>
      <c r="T42" s="58">
        <v>572891</v>
      </c>
    </row>
    <row r="43" spans="1:20">
      <c r="A43" s="181" t="s">
        <v>159</v>
      </c>
      <c r="B43" s="83" t="s">
        <v>152</v>
      </c>
      <c r="C43" s="322" t="s">
        <v>123</v>
      </c>
      <c r="D43" s="323"/>
      <c r="E43" s="55" t="s">
        <v>121</v>
      </c>
      <c r="F43" s="324"/>
      <c r="G43" s="325"/>
      <c r="H43" s="81"/>
      <c r="I43" s="56"/>
      <c r="J43" s="57"/>
      <c r="K43" s="57"/>
      <c r="L43" s="310"/>
      <c r="M43" s="311"/>
      <c r="N43" s="153"/>
      <c r="O43" s="81"/>
      <c r="P43" s="54">
        <v>1800</v>
      </c>
      <c r="Q43" s="153"/>
      <c r="R43" s="54"/>
      <c r="S43" s="52">
        <f t="shared" si="0"/>
        <v>1800</v>
      </c>
      <c r="T43" s="58">
        <v>577093</v>
      </c>
    </row>
    <row r="44" spans="1:20">
      <c r="A44" s="181" t="s">
        <v>169</v>
      </c>
      <c r="B44" s="83" t="s">
        <v>153</v>
      </c>
      <c r="C44" s="322" t="s">
        <v>95</v>
      </c>
      <c r="D44" s="323"/>
      <c r="E44" s="55" t="s">
        <v>96</v>
      </c>
      <c r="F44" s="324"/>
      <c r="G44" s="325"/>
      <c r="H44" s="81"/>
      <c r="I44" s="56"/>
      <c r="J44" s="57"/>
      <c r="K44" s="57"/>
      <c r="L44" s="310"/>
      <c r="M44" s="311"/>
      <c r="N44" s="153">
        <v>1200</v>
      </c>
      <c r="O44" s="81">
        <v>1200</v>
      </c>
      <c r="P44" s="54">
        <v>5400</v>
      </c>
      <c r="Q44" s="153"/>
      <c r="R44" s="54"/>
      <c r="S44" s="52">
        <f t="shared" si="0"/>
        <v>7800</v>
      </c>
      <c r="T44" s="58">
        <v>2487530</v>
      </c>
    </row>
    <row r="45" spans="1:20">
      <c r="A45" s="181" t="s">
        <v>170</v>
      </c>
      <c r="B45" s="83" t="s">
        <v>154</v>
      </c>
      <c r="C45" s="322" t="s">
        <v>102</v>
      </c>
      <c r="D45" s="323"/>
      <c r="E45" s="55" t="s">
        <v>103</v>
      </c>
      <c r="F45" s="324"/>
      <c r="G45" s="325"/>
      <c r="H45" s="81"/>
      <c r="I45" s="56"/>
      <c r="J45" s="57"/>
      <c r="K45" s="57"/>
      <c r="L45" s="310"/>
      <c r="M45" s="311"/>
      <c r="N45" s="153"/>
      <c r="O45" s="81"/>
      <c r="P45" s="54">
        <v>120</v>
      </c>
      <c r="Q45" s="153">
        <v>60</v>
      </c>
      <c r="R45" s="54"/>
      <c r="S45" s="52">
        <f t="shared" si="0"/>
        <v>180</v>
      </c>
      <c r="T45" s="58">
        <v>63024</v>
      </c>
    </row>
    <row r="46" spans="1:20">
      <c r="A46" s="181" t="s">
        <v>170</v>
      </c>
      <c r="B46" s="83" t="s">
        <v>155</v>
      </c>
      <c r="C46" s="322" t="s">
        <v>95</v>
      </c>
      <c r="D46" s="323"/>
      <c r="E46" s="55" t="s">
        <v>96</v>
      </c>
      <c r="F46" s="324"/>
      <c r="G46" s="325"/>
      <c r="H46" s="81">
        <v>240</v>
      </c>
      <c r="I46" s="56">
        <v>450</v>
      </c>
      <c r="J46" s="57"/>
      <c r="K46" s="57"/>
      <c r="L46" s="310">
        <v>110</v>
      </c>
      <c r="M46" s="311"/>
      <c r="N46" s="153"/>
      <c r="O46" s="81"/>
      <c r="P46" s="54"/>
      <c r="Q46" s="153"/>
      <c r="R46" s="54"/>
      <c r="S46" s="52">
        <f t="shared" si="0"/>
        <v>800</v>
      </c>
      <c r="T46" s="58">
        <v>254659</v>
      </c>
    </row>
    <row r="47" spans="1:20">
      <c r="A47" s="181" t="s">
        <v>170</v>
      </c>
      <c r="B47" s="83" t="s">
        <v>156</v>
      </c>
      <c r="C47" s="322" t="s">
        <v>98</v>
      </c>
      <c r="D47" s="323"/>
      <c r="E47" s="55" t="s">
        <v>99</v>
      </c>
      <c r="F47" s="324"/>
      <c r="G47" s="325"/>
      <c r="H47" s="81"/>
      <c r="I47" s="56"/>
      <c r="J47" s="57"/>
      <c r="K47" s="57"/>
      <c r="L47" s="310"/>
      <c r="M47" s="311"/>
      <c r="N47" s="153"/>
      <c r="O47" s="81"/>
      <c r="P47" s="54">
        <v>120</v>
      </c>
      <c r="Q47" s="153"/>
      <c r="R47" s="54"/>
      <c r="S47" s="52">
        <f t="shared" si="0"/>
        <v>120</v>
      </c>
      <c r="T47" s="58">
        <v>39858</v>
      </c>
    </row>
    <row r="48" spans="1:20">
      <c r="A48" s="181" t="s">
        <v>171</v>
      </c>
      <c r="B48" s="83" t="s">
        <v>157</v>
      </c>
      <c r="C48" s="322" t="s">
        <v>127</v>
      </c>
      <c r="D48" s="323"/>
      <c r="E48" s="55" t="s">
        <v>146</v>
      </c>
      <c r="F48" s="324"/>
      <c r="G48" s="325"/>
      <c r="H48" s="81">
        <v>1200</v>
      </c>
      <c r="I48" s="56"/>
      <c r="J48" s="57">
        <v>240</v>
      </c>
      <c r="K48" s="57"/>
      <c r="L48" s="310"/>
      <c r="M48" s="311"/>
      <c r="N48" s="153">
        <v>1200</v>
      </c>
      <c r="O48" s="81">
        <v>720</v>
      </c>
      <c r="P48" s="54">
        <v>3600</v>
      </c>
      <c r="Q48" s="153">
        <v>240</v>
      </c>
      <c r="R48" s="54"/>
      <c r="S48" s="52">
        <f t="shared" si="0"/>
        <v>7200</v>
      </c>
      <c r="T48" s="58">
        <v>2265173</v>
      </c>
    </row>
    <row r="49" spans="1:24">
      <c r="A49" s="181" t="s">
        <v>171</v>
      </c>
      <c r="B49" s="83" t="s">
        <v>162</v>
      </c>
      <c r="C49" s="322" t="s">
        <v>172</v>
      </c>
      <c r="D49" s="323"/>
      <c r="E49" s="183" t="s">
        <v>215</v>
      </c>
      <c r="F49" s="324"/>
      <c r="G49" s="325"/>
      <c r="H49" s="81"/>
      <c r="I49" s="56"/>
      <c r="J49" s="57"/>
      <c r="K49" s="57"/>
      <c r="L49" s="310"/>
      <c r="M49" s="311"/>
      <c r="N49" s="153"/>
      <c r="O49" s="81"/>
      <c r="P49" s="54">
        <v>240</v>
      </c>
      <c r="Q49" s="153"/>
      <c r="R49" s="54"/>
      <c r="S49" s="52">
        <f t="shared" si="0"/>
        <v>240</v>
      </c>
      <c r="T49" s="58">
        <v>79715</v>
      </c>
    </row>
    <row r="50" spans="1:24">
      <c r="A50" s="181" t="s">
        <v>171</v>
      </c>
      <c r="B50" s="83" t="s">
        <v>163</v>
      </c>
      <c r="C50" s="322" t="s">
        <v>100</v>
      </c>
      <c r="D50" s="323"/>
      <c r="E50" s="55" t="s">
        <v>101</v>
      </c>
      <c r="F50" s="324"/>
      <c r="G50" s="325"/>
      <c r="H50" s="81"/>
      <c r="I50" s="56"/>
      <c r="J50" s="57"/>
      <c r="K50" s="57"/>
      <c r="L50" s="310"/>
      <c r="M50" s="311"/>
      <c r="N50" s="153"/>
      <c r="O50" s="81"/>
      <c r="P50" s="54">
        <v>360</v>
      </c>
      <c r="Q50" s="153"/>
      <c r="R50" s="54"/>
      <c r="S50" s="52">
        <f t="shared" si="0"/>
        <v>360</v>
      </c>
      <c r="T50" s="58">
        <v>119573</v>
      </c>
    </row>
    <row r="51" spans="1:24">
      <c r="A51" s="181" t="s">
        <v>173</v>
      </c>
      <c r="B51" s="83" t="s">
        <v>164</v>
      </c>
      <c r="C51" s="322" t="s">
        <v>174</v>
      </c>
      <c r="D51" s="323"/>
      <c r="E51" s="55" t="s">
        <v>175</v>
      </c>
      <c r="F51" s="324"/>
      <c r="G51" s="325"/>
      <c r="H51" s="81"/>
      <c r="I51" s="56"/>
      <c r="J51" s="57"/>
      <c r="K51" s="57"/>
      <c r="L51" s="310"/>
      <c r="M51" s="311"/>
      <c r="N51" s="153"/>
      <c r="O51" s="81"/>
      <c r="P51" s="54">
        <v>240</v>
      </c>
      <c r="Q51" s="153"/>
      <c r="R51" s="54"/>
      <c r="S51" s="52">
        <f t="shared" si="0"/>
        <v>240</v>
      </c>
      <c r="T51" s="58">
        <v>79715</v>
      </c>
    </row>
    <row r="52" spans="1:24">
      <c r="A52" s="181" t="s">
        <v>173</v>
      </c>
      <c r="B52" s="83" t="s">
        <v>165</v>
      </c>
      <c r="C52" s="322" t="s">
        <v>127</v>
      </c>
      <c r="D52" s="323"/>
      <c r="E52" s="55" t="s">
        <v>128</v>
      </c>
      <c r="F52" s="324"/>
      <c r="G52" s="325"/>
      <c r="H52" s="81">
        <v>960</v>
      </c>
      <c r="I52" s="56">
        <v>750</v>
      </c>
      <c r="J52" s="57"/>
      <c r="K52" s="57">
        <v>660</v>
      </c>
      <c r="L52" s="310">
        <v>330</v>
      </c>
      <c r="M52" s="311"/>
      <c r="N52" s="153">
        <v>360</v>
      </c>
      <c r="O52" s="81">
        <v>240</v>
      </c>
      <c r="P52" s="54">
        <v>1200</v>
      </c>
      <c r="Q52" s="153">
        <v>360</v>
      </c>
      <c r="R52" s="54"/>
      <c r="S52" s="52">
        <f t="shared" si="0"/>
        <v>4860</v>
      </c>
      <c r="T52" s="58">
        <v>1557805</v>
      </c>
    </row>
    <row r="53" spans="1:24">
      <c r="A53" s="181" t="s">
        <v>176</v>
      </c>
      <c r="B53" s="83" t="s">
        <v>166</v>
      </c>
      <c r="C53" s="322" t="s">
        <v>120</v>
      </c>
      <c r="D53" s="323"/>
      <c r="E53" s="55" t="s">
        <v>121</v>
      </c>
      <c r="F53" s="324"/>
      <c r="G53" s="325"/>
      <c r="H53" s="81"/>
      <c r="I53" s="56">
        <v>1800</v>
      </c>
      <c r="J53" s="57"/>
      <c r="K53" s="57"/>
      <c r="L53" s="310"/>
      <c r="M53" s="311"/>
      <c r="N53" s="153">
        <v>720</v>
      </c>
      <c r="O53" s="81">
        <v>240</v>
      </c>
      <c r="P53" s="54">
        <v>2640</v>
      </c>
      <c r="Q53" s="153"/>
      <c r="R53" s="54"/>
      <c r="S53" s="52">
        <f t="shared" si="0"/>
        <v>5400</v>
      </c>
      <c r="T53" s="58">
        <v>1694695</v>
      </c>
    </row>
    <row r="54" spans="1:24">
      <c r="A54" s="181" t="s">
        <v>176</v>
      </c>
      <c r="B54" s="83" t="s">
        <v>167</v>
      </c>
      <c r="C54" s="322" t="s">
        <v>123</v>
      </c>
      <c r="D54" s="323"/>
      <c r="E54" s="55" t="s">
        <v>121</v>
      </c>
      <c r="F54" s="324"/>
      <c r="G54" s="325"/>
      <c r="H54" s="81"/>
      <c r="I54" s="56">
        <v>600</v>
      </c>
      <c r="J54" s="57">
        <f>120+24+48+48+24+1200+120+120+48+1440+120+240+1200+960</f>
        <v>5712</v>
      </c>
      <c r="K54" s="57"/>
      <c r="L54" s="310"/>
      <c r="M54" s="311"/>
      <c r="N54" s="153"/>
      <c r="O54" s="81"/>
      <c r="P54" s="54">
        <v>1200</v>
      </c>
      <c r="Q54" s="153"/>
      <c r="R54" s="54"/>
      <c r="S54" s="52">
        <f t="shared" si="0"/>
        <v>7512</v>
      </c>
      <c r="T54" s="58">
        <v>566899</v>
      </c>
    </row>
    <row r="55" spans="1:24" ht="15.75" thickBot="1">
      <c r="A55" s="182" t="s">
        <v>176</v>
      </c>
      <c r="B55" s="179" t="s">
        <v>168</v>
      </c>
      <c r="C55" s="354" t="s">
        <v>122</v>
      </c>
      <c r="D55" s="355"/>
      <c r="E55" s="126" t="s">
        <v>121</v>
      </c>
      <c r="F55" s="354"/>
      <c r="G55" s="357"/>
      <c r="H55" s="158"/>
      <c r="I55" s="127"/>
      <c r="J55" s="128"/>
      <c r="K55" s="128"/>
      <c r="L55" s="356"/>
      <c r="M55" s="355"/>
      <c r="N55" s="159">
        <v>480</v>
      </c>
      <c r="O55" s="158">
        <v>240</v>
      </c>
      <c r="P55" s="129">
        <v>480</v>
      </c>
      <c r="Q55" s="159"/>
      <c r="R55" s="129"/>
      <c r="S55" s="130">
        <f t="shared" si="0"/>
        <v>1200</v>
      </c>
      <c r="T55" s="131">
        <v>380407</v>
      </c>
    </row>
    <row r="56" spans="1:24" ht="15.75" thickBot="1">
      <c r="A56" s="361" t="s">
        <v>16</v>
      </c>
      <c r="B56" s="362"/>
      <c r="C56" s="362"/>
      <c r="D56" s="61"/>
      <c r="E56" s="59"/>
      <c r="F56" s="318">
        <f>SUM(F5:G55)</f>
        <v>768</v>
      </c>
      <c r="G56" s="320"/>
      <c r="H56" s="34">
        <f>SUM(H5:H55)</f>
        <v>5712</v>
      </c>
      <c r="I56" s="76">
        <f>SUM(I5:I55)</f>
        <v>32880</v>
      </c>
      <c r="J56" s="77">
        <f>SUM(J5:J55)</f>
        <v>6072</v>
      </c>
      <c r="K56" s="77">
        <f>SUM(K5:K55)</f>
        <v>2442</v>
      </c>
      <c r="L56" s="321">
        <f>SUM(L5:M55)</f>
        <v>440</v>
      </c>
      <c r="M56" s="319"/>
      <c r="N56" s="76">
        <f t="shared" ref="N56:T56" si="1">SUM(N5:N55)</f>
        <v>10440</v>
      </c>
      <c r="O56" s="77">
        <f t="shared" si="1"/>
        <v>6504</v>
      </c>
      <c r="P56" s="34">
        <f t="shared" si="1"/>
        <v>55848</v>
      </c>
      <c r="Q56" s="76">
        <f t="shared" si="1"/>
        <v>6672</v>
      </c>
      <c r="R56" s="34">
        <f t="shared" si="1"/>
        <v>900</v>
      </c>
      <c r="S56" s="60">
        <f t="shared" si="1"/>
        <v>128678</v>
      </c>
      <c r="T56" s="36">
        <f t="shared" si="1"/>
        <v>39031428</v>
      </c>
      <c r="V56" s="13"/>
      <c r="W56" s="13"/>
      <c r="X56" s="13"/>
    </row>
    <row r="57" spans="1:24" ht="15.75" thickBot="1">
      <c r="A57" s="361"/>
      <c r="B57" s="362"/>
      <c r="C57" s="362"/>
      <c r="D57" s="61"/>
      <c r="E57" s="59"/>
      <c r="F57" s="318">
        <f>F4+F56</f>
        <v>768</v>
      </c>
      <c r="G57" s="320"/>
      <c r="H57" s="34">
        <f>H4+H56</f>
        <v>5712</v>
      </c>
      <c r="I57" s="61">
        <f>I4+I56</f>
        <v>32880</v>
      </c>
      <c r="J57" s="77">
        <f>J4+J56</f>
        <v>6072</v>
      </c>
      <c r="K57" s="77">
        <f>K4+K56</f>
        <v>2442</v>
      </c>
      <c r="L57" s="321">
        <f>L4+L56</f>
        <v>440</v>
      </c>
      <c r="M57" s="319"/>
      <c r="N57" s="76">
        <f t="shared" ref="N57:T57" si="2">N4+N56</f>
        <v>10440</v>
      </c>
      <c r="O57" s="77">
        <f t="shared" si="2"/>
        <v>6504</v>
      </c>
      <c r="P57" s="34">
        <f t="shared" si="2"/>
        <v>55848</v>
      </c>
      <c r="Q57" s="61">
        <f t="shared" si="2"/>
        <v>6672</v>
      </c>
      <c r="R57" s="77">
        <f t="shared" si="2"/>
        <v>900</v>
      </c>
      <c r="S57" s="62">
        <f t="shared" si="2"/>
        <v>128678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363" t="s">
        <v>161</v>
      </c>
      <c r="B59" s="364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5"/>
      <c r="R59" s="1"/>
      <c r="S59" s="1"/>
      <c r="T59" s="28"/>
    </row>
    <row r="60" spans="1:24" ht="15.75" customHeight="1" thickBot="1">
      <c r="A60" s="366" t="s">
        <v>34</v>
      </c>
      <c r="B60" s="367"/>
      <c r="C60" s="370" t="s">
        <v>33</v>
      </c>
      <c r="D60" s="370" t="s">
        <v>11</v>
      </c>
      <c r="E60" s="373" t="s">
        <v>19</v>
      </c>
      <c r="F60" s="366" t="s">
        <v>8</v>
      </c>
      <c r="G60" s="367"/>
      <c r="H60" s="375" t="s">
        <v>10</v>
      </c>
      <c r="I60" s="376"/>
      <c r="J60" s="377"/>
      <c r="K60" s="378" t="s">
        <v>25</v>
      </c>
      <c r="L60" s="379"/>
      <c r="M60" s="379"/>
      <c r="N60" s="379"/>
      <c r="O60" s="380"/>
      <c r="P60" s="370" t="s">
        <v>20</v>
      </c>
      <c r="Q60" s="381" t="s">
        <v>38</v>
      </c>
      <c r="R60" s="1"/>
      <c r="S60" s="1"/>
      <c r="T60" s="28"/>
    </row>
    <row r="61" spans="1:24" ht="15.75" thickBot="1">
      <c r="A61" s="368"/>
      <c r="B61" s="369"/>
      <c r="C61" s="371"/>
      <c r="D61" s="372"/>
      <c r="E61" s="374"/>
      <c r="F61" s="368"/>
      <c r="G61" s="369"/>
      <c r="H61" s="69" t="s">
        <v>49</v>
      </c>
      <c r="I61" s="69" t="s">
        <v>48</v>
      </c>
      <c r="J61" s="69" t="s">
        <v>50</v>
      </c>
      <c r="K61" s="69" t="s">
        <v>24</v>
      </c>
      <c r="L61" s="378" t="s">
        <v>47</v>
      </c>
      <c r="M61" s="380"/>
      <c r="N61" s="69" t="s">
        <v>46</v>
      </c>
      <c r="O61" s="69" t="s">
        <v>45</v>
      </c>
      <c r="P61" s="372"/>
      <c r="Q61" s="382"/>
      <c r="T61" s="28"/>
    </row>
    <row r="62" spans="1:24" ht="15" customHeight="1">
      <c r="A62" s="366" t="s">
        <v>27</v>
      </c>
      <c r="B62" s="367"/>
      <c r="C62" s="65" t="s">
        <v>28</v>
      </c>
      <c r="D62" s="65"/>
      <c r="E62" s="4">
        <v>720</v>
      </c>
      <c r="F62" s="388"/>
      <c r="G62" s="388"/>
      <c r="H62" s="4"/>
      <c r="I62" s="66"/>
      <c r="J62" s="4"/>
      <c r="K62" s="66"/>
      <c r="L62" s="389"/>
      <c r="M62" s="390"/>
      <c r="N62" s="66"/>
      <c r="O62" s="4">
        <v>48</v>
      </c>
      <c r="P62" s="66"/>
      <c r="Q62" s="4">
        <f>SUM(D62:P62)</f>
        <v>768</v>
      </c>
      <c r="T62" s="28"/>
      <c r="V62" s="13">
        <f>Q62-F56</f>
        <v>0</v>
      </c>
    </row>
    <row r="63" spans="1:24" ht="15.75" thickBot="1">
      <c r="A63" s="368"/>
      <c r="B63" s="369"/>
      <c r="C63" s="73" t="s">
        <v>29</v>
      </c>
      <c r="D63" s="73"/>
      <c r="E63" s="14">
        <v>2640</v>
      </c>
      <c r="F63" s="395">
        <v>2160</v>
      </c>
      <c r="G63" s="395"/>
      <c r="H63" s="14"/>
      <c r="I63" s="70"/>
      <c r="J63" s="14"/>
      <c r="K63" s="70"/>
      <c r="L63" s="396"/>
      <c r="M63" s="397"/>
      <c r="N63" s="70"/>
      <c r="O63" s="14">
        <v>672</v>
      </c>
      <c r="P63" s="70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366" t="s">
        <v>41</v>
      </c>
      <c r="B64" s="367"/>
      <c r="C64" s="4" t="s">
        <v>30</v>
      </c>
      <c r="D64" s="65">
        <v>23250</v>
      </c>
      <c r="E64" s="4">
        <v>600</v>
      </c>
      <c r="F64" s="388">
        <v>1650</v>
      </c>
      <c r="G64" s="388"/>
      <c r="H64" s="4"/>
      <c r="I64" s="66">
        <v>3600</v>
      </c>
      <c r="J64" s="4">
        <v>1200</v>
      </c>
      <c r="K64" s="66"/>
      <c r="L64" s="389">
        <v>120</v>
      </c>
      <c r="M64" s="390"/>
      <c r="N64" s="66"/>
      <c r="O64" s="4">
        <v>210</v>
      </c>
      <c r="P64" s="66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403"/>
      <c r="B65" s="404"/>
      <c r="C65" s="5" t="s">
        <v>32</v>
      </c>
      <c r="D65" s="67">
        <v>120</v>
      </c>
      <c r="E65" s="5">
        <v>240</v>
      </c>
      <c r="F65" s="408"/>
      <c r="G65" s="408"/>
      <c r="H65" s="5"/>
      <c r="I65" s="68"/>
      <c r="J65" s="5"/>
      <c r="K65" s="68"/>
      <c r="L65" s="409"/>
      <c r="M65" s="410"/>
      <c r="N65" s="68"/>
      <c r="O65" s="5"/>
      <c r="P65" s="68"/>
      <c r="Q65" s="5">
        <f t="shared" si="3"/>
        <v>360</v>
      </c>
      <c r="T65" s="28"/>
      <c r="V65" s="13">
        <f>J56-Q65</f>
        <v>5712</v>
      </c>
    </row>
    <row r="66" spans="1:22">
      <c r="A66" s="403"/>
      <c r="B66" s="404"/>
      <c r="C66" s="5" t="s">
        <v>43</v>
      </c>
      <c r="D66" s="67">
        <v>880</v>
      </c>
      <c r="E66" s="5"/>
      <c r="F66" s="408">
        <v>1320</v>
      </c>
      <c r="G66" s="408"/>
      <c r="H66" s="5"/>
      <c r="I66" s="68"/>
      <c r="J66" s="5"/>
      <c r="K66" s="68"/>
      <c r="L66" s="409"/>
      <c r="M66" s="410"/>
      <c r="N66" s="68"/>
      <c r="O66" s="5">
        <v>22</v>
      </c>
      <c r="P66" s="68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368"/>
      <c r="B67" s="369"/>
      <c r="C67" s="64" t="s">
        <v>44</v>
      </c>
      <c r="D67" s="72"/>
      <c r="E67" s="15"/>
      <c r="F67" s="358">
        <v>330</v>
      </c>
      <c r="G67" s="358"/>
      <c r="H67" s="15"/>
      <c r="I67" s="71"/>
      <c r="J67" s="15"/>
      <c r="K67" s="71"/>
      <c r="L67" s="359"/>
      <c r="M67" s="360"/>
      <c r="N67" s="71"/>
      <c r="O67" s="15"/>
      <c r="P67" s="71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366" t="s">
        <v>40</v>
      </c>
      <c r="B68" s="367"/>
      <c r="C68" s="75" t="s">
        <v>28</v>
      </c>
      <c r="D68" s="75">
        <v>1080</v>
      </c>
      <c r="E68" s="16">
        <v>1680</v>
      </c>
      <c r="F68" s="405">
        <v>360</v>
      </c>
      <c r="G68" s="405"/>
      <c r="H68" s="16">
        <v>1680</v>
      </c>
      <c r="I68" s="74">
        <v>1560</v>
      </c>
      <c r="J68" s="16"/>
      <c r="K68" s="74"/>
      <c r="L68" s="406"/>
      <c r="M68" s="407"/>
      <c r="N68" s="74"/>
      <c r="O68" s="16"/>
      <c r="P68" s="74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403"/>
      <c r="B69" s="404"/>
      <c r="C69" s="67" t="s">
        <v>31</v>
      </c>
      <c r="D69" s="67">
        <v>240</v>
      </c>
      <c r="E69" s="5">
        <v>1440</v>
      </c>
      <c r="F69" s="408">
        <v>240</v>
      </c>
      <c r="G69" s="408"/>
      <c r="H69" s="5">
        <v>720</v>
      </c>
      <c r="I69" s="68">
        <v>720</v>
      </c>
      <c r="J69" s="5"/>
      <c r="K69" s="68"/>
      <c r="L69" s="409">
        <v>144</v>
      </c>
      <c r="M69" s="410"/>
      <c r="N69" s="68"/>
      <c r="O69" s="5"/>
      <c r="P69" s="68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368"/>
      <c r="B70" s="369"/>
      <c r="C70" s="64" t="s">
        <v>29</v>
      </c>
      <c r="D70" s="73">
        <v>9000</v>
      </c>
      <c r="E70" s="14">
        <v>8400</v>
      </c>
      <c r="F70" s="395">
        <v>5520</v>
      </c>
      <c r="G70" s="395"/>
      <c r="H70" s="14">
        <v>2520</v>
      </c>
      <c r="I70" s="70">
        <v>8880</v>
      </c>
      <c r="J70" s="14">
        <v>4920</v>
      </c>
      <c r="K70" s="70"/>
      <c r="L70" s="396">
        <v>720</v>
      </c>
      <c r="M70" s="397"/>
      <c r="N70" s="70"/>
      <c r="O70" s="14">
        <v>3648</v>
      </c>
      <c r="P70" s="70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366" t="s">
        <v>42</v>
      </c>
      <c r="B71" s="367"/>
      <c r="C71" s="65" t="s">
        <v>31</v>
      </c>
      <c r="D71" s="65">
        <v>5160</v>
      </c>
      <c r="E71" s="4">
        <v>240</v>
      </c>
      <c r="F71" s="388">
        <v>360</v>
      </c>
      <c r="G71" s="388"/>
      <c r="H71" s="4"/>
      <c r="I71" s="66"/>
      <c r="J71" s="4"/>
      <c r="K71" s="66"/>
      <c r="L71" s="389">
        <v>120</v>
      </c>
      <c r="M71" s="390"/>
      <c r="N71" s="66"/>
      <c r="O71" s="4">
        <v>672</v>
      </c>
      <c r="P71" s="66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368"/>
      <c r="B72" s="369"/>
      <c r="C72" s="64" t="s">
        <v>29</v>
      </c>
      <c r="D72" s="72">
        <v>900</v>
      </c>
      <c r="E72" s="15"/>
      <c r="F72" s="358"/>
      <c r="G72" s="358"/>
      <c r="H72" s="15"/>
      <c r="I72" s="71"/>
      <c r="J72" s="15"/>
      <c r="K72" s="71"/>
      <c r="L72" s="359"/>
      <c r="M72" s="360"/>
      <c r="N72" s="71"/>
      <c r="O72" s="15"/>
      <c r="P72" s="71"/>
      <c r="Q72" s="16">
        <f t="shared" si="3"/>
        <v>900</v>
      </c>
      <c r="T72" s="28"/>
      <c r="V72" s="13">
        <f>R56-Q72</f>
        <v>0</v>
      </c>
    </row>
    <row r="73" spans="1:22" ht="15.75" thickBot="1">
      <c r="A73" s="391" t="s">
        <v>37</v>
      </c>
      <c r="B73" s="392"/>
      <c r="C73" s="392"/>
      <c r="D73" s="23">
        <f>SUM(D62:D72)</f>
        <v>40630</v>
      </c>
      <c r="E73" s="23">
        <f t="shared" ref="E73" si="4">SUM(E62:E72)</f>
        <v>15960</v>
      </c>
      <c r="F73" s="393">
        <f>SUM(F62:G72)</f>
        <v>11940</v>
      </c>
      <c r="G73" s="394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393">
        <f>SUM(L62:M72)</f>
        <v>1104</v>
      </c>
      <c r="M73" s="394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5712</v>
      </c>
    </row>
    <row r="74" spans="1:22" ht="15.75" thickBot="1">
      <c r="A74" s="398" t="s">
        <v>36</v>
      </c>
      <c r="B74" s="399"/>
      <c r="C74" s="399"/>
      <c r="D74" s="400">
        <f>D73+E73+F73+H73+I73+J73+K73+L73+N73+O73+P73</f>
        <v>122966</v>
      </c>
      <c r="E74" s="401"/>
      <c r="F74" s="401"/>
      <c r="G74" s="401"/>
      <c r="H74" s="401"/>
      <c r="I74" s="401"/>
      <c r="J74" s="401"/>
      <c r="K74" s="401"/>
      <c r="L74" s="401"/>
      <c r="M74" s="401"/>
      <c r="N74" s="401"/>
      <c r="O74" s="401"/>
      <c r="P74" s="401"/>
      <c r="Q74" s="402"/>
      <c r="T74" s="28"/>
      <c r="V74" s="13"/>
    </row>
    <row r="75" spans="1:22" s="20" customFormat="1" ht="15" customHeight="1" thickBot="1">
      <c r="A75" s="383" t="s">
        <v>26</v>
      </c>
      <c r="B75" s="384"/>
      <c r="C75" s="384"/>
      <c r="D75" s="25">
        <v>12859514</v>
      </c>
      <c r="E75" s="22">
        <v>5003124</v>
      </c>
      <c r="F75" s="385">
        <v>3781158</v>
      </c>
      <c r="G75" s="386"/>
      <c r="H75" s="22">
        <v>1562741</v>
      </c>
      <c r="I75" s="26">
        <v>4657193</v>
      </c>
      <c r="J75" s="22">
        <v>1941728</v>
      </c>
      <c r="K75" s="22"/>
      <c r="L75" s="387">
        <v>357629</v>
      </c>
      <c r="M75" s="386"/>
      <c r="N75" s="26"/>
      <c r="O75" s="22">
        <v>1792633</v>
      </c>
      <c r="P75" s="26">
        <v>7075708</v>
      </c>
      <c r="Q75" s="84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9"/>
  <sheetViews>
    <sheetView zoomScaleNormal="100" workbookViewId="0">
      <pane ySplit="4" topLeftCell="A12" activePane="bottomLeft" state="frozen"/>
      <selection pane="bottomLeft" activeCell="I26" sqref="I2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411" t="s">
        <v>187</v>
      </c>
      <c r="B1" s="412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412"/>
      <c r="N1" s="412"/>
      <c r="O1" s="412"/>
      <c r="P1" s="412"/>
      <c r="Q1" s="412"/>
      <c r="R1" s="412"/>
      <c r="S1" s="412"/>
      <c r="T1" s="413"/>
    </row>
    <row r="2" spans="1:20" s="6" customFormat="1" ht="12.75" customHeight="1">
      <c r="A2" s="337" t="s">
        <v>9</v>
      </c>
      <c r="B2" s="339" t="s">
        <v>13</v>
      </c>
      <c r="C2" s="341" t="s">
        <v>23</v>
      </c>
      <c r="D2" s="342"/>
      <c r="E2" s="345" t="s">
        <v>15</v>
      </c>
      <c r="F2" s="347" t="s">
        <v>0</v>
      </c>
      <c r="G2" s="339"/>
      <c r="H2" s="348"/>
      <c r="I2" s="349" t="s">
        <v>39</v>
      </c>
      <c r="J2" s="350"/>
      <c r="K2" s="350"/>
      <c r="L2" s="351"/>
      <c r="M2" s="348"/>
      <c r="N2" s="349" t="s">
        <v>1</v>
      </c>
      <c r="O2" s="350"/>
      <c r="P2" s="348"/>
      <c r="Q2" s="352" t="s">
        <v>2</v>
      </c>
      <c r="R2" s="353"/>
      <c r="S2" s="339" t="s">
        <v>14</v>
      </c>
      <c r="T2" s="312" t="s">
        <v>12</v>
      </c>
    </row>
    <row r="3" spans="1:20" s="6" customFormat="1" ht="15.75" thickBot="1">
      <c r="A3" s="338"/>
      <c r="B3" s="340"/>
      <c r="C3" s="343"/>
      <c r="D3" s="344"/>
      <c r="E3" s="346"/>
      <c r="F3" s="314" t="s">
        <v>3</v>
      </c>
      <c r="G3" s="315"/>
      <c r="H3" s="9" t="s">
        <v>4</v>
      </c>
      <c r="I3" s="10" t="s">
        <v>22</v>
      </c>
      <c r="J3" s="11" t="s">
        <v>7</v>
      </c>
      <c r="K3" s="11" t="s">
        <v>17</v>
      </c>
      <c r="L3" s="316" t="s">
        <v>18</v>
      </c>
      <c r="M3" s="31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0"/>
      <c r="T3" s="313"/>
    </row>
    <row r="4" spans="1:20" s="18" customFormat="1" ht="15.75" thickBot="1">
      <c r="A4" s="98" t="s">
        <v>35</v>
      </c>
      <c r="B4" s="30"/>
      <c r="C4" s="318"/>
      <c r="D4" s="319"/>
      <c r="E4" s="31"/>
      <c r="F4" s="318">
        <v>768</v>
      </c>
      <c r="G4" s="320"/>
      <c r="H4" s="100">
        <v>5712</v>
      </c>
      <c r="I4" s="32">
        <v>32880</v>
      </c>
      <c r="J4" s="33">
        <v>360</v>
      </c>
      <c r="K4" s="100">
        <v>2442</v>
      </c>
      <c r="L4" s="321">
        <v>440</v>
      </c>
      <c r="M4" s="319"/>
      <c r="N4" s="99">
        <v>10440</v>
      </c>
      <c r="O4" s="100">
        <v>6504</v>
      </c>
      <c r="P4" s="34">
        <v>55848</v>
      </c>
      <c r="Q4" s="99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183</v>
      </c>
      <c r="B5" s="38">
        <v>52</v>
      </c>
      <c r="C5" s="328" t="s">
        <v>98</v>
      </c>
      <c r="D5" s="331"/>
      <c r="E5" s="44" t="s">
        <v>99</v>
      </c>
      <c r="F5" s="324"/>
      <c r="G5" s="325"/>
      <c r="H5" s="86"/>
      <c r="I5" s="45">
        <v>90</v>
      </c>
      <c r="J5" s="46"/>
      <c r="K5" s="46"/>
      <c r="L5" s="332"/>
      <c r="M5" s="333"/>
      <c r="N5" s="47"/>
      <c r="O5" s="86"/>
      <c r="P5" s="48"/>
      <c r="Q5" s="45"/>
      <c r="R5" s="49"/>
      <c r="S5" s="42">
        <f t="shared" ref="S5:S28" si="0">SUM(F5:R5)</f>
        <v>90</v>
      </c>
      <c r="T5" s="50">
        <v>28368</v>
      </c>
    </row>
    <row r="6" spans="1:20">
      <c r="A6" s="37" t="s">
        <v>177</v>
      </c>
      <c r="B6" s="38">
        <v>53</v>
      </c>
      <c r="C6" s="322" t="s">
        <v>95</v>
      </c>
      <c r="D6" s="323"/>
      <c r="E6" s="44" t="s">
        <v>96</v>
      </c>
      <c r="F6" s="324"/>
      <c r="G6" s="325"/>
      <c r="H6" s="86"/>
      <c r="I6" s="47"/>
      <c r="J6" s="51"/>
      <c r="K6" s="51"/>
      <c r="L6" s="310"/>
      <c r="M6" s="311"/>
      <c r="N6" s="47">
        <v>960</v>
      </c>
      <c r="O6" s="86">
        <v>600</v>
      </c>
      <c r="P6" s="48">
        <v>2400</v>
      </c>
      <c r="Q6" s="47"/>
      <c r="R6" s="48"/>
      <c r="S6" s="52">
        <f t="shared" si="0"/>
        <v>3960</v>
      </c>
      <c r="T6" s="53">
        <v>1260480</v>
      </c>
    </row>
    <row r="7" spans="1:20">
      <c r="A7" s="37" t="s">
        <v>178</v>
      </c>
      <c r="B7" s="38">
        <v>54</v>
      </c>
      <c r="C7" s="322" t="s">
        <v>109</v>
      </c>
      <c r="D7" s="323"/>
      <c r="E7" s="44" t="s">
        <v>110</v>
      </c>
      <c r="F7" s="324"/>
      <c r="G7" s="325"/>
      <c r="H7" s="86">
        <v>48</v>
      </c>
      <c r="I7" s="47"/>
      <c r="J7" s="51"/>
      <c r="K7" s="51"/>
      <c r="L7" s="310"/>
      <c r="M7" s="311"/>
      <c r="N7" s="47"/>
      <c r="O7" s="86"/>
      <c r="P7" s="48"/>
      <c r="Q7" s="47"/>
      <c r="R7" s="48"/>
      <c r="S7" s="52">
        <f t="shared" si="0"/>
        <v>48</v>
      </c>
      <c r="T7" s="53">
        <v>16517</v>
      </c>
    </row>
    <row r="8" spans="1:20">
      <c r="A8" s="37" t="s">
        <v>178</v>
      </c>
      <c r="B8" s="38">
        <v>55</v>
      </c>
      <c r="C8" s="324" t="s">
        <v>149</v>
      </c>
      <c r="D8" s="311"/>
      <c r="E8" s="44" t="s">
        <v>99</v>
      </c>
      <c r="F8" s="324"/>
      <c r="G8" s="325"/>
      <c r="H8" s="86"/>
      <c r="I8" s="47"/>
      <c r="J8" s="51"/>
      <c r="K8" s="51"/>
      <c r="L8" s="310"/>
      <c r="M8" s="311"/>
      <c r="N8" s="47"/>
      <c r="O8" s="86"/>
      <c r="P8" s="48">
        <v>120</v>
      </c>
      <c r="Q8" s="47"/>
      <c r="R8" s="48"/>
      <c r="S8" s="52">
        <f t="shared" si="0"/>
        <v>120</v>
      </c>
      <c r="T8" s="53">
        <v>39858</v>
      </c>
    </row>
    <row r="9" spans="1:20">
      <c r="A9" s="37" t="s">
        <v>179</v>
      </c>
      <c r="B9" s="38">
        <v>56</v>
      </c>
      <c r="C9" s="322" t="s">
        <v>137</v>
      </c>
      <c r="D9" s="323"/>
      <c r="E9" s="44" t="s">
        <v>138</v>
      </c>
      <c r="F9" s="324"/>
      <c r="G9" s="325"/>
      <c r="H9" s="86"/>
      <c r="I9" s="47"/>
      <c r="J9" s="51"/>
      <c r="K9" s="51"/>
      <c r="L9" s="310"/>
      <c r="M9" s="311"/>
      <c r="N9" s="47"/>
      <c r="O9" s="86"/>
      <c r="P9" s="48"/>
      <c r="Q9" s="47">
        <v>60</v>
      </c>
      <c r="R9" s="48"/>
      <c r="S9" s="52">
        <f t="shared" si="0"/>
        <v>60</v>
      </c>
      <c r="T9" s="53">
        <v>23166</v>
      </c>
    </row>
    <row r="10" spans="1:20">
      <c r="A10" s="37" t="s">
        <v>179</v>
      </c>
      <c r="B10" s="38">
        <v>57</v>
      </c>
      <c r="C10" s="322" t="s">
        <v>120</v>
      </c>
      <c r="D10" s="323"/>
      <c r="E10" s="55" t="s">
        <v>121</v>
      </c>
      <c r="F10" s="324"/>
      <c r="G10" s="325"/>
      <c r="H10" s="86"/>
      <c r="I10" s="47">
        <v>750</v>
      </c>
      <c r="J10" s="51"/>
      <c r="K10" s="51"/>
      <c r="L10" s="310"/>
      <c r="M10" s="311"/>
      <c r="N10" s="47">
        <v>600</v>
      </c>
      <c r="O10" s="86"/>
      <c r="P10" s="48">
        <v>2400</v>
      </c>
      <c r="Q10" s="47"/>
      <c r="R10" s="48">
        <v>720</v>
      </c>
      <c r="S10" s="52">
        <f t="shared" si="0"/>
        <v>4470</v>
      </c>
      <c r="T10" s="53">
        <v>1472650</v>
      </c>
    </row>
    <row r="11" spans="1:20">
      <c r="A11" s="37" t="s">
        <v>179</v>
      </c>
      <c r="B11" s="38">
        <v>58</v>
      </c>
      <c r="C11" s="322" t="s">
        <v>122</v>
      </c>
      <c r="D11" s="323"/>
      <c r="E11" s="55" t="s">
        <v>121</v>
      </c>
      <c r="F11" s="324"/>
      <c r="G11" s="325"/>
      <c r="H11" s="86"/>
      <c r="I11" s="47"/>
      <c r="J11" s="51"/>
      <c r="K11" s="51"/>
      <c r="L11" s="310"/>
      <c r="M11" s="311"/>
      <c r="N11" s="47">
        <v>960</v>
      </c>
      <c r="O11" s="86">
        <v>480</v>
      </c>
      <c r="P11" s="48">
        <v>840</v>
      </c>
      <c r="Q11" s="47"/>
      <c r="R11" s="48"/>
      <c r="S11" s="52">
        <f t="shared" si="0"/>
        <v>2280</v>
      </c>
      <c r="T11" s="53">
        <v>722340</v>
      </c>
    </row>
    <row r="12" spans="1:20">
      <c r="A12" s="37" t="s">
        <v>179</v>
      </c>
      <c r="B12" s="38">
        <v>59</v>
      </c>
      <c r="C12" s="322" t="s">
        <v>123</v>
      </c>
      <c r="D12" s="323"/>
      <c r="E12" s="55" t="s">
        <v>121</v>
      </c>
      <c r="F12" s="324"/>
      <c r="G12" s="325"/>
      <c r="H12" s="86"/>
      <c r="I12" s="47">
        <v>450</v>
      </c>
      <c r="J12" s="51"/>
      <c r="K12" s="51"/>
      <c r="L12" s="310"/>
      <c r="M12" s="311"/>
      <c r="N12" s="47"/>
      <c r="O12" s="86"/>
      <c r="P12" s="48">
        <v>1320</v>
      </c>
      <c r="Q12" s="47"/>
      <c r="R12" s="48"/>
      <c r="S12" s="52">
        <f t="shared" si="0"/>
        <v>1770</v>
      </c>
      <c r="T12" s="53">
        <v>559829</v>
      </c>
    </row>
    <row r="13" spans="1:20">
      <c r="A13" s="37" t="s">
        <v>179</v>
      </c>
      <c r="B13" s="38">
        <v>60</v>
      </c>
      <c r="C13" s="322" t="s">
        <v>180</v>
      </c>
      <c r="D13" s="323"/>
      <c r="E13" s="44" t="s">
        <v>181</v>
      </c>
      <c r="F13" s="324"/>
      <c r="G13" s="325"/>
      <c r="H13" s="86"/>
      <c r="I13" s="47"/>
      <c r="J13" s="51"/>
      <c r="K13" s="51"/>
      <c r="L13" s="310"/>
      <c r="M13" s="311"/>
      <c r="N13" s="47"/>
      <c r="O13" s="86"/>
      <c r="P13" s="48"/>
      <c r="Q13" s="47">
        <v>120</v>
      </c>
      <c r="R13" s="48"/>
      <c r="S13" s="52">
        <f>SUM(F13:R13)</f>
        <v>120</v>
      </c>
      <c r="T13" s="53">
        <v>46333</v>
      </c>
    </row>
    <row r="14" spans="1:20">
      <c r="A14" s="101" t="s">
        <v>182</v>
      </c>
      <c r="B14" s="38">
        <v>61</v>
      </c>
      <c r="C14" s="322" t="s">
        <v>111</v>
      </c>
      <c r="D14" s="323"/>
      <c r="E14" s="44" t="s">
        <v>112</v>
      </c>
      <c r="F14" s="324"/>
      <c r="G14" s="325"/>
      <c r="H14" s="86"/>
      <c r="I14" s="47">
        <v>6450</v>
      </c>
      <c r="J14" s="51"/>
      <c r="K14" s="51"/>
      <c r="L14" s="310"/>
      <c r="M14" s="311"/>
      <c r="N14" s="85"/>
      <c r="O14" s="86"/>
      <c r="P14" s="48"/>
      <c r="Q14" s="85"/>
      <c r="R14" s="48">
        <v>2412</v>
      </c>
      <c r="S14" s="52">
        <f t="shared" si="0"/>
        <v>8862</v>
      </c>
      <c r="T14" s="53">
        <v>2866322</v>
      </c>
    </row>
    <row r="15" spans="1:20">
      <c r="A15" s="102" t="s">
        <v>186</v>
      </c>
      <c r="B15" s="38">
        <v>62</v>
      </c>
      <c r="C15" s="322" t="s">
        <v>127</v>
      </c>
      <c r="D15" s="323"/>
      <c r="E15" s="44" t="s">
        <v>128</v>
      </c>
      <c r="F15" s="324">
        <v>24</v>
      </c>
      <c r="G15" s="325"/>
      <c r="H15" s="86">
        <v>1200</v>
      </c>
      <c r="I15" s="47">
        <v>690</v>
      </c>
      <c r="J15" s="51"/>
      <c r="K15" s="51">
        <v>220</v>
      </c>
      <c r="L15" s="310">
        <v>110</v>
      </c>
      <c r="M15" s="311"/>
      <c r="N15" s="85">
        <v>240</v>
      </c>
      <c r="O15" s="86"/>
      <c r="P15" s="48">
        <v>4200</v>
      </c>
      <c r="Q15" s="85">
        <v>360</v>
      </c>
      <c r="R15" s="54"/>
      <c r="S15" s="52">
        <f t="shared" si="0"/>
        <v>7044</v>
      </c>
      <c r="T15" s="53">
        <v>2226736</v>
      </c>
    </row>
    <row r="16" spans="1:20">
      <c r="A16" s="102" t="s">
        <v>184</v>
      </c>
      <c r="B16" s="38">
        <v>63</v>
      </c>
      <c r="C16" s="322" t="s">
        <v>127</v>
      </c>
      <c r="D16" s="323"/>
      <c r="E16" s="44" t="s">
        <v>146</v>
      </c>
      <c r="F16" s="324">
        <v>600</v>
      </c>
      <c r="G16" s="325"/>
      <c r="H16" s="86">
        <v>1200</v>
      </c>
      <c r="I16" s="47"/>
      <c r="J16" s="51"/>
      <c r="K16" s="51">
        <v>220</v>
      </c>
      <c r="L16" s="310"/>
      <c r="M16" s="311"/>
      <c r="N16" s="85">
        <v>480</v>
      </c>
      <c r="O16" s="86">
        <v>600</v>
      </c>
      <c r="P16" s="48">
        <v>5400</v>
      </c>
      <c r="Q16" s="85"/>
      <c r="R16" s="54"/>
      <c r="S16" s="52">
        <f t="shared" si="0"/>
        <v>8500</v>
      </c>
      <c r="T16" s="53">
        <v>2670081</v>
      </c>
    </row>
    <row r="17" spans="1:24">
      <c r="A17" s="105" t="s">
        <v>185</v>
      </c>
      <c r="B17" s="38">
        <v>64</v>
      </c>
      <c r="C17" s="322" t="s">
        <v>95</v>
      </c>
      <c r="D17" s="323"/>
      <c r="E17" s="44" t="s">
        <v>96</v>
      </c>
      <c r="F17" s="324">
        <v>120</v>
      </c>
      <c r="G17" s="325"/>
      <c r="H17" s="86">
        <v>240</v>
      </c>
      <c r="I17" s="47">
        <v>300</v>
      </c>
      <c r="J17" s="51"/>
      <c r="K17" s="51"/>
      <c r="L17" s="310"/>
      <c r="M17" s="311"/>
      <c r="N17" s="85">
        <v>1200</v>
      </c>
      <c r="O17" s="86">
        <v>720</v>
      </c>
      <c r="P17" s="48"/>
      <c r="Q17" s="85">
        <v>120</v>
      </c>
      <c r="R17" s="54"/>
      <c r="S17" s="52">
        <f>SUM(F17:R17)</f>
        <v>2700</v>
      </c>
      <c r="T17" s="53">
        <v>858472</v>
      </c>
    </row>
    <row r="18" spans="1:24">
      <c r="A18" s="103" t="s">
        <v>189</v>
      </c>
      <c r="B18" s="38">
        <v>65</v>
      </c>
      <c r="C18" s="322" t="s">
        <v>107</v>
      </c>
      <c r="D18" s="323"/>
      <c r="E18" s="44" t="s">
        <v>108</v>
      </c>
      <c r="F18" s="324"/>
      <c r="G18" s="325"/>
      <c r="H18" s="86">
        <v>72</v>
      </c>
      <c r="I18" s="47"/>
      <c r="J18" s="51"/>
      <c r="K18" s="51"/>
      <c r="L18" s="310"/>
      <c r="M18" s="311"/>
      <c r="N18" s="85"/>
      <c r="O18" s="86"/>
      <c r="P18" s="48"/>
      <c r="Q18" s="85"/>
      <c r="R18" s="54"/>
      <c r="S18" s="52">
        <f t="shared" si="0"/>
        <v>72</v>
      </c>
      <c r="T18" s="53">
        <v>24776</v>
      </c>
      <c r="V18" s="13"/>
    </row>
    <row r="19" spans="1:24">
      <c r="A19" s="103" t="s">
        <v>191</v>
      </c>
      <c r="B19" s="38">
        <v>66</v>
      </c>
      <c r="C19" s="324" t="s">
        <v>190</v>
      </c>
      <c r="D19" s="311"/>
      <c r="E19" s="44" t="s">
        <v>130</v>
      </c>
      <c r="F19" s="324">
        <v>72</v>
      </c>
      <c r="G19" s="325"/>
      <c r="H19" s="86">
        <v>48</v>
      </c>
      <c r="I19" s="47"/>
      <c r="J19" s="51"/>
      <c r="K19" s="51"/>
      <c r="L19" s="310"/>
      <c r="M19" s="311"/>
      <c r="N19" s="85"/>
      <c r="O19" s="86"/>
      <c r="P19" s="48"/>
      <c r="Q19" s="85"/>
      <c r="R19" s="54"/>
      <c r="S19" s="52">
        <f t="shared" si="0"/>
        <v>120</v>
      </c>
      <c r="T19" s="53">
        <v>40788</v>
      </c>
    </row>
    <row r="20" spans="1:24">
      <c r="A20" s="103" t="s">
        <v>191</v>
      </c>
      <c r="B20" s="38">
        <v>67</v>
      </c>
      <c r="C20" s="324" t="s">
        <v>120</v>
      </c>
      <c r="D20" s="311"/>
      <c r="E20" s="44" t="s">
        <v>121</v>
      </c>
      <c r="F20" s="324"/>
      <c r="G20" s="325"/>
      <c r="H20" s="86"/>
      <c r="I20" s="47">
        <v>900</v>
      </c>
      <c r="J20" s="51"/>
      <c r="K20" s="51"/>
      <c r="L20" s="310"/>
      <c r="M20" s="311"/>
      <c r="N20" s="85">
        <v>960</v>
      </c>
      <c r="O20" s="86">
        <v>240</v>
      </c>
      <c r="P20" s="48">
        <v>3600</v>
      </c>
      <c r="Q20" s="85"/>
      <c r="R20" s="54"/>
      <c r="S20" s="52">
        <f t="shared" si="0"/>
        <v>5700</v>
      </c>
      <c r="T20" s="53">
        <v>1804486</v>
      </c>
    </row>
    <row r="21" spans="1:24">
      <c r="A21" s="103" t="s">
        <v>191</v>
      </c>
      <c r="B21" s="38">
        <v>68</v>
      </c>
      <c r="C21" s="324" t="s">
        <v>123</v>
      </c>
      <c r="D21" s="311"/>
      <c r="E21" s="44" t="s">
        <v>121</v>
      </c>
      <c r="F21" s="324"/>
      <c r="G21" s="325"/>
      <c r="H21" s="86"/>
      <c r="I21" s="47">
        <v>300</v>
      </c>
      <c r="J21" s="51"/>
      <c r="K21" s="51"/>
      <c r="L21" s="310"/>
      <c r="M21" s="311"/>
      <c r="N21" s="85"/>
      <c r="O21" s="86"/>
      <c r="P21" s="48">
        <v>1440</v>
      </c>
      <c r="Q21" s="85"/>
      <c r="R21" s="54"/>
      <c r="S21" s="52">
        <f t="shared" si="0"/>
        <v>1740</v>
      </c>
      <c r="T21" s="53">
        <v>552759</v>
      </c>
    </row>
    <row r="22" spans="1:24">
      <c r="A22" s="103" t="s">
        <v>191</v>
      </c>
      <c r="B22" s="38">
        <v>69</v>
      </c>
      <c r="C22" s="324" t="s">
        <v>95</v>
      </c>
      <c r="D22" s="311"/>
      <c r="E22" s="44" t="s">
        <v>96</v>
      </c>
      <c r="F22" s="324"/>
      <c r="G22" s="325"/>
      <c r="H22" s="86"/>
      <c r="I22" s="47"/>
      <c r="J22" s="51"/>
      <c r="K22" s="51"/>
      <c r="L22" s="310">
        <v>110</v>
      </c>
      <c r="M22" s="311"/>
      <c r="N22" s="85">
        <v>720</v>
      </c>
      <c r="O22" s="86">
        <v>360</v>
      </c>
      <c r="P22" s="48">
        <v>2400</v>
      </c>
      <c r="Q22" s="85"/>
      <c r="R22" s="54"/>
      <c r="S22" s="52">
        <f t="shared" si="0"/>
        <v>3590</v>
      </c>
      <c r="T22" s="53">
        <v>1147808</v>
      </c>
    </row>
    <row r="23" spans="1:24">
      <c r="A23" s="104" t="s">
        <v>192</v>
      </c>
      <c r="B23" s="38">
        <v>70</v>
      </c>
      <c r="C23" s="324" t="s">
        <v>111</v>
      </c>
      <c r="D23" s="311"/>
      <c r="E23" s="44" t="s">
        <v>112</v>
      </c>
      <c r="F23" s="324"/>
      <c r="G23" s="325"/>
      <c r="H23" s="86"/>
      <c r="I23" s="47">
        <v>3600</v>
      </c>
      <c r="J23" s="51"/>
      <c r="K23" s="51">
        <v>330</v>
      </c>
      <c r="L23" s="310"/>
      <c r="M23" s="311"/>
      <c r="N23" s="85">
        <v>480</v>
      </c>
      <c r="O23" s="86">
        <v>360</v>
      </c>
      <c r="P23" s="48">
        <v>1800</v>
      </c>
      <c r="Q23" s="85">
        <v>2100</v>
      </c>
      <c r="R23" s="54"/>
      <c r="S23" s="52">
        <f t="shared" si="0"/>
        <v>8670</v>
      </c>
      <c r="T23" s="53">
        <v>2807295</v>
      </c>
    </row>
    <row r="24" spans="1:24">
      <c r="A24" s="104" t="s">
        <v>193</v>
      </c>
      <c r="B24" s="38">
        <v>71</v>
      </c>
      <c r="C24" s="324" t="s">
        <v>52</v>
      </c>
      <c r="D24" s="311"/>
      <c r="E24" s="44" t="s">
        <v>194</v>
      </c>
      <c r="F24" s="324"/>
      <c r="G24" s="325"/>
      <c r="H24" s="86"/>
      <c r="I24" s="47"/>
      <c r="J24" s="51"/>
      <c r="K24" s="51"/>
      <c r="L24" s="310"/>
      <c r="M24" s="311"/>
      <c r="N24" s="85"/>
      <c r="O24" s="86"/>
      <c r="P24" s="48">
        <v>48</v>
      </c>
      <c r="Q24" s="85"/>
      <c r="R24" s="54"/>
      <c r="S24" s="52">
        <f t="shared" si="0"/>
        <v>48</v>
      </c>
      <c r="T24" s="53">
        <v>15934</v>
      </c>
    </row>
    <row r="25" spans="1:24">
      <c r="A25" s="104" t="s">
        <v>193</v>
      </c>
      <c r="B25" s="38">
        <v>72</v>
      </c>
      <c r="C25" s="322" t="s">
        <v>100</v>
      </c>
      <c r="D25" s="323"/>
      <c r="E25" s="55" t="s">
        <v>101</v>
      </c>
      <c r="F25" s="324"/>
      <c r="G25" s="325"/>
      <c r="H25" s="86"/>
      <c r="I25" s="47">
        <v>150</v>
      </c>
      <c r="J25" s="51"/>
      <c r="K25" s="51"/>
      <c r="L25" s="310"/>
      <c r="M25" s="311"/>
      <c r="N25" s="85"/>
      <c r="O25" s="86"/>
      <c r="P25" s="48"/>
      <c r="Q25" s="85"/>
      <c r="R25" s="54"/>
      <c r="S25" s="52">
        <f t="shared" si="0"/>
        <v>150</v>
      </c>
      <c r="T25" s="53">
        <v>47280</v>
      </c>
    </row>
    <row r="26" spans="1:24">
      <c r="A26" s="106" t="s">
        <v>195</v>
      </c>
      <c r="B26" s="38">
        <v>73</v>
      </c>
      <c r="C26" s="324" t="s">
        <v>120</v>
      </c>
      <c r="D26" s="311"/>
      <c r="E26" s="55" t="s">
        <v>121</v>
      </c>
      <c r="F26" s="324"/>
      <c r="G26" s="325"/>
      <c r="H26" s="81"/>
      <c r="I26" s="56"/>
      <c r="J26" s="57"/>
      <c r="K26" s="57"/>
      <c r="L26" s="310"/>
      <c r="M26" s="311"/>
      <c r="N26" s="87">
        <v>480</v>
      </c>
      <c r="O26" s="81"/>
      <c r="P26" s="54">
        <v>2400</v>
      </c>
      <c r="Q26" s="87"/>
      <c r="R26" s="54"/>
      <c r="S26" s="52">
        <f t="shared" si="0"/>
        <v>2880</v>
      </c>
      <c r="T26" s="58">
        <v>919986</v>
      </c>
    </row>
    <row r="27" spans="1:24">
      <c r="A27" s="106" t="s">
        <v>195</v>
      </c>
      <c r="B27" s="38">
        <v>74</v>
      </c>
      <c r="C27" s="324" t="s">
        <v>122</v>
      </c>
      <c r="D27" s="311"/>
      <c r="E27" s="55" t="s">
        <v>121</v>
      </c>
      <c r="F27" s="324"/>
      <c r="G27" s="325"/>
      <c r="H27" s="81"/>
      <c r="I27" s="56"/>
      <c r="J27" s="57"/>
      <c r="K27" s="57"/>
      <c r="L27" s="310"/>
      <c r="M27" s="311"/>
      <c r="N27" s="87">
        <v>1200</v>
      </c>
      <c r="O27" s="81"/>
      <c r="P27" s="54">
        <v>1440</v>
      </c>
      <c r="Q27" s="87"/>
      <c r="R27" s="54"/>
      <c r="S27" s="52">
        <f t="shared" si="0"/>
        <v>2640</v>
      </c>
      <c r="T27" s="58">
        <v>837998</v>
      </c>
    </row>
    <row r="28" spans="1:24" ht="15.75" thickBot="1">
      <c r="A28" s="106" t="s">
        <v>195</v>
      </c>
      <c r="B28" s="38">
        <v>75</v>
      </c>
      <c r="C28" s="324" t="s">
        <v>123</v>
      </c>
      <c r="D28" s="311"/>
      <c r="E28" s="55" t="s">
        <v>121</v>
      </c>
      <c r="F28" s="324"/>
      <c r="G28" s="325"/>
      <c r="H28" s="81"/>
      <c r="I28" s="56">
        <v>450</v>
      </c>
      <c r="J28" s="57"/>
      <c r="K28" s="57"/>
      <c r="L28" s="310"/>
      <c r="M28" s="311"/>
      <c r="N28" s="87"/>
      <c r="O28" s="81">
        <v>120</v>
      </c>
      <c r="P28" s="54">
        <v>1200</v>
      </c>
      <c r="Q28" s="87"/>
      <c r="R28" s="54"/>
      <c r="S28" s="52">
        <f t="shared" si="0"/>
        <v>1770</v>
      </c>
      <c r="T28" s="58">
        <v>559349</v>
      </c>
    </row>
    <row r="29" spans="1:24" ht="15.75" thickBot="1">
      <c r="A29" s="361" t="s">
        <v>16</v>
      </c>
      <c r="B29" s="362"/>
      <c r="C29" s="362"/>
      <c r="D29" s="61"/>
      <c r="E29" s="59"/>
      <c r="F29" s="318">
        <f>SUM(F5:G28)</f>
        <v>816</v>
      </c>
      <c r="G29" s="320"/>
      <c r="H29" s="34">
        <f>SUM(H5:H28)</f>
        <v>2808</v>
      </c>
      <c r="I29" s="99">
        <f>SUM(I5:I28)</f>
        <v>14130</v>
      </c>
      <c r="J29" s="100">
        <f>SUM(J5:J28)</f>
        <v>0</v>
      </c>
      <c r="K29" s="100">
        <f>SUM(K5:K28)</f>
        <v>770</v>
      </c>
      <c r="L29" s="321">
        <f>SUM(L5:M28)</f>
        <v>220</v>
      </c>
      <c r="M29" s="319"/>
      <c r="N29" s="99">
        <f t="shared" ref="N29:T29" si="1">SUM(N5:N28)</f>
        <v>8280</v>
      </c>
      <c r="O29" s="100">
        <f t="shared" si="1"/>
        <v>3480</v>
      </c>
      <c r="P29" s="34">
        <f t="shared" si="1"/>
        <v>31008</v>
      </c>
      <c r="Q29" s="99">
        <f t="shared" si="1"/>
        <v>2760</v>
      </c>
      <c r="R29" s="34">
        <f t="shared" si="1"/>
        <v>3132</v>
      </c>
      <c r="S29" s="60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361"/>
      <c r="B30" s="362"/>
      <c r="C30" s="362"/>
      <c r="D30" s="61"/>
      <c r="E30" s="59"/>
      <c r="F30" s="318">
        <f>F4+F29</f>
        <v>1584</v>
      </c>
      <c r="G30" s="320"/>
      <c r="H30" s="34">
        <f>H4+H29</f>
        <v>8520</v>
      </c>
      <c r="I30" s="61">
        <f>I4+I29</f>
        <v>47010</v>
      </c>
      <c r="J30" s="100">
        <f>J4+J29</f>
        <v>360</v>
      </c>
      <c r="K30" s="100">
        <f>K4+K29</f>
        <v>3212</v>
      </c>
      <c r="L30" s="321">
        <f>L4+L29</f>
        <v>660</v>
      </c>
      <c r="M30" s="319"/>
      <c r="N30" s="99">
        <f t="shared" ref="N30:T30" si="2">N4+N29</f>
        <v>18720</v>
      </c>
      <c r="O30" s="100">
        <f t="shared" si="2"/>
        <v>9984</v>
      </c>
      <c r="P30" s="34">
        <f t="shared" si="2"/>
        <v>86856</v>
      </c>
      <c r="Q30" s="61">
        <f t="shared" si="2"/>
        <v>9432</v>
      </c>
      <c r="R30" s="100">
        <f t="shared" si="2"/>
        <v>4032</v>
      </c>
      <c r="S30" s="62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363" t="s">
        <v>188</v>
      </c>
      <c r="B32" s="364"/>
      <c r="C32" s="364"/>
      <c r="D32" s="364"/>
      <c r="E32" s="364"/>
      <c r="F32" s="364"/>
      <c r="G32" s="364"/>
      <c r="H32" s="364"/>
      <c r="I32" s="364"/>
      <c r="J32" s="364"/>
      <c r="K32" s="364"/>
      <c r="L32" s="364"/>
      <c r="M32" s="364"/>
      <c r="N32" s="364"/>
      <c r="O32" s="364"/>
      <c r="P32" s="364"/>
      <c r="Q32" s="365"/>
      <c r="R32" s="1"/>
      <c r="S32" s="1"/>
      <c r="T32" s="28"/>
    </row>
    <row r="33" spans="1:22" ht="15.75" customHeight="1" thickBot="1">
      <c r="A33" s="366" t="s">
        <v>34</v>
      </c>
      <c r="B33" s="367"/>
      <c r="C33" s="370" t="s">
        <v>33</v>
      </c>
      <c r="D33" s="370" t="s">
        <v>11</v>
      </c>
      <c r="E33" s="373" t="s">
        <v>19</v>
      </c>
      <c r="F33" s="366" t="s">
        <v>8</v>
      </c>
      <c r="G33" s="367"/>
      <c r="H33" s="375" t="s">
        <v>10</v>
      </c>
      <c r="I33" s="376"/>
      <c r="J33" s="377"/>
      <c r="K33" s="378" t="s">
        <v>25</v>
      </c>
      <c r="L33" s="379"/>
      <c r="M33" s="379"/>
      <c r="N33" s="379"/>
      <c r="O33" s="380"/>
      <c r="P33" s="370" t="s">
        <v>20</v>
      </c>
      <c r="Q33" s="381" t="s">
        <v>38</v>
      </c>
      <c r="R33" s="1"/>
      <c r="S33" s="1"/>
      <c r="T33" s="28"/>
    </row>
    <row r="34" spans="1:22" ht="15.75" thickBot="1">
      <c r="A34" s="368"/>
      <c r="B34" s="369"/>
      <c r="C34" s="371"/>
      <c r="D34" s="372"/>
      <c r="E34" s="374"/>
      <c r="F34" s="368"/>
      <c r="G34" s="369"/>
      <c r="H34" s="69" t="s">
        <v>49</v>
      </c>
      <c r="I34" s="69" t="s">
        <v>48</v>
      </c>
      <c r="J34" s="69" t="s">
        <v>50</v>
      </c>
      <c r="K34" s="69" t="s">
        <v>24</v>
      </c>
      <c r="L34" s="378" t="s">
        <v>47</v>
      </c>
      <c r="M34" s="380"/>
      <c r="N34" s="69" t="s">
        <v>46</v>
      </c>
      <c r="O34" s="69" t="s">
        <v>45</v>
      </c>
      <c r="P34" s="372"/>
      <c r="Q34" s="382"/>
      <c r="T34" s="28"/>
    </row>
    <row r="35" spans="1:22" ht="15" customHeight="1">
      <c r="A35" s="366" t="s">
        <v>27</v>
      </c>
      <c r="B35" s="367"/>
      <c r="C35" s="89" t="s">
        <v>28</v>
      </c>
      <c r="D35" s="89"/>
      <c r="E35" s="4">
        <v>600</v>
      </c>
      <c r="F35" s="388">
        <v>24</v>
      </c>
      <c r="G35" s="388"/>
      <c r="H35" s="4"/>
      <c r="I35" s="88"/>
      <c r="J35" s="4"/>
      <c r="K35" s="88"/>
      <c r="L35" s="389"/>
      <c r="M35" s="390"/>
      <c r="N35" s="88"/>
      <c r="O35" s="4">
        <v>72</v>
      </c>
      <c r="P35" s="88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368"/>
      <c r="B36" s="369"/>
      <c r="C36" s="91" t="s">
        <v>29</v>
      </c>
      <c r="D36" s="91"/>
      <c r="E36" s="14">
        <v>1200</v>
      </c>
      <c r="F36" s="395">
        <v>1200</v>
      </c>
      <c r="G36" s="395"/>
      <c r="H36" s="14"/>
      <c r="I36" s="90"/>
      <c r="J36" s="14"/>
      <c r="K36" s="90"/>
      <c r="L36" s="396"/>
      <c r="M36" s="397"/>
      <c r="N36" s="90"/>
      <c r="O36" s="14">
        <v>168</v>
      </c>
      <c r="P36" s="90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366" t="s">
        <v>41</v>
      </c>
      <c r="B37" s="367"/>
      <c r="C37" s="4" t="s">
        <v>30</v>
      </c>
      <c r="D37" s="4">
        <v>10050</v>
      </c>
      <c r="E37" s="4"/>
      <c r="F37" s="388">
        <v>690</v>
      </c>
      <c r="G37" s="388"/>
      <c r="H37" s="4"/>
      <c r="I37" s="88">
        <v>1650</v>
      </c>
      <c r="J37" s="4">
        <v>1200</v>
      </c>
      <c r="K37" s="88"/>
      <c r="L37" s="389"/>
      <c r="M37" s="390"/>
      <c r="N37" s="88"/>
      <c r="O37" s="4">
        <v>240</v>
      </c>
      <c r="P37" s="88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403"/>
      <c r="B38" s="404"/>
      <c r="C38" s="5" t="s">
        <v>32</v>
      </c>
      <c r="D38" s="97"/>
      <c r="E38" s="5"/>
      <c r="F38" s="408"/>
      <c r="G38" s="408"/>
      <c r="H38" s="5"/>
      <c r="I38" s="96"/>
      <c r="J38" s="5"/>
      <c r="K38" s="96"/>
      <c r="L38" s="409"/>
      <c r="M38" s="410"/>
      <c r="N38" s="96"/>
      <c r="O38" s="5"/>
      <c r="P38" s="96"/>
      <c r="Q38" s="5">
        <f t="shared" si="3"/>
        <v>0</v>
      </c>
      <c r="T38" s="28"/>
      <c r="V38" s="13">
        <f>J29-Q38</f>
        <v>0</v>
      </c>
    </row>
    <row r="39" spans="1:22">
      <c r="A39" s="403"/>
      <c r="B39" s="404"/>
      <c r="C39" s="5" t="s">
        <v>43</v>
      </c>
      <c r="D39" s="97">
        <v>330</v>
      </c>
      <c r="E39" s="5">
        <v>220</v>
      </c>
      <c r="F39" s="408">
        <v>220</v>
      </c>
      <c r="G39" s="408"/>
      <c r="H39" s="5"/>
      <c r="I39" s="96"/>
      <c r="J39" s="5"/>
      <c r="K39" s="96"/>
      <c r="L39" s="409"/>
      <c r="M39" s="410"/>
      <c r="N39" s="96"/>
      <c r="O39" s="5"/>
      <c r="P39" s="96"/>
      <c r="Q39" s="5">
        <f t="shared" si="3"/>
        <v>770</v>
      </c>
      <c r="T39" s="28"/>
      <c r="V39" s="13">
        <f>K29-Q39</f>
        <v>0</v>
      </c>
    </row>
    <row r="40" spans="1:22" ht="15.75" thickBot="1">
      <c r="A40" s="368"/>
      <c r="B40" s="369"/>
      <c r="C40" s="64" t="s">
        <v>44</v>
      </c>
      <c r="D40" s="93"/>
      <c r="E40" s="15"/>
      <c r="F40" s="358">
        <v>110</v>
      </c>
      <c r="G40" s="358"/>
      <c r="H40" s="15"/>
      <c r="I40" s="92"/>
      <c r="J40" s="15"/>
      <c r="K40" s="92"/>
      <c r="L40" s="359"/>
      <c r="M40" s="360"/>
      <c r="N40" s="92"/>
      <c r="O40" s="15"/>
      <c r="P40" s="92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366" t="s">
        <v>40</v>
      </c>
      <c r="B41" s="367"/>
      <c r="C41" s="95" t="s">
        <v>28</v>
      </c>
      <c r="D41" s="95">
        <v>480</v>
      </c>
      <c r="E41" s="16">
        <v>480</v>
      </c>
      <c r="F41" s="405">
        <v>240</v>
      </c>
      <c r="G41" s="405"/>
      <c r="H41" s="16">
        <v>2160</v>
      </c>
      <c r="I41" s="94">
        <v>2040</v>
      </c>
      <c r="J41" s="16"/>
      <c r="K41" s="94"/>
      <c r="L41" s="406"/>
      <c r="M41" s="407"/>
      <c r="N41" s="94"/>
      <c r="O41" s="16"/>
      <c r="P41" s="94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403"/>
      <c r="B42" s="404"/>
      <c r="C42" s="97" t="s">
        <v>31</v>
      </c>
      <c r="D42" s="97">
        <v>360</v>
      </c>
      <c r="E42" s="5">
        <v>600</v>
      </c>
      <c r="F42" s="408"/>
      <c r="G42" s="408"/>
      <c r="H42" s="5">
        <v>480</v>
      </c>
      <c r="I42" s="96">
        <v>240</v>
      </c>
      <c r="J42" s="5">
        <v>120</v>
      </c>
      <c r="K42" s="96"/>
      <c r="L42" s="409"/>
      <c r="M42" s="410"/>
      <c r="N42" s="96"/>
      <c r="O42" s="5"/>
      <c r="P42" s="96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368"/>
      <c r="B43" s="369"/>
      <c r="C43" s="64" t="s">
        <v>29</v>
      </c>
      <c r="D43" s="91">
        <v>1800</v>
      </c>
      <c r="E43" s="14">
        <v>5400</v>
      </c>
      <c r="F43" s="395">
        <v>4200</v>
      </c>
      <c r="G43" s="395"/>
      <c r="H43" s="14">
        <v>2280</v>
      </c>
      <c r="I43" s="90">
        <v>8400</v>
      </c>
      <c r="J43" s="14">
        <v>3960</v>
      </c>
      <c r="K43" s="90"/>
      <c r="L43" s="396"/>
      <c r="M43" s="397"/>
      <c r="N43" s="90"/>
      <c r="O43" s="14">
        <v>168</v>
      </c>
      <c r="P43" s="90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366" t="s">
        <v>42</v>
      </c>
      <c r="B44" s="367"/>
      <c r="C44" s="89" t="s">
        <v>31</v>
      </c>
      <c r="D44" s="89">
        <v>2100</v>
      </c>
      <c r="E44" s="4"/>
      <c r="F44" s="388">
        <v>360</v>
      </c>
      <c r="G44" s="388"/>
      <c r="H44" s="4"/>
      <c r="I44" s="88"/>
      <c r="J44" s="4"/>
      <c r="K44" s="88"/>
      <c r="L44" s="389"/>
      <c r="M44" s="390"/>
      <c r="N44" s="88"/>
      <c r="O44" s="4">
        <v>180</v>
      </c>
      <c r="P44" s="88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368"/>
      <c r="B45" s="369"/>
      <c r="C45" s="64" t="s">
        <v>29</v>
      </c>
      <c r="D45" s="15">
        <v>2412</v>
      </c>
      <c r="E45" s="15"/>
      <c r="F45" s="358"/>
      <c r="G45" s="358"/>
      <c r="H45" s="15"/>
      <c r="I45" s="92">
        <v>720</v>
      </c>
      <c r="J45" s="15"/>
      <c r="K45" s="92"/>
      <c r="L45" s="359"/>
      <c r="M45" s="360"/>
      <c r="N45" s="92"/>
      <c r="O45" s="15"/>
      <c r="P45" s="92"/>
      <c r="Q45" s="16">
        <f t="shared" si="3"/>
        <v>3132</v>
      </c>
      <c r="T45" s="28"/>
      <c r="V45" s="13">
        <f>R29-Q45</f>
        <v>0</v>
      </c>
    </row>
    <row r="46" spans="1:22" ht="15.75" thickBot="1">
      <c r="A46" s="391" t="s">
        <v>37</v>
      </c>
      <c r="B46" s="392"/>
      <c r="C46" s="392"/>
      <c r="D46" s="23">
        <f>SUM(D35:D45)</f>
        <v>17532</v>
      </c>
      <c r="E46" s="23">
        <f t="shared" ref="E46" si="4">SUM(E35:E45)</f>
        <v>8500</v>
      </c>
      <c r="F46" s="393">
        <f>SUM(F35:G45)</f>
        <v>7044</v>
      </c>
      <c r="G46" s="394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393">
        <f>SUM(L35:M45)</f>
        <v>0</v>
      </c>
      <c r="M46" s="394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398" t="s">
        <v>36</v>
      </c>
      <c r="B47" s="399"/>
      <c r="C47" s="399"/>
      <c r="D47" s="400">
        <f>D46+E46+F46+H46+I46+J46+K46+L46+N46+O46+P46</f>
        <v>67404</v>
      </c>
      <c r="E47" s="401"/>
      <c r="F47" s="401"/>
      <c r="G47" s="401"/>
      <c r="H47" s="401"/>
      <c r="I47" s="401"/>
      <c r="J47" s="401"/>
      <c r="K47" s="401"/>
      <c r="L47" s="401"/>
      <c r="M47" s="401"/>
      <c r="N47" s="401"/>
      <c r="O47" s="401"/>
      <c r="P47" s="401"/>
      <c r="Q47" s="402"/>
      <c r="T47" s="28"/>
      <c r="V47" s="13"/>
    </row>
    <row r="48" spans="1:22" s="20" customFormat="1" ht="15" customHeight="1" thickBot="1">
      <c r="A48" s="383" t="s">
        <v>26</v>
      </c>
      <c r="B48" s="384"/>
      <c r="C48" s="384"/>
      <c r="D48" s="22">
        <v>5673617</v>
      </c>
      <c r="E48" s="22">
        <v>2670081</v>
      </c>
      <c r="F48" s="385">
        <v>2226736</v>
      </c>
      <c r="G48" s="386"/>
      <c r="H48" s="22">
        <v>1560338</v>
      </c>
      <c r="I48" s="26">
        <v>4197122</v>
      </c>
      <c r="J48" s="22">
        <v>1671937</v>
      </c>
      <c r="K48" s="22"/>
      <c r="L48" s="387"/>
      <c r="M48" s="386"/>
      <c r="N48" s="26"/>
      <c r="O48" s="22">
        <v>283020</v>
      </c>
      <c r="P48" s="26">
        <v>3266760</v>
      </c>
      <c r="Q48" s="84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66"/>
  <sheetViews>
    <sheetView zoomScaleNormal="100" workbookViewId="0">
      <pane ySplit="4" topLeftCell="A31" activePane="bottomLeft" state="frozen"/>
      <selection pane="bottomLeft" sqref="A1:T47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11" t="s">
        <v>206</v>
      </c>
      <c r="B1" s="412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412"/>
      <c r="N1" s="412"/>
      <c r="O1" s="412"/>
      <c r="P1" s="412"/>
      <c r="Q1" s="412"/>
      <c r="R1" s="412"/>
      <c r="S1" s="412"/>
      <c r="T1" s="413"/>
    </row>
    <row r="2" spans="1:23" s="6" customFormat="1" ht="12.75" customHeight="1">
      <c r="A2" s="337" t="s">
        <v>9</v>
      </c>
      <c r="B2" s="339" t="s">
        <v>13</v>
      </c>
      <c r="C2" s="341" t="s">
        <v>23</v>
      </c>
      <c r="D2" s="342"/>
      <c r="E2" s="345" t="s">
        <v>15</v>
      </c>
      <c r="F2" s="347" t="s">
        <v>0</v>
      </c>
      <c r="G2" s="339"/>
      <c r="H2" s="348"/>
      <c r="I2" s="349" t="s">
        <v>39</v>
      </c>
      <c r="J2" s="350"/>
      <c r="K2" s="350"/>
      <c r="L2" s="351"/>
      <c r="M2" s="348"/>
      <c r="N2" s="349" t="s">
        <v>1</v>
      </c>
      <c r="O2" s="350"/>
      <c r="P2" s="348"/>
      <c r="Q2" s="352" t="s">
        <v>2</v>
      </c>
      <c r="R2" s="353"/>
      <c r="S2" s="339" t="s">
        <v>14</v>
      </c>
      <c r="T2" s="312" t="s">
        <v>12</v>
      </c>
    </row>
    <row r="3" spans="1:23" s="6" customFormat="1" ht="15.75" thickBot="1">
      <c r="A3" s="338"/>
      <c r="B3" s="340"/>
      <c r="C3" s="343"/>
      <c r="D3" s="344"/>
      <c r="E3" s="346"/>
      <c r="F3" s="314" t="s">
        <v>3</v>
      </c>
      <c r="G3" s="315"/>
      <c r="H3" s="9" t="s">
        <v>4</v>
      </c>
      <c r="I3" s="10" t="s">
        <v>22</v>
      </c>
      <c r="J3" s="11" t="s">
        <v>7</v>
      </c>
      <c r="K3" s="11" t="s">
        <v>17</v>
      </c>
      <c r="L3" s="316" t="s">
        <v>18</v>
      </c>
      <c r="M3" s="31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0"/>
      <c r="T3" s="313"/>
    </row>
    <row r="4" spans="1:23" s="18" customFormat="1" ht="15.75" thickBot="1">
      <c r="A4" s="124" t="s">
        <v>35</v>
      </c>
      <c r="B4" s="30"/>
      <c r="C4" s="318"/>
      <c r="D4" s="319"/>
      <c r="E4" s="31"/>
      <c r="F4" s="318">
        <v>1584</v>
      </c>
      <c r="G4" s="320"/>
      <c r="H4" s="123">
        <v>8520</v>
      </c>
      <c r="I4" s="32">
        <v>47010</v>
      </c>
      <c r="J4" s="33">
        <v>360</v>
      </c>
      <c r="K4" s="123">
        <v>3212</v>
      </c>
      <c r="L4" s="321">
        <v>660</v>
      </c>
      <c r="M4" s="319"/>
      <c r="N4" s="122">
        <v>18720</v>
      </c>
      <c r="O4" s="123">
        <v>9984</v>
      </c>
      <c r="P4" s="34">
        <v>86856</v>
      </c>
      <c r="Q4" s="122">
        <v>9432</v>
      </c>
      <c r="R4" s="34">
        <v>4032</v>
      </c>
      <c r="S4" s="35">
        <f>SUM(F4:R4)</f>
        <v>190370</v>
      </c>
      <c r="T4" s="36">
        <v>60581039</v>
      </c>
    </row>
    <row r="5" spans="1:23">
      <c r="A5" s="137" t="s">
        <v>196</v>
      </c>
      <c r="B5" s="150">
        <v>76</v>
      </c>
      <c r="C5" s="326" t="s">
        <v>111</v>
      </c>
      <c r="D5" s="327"/>
      <c r="E5" s="151" t="s">
        <v>112</v>
      </c>
      <c r="F5" s="328"/>
      <c r="G5" s="329"/>
      <c r="H5" s="138"/>
      <c r="I5" s="39">
        <v>8100</v>
      </c>
      <c r="J5" s="40"/>
      <c r="K5" s="40">
        <v>330</v>
      </c>
      <c r="L5" s="330"/>
      <c r="M5" s="331"/>
      <c r="N5" s="39">
        <v>240</v>
      </c>
      <c r="O5" s="138">
        <v>240</v>
      </c>
      <c r="P5" s="41">
        <v>1200</v>
      </c>
      <c r="Q5" s="39">
        <v>2400</v>
      </c>
      <c r="R5" s="41">
        <v>1800</v>
      </c>
      <c r="S5" s="148">
        <f t="shared" ref="S5:S27" si="0">SUM(F5:R5)</f>
        <v>14310</v>
      </c>
      <c r="T5" s="43">
        <v>4660286</v>
      </c>
    </row>
    <row r="6" spans="1:23">
      <c r="A6" s="141" t="s">
        <v>197</v>
      </c>
      <c r="B6" s="38">
        <v>77</v>
      </c>
      <c r="C6" s="322" t="s">
        <v>124</v>
      </c>
      <c r="D6" s="323"/>
      <c r="E6" s="44" t="s">
        <v>125</v>
      </c>
      <c r="F6" s="324"/>
      <c r="G6" s="325"/>
      <c r="H6" s="132"/>
      <c r="I6" s="47">
        <v>60</v>
      </c>
      <c r="J6" s="51"/>
      <c r="K6" s="51"/>
      <c r="L6" s="310"/>
      <c r="M6" s="311"/>
      <c r="N6" s="47"/>
      <c r="O6" s="132"/>
      <c r="P6" s="48"/>
      <c r="Q6" s="47">
        <v>60</v>
      </c>
      <c r="R6" s="48"/>
      <c r="S6" s="52">
        <f t="shared" si="0"/>
        <v>120</v>
      </c>
      <c r="T6" s="53">
        <v>42078</v>
      </c>
    </row>
    <row r="7" spans="1:23">
      <c r="A7" s="141" t="s">
        <v>197</v>
      </c>
      <c r="B7" s="38">
        <v>78</v>
      </c>
      <c r="C7" s="322" t="s">
        <v>133</v>
      </c>
      <c r="D7" s="323"/>
      <c r="E7" s="44" t="s">
        <v>132</v>
      </c>
      <c r="F7" s="324"/>
      <c r="G7" s="325"/>
      <c r="H7" s="132"/>
      <c r="I7" s="47"/>
      <c r="J7" s="51"/>
      <c r="K7" s="51"/>
      <c r="L7" s="310"/>
      <c r="M7" s="311"/>
      <c r="N7" s="47"/>
      <c r="O7" s="132"/>
      <c r="P7" s="48">
        <v>120</v>
      </c>
      <c r="Q7" s="47"/>
      <c r="R7" s="48"/>
      <c r="S7" s="52">
        <f t="shared" si="0"/>
        <v>120</v>
      </c>
      <c r="T7" s="53">
        <v>39858</v>
      </c>
    </row>
    <row r="8" spans="1:23" ht="15" customHeight="1">
      <c r="A8" s="141" t="s">
        <v>197</v>
      </c>
      <c r="B8" s="38">
        <v>79</v>
      </c>
      <c r="C8" s="324" t="s">
        <v>127</v>
      </c>
      <c r="D8" s="311"/>
      <c r="E8" s="44" t="s">
        <v>146</v>
      </c>
      <c r="F8" s="324"/>
      <c r="G8" s="325"/>
      <c r="H8" s="132">
        <v>1440</v>
      </c>
      <c r="I8" s="47">
        <v>600</v>
      </c>
      <c r="J8" s="51">
        <v>480</v>
      </c>
      <c r="K8" s="51">
        <v>220</v>
      </c>
      <c r="L8" s="132"/>
      <c r="M8" s="133"/>
      <c r="N8" s="47">
        <v>480</v>
      </c>
      <c r="O8" s="132">
        <v>480</v>
      </c>
      <c r="P8" s="48">
        <v>3600</v>
      </c>
      <c r="Q8" s="47">
        <v>180</v>
      </c>
      <c r="R8" s="48"/>
      <c r="S8" s="52">
        <f t="shared" si="0"/>
        <v>7480</v>
      </c>
      <c r="T8" s="53">
        <v>2355378</v>
      </c>
    </row>
    <row r="9" spans="1:23">
      <c r="A9" s="141" t="s">
        <v>198</v>
      </c>
      <c r="B9" s="38">
        <v>80</v>
      </c>
      <c r="C9" s="414" t="s">
        <v>98</v>
      </c>
      <c r="D9" s="333"/>
      <c r="E9" s="44" t="s">
        <v>99</v>
      </c>
      <c r="F9" s="324"/>
      <c r="G9" s="325"/>
      <c r="H9" s="132">
        <v>120</v>
      </c>
      <c r="I9" s="47"/>
      <c r="J9" s="51"/>
      <c r="K9" s="51"/>
      <c r="L9" s="132"/>
      <c r="M9" s="133"/>
      <c r="N9" s="47"/>
      <c r="O9" s="132"/>
      <c r="P9" s="48">
        <v>120</v>
      </c>
      <c r="Q9" s="47"/>
      <c r="R9" s="48"/>
      <c r="S9" s="52">
        <f t="shared" si="0"/>
        <v>240</v>
      </c>
      <c r="T9" s="53">
        <v>81150</v>
      </c>
      <c r="W9" s="120"/>
    </row>
    <row r="10" spans="1:23">
      <c r="A10" s="141" t="s">
        <v>198</v>
      </c>
      <c r="B10" s="38">
        <v>81</v>
      </c>
      <c r="C10" s="322" t="s">
        <v>100</v>
      </c>
      <c r="D10" s="323"/>
      <c r="E10" s="55" t="s">
        <v>101</v>
      </c>
      <c r="F10" s="324"/>
      <c r="G10" s="325"/>
      <c r="H10" s="132"/>
      <c r="I10" s="47">
        <v>150</v>
      </c>
      <c r="J10" s="51"/>
      <c r="K10" s="51"/>
      <c r="L10" s="310"/>
      <c r="M10" s="311"/>
      <c r="N10" s="47"/>
      <c r="O10" s="132"/>
      <c r="P10" s="48">
        <v>360</v>
      </c>
      <c r="Q10" s="47">
        <v>24</v>
      </c>
      <c r="R10" s="48"/>
      <c r="S10" s="52">
        <f t="shared" si="0"/>
        <v>534</v>
      </c>
      <c r="T10" s="53">
        <v>176119</v>
      </c>
    </row>
    <row r="11" spans="1:23">
      <c r="A11" s="141" t="s">
        <v>106</v>
      </c>
      <c r="B11" s="38">
        <v>82</v>
      </c>
      <c r="C11" s="322" t="s">
        <v>102</v>
      </c>
      <c r="D11" s="323"/>
      <c r="E11" s="55" t="s">
        <v>103</v>
      </c>
      <c r="F11" s="324"/>
      <c r="G11" s="325"/>
      <c r="H11" s="132">
        <v>72</v>
      </c>
      <c r="I11" s="47"/>
      <c r="J11" s="51"/>
      <c r="K11" s="51"/>
      <c r="L11" s="310"/>
      <c r="M11" s="311"/>
      <c r="N11" s="47"/>
      <c r="O11" s="132"/>
      <c r="P11" s="48"/>
      <c r="Q11" s="47"/>
      <c r="R11" s="48"/>
      <c r="S11" s="52">
        <f t="shared" si="0"/>
        <v>72</v>
      </c>
      <c r="T11" s="53">
        <v>24776</v>
      </c>
    </row>
    <row r="12" spans="1:23">
      <c r="A12" s="141" t="s">
        <v>199</v>
      </c>
      <c r="B12" s="38">
        <v>83</v>
      </c>
      <c r="C12" s="322" t="s">
        <v>111</v>
      </c>
      <c r="D12" s="323"/>
      <c r="E12" s="55" t="s">
        <v>112</v>
      </c>
      <c r="F12" s="324"/>
      <c r="G12" s="325"/>
      <c r="H12" s="132"/>
      <c r="I12" s="47">
        <v>6000</v>
      </c>
      <c r="J12" s="51">
        <v>120</v>
      </c>
      <c r="K12" s="51">
        <v>220</v>
      </c>
      <c r="L12" s="310"/>
      <c r="M12" s="311"/>
      <c r="N12" s="47">
        <v>1200</v>
      </c>
      <c r="O12" s="132">
        <v>240</v>
      </c>
      <c r="P12" s="48">
        <v>3840</v>
      </c>
      <c r="Q12" s="47">
        <v>3000</v>
      </c>
      <c r="R12" s="48"/>
      <c r="S12" s="52">
        <f t="shared" si="0"/>
        <v>14620</v>
      </c>
      <c r="T12" s="53">
        <v>4697862</v>
      </c>
    </row>
    <row r="13" spans="1:23">
      <c r="A13" s="141" t="s">
        <v>199</v>
      </c>
      <c r="B13" s="38">
        <v>84</v>
      </c>
      <c r="C13" s="322" t="s">
        <v>95</v>
      </c>
      <c r="D13" s="323"/>
      <c r="E13" s="44" t="s">
        <v>96</v>
      </c>
      <c r="F13" s="324">
        <v>240</v>
      </c>
      <c r="G13" s="325"/>
      <c r="H13" s="132"/>
      <c r="I13" s="47">
        <v>750</v>
      </c>
      <c r="J13" s="51"/>
      <c r="K13" s="51">
        <v>176</v>
      </c>
      <c r="L13" s="310"/>
      <c r="M13" s="311"/>
      <c r="N13" s="47">
        <v>1080</v>
      </c>
      <c r="O13" s="132">
        <v>912</v>
      </c>
      <c r="P13" s="48">
        <v>3600</v>
      </c>
      <c r="Q13" s="47"/>
      <c r="R13" s="48"/>
      <c r="S13" s="52">
        <f>SUM(F13:R13)</f>
        <v>6758</v>
      </c>
      <c r="T13" s="53">
        <v>2148083</v>
      </c>
    </row>
    <row r="14" spans="1:23" ht="15" customHeight="1">
      <c r="A14" s="135" t="s">
        <v>200</v>
      </c>
      <c r="B14" s="38">
        <v>85</v>
      </c>
      <c r="C14" s="324" t="s">
        <v>127</v>
      </c>
      <c r="D14" s="311"/>
      <c r="E14" s="44" t="s">
        <v>128</v>
      </c>
      <c r="F14" s="324"/>
      <c r="G14" s="325"/>
      <c r="H14" s="132">
        <v>1800</v>
      </c>
      <c r="I14" s="47">
        <v>900</v>
      </c>
      <c r="J14" s="51"/>
      <c r="K14" s="51"/>
      <c r="L14" s="310"/>
      <c r="M14" s="311"/>
      <c r="N14" s="135"/>
      <c r="O14" s="132">
        <v>120</v>
      </c>
      <c r="P14" s="48">
        <v>3840</v>
      </c>
      <c r="Q14" s="135">
        <v>240</v>
      </c>
      <c r="R14" s="48"/>
      <c r="S14" s="52">
        <f t="shared" si="0"/>
        <v>6900</v>
      </c>
      <c r="T14" s="53">
        <v>2172057</v>
      </c>
    </row>
    <row r="15" spans="1:23">
      <c r="A15" s="135" t="s">
        <v>200</v>
      </c>
      <c r="B15" s="38">
        <v>86</v>
      </c>
      <c r="C15" s="322" t="s">
        <v>201</v>
      </c>
      <c r="D15" s="323"/>
      <c r="E15" s="44" t="s">
        <v>142</v>
      </c>
      <c r="F15" s="324"/>
      <c r="G15" s="325"/>
      <c r="H15" s="132"/>
      <c r="I15" s="47"/>
      <c r="J15" s="51"/>
      <c r="K15" s="51"/>
      <c r="L15" s="310"/>
      <c r="M15" s="311"/>
      <c r="N15" s="135"/>
      <c r="O15" s="132"/>
      <c r="P15" s="48"/>
      <c r="Q15" s="135">
        <v>24</v>
      </c>
      <c r="R15" s="54"/>
      <c r="S15" s="52">
        <f t="shared" si="0"/>
        <v>24</v>
      </c>
      <c r="T15" s="53">
        <v>9267</v>
      </c>
      <c r="V15" s="120"/>
    </row>
    <row r="16" spans="1:23">
      <c r="A16" s="135" t="s">
        <v>202</v>
      </c>
      <c r="B16" s="38">
        <v>87</v>
      </c>
      <c r="C16" s="324" t="s">
        <v>124</v>
      </c>
      <c r="D16" s="311"/>
      <c r="E16" s="44" t="s">
        <v>125</v>
      </c>
      <c r="F16" s="324">
        <v>72</v>
      </c>
      <c r="G16" s="325"/>
      <c r="H16" s="132"/>
      <c r="I16" s="47"/>
      <c r="J16" s="51"/>
      <c r="K16" s="51"/>
      <c r="L16" s="310"/>
      <c r="M16" s="311"/>
      <c r="N16" s="135"/>
      <c r="O16" s="132"/>
      <c r="P16" s="48"/>
      <c r="Q16" s="135"/>
      <c r="R16" s="54"/>
      <c r="S16" s="52">
        <f t="shared" si="0"/>
        <v>72</v>
      </c>
      <c r="T16" s="53">
        <v>24271</v>
      </c>
    </row>
    <row r="17" spans="1:22">
      <c r="A17" s="135" t="s">
        <v>203</v>
      </c>
      <c r="B17" s="38">
        <v>88</v>
      </c>
      <c r="C17" s="322" t="s">
        <v>133</v>
      </c>
      <c r="D17" s="323"/>
      <c r="E17" s="44" t="s">
        <v>132</v>
      </c>
      <c r="F17" s="324"/>
      <c r="G17" s="325"/>
      <c r="H17" s="132">
        <v>120</v>
      </c>
      <c r="I17" s="47"/>
      <c r="J17" s="51"/>
      <c r="K17" s="51"/>
      <c r="L17" s="310"/>
      <c r="M17" s="311"/>
      <c r="N17" s="135"/>
      <c r="O17" s="132"/>
      <c r="P17" s="48"/>
      <c r="Q17" s="135"/>
      <c r="R17" s="54"/>
      <c r="S17" s="52">
        <f>SUM(F17:R17)</f>
        <v>120</v>
      </c>
      <c r="T17" s="53">
        <v>41293</v>
      </c>
    </row>
    <row r="18" spans="1:22">
      <c r="A18" s="135" t="s">
        <v>204</v>
      </c>
      <c r="B18" s="38">
        <v>89</v>
      </c>
      <c r="C18" s="324" t="s">
        <v>149</v>
      </c>
      <c r="D18" s="311"/>
      <c r="E18" s="55" t="s">
        <v>99</v>
      </c>
      <c r="F18" s="324"/>
      <c r="G18" s="325"/>
      <c r="H18" s="132"/>
      <c r="I18" s="47"/>
      <c r="J18" s="51"/>
      <c r="K18" s="51"/>
      <c r="L18" s="310"/>
      <c r="M18" s="311"/>
      <c r="N18" s="135"/>
      <c r="O18" s="132"/>
      <c r="P18" s="48">
        <v>120</v>
      </c>
      <c r="Q18" s="135">
        <v>12</v>
      </c>
      <c r="R18" s="54"/>
      <c r="S18" s="52">
        <f t="shared" si="0"/>
        <v>132</v>
      </c>
      <c r="T18" s="53">
        <v>44491</v>
      </c>
      <c r="V18" s="13"/>
    </row>
    <row r="19" spans="1:22">
      <c r="A19" s="135" t="s">
        <v>204</v>
      </c>
      <c r="B19" s="38">
        <v>90</v>
      </c>
      <c r="C19" s="324" t="s">
        <v>111</v>
      </c>
      <c r="D19" s="311"/>
      <c r="E19" s="44" t="s">
        <v>112</v>
      </c>
      <c r="F19" s="324"/>
      <c r="G19" s="325"/>
      <c r="H19" s="132"/>
      <c r="I19" s="47">
        <v>4800</v>
      </c>
      <c r="J19" s="51"/>
      <c r="K19" s="51"/>
      <c r="L19" s="310"/>
      <c r="M19" s="311"/>
      <c r="N19" s="135"/>
      <c r="O19" s="132">
        <v>120</v>
      </c>
      <c r="P19" s="48">
        <v>3600</v>
      </c>
      <c r="Q19" s="135">
        <v>3600</v>
      </c>
      <c r="R19" s="54">
        <v>612</v>
      </c>
      <c r="S19" s="52">
        <f t="shared" si="0"/>
        <v>12732</v>
      </c>
      <c r="T19" s="53">
        <v>4192621</v>
      </c>
    </row>
    <row r="20" spans="1:22">
      <c r="A20" s="135" t="s">
        <v>204</v>
      </c>
      <c r="B20" s="38">
        <v>91</v>
      </c>
      <c r="C20" s="324" t="s">
        <v>95</v>
      </c>
      <c r="D20" s="311"/>
      <c r="E20" s="44" t="s">
        <v>96</v>
      </c>
      <c r="F20" s="324"/>
      <c r="G20" s="325"/>
      <c r="H20" s="132"/>
      <c r="I20" s="47"/>
      <c r="J20" s="51"/>
      <c r="K20" s="51"/>
      <c r="L20" s="310"/>
      <c r="M20" s="311"/>
      <c r="N20" s="135">
        <v>600</v>
      </c>
      <c r="O20" s="132">
        <v>600</v>
      </c>
      <c r="P20" s="48">
        <v>1200</v>
      </c>
      <c r="Q20" s="135"/>
      <c r="R20" s="54"/>
      <c r="S20" s="52">
        <f t="shared" si="0"/>
        <v>2400</v>
      </c>
      <c r="T20" s="53">
        <v>762854</v>
      </c>
    </row>
    <row r="21" spans="1:22">
      <c r="A21" s="135" t="s">
        <v>205</v>
      </c>
      <c r="B21" s="38">
        <v>92</v>
      </c>
      <c r="C21" s="324" t="s">
        <v>124</v>
      </c>
      <c r="D21" s="311"/>
      <c r="E21" s="44" t="s">
        <v>125</v>
      </c>
      <c r="F21" s="324"/>
      <c r="G21" s="325"/>
      <c r="H21" s="132">
        <v>24</v>
      </c>
      <c r="I21" s="47"/>
      <c r="J21" s="51"/>
      <c r="K21" s="51"/>
      <c r="L21" s="310"/>
      <c r="M21" s="311"/>
      <c r="N21" s="135"/>
      <c r="O21" s="132"/>
      <c r="P21" s="48">
        <v>24</v>
      </c>
      <c r="Q21" s="135"/>
      <c r="R21" s="54"/>
      <c r="S21" s="52">
        <f t="shared" si="0"/>
        <v>48</v>
      </c>
      <c r="T21" s="53">
        <v>16230</v>
      </c>
    </row>
    <row r="22" spans="1:22">
      <c r="A22" s="135" t="s">
        <v>205</v>
      </c>
      <c r="B22" s="38">
        <v>93</v>
      </c>
      <c r="C22" s="322" t="s">
        <v>122</v>
      </c>
      <c r="D22" s="323"/>
      <c r="E22" s="55" t="s">
        <v>121</v>
      </c>
      <c r="F22" s="324"/>
      <c r="G22" s="325"/>
      <c r="H22" s="132"/>
      <c r="I22" s="47">
        <v>300</v>
      </c>
      <c r="J22" s="51"/>
      <c r="K22" s="51"/>
      <c r="L22" s="310"/>
      <c r="M22" s="311"/>
      <c r="N22" s="135">
        <v>960</v>
      </c>
      <c r="O22" s="132">
        <v>480</v>
      </c>
      <c r="P22" s="48">
        <v>960</v>
      </c>
      <c r="Q22" s="135"/>
      <c r="R22" s="54"/>
      <c r="S22" s="52">
        <f t="shared" si="0"/>
        <v>2700</v>
      </c>
      <c r="T22" s="53">
        <v>851899</v>
      </c>
    </row>
    <row r="23" spans="1:22">
      <c r="A23" s="135" t="s">
        <v>205</v>
      </c>
      <c r="B23" s="38">
        <v>94</v>
      </c>
      <c r="C23" s="322" t="s">
        <v>123</v>
      </c>
      <c r="D23" s="323"/>
      <c r="E23" s="55" t="s">
        <v>121</v>
      </c>
      <c r="F23" s="324"/>
      <c r="G23" s="325"/>
      <c r="H23" s="132"/>
      <c r="I23" s="47">
        <v>450</v>
      </c>
      <c r="J23" s="51"/>
      <c r="K23" s="51"/>
      <c r="L23" s="310"/>
      <c r="M23" s="311"/>
      <c r="N23" s="135"/>
      <c r="O23" s="132">
        <v>240</v>
      </c>
      <c r="P23" s="48">
        <v>1200</v>
      </c>
      <c r="Q23" s="135"/>
      <c r="R23" s="54"/>
      <c r="S23" s="52">
        <f t="shared" si="0"/>
        <v>1890</v>
      </c>
      <c r="T23" s="53">
        <v>597342</v>
      </c>
    </row>
    <row r="24" spans="1:22">
      <c r="A24" s="135" t="s">
        <v>205</v>
      </c>
      <c r="B24" s="38">
        <v>95</v>
      </c>
      <c r="C24" s="322" t="s">
        <v>95</v>
      </c>
      <c r="D24" s="323"/>
      <c r="E24" s="55" t="s">
        <v>96</v>
      </c>
      <c r="F24" s="324"/>
      <c r="G24" s="325"/>
      <c r="H24" s="132">
        <v>24</v>
      </c>
      <c r="I24" s="47">
        <v>30</v>
      </c>
      <c r="J24" s="51"/>
      <c r="K24" s="51"/>
      <c r="L24" s="310"/>
      <c r="M24" s="311"/>
      <c r="N24" s="135"/>
      <c r="O24" s="132"/>
      <c r="P24" s="48"/>
      <c r="Q24" s="135">
        <v>24</v>
      </c>
      <c r="R24" s="54"/>
      <c r="S24" s="52">
        <f t="shared" si="0"/>
        <v>78</v>
      </c>
      <c r="T24" s="53">
        <v>26007</v>
      </c>
    </row>
    <row r="25" spans="1:22">
      <c r="A25" s="134" t="s">
        <v>211</v>
      </c>
      <c r="B25" s="38">
        <v>96</v>
      </c>
      <c r="C25" s="322" t="s">
        <v>52</v>
      </c>
      <c r="D25" s="323"/>
      <c r="E25" s="55" t="s">
        <v>194</v>
      </c>
      <c r="F25" s="324"/>
      <c r="G25" s="325"/>
      <c r="H25" s="132"/>
      <c r="I25" s="47"/>
      <c r="J25" s="51"/>
      <c r="K25" s="51"/>
      <c r="L25" s="310"/>
      <c r="M25" s="311"/>
      <c r="N25" s="135"/>
      <c r="O25" s="132"/>
      <c r="P25" s="48">
        <v>120</v>
      </c>
      <c r="Q25" s="135"/>
      <c r="R25" s="54"/>
      <c r="S25" s="52">
        <f t="shared" si="0"/>
        <v>120</v>
      </c>
      <c r="T25" s="53">
        <v>39858</v>
      </c>
    </row>
    <row r="26" spans="1:22">
      <c r="A26" s="134" t="s">
        <v>211</v>
      </c>
      <c r="B26" s="38">
        <v>97</v>
      </c>
      <c r="C26" s="324" t="s">
        <v>127</v>
      </c>
      <c r="D26" s="311"/>
      <c r="E26" s="55" t="s">
        <v>146</v>
      </c>
      <c r="F26" s="324">
        <v>600</v>
      </c>
      <c r="G26" s="325"/>
      <c r="H26" s="81">
        <v>1440</v>
      </c>
      <c r="I26" s="56">
        <v>600</v>
      </c>
      <c r="J26" s="57"/>
      <c r="K26" s="57">
        <v>110</v>
      </c>
      <c r="L26" s="310"/>
      <c r="M26" s="311"/>
      <c r="N26" s="134">
        <v>1200</v>
      </c>
      <c r="O26" s="81">
        <v>600</v>
      </c>
      <c r="P26" s="54">
        <v>5400</v>
      </c>
      <c r="Q26" s="134">
        <v>180</v>
      </c>
      <c r="R26" s="54"/>
      <c r="S26" s="52">
        <f t="shared" si="0"/>
        <v>10130</v>
      </c>
      <c r="T26" s="58">
        <v>3172273</v>
      </c>
    </row>
    <row r="27" spans="1:22">
      <c r="A27" s="134" t="s">
        <v>207</v>
      </c>
      <c r="B27" s="38">
        <v>98</v>
      </c>
      <c r="C27" s="324" t="s">
        <v>120</v>
      </c>
      <c r="D27" s="311"/>
      <c r="E27" s="55" t="s">
        <v>121</v>
      </c>
      <c r="F27" s="324"/>
      <c r="G27" s="325"/>
      <c r="H27" s="81"/>
      <c r="I27" s="56">
        <v>1800</v>
      </c>
      <c r="J27" s="57"/>
      <c r="K27" s="57"/>
      <c r="L27" s="310"/>
      <c r="M27" s="311"/>
      <c r="N27" s="134"/>
      <c r="O27" s="81"/>
      <c r="P27" s="54">
        <v>2760</v>
      </c>
      <c r="Q27" s="134"/>
      <c r="R27" s="54"/>
      <c r="S27" s="52">
        <f t="shared" si="0"/>
        <v>4560</v>
      </c>
      <c r="T27" s="58">
        <v>1431388</v>
      </c>
    </row>
    <row r="28" spans="1:22">
      <c r="A28" s="134" t="s">
        <v>207</v>
      </c>
      <c r="B28" s="121">
        <v>99</v>
      </c>
      <c r="C28" s="324" t="s">
        <v>122</v>
      </c>
      <c r="D28" s="311"/>
      <c r="E28" s="55" t="s">
        <v>121</v>
      </c>
      <c r="F28" s="324"/>
      <c r="G28" s="325"/>
      <c r="H28" s="81"/>
      <c r="I28" s="56">
        <v>300</v>
      </c>
      <c r="J28" s="57"/>
      <c r="K28" s="57"/>
      <c r="L28" s="310"/>
      <c r="M28" s="311"/>
      <c r="N28" s="134">
        <v>1080</v>
      </c>
      <c r="O28" s="81">
        <v>360</v>
      </c>
      <c r="P28" s="54">
        <v>720</v>
      </c>
      <c r="Q28" s="134"/>
      <c r="R28" s="54"/>
      <c r="S28" s="52">
        <f t="shared" ref="S28:S45" si="1">SUM(F28:R28)</f>
        <v>2460</v>
      </c>
      <c r="T28" s="58">
        <v>774593</v>
      </c>
    </row>
    <row r="29" spans="1:22">
      <c r="A29" s="134" t="s">
        <v>207</v>
      </c>
      <c r="B29" s="121">
        <v>100</v>
      </c>
      <c r="C29" s="324" t="s">
        <v>123</v>
      </c>
      <c r="D29" s="311"/>
      <c r="E29" s="55" t="s">
        <v>121</v>
      </c>
      <c r="F29" s="324"/>
      <c r="G29" s="325"/>
      <c r="H29" s="81"/>
      <c r="I29" s="56">
        <v>750</v>
      </c>
      <c r="J29" s="57"/>
      <c r="K29" s="57"/>
      <c r="L29" s="310"/>
      <c r="M29" s="311"/>
      <c r="N29" s="134"/>
      <c r="O29" s="81"/>
      <c r="P29" s="54">
        <v>600</v>
      </c>
      <c r="Q29" s="134"/>
      <c r="R29" s="54"/>
      <c r="S29" s="52">
        <f t="shared" si="1"/>
        <v>1350</v>
      </c>
      <c r="T29" s="58">
        <v>420078</v>
      </c>
    </row>
    <row r="30" spans="1:22">
      <c r="A30" s="134" t="s">
        <v>207</v>
      </c>
      <c r="B30" s="121">
        <v>101</v>
      </c>
      <c r="C30" s="322" t="s">
        <v>100</v>
      </c>
      <c r="D30" s="323"/>
      <c r="E30" s="55" t="s">
        <v>101</v>
      </c>
      <c r="F30" s="324"/>
      <c r="G30" s="325"/>
      <c r="H30" s="81"/>
      <c r="I30" s="56"/>
      <c r="J30" s="57"/>
      <c r="K30" s="57"/>
      <c r="L30" s="310"/>
      <c r="M30" s="311"/>
      <c r="N30" s="134"/>
      <c r="O30" s="81"/>
      <c r="P30" s="54">
        <v>480</v>
      </c>
      <c r="Q30" s="134"/>
      <c r="R30" s="54"/>
      <c r="S30" s="52">
        <f t="shared" si="1"/>
        <v>480</v>
      </c>
      <c r="T30" s="58">
        <v>159430</v>
      </c>
    </row>
    <row r="31" spans="1:22">
      <c r="A31" s="134" t="s">
        <v>208</v>
      </c>
      <c r="B31" s="121">
        <v>102</v>
      </c>
      <c r="C31" s="324" t="s">
        <v>140</v>
      </c>
      <c r="D31" s="311"/>
      <c r="E31" s="55" t="s">
        <v>139</v>
      </c>
      <c r="F31" s="324"/>
      <c r="G31" s="325"/>
      <c r="H31" s="81"/>
      <c r="I31" s="56"/>
      <c r="J31" s="57"/>
      <c r="K31" s="57"/>
      <c r="L31" s="310"/>
      <c r="M31" s="311"/>
      <c r="N31" s="134"/>
      <c r="O31" s="81"/>
      <c r="P31" s="54"/>
      <c r="Q31" s="134">
        <v>60</v>
      </c>
      <c r="R31" s="54"/>
      <c r="S31" s="52">
        <f t="shared" si="1"/>
        <v>60</v>
      </c>
      <c r="T31" s="58">
        <v>23166</v>
      </c>
    </row>
    <row r="32" spans="1:22">
      <c r="A32" s="134" t="s">
        <v>208</v>
      </c>
      <c r="B32" s="121">
        <v>103</v>
      </c>
      <c r="C32" s="324" t="s">
        <v>144</v>
      </c>
      <c r="D32" s="311"/>
      <c r="E32" s="55" t="s">
        <v>145</v>
      </c>
      <c r="F32" s="324"/>
      <c r="G32" s="325"/>
      <c r="H32" s="81"/>
      <c r="I32" s="56">
        <v>30</v>
      </c>
      <c r="J32" s="57"/>
      <c r="K32" s="57"/>
      <c r="L32" s="310"/>
      <c r="M32" s="311"/>
      <c r="N32" s="134">
        <v>120</v>
      </c>
      <c r="O32" s="81">
        <v>240</v>
      </c>
      <c r="P32" s="54">
        <v>576</v>
      </c>
      <c r="Q32" s="134">
        <v>120</v>
      </c>
      <c r="R32" s="54"/>
      <c r="S32" s="52">
        <f t="shared" si="1"/>
        <v>1086</v>
      </c>
      <c r="T32" s="58">
        <v>352163</v>
      </c>
    </row>
    <row r="33" spans="1:24">
      <c r="A33" s="134" t="s">
        <v>208</v>
      </c>
      <c r="B33" s="121">
        <v>104</v>
      </c>
      <c r="C33" s="324" t="s">
        <v>95</v>
      </c>
      <c r="D33" s="311"/>
      <c r="E33" s="55" t="s">
        <v>96</v>
      </c>
      <c r="F33" s="324"/>
      <c r="G33" s="325"/>
      <c r="H33" s="81"/>
      <c r="I33" s="56"/>
      <c r="J33" s="57"/>
      <c r="K33" s="57"/>
      <c r="L33" s="310"/>
      <c r="M33" s="311"/>
      <c r="N33" s="134">
        <v>1200</v>
      </c>
      <c r="O33" s="81">
        <v>600</v>
      </c>
      <c r="P33" s="54">
        <v>2400</v>
      </c>
      <c r="Q33" s="134">
        <v>60</v>
      </c>
      <c r="R33" s="54"/>
      <c r="S33" s="52">
        <f t="shared" si="1"/>
        <v>4260</v>
      </c>
      <c r="T33" s="58">
        <v>1358128</v>
      </c>
    </row>
    <row r="34" spans="1:24">
      <c r="A34" s="134" t="s">
        <v>209</v>
      </c>
      <c r="B34" s="121">
        <v>105</v>
      </c>
      <c r="C34" s="324" t="s">
        <v>117</v>
      </c>
      <c r="D34" s="311"/>
      <c r="E34" s="55" t="s">
        <v>118</v>
      </c>
      <c r="F34" s="324"/>
      <c r="G34" s="325"/>
      <c r="H34" s="81"/>
      <c r="I34" s="56"/>
      <c r="J34" s="57"/>
      <c r="K34" s="57"/>
      <c r="L34" s="310"/>
      <c r="M34" s="311"/>
      <c r="N34" s="134"/>
      <c r="O34" s="81"/>
      <c r="P34" s="54">
        <v>360</v>
      </c>
      <c r="Q34" s="134"/>
      <c r="R34" s="54"/>
      <c r="S34" s="52">
        <f t="shared" si="1"/>
        <v>360</v>
      </c>
      <c r="T34" s="58">
        <v>119573</v>
      </c>
    </row>
    <row r="35" spans="1:24">
      <c r="A35" s="134" t="s">
        <v>209</v>
      </c>
      <c r="B35" s="121">
        <v>106</v>
      </c>
      <c r="C35" s="324" t="s">
        <v>111</v>
      </c>
      <c r="D35" s="311"/>
      <c r="E35" s="55" t="s">
        <v>112</v>
      </c>
      <c r="F35" s="324"/>
      <c r="G35" s="325"/>
      <c r="H35" s="81"/>
      <c r="I35" s="56">
        <v>5400</v>
      </c>
      <c r="J35" s="57">
        <v>72</v>
      </c>
      <c r="K35" s="57">
        <v>440</v>
      </c>
      <c r="L35" s="310"/>
      <c r="M35" s="311"/>
      <c r="N35" s="134">
        <v>1200</v>
      </c>
      <c r="O35" s="81">
        <v>720</v>
      </c>
      <c r="P35" s="54">
        <v>4800</v>
      </c>
      <c r="Q35" s="134">
        <v>1020</v>
      </c>
      <c r="R35" s="54"/>
      <c r="S35" s="52">
        <f t="shared" si="1"/>
        <v>13652</v>
      </c>
      <c r="T35" s="58">
        <v>4299973</v>
      </c>
    </row>
    <row r="36" spans="1:24">
      <c r="A36" s="134" t="s">
        <v>210</v>
      </c>
      <c r="B36" s="121">
        <v>107</v>
      </c>
      <c r="C36" s="324" t="s">
        <v>133</v>
      </c>
      <c r="D36" s="311"/>
      <c r="E36" s="55" t="s">
        <v>132</v>
      </c>
      <c r="F36" s="324"/>
      <c r="G36" s="325"/>
      <c r="H36" s="81"/>
      <c r="I36" s="56"/>
      <c r="J36" s="57"/>
      <c r="K36" s="57"/>
      <c r="L36" s="310"/>
      <c r="M36" s="311"/>
      <c r="N36" s="134"/>
      <c r="O36" s="81"/>
      <c r="P36" s="54">
        <v>120</v>
      </c>
      <c r="Q36" s="134"/>
      <c r="R36" s="54"/>
      <c r="S36" s="52">
        <f t="shared" si="1"/>
        <v>120</v>
      </c>
      <c r="T36" s="58">
        <v>39858</v>
      </c>
    </row>
    <row r="37" spans="1:24">
      <c r="A37" s="134" t="s">
        <v>210</v>
      </c>
      <c r="B37" s="121">
        <v>108</v>
      </c>
      <c r="C37" s="324" t="s">
        <v>127</v>
      </c>
      <c r="D37" s="311"/>
      <c r="E37" s="55" t="s">
        <v>128</v>
      </c>
      <c r="F37" s="324"/>
      <c r="G37" s="325"/>
      <c r="H37" s="81">
        <v>600</v>
      </c>
      <c r="I37" s="56">
        <v>1800</v>
      </c>
      <c r="J37" s="57"/>
      <c r="K37" s="57">
        <v>440</v>
      </c>
      <c r="L37" s="310">
        <v>440</v>
      </c>
      <c r="M37" s="311"/>
      <c r="N37" s="134">
        <v>720</v>
      </c>
      <c r="O37" s="81">
        <v>120</v>
      </c>
      <c r="P37" s="54">
        <v>3600</v>
      </c>
      <c r="Q37" s="134"/>
      <c r="R37" s="54"/>
      <c r="S37" s="52">
        <f t="shared" si="1"/>
        <v>7720</v>
      </c>
      <c r="T37" s="58">
        <v>2398129</v>
      </c>
    </row>
    <row r="38" spans="1:24">
      <c r="A38" s="134" t="s">
        <v>213</v>
      </c>
      <c r="B38" s="121">
        <v>109</v>
      </c>
      <c r="C38" s="324" t="s">
        <v>98</v>
      </c>
      <c r="D38" s="311"/>
      <c r="E38" s="55" t="s">
        <v>99</v>
      </c>
      <c r="F38" s="324"/>
      <c r="G38" s="325"/>
      <c r="H38" s="81">
        <v>120</v>
      </c>
      <c r="I38" s="56"/>
      <c r="J38" s="57"/>
      <c r="K38" s="57"/>
      <c r="L38" s="310"/>
      <c r="M38" s="311"/>
      <c r="N38" s="134"/>
      <c r="O38" s="81"/>
      <c r="P38" s="54">
        <v>120</v>
      </c>
      <c r="Q38" s="134"/>
      <c r="R38" s="54"/>
      <c r="S38" s="52">
        <f t="shared" si="1"/>
        <v>240</v>
      </c>
      <c r="T38" s="58">
        <v>81150</v>
      </c>
    </row>
    <row r="39" spans="1:24" ht="15.75" thickBot="1">
      <c r="A39" s="140" t="s">
        <v>213</v>
      </c>
      <c r="B39" s="125">
        <v>110</v>
      </c>
      <c r="C39" s="354" t="s">
        <v>214</v>
      </c>
      <c r="D39" s="355"/>
      <c r="E39" s="126" t="s">
        <v>221</v>
      </c>
      <c r="F39" s="354"/>
      <c r="G39" s="357"/>
      <c r="H39" s="139"/>
      <c r="I39" s="127"/>
      <c r="J39" s="128"/>
      <c r="K39" s="128"/>
      <c r="L39" s="356"/>
      <c r="M39" s="355"/>
      <c r="N39" s="140"/>
      <c r="O39" s="139"/>
      <c r="P39" s="129">
        <v>480</v>
      </c>
      <c r="Q39" s="140"/>
      <c r="R39" s="129"/>
      <c r="S39" s="130">
        <f t="shared" si="1"/>
        <v>480</v>
      </c>
      <c r="T39" s="131">
        <v>159430</v>
      </c>
    </row>
    <row r="40" spans="1:24">
      <c r="A40" s="137" t="s">
        <v>213</v>
      </c>
      <c r="B40" s="142">
        <v>111</v>
      </c>
      <c r="C40" s="328" t="s">
        <v>172</v>
      </c>
      <c r="D40" s="331"/>
      <c r="E40" s="143" t="s">
        <v>215</v>
      </c>
      <c r="F40" s="328"/>
      <c r="G40" s="329"/>
      <c r="H40" s="144"/>
      <c r="I40" s="145">
        <v>150</v>
      </c>
      <c r="J40" s="146"/>
      <c r="K40" s="146"/>
      <c r="L40" s="330"/>
      <c r="M40" s="331"/>
      <c r="N40" s="136"/>
      <c r="O40" s="144"/>
      <c r="P40" s="147">
        <v>360</v>
      </c>
      <c r="Q40" s="136"/>
      <c r="R40" s="147"/>
      <c r="S40" s="148">
        <f t="shared" si="1"/>
        <v>510</v>
      </c>
      <c r="T40" s="149">
        <v>166853</v>
      </c>
    </row>
    <row r="41" spans="1:24">
      <c r="A41" s="82" t="s">
        <v>216</v>
      </c>
      <c r="B41" s="121">
        <v>112</v>
      </c>
      <c r="C41" s="324" t="s">
        <v>111</v>
      </c>
      <c r="D41" s="311"/>
      <c r="E41" s="55" t="s">
        <v>112</v>
      </c>
      <c r="F41" s="324"/>
      <c r="G41" s="325"/>
      <c r="H41" s="81">
        <v>72</v>
      </c>
      <c r="I41" s="56">
        <v>8700</v>
      </c>
      <c r="J41" s="57">
        <v>72</v>
      </c>
      <c r="K41" s="57">
        <v>220</v>
      </c>
      <c r="L41" s="310"/>
      <c r="M41" s="311"/>
      <c r="N41" s="134">
        <v>720</v>
      </c>
      <c r="O41" s="81">
        <v>360</v>
      </c>
      <c r="P41" s="54">
        <v>1800</v>
      </c>
      <c r="Q41" s="134">
        <v>1320</v>
      </c>
      <c r="R41" s="54"/>
      <c r="S41" s="52">
        <f t="shared" si="1"/>
        <v>13264</v>
      </c>
      <c r="T41" s="58">
        <v>4136203</v>
      </c>
    </row>
    <row r="42" spans="1:24">
      <c r="A42" s="134" t="s">
        <v>217</v>
      </c>
      <c r="B42" s="121">
        <v>113</v>
      </c>
      <c r="C42" s="324" t="s">
        <v>127</v>
      </c>
      <c r="D42" s="311"/>
      <c r="E42" s="55" t="s">
        <v>128</v>
      </c>
      <c r="F42" s="324"/>
      <c r="G42" s="325"/>
      <c r="H42" s="81">
        <v>720</v>
      </c>
      <c r="I42" s="56">
        <v>300</v>
      </c>
      <c r="J42" s="57"/>
      <c r="K42" s="57">
        <v>220</v>
      </c>
      <c r="L42" s="310"/>
      <c r="M42" s="311"/>
      <c r="N42" s="134"/>
      <c r="O42" s="81"/>
      <c r="P42" s="54">
        <v>480</v>
      </c>
      <c r="Q42" s="134">
        <v>600</v>
      </c>
      <c r="R42" s="54"/>
      <c r="S42" s="52">
        <f t="shared" si="1"/>
        <v>2320</v>
      </c>
      <c r="T42" s="58">
        <v>767615</v>
      </c>
    </row>
    <row r="43" spans="1:24">
      <c r="A43" s="134" t="s">
        <v>218</v>
      </c>
      <c r="B43" s="121">
        <v>114</v>
      </c>
      <c r="C43" s="324" t="s">
        <v>219</v>
      </c>
      <c r="D43" s="311"/>
      <c r="E43" s="55" t="s">
        <v>220</v>
      </c>
      <c r="F43" s="324"/>
      <c r="G43" s="325"/>
      <c r="H43" s="81"/>
      <c r="I43" s="56"/>
      <c r="J43" s="57"/>
      <c r="K43" s="57">
        <v>22</v>
      </c>
      <c r="L43" s="310"/>
      <c r="M43" s="311"/>
      <c r="N43" s="134"/>
      <c r="O43" s="81"/>
      <c r="P43" s="54"/>
      <c r="Q43" s="134"/>
      <c r="R43" s="54"/>
      <c r="S43" s="52">
        <f t="shared" si="1"/>
        <v>22</v>
      </c>
      <c r="T43" s="58">
        <v>7887</v>
      </c>
    </row>
    <row r="44" spans="1:24">
      <c r="A44" s="134" t="s">
        <v>218</v>
      </c>
      <c r="B44" s="121">
        <v>115</v>
      </c>
      <c r="C44" s="324" t="s">
        <v>214</v>
      </c>
      <c r="D44" s="311"/>
      <c r="E44" s="55" t="s">
        <v>221</v>
      </c>
      <c r="F44" s="324"/>
      <c r="G44" s="325"/>
      <c r="H44" s="81"/>
      <c r="I44" s="56"/>
      <c r="J44" s="57"/>
      <c r="K44" s="57"/>
      <c r="L44" s="310"/>
      <c r="M44" s="311"/>
      <c r="N44" s="134"/>
      <c r="O44" s="81"/>
      <c r="P44" s="54"/>
      <c r="Q44" s="134">
        <v>120</v>
      </c>
      <c r="R44" s="54"/>
      <c r="S44" s="52">
        <f t="shared" si="1"/>
        <v>120</v>
      </c>
      <c r="T44" s="58">
        <v>46333</v>
      </c>
    </row>
    <row r="45" spans="1:24" ht="15.75" thickBot="1">
      <c r="A45" s="134" t="s">
        <v>218</v>
      </c>
      <c r="B45" s="121">
        <v>116</v>
      </c>
      <c r="C45" s="324" t="s">
        <v>95</v>
      </c>
      <c r="D45" s="311"/>
      <c r="E45" s="55" t="s">
        <v>96</v>
      </c>
      <c r="F45" s="324"/>
      <c r="G45" s="325"/>
      <c r="H45" s="81"/>
      <c r="I45" s="56"/>
      <c r="J45" s="57"/>
      <c r="K45" s="57"/>
      <c r="L45" s="310"/>
      <c r="M45" s="311"/>
      <c r="N45" s="134">
        <v>600</v>
      </c>
      <c r="O45" s="81"/>
      <c r="P45" s="54">
        <v>1800</v>
      </c>
      <c r="Q45" s="134"/>
      <c r="R45" s="54"/>
      <c r="S45" s="52">
        <f t="shared" si="1"/>
        <v>2400</v>
      </c>
      <c r="T45" s="58">
        <v>765255</v>
      </c>
    </row>
    <row r="46" spans="1:24" ht="15.75" thickBot="1">
      <c r="A46" s="361" t="s">
        <v>16</v>
      </c>
      <c r="B46" s="362"/>
      <c r="C46" s="362"/>
      <c r="D46" s="61"/>
      <c r="E46" s="59"/>
      <c r="F46" s="318">
        <f>SUM(F5:G45)</f>
        <v>912</v>
      </c>
      <c r="G46" s="320"/>
      <c r="H46" s="34">
        <f>SUM(H5:H45)</f>
        <v>6552</v>
      </c>
      <c r="I46" s="107">
        <f>SUM(I5:I45)</f>
        <v>41970</v>
      </c>
      <c r="J46" s="108">
        <f>SUM(J5:J45)</f>
        <v>744</v>
      </c>
      <c r="K46" s="108">
        <f>SUM(K5:K45)</f>
        <v>2398</v>
      </c>
      <c r="L46" s="321">
        <f>SUM(L5:M45)</f>
        <v>440</v>
      </c>
      <c r="M46" s="319"/>
      <c r="N46" s="107">
        <f t="shared" ref="N46:T46" si="2">SUM(N5:N45)</f>
        <v>11400</v>
      </c>
      <c r="O46" s="108">
        <f t="shared" si="2"/>
        <v>6432</v>
      </c>
      <c r="P46" s="34">
        <f t="shared" si="2"/>
        <v>50760</v>
      </c>
      <c r="Q46" s="107">
        <f t="shared" si="2"/>
        <v>13044</v>
      </c>
      <c r="R46" s="34">
        <f t="shared" si="2"/>
        <v>2412</v>
      </c>
      <c r="S46" s="60">
        <f t="shared" si="2"/>
        <v>137064</v>
      </c>
      <c r="T46" s="36">
        <f t="shared" si="2"/>
        <v>43683258</v>
      </c>
      <c r="V46" s="13"/>
      <c r="W46" s="13"/>
      <c r="X46" s="13"/>
    </row>
    <row r="47" spans="1:24" ht="15.75" thickBot="1">
      <c r="A47" s="361"/>
      <c r="B47" s="362"/>
      <c r="C47" s="362"/>
      <c r="D47" s="61"/>
      <c r="E47" s="59"/>
      <c r="F47" s="318">
        <f>F4+F46</f>
        <v>2496</v>
      </c>
      <c r="G47" s="320"/>
      <c r="H47" s="34">
        <f>H4+H46</f>
        <v>15072</v>
      </c>
      <c r="I47" s="61">
        <f>I4+I46</f>
        <v>88980</v>
      </c>
      <c r="J47" s="108">
        <f>J4+J46</f>
        <v>1104</v>
      </c>
      <c r="K47" s="108">
        <f>K4+K46</f>
        <v>5610</v>
      </c>
      <c r="L47" s="321">
        <f>L4+L46</f>
        <v>1100</v>
      </c>
      <c r="M47" s="319"/>
      <c r="N47" s="107">
        <f t="shared" ref="N47:T47" si="3">N4+N46</f>
        <v>30120</v>
      </c>
      <c r="O47" s="108">
        <f t="shared" si="3"/>
        <v>16416</v>
      </c>
      <c r="P47" s="34">
        <f t="shared" si="3"/>
        <v>137616</v>
      </c>
      <c r="Q47" s="61">
        <f t="shared" si="3"/>
        <v>22476</v>
      </c>
      <c r="R47" s="108">
        <f t="shared" si="3"/>
        <v>6444</v>
      </c>
      <c r="S47" s="62">
        <f t="shared" si="3"/>
        <v>327434</v>
      </c>
      <c r="T47" s="36">
        <f t="shared" si="3"/>
        <v>104264297</v>
      </c>
      <c r="W47" s="13"/>
      <c r="X47" s="13"/>
    </row>
    <row r="48" spans="1:24" ht="15.75" thickBot="1">
      <c r="V48" s="13"/>
    </row>
    <row r="49" spans="1:22" ht="15.75" customHeight="1" thickBot="1">
      <c r="A49" s="363" t="s">
        <v>212</v>
      </c>
      <c r="B49" s="364"/>
      <c r="C49" s="364"/>
      <c r="D49" s="364"/>
      <c r="E49" s="364"/>
      <c r="F49" s="364"/>
      <c r="G49" s="364"/>
      <c r="H49" s="364"/>
      <c r="I49" s="364"/>
      <c r="J49" s="364"/>
      <c r="K49" s="364"/>
      <c r="L49" s="364"/>
      <c r="M49" s="364"/>
      <c r="N49" s="364"/>
      <c r="O49" s="364"/>
      <c r="P49" s="364"/>
      <c r="Q49" s="365"/>
      <c r="R49" s="1"/>
      <c r="S49" s="1"/>
      <c r="T49" s="28"/>
    </row>
    <row r="50" spans="1:22" ht="15.75" customHeight="1" thickBot="1">
      <c r="A50" s="366" t="s">
        <v>34</v>
      </c>
      <c r="B50" s="367"/>
      <c r="C50" s="370" t="s">
        <v>33</v>
      </c>
      <c r="D50" s="370" t="s">
        <v>11</v>
      </c>
      <c r="E50" s="373" t="s">
        <v>19</v>
      </c>
      <c r="F50" s="366" t="s">
        <v>8</v>
      </c>
      <c r="G50" s="367"/>
      <c r="H50" s="375" t="s">
        <v>10</v>
      </c>
      <c r="I50" s="376"/>
      <c r="J50" s="377"/>
      <c r="K50" s="378" t="s">
        <v>25</v>
      </c>
      <c r="L50" s="379"/>
      <c r="M50" s="379"/>
      <c r="N50" s="379"/>
      <c r="O50" s="380"/>
      <c r="P50" s="370" t="s">
        <v>20</v>
      </c>
      <c r="Q50" s="381" t="s">
        <v>38</v>
      </c>
      <c r="R50" s="1"/>
      <c r="S50" s="1"/>
      <c r="T50" s="28"/>
    </row>
    <row r="51" spans="1:22" ht="15.75" thickBot="1">
      <c r="A51" s="368"/>
      <c r="B51" s="369"/>
      <c r="C51" s="371"/>
      <c r="D51" s="372"/>
      <c r="E51" s="374"/>
      <c r="F51" s="368"/>
      <c r="G51" s="369"/>
      <c r="H51" s="69" t="s">
        <v>49</v>
      </c>
      <c r="I51" s="69" t="s">
        <v>48</v>
      </c>
      <c r="J51" s="69" t="s">
        <v>50</v>
      </c>
      <c r="K51" s="69" t="s">
        <v>24</v>
      </c>
      <c r="L51" s="378" t="s">
        <v>47</v>
      </c>
      <c r="M51" s="380"/>
      <c r="N51" s="69" t="s">
        <v>46</v>
      </c>
      <c r="O51" s="69" t="s">
        <v>45</v>
      </c>
      <c r="P51" s="372"/>
      <c r="Q51" s="382"/>
      <c r="T51" s="28"/>
    </row>
    <row r="52" spans="1:22" ht="15" customHeight="1">
      <c r="A52" s="366" t="s">
        <v>27</v>
      </c>
      <c r="B52" s="367"/>
      <c r="C52" s="112" t="s">
        <v>28</v>
      </c>
      <c r="D52" s="112"/>
      <c r="E52" s="4">
        <v>600</v>
      </c>
      <c r="F52" s="388"/>
      <c r="G52" s="388"/>
      <c r="H52" s="4"/>
      <c r="I52" s="111"/>
      <c r="J52" s="4"/>
      <c r="K52" s="111"/>
      <c r="L52" s="389"/>
      <c r="M52" s="390"/>
      <c r="N52" s="111"/>
      <c r="O52" s="4">
        <v>72</v>
      </c>
      <c r="P52" s="111">
        <v>240</v>
      </c>
      <c r="Q52" s="4">
        <f>SUM(D52:P52)</f>
        <v>912</v>
      </c>
      <c r="T52" s="28"/>
      <c r="V52" s="13">
        <f>Q52-F46</f>
        <v>0</v>
      </c>
    </row>
    <row r="53" spans="1:22" ht="15.75" thickBot="1">
      <c r="A53" s="368"/>
      <c r="B53" s="369"/>
      <c r="C53" s="114" t="s">
        <v>29</v>
      </c>
      <c r="D53" s="114">
        <v>72</v>
      </c>
      <c r="E53" s="14">
        <f>1440+1440</f>
        <v>2880</v>
      </c>
      <c r="F53" s="395">
        <v>3120</v>
      </c>
      <c r="G53" s="395"/>
      <c r="H53" s="14"/>
      <c r="I53" s="113"/>
      <c r="J53" s="14"/>
      <c r="K53" s="113"/>
      <c r="L53" s="396"/>
      <c r="M53" s="397"/>
      <c r="N53" s="113"/>
      <c r="O53" s="14">
        <v>456</v>
      </c>
      <c r="P53" s="113">
        <v>24</v>
      </c>
      <c r="Q53" s="16">
        <f t="shared" ref="Q53:Q62" si="4">SUM(D53:P53)</f>
        <v>6552</v>
      </c>
      <c r="T53" s="28"/>
      <c r="V53" s="13">
        <f>H46-Q53</f>
        <v>0</v>
      </c>
    </row>
    <row r="54" spans="1:22">
      <c r="A54" s="366" t="s">
        <v>41</v>
      </c>
      <c r="B54" s="367"/>
      <c r="C54" s="4" t="s">
        <v>30</v>
      </c>
      <c r="D54" s="4">
        <v>33000</v>
      </c>
      <c r="E54" s="4">
        <f>600+600</f>
        <v>1200</v>
      </c>
      <c r="F54" s="388">
        <f>900+1800+300</f>
        <v>3000</v>
      </c>
      <c r="G54" s="388"/>
      <c r="H54" s="4">
        <f>300+300</f>
        <v>600</v>
      </c>
      <c r="I54" s="111">
        <v>1800</v>
      </c>
      <c r="J54" s="4">
        <f>450+750</f>
        <v>1200</v>
      </c>
      <c r="K54" s="111"/>
      <c r="L54" s="389">
        <v>30</v>
      </c>
      <c r="M54" s="390"/>
      <c r="N54" s="111"/>
      <c r="O54" s="4">
        <v>360</v>
      </c>
      <c r="P54" s="111">
        <f>750+30</f>
        <v>780</v>
      </c>
      <c r="Q54" s="4">
        <f t="shared" si="4"/>
        <v>41970</v>
      </c>
      <c r="T54" s="28"/>
      <c r="V54" s="13">
        <f>I46-Q54</f>
        <v>0</v>
      </c>
    </row>
    <row r="55" spans="1:22">
      <c r="A55" s="403"/>
      <c r="B55" s="404"/>
      <c r="C55" s="5" t="s">
        <v>32</v>
      </c>
      <c r="D55" s="118">
        <v>264</v>
      </c>
      <c r="E55" s="5">
        <v>480</v>
      </c>
      <c r="F55" s="408"/>
      <c r="G55" s="408"/>
      <c r="H55" s="5"/>
      <c r="I55" s="117"/>
      <c r="J55" s="5"/>
      <c r="K55" s="117"/>
      <c r="L55" s="409"/>
      <c r="M55" s="410"/>
      <c r="N55" s="117"/>
      <c r="O55" s="5"/>
      <c r="P55" s="117"/>
      <c r="Q55" s="5">
        <f t="shared" si="4"/>
        <v>744</v>
      </c>
      <c r="T55" s="28"/>
      <c r="V55" s="13">
        <f>J46-Q55</f>
        <v>0</v>
      </c>
    </row>
    <row r="56" spans="1:22">
      <c r="A56" s="403"/>
      <c r="B56" s="404"/>
      <c r="C56" s="5" t="s">
        <v>43</v>
      </c>
      <c r="D56" s="118">
        <v>1210</v>
      </c>
      <c r="E56" s="5">
        <f>220+110</f>
        <v>330</v>
      </c>
      <c r="F56" s="408">
        <f>440+220</f>
        <v>660</v>
      </c>
      <c r="G56" s="408"/>
      <c r="H56" s="5"/>
      <c r="I56" s="117"/>
      <c r="J56" s="5"/>
      <c r="K56" s="117"/>
      <c r="L56" s="409"/>
      <c r="M56" s="410"/>
      <c r="N56" s="117"/>
      <c r="O56" s="5">
        <v>22</v>
      </c>
      <c r="P56" s="117">
        <v>176</v>
      </c>
      <c r="Q56" s="5">
        <f t="shared" si="4"/>
        <v>2398</v>
      </c>
      <c r="T56" s="28"/>
      <c r="V56" s="13">
        <f>K46-Q56</f>
        <v>0</v>
      </c>
    </row>
    <row r="57" spans="1:22" ht="15.75" thickBot="1">
      <c r="A57" s="368"/>
      <c r="B57" s="369"/>
      <c r="C57" s="64" t="s">
        <v>44</v>
      </c>
      <c r="D57" s="110"/>
      <c r="E57" s="15"/>
      <c r="F57" s="358">
        <f>440</f>
        <v>440</v>
      </c>
      <c r="G57" s="358"/>
      <c r="H57" s="15"/>
      <c r="I57" s="109"/>
      <c r="J57" s="15"/>
      <c r="K57" s="109"/>
      <c r="L57" s="359"/>
      <c r="M57" s="360"/>
      <c r="N57" s="109"/>
      <c r="O57" s="15"/>
      <c r="P57" s="109"/>
      <c r="Q57" s="16">
        <f t="shared" si="4"/>
        <v>440</v>
      </c>
      <c r="T57" s="28"/>
      <c r="V57" s="13">
        <f>L46-Q57</f>
        <v>0</v>
      </c>
    </row>
    <row r="58" spans="1:22">
      <c r="A58" s="366" t="s">
        <v>40</v>
      </c>
      <c r="B58" s="367"/>
      <c r="C58" s="116" t="s">
        <v>28</v>
      </c>
      <c r="D58" s="116">
        <v>3360</v>
      </c>
      <c r="E58" s="16">
        <f>480+1200</f>
        <v>1680</v>
      </c>
      <c r="F58" s="405">
        <f>720</f>
        <v>720</v>
      </c>
      <c r="G58" s="405"/>
      <c r="H58" s="16">
        <f>960+1080</f>
        <v>2040</v>
      </c>
      <c r="I58" s="115"/>
      <c r="J58" s="16"/>
      <c r="K58" s="115"/>
      <c r="L58" s="406">
        <v>120</v>
      </c>
      <c r="M58" s="407"/>
      <c r="N58" s="115"/>
      <c r="O58" s="16"/>
      <c r="P58" s="115">
        <f>1080+600+1200+600</f>
        <v>3480</v>
      </c>
      <c r="Q58" s="4">
        <f t="shared" si="4"/>
        <v>11400</v>
      </c>
      <c r="T58" s="28"/>
      <c r="V58" s="13">
        <f>N46-Q58</f>
        <v>0</v>
      </c>
    </row>
    <row r="59" spans="1:22">
      <c r="A59" s="403"/>
      <c r="B59" s="404"/>
      <c r="C59" s="118" t="s">
        <v>31</v>
      </c>
      <c r="D59" s="118">
        <v>1680</v>
      </c>
      <c r="E59" s="5">
        <f>480+600</f>
        <v>1080</v>
      </c>
      <c r="F59" s="408">
        <f>120+120</f>
        <v>240</v>
      </c>
      <c r="G59" s="408"/>
      <c r="H59" s="5">
        <f>480+360</f>
        <v>840</v>
      </c>
      <c r="I59" s="117"/>
      <c r="J59" s="5">
        <v>240</v>
      </c>
      <c r="K59" s="117"/>
      <c r="L59" s="409">
        <v>240</v>
      </c>
      <c r="M59" s="410"/>
      <c r="N59" s="117"/>
      <c r="O59" s="5"/>
      <c r="P59" s="117">
        <f>912+600+600</f>
        <v>2112</v>
      </c>
      <c r="Q59" s="5">
        <f t="shared" si="4"/>
        <v>6432</v>
      </c>
      <c r="T59" s="28"/>
      <c r="V59" s="13">
        <f>O46-Q59</f>
        <v>0</v>
      </c>
    </row>
    <row r="60" spans="1:22" ht="15.75" thickBot="1">
      <c r="A60" s="368"/>
      <c r="B60" s="369"/>
      <c r="C60" s="64" t="s">
        <v>29</v>
      </c>
      <c r="D60" s="114">
        <v>15240</v>
      </c>
      <c r="E60" s="14">
        <f>3600+5400</f>
        <v>9000</v>
      </c>
      <c r="F60" s="395">
        <f>3840+3600+480</f>
        <v>7920</v>
      </c>
      <c r="G60" s="395"/>
      <c r="H60" s="14">
        <f>960+720</f>
        <v>1680</v>
      </c>
      <c r="I60" s="113">
        <v>2760</v>
      </c>
      <c r="J60" s="14">
        <f>1200+600</f>
        <v>1800</v>
      </c>
      <c r="K60" s="113"/>
      <c r="L60" s="396">
        <v>576</v>
      </c>
      <c r="M60" s="397"/>
      <c r="N60" s="113"/>
      <c r="O60" s="14">
        <v>2784</v>
      </c>
      <c r="P60" s="113">
        <f>3600+1200+2400+1800</f>
        <v>9000</v>
      </c>
      <c r="Q60" s="16">
        <f t="shared" si="4"/>
        <v>50760</v>
      </c>
      <c r="T60" s="28"/>
      <c r="V60" s="13">
        <f>P46-Q60</f>
        <v>0</v>
      </c>
    </row>
    <row r="61" spans="1:22">
      <c r="A61" s="366" t="s">
        <v>42</v>
      </c>
      <c r="B61" s="367"/>
      <c r="C61" s="112" t="s">
        <v>31</v>
      </c>
      <c r="D61" s="112">
        <v>11340</v>
      </c>
      <c r="E61" s="4">
        <f>180+180</f>
        <v>360</v>
      </c>
      <c r="F61" s="388">
        <f>240+600</f>
        <v>840</v>
      </c>
      <c r="G61" s="388"/>
      <c r="H61" s="4"/>
      <c r="I61" s="111"/>
      <c r="J61" s="4"/>
      <c r="K61" s="111"/>
      <c r="L61" s="389">
        <v>120</v>
      </c>
      <c r="M61" s="390"/>
      <c r="N61" s="111"/>
      <c r="O61" s="4">
        <v>300</v>
      </c>
      <c r="P61" s="111">
        <f>24+60</f>
        <v>84</v>
      </c>
      <c r="Q61" s="4">
        <f t="shared" si="4"/>
        <v>13044</v>
      </c>
      <c r="T61" s="28"/>
      <c r="V61" s="13">
        <f>Q46-Q61</f>
        <v>0</v>
      </c>
    </row>
    <row r="62" spans="1:22" ht="15.75" thickBot="1">
      <c r="A62" s="368"/>
      <c r="B62" s="369"/>
      <c r="C62" s="64" t="s">
        <v>29</v>
      </c>
      <c r="D62" s="15">
        <f>1800+612</f>
        <v>2412</v>
      </c>
      <c r="E62" s="15"/>
      <c r="F62" s="358"/>
      <c r="G62" s="358"/>
      <c r="H62" s="15"/>
      <c r="I62" s="109"/>
      <c r="J62" s="15"/>
      <c r="K62" s="109"/>
      <c r="L62" s="359"/>
      <c r="M62" s="360"/>
      <c r="N62" s="109"/>
      <c r="O62" s="15"/>
      <c r="P62" s="109"/>
      <c r="Q62" s="16">
        <f t="shared" si="4"/>
        <v>2412</v>
      </c>
      <c r="T62" s="28"/>
      <c r="V62" s="13">
        <f>R46-Q62</f>
        <v>0</v>
      </c>
    </row>
    <row r="63" spans="1:22" ht="15.75" thickBot="1">
      <c r="A63" s="391" t="s">
        <v>37</v>
      </c>
      <c r="B63" s="392"/>
      <c r="C63" s="392"/>
      <c r="D63" s="23">
        <f>SUM(D52:D62)</f>
        <v>68578</v>
      </c>
      <c r="E63" s="23">
        <f t="shared" ref="E63" si="5">SUM(E52:E62)</f>
        <v>17610</v>
      </c>
      <c r="F63" s="393">
        <f>SUM(F52:G62)</f>
        <v>16940</v>
      </c>
      <c r="G63" s="394"/>
      <c r="H63" s="23">
        <f>SUM(H52:H62)</f>
        <v>5160</v>
      </c>
      <c r="I63" s="23">
        <f>SUM(I52:I62)</f>
        <v>4560</v>
      </c>
      <c r="J63" s="23">
        <f>SUM(J52:J62)</f>
        <v>3240</v>
      </c>
      <c r="K63" s="23">
        <f>SUM(K52:K62)</f>
        <v>0</v>
      </c>
      <c r="L63" s="393">
        <f>SUM(L52:M62)</f>
        <v>1086</v>
      </c>
      <c r="M63" s="394"/>
      <c r="N63" s="23">
        <f>SUM(N52:N62)</f>
        <v>0</v>
      </c>
      <c r="O63" s="23">
        <f>SUM(O52:O62)</f>
        <v>3994</v>
      </c>
      <c r="P63" s="23">
        <f>SUM(P52:P62)</f>
        <v>15896</v>
      </c>
      <c r="Q63" s="24">
        <f>SUM(Q52:Q62)</f>
        <v>137064</v>
      </c>
      <c r="R63" s="12"/>
      <c r="S63" s="1"/>
      <c r="T63" s="28"/>
      <c r="V63" s="13">
        <f>S46-Q63</f>
        <v>0</v>
      </c>
    </row>
    <row r="64" spans="1:22" ht="15.75" thickBot="1">
      <c r="A64" s="398" t="s">
        <v>36</v>
      </c>
      <c r="B64" s="399"/>
      <c r="C64" s="399"/>
      <c r="D64" s="400">
        <f>D63+E63+F63+H63+I63+J63+K63+L63+N63+O63+P63</f>
        <v>137064</v>
      </c>
      <c r="E64" s="401"/>
      <c r="F64" s="401"/>
      <c r="G64" s="401"/>
      <c r="H64" s="401"/>
      <c r="I64" s="401"/>
      <c r="J64" s="401"/>
      <c r="K64" s="401"/>
      <c r="L64" s="401"/>
      <c r="M64" s="401"/>
      <c r="N64" s="401"/>
      <c r="O64" s="401"/>
      <c r="P64" s="401"/>
      <c r="Q64" s="402"/>
      <c r="T64" s="28"/>
      <c r="V64" s="13"/>
    </row>
    <row r="65" spans="1:22" s="20" customFormat="1" ht="15" customHeight="1" thickBot="1">
      <c r="A65" s="383" t="s">
        <v>26</v>
      </c>
      <c r="B65" s="384"/>
      <c r="C65" s="384"/>
      <c r="D65" s="22">
        <v>21986945</v>
      </c>
      <c r="E65" s="22">
        <v>5527651</v>
      </c>
      <c r="F65" s="385">
        <f>2172057+2398129+767615</f>
        <v>5337801</v>
      </c>
      <c r="G65" s="386"/>
      <c r="H65" s="22">
        <v>1626492</v>
      </c>
      <c r="I65" s="26">
        <v>1431388</v>
      </c>
      <c r="J65" s="22">
        <v>1017420</v>
      </c>
      <c r="K65" s="22"/>
      <c r="L65" s="387">
        <v>352163</v>
      </c>
      <c r="M65" s="386"/>
      <c r="N65" s="26"/>
      <c r="O65" s="22">
        <v>1343071</v>
      </c>
      <c r="P65" s="26">
        <f>2148083+2146989+765255</f>
        <v>5060327</v>
      </c>
      <c r="Q65" s="119">
        <f>D65+E65+F65+H65+I65+J65+K65+L65+N65+O65+P65</f>
        <v>43683258</v>
      </c>
      <c r="R65" s="19"/>
      <c r="S65" s="19"/>
      <c r="T65" s="29"/>
      <c r="V65" s="21">
        <f>T46-Q65</f>
        <v>0</v>
      </c>
    </row>
    <row r="66" spans="1:22">
      <c r="T66" s="28"/>
      <c r="V66" s="13"/>
    </row>
  </sheetData>
  <mergeCells count="188"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F8:G8"/>
    <mergeCell ref="F9:G9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A46:C46"/>
    <mergeCell ref="F46:G46"/>
    <mergeCell ref="L46:M46"/>
    <mergeCell ref="A47:C47"/>
    <mergeCell ref="F47:G47"/>
    <mergeCell ref="L47:M47"/>
    <mergeCell ref="C27:D27"/>
    <mergeCell ref="F27:G27"/>
    <mergeCell ref="L27:M27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A52:B53"/>
    <mergeCell ref="F52:G52"/>
    <mergeCell ref="L52:M52"/>
    <mergeCell ref="F53:G53"/>
    <mergeCell ref="L53:M53"/>
    <mergeCell ref="A49:Q49"/>
    <mergeCell ref="A50:B51"/>
    <mergeCell ref="C50:C51"/>
    <mergeCell ref="D50:D51"/>
    <mergeCell ref="E50:E51"/>
    <mergeCell ref="F50:G51"/>
    <mergeCell ref="H50:J50"/>
    <mergeCell ref="K50:O50"/>
    <mergeCell ref="P50:P51"/>
    <mergeCell ref="Q50:Q51"/>
    <mergeCell ref="F54:G54"/>
    <mergeCell ref="L54:M54"/>
    <mergeCell ref="F55:G55"/>
    <mergeCell ref="L55:M55"/>
    <mergeCell ref="F56:G56"/>
    <mergeCell ref="L56:M56"/>
    <mergeCell ref="F57:G57"/>
    <mergeCell ref="L57:M57"/>
    <mergeCell ref="L51:M51"/>
    <mergeCell ref="A64:C64"/>
    <mergeCell ref="D64:Q64"/>
    <mergeCell ref="A65:C65"/>
    <mergeCell ref="F65:G65"/>
    <mergeCell ref="L65:M65"/>
    <mergeCell ref="C28:D28"/>
    <mergeCell ref="F28:G28"/>
    <mergeCell ref="L28:M28"/>
    <mergeCell ref="A61:B62"/>
    <mergeCell ref="F61:G61"/>
    <mergeCell ref="L61:M61"/>
    <mergeCell ref="F62:G62"/>
    <mergeCell ref="L62:M62"/>
    <mergeCell ref="A63:C63"/>
    <mergeCell ref="F63:G63"/>
    <mergeCell ref="L63:M63"/>
    <mergeCell ref="A58:B60"/>
    <mergeCell ref="F58:G58"/>
    <mergeCell ref="L58:M58"/>
    <mergeCell ref="F59:G59"/>
    <mergeCell ref="L59:M59"/>
    <mergeCell ref="F60:G60"/>
    <mergeCell ref="L60:M60"/>
    <mergeCell ref="A54:B57"/>
    <mergeCell ref="C44:D44"/>
    <mergeCell ref="C45:D45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L38:M38"/>
    <mergeCell ref="L39:M39"/>
    <mergeCell ref="L40:M40"/>
    <mergeCell ref="L41:M41"/>
    <mergeCell ref="L42:M42"/>
    <mergeCell ref="L43:M43"/>
    <mergeCell ref="L44:M44"/>
    <mergeCell ref="L45:M45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</mergeCells>
  <pageMargins left="0.16" right="0.16" top="0.34" bottom="0.16" header="0.23" footer="0.16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96"/>
  <sheetViews>
    <sheetView zoomScaleNormal="100" workbookViewId="0">
      <pane ySplit="4" topLeftCell="A54" activePane="bottomLeft" state="frozen"/>
      <selection pane="bottomLeft" sqref="A1:T61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11" t="s">
        <v>282</v>
      </c>
      <c r="B1" s="412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412"/>
      <c r="N1" s="412"/>
      <c r="O1" s="412"/>
      <c r="P1" s="412"/>
      <c r="Q1" s="412"/>
      <c r="R1" s="412"/>
      <c r="S1" s="412"/>
      <c r="T1" s="413"/>
    </row>
    <row r="2" spans="1:23" s="6" customFormat="1" ht="12.75" customHeight="1">
      <c r="A2" s="337" t="s">
        <v>9</v>
      </c>
      <c r="B2" s="339" t="s">
        <v>13</v>
      </c>
      <c r="C2" s="341" t="s">
        <v>23</v>
      </c>
      <c r="D2" s="342"/>
      <c r="E2" s="345" t="s">
        <v>15</v>
      </c>
      <c r="F2" s="347" t="s">
        <v>0</v>
      </c>
      <c r="G2" s="339"/>
      <c r="H2" s="348"/>
      <c r="I2" s="349" t="s">
        <v>39</v>
      </c>
      <c r="J2" s="350"/>
      <c r="K2" s="350"/>
      <c r="L2" s="351"/>
      <c r="M2" s="348"/>
      <c r="N2" s="349" t="s">
        <v>1</v>
      </c>
      <c r="O2" s="350"/>
      <c r="P2" s="348"/>
      <c r="Q2" s="352" t="s">
        <v>2</v>
      </c>
      <c r="R2" s="353"/>
      <c r="S2" s="339" t="s">
        <v>14</v>
      </c>
      <c r="T2" s="312" t="s">
        <v>12</v>
      </c>
    </row>
    <row r="3" spans="1:23" s="6" customFormat="1" ht="15.75" thickBot="1">
      <c r="A3" s="338"/>
      <c r="B3" s="340"/>
      <c r="C3" s="343"/>
      <c r="D3" s="344"/>
      <c r="E3" s="346"/>
      <c r="F3" s="314" t="s">
        <v>3</v>
      </c>
      <c r="G3" s="315"/>
      <c r="H3" s="9" t="s">
        <v>4</v>
      </c>
      <c r="I3" s="10" t="s">
        <v>22</v>
      </c>
      <c r="J3" s="11" t="s">
        <v>7</v>
      </c>
      <c r="K3" s="11" t="s">
        <v>17</v>
      </c>
      <c r="L3" s="316" t="s">
        <v>18</v>
      </c>
      <c r="M3" s="31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0"/>
      <c r="T3" s="313"/>
    </row>
    <row r="4" spans="1:23" s="18" customFormat="1" ht="15.75" thickBot="1">
      <c r="A4" s="175" t="s">
        <v>35</v>
      </c>
      <c r="B4" s="30"/>
      <c r="C4" s="318"/>
      <c r="D4" s="319"/>
      <c r="E4" s="31"/>
      <c r="F4" s="318">
        <v>2496</v>
      </c>
      <c r="G4" s="320"/>
      <c r="H4" s="177">
        <v>15072</v>
      </c>
      <c r="I4" s="32">
        <v>88980</v>
      </c>
      <c r="J4" s="33">
        <v>1104</v>
      </c>
      <c r="K4" s="177">
        <v>5610</v>
      </c>
      <c r="L4" s="321">
        <v>1100</v>
      </c>
      <c r="M4" s="319"/>
      <c r="N4" s="176">
        <v>30120</v>
      </c>
      <c r="O4" s="177">
        <v>16416</v>
      </c>
      <c r="P4" s="34">
        <v>134616</v>
      </c>
      <c r="Q4" s="176">
        <v>22476</v>
      </c>
      <c r="R4" s="34">
        <v>6444</v>
      </c>
      <c r="S4" s="35">
        <f>SUM(F4:R4)</f>
        <v>324434</v>
      </c>
      <c r="T4" s="36">
        <v>104264297</v>
      </c>
    </row>
    <row r="5" spans="1:23" s="20" customFormat="1" ht="13.5" customHeight="1">
      <c r="A5" s="194" t="s">
        <v>222</v>
      </c>
      <c r="B5" s="150">
        <v>117</v>
      </c>
      <c r="C5" s="326" t="s">
        <v>223</v>
      </c>
      <c r="D5" s="327"/>
      <c r="E5" s="151" t="s">
        <v>135</v>
      </c>
      <c r="F5" s="328">
        <v>48</v>
      </c>
      <c r="G5" s="329"/>
      <c r="H5" s="195">
        <v>72</v>
      </c>
      <c r="I5" s="39"/>
      <c r="J5" s="40"/>
      <c r="K5" s="40"/>
      <c r="L5" s="330"/>
      <c r="M5" s="331"/>
      <c r="N5" s="39"/>
      <c r="O5" s="195"/>
      <c r="P5" s="41">
        <v>120</v>
      </c>
      <c r="Q5" s="39">
        <v>120</v>
      </c>
      <c r="R5" s="41"/>
      <c r="S5" s="148">
        <f t="shared" ref="S5:S59" si="0">SUM(F5:R5)</f>
        <v>360</v>
      </c>
      <c r="T5" s="43">
        <v>127147</v>
      </c>
    </row>
    <row r="6" spans="1:23">
      <c r="A6" s="178" t="s">
        <v>222</v>
      </c>
      <c r="B6" s="38">
        <v>118</v>
      </c>
      <c r="C6" s="322" t="s">
        <v>224</v>
      </c>
      <c r="D6" s="323"/>
      <c r="E6" s="44" t="s">
        <v>125</v>
      </c>
      <c r="F6" s="324"/>
      <c r="G6" s="325"/>
      <c r="H6" s="162"/>
      <c r="I6" s="47"/>
      <c r="J6" s="51"/>
      <c r="K6" s="51"/>
      <c r="L6" s="310"/>
      <c r="M6" s="311"/>
      <c r="N6" s="47"/>
      <c r="O6" s="162"/>
      <c r="P6" s="48">
        <v>120</v>
      </c>
      <c r="Q6" s="47"/>
      <c r="R6" s="48"/>
      <c r="S6" s="52">
        <f t="shared" si="0"/>
        <v>120</v>
      </c>
      <c r="T6" s="53">
        <v>39858</v>
      </c>
    </row>
    <row r="7" spans="1:23">
      <c r="A7" s="178" t="s">
        <v>225</v>
      </c>
      <c r="B7" s="38">
        <v>119</v>
      </c>
      <c r="C7" s="322" t="s">
        <v>226</v>
      </c>
      <c r="D7" s="323"/>
      <c r="E7" s="44" t="s">
        <v>103</v>
      </c>
      <c r="F7" s="324"/>
      <c r="G7" s="325"/>
      <c r="H7" s="162">
        <v>48</v>
      </c>
      <c r="I7" s="47">
        <v>30</v>
      </c>
      <c r="J7" s="51"/>
      <c r="K7" s="51"/>
      <c r="L7" s="310"/>
      <c r="M7" s="311"/>
      <c r="N7" s="47"/>
      <c r="O7" s="162"/>
      <c r="P7" s="48"/>
      <c r="Q7" s="47"/>
      <c r="R7" s="48"/>
      <c r="S7" s="52">
        <f t="shared" si="0"/>
        <v>78</v>
      </c>
      <c r="T7" s="53">
        <v>25973</v>
      </c>
    </row>
    <row r="8" spans="1:23" ht="15" customHeight="1">
      <c r="A8" s="178" t="s">
        <v>225</v>
      </c>
      <c r="B8" s="38">
        <v>120</v>
      </c>
      <c r="C8" s="324" t="s">
        <v>227</v>
      </c>
      <c r="D8" s="311"/>
      <c r="E8" s="44" t="s">
        <v>138</v>
      </c>
      <c r="F8" s="324"/>
      <c r="G8" s="325"/>
      <c r="H8" s="162">
        <v>48</v>
      </c>
      <c r="I8" s="47"/>
      <c r="J8" s="51"/>
      <c r="K8" s="51"/>
      <c r="L8" s="162"/>
      <c r="M8" s="163"/>
      <c r="N8" s="47"/>
      <c r="O8" s="162"/>
      <c r="P8" s="48"/>
      <c r="Q8" s="47"/>
      <c r="R8" s="48"/>
      <c r="S8" s="52">
        <f t="shared" si="0"/>
        <v>48</v>
      </c>
      <c r="T8" s="53">
        <v>16517</v>
      </c>
    </row>
    <row r="9" spans="1:23">
      <c r="A9" s="178" t="s">
        <v>225</v>
      </c>
      <c r="B9" s="186">
        <v>121</v>
      </c>
      <c r="C9" s="414" t="s">
        <v>228</v>
      </c>
      <c r="D9" s="333"/>
      <c r="E9" s="44" t="s">
        <v>229</v>
      </c>
      <c r="F9" s="324"/>
      <c r="G9" s="325"/>
      <c r="H9" s="162">
        <v>24</v>
      </c>
      <c r="I9" s="47"/>
      <c r="J9" s="51"/>
      <c r="K9" s="51"/>
      <c r="L9" s="162"/>
      <c r="M9" s="163"/>
      <c r="N9" s="47"/>
      <c r="O9" s="162"/>
      <c r="P9" s="48"/>
      <c r="Q9" s="47"/>
      <c r="R9" s="48"/>
      <c r="S9" s="52">
        <f t="shared" si="0"/>
        <v>24</v>
      </c>
      <c r="T9" s="53">
        <v>8259</v>
      </c>
      <c r="W9" s="120"/>
    </row>
    <row r="10" spans="1:23">
      <c r="A10" s="178" t="s">
        <v>230</v>
      </c>
      <c r="B10" s="38">
        <v>122</v>
      </c>
      <c r="C10" s="322" t="s">
        <v>120</v>
      </c>
      <c r="D10" s="323"/>
      <c r="E10" s="55" t="s">
        <v>121</v>
      </c>
      <c r="F10" s="324"/>
      <c r="G10" s="325"/>
      <c r="H10" s="162"/>
      <c r="I10" s="47">
        <v>900</v>
      </c>
      <c r="J10" s="51"/>
      <c r="K10" s="51"/>
      <c r="L10" s="310"/>
      <c r="M10" s="311"/>
      <c r="N10" s="47">
        <v>1200</v>
      </c>
      <c r="O10" s="162">
        <v>480</v>
      </c>
      <c r="P10" s="48">
        <v>1800</v>
      </c>
      <c r="Q10" s="47"/>
      <c r="R10" s="48"/>
      <c r="S10" s="52">
        <f t="shared" si="0"/>
        <v>4380</v>
      </c>
      <c r="T10" s="53">
        <v>1378644</v>
      </c>
    </row>
    <row r="11" spans="1:23">
      <c r="A11" s="178" t="s">
        <v>230</v>
      </c>
      <c r="B11" s="38">
        <v>123</v>
      </c>
      <c r="C11" s="322" t="s">
        <v>231</v>
      </c>
      <c r="D11" s="323"/>
      <c r="E11" s="55" t="s">
        <v>121</v>
      </c>
      <c r="F11" s="324"/>
      <c r="G11" s="325"/>
      <c r="H11" s="162"/>
      <c r="I11" s="47">
        <v>450</v>
      </c>
      <c r="J11" s="51"/>
      <c r="K11" s="51"/>
      <c r="L11" s="310"/>
      <c r="M11" s="311"/>
      <c r="N11" s="47">
        <v>240</v>
      </c>
      <c r="O11" s="162"/>
      <c r="P11" s="48">
        <v>1200</v>
      </c>
      <c r="Q11" s="47"/>
      <c r="R11" s="48"/>
      <c r="S11" s="52">
        <f t="shared" si="0"/>
        <v>1890</v>
      </c>
      <c r="T11" s="53">
        <v>596621</v>
      </c>
    </row>
    <row r="12" spans="1:23">
      <c r="A12" s="178" t="s">
        <v>230</v>
      </c>
      <c r="B12" s="221">
        <v>124</v>
      </c>
      <c r="C12" s="322" t="s">
        <v>232</v>
      </c>
      <c r="D12" s="323"/>
      <c r="E12" s="55" t="s">
        <v>130</v>
      </c>
      <c r="F12" s="324">
        <v>48</v>
      </c>
      <c r="G12" s="325"/>
      <c r="H12" s="162">
        <v>72</v>
      </c>
      <c r="I12" s="47"/>
      <c r="J12" s="51"/>
      <c r="K12" s="51"/>
      <c r="L12" s="310"/>
      <c r="M12" s="311"/>
      <c r="N12" s="47"/>
      <c r="O12" s="162"/>
      <c r="P12" s="48"/>
      <c r="Q12" s="47"/>
      <c r="R12" s="48"/>
      <c r="S12" s="52">
        <f t="shared" si="0"/>
        <v>120</v>
      </c>
      <c r="T12" s="53">
        <v>40957</v>
      </c>
    </row>
    <row r="13" spans="1:23">
      <c r="A13" s="178" t="s">
        <v>233</v>
      </c>
      <c r="B13" s="38">
        <v>125</v>
      </c>
      <c r="C13" s="322" t="s">
        <v>234</v>
      </c>
      <c r="D13" s="323"/>
      <c r="E13" s="44" t="s">
        <v>99</v>
      </c>
      <c r="F13" s="324"/>
      <c r="G13" s="325"/>
      <c r="H13" s="162"/>
      <c r="I13" s="47"/>
      <c r="J13" s="51"/>
      <c r="K13" s="51"/>
      <c r="L13" s="310"/>
      <c r="M13" s="311"/>
      <c r="N13" s="47"/>
      <c r="O13" s="162"/>
      <c r="P13" s="48">
        <v>168</v>
      </c>
      <c r="Q13" s="47">
        <v>36</v>
      </c>
      <c r="R13" s="48"/>
      <c r="S13" s="52">
        <f>SUM(F13:R13)</f>
        <v>204</v>
      </c>
      <c r="T13" s="53">
        <v>69700</v>
      </c>
    </row>
    <row r="14" spans="1:23" ht="15" customHeight="1">
      <c r="A14" s="161" t="s">
        <v>233</v>
      </c>
      <c r="B14" s="186">
        <v>126</v>
      </c>
      <c r="C14" s="324" t="s">
        <v>226</v>
      </c>
      <c r="D14" s="311"/>
      <c r="E14" s="44" t="s">
        <v>103</v>
      </c>
      <c r="F14" s="324"/>
      <c r="G14" s="325"/>
      <c r="H14" s="162"/>
      <c r="I14" s="47"/>
      <c r="J14" s="51"/>
      <c r="K14" s="51"/>
      <c r="L14" s="310"/>
      <c r="M14" s="311"/>
      <c r="N14" s="161"/>
      <c r="O14" s="162"/>
      <c r="P14" s="48"/>
      <c r="Q14" s="161">
        <v>36</v>
      </c>
      <c r="R14" s="48"/>
      <c r="S14" s="52">
        <f t="shared" si="0"/>
        <v>36</v>
      </c>
      <c r="T14" s="53">
        <v>13900</v>
      </c>
    </row>
    <row r="15" spans="1:23">
      <c r="A15" s="193" t="s">
        <v>233</v>
      </c>
      <c r="B15" s="38">
        <v>127</v>
      </c>
      <c r="C15" s="322" t="s">
        <v>235</v>
      </c>
      <c r="D15" s="323"/>
      <c r="E15" s="44" t="s">
        <v>146</v>
      </c>
      <c r="F15" s="324"/>
      <c r="G15" s="325"/>
      <c r="H15" s="191"/>
      <c r="I15" s="47">
        <v>600</v>
      </c>
      <c r="J15" s="51">
        <v>240</v>
      </c>
      <c r="K15" s="51"/>
      <c r="L15" s="310"/>
      <c r="M15" s="311"/>
      <c r="N15" s="193">
        <v>480</v>
      </c>
      <c r="O15" s="191">
        <v>480</v>
      </c>
      <c r="P15" s="48">
        <v>2400</v>
      </c>
      <c r="Q15" s="193"/>
      <c r="R15" s="54"/>
      <c r="S15" s="52">
        <f t="shared" si="0"/>
        <v>4200</v>
      </c>
      <c r="T15" s="53">
        <v>1293840</v>
      </c>
      <c r="V15" s="120"/>
    </row>
    <row r="16" spans="1:23">
      <c r="A16" s="161" t="s">
        <v>236</v>
      </c>
      <c r="B16" s="38">
        <v>128</v>
      </c>
      <c r="C16" s="324" t="s">
        <v>237</v>
      </c>
      <c r="D16" s="311"/>
      <c r="E16" s="44" t="s">
        <v>142</v>
      </c>
      <c r="F16" s="324"/>
      <c r="G16" s="325"/>
      <c r="H16" s="162">
        <v>24</v>
      </c>
      <c r="I16" s="47"/>
      <c r="J16" s="51"/>
      <c r="K16" s="51"/>
      <c r="L16" s="310"/>
      <c r="M16" s="311"/>
      <c r="N16" s="161"/>
      <c r="O16" s="162"/>
      <c r="P16" s="48">
        <v>72</v>
      </c>
      <c r="Q16" s="161"/>
      <c r="R16" s="54"/>
      <c r="S16" s="52">
        <f t="shared" si="0"/>
        <v>96</v>
      </c>
      <c r="T16" s="53">
        <v>32173</v>
      </c>
    </row>
    <row r="17" spans="1:23">
      <c r="A17" s="161" t="s">
        <v>238</v>
      </c>
      <c r="B17" s="38">
        <v>129</v>
      </c>
      <c r="C17" s="322" t="s">
        <v>227</v>
      </c>
      <c r="D17" s="323"/>
      <c r="E17" s="44" t="s">
        <v>138</v>
      </c>
      <c r="F17" s="324"/>
      <c r="G17" s="325"/>
      <c r="H17" s="162"/>
      <c r="I17" s="47"/>
      <c r="J17" s="51">
        <v>24</v>
      </c>
      <c r="K17" s="51">
        <v>22</v>
      </c>
      <c r="L17" s="310">
        <v>22</v>
      </c>
      <c r="M17" s="311"/>
      <c r="N17" s="161"/>
      <c r="O17" s="162"/>
      <c r="P17" s="48"/>
      <c r="Q17" s="161"/>
      <c r="R17" s="54"/>
      <c r="S17" s="52">
        <f>SUM(F17:R17)</f>
        <v>68</v>
      </c>
      <c r="T17" s="53">
        <v>24046</v>
      </c>
    </row>
    <row r="18" spans="1:23">
      <c r="A18" s="161" t="s">
        <v>238</v>
      </c>
      <c r="B18" s="38">
        <v>130</v>
      </c>
      <c r="C18" s="324" t="s">
        <v>239</v>
      </c>
      <c r="D18" s="311"/>
      <c r="E18" s="55" t="s">
        <v>118</v>
      </c>
      <c r="F18" s="324"/>
      <c r="G18" s="325"/>
      <c r="H18" s="162"/>
      <c r="I18" s="47"/>
      <c r="J18" s="51"/>
      <c r="K18" s="51"/>
      <c r="L18" s="310"/>
      <c r="M18" s="311"/>
      <c r="N18" s="161"/>
      <c r="O18" s="162"/>
      <c r="P18" s="48"/>
      <c r="Q18" s="161">
        <v>60</v>
      </c>
      <c r="R18" s="54"/>
      <c r="S18" s="52">
        <f t="shared" si="0"/>
        <v>60</v>
      </c>
      <c r="T18" s="53">
        <v>23166</v>
      </c>
      <c r="V18" s="13"/>
    </row>
    <row r="19" spans="1:23">
      <c r="A19" s="161" t="s">
        <v>238</v>
      </c>
      <c r="B19" s="186">
        <v>131</v>
      </c>
      <c r="C19" s="324" t="s">
        <v>109</v>
      </c>
      <c r="D19" s="311"/>
      <c r="E19" s="44" t="s">
        <v>110</v>
      </c>
      <c r="F19" s="324"/>
      <c r="G19" s="325"/>
      <c r="H19" s="162">
        <v>24</v>
      </c>
      <c r="I19" s="47"/>
      <c r="J19" s="51"/>
      <c r="K19" s="51"/>
      <c r="L19" s="310"/>
      <c r="M19" s="311"/>
      <c r="N19" s="161"/>
      <c r="O19" s="162"/>
      <c r="P19" s="48"/>
      <c r="Q19" s="161"/>
      <c r="R19" s="54"/>
      <c r="S19" s="52">
        <f t="shared" si="0"/>
        <v>24</v>
      </c>
      <c r="T19" s="53">
        <v>8259</v>
      </c>
      <c r="W19" s="1">
        <f>12960+6614+40740+2618</f>
        <v>62932</v>
      </c>
    </row>
    <row r="20" spans="1:23">
      <c r="A20" s="161" t="s">
        <v>238</v>
      </c>
      <c r="B20" s="38">
        <v>132</v>
      </c>
      <c r="C20" s="324" t="s">
        <v>240</v>
      </c>
      <c r="D20" s="311"/>
      <c r="E20" s="44" t="s">
        <v>112</v>
      </c>
      <c r="F20" s="324"/>
      <c r="G20" s="325"/>
      <c r="H20" s="162"/>
      <c r="I20" s="47">
        <v>6600</v>
      </c>
      <c r="J20" s="51"/>
      <c r="K20" s="51">
        <v>440</v>
      </c>
      <c r="L20" s="310"/>
      <c r="M20" s="311"/>
      <c r="N20" s="161">
        <v>840</v>
      </c>
      <c r="O20" s="162">
        <v>360</v>
      </c>
      <c r="P20" s="48">
        <v>3600</v>
      </c>
      <c r="Q20" s="161">
        <v>1800</v>
      </c>
      <c r="R20" s="54"/>
      <c r="S20" s="52">
        <f t="shared" si="0"/>
        <v>13640</v>
      </c>
      <c r="T20" s="53">
        <v>4319949</v>
      </c>
    </row>
    <row r="21" spans="1:23">
      <c r="A21" s="161" t="s">
        <v>241</v>
      </c>
      <c r="B21" s="38">
        <v>133</v>
      </c>
      <c r="C21" s="324" t="s">
        <v>249</v>
      </c>
      <c r="D21" s="311"/>
      <c r="E21" s="44" t="s">
        <v>245</v>
      </c>
      <c r="F21" s="324"/>
      <c r="G21" s="325"/>
      <c r="H21" s="162"/>
      <c r="I21" s="47"/>
      <c r="J21" s="51"/>
      <c r="K21" s="51"/>
      <c r="L21" s="310"/>
      <c r="M21" s="311"/>
      <c r="N21" s="161"/>
      <c r="O21" s="162"/>
      <c r="P21" s="48"/>
      <c r="Q21" s="161">
        <v>120</v>
      </c>
      <c r="R21" s="54"/>
      <c r="S21" s="52">
        <f t="shared" si="0"/>
        <v>120</v>
      </c>
      <c r="T21" s="53">
        <v>46333</v>
      </c>
      <c r="W21" s="1">
        <f>W19+10550</f>
        <v>73482</v>
      </c>
    </row>
    <row r="22" spans="1:23">
      <c r="A22" s="161" t="s">
        <v>241</v>
      </c>
      <c r="B22" s="38">
        <v>134</v>
      </c>
      <c r="C22" s="322" t="s">
        <v>243</v>
      </c>
      <c r="D22" s="323"/>
      <c r="E22" s="55" t="s">
        <v>244</v>
      </c>
      <c r="F22" s="324"/>
      <c r="G22" s="325"/>
      <c r="H22" s="162"/>
      <c r="I22" s="47">
        <v>150</v>
      </c>
      <c r="J22" s="51"/>
      <c r="K22" s="51"/>
      <c r="L22" s="310"/>
      <c r="M22" s="311"/>
      <c r="N22" s="161"/>
      <c r="O22" s="162"/>
      <c r="P22" s="48">
        <v>360</v>
      </c>
      <c r="Q22" s="161"/>
      <c r="R22" s="54"/>
      <c r="S22" s="52">
        <f t="shared" si="0"/>
        <v>510</v>
      </c>
      <c r="T22" s="53">
        <v>166853</v>
      </c>
    </row>
    <row r="23" spans="1:23">
      <c r="A23" s="161" t="s">
        <v>241</v>
      </c>
      <c r="B23" s="38">
        <v>135</v>
      </c>
      <c r="C23" s="324" t="s">
        <v>242</v>
      </c>
      <c r="D23" s="311"/>
      <c r="E23" s="44" t="s">
        <v>96</v>
      </c>
      <c r="F23" s="324"/>
      <c r="G23" s="325"/>
      <c r="H23" s="188"/>
      <c r="I23" s="47"/>
      <c r="J23" s="51"/>
      <c r="K23" s="51">
        <v>220</v>
      </c>
      <c r="L23" s="310">
        <v>154</v>
      </c>
      <c r="M23" s="311"/>
      <c r="N23" s="187"/>
      <c r="O23" s="188"/>
      <c r="P23" s="48">
        <v>2400</v>
      </c>
      <c r="Q23" s="187">
        <v>240</v>
      </c>
      <c r="R23" s="54"/>
      <c r="S23" s="52">
        <f t="shared" ref="S23" si="1">SUM(F23:R23)</f>
        <v>3014</v>
      </c>
      <c r="T23" s="53">
        <v>988982</v>
      </c>
    </row>
    <row r="24" spans="1:23">
      <c r="A24" s="185" t="s">
        <v>246</v>
      </c>
      <c r="B24" s="186">
        <v>136</v>
      </c>
      <c r="C24" s="322" t="s">
        <v>247</v>
      </c>
      <c r="D24" s="323"/>
      <c r="E24" s="55" t="s">
        <v>248</v>
      </c>
      <c r="F24" s="324"/>
      <c r="G24" s="325"/>
      <c r="H24" s="162"/>
      <c r="I24" s="47"/>
      <c r="J24" s="51"/>
      <c r="K24" s="51"/>
      <c r="L24" s="310"/>
      <c r="M24" s="311"/>
      <c r="N24" s="161"/>
      <c r="O24" s="162"/>
      <c r="P24" s="48">
        <v>120</v>
      </c>
      <c r="Q24" s="161"/>
      <c r="R24" s="54"/>
      <c r="S24" s="52">
        <f t="shared" si="0"/>
        <v>120</v>
      </c>
      <c r="T24" s="53">
        <v>39858</v>
      </c>
    </row>
    <row r="25" spans="1:23">
      <c r="A25" s="192" t="s">
        <v>250</v>
      </c>
      <c r="B25" s="221">
        <v>137</v>
      </c>
      <c r="C25" s="322" t="s">
        <v>253</v>
      </c>
      <c r="D25" s="323"/>
      <c r="E25" s="55" t="s">
        <v>108</v>
      </c>
      <c r="F25" s="324"/>
      <c r="G25" s="325"/>
      <c r="H25" s="191">
        <v>48</v>
      </c>
      <c r="I25" s="47"/>
      <c r="J25" s="51"/>
      <c r="K25" s="51"/>
      <c r="L25" s="310"/>
      <c r="M25" s="311"/>
      <c r="N25" s="193"/>
      <c r="O25" s="191"/>
      <c r="P25" s="48"/>
      <c r="Q25" s="193"/>
      <c r="R25" s="54"/>
      <c r="S25" s="52">
        <f t="shared" si="0"/>
        <v>48</v>
      </c>
      <c r="T25" s="53">
        <v>16517</v>
      </c>
    </row>
    <row r="26" spans="1:23">
      <c r="A26" s="189" t="s">
        <v>252</v>
      </c>
      <c r="B26" s="38">
        <v>138</v>
      </c>
      <c r="C26" s="324" t="s">
        <v>258</v>
      </c>
      <c r="D26" s="311"/>
      <c r="E26" s="55" t="s">
        <v>259</v>
      </c>
      <c r="F26" s="324"/>
      <c r="G26" s="325"/>
      <c r="H26" s="81"/>
      <c r="I26" s="56">
        <v>30</v>
      </c>
      <c r="J26" s="57"/>
      <c r="K26" s="57"/>
      <c r="L26" s="310"/>
      <c r="M26" s="311"/>
      <c r="N26" s="164"/>
      <c r="O26" s="81"/>
      <c r="P26" s="54">
        <v>24</v>
      </c>
      <c r="Q26" s="164"/>
      <c r="R26" s="54"/>
      <c r="S26" s="52">
        <f t="shared" si="0"/>
        <v>54</v>
      </c>
      <c r="T26" s="58">
        <v>17428</v>
      </c>
    </row>
    <row r="27" spans="1:23">
      <c r="A27" s="189" t="s">
        <v>251</v>
      </c>
      <c r="B27" s="38">
        <v>139</v>
      </c>
      <c r="C27" s="324" t="s">
        <v>240</v>
      </c>
      <c r="D27" s="311"/>
      <c r="E27" s="55" t="s">
        <v>112</v>
      </c>
      <c r="F27" s="324"/>
      <c r="G27" s="325"/>
      <c r="H27" s="81"/>
      <c r="I27" s="56">
        <v>9150</v>
      </c>
      <c r="J27" s="57"/>
      <c r="K27" s="57">
        <v>220</v>
      </c>
      <c r="L27" s="310"/>
      <c r="M27" s="311"/>
      <c r="N27" s="164">
        <v>360</v>
      </c>
      <c r="O27" s="81">
        <v>240</v>
      </c>
      <c r="P27" s="54">
        <v>1800</v>
      </c>
      <c r="Q27" s="164">
        <v>1800</v>
      </c>
      <c r="R27" s="54"/>
      <c r="S27" s="52">
        <f t="shared" si="0"/>
        <v>13570</v>
      </c>
      <c r="T27" s="58">
        <v>4252517</v>
      </c>
    </row>
    <row r="28" spans="1:23">
      <c r="A28" s="190" t="s">
        <v>251</v>
      </c>
      <c r="B28" s="38">
        <v>140</v>
      </c>
      <c r="C28" s="324" t="s">
        <v>254</v>
      </c>
      <c r="D28" s="311"/>
      <c r="E28" s="55" t="s">
        <v>255</v>
      </c>
      <c r="F28" s="324"/>
      <c r="G28" s="325"/>
      <c r="H28" s="81"/>
      <c r="I28" s="56"/>
      <c r="J28" s="57"/>
      <c r="K28" s="57"/>
      <c r="L28" s="310"/>
      <c r="M28" s="311"/>
      <c r="N28" s="164"/>
      <c r="O28" s="81"/>
      <c r="P28" s="54"/>
      <c r="Q28" s="164">
        <v>60</v>
      </c>
      <c r="R28" s="54"/>
      <c r="S28" s="52">
        <f t="shared" si="0"/>
        <v>60</v>
      </c>
      <c r="T28" s="58">
        <v>23166</v>
      </c>
    </row>
    <row r="29" spans="1:23">
      <c r="A29" s="190" t="s">
        <v>251</v>
      </c>
      <c r="B29" s="186">
        <v>141</v>
      </c>
      <c r="C29" s="324" t="s">
        <v>256</v>
      </c>
      <c r="D29" s="311"/>
      <c r="E29" s="55" t="s">
        <v>132</v>
      </c>
      <c r="F29" s="324"/>
      <c r="G29" s="325"/>
      <c r="H29" s="81"/>
      <c r="I29" s="56"/>
      <c r="J29" s="57"/>
      <c r="K29" s="57"/>
      <c r="L29" s="310"/>
      <c r="M29" s="311"/>
      <c r="N29" s="164"/>
      <c r="O29" s="81"/>
      <c r="P29" s="54">
        <v>120</v>
      </c>
      <c r="Q29" s="164"/>
      <c r="R29" s="54"/>
      <c r="S29" s="52">
        <f t="shared" si="0"/>
        <v>120</v>
      </c>
      <c r="T29" s="58">
        <v>39858</v>
      </c>
    </row>
    <row r="30" spans="1:23">
      <c r="A30" s="196" t="s">
        <v>251</v>
      </c>
      <c r="B30" s="186">
        <v>142</v>
      </c>
      <c r="C30" s="324" t="s">
        <v>257</v>
      </c>
      <c r="D30" s="311"/>
      <c r="E30" s="55" t="s">
        <v>99</v>
      </c>
      <c r="F30" s="324"/>
      <c r="G30" s="325"/>
      <c r="H30" s="81"/>
      <c r="I30" s="56">
        <v>60</v>
      </c>
      <c r="J30" s="57"/>
      <c r="K30" s="57"/>
      <c r="L30" s="310"/>
      <c r="M30" s="311"/>
      <c r="N30" s="196"/>
      <c r="O30" s="81"/>
      <c r="P30" s="54"/>
      <c r="Q30" s="196"/>
      <c r="R30" s="54"/>
      <c r="S30" s="52">
        <f t="shared" si="0"/>
        <v>60</v>
      </c>
      <c r="T30" s="58">
        <v>18912</v>
      </c>
    </row>
    <row r="31" spans="1:23">
      <c r="A31" s="196" t="s">
        <v>260</v>
      </c>
      <c r="B31" s="38">
        <v>143</v>
      </c>
      <c r="C31" s="324" t="s">
        <v>120</v>
      </c>
      <c r="D31" s="311"/>
      <c r="E31" s="55" t="s">
        <v>121</v>
      </c>
      <c r="F31" s="324"/>
      <c r="G31" s="325"/>
      <c r="H31" s="81"/>
      <c r="I31" s="56">
        <v>900</v>
      </c>
      <c r="J31" s="57"/>
      <c r="K31" s="57"/>
      <c r="L31" s="310"/>
      <c r="M31" s="311"/>
      <c r="N31" s="196">
        <v>840</v>
      </c>
      <c r="O31" s="81"/>
      <c r="P31" s="54">
        <v>3000</v>
      </c>
      <c r="Q31" s="196"/>
      <c r="R31" s="54"/>
      <c r="S31" s="52">
        <f t="shared" si="0"/>
        <v>4740</v>
      </c>
      <c r="T31" s="58">
        <v>1498504</v>
      </c>
    </row>
    <row r="32" spans="1:23">
      <c r="A32" s="196" t="s">
        <v>260</v>
      </c>
      <c r="B32" s="38">
        <v>144</v>
      </c>
      <c r="C32" s="324" t="s">
        <v>231</v>
      </c>
      <c r="D32" s="311"/>
      <c r="E32" s="55" t="s">
        <v>121</v>
      </c>
      <c r="F32" s="324"/>
      <c r="G32" s="325"/>
      <c r="H32" s="81"/>
      <c r="I32" s="56">
        <v>750</v>
      </c>
      <c r="J32" s="57"/>
      <c r="K32" s="57"/>
      <c r="L32" s="310"/>
      <c r="M32" s="311"/>
      <c r="N32" s="196"/>
      <c r="O32" s="81"/>
      <c r="P32" s="54">
        <v>1200</v>
      </c>
      <c r="Q32" s="196"/>
      <c r="R32" s="54"/>
      <c r="S32" s="52">
        <f t="shared" si="0"/>
        <v>1950</v>
      </c>
      <c r="T32" s="58">
        <v>612442</v>
      </c>
    </row>
    <row r="33" spans="1:20">
      <c r="A33" s="196" t="s">
        <v>260</v>
      </c>
      <c r="B33" s="186">
        <v>145</v>
      </c>
      <c r="C33" s="324" t="s">
        <v>242</v>
      </c>
      <c r="D33" s="311"/>
      <c r="E33" s="55" t="s">
        <v>96</v>
      </c>
      <c r="F33" s="324"/>
      <c r="G33" s="325"/>
      <c r="H33" s="81"/>
      <c r="I33" s="56"/>
      <c r="J33" s="57"/>
      <c r="K33" s="57"/>
      <c r="L33" s="310"/>
      <c r="M33" s="311"/>
      <c r="N33" s="196">
        <v>1200</v>
      </c>
      <c r="O33" s="81">
        <v>1200</v>
      </c>
      <c r="P33" s="54">
        <v>1200</v>
      </c>
      <c r="Q33" s="196"/>
      <c r="R33" s="54"/>
      <c r="S33" s="52">
        <f t="shared" si="0"/>
        <v>3600</v>
      </c>
      <c r="T33" s="58">
        <v>1140980</v>
      </c>
    </row>
    <row r="34" spans="1:20">
      <c r="A34" s="196" t="s">
        <v>260</v>
      </c>
      <c r="B34" s="186">
        <v>146</v>
      </c>
      <c r="C34" s="324" t="s">
        <v>240</v>
      </c>
      <c r="D34" s="311"/>
      <c r="E34" s="55" t="s">
        <v>112</v>
      </c>
      <c r="F34" s="324"/>
      <c r="G34" s="325"/>
      <c r="H34" s="81"/>
      <c r="I34" s="56">
        <v>9450</v>
      </c>
      <c r="J34" s="57"/>
      <c r="K34" s="57"/>
      <c r="L34" s="310"/>
      <c r="M34" s="311"/>
      <c r="N34" s="196">
        <v>600</v>
      </c>
      <c r="O34" s="81">
        <v>600</v>
      </c>
      <c r="P34" s="54">
        <v>2040</v>
      </c>
      <c r="Q34" s="196">
        <v>840</v>
      </c>
      <c r="R34" s="54"/>
      <c r="S34" s="52">
        <f t="shared" si="0"/>
        <v>13530</v>
      </c>
      <c r="T34" s="58">
        <v>4175553</v>
      </c>
    </row>
    <row r="35" spans="1:20">
      <c r="A35" s="197" t="s">
        <v>261</v>
      </c>
      <c r="B35" s="38">
        <v>147</v>
      </c>
      <c r="C35" s="324" t="s">
        <v>235</v>
      </c>
      <c r="D35" s="311"/>
      <c r="E35" s="55" t="s">
        <v>262</v>
      </c>
      <c r="F35" s="324">
        <v>264</v>
      </c>
      <c r="G35" s="325"/>
      <c r="H35" s="81">
        <v>720</v>
      </c>
      <c r="I35" s="56">
        <v>660</v>
      </c>
      <c r="J35" s="57"/>
      <c r="K35" s="57">
        <v>330</v>
      </c>
      <c r="L35" s="310">
        <v>176</v>
      </c>
      <c r="M35" s="311"/>
      <c r="N35" s="196">
        <v>240</v>
      </c>
      <c r="O35" s="81">
        <v>120</v>
      </c>
      <c r="P35" s="54">
        <v>3600</v>
      </c>
      <c r="Q35" s="196">
        <v>240</v>
      </c>
      <c r="R35" s="54"/>
      <c r="S35" s="52">
        <f t="shared" si="0"/>
        <v>6350</v>
      </c>
      <c r="T35" s="58">
        <v>2003393</v>
      </c>
    </row>
    <row r="36" spans="1:20">
      <c r="A36" s="197" t="s">
        <v>261</v>
      </c>
      <c r="B36" s="38">
        <v>148</v>
      </c>
      <c r="C36" s="324" t="s">
        <v>109</v>
      </c>
      <c r="D36" s="311"/>
      <c r="E36" s="55" t="s">
        <v>110</v>
      </c>
      <c r="F36" s="324"/>
      <c r="G36" s="325"/>
      <c r="H36" s="81">
        <v>24</v>
      </c>
      <c r="I36" s="56"/>
      <c r="J36" s="57"/>
      <c r="K36" s="57"/>
      <c r="L36" s="310"/>
      <c r="M36" s="311"/>
      <c r="N36" s="196"/>
      <c r="O36" s="81"/>
      <c r="P36" s="54"/>
      <c r="Q36" s="196"/>
      <c r="R36" s="54"/>
      <c r="S36" s="52">
        <f t="shared" si="0"/>
        <v>24</v>
      </c>
      <c r="T36" s="58">
        <v>8259</v>
      </c>
    </row>
    <row r="37" spans="1:20">
      <c r="A37" s="197" t="s">
        <v>261</v>
      </c>
      <c r="B37" s="186">
        <v>149</v>
      </c>
      <c r="C37" s="324" t="s">
        <v>243</v>
      </c>
      <c r="D37" s="311"/>
      <c r="E37" s="55" t="s">
        <v>244</v>
      </c>
      <c r="F37" s="324"/>
      <c r="G37" s="325"/>
      <c r="H37" s="81"/>
      <c r="I37" s="56"/>
      <c r="J37" s="57"/>
      <c r="K37" s="57"/>
      <c r="L37" s="310"/>
      <c r="M37" s="311"/>
      <c r="N37" s="196"/>
      <c r="O37" s="81"/>
      <c r="P37" s="54">
        <v>240</v>
      </c>
      <c r="Q37" s="196">
        <v>24</v>
      </c>
      <c r="R37" s="54"/>
      <c r="S37" s="52">
        <f t="shared" si="0"/>
        <v>264</v>
      </c>
      <c r="T37" s="58">
        <v>88982</v>
      </c>
    </row>
    <row r="38" spans="1:20">
      <c r="A38" s="198" t="s">
        <v>263</v>
      </c>
      <c r="B38" s="186">
        <v>150</v>
      </c>
      <c r="C38" s="324" t="s">
        <v>235</v>
      </c>
      <c r="D38" s="311"/>
      <c r="E38" s="55" t="s">
        <v>264</v>
      </c>
      <c r="F38" s="324">
        <v>720</v>
      </c>
      <c r="G38" s="325"/>
      <c r="H38" s="81">
        <v>1080</v>
      </c>
      <c r="I38" s="56">
        <v>300</v>
      </c>
      <c r="J38" s="57"/>
      <c r="K38" s="57">
        <v>220</v>
      </c>
      <c r="L38" s="310"/>
      <c r="M38" s="311"/>
      <c r="N38" s="198">
        <v>240</v>
      </c>
      <c r="O38" s="81">
        <v>240</v>
      </c>
      <c r="P38" s="54">
        <v>2400</v>
      </c>
      <c r="Q38" s="198"/>
      <c r="R38" s="54"/>
      <c r="S38" s="52">
        <f t="shared" si="0"/>
        <v>5200</v>
      </c>
      <c r="T38" s="58">
        <v>1638888</v>
      </c>
    </row>
    <row r="39" spans="1:20">
      <c r="A39" s="198" t="s">
        <v>263</v>
      </c>
      <c r="B39" s="38">
        <v>151</v>
      </c>
      <c r="C39" s="324" t="s">
        <v>240</v>
      </c>
      <c r="D39" s="311"/>
      <c r="E39" s="55" t="s">
        <v>265</v>
      </c>
      <c r="F39" s="324"/>
      <c r="G39" s="325"/>
      <c r="H39" s="81"/>
      <c r="I39" s="56">
        <v>7800</v>
      </c>
      <c r="J39" s="57"/>
      <c r="K39" s="57">
        <v>330</v>
      </c>
      <c r="L39" s="310"/>
      <c r="M39" s="311"/>
      <c r="N39" s="196">
        <v>600</v>
      </c>
      <c r="O39" s="81">
        <v>240</v>
      </c>
      <c r="P39" s="54">
        <v>3120</v>
      </c>
      <c r="Q39" s="196">
        <v>2400</v>
      </c>
      <c r="R39" s="54">
        <v>12</v>
      </c>
      <c r="S39" s="52">
        <f t="shared" si="0"/>
        <v>14502</v>
      </c>
      <c r="T39" s="58">
        <v>4605009</v>
      </c>
    </row>
    <row r="40" spans="1:20">
      <c r="A40" s="198" t="s">
        <v>266</v>
      </c>
      <c r="B40" s="38">
        <v>152</v>
      </c>
      <c r="C40" s="324" t="s">
        <v>267</v>
      </c>
      <c r="D40" s="311"/>
      <c r="E40" s="55" t="s">
        <v>215</v>
      </c>
      <c r="F40" s="324"/>
      <c r="G40" s="325"/>
      <c r="H40" s="81"/>
      <c r="I40" s="56">
        <v>90</v>
      </c>
      <c r="J40" s="57"/>
      <c r="K40" s="57"/>
      <c r="L40" s="310"/>
      <c r="M40" s="311"/>
      <c r="N40" s="196"/>
      <c r="O40" s="81"/>
      <c r="P40" s="54">
        <v>480</v>
      </c>
      <c r="Q40" s="196">
        <v>24</v>
      </c>
      <c r="R40" s="54"/>
      <c r="S40" s="52">
        <f t="shared" si="0"/>
        <v>594</v>
      </c>
      <c r="T40" s="58">
        <v>197065</v>
      </c>
    </row>
    <row r="41" spans="1:20">
      <c r="A41" s="198" t="s">
        <v>266</v>
      </c>
      <c r="B41" s="186">
        <v>153</v>
      </c>
      <c r="C41" s="324" t="s">
        <v>226</v>
      </c>
      <c r="D41" s="311"/>
      <c r="E41" s="55" t="s">
        <v>103</v>
      </c>
      <c r="F41" s="324"/>
      <c r="G41" s="325"/>
      <c r="H41" s="81">
        <v>48</v>
      </c>
      <c r="I41" s="56"/>
      <c r="J41" s="57"/>
      <c r="K41" s="57"/>
      <c r="L41" s="310"/>
      <c r="M41" s="311"/>
      <c r="N41" s="196"/>
      <c r="O41" s="81"/>
      <c r="P41" s="54">
        <v>48</v>
      </c>
      <c r="Q41" s="196"/>
      <c r="R41" s="54"/>
      <c r="S41" s="52">
        <f t="shared" si="0"/>
        <v>96</v>
      </c>
      <c r="T41" s="58">
        <v>32460</v>
      </c>
    </row>
    <row r="42" spans="1:20">
      <c r="A42" s="198" t="s">
        <v>266</v>
      </c>
      <c r="B42" s="186">
        <v>154</v>
      </c>
      <c r="C42" s="324" t="s">
        <v>257</v>
      </c>
      <c r="D42" s="311"/>
      <c r="E42" s="55" t="s">
        <v>99</v>
      </c>
      <c r="F42" s="324"/>
      <c r="G42" s="325"/>
      <c r="H42" s="81">
        <v>72</v>
      </c>
      <c r="I42" s="56"/>
      <c r="J42" s="57"/>
      <c r="K42" s="57"/>
      <c r="L42" s="310"/>
      <c r="M42" s="311"/>
      <c r="N42" s="196"/>
      <c r="O42" s="81"/>
      <c r="P42" s="54"/>
      <c r="Q42" s="196"/>
      <c r="R42" s="54"/>
      <c r="S42" s="52">
        <f t="shared" si="0"/>
        <v>72</v>
      </c>
      <c r="T42" s="58">
        <v>24776</v>
      </c>
    </row>
    <row r="43" spans="1:20">
      <c r="A43" s="199" t="s">
        <v>266</v>
      </c>
      <c r="B43" s="38">
        <v>155</v>
      </c>
      <c r="C43" s="324" t="s">
        <v>268</v>
      </c>
      <c r="D43" s="311"/>
      <c r="E43" s="55" t="s">
        <v>269</v>
      </c>
      <c r="F43" s="324"/>
      <c r="G43" s="325"/>
      <c r="H43" s="81"/>
      <c r="I43" s="56"/>
      <c r="J43" s="57"/>
      <c r="K43" s="57"/>
      <c r="L43" s="310"/>
      <c r="M43" s="311"/>
      <c r="N43" s="199"/>
      <c r="O43" s="81"/>
      <c r="P43" s="54">
        <v>480</v>
      </c>
      <c r="Q43" s="199">
        <v>24</v>
      </c>
      <c r="R43" s="54"/>
      <c r="S43" s="52">
        <f t="shared" si="0"/>
        <v>504</v>
      </c>
      <c r="T43" s="58">
        <v>168697</v>
      </c>
    </row>
    <row r="44" spans="1:20">
      <c r="A44" s="199" t="s">
        <v>270</v>
      </c>
      <c r="B44" s="38">
        <v>156</v>
      </c>
      <c r="C44" s="324" t="s">
        <v>226</v>
      </c>
      <c r="D44" s="311"/>
      <c r="E44" s="55" t="s">
        <v>103</v>
      </c>
      <c r="F44" s="324"/>
      <c r="G44" s="325"/>
      <c r="H44" s="81"/>
      <c r="I44" s="56"/>
      <c r="J44" s="57"/>
      <c r="K44" s="57"/>
      <c r="L44" s="310"/>
      <c r="M44" s="311"/>
      <c r="N44" s="199"/>
      <c r="O44" s="81"/>
      <c r="P44" s="54"/>
      <c r="Q44" s="199">
        <v>24</v>
      </c>
      <c r="R44" s="54"/>
      <c r="S44" s="52">
        <f t="shared" si="0"/>
        <v>24</v>
      </c>
      <c r="T44" s="58">
        <v>9267</v>
      </c>
    </row>
    <row r="45" spans="1:20">
      <c r="A45" s="199" t="s">
        <v>270</v>
      </c>
      <c r="B45" s="186">
        <v>157</v>
      </c>
      <c r="C45" s="324" t="s">
        <v>120</v>
      </c>
      <c r="D45" s="311"/>
      <c r="E45" s="55" t="s">
        <v>121</v>
      </c>
      <c r="F45" s="324"/>
      <c r="G45" s="325"/>
      <c r="H45" s="81"/>
      <c r="I45" s="56">
        <v>900</v>
      </c>
      <c r="J45" s="57"/>
      <c r="K45" s="57"/>
      <c r="L45" s="310"/>
      <c r="M45" s="311"/>
      <c r="N45" s="199"/>
      <c r="O45" s="81"/>
      <c r="P45" s="54">
        <v>2880</v>
      </c>
      <c r="Q45" s="199"/>
      <c r="R45" s="54"/>
      <c r="S45" s="52">
        <f t="shared" si="0"/>
        <v>3780</v>
      </c>
      <c r="T45" s="58">
        <v>1196604</v>
      </c>
    </row>
    <row r="46" spans="1:20">
      <c r="A46" s="199" t="s">
        <v>270</v>
      </c>
      <c r="B46" s="186">
        <v>158</v>
      </c>
      <c r="C46" s="324" t="s">
        <v>122</v>
      </c>
      <c r="D46" s="311"/>
      <c r="E46" s="55" t="s">
        <v>121</v>
      </c>
      <c r="F46" s="324"/>
      <c r="G46" s="325"/>
      <c r="H46" s="81"/>
      <c r="I46" s="56"/>
      <c r="J46" s="57"/>
      <c r="K46" s="57"/>
      <c r="L46" s="310"/>
      <c r="M46" s="311"/>
      <c r="N46" s="199">
        <v>600</v>
      </c>
      <c r="O46" s="81">
        <v>240</v>
      </c>
      <c r="P46" s="54">
        <v>1800</v>
      </c>
      <c r="Q46" s="199"/>
      <c r="R46" s="54"/>
      <c r="S46" s="52">
        <f t="shared" si="0"/>
        <v>2640</v>
      </c>
      <c r="T46" s="58">
        <v>841240</v>
      </c>
    </row>
    <row r="47" spans="1:20">
      <c r="A47" s="199" t="s">
        <v>270</v>
      </c>
      <c r="B47" s="38">
        <v>159</v>
      </c>
      <c r="C47" s="324" t="s">
        <v>231</v>
      </c>
      <c r="D47" s="311"/>
      <c r="E47" s="55" t="s">
        <v>121</v>
      </c>
      <c r="F47" s="324"/>
      <c r="G47" s="325"/>
      <c r="H47" s="81"/>
      <c r="I47" s="56">
        <v>450</v>
      </c>
      <c r="J47" s="57"/>
      <c r="K47" s="57"/>
      <c r="L47" s="310"/>
      <c r="M47" s="311"/>
      <c r="N47" s="199"/>
      <c r="O47" s="81"/>
      <c r="P47" s="54">
        <v>1440</v>
      </c>
      <c r="Q47" s="199"/>
      <c r="R47" s="54"/>
      <c r="S47" s="52">
        <f t="shared" si="0"/>
        <v>1890</v>
      </c>
      <c r="T47" s="58">
        <v>598302</v>
      </c>
    </row>
    <row r="48" spans="1:20">
      <c r="A48" s="199" t="s">
        <v>271</v>
      </c>
      <c r="B48" s="38">
        <v>160</v>
      </c>
      <c r="C48" s="324" t="s">
        <v>273</v>
      </c>
      <c r="D48" s="311"/>
      <c r="E48" s="55" t="s">
        <v>118</v>
      </c>
      <c r="F48" s="324"/>
      <c r="G48" s="325"/>
      <c r="H48" s="81"/>
      <c r="I48" s="56"/>
      <c r="J48" s="57"/>
      <c r="K48" s="57"/>
      <c r="L48" s="310"/>
      <c r="M48" s="311"/>
      <c r="N48" s="199"/>
      <c r="O48" s="81"/>
      <c r="P48" s="54">
        <v>480</v>
      </c>
      <c r="Q48" s="199">
        <v>24</v>
      </c>
      <c r="R48" s="54"/>
      <c r="S48" s="52">
        <f t="shared" si="0"/>
        <v>504</v>
      </c>
      <c r="T48" s="58">
        <v>168697</v>
      </c>
    </row>
    <row r="49" spans="1:24">
      <c r="A49" s="199" t="s">
        <v>271</v>
      </c>
      <c r="B49" s="186">
        <v>161</v>
      </c>
      <c r="C49" s="324" t="s">
        <v>235</v>
      </c>
      <c r="D49" s="311"/>
      <c r="E49" s="55" t="s">
        <v>146</v>
      </c>
      <c r="F49" s="324"/>
      <c r="G49" s="325"/>
      <c r="H49" s="81">
        <v>960</v>
      </c>
      <c r="I49" s="56"/>
      <c r="J49" s="57"/>
      <c r="K49" s="57"/>
      <c r="L49" s="310"/>
      <c r="M49" s="311"/>
      <c r="N49" s="199">
        <v>960</v>
      </c>
      <c r="O49" s="81">
        <v>960</v>
      </c>
      <c r="P49" s="54">
        <v>4320</v>
      </c>
      <c r="Q49" s="199"/>
      <c r="R49" s="54"/>
      <c r="S49" s="52">
        <f t="shared" si="0"/>
        <v>7200</v>
      </c>
      <c r="T49" s="58">
        <v>2246237</v>
      </c>
    </row>
    <row r="50" spans="1:24">
      <c r="A50" s="200" t="s">
        <v>280</v>
      </c>
      <c r="B50" s="186">
        <v>162</v>
      </c>
      <c r="C50" s="324" t="s">
        <v>276</v>
      </c>
      <c r="D50" s="311"/>
      <c r="E50" s="55" t="s">
        <v>255</v>
      </c>
      <c r="F50" s="324"/>
      <c r="G50" s="325"/>
      <c r="H50" s="81"/>
      <c r="I50" s="56">
        <v>210</v>
      </c>
      <c r="J50" s="57"/>
      <c r="K50" s="57"/>
      <c r="L50" s="310"/>
      <c r="M50" s="311"/>
      <c r="N50" s="199"/>
      <c r="O50" s="81"/>
      <c r="P50" s="54">
        <v>168</v>
      </c>
      <c r="Q50" s="199">
        <v>60</v>
      </c>
      <c r="R50" s="54"/>
      <c r="S50" s="52">
        <f t="shared" si="0"/>
        <v>438</v>
      </c>
      <c r="T50" s="58">
        <v>145159</v>
      </c>
    </row>
    <row r="51" spans="1:24">
      <c r="A51" s="200" t="s">
        <v>280</v>
      </c>
      <c r="B51" s="38">
        <v>163</v>
      </c>
      <c r="C51" s="324" t="s">
        <v>274</v>
      </c>
      <c r="D51" s="311"/>
      <c r="E51" s="55" t="s">
        <v>277</v>
      </c>
      <c r="F51" s="324"/>
      <c r="G51" s="325"/>
      <c r="H51" s="81"/>
      <c r="I51" s="56"/>
      <c r="J51" s="57"/>
      <c r="K51" s="57"/>
      <c r="L51" s="310"/>
      <c r="M51" s="311"/>
      <c r="N51" s="199"/>
      <c r="O51" s="81"/>
      <c r="P51" s="54">
        <v>264</v>
      </c>
      <c r="Q51" s="199"/>
      <c r="R51" s="54"/>
      <c r="S51" s="52">
        <f t="shared" si="0"/>
        <v>264</v>
      </c>
      <c r="T51" s="58">
        <v>87687</v>
      </c>
    </row>
    <row r="52" spans="1:24">
      <c r="A52" s="200" t="s">
        <v>280</v>
      </c>
      <c r="B52" s="38">
        <v>164</v>
      </c>
      <c r="C52" s="324" t="s">
        <v>275</v>
      </c>
      <c r="D52" s="311"/>
      <c r="E52" s="55" t="s">
        <v>278</v>
      </c>
      <c r="F52" s="324"/>
      <c r="G52" s="325"/>
      <c r="H52" s="81"/>
      <c r="I52" s="56"/>
      <c r="J52" s="57"/>
      <c r="K52" s="57"/>
      <c r="L52" s="310"/>
      <c r="M52" s="311"/>
      <c r="N52" s="199"/>
      <c r="O52" s="81"/>
      <c r="P52" s="54"/>
      <c r="Q52" s="199">
        <v>12</v>
      </c>
      <c r="R52" s="54"/>
      <c r="S52" s="52">
        <f t="shared" si="0"/>
        <v>12</v>
      </c>
      <c r="T52" s="58">
        <v>4633</v>
      </c>
    </row>
    <row r="53" spans="1:24">
      <c r="A53" s="200" t="s">
        <v>280</v>
      </c>
      <c r="B53" s="186">
        <v>165</v>
      </c>
      <c r="C53" s="324" t="s">
        <v>52</v>
      </c>
      <c r="D53" s="311"/>
      <c r="E53" s="55" t="s">
        <v>279</v>
      </c>
      <c r="F53" s="324"/>
      <c r="G53" s="325"/>
      <c r="H53" s="81"/>
      <c r="I53" s="56"/>
      <c r="J53" s="57"/>
      <c r="K53" s="57"/>
      <c r="L53" s="310"/>
      <c r="M53" s="311"/>
      <c r="N53" s="199"/>
      <c r="O53" s="81"/>
      <c r="P53" s="54">
        <v>120</v>
      </c>
      <c r="Q53" s="199">
        <v>60</v>
      </c>
      <c r="R53" s="54"/>
      <c r="S53" s="52">
        <f t="shared" si="0"/>
        <v>180</v>
      </c>
      <c r="T53" s="58">
        <v>63024</v>
      </c>
    </row>
    <row r="54" spans="1:24">
      <c r="A54" s="200" t="s">
        <v>280</v>
      </c>
      <c r="B54" s="186">
        <v>166</v>
      </c>
      <c r="C54" s="324" t="s">
        <v>52</v>
      </c>
      <c r="D54" s="311"/>
      <c r="E54" s="55" t="s">
        <v>279</v>
      </c>
      <c r="F54" s="324"/>
      <c r="G54" s="325"/>
      <c r="H54" s="81"/>
      <c r="I54" s="56"/>
      <c r="J54" s="57"/>
      <c r="K54" s="57"/>
      <c r="L54" s="310"/>
      <c r="M54" s="311"/>
      <c r="N54" s="199"/>
      <c r="O54" s="81"/>
      <c r="P54" s="54"/>
      <c r="Q54" s="199">
        <v>60</v>
      </c>
      <c r="R54" s="54"/>
      <c r="S54" s="52">
        <f t="shared" si="0"/>
        <v>60</v>
      </c>
      <c r="T54" s="58">
        <v>23166</v>
      </c>
    </row>
    <row r="55" spans="1:24">
      <c r="A55" s="200" t="s">
        <v>280</v>
      </c>
      <c r="B55" s="38">
        <v>167</v>
      </c>
      <c r="C55" s="324" t="s">
        <v>235</v>
      </c>
      <c r="D55" s="311"/>
      <c r="E55" s="55" t="s">
        <v>262</v>
      </c>
      <c r="F55" s="324"/>
      <c r="G55" s="325"/>
      <c r="H55" s="81">
        <v>960</v>
      </c>
      <c r="I55" s="56"/>
      <c r="J55" s="57"/>
      <c r="K55" s="57">
        <v>154</v>
      </c>
      <c r="L55" s="310"/>
      <c r="M55" s="311"/>
      <c r="N55" s="199"/>
      <c r="O55" s="81"/>
      <c r="P55" s="54">
        <v>3600</v>
      </c>
      <c r="Q55" s="199">
        <v>300</v>
      </c>
      <c r="R55" s="54"/>
      <c r="S55" s="52">
        <f t="shared" si="0"/>
        <v>5014</v>
      </c>
      <c r="T55" s="58">
        <v>1597114</v>
      </c>
    </row>
    <row r="56" spans="1:24">
      <c r="A56" s="200" t="s">
        <v>280</v>
      </c>
      <c r="B56" s="38">
        <v>168</v>
      </c>
      <c r="C56" s="324" t="s">
        <v>240</v>
      </c>
      <c r="D56" s="311"/>
      <c r="E56" s="55" t="s">
        <v>112</v>
      </c>
      <c r="F56" s="324"/>
      <c r="G56" s="325"/>
      <c r="H56" s="81"/>
      <c r="I56" s="56">
        <v>2850</v>
      </c>
      <c r="J56" s="57"/>
      <c r="K56" s="57">
        <v>220</v>
      </c>
      <c r="L56" s="310"/>
      <c r="M56" s="311"/>
      <c r="N56" s="199">
        <v>600</v>
      </c>
      <c r="O56" s="81">
        <v>360</v>
      </c>
      <c r="P56" s="54">
        <v>1920</v>
      </c>
      <c r="Q56" s="199">
        <v>1980</v>
      </c>
      <c r="R56" s="54"/>
      <c r="S56" s="52">
        <f t="shared" si="0"/>
        <v>7930</v>
      </c>
      <c r="T56" s="58">
        <v>2574956</v>
      </c>
    </row>
    <row r="57" spans="1:24">
      <c r="A57" s="200" t="s">
        <v>272</v>
      </c>
      <c r="B57" s="186">
        <v>169</v>
      </c>
      <c r="C57" s="324" t="s">
        <v>227</v>
      </c>
      <c r="D57" s="311"/>
      <c r="E57" s="55" t="s">
        <v>138</v>
      </c>
      <c r="F57" s="324"/>
      <c r="G57" s="325"/>
      <c r="H57" s="81"/>
      <c r="I57" s="56"/>
      <c r="J57" s="57"/>
      <c r="K57" s="57"/>
      <c r="L57" s="310"/>
      <c r="M57" s="311"/>
      <c r="N57" s="199"/>
      <c r="O57" s="81"/>
      <c r="P57" s="54">
        <v>48</v>
      </c>
      <c r="Q57" s="199">
        <v>60</v>
      </c>
      <c r="R57" s="54"/>
      <c r="S57" s="52">
        <f t="shared" si="0"/>
        <v>108</v>
      </c>
      <c r="T57" s="58">
        <v>39109</v>
      </c>
    </row>
    <row r="58" spans="1:24">
      <c r="A58" s="200" t="s">
        <v>272</v>
      </c>
      <c r="B58" s="186">
        <v>170</v>
      </c>
      <c r="C58" s="324" t="s">
        <v>144</v>
      </c>
      <c r="D58" s="311"/>
      <c r="E58" s="55" t="s">
        <v>145</v>
      </c>
      <c r="F58" s="324"/>
      <c r="G58" s="325"/>
      <c r="H58" s="81"/>
      <c r="I58" s="56"/>
      <c r="J58" s="57"/>
      <c r="K58" s="57"/>
      <c r="L58" s="310"/>
      <c r="M58" s="311"/>
      <c r="N58" s="199">
        <v>48</v>
      </c>
      <c r="O58" s="81">
        <v>192</v>
      </c>
      <c r="P58" s="54">
        <v>504</v>
      </c>
      <c r="Q58" s="199">
        <v>180</v>
      </c>
      <c r="R58" s="54"/>
      <c r="S58" s="52">
        <f t="shared" si="0"/>
        <v>924</v>
      </c>
      <c r="T58" s="58">
        <v>304577</v>
      </c>
    </row>
    <row r="59" spans="1:24" ht="15.75" thickBot="1">
      <c r="A59" s="200" t="s">
        <v>272</v>
      </c>
      <c r="B59" s="38">
        <v>171</v>
      </c>
      <c r="C59" s="324" t="s">
        <v>242</v>
      </c>
      <c r="D59" s="311"/>
      <c r="E59" s="55" t="s">
        <v>96</v>
      </c>
      <c r="F59" s="324"/>
      <c r="G59" s="325"/>
      <c r="H59" s="81">
        <v>96</v>
      </c>
      <c r="I59" s="56">
        <v>750</v>
      </c>
      <c r="J59" s="57"/>
      <c r="K59" s="57"/>
      <c r="L59" s="310"/>
      <c r="M59" s="311"/>
      <c r="N59" s="199">
        <v>960</v>
      </c>
      <c r="O59" s="81">
        <v>960</v>
      </c>
      <c r="P59" s="54">
        <v>3000</v>
      </c>
      <c r="Q59" s="199">
        <v>60</v>
      </c>
      <c r="R59" s="54"/>
      <c r="S59" s="52">
        <f t="shared" si="0"/>
        <v>5826</v>
      </c>
      <c r="T59" s="58">
        <v>1848701</v>
      </c>
    </row>
    <row r="60" spans="1:24" ht="15.75" thickBot="1">
      <c r="A60" s="361" t="s">
        <v>16</v>
      </c>
      <c r="B60" s="362"/>
      <c r="C60" s="362"/>
      <c r="D60" s="61"/>
      <c r="E60" s="59"/>
      <c r="F60" s="318">
        <f>SUM(F5:G59)</f>
        <v>1080</v>
      </c>
      <c r="G60" s="320"/>
      <c r="H60" s="34">
        <f>SUM(H5:H59)</f>
        <v>4320</v>
      </c>
      <c r="I60" s="176">
        <f>SUM(I5:I59)</f>
        <v>43080</v>
      </c>
      <c r="J60" s="177">
        <f>SUM(J5:J59)</f>
        <v>264</v>
      </c>
      <c r="K60" s="177">
        <f>SUM(K5:K59)</f>
        <v>2156</v>
      </c>
      <c r="L60" s="321">
        <f>SUM(L5:M59)</f>
        <v>352</v>
      </c>
      <c r="M60" s="319"/>
      <c r="N60" s="176">
        <f t="shared" ref="N60:T60" si="2">SUM(N5:N59)</f>
        <v>10008</v>
      </c>
      <c r="O60" s="177">
        <f t="shared" si="2"/>
        <v>6672</v>
      </c>
      <c r="P60" s="34">
        <f t="shared" si="2"/>
        <v>52656</v>
      </c>
      <c r="Q60" s="176">
        <f t="shared" si="2"/>
        <v>10644</v>
      </c>
      <c r="R60" s="34">
        <f t="shared" si="2"/>
        <v>12</v>
      </c>
      <c r="S60" s="60">
        <f t="shared" si="2"/>
        <v>131244</v>
      </c>
      <c r="T60" s="36">
        <f t="shared" si="2"/>
        <v>41572914</v>
      </c>
      <c r="V60" s="13"/>
      <c r="W60" s="13"/>
      <c r="X60" s="13"/>
    </row>
    <row r="61" spans="1:24" ht="15.75" thickBot="1">
      <c r="A61" s="361"/>
      <c r="B61" s="362"/>
      <c r="C61" s="362"/>
      <c r="D61" s="61"/>
      <c r="E61" s="59"/>
      <c r="F61" s="318">
        <f>F4+F60</f>
        <v>3576</v>
      </c>
      <c r="G61" s="320"/>
      <c r="H61" s="34">
        <f>H4+H60</f>
        <v>19392</v>
      </c>
      <c r="I61" s="61">
        <f>I4+I60</f>
        <v>132060</v>
      </c>
      <c r="J61" s="177">
        <f>J4+J60</f>
        <v>1368</v>
      </c>
      <c r="K61" s="177">
        <f>K4+K60</f>
        <v>7766</v>
      </c>
      <c r="L61" s="321">
        <f>L4+L60</f>
        <v>1452</v>
      </c>
      <c r="M61" s="319"/>
      <c r="N61" s="176">
        <f t="shared" ref="N61:T61" si="3">N4+N60</f>
        <v>40128</v>
      </c>
      <c r="O61" s="177">
        <f t="shared" si="3"/>
        <v>23088</v>
      </c>
      <c r="P61" s="34">
        <f t="shared" si="3"/>
        <v>187272</v>
      </c>
      <c r="Q61" s="61">
        <f t="shared" si="3"/>
        <v>33120</v>
      </c>
      <c r="R61" s="177">
        <f t="shared" si="3"/>
        <v>6456</v>
      </c>
      <c r="S61" s="62">
        <f t="shared" si="3"/>
        <v>455678</v>
      </c>
      <c r="T61" s="36">
        <f t="shared" si="3"/>
        <v>145837211</v>
      </c>
      <c r="W61" s="13"/>
      <c r="X61" s="13"/>
    </row>
    <row r="62" spans="1:24">
      <c r="V62" s="13"/>
    </row>
    <row r="63" spans="1:24">
      <c r="V63" s="13"/>
    </row>
    <row r="64" spans="1:24">
      <c r="V64" s="13"/>
    </row>
    <row r="65" spans="1:22">
      <c r="V65" s="13"/>
    </row>
    <row r="66" spans="1:22">
      <c r="V66" s="13"/>
    </row>
    <row r="67" spans="1:22">
      <c r="V67" s="13"/>
    </row>
    <row r="68" spans="1:22">
      <c r="V68" s="13"/>
    </row>
    <row r="69" spans="1:22">
      <c r="V69" s="13"/>
    </row>
    <row r="70" spans="1:22">
      <c r="V70" s="13"/>
    </row>
    <row r="71" spans="1:22">
      <c r="V71" s="13"/>
    </row>
    <row r="72" spans="1:22">
      <c r="V72" s="13"/>
    </row>
    <row r="73" spans="1:22">
      <c r="V73" s="13"/>
    </row>
    <row r="74" spans="1:22">
      <c r="V74" s="13"/>
    </row>
    <row r="75" spans="1:22">
      <c r="V75" s="13"/>
    </row>
    <row r="76" spans="1:22">
      <c r="V76" s="13"/>
    </row>
    <row r="77" spans="1:22">
      <c r="V77" s="13"/>
    </row>
    <row r="78" spans="1:22" ht="15.75" thickBot="1">
      <c r="V78" s="13"/>
    </row>
    <row r="79" spans="1:22" ht="15.75" customHeight="1" thickBot="1">
      <c r="A79" s="363" t="s">
        <v>281</v>
      </c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5"/>
      <c r="R79" s="1"/>
      <c r="S79" s="1"/>
      <c r="T79" s="28"/>
    </row>
    <row r="80" spans="1:22" ht="15.75" customHeight="1" thickBot="1">
      <c r="A80" s="366" t="s">
        <v>34</v>
      </c>
      <c r="B80" s="367"/>
      <c r="C80" s="370" t="s">
        <v>33</v>
      </c>
      <c r="D80" s="370" t="s">
        <v>11</v>
      </c>
      <c r="E80" s="373" t="s">
        <v>19</v>
      </c>
      <c r="F80" s="366" t="s">
        <v>8</v>
      </c>
      <c r="G80" s="367"/>
      <c r="H80" s="375" t="s">
        <v>10</v>
      </c>
      <c r="I80" s="376"/>
      <c r="J80" s="377"/>
      <c r="K80" s="378" t="s">
        <v>25</v>
      </c>
      <c r="L80" s="379"/>
      <c r="M80" s="379"/>
      <c r="N80" s="379"/>
      <c r="O80" s="380"/>
      <c r="P80" s="370" t="s">
        <v>20</v>
      </c>
      <c r="Q80" s="381" t="s">
        <v>38</v>
      </c>
      <c r="R80" s="1"/>
      <c r="S80" s="1"/>
      <c r="T80" s="28"/>
    </row>
    <row r="81" spans="1:22" ht="15.75" thickBot="1">
      <c r="A81" s="368"/>
      <c r="B81" s="369"/>
      <c r="C81" s="371"/>
      <c r="D81" s="372"/>
      <c r="E81" s="374"/>
      <c r="F81" s="368"/>
      <c r="G81" s="369"/>
      <c r="H81" s="69" t="s">
        <v>49</v>
      </c>
      <c r="I81" s="69" t="s">
        <v>48</v>
      </c>
      <c r="J81" s="69" t="s">
        <v>50</v>
      </c>
      <c r="K81" s="69" t="s">
        <v>24</v>
      </c>
      <c r="L81" s="378" t="s">
        <v>47</v>
      </c>
      <c r="M81" s="380"/>
      <c r="N81" s="69" t="s">
        <v>46</v>
      </c>
      <c r="O81" s="69" t="s">
        <v>45</v>
      </c>
      <c r="P81" s="372"/>
      <c r="Q81" s="382"/>
      <c r="T81" s="28"/>
    </row>
    <row r="82" spans="1:22" ht="15" customHeight="1">
      <c r="A82" s="366" t="s">
        <v>27</v>
      </c>
      <c r="B82" s="367"/>
      <c r="C82" s="166" t="s">
        <v>28</v>
      </c>
      <c r="D82" s="166"/>
      <c r="E82" s="4">
        <v>720</v>
      </c>
      <c r="F82" s="388">
        <v>264</v>
      </c>
      <c r="G82" s="388"/>
      <c r="H82" s="4"/>
      <c r="I82" s="165"/>
      <c r="J82" s="4"/>
      <c r="K82" s="165"/>
      <c r="L82" s="389"/>
      <c r="M82" s="390"/>
      <c r="N82" s="165"/>
      <c r="O82" s="4">
        <f>48+48</f>
        <v>96</v>
      </c>
      <c r="P82" s="165"/>
      <c r="Q82" s="4">
        <f>SUM(D82:P82)</f>
        <v>1080</v>
      </c>
      <c r="T82" s="28"/>
      <c r="V82" s="13">
        <f>Q82-F60</f>
        <v>0</v>
      </c>
    </row>
    <row r="83" spans="1:22" ht="15.75" thickBot="1">
      <c r="A83" s="368"/>
      <c r="B83" s="369"/>
      <c r="C83" s="168" t="s">
        <v>29</v>
      </c>
      <c r="D83" s="168"/>
      <c r="E83" s="14">
        <f>1080+960</f>
        <v>2040</v>
      </c>
      <c r="F83" s="395">
        <f>720+960</f>
        <v>1680</v>
      </c>
      <c r="G83" s="395"/>
      <c r="H83" s="14"/>
      <c r="I83" s="167"/>
      <c r="J83" s="14"/>
      <c r="K83" s="167"/>
      <c r="L83" s="396"/>
      <c r="M83" s="397"/>
      <c r="N83" s="167"/>
      <c r="O83" s="14">
        <f>72+48+48+24+72+24+24+48+24+48+72</f>
        <v>504</v>
      </c>
      <c r="P83" s="167">
        <v>96</v>
      </c>
      <c r="Q83" s="16">
        <f t="shared" ref="Q83:Q92" si="4">SUM(D83:P83)</f>
        <v>4320</v>
      </c>
      <c r="T83" s="28"/>
      <c r="V83" s="13">
        <f>H60-Q83</f>
        <v>0</v>
      </c>
    </row>
    <row r="84" spans="1:22">
      <c r="A84" s="366" t="s">
        <v>41</v>
      </c>
      <c r="B84" s="367"/>
      <c r="C84" s="4" t="s">
        <v>30</v>
      </c>
      <c r="D84" s="4">
        <f>6600+9150+9450+7800+2850</f>
        <v>35850</v>
      </c>
      <c r="E84" s="4">
        <f>600+300</f>
        <v>900</v>
      </c>
      <c r="F84" s="388">
        <v>660</v>
      </c>
      <c r="G84" s="388"/>
      <c r="H84" s="4"/>
      <c r="I84" s="165">
        <f>900+900+900</f>
        <v>2700</v>
      </c>
      <c r="J84" s="4">
        <f>450+750+450</f>
        <v>1650</v>
      </c>
      <c r="K84" s="165"/>
      <c r="L84" s="389"/>
      <c r="M84" s="390"/>
      <c r="N84" s="165"/>
      <c r="O84" s="4">
        <f>30+150+30+60+90+210</f>
        <v>570</v>
      </c>
      <c r="P84" s="165">
        <v>750</v>
      </c>
      <c r="Q84" s="4">
        <f t="shared" si="4"/>
        <v>43080</v>
      </c>
      <c r="T84" s="28"/>
      <c r="V84" s="13">
        <f>I60-Q84</f>
        <v>0</v>
      </c>
    </row>
    <row r="85" spans="1:22">
      <c r="A85" s="403"/>
      <c r="B85" s="404"/>
      <c r="C85" s="5" t="s">
        <v>32</v>
      </c>
      <c r="D85" s="172"/>
      <c r="E85" s="5">
        <v>240</v>
      </c>
      <c r="F85" s="408"/>
      <c r="G85" s="408"/>
      <c r="H85" s="5"/>
      <c r="I85" s="171"/>
      <c r="J85" s="5"/>
      <c r="K85" s="171"/>
      <c r="L85" s="409"/>
      <c r="M85" s="410"/>
      <c r="N85" s="171"/>
      <c r="O85" s="5">
        <f>24</f>
        <v>24</v>
      </c>
      <c r="P85" s="171"/>
      <c r="Q85" s="5">
        <f t="shared" si="4"/>
        <v>264</v>
      </c>
      <c r="T85" s="28"/>
      <c r="V85" s="13">
        <f>J60-Q85</f>
        <v>0</v>
      </c>
    </row>
    <row r="86" spans="1:22">
      <c r="A86" s="403"/>
      <c r="B86" s="404"/>
      <c r="C86" s="5" t="s">
        <v>43</v>
      </c>
      <c r="D86" s="172">
        <f>440+220+330+220</f>
        <v>1210</v>
      </c>
      <c r="E86" s="5">
        <v>220</v>
      </c>
      <c r="F86" s="408">
        <f>330+154</f>
        <v>484</v>
      </c>
      <c r="G86" s="408"/>
      <c r="H86" s="5"/>
      <c r="I86" s="171"/>
      <c r="J86" s="5"/>
      <c r="K86" s="171"/>
      <c r="L86" s="409"/>
      <c r="M86" s="410"/>
      <c r="N86" s="171"/>
      <c r="O86" s="5">
        <f>22</f>
        <v>22</v>
      </c>
      <c r="P86" s="171">
        <v>220</v>
      </c>
      <c r="Q86" s="5">
        <f t="shared" si="4"/>
        <v>2156</v>
      </c>
      <c r="T86" s="28"/>
      <c r="V86" s="13">
        <f>K60-Q86</f>
        <v>0</v>
      </c>
    </row>
    <row r="87" spans="1:22" ht="15.75" thickBot="1">
      <c r="A87" s="368"/>
      <c r="B87" s="369"/>
      <c r="C87" s="64" t="s">
        <v>44</v>
      </c>
      <c r="D87" s="174"/>
      <c r="E87" s="15"/>
      <c r="F87" s="358">
        <v>176</v>
      </c>
      <c r="G87" s="358"/>
      <c r="H87" s="15"/>
      <c r="I87" s="173"/>
      <c r="J87" s="15"/>
      <c r="K87" s="173"/>
      <c r="L87" s="359"/>
      <c r="M87" s="360"/>
      <c r="N87" s="173"/>
      <c r="O87" s="15">
        <f>22</f>
        <v>22</v>
      </c>
      <c r="P87" s="173">
        <v>154</v>
      </c>
      <c r="Q87" s="16">
        <f t="shared" si="4"/>
        <v>352</v>
      </c>
      <c r="T87" s="28"/>
      <c r="V87" s="13">
        <f>L60-Q87</f>
        <v>0</v>
      </c>
    </row>
    <row r="88" spans="1:22">
      <c r="A88" s="366" t="s">
        <v>40</v>
      </c>
      <c r="B88" s="367"/>
      <c r="C88" s="170" t="s">
        <v>28</v>
      </c>
      <c r="D88" s="170">
        <f>840+360+600+600+600</f>
        <v>3000</v>
      </c>
      <c r="E88" s="16">
        <f>480+240+960</f>
        <v>1680</v>
      </c>
      <c r="F88" s="405">
        <v>240</v>
      </c>
      <c r="G88" s="405"/>
      <c r="H88" s="16">
        <v>600</v>
      </c>
      <c r="I88" s="201">
        <f>1200+840</f>
        <v>2040</v>
      </c>
      <c r="J88" s="16">
        <v>240</v>
      </c>
      <c r="K88" s="169"/>
      <c r="L88" s="406">
        <v>48</v>
      </c>
      <c r="M88" s="407"/>
      <c r="N88" s="169"/>
      <c r="O88" s="16"/>
      <c r="P88" s="169">
        <f>1200+960</f>
        <v>2160</v>
      </c>
      <c r="Q88" s="4">
        <f t="shared" si="4"/>
        <v>10008</v>
      </c>
      <c r="T88" s="28"/>
      <c r="V88" s="13">
        <f>N60-Q88</f>
        <v>0</v>
      </c>
    </row>
    <row r="89" spans="1:22">
      <c r="A89" s="403"/>
      <c r="B89" s="404"/>
      <c r="C89" s="172" t="s">
        <v>31</v>
      </c>
      <c r="D89" s="172">
        <f>360+240+600+240+360</f>
        <v>1800</v>
      </c>
      <c r="E89" s="5">
        <f>480+240+960</f>
        <v>1680</v>
      </c>
      <c r="F89" s="408">
        <v>120</v>
      </c>
      <c r="G89" s="408"/>
      <c r="H89" s="5">
        <v>240</v>
      </c>
      <c r="I89" s="171">
        <v>480</v>
      </c>
      <c r="J89" s="5"/>
      <c r="K89" s="171"/>
      <c r="L89" s="409">
        <v>192</v>
      </c>
      <c r="M89" s="410"/>
      <c r="N89" s="171"/>
      <c r="O89" s="5"/>
      <c r="P89" s="171">
        <f>1200+960</f>
        <v>2160</v>
      </c>
      <c r="Q89" s="5">
        <f t="shared" si="4"/>
        <v>6672</v>
      </c>
      <c r="T89" s="28"/>
      <c r="V89" s="13">
        <f>O60-Q89</f>
        <v>0</v>
      </c>
    </row>
    <row r="90" spans="1:22" ht="15.75" thickBot="1">
      <c r="A90" s="368"/>
      <c r="B90" s="369"/>
      <c r="C90" s="64" t="s">
        <v>29</v>
      </c>
      <c r="D90" s="168">
        <f>3600+1800+2040+3120+1920</f>
        <v>12480</v>
      </c>
      <c r="E90" s="14">
        <f>2400+2400+4320</f>
        <v>9120</v>
      </c>
      <c r="F90" s="395">
        <f>3600+3600</f>
        <v>7200</v>
      </c>
      <c r="G90" s="395"/>
      <c r="H90" s="14">
        <v>1800</v>
      </c>
      <c r="I90" s="167">
        <f>1800+3000+2880</f>
        <v>7680</v>
      </c>
      <c r="J90" s="14">
        <f>1200+1200+1440</f>
        <v>3840</v>
      </c>
      <c r="K90" s="167"/>
      <c r="L90" s="396">
        <v>504</v>
      </c>
      <c r="M90" s="397"/>
      <c r="N90" s="167"/>
      <c r="O90" s="14">
        <f>120+120+168+72+360+120+24+120+240+480+48+480+480+168+264+120+48</f>
        <v>3432</v>
      </c>
      <c r="P90" s="167">
        <f>2400+1200+3000</f>
        <v>6600</v>
      </c>
      <c r="Q90" s="16">
        <f t="shared" si="4"/>
        <v>52656</v>
      </c>
      <c r="T90" s="28"/>
      <c r="V90" s="13">
        <f>P60-Q90</f>
        <v>0</v>
      </c>
    </row>
    <row r="91" spans="1:22">
      <c r="A91" s="366" t="s">
        <v>42</v>
      </c>
      <c r="B91" s="367"/>
      <c r="C91" s="166" t="s">
        <v>31</v>
      </c>
      <c r="D91" s="166">
        <f>1800+1800+840+2400+1980</f>
        <v>8820</v>
      </c>
      <c r="E91" s="4"/>
      <c r="F91" s="388">
        <f>240+300</f>
        <v>540</v>
      </c>
      <c r="G91" s="388"/>
      <c r="H91" s="4"/>
      <c r="I91" s="165"/>
      <c r="J91" s="4"/>
      <c r="K91" s="165"/>
      <c r="L91" s="389">
        <v>180</v>
      </c>
      <c r="M91" s="390"/>
      <c r="N91" s="165"/>
      <c r="O91" s="4">
        <f>120+36+36+60+120+60+24+24+24+24+24+60+12+60+60+60</f>
        <v>804</v>
      </c>
      <c r="P91" s="165">
        <f>240+60</f>
        <v>300</v>
      </c>
      <c r="Q91" s="4">
        <f t="shared" si="4"/>
        <v>10644</v>
      </c>
      <c r="T91" s="28"/>
      <c r="V91" s="13">
        <f>Q60-Q91</f>
        <v>0</v>
      </c>
    </row>
    <row r="92" spans="1:22" ht="15.75" thickBot="1">
      <c r="A92" s="368"/>
      <c r="B92" s="369"/>
      <c r="C92" s="64" t="s">
        <v>29</v>
      </c>
      <c r="D92" s="15">
        <v>12</v>
      </c>
      <c r="E92" s="15"/>
      <c r="F92" s="358"/>
      <c r="G92" s="358"/>
      <c r="H92" s="15"/>
      <c r="I92" s="173"/>
      <c r="J92" s="15"/>
      <c r="K92" s="173"/>
      <c r="L92" s="359"/>
      <c r="M92" s="360"/>
      <c r="N92" s="173"/>
      <c r="O92" s="15"/>
      <c r="P92" s="173"/>
      <c r="Q92" s="16">
        <f t="shared" si="4"/>
        <v>12</v>
      </c>
      <c r="T92" s="28"/>
      <c r="V92" s="13">
        <f>R60-Q92</f>
        <v>0</v>
      </c>
    </row>
    <row r="93" spans="1:22" ht="15.75" thickBot="1">
      <c r="A93" s="391" t="s">
        <v>37</v>
      </c>
      <c r="B93" s="392"/>
      <c r="C93" s="392"/>
      <c r="D93" s="23">
        <f>SUM(D82:D92)</f>
        <v>63172</v>
      </c>
      <c r="E93" s="23">
        <f t="shared" ref="E93" si="5">SUM(E82:E92)</f>
        <v>16600</v>
      </c>
      <c r="F93" s="393">
        <f>SUM(F82:G92)</f>
        <v>11364</v>
      </c>
      <c r="G93" s="394"/>
      <c r="H93" s="23">
        <f>SUM(H82:H92)</f>
        <v>2640</v>
      </c>
      <c r="I93" s="23">
        <f>SUM(I82:I92)</f>
        <v>12900</v>
      </c>
      <c r="J93" s="23">
        <f>SUM(J82:J92)</f>
        <v>5730</v>
      </c>
      <c r="K93" s="23">
        <f>SUM(K82:K92)</f>
        <v>0</v>
      </c>
      <c r="L93" s="393">
        <f>SUM(L82:M92)</f>
        <v>924</v>
      </c>
      <c r="M93" s="394"/>
      <c r="N93" s="23">
        <f>SUM(N82:N92)</f>
        <v>0</v>
      </c>
      <c r="O93" s="23">
        <f>SUM(O82:O92)</f>
        <v>5474</v>
      </c>
      <c r="P93" s="23">
        <f>SUM(P82:P92)</f>
        <v>12440</v>
      </c>
      <c r="Q93" s="24">
        <f>SUM(Q82:Q92)</f>
        <v>131244</v>
      </c>
      <c r="R93" s="12"/>
      <c r="S93" s="1"/>
      <c r="T93" s="28"/>
      <c r="V93" s="13">
        <f>S60-Q93</f>
        <v>0</v>
      </c>
    </row>
    <row r="94" spans="1:22" ht="15.75" thickBot="1">
      <c r="A94" s="398" t="s">
        <v>36</v>
      </c>
      <c r="B94" s="399"/>
      <c r="C94" s="399"/>
      <c r="D94" s="400">
        <f>D93+E93+F93+H93+I93+J93+K93+L93+N93+O93+P93</f>
        <v>131244</v>
      </c>
      <c r="E94" s="401"/>
      <c r="F94" s="401"/>
      <c r="G94" s="401"/>
      <c r="H94" s="401"/>
      <c r="I94" s="401"/>
      <c r="J94" s="401"/>
      <c r="K94" s="401"/>
      <c r="L94" s="401"/>
      <c r="M94" s="401"/>
      <c r="N94" s="401"/>
      <c r="O94" s="401"/>
      <c r="P94" s="401"/>
      <c r="Q94" s="402"/>
      <c r="T94" s="28"/>
      <c r="V94" s="13"/>
    </row>
    <row r="95" spans="1:22" s="20" customFormat="1" ht="15" customHeight="1" thickBot="1">
      <c r="A95" s="383" t="s">
        <v>26</v>
      </c>
      <c r="B95" s="384"/>
      <c r="C95" s="384"/>
      <c r="D95" s="22">
        <f>4319949+4252517+4175553+4605009+2574956</f>
        <v>19927984</v>
      </c>
      <c r="E95" s="22">
        <f>1293840+1638888+2246237</f>
        <v>5178965</v>
      </c>
      <c r="F95" s="385">
        <f>2003393+1597114</f>
        <v>3600507</v>
      </c>
      <c r="G95" s="386"/>
      <c r="H95" s="22">
        <v>841240</v>
      </c>
      <c r="I95" s="26">
        <f>1378644+1498504+1196604</f>
        <v>4073752</v>
      </c>
      <c r="J95" s="22">
        <f>596621+612442+598302</f>
        <v>1807365</v>
      </c>
      <c r="K95" s="22"/>
      <c r="L95" s="387">
        <v>304577</v>
      </c>
      <c r="M95" s="386"/>
      <c r="N95" s="26"/>
      <c r="O95" s="22">
        <v>1859861</v>
      </c>
      <c r="P95" s="26">
        <f>988982+1140980+1848701</f>
        <v>3978663</v>
      </c>
      <c r="Q95" s="119">
        <f>D95+E95+F95+H95+I95+J95+K95+L95+N95+O95+P95</f>
        <v>41572914</v>
      </c>
      <c r="R95" s="19"/>
      <c r="S95" s="19"/>
      <c r="T95" s="29"/>
      <c r="V95" s="21">
        <f>T60-Q95</f>
        <v>0</v>
      </c>
    </row>
    <row r="96" spans="1:22">
      <c r="T96" s="28"/>
      <c r="V96" s="13"/>
    </row>
  </sheetData>
  <mergeCells count="230">
    <mergeCell ref="F60:G60"/>
    <mergeCell ref="L47:M47"/>
    <mergeCell ref="L40:M40"/>
    <mergeCell ref="L41:M41"/>
    <mergeCell ref="L42:M42"/>
    <mergeCell ref="L43:M43"/>
    <mergeCell ref="L44:M44"/>
    <mergeCell ref="F40:G40"/>
    <mergeCell ref="F41:G41"/>
    <mergeCell ref="F42:G42"/>
    <mergeCell ref="F43:G43"/>
    <mergeCell ref="F44:G44"/>
    <mergeCell ref="L48:M48"/>
    <mergeCell ref="L49:M49"/>
    <mergeCell ref="L50:M50"/>
    <mergeCell ref="L51:M51"/>
    <mergeCell ref="F54:G54"/>
    <mergeCell ref="F55:G55"/>
    <mergeCell ref="F56:G56"/>
    <mergeCell ref="F57:G57"/>
    <mergeCell ref="F58:G58"/>
    <mergeCell ref="F59:G59"/>
    <mergeCell ref="C40:D40"/>
    <mergeCell ref="C41:D41"/>
    <mergeCell ref="C45:D45"/>
    <mergeCell ref="C46:D46"/>
    <mergeCell ref="C47:D47"/>
    <mergeCell ref="C48:D48"/>
    <mergeCell ref="C42:D42"/>
    <mergeCell ref="C43:D43"/>
    <mergeCell ref="C44:D44"/>
    <mergeCell ref="C37:D37"/>
    <mergeCell ref="C38:D38"/>
    <mergeCell ref="F34:G34"/>
    <mergeCell ref="F35:G35"/>
    <mergeCell ref="F36:G36"/>
    <mergeCell ref="A88:B90"/>
    <mergeCell ref="F88:G88"/>
    <mergeCell ref="L88:M88"/>
    <mergeCell ref="F89:G89"/>
    <mergeCell ref="L89:M89"/>
    <mergeCell ref="F90:G90"/>
    <mergeCell ref="L90:M90"/>
    <mergeCell ref="A84:B87"/>
    <mergeCell ref="F84:G84"/>
    <mergeCell ref="L84:M84"/>
    <mergeCell ref="F85:G85"/>
    <mergeCell ref="L85:M85"/>
    <mergeCell ref="F86:G86"/>
    <mergeCell ref="L86:M86"/>
    <mergeCell ref="F87:G87"/>
    <mergeCell ref="L87:M87"/>
    <mergeCell ref="A60:C60"/>
    <mergeCell ref="L60:M60"/>
    <mergeCell ref="C39:D39"/>
    <mergeCell ref="A61:C61"/>
    <mergeCell ref="F61:G61"/>
    <mergeCell ref="L61:M61"/>
    <mergeCell ref="L81:M81"/>
    <mergeCell ref="A82:B83"/>
    <mergeCell ref="F82:G82"/>
    <mergeCell ref="L82:M82"/>
    <mergeCell ref="F83:G83"/>
    <mergeCell ref="L83:M83"/>
    <mergeCell ref="A79:Q79"/>
    <mergeCell ref="A80:B81"/>
    <mergeCell ref="C80:C81"/>
    <mergeCell ref="D80:D81"/>
    <mergeCell ref="E80:E81"/>
    <mergeCell ref="F80:G81"/>
    <mergeCell ref="H80:J80"/>
    <mergeCell ref="K80:O80"/>
    <mergeCell ref="P80:P81"/>
    <mergeCell ref="Q80:Q81"/>
    <mergeCell ref="A94:C94"/>
    <mergeCell ref="D94:Q94"/>
    <mergeCell ref="A95:C95"/>
    <mergeCell ref="F95:G95"/>
    <mergeCell ref="L95:M95"/>
    <mergeCell ref="A91:B92"/>
    <mergeCell ref="F91:G91"/>
    <mergeCell ref="L91:M91"/>
    <mergeCell ref="F92:G92"/>
    <mergeCell ref="L92:M92"/>
    <mergeCell ref="A93:C93"/>
    <mergeCell ref="F93:G93"/>
    <mergeCell ref="L93:M93"/>
    <mergeCell ref="C30:D30"/>
    <mergeCell ref="F30:G30"/>
    <mergeCell ref="L30:M30"/>
    <mergeCell ref="F37:G37"/>
    <mergeCell ref="F38:G38"/>
    <mergeCell ref="F39:G39"/>
    <mergeCell ref="L34:M34"/>
    <mergeCell ref="L35:M35"/>
    <mergeCell ref="L36:M36"/>
    <mergeCell ref="L37:M37"/>
    <mergeCell ref="L38:M38"/>
    <mergeCell ref="L39:M39"/>
    <mergeCell ref="C31:D31"/>
    <mergeCell ref="F31:G31"/>
    <mergeCell ref="L31:M31"/>
    <mergeCell ref="C32:D32"/>
    <mergeCell ref="F32:G32"/>
    <mergeCell ref="F33:G33"/>
    <mergeCell ref="L32:M32"/>
    <mergeCell ref="L33:M33"/>
    <mergeCell ref="C33:D33"/>
    <mergeCell ref="C34:D34"/>
    <mergeCell ref="C35:D35"/>
    <mergeCell ref="C36:D36"/>
    <mergeCell ref="C28:D28"/>
    <mergeCell ref="F28:G28"/>
    <mergeCell ref="L28:M28"/>
    <mergeCell ref="C29:D29"/>
    <mergeCell ref="F29:G29"/>
    <mergeCell ref="L29:M29"/>
    <mergeCell ref="L52:M52"/>
    <mergeCell ref="L53:M53"/>
    <mergeCell ref="F52:G52"/>
    <mergeCell ref="F53:G53"/>
    <mergeCell ref="C49:D49"/>
    <mergeCell ref="C50:D50"/>
    <mergeCell ref="C51:D51"/>
    <mergeCell ref="C52:D52"/>
    <mergeCell ref="C53:D53"/>
    <mergeCell ref="F45:G45"/>
    <mergeCell ref="F46:G46"/>
    <mergeCell ref="F47:G47"/>
    <mergeCell ref="F48:G48"/>
    <mergeCell ref="F49:G49"/>
    <mergeCell ref="F50:G50"/>
    <mergeCell ref="F51:G51"/>
    <mergeCell ref="L45:M45"/>
    <mergeCell ref="L46:M46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8:D58"/>
    <mergeCell ref="C59:D59"/>
    <mergeCell ref="L54:M54"/>
    <mergeCell ref="L55:M55"/>
    <mergeCell ref="L56:M56"/>
    <mergeCell ref="L57:M57"/>
    <mergeCell ref="L58:M58"/>
    <mergeCell ref="L59:M59"/>
    <mergeCell ref="C54:D54"/>
    <mergeCell ref="C55:D55"/>
    <mergeCell ref="C56:D56"/>
    <mergeCell ref="C57:D57"/>
  </mergeCells>
  <pageMargins left="0.16" right="0.16" top="0.34" bottom="0.16" header="0.23" footer="0.16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72"/>
  <sheetViews>
    <sheetView zoomScaleNormal="100" workbookViewId="0">
      <pane ySplit="4" topLeftCell="A53" activePane="bottomLeft" state="frozen"/>
      <selection pane="bottomLeft" activeCell="D69" sqref="D69:Q69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140625" style="3" bestFit="1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21" t="s">
        <v>357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3"/>
    </row>
    <row r="2" spans="1:23" s="6" customFormat="1" ht="12.75" customHeight="1">
      <c r="A2" s="337" t="s">
        <v>9</v>
      </c>
      <c r="B2" s="424" t="s">
        <v>13</v>
      </c>
      <c r="C2" s="341" t="s">
        <v>23</v>
      </c>
      <c r="D2" s="342"/>
      <c r="E2" s="426" t="s">
        <v>15</v>
      </c>
      <c r="F2" s="347" t="s">
        <v>0</v>
      </c>
      <c r="G2" s="339"/>
      <c r="H2" s="348"/>
      <c r="I2" s="349" t="s">
        <v>39</v>
      </c>
      <c r="J2" s="350"/>
      <c r="K2" s="350"/>
      <c r="L2" s="351"/>
      <c r="M2" s="348"/>
      <c r="N2" s="349" t="s">
        <v>1</v>
      </c>
      <c r="O2" s="350"/>
      <c r="P2" s="348"/>
      <c r="Q2" s="352" t="s">
        <v>2</v>
      </c>
      <c r="R2" s="353"/>
      <c r="S2" s="339" t="s">
        <v>14</v>
      </c>
      <c r="T2" s="312" t="s">
        <v>12</v>
      </c>
    </row>
    <row r="3" spans="1:23" s="6" customFormat="1" ht="15.75" thickBot="1">
      <c r="A3" s="338"/>
      <c r="B3" s="425"/>
      <c r="C3" s="343"/>
      <c r="D3" s="344"/>
      <c r="E3" s="427"/>
      <c r="F3" s="314" t="s">
        <v>3</v>
      </c>
      <c r="G3" s="315"/>
      <c r="H3" s="9" t="s">
        <v>4</v>
      </c>
      <c r="I3" s="10" t="s">
        <v>22</v>
      </c>
      <c r="J3" s="11" t="s">
        <v>7</v>
      </c>
      <c r="K3" s="11" t="s">
        <v>17</v>
      </c>
      <c r="L3" s="316" t="s">
        <v>18</v>
      </c>
      <c r="M3" s="31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0"/>
      <c r="T3" s="313"/>
    </row>
    <row r="4" spans="1:23" s="18" customFormat="1" ht="15.75" thickBot="1">
      <c r="A4" s="211" t="s">
        <v>35</v>
      </c>
      <c r="B4" s="30"/>
      <c r="C4" s="318"/>
      <c r="D4" s="319"/>
      <c r="E4" s="31"/>
      <c r="F4" s="318">
        <v>3576</v>
      </c>
      <c r="G4" s="320"/>
      <c r="H4" s="205">
        <v>19392</v>
      </c>
      <c r="I4" s="32">
        <v>132060</v>
      </c>
      <c r="J4" s="33">
        <v>1368</v>
      </c>
      <c r="K4" s="205">
        <v>7766</v>
      </c>
      <c r="L4" s="321">
        <v>1452</v>
      </c>
      <c r="M4" s="319"/>
      <c r="N4" s="204">
        <v>40128</v>
      </c>
      <c r="O4" s="205">
        <v>23088</v>
      </c>
      <c r="P4" s="34">
        <v>187272</v>
      </c>
      <c r="Q4" s="204">
        <v>33120</v>
      </c>
      <c r="R4" s="34">
        <v>6456</v>
      </c>
      <c r="S4" s="35">
        <f>SUM(F4:R4)</f>
        <v>455678</v>
      </c>
      <c r="T4" s="36">
        <v>145837211</v>
      </c>
    </row>
    <row r="5" spans="1:23" s="20" customFormat="1" ht="13.5" customHeight="1">
      <c r="A5" s="207" t="s">
        <v>283</v>
      </c>
      <c r="B5" s="150">
        <v>172</v>
      </c>
      <c r="C5" s="326" t="s">
        <v>284</v>
      </c>
      <c r="D5" s="327"/>
      <c r="E5" s="151" t="s">
        <v>285</v>
      </c>
      <c r="F5" s="328"/>
      <c r="G5" s="329"/>
      <c r="H5" s="208">
        <v>48</v>
      </c>
      <c r="I5" s="39"/>
      <c r="J5" s="40"/>
      <c r="K5" s="40"/>
      <c r="L5" s="330"/>
      <c r="M5" s="331"/>
      <c r="N5" s="39"/>
      <c r="O5" s="208"/>
      <c r="P5" s="41"/>
      <c r="Q5" s="39"/>
      <c r="R5" s="41"/>
      <c r="S5" s="148">
        <f t="shared" ref="S5:S51" si="0">SUM(F5:R5)</f>
        <v>48</v>
      </c>
      <c r="T5" s="43">
        <v>16517</v>
      </c>
    </row>
    <row r="6" spans="1:23">
      <c r="A6" s="220" t="s">
        <v>286</v>
      </c>
      <c r="B6" s="38">
        <v>173</v>
      </c>
      <c r="C6" s="322" t="s">
        <v>287</v>
      </c>
      <c r="D6" s="323"/>
      <c r="E6" s="44" t="s">
        <v>288</v>
      </c>
      <c r="F6" s="324"/>
      <c r="G6" s="325"/>
      <c r="H6" s="202">
        <v>72</v>
      </c>
      <c r="I6" s="47"/>
      <c r="J6" s="51"/>
      <c r="K6" s="51"/>
      <c r="L6" s="310"/>
      <c r="M6" s="311"/>
      <c r="N6" s="47"/>
      <c r="O6" s="202"/>
      <c r="P6" s="48"/>
      <c r="Q6" s="47"/>
      <c r="R6" s="48"/>
      <c r="S6" s="52">
        <f t="shared" si="0"/>
        <v>72</v>
      </c>
      <c r="T6" s="53">
        <v>24776</v>
      </c>
    </row>
    <row r="7" spans="1:23">
      <c r="A7" s="220" t="s">
        <v>289</v>
      </c>
      <c r="B7" s="38">
        <v>174</v>
      </c>
      <c r="C7" s="322" t="s">
        <v>290</v>
      </c>
      <c r="D7" s="323"/>
      <c r="E7" s="44" t="s">
        <v>291</v>
      </c>
      <c r="F7" s="324"/>
      <c r="G7" s="325"/>
      <c r="H7" s="202"/>
      <c r="I7" s="47"/>
      <c r="J7" s="51"/>
      <c r="K7" s="51"/>
      <c r="L7" s="310"/>
      <c r="M7" s="311"/>
      <c r="N7" s="47"/>
      <c r="O7" s="202"/>
      <c r="P7" s="48">
        <v>240</v>
      </c>
      <c r="Q7" s="47"/>
      <c r="R7" s="48"/>
      <c r="S7" s="52">
        <f t="shared" si="0"/>
        <v>240</v>
      </c>
      <c r="T7" s="53">
        <v>79715</v>
      </c>
    </row>
    <row r="8" spans="1:23" ht="15" customHeight="1">
      <c r="A8" s="220" t="s">
        <v>292</v>
      </c>
      <c r="B8" s="38">
        <v>175</v>
      </c>
      <c r="C8" s="324" t="s">
        <v>293</v>
      </c>
      <c r="D8" s="311"/>
      <c r="E8" s="44" t="s">
        <v>294</v>
      </c>
      <c r="F8" s="324"/>
      <c r="G8" s="325"/>
      <c r="H8" s="202">
        <v>120</v>
      </c>
      <c r="I8" s="47"/>
      <c r="J8" s="51"/>
      <c r="K8" s="51"/>
      <c r="L8" s="202"/>
      <c r="M8" s="203"/>
      <c r="N8" s="47"/>
      <c r="O8" s="20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3">
      <c r="A9" s="220" t="s">
        <v>292</v>
      </c>
      <c r="B9" s="38">
        <v>176</v>
      </c>
      <c r="C9" s="414" t="s">
        <v>295</v>
      </c>
      <c r="D9" s="333"/>
      <c r="E9" s="44" t="s">
        <v>296</v>
      </c>
      <c r="F9" s="324"/>
      <c r="G9" s="325"/>
      <c r="H9" s="202">
        <v>48</v>
      </c>
      <c r="I9" s="47"/>
      <c r="J9" s="51"/>
      <c r="K9" s="51"/>
      <c r="L9" s="202"/>
      <c r="M9" s="203"/>
      <c r="N9" s="47"/>
      <c r="O9" s="202"/>
      <c r="P9" s="48"/>
      <c r="Q9" s="47"/>
      <c r="R9" s="48"/>
      <c r="S9" s="52">
        <f t="shared" si="0"/>
        <v>48</v>
      </c>
      <c r="T9" s="53">
        <v>16517</v>
      </c>
      <c r="W9" s="120"/>
    </row>
    <row r="10" spans="1:23">
      <c r="A10" s="222" t="s">
        <v>297</v>
      </c>
      <c r="B10" s="38">
        <v>177</v>
      </c>
      <c r="C10" s="322" t="s">
        <v>298</v>
      </c>
      <c r="D10" s="323"/>
      <c r="E10" s="55" t="s">
        <v>299</v>
      </c>
      <c r="F10" s="324">
        <v>48</v>
      </c>
      <c r="G10" s="325"/>
      <c r="H10" s="202"/>
      <c r="I10" s="47">
        <v>60</v>
      </c>
      <c r="J10" s="51"/>
      <c r="K10" s="51"/>
      <c r="L10" s="310"/>
      <c r="M10" s="311"/>
      <c r="N10" s="47"/>
      <c r="O10" s="202"/>
      <c r="P10" s="48"/>
      <c r="Q10" s="47">
        <v>24</v>
      </c>
      <c r="R10" s="48"/>
      <c r="S10" s="52">
        <f t="shared" si="0"/>
        <v>132</v>
      </c>
      <c r="T10" s="53">
        <v>44359</v>
      </c>
    </row>
    <row r="11" spans="1:23">
      <c r="A11" s="222" t="s">
        <v>297</v>
      </c>
      <c r="B11" s="38">
        <v>178</v>
      </c>
      <c r="C11" s="322" t="s">
        <v>300</v>
      </c>
      <c r="D11" s="323"/>
      <c r="E11" s="55" t="s">
        <v>301</v>
      </c>
      <c r="F11" s="324">
        <v>48</v>
      </c>
      <c r="G11" s="325"/>
      <c r="H11" s="202">
        <v>72</v>
      </c>
      <c r="I11" s="47"/>
      <c r="J11" s="51"/>
      <c r="K11" s="51"/>
      <c r="L11" s="310"/>
      <c r="M11" s="311"/>
      <c r="N11" s="47"/>
      <c r="O11" s="202"/>
      <c r="P11" s="48">
        <v>48</v>
      </c>
      <c r="Q11" s="47"/>
      <c r="R11" s="48"/>
      <c r="S11" s="52">
        <f t="shared" si="0"/>
        <v>168</v>
      </c>
      <c r="T11" s="53">
        <v>56900</v>
      </c>
    </row>
    <row r="12" spans="1:23">
      <c r="A12" s="223" t="s">
        <v>302</v>
      </c>
      <c r="B12" s="38">
        <v>179</v>
      </c>
      <c r="C12" s="322" t="s">
        <v>303</v>
      </c>
      <c r="D12" s="323"/>
      <c r="E12" s="55" t="s">
        <v>11</v>
      </c>
      <c r="F12" s="324"/>
      <c r="G12" s="325"/>
      <c r="H12" s="202"/>
      <c r="I12" s="47">
        <v>7500</v>
      </c>
      <c r="J12" s="51">
        <v>120</v>
      </c>
      <c r="K12" s="51">
        <v>550</v>
      </c>
      <c r="L12" s="310"/>
      <c r="M12" s="311"/>
      <c r="N12" s="47">
        <v>360</v>
      </c>
      <c r="O12" s="202">
        <v>240</v>
      </c>
      <c r="P12" s="48">
        <v>3840</v>
      </c>
      <c r="Q12" s="47">
        <v>2520</v>
      </c>
      <c r="R12" s="48"/>
      <c r="S12" s="52">
        <f t="shared" si="0"/>
        <v>15130</v>
      </c>
      <c r="T12" s="53">
        <v>4823635</v>
      </c>
    </row>
    <row r="13" spans="1:23">
      <c r="A13" s="223" t="s">
        <v>302</v>
      </c>
      <c r="B13" s="38">
        <v>180</v>
      </c>
      <c r="C13" s="322" t="s">
        <v>304</v>
      </c>
      <c r="D13" s="323"/>
      <c r="E13" s="44" t="s">
        <v>305</v>
      </c>
      <c r="F13" s="324"/>
      <c r="G13" s="325"/>
      <c r="H13" s="202"/>
      <c r="I13" s="47">
        <v>150</v>
      </c>
      <c r="J13" s="51"/>
      <c r="K13" s="51"/>
      <c r="L13" s="310"/>
      <c r="M13" s="311"/>
      <c r="N13" s="47"/>
      <c r="O13" s="202"/>
      <c r="P13" s="48">
        <v>240</v>
      </c>
      <c r="Q13" s="47"/>
      <c r="R13" s="48"/>
      <c r="S13" s="52">
        <f>SUM(F13:R13)</f>
        <v>390</v>
      </c>
      <c r="T13" s="53">
        <v>126995</v>
      </c>
    </row>
    <row r="14" spans="1:23" ht="15" customHeight="1">
      <c r="A14" s="223" t="s">
        <v>302</v>
      </c>
      <c r="B14" s="38">
        <v>181</v>
      </c>
      <c r="C14" s="324" t="s">
        <v>306</v>
      </c>
      <c r="D14" s="311"/>
      <c r="E14" s="44" t="s">
        <v>294</v>
      </c>
      <c r="F14" s="324"/>
      <c r="G14" s="325"/>
      <c r="H14" s="202"/>
      <c r="I14" s="47"/>
      <c r="J14" s="51"/>
      <c r="K14" s="51"/>
      <c r="L14" s="310"/>
      <c r="M14" s="311"/>
      <c r="N14" s="206"/>
      <c r="O14" s="202"/>
      <c r="P14" s="48">
        <v>168</v>
      </c>
      <c r="Q14" s="206"/>
      <c r="R14" s="48"/>
      <c r="S14" s="52">
        <f t="shared" si="0"/>
        <v>168</v>
      </c>
      <c r="T14" s="53">
        <v>55801</v>
      </c>
    </row>
    <row r="15" spans="1:23">
      <c r="A15" s="225" t="s">
        <v>307</v>
      </c>
      <c r="B15" s="38">
        <v>182</v>
      </c>
      <c r="C15" s="322" t="s">
        <v>308</v>
      </c>
      <c r="D15" s="323"/>
      <c r="E15" s="44" t="s">
        <v>8</v>
      </c>
      <c r="F15" s="324">
        <v>24</v>
      </c>
      <c r="G15" s="325"/>
      <c r="H15" s="202">
        <v>720</v>
      </c>
      <c r="I15" s="47">
        <v>60</v>
      </c>
      <c r="J15" s="51"/>
      <c r="K15" s="51">
        <v>110</v>
      </c>
      <c r="L15" s="310"/>
      <c r="M15" s="311"/>
      <c r="N15" s="206">
        <v>120</v>
      </c>
      <c r="O15" s="202">
        <v>120</v>
      </c>
      <c r="P15" s="48">
        <v>1200</v>
      </c>
      <c r="Q15" s="206">
        <v>180</v>
      </c>
      <c r="R15" s="54"/>
      <c r="S15" s="52">
        <f t="shared" si="0"/>
        <v>2534</v>
      </c>
      <c r="T15" s="53">
        <v>810866</v>
      </c>
      <c r="V15" s="120"/>
    </row>
    <row r="16" spans="1:23">
      <c r="A16" s="226" t="s">
        <v>310</v>
      </c>
      <c r="B16" s="38">
        <v>183</v>
      </c>
      <c r="C16" s="324" t="s">
        <v>311</v>
      </c>
      <c r="D16" s="311"/>
      <c r="E16" s="44" t="s">
        <v>314</v>
      </c>
      <c r="F16" s="324"/>
      <c r="G16" s="325"/>
      <c r="H16" s="224" t="s">
        <v>309</v>
      </c>
      <c r="I16" s="47"/>
      <c r="J16" s="51"/>
      <c r="K16" s="51"/>
      <c r="L16" s="310"/>
      <c r="M16" s="311"/>
      <c r="N16" s="206"/>
      <c r="O16" s="202"/>
      <c r="P16" s="48">
        <v>72</v>
      </c>
      <c r="Q16" s="206">
        <v>24</v>
      </c>
      <c r="R16" s="54"/>
      <c r="S16" s="52">
        <f t="shared" si="0"/>
        <v>96</v>
      </c>
      <c r="T16" s="53">
        <v>33181</v>
      </c>
    </row>
    <row r="17" spans="1:22" s="240" customFormat="1">
      <c r="A17" s="230" t="s">
        <v>310</v>
      </c>
      <c r="B17" s="231">
        <v>184</v>
      </c>
      <c r="C17" s="415" t="s">
        <v>308</v>
      </c>
      <c r="D17" s="416"/>
      <c r="E17" s="232" t="s">
        <v>19</v>
      </c>
      <c r="F17" s="417">
        <v>480</v>
      </c>
      <c r="G17" s="418"/>
      <c r="H17" s="233"/>
      <c r="I17" s="234">
        <v>600</v>
      </c>
      <c r="J17" s="235"/>
      <c r="K17" s="235"/>
      <c r="L17" s="419"/>
      <c r="M17" s="420"/>
      <c r="N17" s="230">
        <v>360</v>
      </c>
      <c r="O17" s="233"/>
      <c r="P17" s="236">
        <v>2400</v>
      </c>
      <c r="Q17" s="230">
        <v>120</v>
      </c>
      <c r="R17" s="237"/>
      <c r="S17" s="238">
        <f>SUM(F17:R17)</f>
        <v>3960</v>
      </c>
      <c r="T17" s="239">
        <v>1230103</v>
      </c>
    </row>
    <row r="18" spans="1:22">
      <c r="A18" s="226" t="s">
        <v>312</v>
      </c>
      <c r="B18" s="38">
        <v>185</v>
      </c>
      <c r="C18" s="324" t="s">
        <v>313</v>
      </c>
      <c r="D18" s="311"/>
      <c r="E18" s="55" t="s">
        <v>315</v>
      </c>
      <c r="F18" s="324"/>
      <c r="G18" s="325"/>
      <c r="H18" s="202">
        <v>48</v>
      </c>
      <c r="I18" s="47"/>
      <c r="J18" s="51"/>
      <c r="K18" s="51"/>
      <c r="L18" s="310"/>
      <c r="M18" s="311"/>
      <c r="N18" s="206"/>
      <c r="O18" s="202"/>
      <c r="P18" s="48"/>
      <c r="Q18" s="206">
        <v>120</v>
      </c>
      <c r="R18" s="54"/>
      <c r="S18" s="52">
        <f t="shared" si="0"/>
        <v>168</v>
      </c>
      <c r="T18" s="53">
        <v>62850</v>
      </c>
      <c r="V18" s="13"/>
    </row>
    <row r="19" spans="1:22">
      <c r="A19" s="227" t="s">
        <v>317</v>
      </c>
      <c r="B19" s="38">
        <v>186</v>
      </c>
      <c r="C19" s="324" t="s">
        <v>316</v>
      </c>
      <c r="D19" s="311"/>
      <c r="E19" s="44" t="s">
        <v>318</v>
      </c>
      <c r="F19" s="324"/>
      <c r="G19" s="325"/>
      <c r="H19" s="202"/>
      <c r="I19" s="47"/>
      <c r="J19" s="51"/>
      <c r="K19" s="51"/>
      <c r="L19" s="310"/>
      <c r="M19" s="311"/>
      <c r="N19" s="206"/>
      <c r="O19" s="202"/>
      <c r="P19" s="48">
        <v>168</v>
      </c>
      <c r="Q19" s="206"/>
      <c r="R19" s="54"/>
      <c r="S19" s="52">
        <f t="shared" si="0"/>
        <v>168</v>
      </c>
      <c r="T19" s="53">
        <v>55801</v>
      </c>
    </row>
    <row r="20" spans="1:22">
      <c r="A20" s="227" t="s">
        <v>317</v>
      </c>
      <c r="B20" s="38">
        <v>187</v>
      </c>
      <c r="C20" s="324" t="s">
        <v>319</v>
      </c>
      <c r="D20" s="311"/>
      <c r="E20" s="44" t="s">
        <v>10</v>
      </c>
      <c r="F20" s="324"/>
      <c r="G20" s="325"/>
      <c r="H20" s="202"/>
      <c r="I20" s="47">
        <v>870</v>
      </c>
      <c r="J20" s="51"/>
      <c r="K20" s="51"/>
      <c r="L20" s="310"/>
      <c r="M20" s="311"/>
      <c r="N20" s="206">
        <v>1200</v>
      </c>
      <c r="O20" s="202"/>
      <c r="P20" s="48">
        <v>2640</v>
      </c>
      <c r="Q20" s="206"/>
      <c r="R20" s="54"/>
      <c r="S20" s="52">
        <f t="shared" si="0"/>
        <v>4710</v>
      </c>
      <c r="T20" s="53">
        <v>1486874</v>
      </c>
    </row>
    <row r="21" spans="1:22">
      <c r="A21" s="227" t="s">
        <v>317</v>
      </c>
      <c r="B21" s="38">
        <v>188</v>
      </c>
      <c r="C21" s="324" t="s">
        <v>320</v>
      </c>
      <c r="D21" s="311"/>
      <c r="E21" s="44" t="s">
        <v>10</v>
      </c>
      <c r="F21" s="324"/>
      <c r="G21" s="325"/>
      <c r="H21" s="202"/>
      <c r="I21" s="47"/>
      <c r="J21" s="51"/>
      <c r="K21" s="51"/>
      <c r="L21" s="310"/>
      <c r="M21" s="311"/>
      <c r="N21" s="206">
        <v>720</v>
      </c>
      <c r="O21" s="202">
        <v>240</v>
      </c>
      <c r="P21" s="48">
        <v>480</v>
      </c>
      <c r="Q21" s="206"/>
      <c r="R21" s="54"/>
      <c r="S21" s="52">
        <f t="shared" si="0"/>
        <v>1440</v>
      </c>
      <c r="T21" s="53">
        <v>455671</v>
      </c>
    </row>
    <row r="22" spans="1:22">
      <c r="A22" s="227" t="s">
        <v>317</v>
      </c>
      <c r="B22" s="38">
        <v>189</v>
      </c>
      <c r="C22" s="322" t="s">
        <v>321</v>
      </c>
      <c r="D22" s="323"/>
      <c r="E22" s="44" t="s">
        <v>10</v>
      </c>
      <c r="F22" s="324"/>
      <c r="G22" s="325"/>
      <c r="H22" s="202"/>
      <c r="I22" s="47"/>
      <c r="J22" s="51"/>
      <c r="K22" s="51"/>
      <c r="L22" s="310"/>
      <c r="M22" s="311"/>
      <c r="N22" s="206"/>
      <c r="O22" s="202"/>
      <c r="P22" s="48">
        <v>1800</v>
      </c>
      <c r="Q22" s="206"/>
      <c r="R22" s="54"/>
      <c r="S22" s="52">
        <f t="shared" si="0"/>
        <v>1800</v>
      </c>
      <c r="T22" s="53">
        <v>577093</v>
      </c>
    </row>
    <row r="23" spans="1:22">
      <c r="A23" s="228" t="s">
        <v>322</v>
      </c>
      <c r="B23" s="38">
        <v>190</v>
      </c>
      <c r="C23" s="322" t="s">
        <v>284</v>
      </c>
      <c r="D23" s="323"/>
      <c r="E23" s="44" t="s">
        <v>285</v>
      </c>
      <c r="F23" s="324"/>
      <c r="G23" s="325"/>
      <c r="H23" s="229">
        <v>48</v>
      </c>
      <c r="I23" s="47"/>
      <c r="J23" s="51"/>
      <c r="K23" s="51"/>
      <c r="L23" s="310"/>
      <c r="M23" s="311"/>
      <c r="N23" s="228"/>
      <c r="O23" s="229"/>
      <c r="P23" s="48"/>
      <c r="Q23" s="228"/>
      <c r="R23" s="54"/>
      <c r="S23" s="52">
        <f t="shared" si="0"/>
        <v>48</v>
      </c>
      <c r="T23" s="53">
        <v>16517</v>
      </c>
    </row>
    <row r="24" spans="1:22">
      <c r="A24" s="228" t="s">
        <v>322</v>
      </c>
      <c r="B24" s="38">
        <v>191</v>
      </c>
      <c r="C24" s="322" t="s">
        <v>323</v>
      </c>
      <c r="D24" s="323"/>
      <c r="E24" s="44" t="s">
        <v>11</v>
      </c>
      <c r="F24" s="324"/>
      <c r="G24" s="325"/>
      <c r="H24" s="229"/>
      <c r="I24" s="47">
        <v>9300</v>
      </c>
      <c r="J24" s="51">
        <v>72</v>
      </c>
      <c r="K24" s="51"/>
      <c r="L24" s="310"/>
      <c r="M24" s="311"/>
      <c r="N24" s="228">
        <v>240</v>
      </c>
      <c r="O24" s="229">
        <v>240</v>
      </c>
      <c r="P24" s="48">
        <v>1800</v>
      </c>
      <c r="Q24" s="228">
        <v>1800</v>
      </c>
      <c r="R24" s="54"/>
      <c r="S24" s="52">
        <f t="shared" si="0"/>
        <v>13452</v>
      </c>
      <c r="T24" s="53">
        <v>4208314</v>
      </c>
    </row>
    <row r="25" spans="1:22">
      <c r="A25" s="228" t="s">
        <v>324</v>
      </c>
      <c r="B25" s="38">
        <v>192</v>
      </c>
      <c r="C25" s="322" t="s">
        <v>325</v>
      </c>
      <c r="D25" s="323"/>
      <c r="E25" s="44" t="s">
        <v>326</v>
      </c>
      <c r="F25" s="324"/>
      <c r="G25" s="325"/>
      <c r="H25" s="229"/>
      <c r="I25" s="47"/>
      <c r="J25" s="51"/>
      <c r="K25" s="51"/>
      <c r="L25" s="310"/>
      <c r="M25" s="311"/>
      <c r="N25" s="228"/>
      <c r="O25" s="229"/>
      <c r="P25" s="48"/>
      <c r="Q25" s="228">
        <v>12</v>
      </c>
      <c r="R25" s="54"/>
      <c r="S25" s="52">
        <f t="shared" si="0"/>
        <v>12</v>
      </c>
      <c r="T25" s="53">
        <v>4633</v>
      </c>
    </row>
    <row r="26" spans="1:22">
      <c r="A26" s="228" t="s">
        <v>324</v>
      </c>
      <c r="B26" s="38">
        <v>193</v>
      </c>
      <c r="C26" s="322" t="s">
        <v>327</v>
      </c>
      <c r="D26" s="323"/>
      <c r="E26" s="44" t="s">
        <v>305</v>
      </c>
      <c r="F26" s="324"/>
      <c r="G26" s="325"/>
      <c r="H26" s="229"/>
      <c r="I26" s="47">
        <v>150</v>
      </c>
      <c r="J26" s="51"/>
      <c r="K26" s="51"/>
      <c r="L26" s="310"/>
      <c r="M26" s="311"/>
      <c r="N26" s="228"/>
      <c r="O26" s="229"/>
      <c r="P26" s="48">
        <v>240</v>
      </c>
      <c r="Q26" s="228"/>
      <c r="R26" s="54"/>
      <c r="S26" s="52">
        <f t="shared" si="0"/>
        <v>390</v>
      </c>
      <c r="T26" s="53">
        <v>126995</v>
      </c>
    </row>
    <row r="27" spans="1:22">
      <c r="A27" s="228" t="s">
        <v>328</v>
      </c>
      <c r="B27" s="38">
        <v>194</v>
      </c>
      <c r="C27" s="322" t="s">
        <v>329</v>
      </c>
      <c r="D27" s="323"/>
      <c r="E27" s="44" t="s">
        <v>330</v>
      </c>
      <c r="F27" s="324"/>
      <c r="G27" s="325"/>
      <c r="H27" s="229"/>
      <c r="I27" s="47"/>
      <c r="J27" s="51"/>
      <c r="K27" s="51">
        <v>22</v>
      </c>
      <c r="L27" s="310"/>
      <c r="M27" s="311"/>
      <c r="N27" s="228"/>
      <c r="O27" s="229"/>
      <c r="P27" s="48"/>
      <c r="Q27" s="228"/>
      <c r="R27" s="54"/>
      <c r="S27" s="52">
        <f t="shared" si="0"/>
        <v>22</v>
      </c>
      <c r="T27" s="53">
        <v>7887</v>
      </c>
    </row>
    <row r="28" spans="1:22">
      <c r="A28" s="245" t="s">
        <v>328</v>
      </c>
      <c r="B28" s="38">
        <v>195</v>
      </c>
      <c r="C28" s="322" t="s">
        <v>331</v>
      </c>
      <c r="D28" s="323"/>
      <c r="E28" s="44" t="s">
        <v>20</v>
      </c>
      <c r="F28" s="324"/>
      <c r="G28" s="325"/>
      <c r="H28" s="244">
        <v>240</v>
      </c>
      <c r="I28" s="47"/>
      <c r="J28" s="51"/>
      <c r="K28" s="51"/>
      <c r="L28" s="310"/>
      <c r="M28" s="311"/>
      <c r="N28" s="245">
        <v>1200</v>
      </c>
      <c r="O28" s="244">
        <v>1200</v>
      </c>
      <c r="P28" s="48">
        <v>3600</v>
      </c>
      <c r="Q28" s="245"/>
      <c r="R28" s="54"/>
      <c r="S28" s="52">
        <f t="shared" si="0"/>
        <v>6240</v>
      </c>
      <c r="T28" s="53">
        <v>1989890</v>
      </c>
    </row>
    <row r="29" spans="1:22">
      <c r="A29" s="245" t="s">
        <v>332</v>
      </c>
      <c r="B29" s="38">
        <v>196</v>
      </c>
      <c r="C29" s="322" t="s">
        <v>333</v>
      </c>
      <c r="D29" s="323"/>
      <c r="E29" s="44" t="s">
        <v>314</v>
      </c>
      <c r="F29" s="324"/>
      <c r="G29" s="325"/>
      <c r="H29" s="244">
        <v>48</v>
      </c>
      <c r="I29" s="47"/>
      <c r="J29" s="51"/>
      <c r="K29" s="51">
        <v>22</v>
      </c>
      <c r="L29" s="310"/>
      <c r="M29" s="311"/>
      <c r="N29" s="245"/>
      <c r="O29" s="244"/>
      <c r="P29" s="48"/>
      <c r="Q29" s="245">
        <v>24</v>
      </c>
      <c r="R29" s="54"/>
      <c r="S29" s="52">
        <f t="shared" si="0"/>
        <v>94</v>
      </c>
      <c r="T29" s="53">
        <v>33671</v>
      </c>
    </row>
    <row r="30" spans="1:22">
      <c r="A30" s="245" t="s">
        <v>332</v>
      </c>
      <c r="B30" s="38">
        <v>197</v>
      </c>
      <c r="C30" s="322" t="s">
        <v>293</v>
      </c>
      <c r="D30" s="323"/>
      <c r="E30" s="44" t="s">
        <v>294</v>
      </c>
      <c r="F30" s="324"/>
      <c r="G30" s="325"/>
      <c r="H30" s="244">
        <v>120</v>
      </c>
      <c r="I30" s="47"/>
      <c r="J30" s="51"/>
      <c r="K30" s="51"/>
      <c r="L30" s="310"/>
      <c r="M30" s="311"/>
      <c r="N30" s="245"/>
      <c r="O30" s="244"/>
      <c r="P30" s="48"/>
      <c r="Q30" s="245"/>
      <c r="R30" s="54"/>
      <c r="S30" s="52">
        <f t="shared" si="0"/>
        <v>120</v>
      </c>
      <c r="T30" s="53">
        <v>41293</v>
      </c>
    </row>
    <row r="31" spans="1:22">
      <c r="A31" s="245" t="s">
        <v>334</v>
      </c>
      <c r="B31" s="38">
        <v>198</v>
      </c>
      <c r="C31" s="322" t="s">
        <v>303</v>
      </c>
      <c r="D31" s="323"/>
      <c r="E31" s="44" t="s">
        <v>11</v>
      </c>
      <c r="F31" s="324"/>
      <c r="G31" s="325"/>
      <c r="H31" s="244"/>
      <c r="I31" s="47">
        <v>7200</v>
      </c>
      <c r="J31" s="51"/>
      <c r="K31" s="51"/>
      <c r="L31" s="310"/>
      <c r="M31" s="311"/>
      <c r="N31" s="245">
        <v>600</v>
      </c>
      <c r="O31" s="244">
        <v>360</v>
      </c>
      <c r="P31" s="48">
        <v>3600</v>
      </c>
      <c r="Q31" s="245">
        <v>1200</v>
      </c>
      <c r="R31" s="54">
        <v>600</v>
      </c>
      <c r="S31" s="52">
        <f t="shared" si="0"/>
        <v>13560</v>
      </c>
      <c r="T31" s="53">
        <v>4283060</v>
      </c>
    </row>
    <row r="32" spans="1:22">
      <c r="A32" s="245" t="s">
        <v>334</v>
      </c>
      <c r="B32" s="38">
        <v>199</v>
      </c>
      <c r="C32" s="322" t="s">
        <v>335</v>
      </c>
      <c r="D32" s="323"/>
      <c r="E32" s="44" t="s">
        <v>336</v>
      </c>
      <c r="F32" s="324"/>
      <c r="G32" s="325"/>
      <c r="H32" s="244">
        <v>48</v>
      </c>
      <c r="I32" s="47"/>
      <c r="J32" s="51"/>
      <c r="K32" s="51"/>
      <c r="L32" s="310"/>
      <c r="M32" s="311"/>
      <c r="N32" s="245"/>
      <c r="O32" s="244"/>
      <c r="P32" s="48"/>
      <c r="Q32" s="245"/>
      <c r="R32" s="54"/>
      <c r="S32" s="52">
        <f t="shared" si="0"/>
        <v>48</v>
      </c>
      <c r="T32" s="53">
        <v>16517</v>
      </c>
    </row>
    <row r="33" spans="1:20">
      <c r="A33" s="245" t="s">
        <v>334</v>
      </c>
      <c r="B33" s="38">
        <v>200</v>
      </c>
      <c r="C33" s="322" t="s">
        <v>308</v>
      </c>
      <c r="D33" s="323"/>
      <c r="E33" s="44" t="s">
        <v>8</v>
      </c>
      <c r="F33" s="324"/>
      <c r="G33" s="325"/>
      <c r="H33" s="244">
        <v>1680</v>
      </c>
      <c r="I33" s="47">
        <v>600</v>
      </c>
      <c r="J33" s="51"/>
      <c r="K33" s="51">
        <v>396</v>
      </c>
      <c r="L33" s="310">
        <v>220</v>
      </c>
      <c r="M33" s="311"/>
      <c r="N33" s="245"/>
      <c r="O33" s="244"/>
      <c r="P33" s="48">
        <v>4200</v>
      </c>
      <c r="Q33" s="245">
        <v>120</v>
      </c>
      <c r="R33" s="54"/>
      <c r="S33" s="52">
        <f t="shared" si="0"/>
        <v>7216</v>
      </c>
      <c r="T33" s="53">
        <v>2284848</v>
      </c>
    </row>
    <row r="34" spans="1:20">
      <c r="A34" s="241" t="s">
        <v>337</v>
      </c>
      <c r="B34" s="38">
        <v>201</v>
      </c>
      <c r="C34" s="322" t="s">
        <v>333</v>
      </c>
      <c r="D34" s="323"/>
      <c r="E34" s="44" t="s">
        <v>314</v>
      </c>
      <c r="F34" s="324"/>
      <c r="G34" s="325"/>
      <c r="H34" s="229"/>
      <c r="I34" s="47"/>
      <c r="J34" s="51"/>
      <c r="K34" s="51"/>
      <c r="L34" s="310"/>
      <c r="M34" s="311"/>
      <c r="N34" s="228"/>
      <c r="O34" s="229"/>
      <c r="P34" s="48"/>
      <c r="Q34" s="228">
        <v>24</v>
      </c>
      <c r="R34" s="54"/>
      <c r="S34" s="52">
        <f t="shared" si="0"/>
        <v>24</v>
      </c>
      <c r="T34" s="53">
        <v>9267</v>
      </c>
    </row>
    <row r="35" spans="1:20">
      <c r="A35" s="241" t="s">
        <v>337</v>
      </c>
      <c r="B35" s="38">
        <v>202</v>
      </c>
      <c r="C35" s="322" t="s">
        <v>303</v>
      </c>
      <c r="D35" s="323"/>
      <c r="E35" s="44" t="s">
        <v>11</v>
      </c>
      <c r="F35" s="324"/>
      <c r="G35" s="325"/>
      <c r="H35" s="229"/>
      <c r="I35" s="47">
        <v>7800</v>
      </c>
      <c r="J35" s="51">
        <v>120</v>
      </c>
      <c r="K35" s="51">
        <v>110</v>
      </c>
      <c r="L35" s="310"/>
      <c r="M35" s="311"/>
      <c r="N35" s="228">
        <v>360</v>
      </c>
      <c r="O35" s="229">
        <v>240</v>
      </c>
      <c r="P35" s="48">
        <v>3120</v>
      </c>
      <c r="Q35" s="228">
        <v>1800</v>
      </c>
      <c r="R35" s="54"/>
      <c r="S35" s="52">
        <f t="shared" si="0"/>
        <v>13550</v>
      </c>
      <c r="T35" s="53">
        <v>4267406</v>
      </c>
    </row>
    <row r="36" spans="1:20">
      <c r="A36" s="241" t="s">
        <v>337</v>
      </c>
      <c r="B36" s="38">
        <v>203</v>
      </c>
      <c r="C36" s="322" t="s">
        <v>338</v>
      </c>
      <c r="D36" s="323"/>
      <c r="E36" s="44" t="s">
        <v>339</v>
      </c>
      <c r="F36" s="324"/>
      <c r="G36" s="325"/>
      <c r="H36" s="229"/>
      <c r="I36" s="47"/>
      <c r="J36" s="51"/>
      <c r="K36" s="51"/>
      <c r="L36" s="310"/>
      <c r="M36" s="311"/>
      <c r="N36" s="228"/>
      <c r="O36" s="229"/>
      <c r="P36" s="48"/>
      <c r="Q36" s="228">
        <v>60</v>
      </c>
      <c r="R36" s="54"/>
      <c r="S36" s="52">
        <f t="shared" si="0"/>
        <v>60</v>
      </c>
      <c r="T36" s="53">
        <v>23166</v>
      </c>
    </row>
    <row r="37" spans="1:20">
      <c r="A37" s="241" t="s">
        <v>337</v>
      </c>
      <c r="B37" s="38">
        <v>204</v>
      </c>
      <c r="C37" s="322" t="s">
        <v>340</v>
      </c>
      <c r="D37" s="323"/>
      <c r="E37" s="44" t="s">
        <v>341</v>
      </c>
      <c r="F37" s="324"/>
      <c r="G37" s="325"/>
      <c r="H37" s="229">
        <v>24</v>
      </c>
      <c r="I37" s="47"/>
      <c r="J37" s="51"/>
      <c r="K37" s="51"/>
      <c r="L37" s="310"/>
      <c r="M37" s="311"/>
      <c r="N37" s="228"/>
      <c r="O37" s="229"/>
      <c r="P37" s="48">
        <v>48</v>
      </c>
      <c r="Q37" s="228">
        <v>24</v>
      </c>
      <c r="R37" s="54"/>
      <c r="S37" s="52">
        <f t="shared" si="0"/>
        <v>96</v>
      </c>
      <c r="T37" s="53">
        <v>33468</v>
      </c>
    </row>
    <row r="38" spans="1:20">
      <c r="A38" s="242" t="s">
        <v>342</v>
      </c>
      <c r="B38" s="38">
        <v>205</v>
      </c>
      <c r="C38" s="322" t="s">
        <v>287</v>
      </c>
      <c r="D38" s="323"/>
      <c r="E38" s="44" t="s">
        <v>288</v>
      </c>
      <c r="F38" s="324"/>
      <c r="G38" s="325"/>
      <c r="H38" s="229"/>
      <c r="I38" s="47"/>
      <c r="J38" s="51"/>
      <c r="K38" s="51"/>
      <c r="L38" s="310"/>
      <c r="M38" s="311"/>
      <c r="N38" s="228"/>
      <c r="O38" s="229"/>
      <c r="P38" s="48">
        <v>240</v>
      </c>
      <c r="Q38" s="228"/>
      <c r="R38" s="54"/>
      <c r="S38" s="52">
        <f t="shared" si="0"/>
        <v>240</v>
      </c>
      <c r="T38" s="53">
        <v>79715</v>
      </c>
    </row>
    <row r="39" spans="1:20">
      <c r="A39" s="242" t="s">
        <v>342</v>
      </c>
      <c r="B39" s="38">
        <v>206</v>
      </c>
      <c r="C39" s="322" t="s">
        <v>329</v>
      </c>
      <c r="D39" s="323"/>
      <c r="E39" s="44" t="s">
        <v>330</v>
      </c>
      <c r="F39" s="324"/>
      <c r="G39" s="325"/>
      <c r="H39" s="229">
        <v>24</v>
      </c>
      <c r="I39" s="47">
        <v>30</v>
      </c>
      <c r="J39" s="51"/>
      <c r="K39" s="51"/>
      <c r="L39" s="310"/>
      <c r="M39" s="311"/>
      <c r="N39" s="228"/>
      <c r="O39" s="229"/>
      <c r="P39" s="48"/>
      <c r="Q39" s="228"/>
      <c r="R39" s="54"/>
      <c r="S39" s="52">
        <f t="shared" si="0"/>
        <v>54</v>
      </c>
      <c r="T39" s="53">
        <v>17715</v>
      </c>
    </row>
    <row r="40" spans="1:20">
      <c r="A40" s="242" t="s">
        <v>342</v>
      </c>
      <c r="B40" s="38">
        <v>207</v>
      </c>
      <c r="C40" s="322" t="s">
        <v>308</v>
      </c>
      <c r="D40" s="323"/>
      <c r="E40" s="44" t="s">
        <v>19</v>
      </c>
      <c r="F40" s="324"/>
      <c r="G40" s="325"/>
      <c r="H40" s="243">
        <v>1200</v>
      </c>
      <c r="I40" s="47"/>
      <c r="J40" s="51">
        <v>480</v>
      </c>
      <c r="K40" s="51">
        <v>220</v>
      </c>
      <c r="L40" s="310"/>
      <c r="M40" s="311"/>
      <c r="N40" s="242">
        <v>480</v>
      </c>
      <c r="O40" s="243">
        <v>480</v>
      </c>
      <c r="P40" s="48">
        <v>3600</v>
      </c>
      <c r="Q40" s="242">
        <v>120</v>
      </c>
      <c r="R40" s="54"/>
      <c r="S40" s="52">
        <f t="shared" si="0"/>
        <v>6580</v>
      </c>
      <c r="T40" s="53">
        <v>2079438</v>
      </c>
    </row>
    <row r="41" spans="1:20">
      <c r="A41" s="242" t="s">
        <v>343</v>
      </c>
      <c r="B41" s="38">
        <v>208</v>
      </c>
      <c r="C41" s="322" t="s">
        <v>333</v>
      </c>
      <c r="D41" s="323"/>
      <c r="E41" s="44" t="s">
        <v>314</v>
      </c>
      <c r="F41" s="324"/>
      <c r="G41" s="325"/>
      <c r="H41" s="229">
        <v>48</v>
      </c>
      <c r="I41" s="47"/>
      <c r="J41" s="51"/>
      <c r="K41" s="51"/>
      <c r="L41" s="310"/>
      <c r="M41" s="311"/>
      <c r="N41" s="228"/>
      <c r="O41" s="229"/>
      <c r="P41" s="48"/>
      <c r="Q41" s="228"/>
      <c r="R41" s="54"/>
      <c r="S41" s="52">
        <f t="shared" si="0"/>
        <v>48</v>
      </c>
      <c r="T41" s="53">
        <v>16517</v>
      </c>
    </row>
    <row r="42" spans="1:20">
      <c r="A42" s="242" t="s">
        <v>343</v>
      </c>
      <c r="B42" s="38">
        <v>209</v>
      </c>
      <c r="C42" s="322" t="s">
        <v>344</v>
      </c>
      <c r="D42" s="323"/>
      <c r="E42" s="44" t="s">
        <v>345</v>
      </c>
      <c r="F42" s="324"/>
      <c r="G42" s="325"/>
      <c r="H42" s="229"/>
      <c r="I42" s="47"/>
      <c r="J42" s="51"/>
      <c r="K42" s="51"/>
      <c r="L42" s="310"/>
      <c r="M42" s="311"/>
      <c r="N42" s="228"/>
      <c r="O42" s="229"/>
      <c r="P42" s="48"/>
      <c r="Q42" s="228">
        <v>60</v>
      </c>
      <c r="R42" s="54"/>
      <c r="S42" s="52">
        <f t="shared" si="0"/>
        <v>60</v>
      </c>
      <c r="T42" s="53">
        <v>23166</v>
      </c>
    </row>
    <row r="43" spans="1:20">
      <c r="A43" s="246" t="s">
        <v>346</v>
      </c>
      <c r="B43" s="38">
        <v>210</v>
      </c>
      <c r="C43" s="322" t="s">
        <v>347</v>
      </c>
      <c r="D43" s="323"/>
      <c r="E43" s="44" t="s">
        <v>348</v>
      </c>
      <c r="F43" s="324"/>
      <c r="G43" s="325"/>
      <c r="H43" s="229"/>
      <c r="I43" s="47"/>
      <c r="J43" s="51"/>
      <c r="K43" s="51"/>
      <c r="L43" s="310"/>
      <c r="M43" s="311"/>
      <c r="N43" s="228"/>
      <c r="O43" s="229"/>
      <c r="P43" s="48">
        <v>24</v>
      </c>
      <c r="Q43" s="228">
        <v>48</v>
      </c>
      <c r="R43" s="54"/>
      <c r="S43" s="52">
        <f t="shared" si="0"/>
        <v>72</v>
      </c>
      <c r="T43" s="53">
        <v>26505</v>
      </c>
    </row>
    <row r="44" spans="1:20">
      <c r="A44" s="246" t="s">
        <v>346</v>
      </c>
      <c r="B44" s="38">
        <v>211</v>
      </c>
      <c r="C44" s="322" t="s">
        <v>349</v>
      </c>
      <c r="D44" s="323"/>
      <c r="E44" s="44" t="s">
        <v>350</v>
      </c>
      <c r="F44" s="324"/>
      <c r="G44" s="325"/>
      <c r="H44" s="229"/>
      <c r="I44" s="47">
        <v>150</v>
      </c>
      <c r="J44" s="51"/>
      <c r="K44" s="51"/>
      <c r="L44" s="310"/>
      <c r="M44" s="311"/>
      <c r="N44" s="228"/>
      <c r="O44" s="229"/>
      <c r="P44" s="48">
        <v>360</v>
      </c>
      <c r="Q44" s="228"/>
      <c r="R44" s="54"/>
      <c r="S44" s="52">
        <f t="shared" si="0"/>
        <v>510</v>
      </c>
      <c r="T44" s="53">
        <v>166853</v>
      </c>
    </row>
    <row r="45" spans="1:20">
      <c r="A45" s="246" t="s">
        <v>346</v>
      </c>
      <c r="B45" s="38">
        <v>212</v>
      </c>
      <c r="C45" s="322" t="s">
        <v>351</v>
      </c>
      <c r="D45" s="323"/>
      <c r="E45" s="44" t="s">
        <v>352</v>
      </c>
      <c r="F45" s="324"/>
      <c r="G45" s="325"/>
      <c r="H45" s="229"/>
      <c r="I45" s="47"/>
      <c r="J45" s="51"/>
      <c r="K45" s="51"/>
      <c r="L45" s="310"/>
      <c r="M45" s="311"/>
      <c r="N45" s="228"/>
      <c r="O45" s="229"/>
      <c r="P45" s="48">
        <v>240</v>
      </c>
      <c r="Q45" s="228">
        <v>48</v>
      </c>
      <c r="R45" s="54"/>
      <c r="S45" s="52">
        <f t="shared" si="0"/>
        <v>288</v>
      </c>
      <c r="T45" s="53">
        <v>98248</v>
      </c>
    </row>
    <row r="46" spans="1:20">
      <c r="A46" s="246" t="s">
        <v>346</v>
      </c>
      <c r="B46" s="38">
        <v>213</v>
      </c>
      <c r="C46" s="322" t="s">
        <v>331</v>
      </c>
      <c r="D46" s="323"/>
      <c r="E46" s="44" t="s">
        <v>20</v>
      </c>
      <c r="F46" s="324"/>
      <c r="G46" s="325"/>
      <c r="H46" s="229"/>
      <c r="I46" s="47"/>
      <c r="J46" s="51"/>
      <c r="K46" s="51">
        <v>330</v>
      </c>
      <c r="L46" s="310">
        <v>110</v>
      </c>
      <c r="M46" s="311"/>
      <c r="N46" s="228"/>
      <c r="O46" s="229"/>
      <c r="P46" s="48">
        <v>2400</v>
      </c>
      <c r="Q46" s="228"/>
      <c r="R46" s="54"/>
      <c r="S46" s="52">
        <f t="shared" si="0"/>
        <v>2840</v>
      </c>
      <c r="T46" s="53">
        <v>922194</v>
      </c>
    </row>
    <row r="47" spans="1:20">
      <c r="A47" s="246" t="s">
        <v>346</v>
      </c>
      <c r="B47" s="38">
        <v>214</v>
      </c>
      <c r="C47" s="322" t="s">
        <v>353</v>
      </c>
      <c r="D47" s="323"/>
      <c r="E47" s="44" t="s">
        <v>354</v>
      </c>
      <c r="F47" s="324"/>
      <c r="G47" s="325"/>
      <c r="H47" s="229"/>
      <c r="I47" s="47">
        <v>60</v>
      </c>
      <c r="J47" s="51"/>
      <c r="K47" s="51"/>
      <c r="L47" s="310"/>
      <c r="M47" s="311"/>
      <c r="N47" s="228">
        <v>48</v>
      </c>
      <c r="O47" s="229">
        <v>24</v>
      </c>
      <c r="P47" s="48">
        <v>360</v>
      </c>
      <c r="Q47" s="228">
        <v>60</v>
      </c>
      <c r="R47" s="54"/>
      <c r="S47" s="52">
        <f t="shared" si="0"/>
        <v>552</v>
      </c>
      <c r="T47" s="53">
        <v>178670</v>
      </c>
    </row>
    <row r="48" spans="1:20">
      <c r="A48" s="246" t="s">
        <v>355</v>
      </c>
      <c r="B48" s="38">
        <v>215</v>
      </c>
      <c r="C48" s="322" t="s">
        <v>319</v>
      </c>
      <c r="D48" s="323"/>
      <c r="E48" s="44" t="s">
        <v>10</v>
      </c>
      <c r="F48" s="324"/>
      <c r="G48" s="325"/>
      <c r="H48" s="229"/>
      <c r="I48" s="47">
        <v>1050</v>
      </c>
      <c r="J48" s="51"/>
      <c r="K48" s="51"/>
      <c r="L48" s="310"/>
      <c r="M48" s="311"/>
      <c r="N48" s="228">
        <v>360</v>
      </c>
      <c r="O48" s="229"/>
      <c r="P48" s="48">
        <v>3000</v>
      </c>
      <c r="Q48" s="228"/>
      <c r="R48" s="54"/>
      <c r="S48" s="52">
        <f t="shared" si="0"/>
        <v>4410</v>
      </c>
      <c r="T48" s="53">
        <v>1393517</v>
      </c>
    </row>
    <row r="49" spans="1:24">
      <c r="A49" s="246" t="s">
        <v>355</v>
      </c>
      <c r="B49" s="38">
        <v>216</v>
      </c>
      <c r="C49" s="322" t="s">
        <v>320</v>
      </c>
      <c r="D49" s="323"/>
      <c r="E49" s="44" t="s">
        <v>10</v>
      </c>
      <c r="F49" s="324"/>
      <c r="G49" s="325"/>
      <c r="H49" s="229"/>
      <c r="I49" s="47"/>
      <c r="J49" s="51"/>
      <c r="K49" s="51"/>
      <c r="L49" s="310"/>
      <c r="M49" s="311"/>
      <c r="N49" s="228">
        <v>600</v>
      </c>
      <c r="O49" s="229">
        <v>240</v>
      </c>
      <c r="P49" s="48">
        <v>600</v>
      </c>
      <c r="Q49" s="228"/>
      <c r="R49" s="54"/>
      <c r="S49" s="52">
        <f t="shared" si="0"/>
        <v>1440</v>
      </c>
      <c r="T49" s="53">
        <v>456512</v>
      </c>
    </row>
    <row r="50" spans="1:24">
      <c r="A50" s="246" t="s">
        <v>355</v>
      </c>
      <c r="B50" s="38">
        <v>217</v>
      </c>
      <c r="C50" s="322" t="s">
        <v>321</v>
      </c>
      <c r="D50" s="323"/>
      <c r="E50" s="44" t="s">
        <v>10</v>
      </c>
      <c r="F50" s="324"/>
      <c r="G50" s="325"/>
      <c r="H50" s="229"/>
      <c r="I50" s="47">
        <v>300</v>
      </c>
      <c r="J50" s="51"/>
      <c r="K50" s="51"/>
      <c r="L50" s="310"/>
      <c r="M50" s="311"/>
      <c r="N50" s="228"/>
      <c r="O50" s="229"/>
      <c r="P50" s="48">
        <v>1440</v>
      </c>
      <c r="Q50" s="228"/>
      <c r="R50" s="54"/>
      <c r="S50" s="52">
        <f t="shared" si="0"/>
        <v>1740</v>
      </c>
      <c r="T50" s="53">
        <v>552759</v>
      </c>
    </row>
    <row r="51" spans="1:24" ht="15.75" thickBot="1">
      <c r="A51" s="247" t="s">
        <v>356</v>
      </c>
      <c r="B51" s="38">
        <v>218</v>
      </c>
      <c r="C51" s="322" t="s">
        <v>327</v>
      </c>
      <c r="D51" s="323"/>
      <c r="E51" s="44" t="s">
        <v>305</v>
      </c>
      <c r="F51" s="324"/>
      <c r="G51" s="325"/>
      <c r="H51" s="229"/>
      <c r="I51" s="47">
        <v>150</v>
      </c>
      <c r="J51" s="51"/>
      <c r="K51" s="51"/>
      <c r="L51" s="310"/>
      <c r="M51" s="311"/>
      <c r="N51" s="228"/>
      <c r="O51" s="229"/>
      <c r="P51" s="48"/>
      <c r="Q51" s="228"/>
      <c r="R51" s="54"/>
      <c r="S51" s="52">
        <f t="shared" si="0"/>
        <v>150</v>
      </c>
      <c r="T51" s="53">
        <v>47280</v>
      </c>
    </row>
    <row r="52" spans="1:24" ht="15.75" thickBot="1">
      <c r="A52" s="361" t="s">
        <v>16</v>
      </c>
      <c r="B52" s="362"/>
      <c r="C52" s="362"/>
      <c r="D52" s="61"/>
      <c r="E52" s="59"/>
      <c r="F52" s="318">
        <f>SUM(F5:G51)</f>
        <v>600</v>
      </c>
      <c r="G52" s="320"/>
      <c r="H52" s="34">
        <f>SUM(H5:H51)</f>
        <v>4608</v>
      </c>
      <c r="I52" s="204">
        <f>SUM(I5:I51)</f>
        <v>36030</v>
      </c>
      <c r="J52" s="205">
        <f>SUM(J5:J51)</f>
        <v>792</v>
      </c>
      <c r="K52" s="205">
        <f>SUM(K5:K51)</f>
        <v>1760</v>
      </c>
      <c r="L52" s="321">
        <f>SUM(L5:M51)</f>
        <v>330</v>
      </c>
      <c r="M52" s="319"/>
      <c r="N52" s="204">
        <f t="shared" ref="N52:T52" si="1">SUM(N5:N51)</f>
        <v>6648</v>
      </c>
      <c r="O52" s="205">
        <f t="shared" si="1"/>
        <v>3384</v>
      </c>
      <c r="P52" s="34">
        <f t="shared" si="1"/>
        <v>42288</v>
      </c>
      <c r="Q52" s="204">
        <f t="shared" si="1"/>
        <v>8388</v>
      </c>
      <c r="R52" s="34">
        <f t="shared" si="1"/>
        <v>600</v>
      </c>
      <c r="S52" s="60">
        <f t="shared" si="1"/>
        <v>105428</v>
      </c>
      <c r="T52" s="36">
        <f t="shared" si="1"/>
        <v>33444825</v>
      </c>
      <c r="V52" s="13"/>
      <c r="W52" s="13"/>
      <c r="X52" s="13"/>
    </row>
    <row r="53" spans="1:24" ht="15.75" thickBot="1">
      <c r="A53" s="361"/>
      <c r="B53" s="362"/>
      <c r="C53" s="362"/>
      <c r="D53" s="61"/>
      <c r="E53" s="59"/>
      <c r="F53" s="318">
        <f>F4+F52</f>
        <v>4176</v>
      </c>
      <c r="G53" s="320"/>
      <c r="H53" s="34">
        <f>H4+H52</f>
        <v>24000</v>
      </c>
      <c r="I53" s="61">
        <f>I4+I52</f>
        <v>168090</v>
      </c>
      <c r="J53" s="205">
        <f>J4+J52</f>
        <v>2160</v>
      </c>
      <c r="K53" s="205">
        <f>K4+K52</f>
        <v>9526</v>
      </c>
      <c r="L53" s="321">
        <f>L4+L52</f>
        <v>1782</v>
      </c>
      <c r="M53" s="319"/>
      <c r="N53" s="204">
        <f t="shared" ref="N53:T53" si="2">N4+N52</f>
        <v>46776</v>
      </c>
      <c r="O53" s="205">
        <f t="shared" si="2"/>
        <v>26472</v>
      </c>
      <c r="P53" s="34">
        <f t="shared" si="2"/>
        <v>229560</v>
      </c>
      <c r="Q53" s="61">
        <f t="shared" si="2"/>
        <v>41508</v>
      </c>
      <c r="R53" s="205">
        <f t="shared" si="2"/>
        <v>7056</v>
      </c>
      <c r="S53" s="62">
        <f t="shared" si="2"/>
        <v>561106</v>
      </c>
      <c r="T53" s="36">
        <f t="shared" si="2"/>
        <v>179282036</v>
      </c>
      <c r="W53" s="13"/>
      <c r="X53" s="13"/>
    </row>
    <row r="54" spans="1:24" ht="15.75" thickBot="1">
      <c r="V54" s="13"/>
    </row>
    <row r="55" spans="1:24" ht="15.75" customHeight="1" thickBot="1">
      <c r="A55" s="363" t="s">
        <v>358</v>
      </c>
      <c r="B55" s="364"/>
      <c r="C55" s="364"/>
      <c r="D55" s="364"/>
      <c r="E55" s="364"/>
      <c r="F55" s="364"/>
      <c r="G55" s="364"/>
      <c r="H55" s="364"/>
      <c r="I55" s="364"/>
      <c r="J55" s="364"/>
      <c r="K55" s="364"/>
      <c r="L55" s="364"/>
      <c r="M55" s="364"/>
      <c r="N55" s="364"/>
      <c r="O55" s="364"/>
      <c r="P55" s="364"/>
      <c r="Q55" s="365"/>
      <c r="R55" s="1"/>
      <c r="S55" s="1"/>
      <c r="T55" s="28"/>
    </row>
    <row r="56" spans="1:24" ht="15.75" customHeight="1" thickBot="1">
      <c r="A56" s="366" t="s">
        <v>34</v>
      </c>
      <c r="B56" s="367"/>
      <c r="C56" s="370" t="s">
        <v>33</v>
      </c>
      <c r="D56" s="370" t="s">
        <v>11</v>
      </c>
      <c r="E56" s="373" t="s">
        <v>19</v>
      </c>
      <c r="F56" s="366" t="s">
        <v>8</v>
      </c>
      <c r="G56" s="367"/>
      <c r="H56" s="375" t="s">
        <v>10</v>
      </c>
      <c r="I56" s="376"/>
      <c r="J56" s="377"/>
      <c r="K56" s="378" t="s">
        <v>25</v>
      </c>
      <c r="L56" s="379"/>
      <c r="M56" s="379"/>
      <c r="N56" s="379"/>
      <c r="O56" s="380"/>
      <c r="P56" s="370" t="s">
        <v>20</v>
      </c>
      <c r="Q56" s="381" t="s">
        <v>38</v>
      </c>
      <c r="R56" s="1"/>
      <c r="S56" s="1"/>
      <c r="T56" s="28"/>
    </row>
    <row r="57" spans="1:24" ht="15.75" thickBot="1">
      <c r="A57" s="368"/>
      <c r="B57" s="369"/>
      <c r="C57" s="371"/>
      <c r="D57" s="372"/>
      <c r="E57" s="374"/>
      <c r="F57" s="368"/>
      <c r="G57" s="369"/>
      <c r="H57" s="69" t="s">
        <v>49</v>
      </c>
      <c r="I57" s="69" t="s">
        <v>48</v>
      </c>
      <c r="J57" s="69" t="s">
        <v>50</v>
      </c>
      <c r="K57" s="69" t="s">
        <v>24</v>
      </c>
      <c r="L57" s="378" t="s">
        <v>47</v>
      </c>
      <c r="M57" s="380"/>
      <c r="N57" s="69" t="s">
        <v>46</v>
      </c>
      <c r="O57" s="69" t="s">
        <v>45</v>
      </c>
      <c r="P57" s="372"/>
      <c r="Q57" s="382"/>
      <c r="T57" s="28"/>
    </row>
    <row r="58" spans="1:24" ht="15" customHeight="1">
      <c r="A58" s="366" t="s">
        <v>27</v>
      </c>
      <c r="B58" s="367"/>
      <c r="C58" s="213" t="s">
        <v>28</v>
      </c>
      <c r="D58" s="213"/>
      <c r="E58" s="4">
        <v>480</v>
      </c>
      <c r="F58" s="388">
        <v>24</v>
      </c>
      <c r="G58" s="388"/>
      <c r="H58" s="4"/>
      <c r="I58" s="212"/>
      <c r="J58" s="4"/>
      <c r="K58" s="212"/>
      <c r="L58" s="389"/>
      <c r="M58" s="390"/>
      <c r="N58" s="212"/>
      <c r="O58" s="4">
        <f>48+48</f>
        <v>96</v>
      </c>
      <c r="P58" s="212"/>
      <c r="Q58" s="4">
        <f>SUM(D58:P58)</f>
        <v>600</v>
      </c>
      <c r="T58" s="28"/>
      <c r="V58" s="13">
        <f>Q58-F52</f>
        <v>0</v>
      </c>
    </row>
    <row r="59" spans="1:24" ht="15.75" thickBot="1">
      <c r="A59" s="368"/>
      <c r="B59" s="369"/>
      <c r="C59" s="215" t="s">
        <v>29</v>
      </c>
      <c r="D59" s="215"/>
      <c r="E59" s="14">
        <v>1200</v>
      </c>
      <c r="F59" s="395">
        <f>720+1680</f>
        <v>2400</v>
      </c>
      <c r="G59" s="395"/>
      <c r="H59" s="14"/>
      <c r="I59" s="214"/>
      <c r="J59" s="14"/>
      <c r="K59" s="214"/>
      <c r="L59" s="396"/>
      <c r="M59" s="397"/>
      <c r="N59" s="214"/>
      <c r="O59" s="14">
        <v>768</v>
      </c>
      <c r="P59" s="214">
        <v>240</v>
      </c>
      <c r="Q59" s="16">
        <f t="shared" ref="Q59:Q68" si="3">SUM(D59:P59)</f>
        <v>4608</v>
      </c>
      <c r="T59" s="28"/>
      <c r="V59" s="13">
        <f>H52-Q59</f>
        <v>0</v>
      </c>
    </row>
    <row r="60" spans="1:24">
      <c r="A60" s="366" t="s">
        <v>41</v>
      </c>
      <c r="B60" s="367"/>
      <c r="C60" s="4" t="s">
        <v>30</v>
      </c>
      <c r="D60" s="4">
        <v>31800</v>
      </c>
      <c r="E60" s="4">
        <v>600</v>
      </c>
      <c r="F60" s="388">
        <v>660</v>
      </c>
      <c r="G60" s="388"/>
      <c r="H60" s="4"/>
      <c r="I60" s="212">
        <v>1920</v>
      </c>
      <c r="J60" s="4">
        <v>300</v>
      </c>
      <c r="K60" s="212"/>
      <c r="L60" s="389">
        <v>60</v>
      </c>
      <c r="M60" s="390"/>
      <c r="N60" s="212"/>
      <c r="O60" s="4">
        <v>690</v>
      </c>
      <c r="P60" s="212"/>
      <c r="Q60" s="4">
        <f t="shared" si="3"/>
        <v>36030</v>
      </c>
      <c r="T60" s="28"/>
      <c r="V60" s="13">
        <f>I52-Q60</f>
        <v>0</v>
      </c>
    </row>
    <row r="61" spans="1:24">
      <c r="A61" s="403"/>
      <c r="B61" s="404"/>
      <c r="C61" s="5" t="s">
        <v>32</v>
      </c>
      <c r="D61" s="219">
        <v>312</v>
      </c>
      <c r="E61" s="5">
        <v>480</v>
      </c>
      <c r="F61" s="408"/>
      <c r="G61" s="408"/>
      <c r="H61" s="5"/>
      <c r="I61" s="218"/>
      <c r="J61" s="5"/>
      <c r="K61" s="218"/>
      <c r="L61" s="409"/>
      <c r="M61" s="410"/>
      <c r="N61" s="218"/>
      <c r="O61" s="5"/>
      <c r="P61" s="218"/>
      <c r="Q61" s="5">
        <f t="shared" si="3"/>
        <v>792</v>
      </c>
      <c r="T61" s="28"/>
      <c r="V61" s="13">
        <f>J52-Q61</f>
        <v>0</v>
      </c>
    </row>
    <row r="62" spans="1:24">
      <c r="A62" s="403"/>
      <c r="B62" s="404"/>
      <c r="C62" s="5" t="s">
        <v>43</v>
      </c>
      <c r="D62" s="219">
        <v>660</v>
      </c>
      <c r="E62" s="5">
        <v>220</v>
      </c>
      <c r="F62" s="408">
        <f>110+396</f>
        <v>506</v>
      </c>
      <c r="G62" s="408"/>
      <c r="H62" s="5"/>
      <c r="I62" s="218"/>
      <c r="J62" s="5"/>
      <c r="K62" s="218"/>
      <c r="L62" s="409"/>
      <c r="M62" s="410"/>
      <c r="N62" s="218"/>
      <c r="O62" s="5">
        <v>44</v>
      </c>
      <c r="P62" s="218">
        <v>330</v>
      </c>
      <c r="Q62" s="5">
        <f t="shared" si="3"/>
        <v>1760</v>
      </c>
      <c r="T62" s="28"/>
      <c r="V62" s="13">
        <f>K52-Q62</f>
        <v>0</v>
      </c>
    </row>
    <row r="63" spans="1:24" ht="15.75" thickBot="1">
      <c r="A63" s="368"/>
      <c r="B63" s="369"/>
      <c r="C63" s="64" t="s">
        <v>44</v>
      </c>
      <c r="D63" s="210"/>
      <c r="E63" s="15"/>
      <c r="F63" s="358">
        <v>220</v>
      </c>
      <c r="G63" s="358"/>
      <c r="H63" s="15"/>
      <c r="I63" s="209"/>
      <c r="J63" s="15"/>
      <c r="K63" s="209"/>
      <c r="L63" s="359"/>
      <c r="M63" s="360"/>
      <c r="N63" s="209"/>
      <c r="O63" s="15"/>
      <c r="P63" s="209">
        <v>110</v>
      </c>
      <c r="Q63" s="16">
        <f t="shared" si="3"/>
        <v>330</v>
      </c>
      <c r="T63" s="28"/>
      <c r="V63" s="13">
        <f>L52-Q63</f>
        <v>0</v>
      </c>
    </row>
    <row r="64" spans="1:24">
      <c r="A64" s="366" t="s">
        <v>40</v>
      </c>
      <c r="B64" s="367"/>
      <c r="C64" s="217" t="s">
        <v>28</v>
      </c>
      <c r="D64" s="217">
        <v>1560</v>
      </c>
      <c r="E64" s="16">
        <f>360+480</f>
        <v>840</v>
      </c>
      <c r="F64" s="405">
        <v>120</v>
      </c>
      <c r="G64" s="405"/>
      <c r="H64" s="16">
        <v>1320</v>
      </c>
      <c r="I64" s="216">
        <v>1560</v>
      </c>
      <c r="J64" s="16"/>
      <c r="K64" s="216"/>
      <c r="L64" s="406">
        <v>48</v>
      </c>
      <c r="M64" s="407"/>
      <c r="N64" s="216"/>
      <c r="O64" s="16"/>
      <c r="P64" s="216">
        <v>1200</v>
      </c>
      <c r="Q64" s="4">
        <f t="shared" si="3"/>
        <v>6648</v>
      </c>
      <c r="T64" s="28"/>
      <c r="V64" s="13">
        <f>N52-Q64</f>
        <v>0</v>
      </c>
    </row>
    <row r="65" spans="1:22">
      <c r="A65" s="403"/>
      <c r="B65" s="404"/>
      <c r="C65" s="219" t="s">
        <v>31</v>
      </c>
      <c r="D65" s="219">
        <v>1080</v>
      </c>
      <c r="E65" s="5">
        <v>480</v>
      </c>
      <c r="F65" s="408">
        <v>120</v>
      </c>
      <c r="G65" s="408"/>
      <c r="H65" s="5">
        <v>480</v>
      </c>
      <c r="I65" s="218"/>
      <c r="J65" s="5"/>
      <c r="K65" s="218"/>
      <c r="L65" s="409">
        <v>24</v>
      </c>
      <c r="M65" s="410"/>
      <c r="N65" s="218"/>
      <c r="O65" s="5"/>
      <c r="P65" s="218">
        <v>1200</v>
      </c>
      <c r="Q65" s="5">
        <f t="shared" si="3"/>
        <v>3384</v>
      </c>
      <c r="T65" s="28"/>
      <c r="V65" s="13">
        <f>O52-Q65</f>
        <v>0</v>
      </c>
    </row>
    <row r="66" spans="1:22" ht="15.75" thickBot="1">
      <c r="A66" s="368"/>
      <c r="B66" s="369"/>
      <c r="C66" s="64" t="s">
        <v>29</v>
      </c>
      <c r="D66" s="215">
        <v>12360</v>
      </c>
      <c r="E66" s="14">
        <f>6000</f>
        <v>6000</v>
      </c>
      <c r="F66" s="395">
        <v>5400</v>
      </c>
      <c r="G66" s="395"/>
      <c r="H66" s="14">
        <v>1080</v>
      </c>
      <c r="I66" s="214">
        <v>5640</v>
      </c>
      <c r="J66" s="14">
        <v>3240</v>
      </c>
      <c r="K66" s="214"/>
      <c r="L66" s="396">
        <v>360</v>
      </c>
      <c r="M66" s="397"/>
      <c r="N66" s="214"/>
      <c r="O66" s="14">
        <v>2208</v>
      </c>
      <c r="P66" s="214">
        <f>2400+3600</f>
        <v>6000</v>
      </c>
      <c r="Q66" s="16">
        <f t="shared" si="3"/>
        <v>42288</v>
      </c>
      <c r="T66" s="28"/>
      <c r="V66" s="13">
        <f>P52-Q66</f>
        <v>0</v>
      </c>
    </row>
    <row r="67" spans="1:22">
      <c r="A67" s="366" t="s">
        <v>42</v>
      </c>
      <c r="B67" s="367"/>
      <c r="C67" s="213" t="s">
        <v>31</v>
      </c>
      <c r="D67" s="213">
        <v>7320</v>
      </c>
      <c r="E67" s="4">
        <v>240</v>
      </c>
      <c r="F67" s="388">
        <v>300</v>
      </c>
      <c r="G67" s="388"/>
      <c r="H67" s="4"/>
      <c r="I67" s="212"/>
      <c r="J67" s="4"/>
      <c r="K67" s="212"/>
      <c r="L67" s="389">
        <v>60</v>
      </c>
      <c r="M67" s="390"/>
      <c r="N67" s="212"/>
      <c r="O67" s="4">
        <v>468</v>
      </c>
      <c r="P67" s="212"/>
      <c r="Q67" s="4">
        <f t="shared" si="3"/>
        <v>8388</v>
      </c>
      <c r="T67" s="28"/>
      <c r="V67" s="13">
        <f>Q52-Q67</f>
        <v>0</v>
      </c>
    </row>
    <row r="68" spans="1:22" ht="15.75" thickBot="1">
      <c r="A68" s="368"/>
      <c r="B68" s="369"/>
      <c r="C68" s="64" t="s">
        <v>29</v>
      </c>
      <c r="D68" s="15">
        <v>600</v>
      </c>
      <c r="E68" s="15"/>
      <c r="F68" s="358"/>
      <c r="G68" s="358"/>
      <c r="H68" s="15"/>
      <c r="I68" s="209"/>
      <c r="J68" s="15"/>
      <c r="K68" s="209"/>
      <c r="L68" s="359"/>
      <c r="M68" s="360"/>
      <c r="N68" s="209"/>
      <c r="O68" s="15"/>
      <c r="P68" s="209"/>
      <c r="Q68" s="16">
        <f t="shared" si="3"/>
        <v>600</v>
      </c>
      <c r="T68" s="28"/>
      <c r="V68" s="13">
        <f>R52-Q68</f>
        <v>0</v>
      </c>
    </row>
    <row r="69" spans="1:22" ht="15.75" thickBot="1">
      <c r="A69" s="391" t="s">
        <v>37</v>
      </c>
      <c r="B69" s="392"/>
      <c r="C69" s="392"/>
      <c r="D69" s="23">
        <f>SUM(D58:D68)</f>
        <v>55692</v>
      </c>
      <c r="E69" s="23">
        <f t="shared" ref="E69" si="4">SUM(E58:E68)</f>
        <v>10540</v>
      </c>
      <c r="F69" s="393">
        <f>SUM(F58:G68)</f>
        <v>9750</v>
      </c>
      <c r="G69" s="394"/>
      <c r="H69" s="23">
        <f>SUM(H58:H68)</f>
        <v>2880</v>
      </c>
      <c r="I69" s="23">
        <f>SUM(I58:I68)</f>
        <v>9120</v>
      </c>
      <c r="J69" s="23">
        <f>SUM(J58:J68)</f>
        <v>3540</v>
      </c>
      <c r="K69" s="23">
        <f>SUM(K58:K68)</f>
        <v>0</v>
      </c>
      <c r="L69" s="393">
        <f>SUM(L58:M68)</f>
        <v>552</v>
      </c>
      <c r="M69" s="394"/>
      <c r="N69" s="23">
        <f>SUM(N58:N68)</f>
        <v>0</v>
      </c>
      <c r="O69" s="23">
        <f>SUM(O58:O68)</f>
        <v>4274</v>
      </c>
      <c r="P69" s="23">
        <f>SUM(P58:P68)</f>
        <v>9080</v>
      </c>
      <c r="Q69" s="24">
        <f>SUM(Q58:Q68)</f>
        <v>105428</v>
      </c>
      <c r="R69" s="12"/>
      <c r="S69" s="1"/>
      <c r="T69" s="28"/>
      <c r="V69" s="13">
        <f>S52-Q69</f>
        <v>0</v>
      </c>
    </row>
    <row r="70" spans="1:22" ht="15.75" thickBot="1">
      <c r="A70" s="398" t="s">
        <v>36</v>
      </c>
      <c r="B70" s="399"/>
      <c r="C70" s="399"/>
      <c r="D70" s="400">
        <f>D69+E69+F69+H69+I69+J69+K69+L69+N69+O69+P69</f>
        <v>105428</v>
      </c>
      <c r="E70" s="401"/>
      <c r="F70" s="401"/>
      <c r="G70" s="401"/>
      <c r="H70" s="401"/>
      <c r="I70" s="401"/>
      <c r="J70" s="401"/>
      <c r="K70" s="401"/>
      <c r="L70" s="401"/>
      <c r="M70" s="401"/>
      <c r="N70" s="401"/>
      <c r="O70" s="401"/>
      <c r="P70" s="401"/>
      <c r="Q70" s="402"/>
      <c r="T70" s="28"/>
      <c r="V70" s="13"/>
    </row>
    <row r="71" spans="1:22" s="20" customFormat="1" ht="15" customHeight="1" thickBot="1">
      <c r="A71" s="383" t="s">
        <v>26</v>
      </c>
      <c r="B71" s="384"/>
      <c r="C71" s="384"/>
      <c r="D71" s="22">
        <v>17582415</v>
      </c>
      <c r="E71" s="22">
        <v>3309541</v>
      </c>
      <c r="F71" s="385">
        <f>810866+2284848</f>
        <v>3095714</v>
      </c>
      <c r="G71" s="386"/>
      <c r="H71" s="22">
        <f>455671+456512</f>
        <v>912183</v>
      </c>
      <c r="I71" s="26">
        <f>1486874+1393517</f>
        <v>2880391</v>
      </c>
      <c r="J71" s="22">
        <f>577093+552759</f>
        <v>1129852</v>
      </c>
      <c r="K71" s="22"/>
      <c r="L71" s="387">
        <v>178670</v>
      </c>
      <c r="M71" s="386"/>
      <c r="N71" s="26"/>
      <c r="O71" s="22">
        <v>1443975</v>
      </c>
      <c r="P71" s="26">
        <v>2912084</v>
      </c>
      <c r="Q71" s="119">
        <f>D71+E71+F71+H71+I71+J71+K71+L71+N71+O71+P71</f>
        <v>33444825</v>
      </c>
      <c r="R71" s="19"/>
      <c r="S71" s="19"/>
      <c r="T71" s="29"/>
      <c r="V71" s="21">
        <f>T52-Q71</f>
        <v>0</v>
      </c>
    </row>
    <row r="72" spans="1:22">
      <c r="T72" s="28"/>
      <c r="V72" s="13"/>
    </row>
  </sheetData>
  <mergeCells count="206">
    <mergeCell ref="C49:D49"/>
    <mergeCell ref="F49:G49"/>
    <mergeCell ref="L49:M49"/>
    <mergeCell ref="C50:D50"/>
    <mergeCell ref="F50:G50"/>
    <mergeCell ref="L50:M50"/>
    <mergeCell ref="C51:D51"/>
    <mergeCell ref="F51:G51"/>
    <mergeCell ref="L51:M51"/>
    <mergeCell ref="C46:D46"/>
    <mergeCell ref="F46:G46"/>
    <mergeCell ref="L46:M46"/>
    <mergeCell ref="C47:D47"/>
    <mergeCell ref="F47:G47"/>
    <mergeCell ref="L47:M47"/>
    <mergeCell ref="C48:D48"/>
    <mergeCell ref="F48:G48"/>
    <mergeCell ref="L48:M48"/>
    <mergeCell ref="C43:D43"/>
    <mergeCell ref="F43:G43"/>
    <mergeCell ref="L43:M43"/>
    <mergeCell ref="C44:D44"/>
    <mergeCell ref="F44:G44"/>
    <mergeCell ref="L44:M44"/>
    <mergeCell ref="C45:D45"/>
    <mergeCell ref="F45:G45"/>
    <mergeCell ref="L45:M45"/>
    <mergeCell ref="C40:D40"/>
    <mergeCell ref="F40:G40"/>
    <mergeCell ref="L40:M40"/>
    <mergeCell ref="C41:D41"/>
    <mergeCell ref="F41:G41"/>
    <mergeCell ref="L41:M41"/>
    <mergeCell ref="C42:D42"/>
    <mergeCell ref="F42:G42"/>
    <mergeCell ref="L42:M42"/>
    <mergeCell ref="C37:D37"/>
    <mergeCell ref="F37:G37"/>
    <mergeCell ref="L37:M37"/>
    <mergeCell ref="C38:D38"/>
    <mergeCell ref="F38:G38"/>
    <mergeCell ref="L38:M38"/>
    <mergeCell ref="C39:D39"/>
    <mergeCell ref="F39:G39"/>
    <mergeCell ref="L39:M39"/>
    <mergeCell ref="C34:D34"/>
    <mergeCell ref="F34:G34"/>
    <mergeCell ref="L34:M34"/>
    <mergeCell ref="C35:D35"/>
    <mergeCell ref="F35:G35"/>
    <mergeCell ref="L35:M35"/>
    <mergeCell ref="C36:D36"/>
    <mergeCell ref="F36:G36"/>
    <mergeCell ref="L36:M36"/>
    <mergeCell ref="C31:D31"/>
    <mergeCell ref="F31:G31"/>
    <mergeCell ref="L31:M31"/>
    <mergeCell ref="C32:D32"/>
    <mergeCell ref="F32:G32"/>
    <mergeCell ref="L32:M32"/>
    <mergeCell ref="C33:D33"/>
    <mergeCell ref="F33:G33"/>
    <mergeCell ref="L33:M33"/>
    <mergeCell ref="C28:D28"/>
    <mergeCell ref="F28:G28"/>
    <mergeCell ref="L28:M28"/>
    <mergeCell ref="C29:D29"/>
    <mergeCell ref="F29:G29"/>
    <mergeCell ref="L29:M29"/>
    <mergeCell ref="C30:D30"/>
    <mergeCell ref="F30:G30"/>
    <mergeCell ref="L30:M30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A52:C52"/>
    <mergeCell ref="F52:G52"/>
    <mergeCell ref="L52:M52"/>
    <mergeCell ref="A53:C53"/>
    <mergeCell ref="F53:G53"/>
    <mergeCell ref="L53:M53"/>
    <mergeCell ref="C22:D22"/>
    <mergeCell ref="F22:G22"/>
    <mergeCell ref="L22:M22"/>
    <mergeCell ref="C23:D23"/>
    <mergeCell ref="F23:G23"/>
    <mergeCell ref="L23:M23"/>
    <mergeCell ref="C24:D24"/>
    <mergeCell ref="F24:G24"/>
    <mergeCell ref="L24:M24"/>
    <mergeCell ref="C25:D25"/>
    <mergeCell ref="F25:G25"/>
    <mergeCell ref="L25:M25"/>
    <mergeCell ref="C26:D26"/>
    <mergeCell ref="F26:G26"/>
    <mergeCell ref="L26:M26"/>
    <mergeCell ref="C27:D27"/>
    <mergeCell ref="F27:G27"/>
    <mergeCell ref="L27:M27"/>
    <mergeCell ref="L57:M57"/>
    <mergeCell ref="A58:B59"/>
    <mergeCell ref="F58:G58"/>
    <mergeCell ref="L58:M58"/>
    <mergeCell ref="F59:G59"/>
    <mergeCell ref="L59:M59"/>
    <mergeCell ref="A55:Q55"/>
    <mergeCell ref="A56:B57"/>
    <mergeCell ref="C56:C57"/>
    <mergeCell ref="D56:D57"/>
    <mergeCell ref="E56:E57"/>
    <mergeCell ref="F56:G57"/>
    <mergeCell ref="H56:J56"/>
    <mergeCell ref="K56:O56"/>
    <mergeCell ref="P56:P57"/>
    <mergeCell ref="Q56:Q57"/>
    <mergeCell ref="A64:B66"/>
    <mergeCell ref="F64:G64"/>
    <mergeCell ref="L64:M64"/>
    <mergeCell ref="F65:G65"/>
    <mergeCell ref="L65:M65"/>
    <mergeCell ref="F66:G66"/>
    <mergeCell ref="L66:M66"/>
    <mergeCell ref="A60:B63"/>
    <mergeCell ref="F60:G60"/>
    <mergeCell ref="L60:M60"/>
    <mergeCell ref="F61:G61"/>
    <mergeCell ref="L61:M61"/>
    <mergeCell ref="F62:G62"/>
    <mergeCell ref="L62:M62"/>
    <mergeCell ref="F63:G63"/>
    <mergeCell ref="L63:M63"/>
    <mergeCell ref="A70:C70"/>
    <mergeCell ref="D70:Q70"/>
    <mergeCell ref="A71:C71"/>
    <mergeCell ref="F71:G71"/>
    <mergeCell ref="L71:M71"/>
    <mergeCell ref="A67:B68"/>
    <mergeCell ref="F67:G67"/>
    <mergeCell ref="L67:M67"/>
    <mergeCell ref="F68:G68"/>
    <mergeCell ref="L68:M68"/>
    <mergeCell ref="A69:C69"/>
    <mergeCell ref="F69:G69"/>
    <mergeCell ref="L69:M69"/>
  </mergeCells>
  <pageMargins left="0.16" right="0.16" top="0.34" bottom="0.16" header="0.23" footer="0.16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X73"/>
  <sheetViews>
    <sheetView zoomScaleNormal="100" workbookViewId="0">
      <pane ySplit="2" topLeftCell="A33" activePane="bottomLeft" state="frozen"/>
      <selection pane="bottomLeft" activeCell="S37" sqref="S37"/>
    </sheetView>
  </sheetViews>
  <sheetFormatPr defaultRowHeight="15"/>
  <cols>
    <col min="1" max="1" width="8.7109375" style="2" customWidth="1"/>
    <col min="2" max="2" width="4.140625" style="2" customWidth="1"/>
    <col min="3" max="3" width="12.28515625" style="63" customWidth="1"/>
    <col min="4" max="4" width="8.28515625" style="63" customWidth="1"/>
    <col min="5" max="5" width="10" style="3" customWidth="1"/>
    <col min="6" max="6" width="5.140625" style="2" customWidth="1"/>
    <col min="7" max="7" width="1.855468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21" t="s">
        <v>359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3"/>
    </row>
    <row r="2" spans="1:23" s="6" customFormat="1" ht="12.75" customHeight="1">
      <c r="A2" s="424" t="s">
        <v>9</v>
      </c>
      <c r="B2" s="424" t="s">
        <v>13</v>
      </c>
      <c r="C2" s="341" t="s">
        <v>23</v>
      </c>
      <c r="D2" s="431"/>
      <c r="E2" s="426" t="s">
        <v>15</v>
      </c>
      <c r="F2" s="347" t="s">
        <v>0</v>
      </c>
      <c r="G2" s="339"/>
      <c r="H2" s="348"/>
      <c r="I2" s="349" t="s">
        <v>39</v>
      </c>
      <c r="J2" s="350"/>
      <c r="K2" s="350"/>
      <c r="L2" s="351"/>
      <c r="M2" s="348"/>
      <c r="N2" s="349" t="s">
        <v>1</v>
      </c>
      <c r="O2" s="350"/>
      <c r="P2" s="348"/>
      <c r="Q2" s="352" t="s">
        <v>2</v>
      </c>
      <c r="R2" s="353"/>
      <c r="S2" s="342" t="s">
        <v>14</v>
      </c>
      <c r="T2" s="312" t="s">
        <v>12</v>
      </c>
    </row>
    <row r="3" spans="1:23" s="6" customFormat="1" ht="24.75" customHeight="1" thickBot="1">
      <c r="A3" s="428"/>
      <c r="B3" s="428"/>
      <c r="C3" s="432"/>
      <c r="D3" s="433"/>
      <c r="E3" s="428"/>
      <c r="F3" s="314" t="s">
        <v>3</v>
      </c>
      <c r="G3" s="429"/>
      <c r="H3" s="9" t="s">
        <v>4</v>
      </c>
      <c r="I3" s="10" t="s">
        <v>22</v>
      </c>
      <c r="J3" s="11" t="s">
        <v>7</v>
      </c>
      <c r="K3" s="11" t="s">
        <v>17</v>
      </c>
      <c r="L3" s="316" t="s">
        <v>18</v>
      </c>
      <c r="M3" s="43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33"/>
      <c r="T3" s="428"/>
    </row>
    <row r="4" spans="1:23" s="18" customFormat="1" ht="15.75" customHeight="1" thickBot="1">
      <c r="A4" s="261" t="s">
        <v>35</v>
      </c>
      <c r="B4" s="30"/>
      <c r="C4" s="318"/>
      <c r="D4" s="319"/>
      <c r="E4" s="31"/>
      <c r="F4" s="318">
        <v>4176</v>
      </c>
      <c r="G4" s="320"/>
      <c r="H4" s="263">
        <v>24000</v>
      </c>
      <c r="I4" s="32">
        <v>168090</v>
      </c>
      <c r="J4" s="33">
        <v>2160</v>
      </c>
      <c r="K4" s="263">
        <v>9526</v>
      </c>
      <c r="L4" s="321">
        <v>1782</v>
      </c>
      <c r="M4" s="319"/>
      <c r="N4" s="262">
        <v>46776</v>
      </c>
      <c r="O4" s="263">
        <v>26472</v>
      </c>
      <c r="P4" s="34">
        <v>229560</v>
      </c>
      <c r="Q4" s="262">
        <v>41508</v>
      </c>
      <c r="R4" s="34">
        <v>7056</v>
      </c>
      <c r="S4" s="35">
        <f t="shared" ref="S4:S51" si="0">SUM(F4:R4)</f>
        <v>561106</v>
      </c>
      <c r="T4" s="36">
        <v>179282036</v>
      </c>
    </row>
    <row r="5" spans="1:23" s="20" customFormat="1" ht="13.5" customHeight="1" thickBot="1">
      <c r="A5" s="264" t="s">
        <v>360</v>
      </c>
      <c r="B5" s="150">
        <v>219</v>
      </c>
      <c r="C5" s="326" t="s">
        <v>361</v>
      </c>
      <c r="D5" s="327"/>
      <c r="E5" s="151" t="s">
        <v>8</v>
      </c>
      <c r="F5" s="328"/>
      <c r="G5" s="329"/>
      <c r="H5" s="265">
        <v>1920</v>
      </c>
      <c r="I5" s="39">
        <v>300</v>
      </c>
      <c r="J5" s="40"/>
      <c r="K5" s="40">
        <v>330</v>
      </c>
      <c r="L5" s="330"/>
      <c r="M5" s="331"/>
      <c r="N5" s="39">
        <v>240</v>
      </c>
      <c r="O5" s="265">
        <v>240</v>
      </c>
      <c r="P5" s="41">
        <v>3840</v>
      </c>
      <c r="Q5" s="39">
        <v>240</v>
      </c>
      <c r="R5" s="41"/>
      <c r="S5" s="148">
        <f t="shared" si="0"/>
        <v>7110</v>
      </c>
      <c r="T5" s="43">
        <v>2257163</v>
      </c>
    </row>
    <row r="6" spans="1:23" ht="15.75" customHeight="1" thickBot="1">
      <c r="A6" s="266" t="s">
        <v>362</v>
      </c>
      <c r="B6" s="150">
        <v>220</v>
      </c>
      <c r="C6" s="322" t="s">
        <v>284</v>
      </c>
      <c r="D6" s="323"/>
      <c r="E6" s="44" t="s">
        <v>363</v>
      </c>
      <c r="F6" s="324"/>
      <c r="G6" s="325"/>
      <c r="H6" s="249">
        <v>24</v>
      </c>
      <c r="I6" s="47"/>
      <c r="J6" s="51"/>
      <c r="K6" s="51">
        <v>22</v>
      </c>
      <c r="L6" s="310">
        <v>22</v>
      </c>
      <c r="M6" s="311"/>
      <c r="N6" s="47"/>
      <c r="O6" s="249"/>
      <c r="P6" s="48"/>
      <c r="Q6" s="47"/>
      <c r="R6" s="48"/>
      <c r="S6" s="148">
        <f t="shared" si="0"/>
        <v>68</v>
      </c>
      <c r="T6" s="53">
        <v>24093</v>
      </c>
    </row>
    <row r="7" spans="1:23" ht="15.75" customHeight="1" thickBot="1">
      <c r="A7" s="266" t="s">
        <v>364</v>
      </c>
      <c r="B7" s="150">
        <v>221</v>
      </c>
      <c r="C7" s="322" t="s">
        <v>316</v>
      </c>
      <c r="D7" s="323"/>
      <c r="E7" s="44" t="s">
        <v>318</v>
      </c>
      <c r="F7" s="324"/>
      <c r="G7" s="325"/>
      <c r="H7" s="249"/>
      <c r="I7" s="47"/>
      <c r="J7" s="51"/>
      <c r="K7" s="51"/>
      <c r="L7" s="310"/>
      <c r="M7" s="311"/>
      <c r="N7" s="47"/>
      <c r="O7" s="249"/>
      <c r="P7" s="48">
        <v>120</v>
      </c>
      <c r="Q7" s="47"/>
      <c r="R7" s="48"/>
      <c r="S7" s="148">
        <f t="shared" si="0"/>
        <v>120</v>
      </c>
      <c r="T7" s="53">
        <v>39858</v>
      </c>
    </row>
    <row r="8" spans="1:23" ht="15" customHeight="1" thickBot="1">
      <c r="A8" s="270" t="s">
        <v>365</v>
      </c>
      <c r="B8" s="150">
        <v>222</v>
      </c>
      <c r="C8" s="324" t="s">
        <v>366</v>
      </c>
      <c r="D8" s="311"/>
      <c r="E8" s="44" t="s">
        <v>101</v>
      </c>
      <c r="F8" s="324"/>
      <c r="G8" s="325"/>
      <c r="H8" s="249"/>
      <c r="I8" s="47"/>
      <c r="J8" s="51"/>
      <c r="K8" s="51"/>
      <c r="L8" s="249"/>
      <c r="M8" s="250"/>
      <c r="N8" s="47"/>
      <c r="O8" s="249"/>
      <c r="P8" s="48">
        <v>480</v>
      </c>
      <c r="Q8" s="47"/>
      <c r="R8" s="48"/>
      <c r="S8" s="148">
        <f t="shared" si="0"/>
        <v>480</v>
      </c>
      <c r="T8" s="53">
        <v>155595</v>
      </c>
    </row>
    <row r="9" spans="1:23" ht="15.75" customHeight="1" thickBot="1">
      <c r="A9" s="270" t="s">
        <v>367</v>
      </c>
      <c r="B9" s="150">
        <v>223</v>
      </c>
      <c r="C9" s="414" t="s">
        <v>293</v>
      </c>
      <c r="D9" s="333"/>
      <c r="E9" s="44" t="s">
        <v>294</v>
      </c>
      <c r="F9" s="324"/>
      <c r="G9" s="325"/>
      <c r="H9" s="249">
        <v>240</v>
      </c>
      <c r="I9" s="47">
        <v>90</v>
      </c>
      <c r="J9" s="51"/>
      <c r="K9" s="51"/>
      <c r="L9" s="249"/>
      <c r="M9" s="250"/>
      <c r="N9" s="47"/>
      <c r="O9" s="249"/>
      <c r="P9" s="48">
        <v>240</v>
      </c>
      <c r="Q9" s="47">
        <v>24</v>
      </c>
      <c r="R9" s="48"/>
      <c r="S9" s="148">
        <f t="shared" si="0"/>
        <v>594</v>
      </c>
      <c r="T9" s="53">
        <v>195275</v>
      </c>
      <c r="W9" s="120"/>
    </row>
    <row r="10" spans="1:23" ht="15.75" customHeight="1" thickBot="1">
      <c r="A10" s="270" t="s">
        <v>368</v>
      </c>
      <c r="B10" s="150">
        <v>224</v>
      </c>
      <c r="C10" s="324" t="s">
        <v>331</v>
      </c>
      <c r="D10" s="311"/>
      <c r="E10" s="44" t="s">
        <v>20</v>
      </c>
      <c r="F10" s="324"/>
      <c r="G10" s="325"/>
      <c r="H10" s="249"/>
      <c r="I10" s="47"/>
      <c r="J10" s="51"/>
      <c r="K10" s="51"/>
      <c r="L10" s="310"/>
      <c r="M10" s="311"/>
      <c r="N10" s="47">
        <v>1200</v>
      </c>
      <c r="O10" s="249">
        <v>1200</v>
      </c>
      <c r="P10" s="48">
        <v>3600</v>
      </c>
      <c r="Q10" s="47"/>
      <c r="R10" s="48"/>
      <c r="S10" s="148">
        <f t="shared" si="0"/>
        <v>6000</v>
      </c>
      <c r="T10" s="53">
        <v>1862494</v>
      </c>
    </row>
    <row r="11" spans="1:23" ht="15.75" customHeight="1" thickBot="1">
      <c r="A11" s="270" t="s">
        <v>368</v>
      </c>
      <c r="B11" s="150">
        <v>225</v>
      </c>
      <c r="C11" s="324" t="s">
        <v>396</v>
      </c>
      <c r="D11" s="311"/>
      <c r="E11" s="44" t="s">
        <v>354</v>
      </c>
      <c r="F11" s="324">
        <v>24</v>
      </c>
      <c r="G11" s="325"/>
      <c r="H11" s="249">
        <v>96</v>
      </c>
      <c r="I11" s="47"/>
      <c r="J11" s="51"/>
      <c r="K11" s="51"/>
      <c r="L11" s="310"/>
      <c r="M11" s="311"/>
      <c r="N11" s="47">
        <v>48</v>
      </c>
      <c r="O11" s="249">
        <v>48</v>
      </c>
      <c r="P11" s="48"/>
      <c r="Q11" s="47">
        <v>72</v>
      </c>
      <c r="R11" s="48"/>
      <c r="S11" s="148">
        <f t="shared" si="0"/>
        <v>288</v>
      </c>
      <c r="T11" s="53">
        <v>94365</v>
      </c>
    </row>
    <row r="12" spans="1:23" ht="15.75" customHeight="1" thickBot="1">
      <c r="A12" s="270" t="s">
        <v>368</v>
      </c>
      <c r="B12" s="150">
        <v>226</v>
      </c>
      <c r="C12" s="322" t="s">
        <v>323</v>
      </c>
      <c r="D12" s="323"/>
      <c r="E12" s="55" t="s">
        <v>11</v>
      </c>
      <c r="F12" s="324"/>
      <c r="G12" s="325"/>
      <c r="H12" s="249"/>
      <c r="I12" s="47">
        <v>6600</v>
      </c>
      <c r="J12" s="51">
        <v>96</v>
      </c>
      <c r="K12" s="51"/>
      <c r="L12" s="310"/>
      <c r="M12" s="311"/>
      <c r="N12" s="47">
        <v>840</v>
      </c>
      <c r="O12" s="249">
        <v>600</v>
      </c>
      <c r="P12" s="48">
        <v>2400</v>
      </c>
      <c r="Q12" s="47">
        <v>1200</v>
      </c>
      <c r="R12" s="48">
        <v>1800</v>
      </c>
      <c r="S12" s="148">
        <f t="shared" si="0"/>
        <v>13536</v>
      </c>
      <c r="T12" s="53">
        <v>4261997</v>
      </c>
    </row>
    <row r="13" spans="1:23" ht="15.75" customHeight="1" thickBot="1">
      <c r="A13" s="270" t="s">
        <v>369</v>
      </c>
      <c r="B13" s="150">
        <v>227</v>
      </c>
      <c r="C13" s="322" t="s">
        <v>290</v>
      </c>
      <c r="D13" s="323"/>
      <c r="E13" s="44" t="s">
        <v>291</v>
      </c>
      <c r="F13" s="324"/>
      <c r="G13" s="325"/>
      <c r="H13" s="249"/>
      <c r="I13" s="47"/>
      <c r="J13" s="51"/>
      <c r="K13" s="51"/>
      <c r="L13" s="310"/>
      <c r="M13" s="311"/>
      <c r="N13" s="47"/>
      <c r="O13" s="249"/>
      <c r="P13" s="48"/>
      <c r="Q13" s="47">
        <v>120</v>
      </c>
      <c r="R13" s="48"/>
      <c r="S13" s="148">
        <f t="shared" si="0"/>
        <v>120</v>
      </c>
      <c r="T13" s="53">
        <v>45373</v>
      </c>
    </row>
    <row r="14" spans="1:23" ht="15" customHeight="1" thickBot="1">
      <c r="A14" s="270" t="s">
        <v>370</v>
      </c>
      <c r="B14" s="150">
        <v>228</v>
      </c>
      <c r="C14" s="324" t="s">
        <v>371</v>
      </c>
      <c r="D14" s="311"/>
      <c r="E14" s="44" t="s">
        <v>314</v>
      </c>
      <c r="F14" s="324"/>
      <c r="G14" s="325"/>
      <c r="H14" s="249"/>
      <c r="I14" s="47"/>
      <c r="J14" s="51"/>
      <c r="K14" s="51"/>
      <c r="L14" s="310"/>
      <c r="M14" s="311"/>
      <c r="N14" s="248"/>
      <c r="O14" s="249"/>
      <c r="P14" s="48">
        <v>120</v>
      </c>
      <c r="Q14" s="248"/>
      <c r="R14" s="48"/>
      <c r="S14" s="148">
        <f t="shared" si="0"/>
        <v>120</v>
      </c>
      <c r="T14" s="53">
        <v>38899</v>
      </c>
    </row>
    <row r="15" spans="1:23" ht="15.75" thickBot="1">
      <c r="A15" s="270" t="s">
        <v>370</v>
      </c>
      <c r="B15" s="150">
        <v>229</v>
      </c>
      <c r="C15" s="322" t="s">
        <v>361</v>
      </c>
      <c r="D15" s="323"/>
      <c r="E15" s="44" t="s">
        <v>19</v>
      </c>
      <c r="F15" s="324">
        <v>480</v>
      </c>
      <c r="G15" s="325"/>
      <c r="H15" s="249">
        <v>1200</v>
      </c>
      <c r="I15" s="47">
        <v>900</v>
      </c>
      <c r="J15" s="51"/>
      <c r="K15" s="51"/>
      <c r="L15" s="310"/>
      <c r="M15" s="311"/>
      <c r="N15" s="248">
        <v>840</v>
      </c>
      <c r="O15" s="249">
        <v>360</v>
      </c>
      <c r="P15" s="48">
        <v>4200</v>
      </c>
      <c r="Q15" s="248"/>
      <c r="R15" s="54"/>
      <c r="S15" s="148">
        <f t="shared" si="0"/>
        <v>7980</v>
      </c>
      <c r="T15" s="53">
        <v>2482756</v>
      </c>
    </row>
    <row r="16" spans="1:23" ht="15.75" customHeight="1" thickBot="1">
      <c r="A16" s="269" t="s">
        <v>370</v>
      </c>
      <c r="B16" s="150">
        <v>230</v>
      </c>
      <c r="C16" s="324" t="s">
        <v>361</v>
      </c>
      <c r="D16" s="311"/>
      <c r="E16" s="44" t="s">
        <v>8</v>
      </c>
      <c r="F16" s="324">
        <v>360</v>
      </c>
      <c r="G16" s="325"/>
      <c r="H16" s="249">
        <v>240</v>
      </c>
      <c r="I16" s="47">
        <v>600</v>
      </c>
      <c r="J16" s="51"/>
      <c r="K16" s="51">
        <v>220</v>
      </c>
      <c r="L16" s="310">
        <v>220</v>
      </c>
      <c r="M16" s="311"/>
      <c r="N16" s="248"/>
      <c r="O16" s="249"/>
      <c r="P16" s="48">
        <v>3600</v>
      </c>
      <c r="Q16" s="248">
        <v>120</v>
      </c>
      <c r="R16" s="54"/>
      <c r="S16" s="148">
        <f t="shared" si="0"/>
        <v>5360</v>
      </c>
      <c r="T16" s="53">
        <v>1683487</v>
      </c>
    </row>
    <row r="17" spans="1:22" s="240" customFormat="1" ht="15.75" customHeight="1" thickBot="1">
      <c r="A17" s="271" t="s">
        <v>372</v>
      </c>
      <c r="B17" s="150">
        <v>231</v>
      </c>
      <c r="C17" s="415" t="s">
        <v>335</v>
      </c>
      <c r="D17" s="416"/>
      <c r="E17" s="232" t="s">
        <v>336</v>
      </c>
      <c r="F17" s="417"/>
      <c r="G17" s="418"/>
      <c r="H17" s="268">
        <v>48</v>
      </c>
      <c r="I17" s="234"/>
      <c r="J17" s="235"/>
      <c r="K17" s="235"/>
      <c r="L17" s="419"/>
      <c r="M17" s="420"/>
      <c r="N17" s="267"/>
      <c r="O17" s="268"/>
      <c r="P17" s="236"/>
      <c r="Q17" s="267"/>
      <c r="R17" s="237"/>
      <c r="S17" s="148">
        <f t="shared" si="0"/>
        <v>48</v>
      </c>
      <c r="T17" s="239">
        <v>16133</v>
      </c>
      <c r="V17" s="1"/>
    </row>
    <row r="18" spans="1:22" ht="15.75" customHeight="1" thickBot="1">
      <c r="A18" s="271" t="s">
        <v>372</v>
      </c>
      <c r="B18" s="150">
        <v>232</v>
      </c>
      <c r="C18" s="324" t="s">
        <v>373</v>
      </c>
      <c r="D18" s="311"/>
      <c r="E18" s="55" t="s">
        <v>294</v>
      </c>
      <c r="F18" s="324"/>
      <c r="G18" s="325"/>
      <c r="H18" s="249"/>
      <c r="I18" s="47"/>
      <c r="J18" s="51"/>
      <c r="K18" s="51"/>
      <c r="L18" s="310"/>
      <c r="M18" s="311"/>
      <c r="N18" s="248"/>
      <c r="O18" s="249"/>
      <c r="P18" s="48">
        <v>120</v>
      </c>
      <c r="Q18" s="248"/>
      <c r="R18" s="54"/>
      <c r="S18" s="148">
        <f t="shared" si="0"/>
        <v>120</v>
      </c>
      <c r="T18" s="53">
        <v>38899</v>
      </c>
    </row>
    <row r="19" spans="1:22" ht="15.75" customHeight="1" thickBot="1">
      <c r="A19" s="271" t="s">
        <v>372</v>
      </c>
      <c r="B19" s="150">
        <v>233</v>
      </c>
      <c r="C19" s="324" t="s">
        <v>323</v>
      </c>
      <c r="D19" s="311"/>
      <c r="E19" s="44" t="s">
        <v>11</v>
      </c>
      <c r="F19" s="324"/>
      <c r="G19" s="325"/>
      <c r="H19" s="286"/>
      <c r="I19" s="285">
        <v>8700</v>
      </c>
      <c r="J19" s="308"/>
      <c r="K19" s="51"/>
      <c r="L19" s="310"/>
      <c r="M19" s="311"/>
      <c r="N19" s="248">
        <v>480</v>
      </c>
      <c r="O19" s="249">
        <v>120</v>
      </c>
      <c r="P19" s="48">
        <v>1440</v>
      </c>
      <c r="Q19" s="248">
        <v>900</v>
      </c>
      <c r="R19" s="54">
        <v>2052</v>
      </c>
      <c r="S19" s="148">
        <f t="shared" si="0"/>
        <v>13692</v>
      </c>
      <c r="T19" s="53">
        <v>4281238</v>
      </c>
    </row>
    <row r="20" spans="1:22" ht="15.75" customHeight="1" thickBot="1">
      <c r="A20" s="272" t="s">
        <v>374</v>
      </c>
      <c r="B20" s="150">
        <v>234</v>
      </c>
      <c r="C20" s="324" t="s">
        <v>319</v>
      </c>
      <c r="D20" s="311"/>
      <c r="E20" s="44" t="s">
        <v>10</v>
      </c>
      <c r="F20" s="324"/>
      <c r="G20" s="325"/>
      <c r="H20" s="249"/>
      <c r="I20" s="47">
        <v>2100</v>
      </c>
      <c r="J20" s="51"/>
      <c r="K20" s="51"/>
      <c r="L20" s="310"/>
      <c r="M20" s="311"/>
      <c r="N20" s="248">
        <v>480</v>
      </c>
      <c r="O20" s="249">
        <v>240</v>
      </c>
      <c r="P20" s="48">
        <v>2400</v>
      </c>
      <c r="Q20" s="248"/>
      <c r="R20" s="54"/>
      <c r="S20" s="148">
        <f t="shared" si="0"/>
        <v>5220</v>
      </c>
      <c r="T20" s="53">
        <v>1593932</v>
      </c>
    </row>
    <row r="21" spans="1:22" ht="15.75" customHeight="1" thickBot="1">
      <c r="A21" s="272" t="s">
        <v>374</v>
      </c>
      <c r="B21" s="150">
        <v>235</v>
      </c>
      <c r="C21" s="324" t="s">
        <v>320</v>
      </c>
      <c r="D21" s="311"/>
      <c r="E21" s="44" t="s">
        <v>10</v>
      </c>
      <c r="F21" s="324"/>
      <c r="G21" s="325"/>
      <c r="H21" s="249"/>
      <c r="I21" s="47"/>
      <c r="J21" s="51"/>
      <c r="K21" s="51"/>
      <c r="L21" s="310"/>
      <c r="M21" s="311"/>
      <c r="N21" s="248">
        <v>480</v>
      </c>
      <c r="O21" s="249"/>
      <c r="P21" s="48">
        <v>600</v>
      </c>
      <c r="Q21" s="248"/>
      <c r="R21" s="54"/>
      <c r="S21" s="148">
        <f t="shared" si="0"/>
        <v>1080</v>
      </c>
      <c r="T21" s="53">
        <v>334264</v>
      </c>
    </row>
    <row r="22" spans="1:22" ht="15.75" customHeight="1" thickBot="1">
      <c r="A22" s="272" t="s">
        <v>374</v>
      </c>
      <c r="B22" s="150">
        <v>236</v>
      </c>
      <c r="C22" s="322" t="s">
        <v>321</v>
      </c>
      <c r="D22" s="323"/>
      <c r="E22" s="44" t="s">
        <v>10</v>
      </c>
      <c r="F22" s="324"/>
      <c r="G22" s="325"/>
      <c r="H22" s="249"/>
      <c r="I22" s="47">
        <v>900</v>
      </c>
      <c r="J22" s="51"/>
      <c r="K22" s="51"/>
      <c r="L22" s="310"/>
      <c r="M22" s="311"/>
      <c r="N22" s="248">
        <v>240</v>
      </c>
      <c r="O22" s="249">
        <v>240</v>
      </c>
      <c r="P22" s="48">
        <v>600</v>
      </c>
      <c r="Q22" s="248"/>
      <c r="R22" s="54"/>
      <c r="S22" s="148">
        <f t="shared" si="0"/>
        <v>1980</v>
      </c>
      <c r="T22" s="53">
        <v>601938</v>
      </c>
    </row>
    <row r="23" spans="1:22" ht="15.75" customHeight="1" thickBot="1">
      <c r="A23" s="272" t="s">
        <v>375</v>
      </c>
      <c r="B23" s="150">
        <v>237</v>
      </c>
      <c r="C23" s="322" t="s">
        <v>376</v>
      </c>
      <c r="D23" s="323"/>
      <c r="E23" s="44" t="s">
        <v>377</v>
      </c>
      <c r="F23" s="324"/>
      <c r="G23" s="325"/>
      <c r="H23" s="249"/>
      <c r="I23" s="47"/>
      <c r="J23" s="51"/>
      <c r="K23" s="51"/>
      <c r="L23" s="310"/>
      <c r="M23" s="311"/>
      <c r="N23" s="248"/>
      <c r="O23" s="249"/>
      <c r="P23" s="48">
        <v>168</v>
      </c>
      <c r="Q23" s="248"/>
      <c r="R23" s="54"/>
      <c r="S23" s="148">
        <f t="shared" si="0"/>
        <v>168</v>
      </c>
      <c r="T23" s="53">
        <v>54458</v>
      </c>
    </row>
    <row r="24" spans="1:22" ht="15.75" customHeight="1" thickBot="1">
      <c r="A24" s="272" t="s">
        <v>378</v>
      </c>
      <c r="B24" s="150">
        <v>238</v>
      </c>
      <c r="C24" s="322" t="s">
        <v>379</v>
      </c>
      <c r="D24" s="323"/>
      <c r="E24" s="44" t="s">
        <v>380</v>
      </c>
      <c r="F24" s="324"/>
      <c r="G24" s="325"/>
      <c r="H24" s="249"/>
      <c r="I24" s="47"/>
      <c r="J24" s="51"/>
      <c r="K24" s="51"/>
      <c r="L24" s="310"/>
      <c r="M24" s="311"/>
      <c r="N24" s="248"/>
      <c r="O24" s="249"/>
      <c r="P24" s="48">
        <v>48</v>
      </c>
      <c r="Q24" s="248"/>
      <c r="R24" s="54"/>
      <c r="S24" s="148">
        <f t="shared" si="0"/>
        <v>48</v>
      </c>
      <c r="T24" s="53">
        <v>15559</v>
      </c>
    </row>
    <row r="25" spans="1:22" ht="15.75" customHeight="1" thickBot="1">
      <c r="A25" s="272" t="s">
        <v>378</v>
      </c>
      <c r="B25" s="150">
        <v>239</v>
      </c>
      <c r="C25" s="322" t="s">
        <v>284</v>
      </c>
      <c r="D25" s="323"/>
      <c r="E25" s="44" t="s">
        <v>381</v>
      </c>
      <c r="F25" s="324"/>
      <c r="G25" s="325"/>
      <c r="H25" s="249">
        <v>24</v>
      </c>
      <c r="I25" s="47"/>
      <c r="J25" s="51"/>
      <c r="K25" s="51"/>
      <c r="L25" s="310"/>
      <c r="M25" s="311"/>
      <c r="N25" s="248"/>
      <c r="O25" s="249"/>
      <c r="P25" s="48"/>
      <c r="Q25" s="248"/>
      <c r="R25" s="54"/>
      <c r="S25" s="148">
        <f t="shared" si="0"/>
        <v>24</v>
      </c>
      <c r="T25" s="53">
        <v>8067</v>
      </c>
    </row>
    <row r="26" spans="1:22" ht="15.75" customHeight="1" thickBot="1">
      <c r="A26" s="272" t="s">
        <v>382</v>
      </c>
      <c r="B26" s="150">
        <v>240</v>
      </c>
      <c r="C26" s="322" t="s">
        <v>361</v>
      </c>
      <c r="D26" s="323"/>
      <c r="E26" s="44" t="s">
        <v>8</v>
      </c>
      <c r="F26" s="324">
        <v>24</v>
      </c>
      <c r="G26" s="325"/>
      <c r="H26" s="249">
        <v>360</v>
      </c>
      <c r="I26" s="47">
        <v>90</v>
      </c>
      <c r="J26" s="51"/>
      <c r="K26" s="51">
        <v>110</v>
      </c>
      <c r="L26" s="310">
        <v>110</v>
      </c>
      <c r="M26" s="311"/>
      <c r="N26" s="248"/>
      <c r="O26" s="249"/>
      <c r="P26" s="48">
        <v>960</v>
      </c>
      <c r="Q26" s="248"/>
      <c r="R26" s="54"/>
      <c r="S26" s="148">
        <f t="shared" si="0"/>
        <v>1654</v>
      </c>
      <c r="T26" s="53">
        <v>525106</v>
      </c>
    </row>
    <row r="27" spans="1:22" ht="15.75" customHeight="1" thickBot="1">
      <c r="A27" s="272" t="s">
        <v>383</v>
      </c>
      <c r="B27" s="150">
        <v>241</v>
      </c>
      <c r="C27" s="322" t="s">
        <v>371</v>
      </c>
      <c r="D27" s="323"/>
      <c r="E27" s="44" t="s">
        <v>314</v>
      </c>
      <c r="F27" s="324"/>
      <c r="G27" s="325"/>
      <c r="H27" s="249">
        <v>72</v>
      </c>
      <c r="I27" s="47"/>
      <c r="J27" s="51"/>
      <c r="K27" s="51"/>
      <c r="L27" s="310"/>
      <c r="M27" s="311"/>
      <c r="N27" s="248"/>
      <c r="O27" s="249"/>
      <c r="P27" s="48">
        <v>24</v>
      </c>
      <c r="Q27" s="248">
        <v>36</v>
      </c>
      <c r="R27" s="54"/>
      <c r="S27" s="148">
        <f t="shared" si="0"/>
        <v>132</v>
      </c>
      <c r="T27" s="53">
        <v>45591</v>
      </c>
    </row>
    <row r="28" spans="1:22" ht="15.75" customHeight="1" thickBot="1">
      <c r="A28" s="272" t="s">
        <v>383</v>
      </c>
      <c r="B28" s="150">
        <v>242</v>
      </c>
      <c r="C28" s="322" t="s">
        <v>373</v>
      </c>
      <c r="D28" s="323"/>
      <c r="E28" s="44" t="s">
        <v>294</v>
      </c>
      <c r="F28" s="324"/>
      <c r="G28" s="325"/>
      <c r="H28" s="249"/>
      <c r="I28" s="47"/>
      <c r="J28" s="51"/>
      <c r="K28" s="51"/>
      <c r="L28" s="310"/>
      <c r="M28" s="311"/>
      <c r="N28" s="248"/>
      <c r="O28" s="249"/>
      <c r="P28" s="48">
        <v>120</v>
      </c>
      <c r="Q28" s="248"/>
      <c r="R28" s="54"/>
      <c r="S28" s="148">
        <f t="shared" si="0"/>
        <v>120</v>
      </c>
      <c r="T28" s="53">
        <v>38899</v>
      </c>
    </row>
    <row r="29" spans="1:22" ht="15.75" customHeight="1" thickBot="1">
      <c r="A29" s="272" t="s">
        <v>383</v>
      </c>
      <c r="B29" s="150">
        <v>243</v>
      </c>
      <c r="C29" s="322" t="s">
        <v>323</v>
      </c>
      <c r="D29" s="323"/>
      <c r="E29" s="44" t="s">
        <v>11</v>
      </c>
      <c r="F29" s="324">
        <v>72</v>
      </c>
      <c r="G29" s="325"/>
      <c r="H29" s="249">
        <v>72</v>
      </c>
      <c r="I29" s="47">
        <v>4800</v>
      </c>
      <c r="J29" s="51"/>
      <c r="K29" s="51">
        <v>110</v>
      </c>
      <c r="L29" s="310"/>
      <c r="M29" s="311"/>
      <c r="N29" s="248">
        <v>600</v>
      </c>
      <c r="O29" s="249">
        <v>480</v>
      </c>
      <c r="P29" s="48">
        <v>2400</v>
      </c>
      <c r="Q29" s="248">
        <v>1200</v>
      </c>
      <c r="R29" s="54">
        <v>3360</v>
      </c>
      <c r="S29" s="148">
        <f t="shared" si="0"/>
        <v>13094</v>
      </c>
      <c r="T29" s="53">
        <v>4262697</v>
      </c>
    </row>
    <row r="30" spans="1:22" ht="15.75" customHeight="1" thickBot="1">
      <c r="A30" s="272" t="s">
        <v>383</v>
      </c>
      <c r="B30" s="150">
        <v>244</v>
      </c>
      <c r="C30" s="322" t="s">
        <v>319</v>
      </c>
      <c r="D30" s="323"/>
      <c r="E30" s="44" t="s">
        <v>10</v>
      </c>
      <c r="F30" s="324"/>
      <c r="G30" s="325"/>
      <c r="H30" s="249"/>
      <c r="I30" s="47">
        <v>1800</v>
      </c>
      <c r="J30" s="51"/>
      <c r="K30" s="51"/>
      <c r="L30" s="310"/>
      <c r="M30" s="311"/>
      <c r="N30" s="248"/>
      <c r="O30" s="249"/>
      <c r="P30" s="48">
        <v>3000</v>
      </c>
      <c r="Q30" s="248"/>
      <c r="R30" s="54"/>
      <c r="S30" s="148">
        <f t="shared" si="0"/>
        <v>4800</v>
      </c>
      <c r="T30" s="53">
        <v>1471756</v>
      </c>
    </row>
    <row r="31" spans="1:22" ht="15.75" customHeight="1" thickBot="1">
      <c r="A31" s="278" t="s">
        <v>384</v>
      </c>
      <c r="B31" s="150">
        <v>245</v>
      </c>
      <c r="C31" s="322" t="s">
        <v>385</v>
      </c>
      <c r="D31" s="323"/>
      <c r="E31" s="44" t="s">
        <v>315</v>
      </c>
      <c r="F31" s="324"/>
      <c r="G31" s="325"/>
      <c r="H31" s="249"/>
      <c r="I31" s="47"/>
      <c r="J31" s="51"/>
      <c r="K31" s="51"/>
      <c r="L31" s="310"/>
      <c r="M31" s="311"/>
      <c r="N31" s="248"/>
      <c r="O31" s="249"/>
      <c r="P31" s="48"/>
      <c r="Q31" s="248">
        <v>60</v>
      </c>
      <c r="R31" s="54"/>
      <c r="S31" s="148">
        <f t="shared" si="0"/>
        <v>60</v>
      </c>
      <c r="T31" s="53">
        <v>22686</v>
      </c>
    </row>
    <row r="32" spans="1:22" ht="15.75" customHeight="1" thickBot="1">
      <c r="A32" s="278" t="s">
        <v>386</v>
      </c>
      <c r="B32" s="150">
        <v>246</v>
      </c>
      <c r="C32" s="322" t="s">
        <v>387</v>
      </c>
      <c r="D32" s="323"/>
      <c r="E32" s="44" t="s">
        <v>388</v>
      </c>
      <c r="F32" s="324"/>
      <c r="G32" s="325"/>
      <c r="H32" s="249">
        <v>48</v>
      </c>
      <c r="I32" s="47"/>
      <c r="J32" s="51"/>
      <c r="K32" s="51"/>
      <c r="L32" s="310"/>
      <c r="M32" s="311"/>
      <c r="N32" s="248"/>
      <c r="O32" s="249"/>
      <c r="P32" s="48">
        <v>240</v>
      </c>
      <c r="Q32" s="248"/>
      <c r="R32" s="54"/>
      <c r="S32" s="148">
        <f t="shared" si="0"/>
        <v>288</v>
      </c>
      <c r="T32" s="53">
        <v>93930</v>
      </c>
    </row>
    <row r="33" spans="1:20" ht="15.75" customHeight="1" thickBot="1">
      <c r="A33" s="278" t="s">
        <v>386</v>
      </c>
      <c r="B33" s="150">
        <v>247</v>
      </c>
      <c r="C33" s="322" t="s">
        <v>295</v>
      </c>
      <c r="D33" s="323"/>
      <c r="E33" s="44" t="s">
        <v>46</v>
      </c>
      <c r="F33" s="324"/>
      <c r="G33" s="325"/>
      <c r="H33" s="249"/>
      <c r="I33" s="47">
        <v>300</v>
      </c>
      <c r="J33" s="51"/>
      <c r="K33" s="51"/>
      <c r="L33" s="310"/>
      <c r="M33" s="311"/>
      <c r="N33" s="248"/>
      <c r="O33" s="249"/>
      <c r="P33" s="48">
        <v>240</v>
      </c>
      <c r="Q33" s="248"/>
      <c r="R33" s="54"/>
      <c r="S33" s="148">
        <f t="shared" si="0"/>
        <v>540</v>
      </c>
      <c r="T33" s="53">
        <v>170256</v>
      </c>
    </row>
    <row r="34" spans="1:20" ht="15.75" customHeight="1" thickBot="1">
      <c r="A34" s="282" t="s">
        <v>386</v>
      </c>
      <c r="B34" s="150">
        <v>248</v>
      </c>
      <c r="C34" s="324" t="s">
        <v>316</v>
      </c>
      <c r="D34" s="311"/>
      <c r="E34" s="44" t="s">
        <v>318</v>
      </c>
      <c r="F34" s="324"/>
      <c r="G34" s="325"/>
      <c r="H34" s="279"/>
      <c r="I34" s="47"/>
      <c r="J34" s="51"/>
      <c r="K34" s="51"/>
      <c r="L34" s="310"/>
      <c r="M34" s="311"/>
      <c r="N34" s="282"/>
      <c r="O34" s="279"/>
      <c r="P34" s="48">
        <v>120</v>
      </c>
      <c r="Q34" s="282"/>
      <c r="R34" s="54"/>
      <c r="S34" s="148">
        <f t="shared" si="0"/>
        <v>120</v>
      </c>
      <c r="T34" s="53">
        <v>38899</v>
      </c>
    </row>
    <row r="35" spans="1:20" ht="15.75" customHeight="1" thickBot="1">
      <c r="A35" s="282" t="s">
        <v>393</v>
      </c>
      <c r="B35" s="150">
        <v>249</v>
      </c>
      <c r="C35" s="324" t="s">
        <v>323</v>
      </c>
      <c r="D35" s="311"/>
      <c r="E35" s="44" t="s">
        <v>11</v>
      </c>
      <c r="F35" s="324"/>
      <c r="G35" s="325"/>
      <c r="H35" s="279"/>
      <c r="I35" s="47">
        <v>7500</v>
      </c>
      <c r="J35" s="51"/>
      <c r="K35" s="51">
        <v>110</v>
      </c>
      <c r="L35" s="310"/>
      <c r="M35" s="311"/>
      <c r="N35" s="282">
        <v>600</v>
      </c>
      <c r="O35" s="279">
        <v>480</v>
      </c>
      <c r="P35" s="48">
        <v>3000</v>
      </c>
      <c r="Q35" s="282">
        <v>1800</v>
      </c>
      <c r="R35" s="54"/>
      <c r="S35" s="148">
        <f t="shared" si="0"/>
        <v>13490</v>
      </c>
      <c r="T35" s="53">
        <v>4149257</v>
      </c>
    </row>
    <row r="36" spans="1:20" ht="15.75" customHeight="1" thickBot="1">
      <c r="A36" s="282" t="s">
        <v>393</v>
      </c>
      <c r="B36" s="150">
        <v>250</v>
      </c>
      <c r="C36" s="324" t="s">
        <v>331</v>
      </c>
      <c r="D36" s="311"/>
      <c r="E36" s="44" t="s">
        <v>20</v>
      </c>
      <c r="F36" s="324"/>
      <c r="G36" s="325"/>
      <c r="H36" s="279"/>
      <c r="I36" s="47">
        <v>900</v>
      </c>
      <c r="J36" s="51"/>
      <c r="K36" s="51"/>
      <c r="L36" s="310"/>
      <c r="M36" s="311"/>
      <c r="N36" s="282">
        <v>600</v>
      </c>
      <c r="O36" s="279">
        <v>600</v>
      </c>
      <c r="P36" s="48">
        <v>3600</v>
      </c>
      <c r="Q36" s="282">
        <v>120</v>
      </c>
      <c r="R36" s="54"/>
      <c r="S36" s="148">
        <f t="shared" si="0"/>
        <v>5820</v>
      </c>
      <c r="T36" s="53">
        <v>1804716</v>
      </c>
    </row>
    <row r="37" spans="1:20" ht="15.75" customHeight="1" thickBot="1">
      <c r="A37" s="282" t="s">
        <v>389</v>
      </c>
      <c r="B37" s="150">
        <v>251</v>
      </c>
      <c r="C37" s="324" t="s">
        <v>371</v>
      </c>
      <c r="D37" s="311"/>
      <c r="E37" s="44" t="s">
        <v>314</v>
      </c>
      <c r="F37" s="324"/>
      <c r="G37" s="325"/>
      <c r="H37" s="279"/>
      <c r="I37" s="47">
        <v>30</v>
      </c>
      <c r="J37" s="51"/>
      <c r="K37" s="51"/>
      <c r="L37" s="310"/>
      <c r="M37" s="311"/>
      <c r="N37" s="282"/>
      <c r="O37" s="279"/>
      <c r="P37" s="286"/>
      <c r="Q37" s="285"/>
      <c r="R37" s="51"/>
      <c r="S37" s="285"/>
      <c r="T37" s="53">
        <v>9246</v>
      </c>
    </row>
    <row r="38" spans="1:20" ht="15.75" customHeight="1" thickBot="1">
      <c r="A38" s="282" t="s">
        <v>389</v>
      </c>
      <c r="B38" s="150">
        <v>252</v>
      </c>
      <c r="C38" s="324" t="s">
        <v>300</v>
      </c>
      <c r="D38" s="311"/>
      <c r="E38" s="44" t="s">
        <v>301</v>
      </c>
      <c r="F38" s="324">
        <v>72</v>
      </c>
      <c r="G38" s="325"/>
      <c r="H38" s="279">
        <v>120</v>
      </c>
      <c r="I38" s="47"/>
      <c r="J38" s="51"/>
      <c r="K38" s="51"/>
      <c r="L38" s="310"/>
      <c r="M38" s="311"/>
      <c r="N38" s="282"/>
      <c r="O38" s="279"/>
      <c r="P38" s="48"/>
      <c r="Q38" s="282"/>
      <c r="R38" s="54"/>
      <c r="S38" s="148">
        <f t="shared" si="0"/>
        <v>192</v>
      </c>
      <c r="T38" s="53">
        <v>64028</v>
      </c>
    </row>
    <row r="39" spans="1:20" ht="15.75" customHeight="1" thickBot="1">
      <c r="A39" s="282" t="s">
        <v>389</v>
      </c>
      <c r="B39" s="150">
        <v>253</v>
      </c>
      <c r="C39" s="324" t="s">
        <v>327</v>
      </c>
      <c r="D39" s="311"/>
      <c r="E39" s="44" t="s">
        <v>101</v>
      </c>
      <c r="F39" s="324"/>
      <c r="G39" s="325"/>
      <c r="H39" s="279"/>
      <c r="I39" s="47"/>
      <c r="J39" s="51"/>
      <c r="K39" s="51"/>
      <c r="L39" s="310"/>
      <c r="M39" s="311"/>
      <c r="N39" s="282"/>
      <c r="O39" s="279"/>
      <c r="P39" s="48">
        <v>480</v>
      </c>
      <c r="Q39" s="282"/>
      <c r="R39" s="54"/>
      <c r="S39" s="148">
        <f t="shared" si="0"/>
        <v>480</v>
      </c>
      <c r="T39" s="53">
        <v>155595</v>
      </c>
    </row>
    <row r="40" spans="1:20" ht="15.75" customHeight="1" thickBot="1">
      <c r="A40" s="282" t="s">
        <v>389</v>
      </c>
      <c r="B40" s="150">
        <v>254</v>
      </c>
      <c r="C40" s="324" t="s">
        <v>293</v>
      </c>
      <c r="D40" s="311"/>
      <c r="E40" s="44" t="s">
        <v>294</v>
      </c>
      <c r="F40" s="324"/>
      <c r="G40" s="325"/>
      <c r="H40" s="279">
        <v>120</v>
      </c>
      <c r="I40" s="47"/>
      <c r="J40" s="51"/>
      <c r="K40" s="51"/>
      <c r="L40" s="310"/>
      <c r="M40" s="311"/>
      <c r="N40" s="282"/>
      <c r="O40" s="279"/>
      <c r="P40" s="48"/>
      <c r="Q40" s="282"/>
      <c r="R40" s="54"/>
      <c r="S40" s="148">
        <f t="shared" si="0"/>
        <v>120</v>
      </c>
      <c r="T40" s="53">
        <v>40333</v>
      </c>
    </row>
    <row r="41" spans="1:20" ht="15.75" customHeight="1" thickBot="1">
      <c r="A41" s="282" t="s">
        <v>390</v>
      </c>
      <c r="B41" s="150">
        <v>255</v>
      </c>
      <c r="C41" s="324" t="s">
        <v>391</v>
      </c>
      <c r="D41" s="311"/>
      <c r="E41" s="44" t="s">
        <v>392</v>
      </c>
      <c r="F41" s="324"/>
      <c r="G41" s="325"/>
      <c r="H41" s="279"/>
      <c r="I41" s="47">
        <v>30</v>
      </c>
      <c r="J41" s="51"/>
      <c r="K41" s="51">
        <v>22</v>
      </c>
      <c r="L41" s="310"/>
      <c r="M41" s="311"/>
      <c r="N41" s="282"/>
      <c r="O41" s="279"/>
      <c r="P41" s="48"/>
      <c r="Q41" s="282">
        <v>12</v>
      </c>
      <c r="R41" s="54"/>
      <c r="S41" s="148">
        <f t="shared" si="0"/>
        <v>64</v>
      </c>
      <c r="T41" s="53">
        <v>21494</v>
      </c>
    </row>
    <row r="42" spans="1:20" ht="15.75" thickBot="1">
      <c r="A42" s="282" t="s">
        <v>390</v>
      </c>
      <c r="B42" s="150">
        <v>256</v>
      </c>
      <c r="C42" s="324" t="s">
        <v>361</v>
      </c>
      <c r="D42" s="311"/>
      <c r="E42" s="44" t="s">
        <v>19</v>
      </c>
      <c r="F42" s="324">
        <v>720</v>
      </c>
      <c r="G42" s="325"/>
      <c r="H42" s="279">
        <v>960</v>
      </c>
      <c r="I42" s="47">
        <v>1050</v>
      </c>
      <c r="J42" s="51">
        <v>288</v>
      </c>
      <c r="K42" s="51">
        <v>110</v>
      </c>
      <c r="L42" s="310"/>
      <c r="M42" s="311"/>
      <c r="N42" s="282">
        <v>600</v>
      </c>
      <c r="O42" s="279">
        <v>600</v>
      </c>
      <c r="P42" s="48">
        <v>3600</v>
      </c>
      <c r="Q42" s="282">
        <v>180</v>
      </c>
      <c r="R42" s="54"/>
      <c r="S42" s="148">
        <f t="shared" si="0"/>
        <v>8108</v>
      </c>
      <c r="T42" s="53">
        <v>2534848</v>
      </c>
    </row>
    <row r="43" spans="1:20" ht="15.75" customHeight="1" thickBot="1">
      <c r="A43" s="282" t="s">
        <v>390</v>
      </c>
      <c r="B43" s="150">
        <v>257</v>
      </c>
      <c r="C43" s="324" t="s">
        <v>323</v>
      </c>
      <c r="D43" s="311"/>
      <c r="E43" s="44" t="s">
        <v>11</v>
      </c>
      <c r="F43" s="324"/>
      <c r="G43" s="325"/>
      <c r="H43" s="279"/>
      <c r="I43" s="47">
        <v>6600</v>
      </c>
      <c r="J43" s="51"/>
      <c r="K43" s="51">
        <v>550</v>
      </c>
      <c r="L43" s="310"/>
      <c r="M43" s="311"/>
      <c r="N43" s="282">
        <v>720</v>
      </c>
      <c r="O43" s="279">
        <v>360</v>
      </c>
      <c r="P43" s="48">
        <v>3600</v>
      </c>
      <c r="Q43" s="282">
        <v>1800</v>
      </c>
      <c r="R43" s="54"/>
      <c r="S43" s="148">
        <f t="shared" si="0"/>
        <v>13630</v>
      </c>
      <c r="T43" s="53">
        <v>4218040</v>
      </c>
    </row>
    <row r="44" spans="1:20" ht="15.75" customHeight="1" thickBot="1">
      <c r="A44" s="284" t="s">
        <v>395</v>
      </c>
      <c r="B44" s="150">
        <v>258</v>
      </c>
      <c r="C44" s="324" t="s">
        <v>396</v>
      </c>
      <c r="D44" s="311"/>
      <c r="E44" s="44" t="s">
        <v>354</v>
      </c>
      <c r="F44" s="324"/>
      <c r="G44" s="325"/>
      <c r="H44" s="279">
        <v>48</v>
      </c>
      <c r="I44" s="47">
        <v>30</v>
      </c>
      <c r="J44" s="51"/>
      <c r="K44" s="51"/>
      <c r="L44" s="310"/>
      <c r="M44" s="311"/>
      <c r="N44" s="282">
        <v>48</v>
      </c>
      <c r="O44" s="279">
        <v>72</v>
      </c>
      <c r="P44" s="48">
        <v>768</v>
      </c>
      <c r="Q44" s="282">
        <v>120</v>
      </c>
      <c r="R44" s="54"/>
      <c r="S44" s="148">
        <f t="shared" si="0"/>
        <v>1086</v>
      </c>
      <c r="T44" s="53">
        <v>345191</v>
      </c>
    </row>
    <row r="45" spans="1:20" ht="15.75" customHeight="1" thickBot="1">
      <c r="A45" s="284" t="s">
        <v>397</v>
      </c>
      <c r="B45" s="150">
        <v>259</v>
      </c>
      <c r="C45" s="324" t="s">
        <v>287</v>
      </c>
      <c r="D45" s="311"/>
      <c r="E45" s="44" t="s">
        <v>288</v>
      </c>
      <c r="F45" s="324"/>
      <c r="G45" s="325"/>
      <c r="H45" s="279"/>
      <c r="I45" s="47"/>
      <c r="J45" s="51"/>
      <c r="K45" s="51"/>
      <c r="L45" s="310"/>
      <c r="M45" s="311"/>
      <c r="N45" s="282"/>
      <c r="O45" s="279"/>
      <c r="P45" s="48">
        <v>600</v>
      </c>
      <c r="Q45" s="282"/>
      <c r="R45" s="54"/>
      <c r="S45" s="148">
        <f t="shared" si="0"/>
        <v>600</v>
      </c>
      <c r="T45" s="53">
        <v>194494</v>
      </c>
    </row>
    <row r="46" spans="1:20" ht="15.75" customHeight="1" thickBot="1">
      <c r="A46" s="284" t="s">
        <v>401</v>
      </c>
      <c r="B46" s="150">
        <v>260</v>
      </c>
      <c r="C46" s="324" t="s">
        <v>347</v>
      </c>
      <c r="D46" s="311"/>
      <c r="E46" s="44" t="s">
        <v>348</v>
      </c>
      <c r="F46" s="324"/>
      <c r="G46" s="325"/>
      <c r="H46" s="279"/>
      <c r="I46" s="47"/>
      <c r="J46" s="51"/>
      <c r="K46" s="51"/>
      <c r="L46" s="310"/>
      <c r="M46" s="311"/>
      <c r="N46" s="282"/>
      <c r="O46" s="279"/>
      <c r="P46" s="48">
        <v>48</v>
      </c>
      <c r="Q46" s="282">
        <v>60</v>
      </c>
      <c r="R46" s="54"/>
      <c r="S46" s="148">
        <f t="shared" si="0"/>
        <v>108</v>
      </c>
      <c r="T46" s="53">
        <v>38246</v>
      </c>
    </row>
    <row r="47" spans="1:20" ht="15.75" customHeight="1" thickBot="1">
      <c r="A47" s="284" t="s">
        <v>402</v>
      </c>
      <c r="B47" s="150">
        <v>261</v>
      </c>
      <c r="C47" s="324" t="s">
        <v>398</v>
      </c>
      <c r="D47" s="311"/>
      <c r="E47" s="44" t="s">
        <v>339</v>
      </c>
      <c r="F47" s="324"/>
      <c r="G47" s="325"/>
      <c r="H47" s="279"/>
      <c r="I47" s="47"/>
      <c r="J47" s="51"/>
      <c r="K47" s="51"/>
      <c r="L47" s="310"/>
      <c r="M47" s="311"/>
      <c r="N47" s="282"/>
      <c r="O47" s="279"/>
      <c r="P47" s="48"/>
      <c r="Q47" s="282">
        <v>36</v>
      </c>
      <c r="R47" s="54"/>
      <c r="S47" s="148">
        <f t="shared" si="0"/>
        <v>36</v>
      </c>
      <c r="T47" s="53">
        <v>13612</v>
      </c>
    </row>
    <row r="48" spans="1:20" ht="15.75" customHeight="1" thickBot="1">
      <c r="A48" s="284" t="s">
        <v>403</v>
      </c>
      <c r="B48" s="150">
        <v>262</v>
      </c>
      <c r="C48" s="324" t="s">
        <v>399</v>
      </c>
      <c r="D48" s="311"/>
      <c r="E48" s="44" t="s">
        <v>400</v>
      </c>
      <c r="F48" s="324"/>
      <c r="G48" s="325"/>
      <c r="H48" s="283"/>
      <c r="I48" s="47"/>
      <c r="J48" s="51"/>
      <c r="K48" s="51"/>
      <c r="L48" s="310"/>
      <c r="M48" s="311"/>
      <c r="N48" s="284"/>
      <c r="O48" s="283"/>
      <c r="P48" s="48">
        <v>72</v>
      </c>
      <c r="Q48" s="284">
        <v>24</v>
      </c>
      <c r="R48" s="54"/>
      <c r="S48" s="148">
        <f t="shared" si="0"/>
        <v>96</v>
      </c>
      <c r="T48" s="53">
        <v>32414</v>
      </c>
    </row>
    <row r="49" spans="1:24" ht="15.75" customHeight="1" thickBot="1">
      <c r="A49" s="284" t="s">
        <v>404</v>
      </c>
      <c r="B49" s="150">
        <v>263</v>
      </c>
      <c r="C49" s="324" t="s">
        <v>319</v>
      </c>
      <c r="D49" s="311"/>
      <c r="E49" s="44" t="s">
        <v>10</v>
      </c>
      <c r="F49" s="324"/>
      <c r="G49" s="325"/>
      <c r="H49" s="283"/>
      <c r="I49" s="47"/>
      <c r="J49" s="51"/>
      <c r="K49" s="51"/>
      <c r="L49" s="310"/>
      <c r="M49" s="311"/>
      <c r="N49" s="284"/>
      <c r="O49" s="283"/>
      <c r="P49" s="48">
        <v>3000</v>
      </c>
      <c r="Q49" s="284"/>
      <c r="R49" s="54"/>
      <c r="S49" s="148">
        <f t="shared" si="0"/>
        <v>3000</v>
      </c>
      <c r="T49" s="53">
        <v>937850</v>
      </c>
      <c r="W49" s="1">
        <f>SUM(F53:R53)</f>
        <v>697130</v>
      </c>
    </row>
    <row r="50" spans="1:24" ht="15.75" customHeight="1" thickBot="1">
      <c r="A50" s="284" t="s">
        <v>405</v>
      </c>
      <c r="B50" s="150">
        <v>264</v>
      </c>
      <c r="C50" s="324" t="s">
        <v>321</v>
      </c>
      <c r="D50" s="311"/>
      <c r="E50" s="44" t="s">
        <v>10</v>
      </c>
      <c r="F50" s="324"/>
      <c r="G50" s="325"/>
      <c r="H50" s="283"/>
      <c r="I50" s="47"/>
      <c r="J50" s="51"/>
      <c r="K50" s="51"/>
      <c r="L50" s="310"/>
      <c r="M50" s="311"/>
      <c r="N50" s="284"/>
      <c r="O50" s="283"/>
      <c r="P50" s="48">
        <v>1800</v>
      </c>
      <c r="Q50" s="284"/>
      <c r="R50" s="54"/>
      <c r="S50" s="148">
        <f t="shared" si="0"/>
        <v>1800</v>
      </c>
      <c r="T50" s="53">
        <v>562710</v>
      </c>
    </row>
    <row r="51" spans="1:24" ht="15.75" customHeight="1" thickBot="1">
      <c r="A51" s="284" t="s">
        <v>406</v>
      </c>
      <c r="B51" s="150">
        <v>265</v>
      </c>
      <c r="C51" s="324" t="s">
        <v>331</v>
      </c>
      <c r="D51" s="311"/>
      <c r="E51" s="44" t="s">
        <v>20</v>
      </c>
      <c r="F51" s="324"/>
      <c r="G51" s="325"/>
      <c r="H51" s="283"/>
      <c r="I51" s="47"/>
      <c r="J51" s="51"/>
      <c r="K51" s="51"/>
      <c r="L51" s="310"/>
      <c r="M51" s="311"/>
      <c r="N51" s="284"/>
      <c r="O51" s="283"/>
      <c r="P51" s="48">
        <v>2400</v>
      </c>
      <c r="Q51" s="284"/>
      <c r="R51" s="54"/>
      <c r="S51" s="148">
        <f t="shared" si="0"/>
        <v>2400</v>
      </c>
      <c r="T51" s="53">
        <v>750280</v>
      </c>
    </row>
    <row r="52" spans="1:24" ht="15.75" customHeight="1" thickBot="1">
      <c r="A52" s="361" t="s">
        <v>16</v>
      </c>
      <c r="B52" s="362"/>
      <c r="C52" s="362"/>
      <c r="D52" s="61"/>
      <c r="E52" s="59"/>
      <c r="F52" s="318">
        <f>SUM(F5:G51)</f>
        <v>1752</v>
      </c>
      <c r="G52" s="320"/>
      <c r="H52" s="34">
        <f>SUM(H5:H51)</f>
        <v>5592</v>
      </c>
      <c r="I52" s="280">
        <f>SUM(I5:I51)</f>
        <v>43320</v>
      </c>
      <c r="J52" s="281">
        <f>SUM(J5:J51)</f>
        <v>384</v>
      </c>
      <c r="K52" s="281">
        <f>SUM(K5:K51)</f>
        <v>1584</v>
      </c>
      <c r="L52" s="321">
        <f>SUM(L5:M51)</f>
        <v>352</v>
      </c>
      <c r="M52" s="319"/>
      <c r="N52" s="280">
        <f t="shared" ref="N52:T52" si="1">SUM(N5:N51)</f>
        <v>8016</v>
      </c>
      <c r="O52" s="281">
        <f t="shared" si="1"/>
        <v>5640</v>
      </c>
      <c r="P52" s="34">
        <f t="shared" si="1"/>
        <v>54048</v>
      </c>
      <c r="Q52" s="280">
        <f t="shared" si="1"/>
        <v>8124</v>
      </c>
      <c r="R52" s="34">
        <f t="shared" si="1"/>
        <v>7212</v>
      </c>
      <c r="S52" s="60">
        <f t="shared" si="1"/>
        <v>135994</v>
      </c>
      <c r="T52" s="36">
        <f t="shared" si="1"/>
        <v>42628017</v>
      </c>
      <c r="V52" s="13"/>
      <c r="W52" s="13"/>
      <c r="X52" s="13"/>
    </row>
    <row r="53" spans="1:24" ht="15.75" customHeight="1" thickBot="1">
      <c r="A53" s="361"/>
      <c r="B53" s="362"/>
      <c r="C53" s="362"/>
      <c r="D53" s="61"/>
      <c r="E53" s="59"/>
      <c r="F53" s="318">
        <f>F4+F52</f>
        <v>5928</v>
      </c>
      <c r="G53" s="320"/>
      <c r="H53" s="34">
        <f>H4+H52</f>
        <v>29592</v>
      </c>
      <c r="I53" s="61">
        <f>I4+I52</f>
        <v>211410</v>
      </c>
      <c r="J53" s="263">
        <f>J4+J52</f>
        <v>2544</v>
      </c>
      <c r="K53" s="263">
        <f>K4+K52</f>
        <v>11110</v>
      </c>
      <c r="L53" s="321">
        <f>L4+L52</f>
        <v>2134</v>
      </c>
      <c r="M53" s="319"/>
      <c r="N53" s="262">
        <f t="shared" ref="N53:T53" si="2">N4+N52</f>
        <v>54792</v>
      </c>
      <c r="O53" s="263">
        <f t="shared" si="2"/>
        <v>32112</v>
      </c>
      <c r="P53" s="34">
        <f t="shared" si="2"/>
        <v>283608</v>
      </c>
      <c r="Q53" s="61">
        <f t="shared" si="2"/>
        <v>49632</v>
      </c>
      <c r="R53" s="263">
        <f t="shared" si="2"/>
        <v>14268</v>
      </c>
      <c r="S53" s="62">
        <f t="shared" si="2"/>
        <v>697100</v>
      </c>
      <c r="T53" s="36">
        <f t="shared" si="2"/>
        <v>221910053</v>
      </c>
      <c r="W53" s="13"/>
      <c r="X53" s="13"/>
    </row>
    <row r="54" spans="1:24">
      <c r="A54" s="273"/>
      <c r="B54" s="273"/>
      <c r="C54" s="273"/>
      <c r="D54" s="274"/>
      <c r="E54" s="275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6"/>
      <c r="T54" s="277"/>
      <c r="W54" s="13"/>
      <c r="X54" s="13"/>
    </row>
    <row r="55" spans="1:24" ht="15.75" thickBot="1">
      <c r="V55" s="13"/>
    </row>
    <row r="56" spans="1:24" ht="15.75" customHeight="1" thickBot="1">
      <c r="A56" s="363" t="s">
        <v>394</v>
      </c>
      <c r="B56" s="364"/>
      <c r="C56" s="364"/>
      <c r="D56" s="364"/>
      <c r="E56" s="364"/>
      <c r="F56" s="364"/>
      <c r="G56" s="364"/>
      <c r="H56" s="364"/>
      <c r="I56" s="364"/>
      <c r="J56" s="364"/>
      <c r="K56" s="364"/>
      <c r="L56" s="364"/>
      <c r="M56" s="364"/>
      <c r="N56" s="364"/>
      <c r="O56" s="364"/>
      <c r="P56" s="364"/>
      <c r="Q56" s="365"/>
      <c r="R56" s="1"/>
      <c r="S56" s="1"/>
      <c r="T56" s="28"/>
    </row>
    <row r="57" spans="1:24" ht="15.75" customHeight="1" thickBot="1">
      <c r="A57" s="366" t="s">
        <v>34</v>
      </c>
      <c r="B57" s="367"/>
      <c r="C57" s="370" t="s">
        <v>33</v>
      </c>
      <c r="D57" s="370" t="s">
        <v>11</v>
      </c>
      <c r="E57" s="373" t="s">
        <v>19</v>
      </c>
      <c r="F57" s="366" t="s">
        <v>8</v>
      </c>
      <c r="G57" s="367"/>
      <c r="H57" s="375" t="s">
        <v>10</v>
      </c>
      <c r="I57" s="376"/>
      <c r="J57" s="377"/>
      <c r="K57" s="378" t="s">
        <v>25</v>
      </c>
      <c r="L57" s="379"/>
      <c r="M57" s="379"/>
      <c r="N57" s="379"/>
      <c r="O57" s="380"/>
      <c r="P57" s="370" t="s">
        <v>20</v>
      </c>
      <c r="Q57" s="381" t="s">
        <v>38</v>
      </c>
      <c r="R57" s="1"/>
      <c r="S57" s="1"/>
      <c r="T57" s="28"/>
    </row>
    <row r="58" spans="1:24" ht="15.75" thickBot="1">
      <c r="A58" s="368"/>
      <c r="B58" s="369"/>
      <c r="C58" s="371"/>
      <c r="D58" s="372"/>
      <c r="E58" s="374"/>
      <c r="F58" s="368"/>
      <c r="G58" s="369"/>
      <c r="H58" s="69" t="s">
        <v>49</v>
      </c>
      <c r="I58" s="69" t="s">
        <v>48</v>
      </c>
      <c r="J58" s="69" t="s">
        <v>50</v>
      </c>
      <c r="K58" s="69" t="s">
        <v>24</v>
      </c>
      <c r="L58" s="378" t="s">
        <v>47</v>
      </c>
      <c r="M58" s="380"/>
      <c r="N58" s="69" t="s">
        <v>46</v>
      </c>
      <c r="O58" s="69" t="s">
        <v>45</v>
      </c>
      <c r="P58" s="372"/>
      <c r="Q58" s="382"/>
      <c r="T58" s="28"/>
    </row>
    <row r="59" spans="1:24" ht="15" customHeight="1">
      <c r="A59" s="366" t="s">
        <v>27</v>
      </c>
      <c r="B59" s="367"/>
      <c r="C59" s="252" t="s">
        <v>28</v>
      </c>
      <c r="D59" s="252">
        <v>72</v>
      </c>
      <c r="E59" s="4">
        <v>1200</v>
      </c>
      <c r="F59" s="388">
        <v>384</v>
      </c>
      <c r="G59" s="388"/>
      <c r="H59" s="4"/>
      <c r="I59" s="251"/>
      <c r="J59" s="4"/>
      <c r="K59" s="251"/>
      <c r="L59" s="389">
        <v>24</v>
      </c>
      <c r="M59" s="390"/>
      <c r="N59" s="251"/>
      <c r="O59" s="4">
        <v>72</v>
      </c>
      <c r="P59" s="251"/>
      <c r="Q59" s="4">
        <f>SUM(D59:P59)</f>
        <v>1752</v>
      </c>
      <c r="T59" s="28"/>
      <c r="V59" s="13">
        <f>Q59-F52</f>
        <v>0</v>
      </c>
    </row>
    <row r="60" spans="1:24" ht="15.75" thickBot="1">
      <c r="A60" s="368"/>
      <c r="B60" s="369"/>
      <c r="C60" s="254" t="s">
        <v>29</v>
      </c>
      <c r="D60" s="254">
        <v>72</v>
      </c>
      <c r="E60" s="14">
        <v>2160</v>
      </c>
      <c r="F60" s="395">
        <v>2520</v>
      </c>
      <c r="G60" s="395"/>
      <c r="H60" s="14"/>
      <c r="I60" s="253"/>
      <c r="J60" s="14"/>
      <c r="K60" s="253"/>
      <c r="L60" s="396">
        <v>144</v>
      </c>
      <c r="M60" s="397"/>
      <c r="N60" s="253"/>
      <c r="O60" s="14">
        <v>696</v>
      </c>
      <c r="P60" s="253"/>
      <c r="Q60" s="16">
        <f t="shared" ref="Q60:Q69" si="3">SUM(D60:P60)</f>
        <v>5592</v>
      </c>
      <c r="T60" s="28"/>
      <c r="V60" s="13">
        <f>H52-Q60</f>
        <v>0</v>
      </c>
    </row>
    <row r="61" spans="1:24">
      <c r="A61" s="366" t="s">
        <v>41</v>
      </c>
      <c r="B61" s="367"/>
      <c r="C61" s="4" t="s">
        <v>30</v>
      </c>
      <c r="D61" s="4">
        <v>34200</v>
      </c>
      <c r="E61" s="4">
        <v>1950</v>
      </c>
      <c r="F61" s="388">
        <v>990</v>
      </c>
      <c r="G61" s="388"/>
      <c r="H61" s="4"/>
      <c r="I61" s="251">
        <v>3900</v>
      </c>
      <c r="J61" s="4">
        <v>900</v>
      </c>
      <c r="K61" s="251"/>
      <c r="L61" s="389">
        <v>30</v>
      </c>
      <c r="M61" s="390"/>
      <c r="N61" s="251">
        <v>300</v>
      </c>
      <c r="O61" s="4">
        <v>150</v>
      </c>
      <c r="P61" s="251">
        <v>900</v>
      </c>
      <c r="Q61" s="4">
        <f t="shared" si="3"/>
        <v>43320</v>
      </c>
      <c r="T61" s="28"/>
      <c r="V61" s="13">
        <f>I52-Q61</f>
        <v>0</v>
      </c>
    </row>
    <row r="62" spans="1:24">
      <c r="A62" s="403"/>
      <c r="B62" s="404"/>
      <c r="C62" s="5" t="s">
        <v>32</v>
      </c>
      <c r="D62" s="258">
        <v>96</v>
      </c>
      <c r="E62" s="5">
        <v>288</v>
      </c>
      <c r="F62" s="408"/>
      <c r="G62" s="408"/>
      <c r="H62" s="5"/>
      <c r="I62" s="257"/>
      <c r="J62" s="5"/>
      <c r="K62" s="257"/>
      <c r="L62" s="409"/>
      <c r="M62" s="410"/>
      <c r="N62" s="257"/>
      <c r="O62" s="5"/>
      <c r="P62" s="257"/>
      <c r="Q62" s="5">
        <f t="shared" si="3"/>
        <v>384</v>
      </c>
      <c r="T62" s="28"/>
      <c r="V62" s="13">
        <f>J52-Q62</f>
        <v>0</v>
      </c>
    </row>
    <row r="63" spans="1:24">
      <c r="A63" s="403"/>
      <c r="B63" s="404"/>
      <c r="C63" s="5" t="s">
        <v>43</v>
      </c>
      <c r="D63" s="258">
        <v>770</v>
      </c>
      <c r="E63" s="5">
        <v>110</v>
      </c>
      <c r="F63" s="408">
        <v>660</v>
      </c>
      <c r="G63" s="408"/>
      <c r="H63" s="5"/>
      <c r="I63" s="257"/>
      <c r="J63" s="5"/>
      <c r="K63" s="257"/>
      <c r="L63" s="409"/>
      <c r="M63" s="410"/>
      <c r="N63" s="257"/>
      <c r="O63" s="5">
        <v>44</v>
      </c>
      <c r="P63" s="257"/>
      <c r="Q63" s="5">
        <f t="shared" si="3"/>
        <v>1584</v>
      </c>
      <c r="T63" s="28"/>
      <c r="V63" s="13">
        <f>K52-Q63</f>
        <v>0</v>
      </c>
    </row>
    <row r="64" spans="1:24" ht="15.75" thickBot="1">
      <c r="A64" s="368"/>
      <c r="B64" s="369"/>
      <c r="C64" s="64" t="s">
        <v>44</v>
      </c>
      <c r="D64" s="260"/>
      <c r="E64" s="15"/>
      <c r="F64" s="358">
        <v>330</v>
      </c>
      <c r="G64" s="358"/>
      <c r="H64" s="15"/>
      <c r="I64" s="259"/>
      <c r="J64" s="15"/>
      <c r="K64" s="259"/>
      <c r="L64" s="359"/>
      <c r="M64" s="360"/>
      <c r="N64" s="259"/>
      <c r="O64" s="15">
        <v>22</v>
      </c>
      <c r="P64" s="259"/>
      <c r="Q64" s="16">
        <f t="shared" si="3"/>
        <v>352</v>
      </c>
      <c r="T64" s="28"/>
      <c r="V64" s="13">
        <f>L52-Q64</f>
        <v>0</v>
      </c>
    </row>
    <row r="65" spans="1:22">
      <c r="A65" s="366" t="s">
        <v>40</v>
      </c>
      <c r="B65" s="367"/>
      <c r="C65" s="256" t="s">
        <v>28</v>
      </c>
      <c r="D65" s="256">
        <v>3240</v>
      </c>
      <c r="E65" s="16">
        <v>1440</v>
      </c>
      <c r="F65" s="405">
        <v>240</v>
      </c>
      <c r="G65" s="405"/>
      <c r="H65" s="16">
        <v>480</v>
      </c>
      <c r="I65" s="255">
        <v>480</v>
      </c>
      <c r="J65" s="16">
        <v>240</v>
      </c>
      <c r="K65" s="255"/>
      <c r="L65" s="406">
        <v>96</v>
      </c>
      <c r="M65" s="407"/>
      <c r="N65" s="255"/>
      <c r="O65" s="16"/>
      <c r="P65" s="255">
        <v>1800</v>
      </c>
      <c r="Q65" s="4">
        <f t="shared" si="3"/>
        <v>8016</v>
      </c>
      <c r="T65" s="28"/>
      <c r="V65" s="13">
        <f>N52-Q65</f>
        <v>0</v>
      </c>
    </row>
    <row r="66" spans="1:22">
      <c r="A66" s="403"/>
      <c r="B66" s="404"/>
      <c r="C66" s="258" t="s">
        <v>31</v>
      </c>
      <c r="D66" s="258">
        <v>2040</v>
      </c>
      <c r="E66" s="5">
        <v>960</v>
      </c>
      <c r="F66" s="408">
        <v>240</v>
      </c>
      <c r="G66" s="408"/>
      <c r="H66" s="5"/>
      <c r="I66" s="257">
        <v>240</v>
      </c>
      <c r="J66" s="5">
        <v>240</v>
      </c>
      <c r="K66" s="257"/>
      <c r="L66" s="409">
        <v>120</v>
      </c>
      <c r="M66" s="410"/>
      <c r="N66" s="257"/>
      <c r="O66" s="5"/>
      <c r="P66" s="257">
        <v>1800</v>
      </c>
      <c r="Q66" s="5">
        <f t="shared" si="3"/>
        <v>5640</v>
      </c>
      <c r="T66" s="28"/>
      <c r="V66" s="13">
        <f>O52-Q66</f>
        <v>0</v>
      </c>
    </row>
    <row r="67" spans="1:22" ht="15.75" thickBot="1">
      <c r="A67" s="368"/>
      <c r="B67" s="369"/>
      <c r="C67" s="64" t="s">
        <v>29</v>
      </c>
      <c r="D67" s="254">
        <v>12840</v>
      </c>
      <c r="E67" s="14">
        <v>7800</v>
      </c>
      <c r="F67" s="395">
        <v>8400</v>
      </c>
      <c r="G67" s="395"/>
      <c r="H67" s="14">
        <v>600</v>
      </c>
      <c r="I67" s="253">
        <v>8400</v>
      </c>
      <c r="J67" s="14">
        <f>1800+600</f>
        <v>2400</v>
      </c>
      <c r="K67" s="253"/>
      <c r="L67" s="396">
        <v>768</v>
      </c>
      <c r="M67" s="397"/>
      <c r="N67" s="253">
        <v>240</v>
      </c>
      <c r="O67" s="14">
        <v>3000</v>
      </c>
      <c r="P67" s="253">
        <v>9600</v>
      </c>
      <c r="Q67" s="16">
        <f t="shared" si="3"/>
        <v>54048</v>
      </c>
      <c r="T67" s="28"/>
      <c r="V67" s="13">
        <f>P52-Q67</f>
        <v>0</v>
      </c>
    </row>
    <row r="68" spans="1:22">
      <c r="A68" s="366" t="s">
        <v>42</v>
      </c>
      <c r="B68" s="367"/>
      <c r="C68" s="252" t="s">
        <v>31</v>
      </c>
      <c r="D68" s="252">
        <v>6900</v>
      </c>
      <c r="E68" s="4">
        <v>180</v>
      </c>
      <c r="F68" s="388">
        <v>360</v>
      </c>
      <c r="G68" s="388"/>
      <c r="H68" s="4"/>
      <c r="I68" s="251"/>
      <c r="J68" s="4"/>
      <c r="K68" s="251"/>
      <c r="L68" s="389">
        <v>192</v>
      </c>
      <c r="M68" s="390"/>
      <c r="N68" s="251"/>
      <c r="O68" s="4">
        <v>372</v>
      </c>
      <c r="P68" s="251">
        <v>120</v>
      </c>
      <c r="Q68" s="4">
        <f t="shared" si="3"/>
        <v>8124</v>
      </c>
      <c r="T68" s="28"/>
      <c r="V68" s="13">
        <f>Q52-Q68</f>
        <v>0</v>
      </c>
    </row>
    <row r="69" spans="1:22" ht="15.75" thickBot="1">
      <c r="A69" s="368"/>
      <c r="B69" s="369"/>
      <c r="C69" s="64" t="s">
        <v>29</v>
      </c>
      <c r="D69" s="15">
        <v>7212</v>
      </c>
      <c r="E69" s="15"/>
      <c r="F69" s="358"/>
      <c r="G69" s="358"/>
      <c r="H69" s="15"/>
      <c r="I69" s="259"/>
      <c r="J69" s="15"/>
      <c r="K69" s="259"/>
      <c r="L69" s="359"/>
      <c r="M69" s="360"/>
      <c r="N69" s="259"/>
      <c r="O69" s="15"/>
      <c r="P69" s="259"/>
      <c r="Q69" s="16">
        <f t="shared" si="3"/>
        <v>7212</v>
      </c>
      <c r="T69" s="28"/>
      <c r="V69" s="13">
        <f>R52-Q69</f>
        <v>0</v>
      </c>
    </row>
    <row r="70" spans="1:22" ht="15.75" thickBot="1">
      <c r="A70" s="391" t="s">
        <v>37</v>
      </c>
      <c r="B70" s="392"/>
      <c r="C70" s="392"/>
      <c r="D70" s="23">
        <f>SUM(D59:D69)</f>
        <v>67442</v>
      </c>
      <c r="E70" s="23">
        <f t="shared" ref="E70" si="4">SUM(E59:E69)</f>
        <v>16088</v>
      </c>
      <c r="F70" s="393">
        <f>SUM(F59:G69)</f>
        <v>14124</v>
      </c>
      <c r="G70" s="394"/>
      <c r="H70" s="23">
        <f>SUM(H59:H69)</f>
        <v>1080</v>
      </c>
      <c r="I70" s="23">
        <f>SUM(I59:I69)</f>
        <v>13020</v>
      </c>
      <c r="J70" s="23">
        <f>SUM(J59:J69)</f>
        <v>3780</v>
      </c>
      <c r="K70" s="23">
        <f>SUM(K59:K69)</f>
        <v>0</v>
      </c>
      <c r="L70" s="393">
        <f>SUM(L59:M69)</f>
        <v>1374</v>
      </c>
      <c r="M70" s="394"/>
      <c r="N70" s="23">
        <f>SUM(N59:N69)</f>
        <v>540</v>
      </c>
      <c r="O70" s="23">
        <f>SUM(O59:O69)</f>
        <v>4356</v>
      </c>
      <c r="P70" s="23">
        <f>SUM(P59:P69)</f>
        <v>14220</v>
      </c>
      <c r="Q70" s="24">
        <f>SUM(Q59:Q69)</f>
        <v>136024</v>
      </c>
      <c r="R70" s="12"/>
      <c r="S70" s="1"/>
      <c r="T70" s="28"/>
      <c r="V70" s="13">
        <f>S52-Q70</f>
        <v>-30</v>
      </c>
    </row>
    <row r="71" spans="1:22" ht="15.75" thickBot="1">
      <c r="A71" s="398" t="s">
        <v>407</v>
      </c>
      <c r="B71" s="399"/>
      <c r="C71" s="399"/>
      <c r="D71" s="400">
        <f>D70+E70+F70+H70+I70+J70+K70+L70+N70+O70+P70</f>
        <v>136024</v>
      </c>
      <c r="E71" s="401"/>
      <c r="F71" s="401"/>
      <c r="G71" s="401"/>
      <c r="H71" s="401"/>
      <c r="I71" s="401"/>
      <c r="J71" s="401"/>
      <c r="K71" s="401"/>
      <c r="L71" s="401"/>
      <c r="M71" s="401"/>
      <c r="N71" s="401"/>
      <c r="O71" s="401"/>
      <c r="P71" s="401"/>
      <c r="Q71" s="402"/>
      <c r="T71" s="28"/>
      <c r="V71" s="13"/>
    </row>
    <row r="72" spans="1:22" s="20" customFormat="1" ht="15" customHeight="1" thickBot="1">
      <c r="A72" s="383" t="s">
        <v>26</v>
      </c>
      <c r="B72" s="384"/>
      <c r="C72" s="384"/>
      <c r="D72" s="22">
        <v>21173229</v>
      </c>
      <c r="E72" s="22">
        <v>5017604</v>
      </c>
      <c r="F72" s="385">
        <v>4465756</v>
      </c>
      <c r="G72" s="386"/>
      <c r="H72" s="22">
        <v>334264</v>
      </c>
      <c r="I72" s="26">
        <v>4003538</v>
      </c>
      <c r="J72" s="22">
        <v>1164648</v>
      </c>
      <c r="K72" s="22">
        <v>0</v>
      </c>
      <c r="L72" s="387">
        <v>439556</v>
      </c>
      <c r="M72" s="386"/>
      <c r="N72" s="26">
        <v>170256</v>
      </c>
      <c r="O72" s="22">
        <v>1441676</v>
      </c>
      <c r="P72" s="26">
        <v>4417490</v>
      </c>
      <c r="Q72" s="119">
        <f>D72+E72+F72+H72+I72+J72+K72+L72+N72+O72+P72</f>
        <v>42628017</v>
      </c>
      <c r="R72" s="19"/>
      <c r="S72" s="19"/>
      <c r="T72" s="29"/>
      <c r="V72" s="21">
        <f>T52-Q72</f>
        <v>0</v>
      </c>
    </row>
    <row r="73" spans="1:22">
      <c r="T73" s="28"/>
      <c r="V73" s="13"/>
    </row>
  </sheetData>
  <mergeCells count="206"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8:D8"/>
    <mergeCell ref="F8:G8"/>
    <mergeCell ref="C9:D9"/>
    <mergeCell ref="F9:G9"/>
    <mergeCell ref="L13:M13"/>
    <mergeCell ref="C10:D10"/>
    <mergeCell ref="F10:G10"/>
    <mergeCell ref="L10:M10"/>
    <mergeCell ref="C11:D11"/>
    <mergeCell ref="F11:G11"/>
    <mergeCell ref="L11:M11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46:D46"/>
    <mergeCell ref="F46:G46"/>
    <mergeCell ref="L46:M46"/>
    <mergeCell ref="C48:D48"/>
    <mergeCell ref="L53:M53"/>
    <mergeCell ref="F53:G53"/>
    <mergeCell ref="A53:C53"/>
    <mergeCell ref="L52:M52"/>
    <mergeCell ref="F52:G52"/>
    <mergeCell ref="A52:C52"/>
    <mergeCell ref="C49:D49"/>
    <mergeCell ref="C50:D50"/>
    <mergeCell ref="C51:D51"/>
    <mergeCell ref="C47:D47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C45:D45"/>
    <mergeCell ref="F45:G45"/>
    <mergeCell ref="L45:M45"/>
    <mergeCell ref="C38:D38"/>
    <mergeCell ref="F38:G38"/>
    <mergeCell ref="L38:M38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39:D39"/>
    <mergeCell ref="F39:G39"/>
    <mergeCell ref="L39:M39"/>
    <mergeCell ref="C40:D40"/>
    <mergeCell ref="F40:G40"/>
    <mergeCell ref="L40:M40"/>
    <mergeCell ref="C41:D41"/>
    <mergeCell ref="F41:G41"/>
    <mergeCell ref="L41:M41"/>
    <mergeCell ref="A1:T1"/>
    <mergeCell ref="C34:D34"/>
    <mergeCell ref="F34:G34"/>
    <mergeCell ref="L34:M34"/>
    <mergeCell ref="L37:M37"/>
    <mergeCell ref="C37:D37"/>
    <mergeCell ref="F37:G37"/>
    <mergeCell ref="C35:D35"/>
    <mergeCell ref="F35:G35"/>
    <mergeCell ref="L35:M35"/>
    <mergeCell ref="C36:D36"/>
    <mergeCell ref="F36:G36"/>
    <mergeCell ref="L36:M36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</mergeCells>
  <pageMargins left="0.16" right="0.16" top="0.34" bottom="0.16" header="0.23" footer="0.16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X73"/>
  <sheetViews>
    <sheetView tabSelected="1" zoomScaleNormal="100" workbookViewId="0">
      <pane ySplit="2" topLeftCell="A3" activePane="bottomLeft" state="frozen"/>
      <selection pane="bottomLeft" activeCell="O68" sqref="O68"/>
    </sheetView>
  </sheetViews>
  <sheetFormatPr defaultRowHeight="15"/>
  <cols>
    <col min="1" max="1" width="8.7109375" style="2" customWidth="1"/>
    <col min="2" max="2" width="4.140625" style="2" customWidth="1"/>
    <col min="3" max="3" width="12.28515625" style="63" customWidth="1"/>
    <col min="4" max="4" width="8.28515625" style="63" customWidth="1"/>
    <col min="5" max="5" width="11.5703125" style="3" bestFit="1" customWidth="1"/>
    <col min="6" max="6" width="5.140625" style="2" customWidth="1"/>
    <col min="7" max="7" width="1.855468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21" t="s">
        <v>410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3"/>
    </row>
    <row r="2" spans="1:23" s="6" customFormat="1" ht="12.75" customHeight="1">
      <c r="A2" s="424" t="s">
        <v>9</v>
      </c>
      <c r="B2" s="424" t="s">
        <v>13</v>
      </c>
      <c r="C2" s="341" t="s">
        <v>23</v>
      </c>
      <c r="D2" s="431"/>
      <c r="E2" s="426" t="s">
        <v>15</v>
      </c>
      <c r="F2" s="347" t="s">
        <v>0</v>
      </c>
      <c r="G2" s="339"/>
      <c r="H2" s="348"/>
      <c r="I2" s="349" t="s">
        <v>39</v>
      </c>
      <c r="J2" s="350"/>
      <c r="K2" s="350"/>
      <c r="L2" s="351"/>
      <c r="M2" s="348"/>
      <c r="N2" s="349" t="s">
        <v>1</v>
      </c>
      <c r="O2" s="350"/>
      <c r="P2" s="348"/>
      <c r="Q2" s="352" t="s">
        <v>2</v>
      </c>
      <c r="R2" s="353"/>
      <c r="S2" s="342" t="s">
        <v>14</v>
      </c>
      <c r="T2" s="312" t="s">
        <v>12</v>
      </c>
    </row>
    <row r="3" spans="1:23" s="6" customFormat="1" ht="24.75" customHeight="1" thickBot="1">
      <c r="A3" s="428"/>
      <c r="B3" s="428"/>
      <c r="C3" s="432"/>
      <c r="D3" s="433"/>
      <c r="E3" s="428"/>
      <c r="F3" s="314" t="s">
        <v>3</v>
      </c>
      <c r="G3" s="429"/>
      <c r="H3" s="9" t="s">
        <v>4</v>
      </c>
      <c r="I3" s="10" t="s">
        <v>22</v>
      </c>
      <c r="J3" s="11" t="s">
        <v>7</v>
      </c>
      <c r="K3" s="11" t="s">
        <v>17</v>
      </c>
      <c r="L3" s="316" t="s">
        <v>18</v>
      </c>
      <c r="M3" s="43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33"/>
      <c r="T3" s="428"/>
    </row>
    <row r="4" spans="1:23" s="18" customFormat="1" ht="15.75" customHeight="1" thickBot="1">
      <c r="A4" s="296" t="s">
        <v>35</v>
      </c>
      <c r="B4" s="30"/>
      <c r="C4" s="318"/>
      <c r="D4" s="319"/>
      <c r="E4" s="31"/>
      <c r="F4" s="318">
        <v>5928</v>
      </c>
      <c r="G4" s="320"/>
      <c r="H4" s="290">
        <v>29592</v>
      </c>
      <c r="I4" s="32">
        <v>211410</v>
      </c>
      <c r="J4" s="33">
        <v>2544</v>
      </c>
      <c r="K4" s="290">
        <v>11110</v>
      </c>
      <c r="L4" s="321">
        <v>2134</v>
      </c>
      <c r="M4" s="319"/>
      <c r="N4" s="289">
        <v>54792</v>
      </c>
      <c r="O4" s="290">
        <v>32112</v>
      </c>
      <c r="P4" s="34">
        <v>283608</v>
      </c>
      <c r="Q4" s="289">
        <v>49632</v>
      </c>
      <c r="R4" s="34">
        <v>14268</v>
      </c>
      <c r="S4" s="35">
        <f>SUM(F4:R4)</f>
        <v>697130</v>
      </c>
      <c r="T4" s="36">
        <v>221910053</v>
      </c>
    </row>
    <row r="5" spans="1:23" s="20" customFormat="1" ht="13.5" customHeight="1" thickBot="1">
      <c r="A5" s="292" t="s">
        <v>409</v>
      </c>
      <c r="B5" s="150">
        <v>266</v>
      </c>
      <c r="C5" s="326" t="s">
        <v>411</v>
      </c>
      <c r="D5" s="327"/>
      <c r="E5" s="151" t="s">
        <v>380</v>
      </c>
      <c r="F5" s="328"/>
      <c r="G5" s="329"/>
      <c r="H5" s="293"/>
      <c r="I5" s="39"/>
      <c r="J5" s="40"/>
      <c r="K5" s="40"/>
      <c r="L5" s="330"/>
      <c r="M5" s="331"/>
      <c r="N5" s="39"/>
      <c r="O5" s="293"/>
      <c r="P5" s="41"/>
      <c r="Q5" s="39">
        <v>60</v>
      </c>
      <c r="R5" s="41"/>
      <c r="S5" s="148">
        <f t="shared" ref="S5:S51" si="0">SUM(F5:R5)</f>
        <v>60</v>
      </c>
      <c r="T5" s="43">
        <v>22686</v>
      </c>
    </row>
    <row r="6" spans="1:23" ht="15.75" customHeight="1" thickBot="1">
      <c r="A6" s="309" t="s">
        <v>412</v>
      </c>
      <c r="B6" s="150">
        <v>267</v>
      </c>
      <c r="C6" s="322" t="s">
        <v>327</v>
      </c>
      <c r="D6" s="323"/>
      <c r="E6" s="44" t="s">
        <v>413</v>
      </c>
      <c r="F6" s="324"/>
      <c r="G6" s="325"/>
      <c r="H6" s="287"/>
      <c r="I6" s="47">
        <v>150</v>
      </c>
      <c r="J6" s="51"/>
      <c r="K6" s="51"/>
      <c r="L6" s="310"/>
      <c r="M6" s="311"/>
      <c r="N6" s="47"/>
      <c r="O6" s="287"/>
      <c r="P6" s="48"/>
      <c r="Q6" s="47"/>
      <c r="R6" s="48"/>
      <c r="S6" s="148">
        <f t="shared" si="0"/>
        <v>150</v>
      </c>
      <c r="T6" s="53">
        <v>46229</v>
      </c>
    </row>
    <row r="7" spans="1:23" ht="15.75" customHeight="1" thickBot="1">
      <c r="A7" s="309" t="s">
        <v>412</v>
      </c>
      <c r="B7" s="150">
        <v>268</v>
      </c>
      <c r="C7" s="322" t="s">
        <v>414</v>
      </c>
      <c r="D7" s="323"/>
      <c r="E7" s="44" t="s">
        <v>8</v>
      </c>
      <c r="F7" s="324"/>
      <c r="G7" s="325"/>
      <c r="H7" s="287">
        <v>600</v>
      </c>
      <c r="I7" s="47">
        <v>300</v>
      </c>
      <c r="J7" s="51"/>
      <c r="K7" s="51">
        <v>154</v>
      </c>
      <c r="L7" s="310">
        <v>220</v>
      </c>
      <c r="M7" s="311"/>
      <c r="N7" s="47">
        <v>240</v>
      </c>
      <c r="O7" s="287"/>
      <c r="P7" s="48">
        <v>3360</v>
      </c>
      <c r="Q7" s="47">
        <v>240</v>
      </c>
      <c r="R7" s="48"/>
      <c r="S7" s="148">
        <f t="shared" si="0"/>
        <v>5114</v>
      </c>
      <c r="T7" s="53">
        <v>1618491</v>
      </c>
    </row>
    <row r="8" spans="1:23" ht="15" customHeight="1" thickBot="1">
      <c r="A8" s="309" t="s">
        <v>415</v>
      </c>
      <c r="B8" s="150">
        <v>269</v>
      </c>
      <c r="C8" s="324" t="s">
        <v>373</v>
      </c>
      <c r="D8" s="311"/>
      <c r="E8" s="44" t="s">
        <v>294</v>
      </c>
      <c r="F8" s="324"/>
      <c r="G8" s="325"/>
      <c r="H8" s="287"/>
      <c r="I8" s="47"/>
      <c r="J8" s="51"/>
      <c r="K8" s="51"/>
      <c r="L8" s="287"/>
      <c r="M8" s="288"/>
      <c r="N8" s="47"/>
      <c r="O8" s="287"/>
      <c r="P8" s="48">
        <v>120</v>
      </c>
      <c r="Q8" s="47"/>
      <c r="R8" s="48"/>
      <c r="S8" s="148">
        <f t="shared" si="0"/>
        <v>120</v>
      </c>
      <c r="T8" s="53">
        <v>38899</v>
      </c>
    </row>
    <row r="9" spans="1:23" ht="15.75" customHeight="1" thickBot="1">
      <c r="A9" s="309" t="s">
        <v>415</v>
      </c>
      <c r="B9" s="150">
        <v>270</v>
      </c>
      <c r="C9" s="414" t="s">
        <v>335</v>
      </c>
      <c r="D9" s="333"/>
      <c r="E9" s="44" t="s">
        <v>336</v>
      </c>
      <c r="F9" s="324"/>
      <c r="G9" s="325"/>
      <c r="H9" s="287">
        <v>48</v>
      </c>
      <c r="I9" s="47"/>
      <c r="J9" s="51"/>
      <c r="K9" s="51"/>
      <c r="L9" s="287"/>
      <c r="M9" s="288"/>
      <c r="N9" s="47"/>
      <c r="O9" s="287"/>
      <c r="P9" s="48"/>
      <c r="Q9" s="47"/>
      <c r="R9" s="48"/>
      <c r="S9" s="148">
        <f t="shared" si="0"/>
        <v>48</v>
      </c>
      <c r="T9" s="53">
        <v>16133</v>
      </c>
      <c r="W9" s="120"/>
    </row>
    <row r="10" spans="1:23" ht="15.75" customHeight="1" thickBot="1">
      <c r="A10" s="309" t="s">
        <v>415</v>
      </c>
      <c r="B10" s="150">
        <v>271</v>
      </c>
      <c r="C10" s="324" t="s">
        <v>323</v>
      </c>
      <c r="D10" s="311"/>
      <c r="E10" s="44" t="s">
        <v>11</v>
      </c>
      <c r="F10" s="324"/>
      <c r="G10" s="325"/>
      <c r="H10" s="287"/>
      <c r="I10" s="47">
        <v>6600</v>
      </c>
      <c r="J10" s="51">
        <v>240</v>
      </c>
      <c r="K10" s="51"/>
      <c r="L10" s="310"/>
      <c r="M10" s="311"/>
      <c r="N10" s="47">
        <v>480</v>
      </c>
      <c r="O10" s="287">
        <v>600</v>
      </c>
      <c r="P10" s="48">
        <v>3000</v>
      </c>
      <c r="Q10" s="47">
        <v>2400</v>
      </c>
      <c r="R10" s="48">
        <v>132</v>
      </c>
      <c r="S10" s="148">
        <f t="shared" si="0"/>
        <v>13452</v>
      </c>
      <c r="T10" s="53">
        <v>4191925</v>
      </c>
    </row>
    <row r="11" spans="1:23" ht="15.75" customHeight="1" thickBot="1">
      <c r="A11" s="309" t="s">
        <v>415</v>
      </c>
      <c r="B11" s="150">
        <v>272</v>
      </c>
      <c r="C11" s="324" t="s">
        <v>290</v>
      </c>
      <c r="D11" s="311"/>
      <c r="E11" s="44"/>
      <c r="F11" s="324"/>
      <c r="G11" s="325"/>
      <c r="H11" s="287"/>
      <c r="I11" s="47"/>
      <c r="J11" s="51"/>
      <c r="K11" s="51"/>
      <c r="L11" s="310"/>
      <c r="M11" s="311"/>
      <c r="N11" s="47"/>
      <c r="O11" s="287"/>
      <c r="P11" s="48">
        <v>240</v>
      </c>
      <c r="Q11" s="47"/>
      <c r="R11" s="48"/>
      <c r="S11" s="148">
        <f t="shared" si="0"/>
        <v>240</v>
      </c>
      <c r="T11" s="53">
        <v>77797</v>
      </c>
    </row>
    <row r="12" spans="1:23" ht="15.75" customHeight="1" thickBot="1">
      <c r="A12" s="305"/>
      <c r="B12" s="150">
        <v>273</v>
      </c>
      <c r="C12" s="322"/>
      <c r="D12" s="323"/>
      <c r="E12" s="55"/>
      <c r="F12" s="324"/>
      <c r="G12" s="325"/>
      <c r="H12" s="287"/>
      <c r="I12" s="47"/>
      <c r="J12" s="51"/>
      <c r="K12" s="51"/>
      <c r="L12" s="310"/>
      <c r="M12" s="311"/>
      <c r="N12" s="47"/>
      <c r="O12" s="287"/>
      <c r="P12" s="48"/>
      <c r="Q12" s="47"/>
      <c r="R12" s="48"/>
      <c r="S12" s="148">
        <f t="shared" si="0"/>
        <v>0</v>
      </c>
      <c r="T12" s="53"/>
    </row>
    <row r="13" spans="1:23" ht="15.75" customHeight="1" thickBot="1">
      <c r="A13" s="305"/>
      <c r="B13" s="150">
        <v>274</v>
      </c>
      <c r="C13" s="322"/>
      <c r="D13" s="323"/>
      <c r="E13" s="44"/>
      <c r="F13" s="324"/>
      <c r="G13" s="325"/>
      <c r="H13" s="287"/>
      <c r="I13" s="47"/>
      <c r="J13" s="51"/>
      <c r="K13" s="51"/>
      <c r="L13" s="310"/>
      <c r="M13" s="311"/>
      <c r="N13" s="47"/>
      <c r="O13" s="287"/>
      <c r="P13" s="48"/>
      <c r="Q13" s="47"/>
      <c r="R13" s="48"/>
      <c r="S13" s="148">
        <f t="shared" si="0"/>
        <v>0</v>
      </c>
      <c r="T13" s="53"/>
    </row>
    <row r="14" spans="1:23" ht="15" customHeight="1" thickBot="1">
      <c r="A14" s="305"/>
      <c r="B14" s="150">
        <v>275</v>
      </c>
      <c r="C14" s="324"/>
      <c r="D14" s="311"/>
      <c r="E14" s="44"/>
      <c r="F14" s="324"/>
      <c r="G14" s="325"/>
      <c r="H14" s="287"/>
      <c r="I14" s="47"/>
      <c r="J14" s="51"/>
      <c r="K14" s="51"/>
      <c r="L14" s="310"/>
      <c r="M14" s="311"/>
      <c r="N14" s="291"/>
      <c r="O14" s="287"/>
      <c r="P14" s="48"/>
      <c r="Q14" s="291"/>
      <c r="R14" s="48"/>
      <c r="S14" s="148">
        <f t="shared" si="0"/>
        <v>0</v>
      </c>
      <c r="T14" s="53"/>
    </row>
    <row r="15" spans="1:23" ht="15.75" thickBot="1">
      <c r="A15" s="305"/>
      <c r="B15" s="150">
        <v>276</v>
      </c>
      <c r="C15" s="322"/>
      <c r="D15" s="323"/>
      <c r="E15" s="44"/>
      <c r="F15" s="324"/>
      <c r="G15" s="325"/>
      <c r="H15" s="287"/>
      <c r="I15" s="47"/>
      <c r="J15" s="51"/>
      <c r="K15" s="51"/>
      <c r="L15" s="310"/>
      <c r="M15" s="311"/>
      <c r="N15" s="291"/>
      <c r="O15" s="287"/>
      <c r="P15" s="48"/>
      <c r="Q15" s="291"/>
      <c r="R15" s="54"/>
      <c r="S15" s="148">
        <f t="shared" si="0"/>
        <v>0</v>
      </c>
      <c r="T15" s="53"/>
    </row>
    <row r="16" spans="1:23" ht="15.75" customHeight="1" thickBot="1">
      <c r="A16" s="291"/>
      <c r="B16" s="150">
        <v>277</v>
      </c>
      <c r="C16" s="324"/>
      <c r="D16" s="311"/>
      <c r="E16" s="44"/>
      <c r="F16" s="324"/>
      <c r="G16" s="325"/>
      <c r="H16" s="287"/>
      <c r="I16" s="47"/>
      <c r="J16" s="51"/>
      <c r="K16" s="51"/>
      <c r="L16" s="310"/>
      <c r="M16" s="311"/>
      <c r="N16" s="291"/>
      <c r="O16" s="287"/>
      <c r="P16" s="48"/>
      <c r="Q16" s="291"/>
      <c r="R16" s="54"/>
      <c r="S16" s="148">
        <f t="shared" si="0"/>
        <v>0</v>
      </c>
      <c r="T16" s="53"/>
    </row>
    <row r="17" spans="1:22" s="240" customFormat="1" ht="15.75" customHeight="1" thickBot="1">
      <c r="A17" s="306"/>
      <c r="B17" s="150">
        <v>278</v>
      </c>
      <c r="C17" s="415"/>
      <c r="D17" s="416"/>
      <c r="E17" s="232"/>
      <c r="F17" s="417"/>
      <c r="G17" s="418"/>
      <c r="H17" s="307"/>
      <c r="I17" s="234"/>
      <c r="J17" s="235"/>
      <c r="K17" s="235"/>
      <c r="L17" s="419"/>
      <c r="M17" s="420"/>
      <c r="N17" s="306"/>
      <c r="O17" s="307"/>
      <c r="P17" s="236"/>
      <c r="Q17" s="306"/>
      <c r="R17" s="237"/>
      <c r="S17" s="148">
        <f t="shared" si="0"/>
        <v>0</v>
      </c>
      <c r="T17" s="239"/>
      <c r="V17" s="1"/>
    </row>
    <row r="18" spans="1:22" ht="15.75" customHeight="1" thickBot="1">
      <c r="A18" s="306"/>
      <c r="B18" s="150">
        <v>279</v>
      </c>
      <c r="C18" s="324"/>
      <c r="D18" s="311"/>
      <c r="E18" s="55"/>
      <c r="F18" s="324"/>
      <c r="G18" s="325"/>
      <c r="H18" s="287"/>
      <c r="I18" s="47"/>
      <c r="J18" s="51"/>
      <c r="K18" s="51"/>
      <c r="L18" s="310"/>
      <c r="M18" s="311"/>
      <c r="N18" s="291"/>
      <c r="O18" s="287"/>
      <c r="P18" s="48"/>
      <c r="Q18" s="291"/>
      <c r="R18" s="54"/>
      <c r="S18" s="148">
        <f t="shared" si="0"/>
        <v>0</v>
      </c>
      <c r="T18" s="53"/>
    </row>
    <row r="19" spans="1:22" ht="15.75" customHeight="1" thickBot="1">
      <c r="A19" s="306"/>
      <c r="B19" s="150">
        <v>280</v>
      </c>
      <c r="C19" s="324"/>
      <c r="D19" s="311"/>
      <c r="E19" s="44"/>
      <c r="F19" s="324"/>
      <c r="G19" s="325"/>
      <c r="H19" s="287"/>
      <c r="I19" s="291"/>
      <c r="J19" s="308"/>
      <c r="K19" s="51"/>
      <c r="L19" s="310"/>
      <c r="M19" s="311"/>
      <c r="N19" s="291"/>
      <c r="O19" s="287"/>
      <c r="P19" s="48"/>
      <c r="Q19" s="291"/>
      <c r="R19" s="54"/>
      <c r="S19" s="148">
        <f t="shared" si="0"/>
        <v>0</v>
      </c>
      <c r="T19" s="53"/>
    </row>
    <row r="20" spans="1:22" ht="15.75" customHeight="1" thickBot="1">
      <c r="A20" s="291"/>
      <c r="B20" s="150">
        <v>281</v>
      </c>
      <c r="C20" s="324"/>
      <c r="D20" s="311"/>
      <c r="E20" s="44"/>
      <c r="F20" s="324"/>
      <c r="G20" s="325"/>
      <c r="H20" s="287"/>
      <c r="I20" s="47"/>
      <c r="J20" s="51"/>
      <c r="K20" s="51"/>
      <c r="L20" s="310"/>
      <c r="M20" s="311"/>
      <c r="N20" s="291"/>
      <c r="O20" s="287"/>
      <c r="P20" s="48"/>
      <c r="Q20" s="291"/>
      <c r="R20" s="54"/>
      <c r="S20" s="148">
        <f t="shared" si="0"/>
        <v>0</v>
      </c>
      <c r="T20" s="53"/>
    </row>
    <row r="21" spans="1:22" ht="15.75" customHeight="1" thickBot="1">
      <c r="A21" s="291"/>
      <c r="B21" s="150">
        <v>282</v>
      </c>
      <c r="C21" s="324"/>
      <c r="D21" s="311"/>
      <c r="E21" s="44"/>
      <c r="F21" s="324"/>
      <c r="G21" s="325"/>
      <c r="H21" s="287"/>
      <c r="I21" s="47"/>
      <c r="J21" s="51"/>
      <c r="K21" s="51"/>
      <c r="L21" s="310"/>
      <c r="M21" s="311"/>
      <c r="N21" s="291"/>
      <c r="O21" s="287"/>
      <c r="P21" s="48"/>
      <c r="Q21" s="291"/>
      <c r="R21" s="54"/>
      <c r="S21" s="148">
        <f t="shared" si="0"/>
        <v>0</v>
      </c>
      <c r="T21" s="53"/>
    </row>
    <row r="22" spans="1:22" ht="15.75" customHeight="1" thickBot="1">
      <c r="A22" s="291"/>
      <c r="B22" s="150">
        <v>283</v>
      </c>
      <c r="C22" s="322"/>
      <c r="D22" s="323"/>
      <c r="E22" s="44"/>
      <c r="F22" s="324"/>
      <c r="G22" s="325"/>
      <c r="H22" s="287"/>
      <c r="I22" s="47"/>
      <c r="J22" s="51"/>
      <c r="K22" s="51"/>
      <c r="L22" s="310"/>
      <c r="M22" s="311"/>
      <c r="N22" s="291"/>
      <c r="O22" s="287"/>
      <c r="P22" s="48"/>
      <c r="Q22" s="291"/>
      <c r="R22" s="54"/>
      <c r="S22" s="148">
        <f t="shared" si="0"/>
        <v>0</v>
      </c>
      <c r="T22" s="53"/>
    </row>
    <row r="23" spans="1:22" ht="15.75" customHeight="1" thickBot="1">
      <c r="A23" s="291"/>
      <c r="B23" s="150">
        <v>284</v>
      </c>
      <c r="C23" s="322"/>
      <c r="D23" s="323"/>
      <c r="E23" s="44"/>
      <c r="F23" s="324"/>
      <c r="G23" s="325"/>
      <c r="H23" s="287"/>
      <c r="I23" s="47"/>
      <c r="J23" s="51"/>
      <c r="K23" s="51"/>
      <c r="L23" s="310"/>
      <c r="M23" s="311"/>
      <c r="N23" s="291"/>
      <c r="O23" s="287"/>
      <c r="P23" s="48"/>
      <c r="Q23" s="291"/>
      <c r="R23" s="54"/>
      <c r="S23" s="148">
        <f t="shared" si="0"/>
        <v>0</v>
      </c>
      <c r="T23" s="53"/>
    </row>
    <row r="24" spans="1:22" ht="15.75" customHeight="1" thickBot="1">
      <c r="A24" s="291"/>
      <c r="B24" s="150">
        <v>285</v>
      </c>
      <c r="C24" s="322"/>
      <c r="D24" s="323"/>
      <c r="E24" s="44"/>
      <c r="F24" s="324"/>
      <c r="G24" s="325"/>
      <c r="H24" s="287"/>
      <c r="I24" s="47"/>
      <c r="J24" s="51"/>
      <c r="K24" s="51"/>
      <c r="L24" s="310"/>
      <c r="M24" s="311"/>
      <c r="N24" s="291"/>
      <c r="O24" s="287"/>
      <c r="P24" s="48"/>
      <c r="Q24" s="291"/>
      <c r="R24" s="54"/>
      <c r="S24" s="148">
        <f t="shared" si="0"/>
        <v>0</v>
      </c>
      <c r="T24" s="53"/>
    </row>
    <row r="25" spans="1:22" ht="15.75" customHeight="1" thickBot="1">
      <c r="A25" s="291"/>
      <c r="B25" s="150">
        <v>286</v>
      </c>
      <c r="C25" s="322"/>
      <c r="D25" s="323"/>
      <c r="E25" s="44"/>
      <c r="F25" s="324"/>
      <c r="G25" s="325"/>
      <c r="H25" s="287"/>
      <c r="I25" s="47"/>
      <c r="J25" s="51"/>
      <c r="K25" s="51"/>
      <c r="L25" s="310"/>
      <c r="M25" s="311"/>
      <c r="N25" s="291"/>
      <c r="O25" s="287"/>
      <c r="P25" s="48"/>
      <c r="Q25" s="291"/>
      <c r="R25" s="54"/>
      <c r="S25" s="148">
        <f t="shared" si="0"/>
        <v>0</v>
      </c>
      <c r="T25" s="53"/>
    </row>
    <row r="26" spans="1:22" ht="15.75" customHeight="1" thickBot="1">
      <c r="A26" s="291"/>
      <c r="B26" s="150">
        <v>287</v>
      </c>
      <c r="C26" s="322"/>
      <c r="D26" s="323"/>
      <c r="E26" s="44"/>
      <c r="F26" s="324"/>
      <c r="G26" s="325"/>
      <c r="H26" s="287"/>
      <c r="I26" s="47"/>
      <c r="J26" s="51"/>
      <c r="K26" s="51"/>
      <c r="L26" s="310"/>
      <c r="M26" s="311"/>
      <c r="N26" s="291"/>
      <c r="O26" s="287"/>
      <c r="P26" s="48"/>
      <c r="Q26" s="291"/>
      <c r="R26" s="54"/>
      <c r="S26" s="148">
        <f t="shared" si="0"/>
        <v>0</v>
      </c>
      <c r="T26" s="53"/>
    </row>
    <row r="27" spans="1:22" ht="15.75" customHeight="1" thickBot="1">
      <c r="A27" s="291"/>
      <c r="B27" s="150">
        <v>288</v>
      </c>
      <c r="C27" s="322"/>
      <c r="D27" s="323"/>
      <c r="E27" s="44"/>
      <c r="F27" s="324"/>
      <c r="G27" s="325"/>
      <c r="H27" s="287"/>
      <c r="I27" s="47"/>
      <c r="J27" s="51"/>
      <c r="K27" s="51"/>
      <c r="L27" s="310"/>
      <c r="M27" s="311"/>
      <c r="N27" s="291"/>
      <c r="O27" s="287"/>
      <c r="P27" s="48"/>
      <c r="Q27" s="291"/>
      <c r="R27" s="54"/>
      <c r="S27" s="148">
        <f t="shared" si="0"/>
        <v>0</v>
      </c>
      <c r="T27" s="53"/>
    </row>
    <row r="28" spans="1:22" ht="15.75" customHeight="1" thickBot="1">
      <c r="A28" s="291"/>
      <c r="B28" s="150">
        <v>289</v>
      </c>
      <c r="C28" s="322"/>
      <c r="D28" s="323"/>
      <c r="E28" s="44"/>
      <c r="F28" s="324"/>
      <c r="G28" s="325"/>
      <c r="H28" s="287"/>
      <c r="I28" s="47"/>
      <c r="J28" s="51"/>
      <c r="K28" s="51"/>
      <c r="L28" s="310"/>
      <c r="M28" s="311"/>
      <c r="N28" s="291"/>
      <c r="O28" s="287"/>
      <c r="P28" s="48"/>
      <c r="Q28" s="291"/>
      <c r="R28" s="54"/>
      <c r="S28" s="148">
        <f t="shared" si="0"/>
        <v>0</v>
      </c>
      <c r="T28" s="53"/>
    </row>
    <row r="29" spans="1:22" ht="15.75" customHeight="1" thickBot="1">
      <c r="A29" s="291"/>
      <c r="B29" s="150">
        <v>290</v>
      </c>
      <c r="C29" s="322"/>
      <c r="D29" s="323"/>
      <c r="E29" s="44"/>
      <c r="F29" s="324"/>
      <c r="G29" s="325"/>
      <c r="H29" s="287"/>
      <c r="I29" s="47"/>
      <c r="J29" s="51"/>
      <c r="K29" s="51"/>
      <c r="L29" s="310"/>
      <c r="M29" s="311"/>
      <c r="N29" s="291"/>
      <c r="O29" s="287"/>
      <c r="P29" s="48"/>
      <c r="Q29" s="291"/>
      <c r="R29" s="54"/>
      <c r="S29" s="148">
        <f t="shared" si="0"/>
        <v>0</v>
      </c>
      <c r="T29" s="53"/>
    </row>
    <row r="30" spans="1:22" ht="15.75" customHeight="1" thickBot="1">
      <c r="A30" s="291"/>
      <c r="B30" s="150">
        <v>291</v>
      </c>
      <c r="C30" s="322"/>
      <c r="D30" s="323"/>
      <c r="E30" s="44"/>
      <c r="F30" s="324"/>
      <c r="G30" s="325"/>
      <c r="H30" s="287"/>
      <c r="I30" s="47"/>
      <c r="J30" s="51"/>
      <c r="K30" s="51"/>
      <c r="L30" s="310"/>
      <c r="M30" s="311"/>
      <c r="N30" s="291"/>
      <c r="O30" s="287"/>
      <c r="P30" s="48"/>
      <c r="Q30" s="291"/>
      <c r="R30" s="54"/>
      <c r="S30" s="148">
        <f t="shared" si="0"/>
        <v>0</v>
      </c>
      <c r="T30" s="53"/>
    </row>
    <row r="31" spans="1:22" ht="15.75" customHeight="1" thickBot="1">
      <c r="A31" s="291"/>
      <c r="B31" s="150">
        <v>292</v>
      </c>
      <c r="C31" s="322"/>
      <c r="D31" s="323"/>
      <c r="E31" s="44"/>
      <c r="F31" s="324"/>
      <c r="G31" s="325"/>
      <c r="H31" s="287"/>
      <c r="I31" s="47"/>
      <c r="J31" s="51"/>
      <c r="K31" s="51"/>
      <c r="L31" s="310"/>
      <c r="M31" s="311"/>
      <c r="N31" s="291"/>
      <c r="O31" s="287"/>
      <c r="P31" s="48"/>
      <c r="Q31" s="291"/>
      <c r="R31" s="54"/>
      <c r="S31" s="148">
        <f t="shared" si="0"/>
        <v>0</v>
      </c>
      <c r="T31" s="53"/>
    </row>
    <row r="32" spans="1:22" ht="15.75" customHeight="1" thickBot="1">
      <c r="A32" s="291"/>
      <c r="B32" s="150">
        <v>293</v>
      </c>
      <c r="C32" s="322"/>
      <c r="D32" s="323"/>
      <c r="E32" s="44"/>
      <c r="F32" s="324"/>
      <c r="G32" s="325"/>
      <c r="H32" s="287"/>
      <c r="I32" s="47"/>
      <c r="J32" s="51"/>
      <c r="K32" s="51"/>
      <c r="L32" s="310"/>
      <c r="M32" s="311"/>
      <c r="N32" s="291"/>
      <c r="O32" s="287"/>
      <c r="P32" s="48"/>
      <c r="Q32" s="291"/>
      <c r="R32" s="54"/>
      <c r="S32" s="148">
        <f t="shared" si="0"/>
        <v>0</v>
      </c>
      <c r="T32" s="53"/>
    </row>
    <row r="33" spans="1:20" ht="15.75" customHeight="1" thickBot="1">
      <c r="A33" s="291"/>
      <c r="B33" s="150">
        <v>294</v>
      </c>
      <c r="C33" s="322"/>
      <c r="D33" s="323"/>
      <c r="E33" s="44"/>
      <c r="F33" s="324"/>
      <c r="G33" s="325"/>
      <c r="H33" s="287"/>
      <c r="I33" s="47"/>
      <c r="J33" s="51"/>
      <c r="K33" s="51"/>
      <c r="L33" s="310"/>
      <c r="M33" s="311"/>
      <c r="N33" s="291"/>
      <c r="O33" s="287"/>
      <c r="P33" s="48"/>
      <c r="Q33" s="291"/>
      <c r="R33" s="54"/>
      <c r="S33" s="148">
        <f t="shared" si="0"/>
        <v>0</v>
      </c>
      <c r="T33" s="53"/>
    </row>
    <row r="34" spans="1:20" ht="15.75" customHeight="1" thickBot="1">
      <c r="A34" s="291"/>
      <c r="B34" s="150">
        <v>295</v>
      </c>
      <c r="C34" s="324"/>
      <c r="D34" s="311"/>
      <c r="E34" s="44"/>
      <c r="F34" s="324"/>
      <c r="G34" s="325"/>
      <c r="H34" s="287"/>
      <c r="I34" s="47"/>
      <c r="J34" s="51"/>
      <c r="K34" s="51"/>
      <c r="L34" s="310"/>
      <c r="M34" s="311"/>
      <c r="N34" s="291"/>
      <c r="O34" s="287"/>
      <c r="P34" s="48"/>
      <c r="Q34" s="291"/>
      <c r="R34" s="54"/>
      <c r="S34" s="148">
        <f t="shared" si="0"/>
        <v>0</v>
      </c>
      <c r="T34" s="53"/>
    </row>
    <row r="35" spans="1:20" ht="15.75" customHeight="1" thickBot="1">
      <c r="A35" s="291"/>
      <c r="B35" s="150">
        <v>296</v>
      </c>
      <c r="C35" s="324"/>
      <c r="D35" s="311"/>
      <c r="E35" s="44"/>
      <c r="F35" s="324"/>
      <c r="G35" s="325"/>
      <c r="H35" s="287"/>
      <c r="I35" s="47"/>
      <c r="J35" s="51"/>
      <c r="K35" s="51"/>
      <c r="L35" s="310"/>
      <c r="M35" s="311"/>
      <c r="N35" s="291"/>
      <c r="O35" s="287"/>
      <c r="P35" s="48"/>
      <c r="Q35" s="291"/>
      <c r="R35" s="54"/>
      <c r="S35" s="148">
        <f t="shared" si="0"/>
        <v>0</v>
      </c>
      <c r="T35" s="53"/>
    </row>
    <row r="36" spans="1:20" ht="15.75" customHeight="1" thickBot="1">
      <c r="A36" s="291"/>
      <c r="B36" s="150">
        <v>297</v>
      </c>
      <c r="C36" s="324"/>
      <c r="D36" s="311"/>
      <c r="E36" s="44"/>
      <c r="F36" s="324"/>
      <c r="G36" s="325"/>
      <c r="H36" s="287"/>
      <c r="I36" s="47"/>
      <c r="J36" s="51"/>
      <c r="K36" s="51"/>
      <c r="L36" s="310"/>
      <c r="M36" s="311"/>
      <c r="N36" s="291"/>
      <c r="O36" s="287"/>
      <c r="P36" s="48"/>
      <c r="Q36" s="291"/>
      <c r="R36" s="54"/>
      <c r="S36" s="148">
        <f t="shared" si="0"/>
        <v>0</v>
      </c>
      <c r="T36" s="53"/>
    </row>
    <row r="37" spans="1:20" ht="15.75" customHeight="1" thickBot="1">
      <c r="A37" s="291"/>
      <c r="B37" s="150">
        <v>298</v>
      </c>
      <c r="C37" s="324"/>
      <c r="D37" s="311"/>
      <c r="E37" s="44"/>
      <c r="F37" s="324"/>
      <c r="G37" s="325"/>
      <c r="H37" s="287"/>
      <c r="I37" s="47"/>
      <c r="J37" s="51"/>
      <c r="K37" s="51"/>
      <c r="L37" s="310"/>
      <c r="M37" s="311"/>
      <c r="N37" s="291"/>
      <c r="O37" s="287"/>
      <c r="P37" s="287"/>
      <c r="Q37" s="291"/>
      <c r="R37" s="51"/>
      <c r="S37" s="148">
        <f>SUM(F37:R37)</f>
        <v>0</v>
      </c>
      <c r="T37" s="53"/>
    </row>
    <row r="38" spans="1:20" ht="15.75" customHeight="1" thickBot="1">
      <c r="A38" s="291"/>
      <c r="B38" s="150">
        <v>299</v>
      </c>
      <c r="C38" s="324"/>
      <c r="D38" s="311"/>
      <c r="E38" s="44"/>
      <c r="F38" s="324"/>
      <c r="G38" s="325"/>
      <c r="H38" s="287"/>
      <c r="I38" s="47"/>
      <c r="J38" s="51"/>
      <c r="K38" s="51"/>
      <c r="L38" s="310"/>
      <c r="M38" s="311"/>
      <c r="N38" s="291"/>
      <c r="O38" s="287"/>
      <c r="P38" s="48"/>
      <c r="Q38" s="291"/>
      <c r="R38" s="54"/>
      <c r="S38" s="148">
        <f t="shared" si="0"/>
        <v>0</v>
      </c>
      <c r="T38" s="53"/>
    </row>
    <row r="39" spans="1:20" ht="15.75" customHeight="1" thickBot="1">
      <c r="A39" s="291"/>
      <c r="B39" s="150">
        <v>300</v>
      </c>
      <c r="C39" s="324"/>
      <c r="D39" s="311"/>
      <c r="E39" s="44"/>
      <c r="F39" s="324"/>
      <c r="G39" s="325"/>
      <c r="H39" s="287"/>
      <c r="I39" s="47"/>
      <c r="J39" s="51"/>
      <c r="K39" s="51"/>
      <c r="L39" s="310"/>
      <c r="M39" s="311"/>
      <c r="N39" s="291"/>
      <c r="O39" s="287"/>
      <c r="P39" s="48"/>
      <c r="Q39" s="291"/>
      <c r="R39" s="54"/>
      <c r="S39" s="148">
        <f t="shared" si="0"/>
        <v>0</v>
      </c>
      <c r="T39" s="53"/>
    </row>
    <row r="40" spans="1:20" ht="15.75" customHeight="1" thickBot="1">
      <c r="A40" s="291"/>
      <c r="B40" s="150">
        <v>301</v>
      </c>
      <c r="C40" s="324"/>
      <c r="D40" s="311"/>
      <c r="E40" s="44"/>
      <c r="F40" s="324"/>
      <c r="G40" s="325"/>
      <c r="H40" s="287"/>
      <c r="I40" s="47"/>
      <c r="J40" s="51"/>
      <c r="K40" s="51"/>
      <c r="L40" s="310"/>
      <c r="M40" s="311"/>
      <c r="N40" s="291"/>
      <c r="O40" s="287"/>
      <c r="P40" s="48"/>
      <c r="Q40" s="291"/>
      <c r="R40" s="54"/>
      <c r="S40" s="148">
        <f t="shared" si="0"/>
        <v>0</v>
      </c>
      <c r="T40" s="53"/>
    </row>
    <row r="41" spans="1:20" ht="15.75" customHeight="1" thickBot="1">
      <c r="A41" s="291"/>
      <c r="B41" s="150">
        <v>302</v>
      </c>
      <c r="C41" s="324"/>
      <c r="D41" s="311"/>
      <c r="E41" s="44"/>
      <c r="F41" s="324"/>
      <c r="G41" s="325"/>
      <c r="H41" s="287"/>
      <c r="I41" s="47"/>
      <c r="J41" s="51"/>
      <c r="K41" s="51"/>
      <c r="L41" s="310"/>
      <c r="M41" s="311"/>
      <c r="N41" s="291"/>
      <c r="O41" s="287"/>
      <c r="P41" s="48"/>
      <c r="Q41" s="291"/>
      <c r="R41" s="54"/>
      <c r="S41" s="148">
        <f t="shared" si="0"/>
        <v>0</v>
      </c>
      <c r="T41" s="53"/>
    </row>
    <row r="42" spans="1:20" ht="15.75" thickBot="1">
      <c r="A42" s="291"/>
      <c r="B42" s="150">
        <v>303</v>
      </c>
      <c r="C42" s="324"/>
      <c r="D42" s="311"/>
      <c r="E42" s="44"/>
      <c r="F42" s="324"/>
      <c r="G42" s="325"/>
      <c r="H42" s="287"/>
      <c r="I42" s="47"/>
      <c r="J42" s="51"/>
      <c r="K42" s="51"/>
      <c r="L42" s="310"/>
      <c r="M42" s="311"/>
      <c r="N42" s="291"/>
      <c r="O42" s="287"/>
      <c r="P42" s="48"/>
      <c r="Q42" s="291"/>
      <c r="R42" s="54"/>
      <c r="S42" s="148">
        <f t="shared" si="0"/>
        <v>0</v>
      </c>
      <c r="T42" s="53"/>
    </row>
    <row r="43" spans="1:20" ht="15.75" customHeight="1" thickBot="1">
      <c r="A43" s="291"/>
      <c r="B43" s="150">
        <v>304</v>
      </c>
      <c r="C43" s="324"/>
      <c r="D43" s="311"/>
      <c r="E43" s="44"/>
      <c r="F43" s="324"/>
      <c r="G43" s="325"/>
      <c r="H43" s="287"/>
      <c r="I43" s="47"/>
      <c r="J43" s="51"/>
      <c r="K43" s="51"/>
      <c r="L43" s="310"/>
      <c r="M43" s="311"/>
      <c r="N43" s="291"/>
      <c r="O43" s="287"/>
      <c r="P43" s="48"/>
      <c r="Q43" s="291"/>
      <c r="R43" s="54"/>
      <c r="S43" s="148">
        <f t="shared" si="0"/>
        <v>0</v>
      </c>
      <c r="T43" s="53"/>
    </row>
    <row r="44" spans="1:20" ht="15.75" customHeight="1" thickBot="1">
      <c r="A44" s="291"/>
      <c r="B44" s="150">
        <v>305</v>
      </c>
      <c r="C44" s="324"/>
      <c r="D44" s="311"/>
      <c r="E44" s="44"/>
      <c r="F44" s="324"/>
      <c r="G44" s="325"/>
      <c r="H44" s="287"/>
      <c r="I44" s="47"/>
      <c r="J44" s="51"/>
      <c r="K44" s="51"/>
      <c r="L44" s="310"/>
      <c r="M44" s="311"/>
      <c r="N44" s="291"/>
      <c r="O44" s="287"/>
      <c r="P44" s="48"/>
      <c r="Q44" s="291"/>
      <c r="R44" s="54"/>
      <c r="S44" s="148">
        <f t="shared" si="0"/>
        <v>0</v>
      </c>
      <c r="T44" s="53"/>
    </row>
    <row r="45" spans="1:20" ht="15.75" customHeight="1" thickBot="1">
      <c r="A45" s="291"/>
      <c r="B45" s="150">
        <v>306</v>
      </c>
      <c r="C45" s="324"/>
      <c r="D45" s="311"/>
      <c r="E45" s="44"/>
      <c r="F45" s="324"/>
      <c r="G45" s="325"/>
      <c r="H45" s="287"/>
      <c r="I45" s="47"/>
      <c r="J45" s="51"/>
      <c r="K45" s="51"/>
      <c r="L45" s="310"/>
      <c r="M45" s="311"/>
      <c r="N45" s="291"/>
      <c r="O45" s="287"/>
      <c r="P45" s="48"/>
      <c r="Q45" s="291"/>
      <c r="R45" s="54"/>
      <c r="S45" s="148">
        <f t="shared" si="0"/>
        <v>0</v>
      </c>
      <c r="T45" s="53"/>
    </row>
    <row r="46" spans="1:20" ht="15.75" customHeight="1" thickBot="1">
      <c r="A46" s="291"/>
      <c r="B46" s="150">
        <v>307</v>
      </c>
      <c r="C46" s="324"/>
      <c r="D46" s="311"/>
      <c r="E46" s="44"/>
      <c r="F46" s="324"/>
      <c r="G46" s="325"/>
      <c r="H46" s="287"/>
      <c r="I46" s="47"/>
      <c r="J46" s="51"/>
      <c r="K46" s="51"/>
      <c r="L46" s="310"/>
      <c r="M46" s="311"/>
      <c r="N46" s="291"/>
      <c r="O46" s="287"/>
      <c r="P46" s="48"/>
      <c r="Q46" s="291"/>
      <c r="R46" s="54"/>
      <c r="S46" s="148">
        <f t="shared" si="0"/>
        <v>0</v>
      </c>
      <c r="T46" s="53"/>
    </row>
    <row r="47" spans="1:20" ht="15.75" customHeight="1" thickBot="1">
      <c r="A47" s="291"/>
      <c r="B47" s="150">
        <v>308</v>
      </c>
      <c r="C47" s="324"/>
      <c r="D47" s="311"/>
      <c r="E47" s="44"/>
      <c r="F47" s="324"/>
      <c r="G47" s="325"/>
      <c r="H47" s="287"/>
      <c r="I47" s="47"/>
      <c r="J47" s="51"/>
      <c r="K47" s="51"/>
      <c r="L47" s="310"/>
      <c r="M47" s="311"/>
      <c r="N47" s="291"/>
      <c r="O47" s="287"/>
      <c r="P47" s="48"/>
      <c r="Q47" s="291"/>
      <c r="R47" s="54"/>
      <c r="S47" s="148">
        <f t="shared" si="0"/>
        <v>0</v>
      </c>
      <c r="T47" s="53"/>
    </row>
    <row r="48" spans="1:20" ht="15.75" customHeight="1" thickBot="1">
      <c r="A48" s="291"/>
      <c r="B48" s="150">
        <v>309</v>
      </c>
      <c r="C48" s="324"/>
      <c r="D48" s="311"/>
      <c r="E48" s="44"/>
      <c r="F48" s="324"/>
      <c r="G48" s="325"/>
      <c r="H48" s="287"/>
      <c r="I48" s="47"/>
      <c r="J48" s="51"/>
      <c r="K48" s="51"/>
      <c r="L48" s="310"/>
      <c r="M48" s="311"/>
      <c r="N48" s="291"/>
      <c r="O48" s="287"/>
      <c r="P48" s="48"/>
      <c r="Q48" s="291"/>
      <c r="R48" s="54"/>
      <c r="S48" s="148">
        <f t="shared" si="0"/>
        <v>0</v>
      </c>
      <c r="T48" s="53"/>
    </row>
    <row r="49" spans="1:24" ht="15.75" customHeight="1" thickBot="1">
      <c r="A49" s="291"/>
      <c r="B49" s="150">
        <v>310</v>
      </c>
      <c r="C49" s="324"/>
      <c r="D49" s="311"/>
      <c r="E49" s="44"/>
      <c r="F49" s="324"/>
      <c r="G49" s="325"/>
      <c r="H49" s="287"/>
      <c r="I49" s="47"/>
      <c r="J49" s="51"/>
      <c r="K49" s="51"/>
      <c r="L49" s="310"/>
      <c r="M49" s="311"/>
      <c r="N49" s="291"/>
      <c r="O49" s="287"/>
      <c r="P49" s="48"/>
      <c r="Q49" s="291"/>
      <c r="R49" s="54"/>
      <c r="S49" s="148">
        <f t="shared" si="0"/>
        <v>0</v>
      </c>
      <c r="T49" s="53"/>
    </row>
    <row r="50" spans="1:24" ht="15.75" customHeight="1" thickBot="1">
      <c r="A50" s="291"/>
      <c r="B50" s="150">
        <v>311</v>
      </c>
      <c r="C50" s="324"/>
      <c r="D50" s="311"/>
      <c r="E50" s="44"/>
      <c r="F50" s="324"/>
      <c r="G50" s="325"/>
      <c r="H50" s="287"/>
      <c r="I50" s="47"/>
      <c r="J50" s="51"/>
      <c r="K50" s="51"/>
      <c r="L50" s="310"/>
      <c r="M50" s="311"/>
      <c r="N50" s="291"/>
      <c r="O50" s="287"/>
      <c r="P50" s="48"/>
      <c r="Q50" s="291"/>
      <c r="R50" s="54"/>
      <c r="S50" s="148">
        <f t="shared" si="0"/>
        <v>0</v>
      </c>
      <c r="T50" s="53"/>
    </row>
    <row r="51" spans="1:24" ht="15.75" customHeight="1" thickBot="1">
      <c r="A51" s="291"/>
      <c r="B51" s="150"/>
      <c r="C51" s="324"/>
      <c r="D51" s="311"/>
      <c r="E51" s="44"/>
      <c r="F51" s="324"/>
      <c r="G51" s="325"/>
      <c r="H51" s="287"/>
      <c r="I51" s="47"/>
      <c r="J51" s="51"/>
      <c r="K51" s="51"/>
      <c r="L51" s="310"/>
      <c r="M51" s="311"/>
      <c r="N51" s="291"/>
      <c r="O51" s="287"/>
      <c r="P51" s="48"/>
      <c r="Q51" s="291"/>
      <c r="R51" s="54"/>
      <c r="S51" s="148">
        <f t="shared" si="0"/>
        <v>0</v>
      </c>
      <c r="T51" s="53"/>
    </row>
    <row r="52" spans="1:24" ht="15.75" customHeight="1" thickBot="1">
      <c r="A52" s="361" t="s">
        <v>16</v>
      </c>
      <c r="B52" s="362"/>
      <c r="C52" s="362"/>
      <c r="D52" s="61"/>
      <c r="E52" s="59"/>
      <c r="F52" s="318">
        <f>SUM(F5:G51)</f>
        <v>0</v>
      </c>
      <c r="G52" s="320"/>
      <c r="H52" s="34">
        <f>SUM(H5:H51)</f>
        <v>648</v>
      </c>
      <c r="I52" s="289">
        <f>SUM(I5:I51)</f>
        <v>7050</v>
      </c>
      <c r="J52" s="290">
        <f>SUM(J5:J51)</f>
        <v>240</v>
      </c>
      <c r="K52" s="290">
        <f>SUM(K5:K51)</f>
        <v>154</v>
      </c>
      <c r="L52" s="321">
        <f>SUM(L5:M51)</f>
        <v>220</v>
      </c>
      <c r="M52" s="319"/>
      <c r="N52" s="289">
        <f t="shared" ref="N52:T52" si="1">SUM(N5:N51)</f>
        <v>720</v>
      </c>
      <c r="O52" s="290">
        <f t="shared" si="1"/>
        <v>600</v>
      </c>
      <c r="P52" s="34">
        <f t="shared" si="1"/>
        <v>6720</v>
      </c>
      <c r="Q52" s="289">
        <f t="shared" si="1"/>
        <v>2700</v>
      </c>
      <c r="R52" s="34">
        <f t="shared" si="1"/>
        <v>132</v>
      </c>
      <c r="S52" s="60">
        <f t="shared" si="1"/>
        <v>19184</v>
      </c>
      <c r="T52" s="36">
        <f t="shared" si="1"/>
        <v>6012160</v>
      </c>
      <c r="V52" s="13"/>
      <c r="W52" s="13"/>
      <c r="X52" s="13"/>
    </row>
    <row r="53" spans="1:24" ht="15.75" customHeight="1" thickBot="1">
      <c r="A53" s="361"/>
      <c r="B53" s="362"/>
      <c r="C53" s="362"/>
      <c r="D53" s="61"/>
      <c r="E53" s="59"/>
      <c r="F53" s="318">
        <f>F4+F52</f>
        <v>5928</v>
      </c>
      <c r="G53" s="320"/>
      <c r="H53" s="34">
        <f>H4+H52</f>
        <v>30240</v>
      </c>
      <c r="I53" s="61">
        <f>I4+I52</f>
        <v>218460</v>
      </c>
      <c r="J53" s="290">
        <f>J4+J52</f>
        <v>2784</v>
      </c>
      <c r="K53" s="290">
        <f>K4+K52</f>
        <v>11264</v>
      </c>
      <c r="L53" s="321">
        <f>L4+L52</f>
        <v>2354</v>
      </c>
      <c r="M53" s="319"/>
      <c r="N53" s="289">
        <f t="shared" ref="N53:T53" si="2">N4+N52</f>
        <v>55512</v>
      </c>
      <c r="O53" s="290">
        <f t="shared" si="2"/>
        <v>32712</v>
      </c>
      <c r="P53" s="34">
        <f t="shared" si="2"/>
        <v>290328</v>
      </c>
      <c r="Q53" s="61">
        <f t="shared" si="2"/>
        <v>52332</v>
      </c>
      <c r="R53" s="290">
        <f t="shared" si="2"/>
        <v>14400</v>
      </c>
      <c r="S53" s="62">
        <f t="shared" si="2"/>
        <v>716314</v>
      </c>
      <c r="T53" s="36">
        <f t="shared" si="2"/>
        <v>227922213</v>
      </c>
      <c r="W53" s="13"/>
      <c r="X53" s="13"/>
    </row>
    <row r="54" spans="1:24">
      <c r="A54" s="273"/>
      <c r="B54" s="273"/>
      <c r="C54" s="273"/>
      <c r="D54" s="274"/>
      <c r="E54" s="275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6"/>
      <c r="T54" s="277"/>
      <c r="W54" s="13"/>
      <c r="X54" s="13"/>
    </row>
    <row r="55" spans="1:24" ht="15.75" thickBot="1">
      <c r="V55" s="13"/>
    </row>
    <row r="56" spans="1:24" ht="15.75" customHeight="1" thickBot="1">
      <c r="A56" s="363" t="s">
        <v>408</v>
      </c>
      <c r="B56" s="364"/>
      <c r="C56" s="364"/>
      <c r="D56" s="364"/>
      <c r="E56" s="364"/>
      <c r="F56" s="364"/>
      <c r="G56" s="364"/>
      <c r="H56" s="364"/>
      <c r="I56" s="364"/>
      <c r="J56" s="364"/>
      <c r="K56" s="364"/>
      <c r="L56" s="364"/>
      <c r="M56" s="364"/>
      <c r="N56" s="364"/>
      <c r="O56" s="364"/>
      <c r="P56" s="364"/>
      <c r="Q56" s="365"/>
      <c r="R56" s="1"/>
      <c r="S56" s="1"/>
      <c r="T56" s="28"/>
    </row>
    <row r="57" spans="1:24" ht="15.75" customHeight="1" thickBot="1">
      <c r="A57" s="366" t="s">
        <v>34</v>
      </c>
      <c r="B57" s="367"/>
      <c r="C57" s="370" t="s">
        <v>33</v>
      </c>
      <c r="D57" s="370" t="s">
        <v>11</v>
      </c>
      <c r="E57" s="373" t="s">
        <v>19</v>
      </c>
      <c r="F57" s="366" t="s">
        <v>8</v>
      </c>
      <c r="G57" s="367"/>
      <c r="H57" s="375" t="s">
        <v>10</v>
      </c>
      <c r="I57" s="376"/>
      <c r="J57" s="377"/>
      <c r="K57" s="378" t="s">
        <v>25</v>
      </c>
      <c r="L57" s="379"/>
      <c r="M57" s="379"/>
      <c r="N57" s="379"/>
      <c r="O57" s="380"/>
      <c r="P57" s="370" t="s">
        <v>20</v>
      </c>
      <c r="Q57" s="381" t="s">
        <v>38</v>
      </c>
      <c r="R57" s="1"/>
      <c r="S57" s="1"/>
      <c r="T57" s="28"/>
    </row>
    <row r="58" spans="1:24" ht="15.75" thickBot="1">
      <c r="A58" s="368"/>
      <c r="B58" s="369"/>
      <c r="C58" s="371"/>
      <c r="D58" s="372"/>
      <c r="E58" s="374"/>
      <c r="F58" s="368"/>
      <c r="G58" s="369"/>
      <c r="H58" s="69" t="s">
        <v>49</v>
      </c>
      <c r="I58" s="69" t="s">
        <v>48</v>
      </c>
      <c r="J58" s="69" t="s">
        <v>50</v>
      </c>
      <c r="K58" s="69" t="s">
        <v>24</v>
      </c>
      <c r="L58" s="378" t="s">
        <v>47</v>
      </c>
      <c r="M58" s="380"/>
      <c r="N58" s="69" t="s">
        <v>46</v>
      </c>
      <c r="O58" s="69" t="s">
        <v>45</v>
      </c>
      <c r="P58" s="372"/>
      <c r="Q58" s="382"/>
      <c r="T58" s="28"/>
    </row>
    <row r="59" spans="1:24" ht="15" customHeight="1">
      <c r="A59" s="366" t="s">
        <v>27</v>
      </c>
      <c r="B59" s="367"/>
      <c r="C59" s="298" t="s">
        <v>28</v>
      </c>
      <c r="D59" s="298"/>
      <c r="E59" s="4"/>
      <c r="F59" s="388"/>
      <c r="G59" s="388"/>
      <c r="H59" s="4"/>
      <c r="I59" s="297"/>
      <c r="J59" s="4"/>
      <c r="K59" s="297"/>
      <c r="L59" s="389"/>
      <c r="M59" s="390"/>
      <c r="N59" s="297"/>
      <c r="O59" s="4"/>
      <c r="P59" s="297"/>
      <c r="Q59" s="4">
        <f>SUM(D59:P59)</f>
        <v>0</v>
      </c>
      <c r="T59" s="28"/>
      <c r="V59" s="13">
        <f>Q59-F52</f>
        <v>0</v>
      </c>
    </row>
    <row r="60" spans="1:24" ht="15.75" thickBot="1">
      <c r="A60" s="368"/>
      <c r="B60" s="369"/>
      <c r="C60" s="300" t="s">
        <v>29</v>
      </c>
      <c r="D60" s="300"/>
      <c r="E60" s="14"/>
      <c r="F60" s="395">
        <v>600</v>
      </c>
      <c r="G60" s="395"/>
      <c r="H60" s="14"/>
      <c r="I60" s="299"/>
      <c r="J60" s="14"/>
      <c r="K60" s="299"/>
      <c r="L60" s="396"/>
      <c r="M60" s="397"/>
      <c r="N60" s="299"/>
      <c r="O60" s="14">
        <v>48</v>
      </c>
      <c r="P60" s="299"/>
      <c r="Q60" s="16">
        <f t="shared" ref="Q60:Q69" si="3">SUM(D60:P60)</f>
        <v>648</v>
      </c>
      <c r="T60" s="28"/>
      <c r="V60" s="13">
        <f>H52-Q60</f>
        <v>0</v>
      </c>
    </row>
    <row r="61" spans="1:24">
      <c r="A61" s="366" t="s">
        <v>41</v>
      </c>
      <c r="B61" s="367"/>
      <c r="C61" s="4" t="s">
        <v>30</v>
      </c>
      <c r="D61" s="4">
        <v>6600</v>
      </c>
      <c r="E61" s="4"/>
      <c r="F61" s="388">
        <v>300</v>
      </c>
      <c r="G61" s="388"/>
      <c r="H61" s="4"/>
      <c r="I61" s="297"/>
      <c r="J61" s="4"/>
      <c r="K61" s="297"/>
      <c r="L61" s="389"/>
      <c r="M61" s="390"/>
      <c r="N61" s="297"/>
      <c r="O61" s="4">
        <v>150</v>
      </c>
      <c r="P61" s="297"/>
      <c r="Q61" s="4">
        <f t="shared" si="3"/>
        <v>7050</v>
      </c>
      <c r="T61" s="28"/>
      <c r="V61" s="13">
        <f>I52-Q61</f>
        <v>0</v>
      </c>
    </row>
    <row r="62" spans="1:24">
      <c r="A62" s="403"/>
      <c r="B62" s="404"/>
      <c r="C62" s="5" t="s">
        <v>32</v>
      </c>
      <c r="D62" s="304">
        <v>240</v>
      </c>
      <c r="E62" s="5"/>
      <c r="F62" s="408"/>
      <c r="G62" s="408"/>
      <c r="H62" s="5"/>
      <c r="I62" s="303"/>
      <c r="J62" s="5"/>
      <c r="K62" s="303"/>
      <c r="L62" s="409"/>
      <c r="M62" s="410"/>
      <c r="N62" s="303"/>
      <c r="O62" s="5"/>
      <c r="P62" s="303"/>
      <c r="Q62" s="5">
        <f t="shared" si="3"/>
        <v>240</v>
      </c>
      <c r="T62" s="28"/>
      <c r="V62" s="13">
        <f>J52-Q62</f>
        <v>0</v>
      </c>
    </row>
    <row r="63" spans="1:24">
      <c r="A63" s="403"/>
      <c r="B63" s="404"/>
      <c r="C63" s="5" t="s">
        <v>43</v>
      </c>
      <c r="D63" s="304"/>
      <c r="E63" s="5"/>
      <c r="F63" s="408">
        <v>154</v>
      </c>
      <c r="G63" s="408"/>
      <c r="H63" s="5"/>
      <c r="I63" s="303"/>
      <c r="J63" s="5"/>
      <c r="K63" s="303"/>
      <c r="L63" s="409"/>
      <c r="M63" s="410"/>
      <c r="N63" s="303"/>
      <c r="O63" s="5"/>
      <c r="P63" s="303"/>
      <c r="Q63" s="5">
        <f t="shared" si="3"/>
        <v>154</v>
      </c>
      <c r="T63" s="28"/>
      <c r="V63" s="13">
        <f>K52-Q63</f>
        <v>0</v>
      </c>
    </row>
    <row r="64" spans="1:24" ht="15.75" thickBot="1">
      <c r="A64" s="368"/>
      <c r="B64" s="369"/>
      <c r="C64" s="64" t="s">
        <v>44</v>
      </c>
      <c r="D64" s="295"/>
      <c r="E64" s="15"/>
      <c r="F64" s="358">
        <v>220</v>
      </c>
      <c r="G64" s="358"/>
      <c r="H64" s="15"/>
      <c r="I64" s="294"/>
      <c r="J64" s="15"/>
      <c r="K64" s="294"/>
      <c r="L64" s="359"/>
      <c r="M64" s="360"/>
      <c r="N64" s="294"/>
      <c r="O64" s="15"/>
      <c r="P64" s="294"/>
      <c r="Q64" s="16">
        <f t="shared" si="3"/>
        <v>220</v>
      </c>
      <c r="T64" s="28"/>
      <c r="V64" s="13">
        <f>L52-Q64</f>
        <v>0</v>
      </c>
    </row>
    <row r="65" spans="1:22">
      <c r="A65" s="366" t="s">
        <v>40</v>
      </c>
      <c r="B65" s="367"/>
      <c r="C65" s="302" t="s">
        <v>28</v>
      </c>
      <c r="D65" s="302">
        <v>480</v>
      </c>
      <c r="E65" s="16"/>
      <c r="F65" s="405">
        <v>240</v>
      </c>
      <c r="G65" s="405"/>
      <c r="H65" s="16"/>
      <c r="I65" s="301"/>
      <c r="J65" s="16"/>
      <c r="K65" s="301"/>
      <c r="L65" s="406"/>
      <c r="M65" s="407"/>
      <c r="N65" s="301"/>
      <c r="O65" s="16"/>
      <c r="P65" s="301"/>
      <c r="Q65" s="4">
        <f t="shared" si="3"/>
        <v>720</v>
      </c>
      <c r="T65" s="28"/>
      <c r="V65" s="13">
        <f>N52-Q65</f>
        <v>0</v>
      </c>
    </row>
    <row r="66" spans="1:22">
      <c r="A66" s="403"/>
      <c r="B66" s="404"/>
      <c r="C66" s="304" t="s">
        <v>31</v>
      </c>
      <c r="D66" s="304">
        <v>600</v>
      </c>
      <c r="E66" s="5"/>
      <c r="F66" s="408"/>
      <c r="G66" s="408"/>
      <c r="H66" s="5"/>
      <c r="I66" s="303"/>
      <c r="J66" s="5"/>
      <c r="K66" s="303"/>
      <c r="L66" s="409"/>
      <c r="M66" s="410"/>
      <c r="N66" s="303"/>
      <c r="O66" s="5"/>
      <c r="P66" s="303"/>
      <c r="Q66" s="5">
        <f t="shared" si="3"/>
        <v>600</v>
      </c>
      <c r="T66" s="28"/>
      <c r="V66" s="13">
        <f>O52-Q66</f>
        <v>0</v>
      </c>
    </row>
    <row r="67" spans="1:22" ht="15.75" thickBot="1">
      <c r="A67" s="368"/>
      <c r="B67" s="369"/>
      <c r="C67" s="64" t="s">
        <v>29</v>
      </c>
      <c r="D67" s="300">
        <v>3000</v>
      </c>
      <c r="E67" s="14"/>
      <c r="F67" s="395">
        <v>3360</v>
      </c>
      <c r="G67" s="395"/>
      <c r="H67" s="14"/>
      <c r="I67" s="299"/>
      <c r="J67" s="14"/>
      <c r="K67" s="299"/>
      <c r="L67" s="396"/>
      <c r="M67" s="397"/>
      <c r="N67" s="299"/>
      <c r="O67" s="14">
        <v>360</v>
      </c>
      <c r="P67" s="299"/>
      <c r="Q67" s="16">
        <f t="shared" si="3"/>
        <v>6720</v>
      </c>
      <c r="T67" s="28"/>
      <c r="V67" s="13">
        <f>P52-Q67</f>
        <v>0</v>
      </c>
    </row>
    <row r="68" spans="1:22">
      <c r="A68" s="366" t="s">
        <v>42</v>
      </c>
      <c r="B68" s="367"/>
      <c r="C68" s="298" t="s">
        <v>31</v>
      </c>
      <c r="D68" s="298">
        <v>2400</v>
      </c>
      <c r="E68" s="4"/>
      <c r="F68" s="388">
        <v>240</v>
      </c>
      <c r="G68" s="388"/>
      <c r="H68" s="4"/>
      <c r="I68" s="297"/>
      <c r="J68" s="4"/>
      <c r="K68" s="297"/>
      <c r="L68" s="389"/>
      <c r="M68" s="390"/>
      <c r="N68" s="297"/>
      <c r="O68" s="4">
        <v>60</v>
      </c>
      <c r="P68" s="297"/>
      <c r="Q68" s="4">
        <f t="shared" si="3"/>
        <v>2700</v>
      </c>
      <c r="T68" s="28"/>
      <c r="V68" s="13">
        <f>Q52-Q68</f>
        <v>0</v>
      </c>
    </row>
    <row r="69" spans="1:22" ht="15.75" thickBot="1">
      <c r="A69" s="368"/>
      <c r="B69" s="369"/>
      <c r="C69" s="64" t="s">
        <v>29</v>
      </c>
      <c r="D69" s="15">
        <v>132</v>
      </c>
      <c r="E69" s="15"/>
      <c r="F69" s="358"/>
      <c r="G69" s="358"/>
      <c r="H69" s="15"/>
      <c r="I69" s="294"/>
      <c r="J69" s="15"/>
      <c r="K69" s="294"/>
      <c r="L69" s="359"/>
      <c r="M69" s="360"/>
      <c r="N69" s="294"/>
      <c r="O69" s="15"/>
      <c r="P69" s="294"/>
      <c r="Q69" s="16">
        <f t="shared" si="3"/>
        <v>132</v>
      </c>
      <c r="T69" s="28"/>
      <c r="V69" s="13">
        <f>R52-Q69</f>
        <v>0</v>
      </c>
    </row>
    <row r="70" spans="1:22" ht="15.75" thickBot="1">
      <c r="A70" s="391" t="s">
        <v>37</v>
      </c>
      <c r="B70" s="392"/>
      <c r="C70" s="392"/>
      <c r="D70" s="23">
        <f>SUM(D59:D69)</f>
        <v>13452</v>
      </c>
      <c r="E70" s="23">
        <f t="shared" ref="E70" si="4">SUM(E59:E69)</f>
        <v>0</v>
      </c>
      <c r="F70" s="393">
        <f>SUM(F59:G69)</f>
        <v>5114</v>
      </c>
      <c r="G70" s="394"/>
      <c r="H70" s="23">
        <f>SUM(H59:H69)</f>
        <v>0</v>
      </c>
      <c r="I70" s="23">
        <f>SUM(I59:I69)</f>
        <v>0</v>
      </c>
      <c r="J70" s="23">
        <f>SUM(J59:J69)</f>
        <v>0</v>
      </c>
      <c r="K70" s="23">
        <f>SUM(K59:K69)</f>
        <v>0</v>
      </c>
      <c r="L70" s="393">
        <f>SUM(L59:M69)</f>
        <v>0</v>
      </c>
      <c r="M70" s="394"/>
      <c r="N70" s="23">
        <f>SUM(N59:N69)</f>
        <v>0</v>
      </c>
      <c r="O70" s="23">
        <f>SUM(O59:O69)</f>
        <v>618</v>
      </c>
      <c r="P70" s="23">
        <f>SUM(P59:P69)</f>
        <v>0</v>
      </c>
      <c r="Q70" s="24">
        <f>SUM(Q59:Q69)</f>
        <v>19184</v>
      </c>
      <c r="R70" s="12"/>
      <c r="S70" s="1"/>
      <c r="T70" s="28"/>
      <c r="V70" s="13">
        <f>S52-Q70</f>
        <v>0</v>
      </c>
    </row>
    <row r="71" spans="1:22" ht="15.75" thickBot="1">
      <c r="A71" s="398" t="s">
        <v>407</v>
      </c>
      <c r="B71" s="399"/>
      <c r="C71" s="399"/>
      <c r="D71" s="400">
        <f>D70+E70+F70+H70+I70+J70+K70+L70+N70+O70+P70</f>
        <v>19184</v>
      </c>
      <c r="E71" s="401"/>
      <c r="F71" s="401"/>
      <c r="G71" s="401"/>
      <c r="H71" s="401"/>
      <c r="I71" s="401"/>
      <c r="J71" s="401"/>
      <c r="K71" s="401"/>
      <c r="L71" s="401"/>
      <c r="M71" s="401"/>
      <c r="N71" s="401"/>
      <c r="O71" s="401"/>
      <c r="P71" s="401"/>
      <c r="Q71" s="402"/>
      <c r="T71" s="28"/>
      <c r="V71" s="13"/>
    </row>
    <row r="72" spans="1:22" s="20" customFormat="1" ht="15" customHeight="1" thickBot="1">
      <c r="A72" s="383" t="s">
        <v>26</v>
      </c>
      <c r="B72" s="384"/>
      <c r="C72" s="384"/>
      <c r="D72" s="22"/>
      <c r="E72" s="22"/>
      <c r="F72" s="385"/>
      <c r="G72" s="386"/>
      <c r="H72" s="22"/>
      <c r="I72" s="26"/>
      <c r="J72" s="22"/>
      <c r="K72" s="22"/>
      <c r="L72" s="387"/>
      <c r="M72" s="386"/>
      <c r="N72" s="26"/>
      <c r="O72" s="22"/>
      <c r="P72" s="26"/>
      <c r="Q72" s="119"/>
      <c r="R72" s="19"/>
      <c r="S72" s="19"/>
      <c r="T72" s="29"/>
      <c r="V72" s="21">
        <f>T52-Q72</f>
        <v>6012160</v>
      </c>
    </row>
    <row r="73" spans="1:22">
      <c r="T73" s="28"/>
      <c r="V73" s="13"/>
    </row>
  </sheetData>
  <mergeCells count="206"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36:D36"/>
    <mergeCell ref="F36:G36"/>
    <mergeCell ref="L36:M36"/>
    <mergeCell ref="C37:D37"/>
    <mergeCell ref="F37:G37"/>
    <mergeCell ref="L37:M37"/>
    <mergeCell ref="C34:D34"/>
    <mergeCell ref="F34:G34"/>
    <mergeCell ref="L34:M34"/>
    <mergeCell ref="C35:D35"/>
    <mergeCell ref="F35:G35"/>
    <mergeCell ref="L35:M35"/>
    <mergeCell ref="C40:D40"/>
    <mergeCell ref="F40:G40"/>
    <mergeCell ref="L40:M40"/>
    <mergeCell ref="C41:D41"/>
    <mergeCell ref="F41:G41"/>
    <mergeCell ref="L41:M41"/>
    <mergeCell ref="C38:D38"/>
    <mergeCell ref="F38:G38"/>
    <mergeCell ref="L38:M38"/>
    <mergeCell ref="C39:D39"/>
    <mergeCell ref="F39:G39"/>
    <mergeCell ref="L39:M39"/>
    <mergeCell ref="C44:D44"/>
    <mergeCell ref="F44:G44"/>
    <mergeCell ref="L44:M44"/>
    <mergeCell ref="C45:D45"/>
    <mergeCell ref="F45:G45"/>
    <mergeCell ref="L45:M45"/>
    <mergeCell ref="C42:D42"/>
    <mergeCell ref="F42:G42"/>
    <mergeCell ref="L42:M42"/>
    <mergeCell ref="C43:D43"/>
    <mergeCell ref="F43:G43"/>
    <mergeCell ref="L43:M43"/>
    <mergeCell ref="C48:D48"/>
    <mergeCell ref="F48:G48"/>
    <mergeCell ref="L48:M48"/>
    <mergeCell ref="C49:D49"/>
    <mergeCell ref="F49:G49"/>
    <mergeCell ref="L49:M49"/>
    <mergeCell ref="C46:D46"/>
    <mergeCell ref="F46:G46"/>
    <mergeCell ref="L46:M46"/>
    <mergeCell ref="C47:D47"/>
    <mergeCell ref="F47:G47"/>
    <mergeCell ref="L47:M47"/>
    <mergeCell ref="A52:C52"/>
    <mergeCell ref="F52:G52"/>
    <mergeCell ref="L52:M52"/>
    <mergeCell ref="A53:C53"/>
    <mergeCell ref="F53:G53"/>
    <mergeCell ref="L53:M53"/>
    <mergeCell ref="C50:D50"/>
    <mergeCell ref="F50:G50"/>
    <mergeCell ref="L50:M50"/>
    <mergeCell ref="C51:D51"/>
    <mergeCell ref="F51:G51"/>
    <mergeCell ref="L51:M51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2021-10-07T05:40:15Z</cp:lastPrinted>
  <dcterms:created xsi:type="dcterms:W3CDTF">2013-12-03T07:14:02Z</dcterms:created>
  <dcterms:modified xsi:type="dcterms:W3CDTF">2021-10-08T06:41:57Z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