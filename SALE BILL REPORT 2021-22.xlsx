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2"/>
  </bookViews>
  <sheets>
    <sheet name="April 2021-22" sheetId="68" r:id="rId1"/>
    <sheet name="May 2021" sheetId="69" r:id="rId2"/>
    <sheet name="June 2021" sheetId="70" r:id="rId3"/>
  </sheets>
  <definedNames>
    <definedName name="_xlnm._FilterDatabase" localSheetId="0" hidden="1">'April 2021-22'!$A$2:$X$3</definedName>
    <definedName name="_xlnm._FilterDatabase" localSheetId="2" hidden="1">'June 2021'!$A$2:$X$47</definedName>
    <definedName name="_xlnm._FilterDatabase" localSheetId="1" hidden="1">'May 2021'!$A$2:$X$30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Q65" l="1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V65" i="70" l="1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</calcChain>
</file>

<file path=xl/sharedStrings.xml><?xml version="1.0" encoding="utf-8"?>
<sst xmlns="http://schemas.openxmlformats.org/spreadsheetml/2006/main" count="576" uniqueCount="223">
  <si>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</si>
  <si>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</si>
  <si>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</si>
  <si>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</si>
  <si>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</si>
  <si>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</si>
  <si>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</si>
  <si>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</si>
  <si>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</si>
  <si>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</si>
  <si>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</si>
  <si>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</si>
  <si>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</si>
  <si>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</si>
  <si>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</si>
  <si>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</si>
  <si>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</si>
  <si>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</si>
  <si>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</si>
  <si>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</si>
  <si>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</si>
  <si>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</si>
  <si>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</si>
  <si>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</si>
  <si>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</si>
  <si>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</si>
  <si>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</si>
  <si>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</si>
  <si>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</si>
  <si>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</si>
  <si>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</si>
  <si>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</si>
  <si>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</si>
  <si>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</si>
  <si>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</si>
  <si>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</si>
  <si>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</si>
  <si>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</si>
  <si>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</si>
  <si>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</si>
  <si>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</si>
  <si>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</si>
  <si>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</si>
  <si>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</si>
  <si>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</si>
  <si>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</si>
  <si>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</si>
  <si>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</si>
  <si>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</si>
  <si>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</si>
  <si>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</si>
  <si>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</si>
  <si>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</si>
  <si>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</si>
  <si>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</si>
  <si>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</si>
  <si>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</si>
  <si>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</si>
  <si>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</si>
  <si>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</si>
  <si>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</si>
  <si>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</si>
  <si>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</si>
  <si>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</si>
  <si>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</si>
  <si>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</si>
  <si>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</si>
  <si>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</si>
  <si>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</si>
  <si>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</si>
  <si>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</si>
  <si>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</si>
  <si>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</si>
  <si>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</si>
  <si>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</si>
  <si>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</si>
  <si>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</si>
  <si>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</si>
  <si>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</si>
  <si>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</si>
  <si>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</si>
  <si>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</si>
  <si>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</si>
  <si>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</si>
  <si>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</si>
  <si>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</si>
  <si>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</si>
  <si>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</si>
  <si>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</si>
  <si>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</si>
  <si>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</si>
  <si>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</si>
  <si>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</si>
  <si>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</si>
  <si>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</si>
  <si>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</si>
  <si>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</si>
  <si>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</si>
  <si>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</si>
  <si>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</si>
  <si>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</si>
  <si>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</si>
  <si>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</si>
  <si>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</si>
  <si>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</si>
  <si>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</si>
  <si>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</si>
  <si>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</si>
  <si>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</si>
  <si>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</si>
  <si>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</si>
  <si>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</si>
  <si>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</si>
  <si>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</si>
  <si>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</si>
  <si>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</si>
  <si>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</si>
  <si>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</si>
  <si>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</si>
  <si>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</si>
  <si>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</si>
  <si>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</si>
  <si>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</si>
  <si>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</si>
  <si>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</si>
  <si>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</si>
  <si>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</si>
  <si>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</si>
  <si>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</si>
  <si>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</si>
  <si>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</si>
  <si>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</si>
  <si>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</si>
  <si>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</si>
  <si>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</si>
  <si>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</si>
  <si>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</si>
  <si>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</si>
  <si>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</si>
  <si>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</si>
  <si>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</si>
  <si>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</si>
  <si>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</si>
  <si>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</si>
  <si>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</si>
  <si>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</si>
  <si>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</si>
  <si>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</si>
  <si>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</si>
  <si>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</si>
  <si>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</si>
  <si>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</si>
  <si>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</si>
  <si>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</si>
  <si>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</si>
  <si>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</si>
  <si>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</si>
  <si>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</si>
  <si>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</si>
  <si>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</si>
  <si>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</si>
  <si>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</si>
  <si>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</si>
  <si>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</si>
  <si>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</si>
  <si>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</si>
  <si>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</si>
  <si>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</si>
  <si>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</si>
  <si>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</si>
  <si>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</si>
  <si>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</si>
  <si>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</si>
  <si>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- - - U.P.- - -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</si>
  <si>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</si>
  <si>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</si>
  <si>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</si>
  <si>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</si>
  <si>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</si>
  <si>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</si>
  <si>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</si>
  <si>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</si>
  <si>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</si>
  <si>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</si>
  <si>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</si>
  <si>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</si>
  <si>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</si>
  <si>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</si>
  <si>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</si>
  <si>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</si>
  <si>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</si>
  <si>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</si>
  <si>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</si>
  <si>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</si>
  <si>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</si>
  <si>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</si>
  <si>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</si>
  <si>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</si>
  <si>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</si>
  <si>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</si>
  <si>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</si>
  <si>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</si>
  <si>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</si>
  <si>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</si>
  <si>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</si>
  <si>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</si>
  <si>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</si>
  <si>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</si>
  <si>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</si>
  <si>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</si>
  <si>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</si>
  <si>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</si>
  <si>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</si>
  <si>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</si>
  <si>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</si>
  <si>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</si>
  <si>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UP</t>
  </si>
  <si>
    <t>Saharanpur</t>
  </si>
  <si>
    <t>28.06.2021</t>
  </si>
  <si>
    <t>29.06.2021</t>
  </si>
  <si>
    <t>30.06.2021</t>
  </si>
  <si>
    <t>Maha Laxmi Agency</t>
  </si>
  <si>
    <t>Gajrolla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</si>
</sst>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0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16" xfId="0" applyFont="1" applyFill="1" applyBorder="1" applyAlignment="1"/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61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5" activePane="bottomLeft" state="frozen"/>
      <selection pane="bottomLeft" activeCell="H73" sqref="H73:J73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92" t="s">
        <v>160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4"/>
    </row>
    <row r="2" spans="1:20" s="6" customFormat="1" ht="12.75" customHeight="1">
      <c r="A2" s="195" t="s">
        <v>9</v>
      </c>
      <c r="B2" s="197" t="s">
        <v>13</v>
      </c>
      <c r="C2" s="199" t="s">
        <v>23</v>
      </c>
      <c r="D2" s="200"/>
      <c r="E2" s="203" t="s">
        <v>15</v>
      </c>
      <c r="F2" s="205" t="s">
        <v>0</v>
      </c>
      <c r="G2" s="197"/>
      <c r="H2" s="206"/>
      <c r="I2" s="207" t="s">
        <v>39</v>
      </c>
      <c r="J2" s="208"/>
      <c r="K2" s="208"/>
      <c r="L2" s="209"/>
      <c r="M2" s="206"/>
      <c r="N2" s="207" t="s">
        <v>1</v>
      </c>
      <c r="O2" s="208"/>
      <c r="P2" s="206"/>
      <c r="Q2" s="210" t="s">
        <v>2</v>
      </c>
      <c r="R2" s="211"/>
      <c r="S2" s="197" t="s">
        <v>14</v>
      </c>
      <c r="T2" s="170" t="s">
        <v>12</v>
      </c>
    </row>
    <row r="3" spans="1:20" s="6" customFormat="1" ht="15.75" thickBot="1">
      <c r="A3" s="196"/>
      <c r="B3" s="198"/>
      <c r="C3" s="201"/>
      <c r="D3" s="202"/>
      <c r="E3" s="204"/>
      <c r="F3" s="172" t="s">
        <v>3</v>
      </c>
      <c r="G3" s="173"/>
      <c r="H3" s="9" t="s">
        <v>4</v>
      </c>
      <c r="I3" s="10" t="s">
        <v>22</v>
      </c>
      <c r="J3" s="11" t="s">
        <v>7</v>
      </c>
      <c r="K3" s="11" t="s">
        <v>17</v>
      </c>
      <c r="L3" s="174" t="s">
        <v>18</v>
      </c>
      <c r="M3" s="17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98"/>
      <c r="T3" s="171"/>
    </row>
    <row r="4" spans="1:20" s="18" customFormat="1" ht="15.75" thickBot="1">
      <c r="A4" s="85" t="s">
        <v>35</v>
      </c>
      <c r="B4" s="30"/>
      <c r="C4" s="176"/>
      <c r="D4" s="177"/>
      <c r="E4" s="31"/>
      <c r="F4" s="176"/>
      <c r="G4" s="178"/>
      <c r="H4" s="80"/>
      <c r="I4" s="32"/>
      <c r="J4" s="33"/>
      <c r="K4" s="80"/>
      <c r="L4" s="179"/>
      <c r="M4" s="177"/>
      <c r="N4" s="79"/>
      <c r="O4" s="80"/>
      <c r="P4" s="34"/>
      <c r="Q4" s="79"/>
      <c r="R4" s="34"/>
      <c r="S4" s="35">
        <f>SUM(F4:R4)</f>
        <v>0</v>
      </c>
      <c r="T4" s="36"/>
    </row>
    <row r="5" spans="1:20">
      <c r="A5" s="37" t="s">
        <v>51</v>
      </c>
      <c r="B5" s="38" t="s">
        <v>54</v>
      </c>
      <c r="C5" s="184" t="s">
        <v>52</v>
      </c>
      <c r="D5" s="185"/>
      <c r="E5" s="39" t="s">
        <v>53</v>
      </c>
      <c r="F5" s="186"/>
      <c r="G5" s="187"/>
      <c r="H5" s="84"/>
      <c r="I5" s="40"/>
      <c r="J5" s="41"/>
      <c r="K5" s="41"/>
      <c r="L5" s="188"/>
      <c r="M5" s="189"/>
      <c r="N5" s="40"/>
      <c r="O5" s="41"/>
      <c r="P5" s="84"/>
      <c r="Q5" s="40">
        <v>120</v>
      </c>
      <c r="R5" s="42"/>
      <c r="S5" s="43">
        <f t="shared" ref="S5:S55" si="0">SUM(F5:R5)</f>
        <v>120</v>
      </c>
      <c r="T5" s="44">
        <v>46333</v>
      </c>
    </row>
    <row r="6" spans="1:20">
      <c r="A6" s="37" t="s">
        <v>55</v>
      </c>
      <c r="B6" s="38" t="s">
        <v>56</v>
      </c>
      <c r="C6" s="180" t="s">
        <v>57</v>
      </c>
      <c r="D6" s="181"/>
      <c r="E6" s="45" t="s">
        <v>58</v>
      </c>
      <c r="F6" s="182"/>
      <c r="G6" s="183"/>
      <c r="H6" s="83"/>
      <c r="I6" s="46">
        <v>60</v>
      </c>
      <c r="J6" s="47"/>
      <c r="K6" s="47">
        <v>22</v>
      </c>
      <c r="L6" s="190"/>
      <c r="M6" s="191"/>
      <c r="N6" s="48"/>
      <c r="O6" s="83"/>
      <c r="P6" s="49"/>
      <c r="Q6" s="46"/>
      <c r="R6" s="50"/>
      <c r="S6" s="43">
        <f t="shared" si="0"/>
        <v>82</v>
      </c>
      <c r="T6" s="51">
        <v>26799</v>
      </c>
    </row>
    <row r="7" spans="1:20">
      <c r="A7" s="37" t="s">
        <v>59</v>
      </c>
      <c r="B7" s="38" t="s">
        <v>60</v>
      </c>
      <c r="C7" s="180" t="s">
        <v>95</v>
      </c>
      <c r="D7" s="181"/>
      <c r="E7" s="45" t="s">
        <v>96</v>
      </c>
      <c r="F7" s="182"/>
      <c r="G7" s="183"/>
      <c r="H7" s="83"/>
      <c r="I7" s="48"/>
      <c r="J7" s="52"/>
      <c r="K7" s="52"/>
      <c r="L7" s="168"/>
      <c r="M7" s="169"/>
      <c r="N7" s="48">
        <v>600</v>
      </c>
      <c r="O7" s="83">
        <v>480</v>
      </c>
      <c r="P7" s="49">
        <v>1800</v>
      </c>
      <c r="Q7" s="48"/>
      <c r="R7" s="49"/>
      <c r="S7" s="53">
        <f t="shared" si="0"/>
        <v>2880</v>
      </c>
      <c r="T7" s="54">
        <v>917226</v>
      </c>
    </row>
    <row r="8" spans="1:20">
      <c r="A8" s="37" t="s">
        <v>97</v>
      </c>
      <c r="B8" s="38" t="s">
        <v>61</v>
      </c>
      <c r="C8" s="180" t="s">
        <v>98</v>
      </c>
      <c r="D8" s="181"/>
      <c r="E8" s="45" t="s">
        <v>99</v>
      </c>
      <c r="F8" s="182"/>
      <c r="G8" s="183"/>
      <c r="H8" s="83">
        <v>120</v>
      </c>
      <c r="I8" s="48"/>
      <c r="J8" s="52"/>
      <c r="K8" s="52"/>
      <c r="L8" s="168"/>
      <c r="M8" s="169"/>
      <c r="N8" s="48"/>
      <c r="O8" s="83"/>
      <c r="P8" s="49">
        <v>120</v>
      </c>
      <c r="Q8" s="48"/>
      <c r="R8" s="49"/>
      <c r="S8" s="53">
        <f t="shared" si="0"/>
        <v>240</v>
      </c>
      <c r="T8" s="54">
        <v>81150</v>
      </c>
    </row>
    <row r="9" spans="1:20">
      <c r="A9" s="37" t="s">
        <v>97</v>
      </c>
      <c r="B9" s="38" t="s">
        <v>62</v>
      </c>
      <c r="C9" s="180" t="s">
        <v>100</v>
      </c>
      <c r="D9" s="181"/>
      <c r="E9" s="45" t="s">
        <v>101</v>
      </c>
      <c r="F9" s="182"/>
      <c r="G9" s="183"/>
      <c r="H9" s="83"/>
      <c r="I9" s="48">
        <v>150</v>
      </c>
      <c r="J9" s="52"/>
      <c r="K9" s="52"/>
      <c r="L9" s="168"/>
      <c r="M9" s="169"/>
      <c r="N9" s="48"/>
      <c r="O9" s="83"/>
      <c r="P9" s="49">
        <v>360</v>
      </c>
      <c r="Q9" s="48"/>
      <c r="R9" s="49"/>
      <c r="S9" s="53">
        <f t="shared" si="0"/>
        <v>510</v>
      </c>
      <c r="T9" s="54">
        <v>166853</v>
      </c>
    </row>
    <row r="10" spans="1:20">
      <c r="A10" s="37" t="s">
        <v>97</v>
      </c>
      <c r="B10" s="38" t="s">
        <v>63</v>
      </c>
      <c r="C10" s="180" t="s">
        <v>102</v>
      </c>
      <c r="D10" s="181"/>
      <c r="E10" s="45" t="s">
        <v>103</v>
      </c>
      <c r="F10" s="182"/>
      <c r="G10" s="183"/>
      <c r="H10" s="83"/>
      <c r="I10" s="48"/>
      <c r="J10" s="52"/>
      <c r="K10" s="52"/>
      <c r="L10" s="168"/>
      <c r="M10" s="169"/>
      <c r="N10" s="48"/>
      <c r="O10" s="83"/>
      <c r="P10" s="49"/>
      <c r="Q10" s="48">
        <v>48</v>
      </c>
      <c r="R10" s="49"/>
      <c r="S10" s="53">
        <f t="shared" si="0"/>
        <v>48</v>
      </c>
      <c r="T10" s="54">
        <v>18533</v>
      </c>
    </row>
    <row r="11" spans="1:20">
      <c r="A11" s="37" t="s">
        <v>104</v>
      </c>
      <c r="B11" s="38" t="s">
        <v>64</v>
      </c>
      <c r="C11" s="180" t="s">
        <v>100</v>
      </c>
      <c r="D11" s="181"/>
      <c r="E11" s="45" t="s">
        <v>101</v>
      </c>
      <c r="F11" s="182"/>
      <c r="G11" s="183"/>
      <c r="H11" s="83">
        <v>24</v>
      </c>
      <c r="I11" s="48"/>
      <c r="J11" s="52"/>
      <c r="K11" s="52"/>
      <c r="L11" s="168"/>
      <c r="M11" s="169"/>
      <c r="N11" s="48"/>
      <c r="O11" s="83"/>
      <c r="P11" s="49"/>
      <c r="Q11" s="48"/>
      <c r="R11" s="49"/>
      <c r="S11" s="53">
        <f t="shared" si="0"/>
        <v>24</v>
      </c>
      <c r="T11" s="54">
        <v>8259</v>
      </c>
    </row>
    <row r="12" spans="1:20">
      <c r="A12" s="37" t="s">
        <v>104</v>
      </c>
      <c r="B12" s="38" t="s">
        <v>65</v>
      </c>
      <c r="C12" s="180" t="s">
        <v>105</v>
      </c>
      <c r="D12" s="181"/>
      <c r="E12" s="99" t="s">
        <v>173</v>
      </c>
      <c r="F12" s="182"/>
      <c r="G12" s="183"/>
      <c r="H12" s="83"/>
      <c r="I12" s="48"/>
      <c r="J12" s="52"/>
      <c r="K12" s="52"/>
      <c r="L12" s="168"/>
      <c r="M12" s="169"/>
      <c r="N12" s="48"/>
      <c r="O12" s="83"/>
      <c r="P12" s="49">
        <v>480</v>
      </c>
      <c r="Q12" s="48">
        <v>48</v>
      </c>
      <c r="R12" s="49"/>
      <c r="S12" s="53">
        <f t="shared" si="0"/>
        <v>528</v>
      </c>
      <c r="T12" s="54">
        <v>177963</v>
      </c>
    </row>
    <row r="13" spans="1:20">
      <c r="A13" s="87" t="s">
        <v>106</v>
      </c>
      <c r="B13" s="38" t="s">
        <v>66</v>
      </c>
      <c r="C13" s="180" t="s">
        <v>107</v>
      </c>
      <c r="D13" s="181"/>
      <c r="E13" s="45" t="s">
        <v>108</v>
      </c>
      <c r="F13" s="182"/>
      <c r="G13" s="183"/>
      <c r="H13" s="83">
        <v>48</v>
      </c>
      <c r="I13" s="48"/>
      <c r="J13" s="52"/>
      <c r="K13" s="52"/>
      <c r="L13" s="168"/>
      <c r="M13" s="169"/>
      <c r="N13" s="48"/>
      <c r="O13" s="83"/>
      <c r="P13" s="49"/>
      <c r="Q13" s="48"/>
      <c r="R13" s="49"/>
      <c r="S13" s="53">
        <f t="shared" si="0"/>
        <v>48</v>
      </c>
      <c r="T13" s="54">
        <v>16517</v>
      </c>
    </row>
    <row r="14" spans="1:20">
      <c r="A14" s="87" t="s">
        <v>106</v>
      </c>
      <c r="B14" s="38" t="s">
        <v>67</v>
      </c>
      <c r="C14" s="180" t="s">
        <v>109</v>
      </c>
      <c r="D14" s="181"/>
      <c r="E14" s="45" t="s">
        <v>110</v>
      </c>
      <c r="F14" s="182"/>
      <c r="G14" s="183"/>
      <c r="H14" s="83">
        <v>48</v>
      </c>
      <c r="I14" s="48"/>
      <c r="J14" s="52"/>
      <c r="K14" s="52"/>
      <c r="L14" s="168"/>
      <c r="M14" s="169"/>
      <c r="N14" s="48"/>
      <c r="O14" s="83"/>
      <c r="P14" s="49"/>
      <c r="Q14" s="48"/>
      <c r="R14" s="49"/>
      <c r="S14" s="53">
        <f>SUM(F14:R14)</f>
        <v>48</v>
      </c>
      <c r="T14" s="54">
        <v>16517</v>
      </c>
    </row>
    <row r="15" spans="1:20">
      <c r="A15" s="87" t="s">
        <v>106</v>
      </c>
      <c r="B15" s="38" t="s">
        <v>68</v>
      </c>
      <c r="C15" s="180" t="s">
        <v>111</v>
      </c>
      <c r="D15" s="181"/>
      <c r="E15" s="45" t="s">
        <v>112</v>
      </c>
      <c r="F15" s="182"/>
      <c r="G15" s="183"/>
      <c r="H15" s="83"/>
      <c r="I15" s="48">
        <v>7050</v>
      </c>
      <c r="J15" s="52">
        <v>120</v>
      </c>
      <c r="K15" s="52">
        <v>440</v>
      </c>
      <c r="L15" s="168"/>
      <c r="M15" s="169"/>
      <c r="N15" s="82">
        <v>840</v>
      </c>
      <c r="O15" s="83"/>
      <c r="P15" s="49">
        <v>2400</v>
      </c>
      <c r="Q15" s="82">
        <v>1560</v>
      </c>
      <c r="R15" s="49">
        <v>900</v>
      </c>
      <c r="S15" s="53">
        <f t="shared" si="0"/>
        <v>13310</v>
      </c>
      <c r="T15" s="54">
        <v>4257270</v>
      </c>
    </row>
    <row r="16" spans="1:20">
      <c r="A16" s="88" t="s">
        <v>113</v>
      </c>
      <c r="B16" s="38" t="s">
        <v>69</v>
      </c>
      <c r="C16" s="180" t="s">
        <v>114</v>
      </c>
      <c r="D16" s="181"/>
      <c r="E16" s="45" t="s">
        <v>115</v>
      </c>
      <c r="F16" s="182"/>
      <c r="G16" s="183"/>
      <c r="H16" s="83"/>
      <c r="I16" s="48"/>
      <c r="J16" s="52"/>
      <c r="K16" s="52"/>
      <c r="L16" s="168"/>
      <c r="M16" s="169"/>
      <c r="N16" s="82"/>
      <c r="O16" s="83"/>
      <c r="P16" s="49">
        <v>264</v>
      </c>
      <c r="Q16" s="82">
        <v>24</v>
      </c>
      <c r="R16" s="55"/>
      <c r="S16" s="53">
        <f t="shared" si="0"/>
        <v>288</v>
      </c>
      <c r="T16" s="54">
        <v>96953</v>
      </c>
    </row>
    <row r="17" spans="1:22">
      <c r="A17" s="88" t="s">
        <v>116</v>
      </c>
      <c r="B17" s="38" t="s">
        <v>70</v>
      </c>
      <c r="C17" s="180" t="s">
        <v>117</v>
      </c>
      <c r="D17" s="181"/>
      <c r="E17" s="45" t="s">
        <v>118</v>
      </c>
      <c r="F17" s="182"/>
      <c r="G17" s="183"/>
      <c r="H17" s="83"/>
      <c r="I17" s="48"/>
      <c r="J17" s="52"/>
      <c r="K17" s="52"/>
      <c r="L17" s="168"/>
      <c r="M17" s="169"/>
      <c r="N17" s="82"/>
      <c r="O17" s="83"/>
      <c r="P17" s="49">
        <v>360</v>
      </c>
      <c r="Q17" s="82"/>
      <c r="R17" s="55"/>
      <c r="S17" s="53">
        <f t="shared" si="0"/>
        <v>360</v>
      </c>
      <c r="T17" s="54">
        <v>119573</v>
      </c>
    </row>
    <row r="18" spans="1:22">
      <c r="A18" s="88" t="s">
        <v>116</v>
      </c>
      <c r="B18" s="38" t="s">
        <v>71</v>
      </c>
      <c r="C18" s="180" t="s">
        <v>120</v>
      </c>
      <c r="D18" s="181"/>
      <c r="E18" s="45" t="s">
        <v>121</v>
      </c>
      <c r="F18" s="182"/>
      <c r="G18" s="183"/>
      <c r="H18" s="83"/>
      <c r="I18" s="48"/>
      <c r="J18" s="52"/>
      <c r="K18" s="52"/>
      <c r="L18" s="168"/>
      <c r="M18" s="169"/>
      <c r="N18" s="82">
        <v>600</v>
      </c>
      <c r="O18" s="83">
        <v>240</v>
      </c>
      <c r="P18" s="49">
        <v>3600</v>
      </c>
      <c r="Q18" s="82"/>
      <c r="R18" s="55"/>
      <c r="S18" s="53">
        <f>SUM(F18:R18)</f>
        <v>4440</v>
      </c>
      <c r="T18" s="54">
        <v>1418333</v>
      </c>
    </row>
    <row r="19" spans="1:22">
      <c r="A19" s="88" t="s">
        <v>116</v>
      </c>
      <c r="B19" s="38" t="s">
        <v>72</v>
      </c>
      <c r="C19" s="180" t="s">
        <v>122</v>
      </c>
      <c r="D19" s="181"/>
      <c r="E19" s="45" t="s">
        <v>121</v>
      </c>
      <c r="F19" s="182"/>
      <c r="G19" s="183"/>
      <c r="H19" s="83"/>
      <c r="I19" s="48"/>
      <c r="J19" s="52"/>
      <c r="K19" s="52"/>
      <c r="L19" s="168"/>
      <c r="M19" s="169"/>
      <c r="N19" s="82">
        <v>600</v>
      </c>
      <c r="O19" s="83">
        <v>480</v>
      </c>
      <c r="P19" s="49">
        <v>840</v>
      </c>
      <c r="Q19" s="82"/>
      <c r="R19" s="55"/>
      <c r="S19" s="53">
        <f t="shared" si="0"/>
        <v>1920</v>
      </c>
      <c r="T19" s="54">
        <v>609443</v>
      </c>
      <c r="V19" s="13"/>
    </row>
    <row r="20" spans="1:22">
      <c r="A20" s="88" t="s">
        <v>116</v>
      </c>
      <c r="B20" s="38" t="s">
        <v>73</v>
      </c>
      <c r="C20" s="182" t="s">
        <v>123</v>
      </c>
      <c r="D20" s="169"/>
      <c r="E20" s="45" t="s">
        <v>121</v>
      </c>
      <c r="F20" s="182"/>
      <c r="G20" s="183"/>
      <c r="H20" s="83"/>
      <c r="I20" s="48">
        <v>600</v>
      </c>
      <c r="J20" s="52"/>
      <c r="K20" s="52"/>
      <c r="L20" s="168"/>
      <c r="M20" s="169"/>
      <c r="N20" s="82"/>
      <c r="O20" s="83"/>
      <c r="P20" s="49">
        <v>1920</v>
      </c>
      <c r="Q20" s="82"/>
      <c r="R20" s="55"/>
      <c r="S20" s="53">
        <f t="shared" si="0"/>
        <v>2520</v>
      </c>
      <c r="T20" s="54">
        <v>797736</v>
      </c>
    </row>
    <row r="21" spans="1:22">
      <c r="A21" s="88" t="s">
        <v>116</v>
      </c>
      <c r="B21" s="38" t="s">
        <v>74</v>
      </c>
      <c r="C21" s="182" t="s">
        <v>95</v>
      </c>
      <c r="D21" s="169"/>
      <c r="E21" s="45" t="s">
        <v>96</v>
      </c>
      <c r="F21" s="182"/>
      <c r="G21" s="183"/>
      <c r="H21" s="83"/>
      <c r="I21" s="48"/>
      <c r="J21" s="52"/>
      <c r="K21" s="52">
        <v>220</v>
      </c>
      <c r="L21" s="168"/>
      <c r="M21" s="169"/>
      <c r="N21" s="82">
        <v>600</v>
      </c>
      <c r="O21" s="83">
        <v>240</v>
      </c>
      <c r="P21" s="49">
        <v>1440</v>
      </c>
      <c r="Q21" s="82"/>
      <c r="R21" s="55"/>
      <c r="S21" s="53">
        <f t="shared" si="0"/>
        <v>2500</v>
      </c>
      <c r="T21" s="54">
        <v>802040</v>
      </c>
    </row>
    <row r="22" spans="1:22">
      <c r="A22" s="89" t="s">
        <v>119</v>
      </c>
      <c r="B22" s="38" t="s">
        <v>75</v>
      </c>
      <c r="C22" s="182" t="s">
        <v>124</v>
      </c>
      <c r="D22" s="169"/>
      <c r="E22" s="45" t="s">
        <v>125</v>
      </c>
      <c r="F22" s="182">
        <v>48</v>
      </c>
      <c r="G22" s="183"/>
      <c r="H22" s="83">
        <v>24</v>
      </c>
      <c r="I22" s="48"/>
      <c r="J22" s="52"/>
      <c r="K22" s="52"/>
      <c r="L22" s="168"/>
      <c r="M22" s="169"/>
      <c r="N22" s="82"/>
      <c r="O22" s="83"/>
      <c r="P22" s="49">
        <v>72</v>
      </c>
      <c r="Q22" s="82">
        <v>24</v>
      </c>
      <c r="R22" s="55"/>
      <c r="S22" s="53">
        <f t="shared" si="0"/>
        <v>168</v>
      </c>
      <c r="T22" s="54">
        <v>57621</v>
      </c>
    </row>
    <row r="23" spans="1:22">
      <c r="A23" s="89" t="s">
        <v>126</v>
      </c>
      <c r="B23" s="38" t="s">
        <v>76</v>
      </c>
      <c r="C23" s="182" t="s">
        <v>127</v>
      </c>
      <c r="D23" s="169"/>
      <c r="E23" s="45" t="s">
        <v>128</v>
      </c>
      <c r="F23" s="182"/>
      <c r="G23" s="183"/>
      <c r="H23" s="83">
        <v>1200</v>
      </c>
      <c r="I23" s="48">
        <v>900</v>
      </c>
      <c r="J23" s="52"/>
      <c r="K23" s="52">
        <v>660</v>
      </c>
      <c r="L23" s="168"/>
      <c r="M23" s="169"/>
      <c r="N23" s="82"/>
      <c r="O23" s="83"/>
      <c r="P23" s="49">
        <v>4320</v>
      </c>
      <c r="Q23" s="82"/>
      <c r="R23" s="55"/>
      <c r="S23" s="53">
        <f t="shared" si="0"/>
        <v>7080</v>
      </c>
      <c r="T23" s="54">
        <v>2223353</v>
      </c>
    </row>
    <row r="24" spans="1:22">
      <c r="A24" s="89" t="s">
        <v>126</v>
      </c>
      <c r="B24" s="38" t="s">
        <v>77</v>
      </c>
      <c r="C24" s="182" t="s">
        <v>98</v>
      </c>
      <c r="D24" s="169"/>
      <c r="E24" s="45" t="s">
        <v>99</v>
      </c>
      <c r="F24" s="182"/>
      <c r="G24" s="183"/>
      <c r="H24" s="83">
        <v>120</v>
      </c>
      <c r="I24" s="48"/>
      <c r="J24" s="52"/>
      <c r="K24" s="52"/>
      <c r="L24" s="168"/>
      <c r="M24" s="169"/>
      <c r="N24" s="82"/>
      <c r="O24" s="83"/>
      <c r="P24" s="49"/>
      <c r="Q24" s="82">
        <v>24</v>
      </c>
      <c r="R24" s="55"/>
      <c r="S24" s="53">
        <f t="shared" si="0"/>
        <v>144</v>
      </c>
      <c r="T24" s="54">
        <v>50559</v>
      </c>
    </row>
    <row r="25" spans="1:22">
      <c r="A25" s="89" t="s">
        <v>126</v>
      </c>
      <c r="B25" s="38" t="s">
        <v>78</v>
      </c>
      <c r="C25" s="182" t="s">
        <v>129</v>
      </c>
      <c r="D25" s="169"/>
      <c r="E25" s="45" t="s">
        <v>130</v>
      </c>
      <c r="F25" s="182"/>
      <c r="G25" s="183"/>
      <c r="H25" s="83">
        <v>120</v>
      </c>
      <c r="I25" s="48"/>
      <c r="J25" s="52"/>
      <c r="K25" s="52"/>
      <c r="L25" s="168"/>
      <c r="M25" s="169"/>
      <c r="N25" s="82"/>
      <c r="O25" s="83"/>
      <c r="P25" s="49"/>
      <c r="Q25" s="82"/>
      <c r="R25" s="55"/>
      <c r="S25" s="53">
        <f t="shared" si="0"/>
        <v>120</v>
      </c>
      <c r="T25" s="54">
        <v>41293</v>
      </c>
    </row>
    <row r="26" spans="1:22">
      <c r="A26" s="89" t="s">
        <v>131</v>
      </c>
      <c r="B26" s="38" t="s">
        <v>79</v>
      </c>
      <c r="C26" s="182" t="s">
        <v>95</v>
      </c>
      <c r="D26" s="169"/>
      <c r="E26" s="45" t="s">
        <v>96</v>
      </c>
      <c r="F26" s="182"/>
      <c r="G26" s="183"/>
      <c r="H26" s="83"/>
      <c r="I26" s="48">
        <v>1200</v>
      </c>
      <c r="J26" s="52"/>
      <c r="K26" s="52"/>
      <c r="L26" s="168"/>
      <c r="M26" s="169"/>
      <c r="N26" s="82">
        <v>1200</v>
      </c>
      <c r="O26" s="83">
        <v>600</v>
      </c>
      <c r="P26" s="49">
        <v>2400</v>
      </c>
      <c r="Q26" s="82">
        <v>120</v>
      </c>
      <c r="R26" s="55"/>
      <c r="S26" s="53">
        <f t="shared" si="0"/>
        <v>5520</v>
      </c>
      <c r="T26" s="54">
        <v>1744853</v>
      </c>
    </row>
    <row r="27" spans="1:22">
      <c r="A27" s="89" t="s">
        <v>131</v>
      </c>
      <c r="B27" s="38" t="s">
        <v>80</v>
      </c>
      <c r="C27" s="182" t="s">
        <v>133</v>
      </c>
      <c r="D27" s="169"/>
      <c r="E27" s="56" t="s">
        <v>132</v>
      </c>
      <c r="F27" s="182"/>
      <c r="G27" s="183"/>
      <c r="H27" s="86"/>
      <c r="I27" s="57"/>
      <c r="J27" s="58"/>
      <c r="K27" s="58"/>
      <c r="L27" s="168"/>
      <c r="M27" s="169"/>
      <c r="N27" s="81"/>
      <c r="O27" s="86"/>
      <c r="P27" s="55">
        <v>120</v>
      </c>
      <c r="Q27" s="81"/>
      <c r="R27" s="55"/>
      <c r="S27" s="53">
        <f t="shared" si="0"/>
        <v>120</v>
      </c>
      <c r="T27" s="59">
        <v>39858</v>
      </c>
    </row>
    <row r="28" spans="1:22">
      <c r="A28" s="89" t="s">
        <v>131</v>
      </c>
      <c r="B28" s="38" t="s">
        <v>81</v>
      </c>
      <c r="C28" s="182" t="s">
        <v>134</v>
      </c>
      <c r="D28" s="169"/>
      <c r="E28" s="56" t="s">
        <v>135</v>
      </c>
      <c r="F28" s="182"/>
      <c r="G28" s="183"/>
      <c r="H28" s="86">
        <v>48</v>
      </c>
      <c r="I28" s="57"/>
      <c r="J28" s="58"/>
      <c r="K28" s="58"/>
      <c r="L28" s="168"/>
      <c r="M28" s="169"/>
      <c r="N28" s="81"/>
      <c r="O28" s="86"/>
      <c r="P28" s="55">
        <v>120</v>
      </c>
      <c r="Q28" s="81">
        <v>120</v>
      </c>
      <c r="R28" s="55"/>
      <c r="S28" s="53">
        <f t="shared" si="0"/>
        <v>288</v>
      </c>
      <c r="T28" s="59">
        <v>102707</v>
      </c>
    </row>
    <row r="29" spans="1:22">
      <c r="A29" s="90" t="s">
        <v>136</v>
      </c>
      <c r="B29" s="38" t="s">
        <v>82</v>
      </c>
      <c r="C29" s="182" t="s">
        <v>137</v>
      </c>
      <c r="D29" s="169"/>
      <c r="E29" s="56" t="s">
        <v>138</v>
      </c>
      <c r="F29" s="182"/>
      <c r="G29" s="183"/>
      <c r="H29" s="86"/>
      <c r="I29" s="57"/>
      <c r="J29" s="58"/>
      <c r="K29" s="58"/>
      <c r="L29" s="168"/>
      <c r="M29" s="169"/>
      <c r="N29" s="81"/>
      <c r="O29" s="86"/>
      <c r="P29" s="55"/>
      <c r="Q29" s="81">
        <v>60</v>
      </c>
      <c r="R29" s="55"/>
      <c r="S29" s="53">
        <f t="shared" si="0"/>
        <v>60</v>
      </c>
      <c r="T29" s="59">
        <v>23166</v>
      </c>
    </row>
    <row r="30" spans="1:22">
      <c r="A30" s="90" t="s">
        <v>136</v>
      </c>
      <c r="B30" s="38" t="s">
        <v>83</v>
      </c>
      <c r="C30" s="182" t="s">
        <v>140</v>
      </c>
      <c r="D30" s="169"/>
      <c r="E30" s="56" t="s">
        <v>139</v>
      </c>
      <c r="F30" s="182"/>
      <c r="G30" s="183"/>
      <c r="H30" s="86"/>
      <c r="I30" s="57"/>
      <c r="J30" s="58"/>
      <c r="K30" s="58"/>
      <c r="L30" s="168"/>
      <c r="M30" s="169"/>
      <c r="N30" s="81"/>
      <c r="O30" s="86"/>
      <c r="P30" s="55"/>
      <c r="Q30" s="81">
        <v>60</v>
      </c>
      <c r="R30" s="55"/>
      <c r="S30" s="53">
        <f t="shared" si="0"/>
        <v>60</v>
      </c>
      <c r="T30" s="59">
        <v>23166</v>
      </c>
    </row>
    <row r="31" spans="1:22">
      <c r="A31" s="90" t="s">
        <v>136</v>
      </c>
      <c r="B31" s="38" t="s">
        <v>84</v>
      </c>
      <c r="C31" s="182" t="s">
        <v>141</v>
      </c>
      <c r="D31" s="169"/>
      <c r="E31" s="56" t="s">
        <v>142</v>
      </c>
      <c r="F31" s="182"/>
      <c r="G31" s="183"/>
      <c r="H31" s="86"/>
      <c r="I31" s="57"/>
      <c r="J31" s="58"/>
      <c r="K31" s="58"/>
      <c r="L31" s="168"/>
      <c r="M31" s="169"/>
      <c r="N31" s="81"/>
      <c r="O31" s="86"/>
      <c r="P31" s="55">
        <v>72</v>
      </c>
      <c r="Q31" s="81"/>
      <c r="R31" s="55"/>
      <c r="S31" s="53">
        <f t="shared" si="0"/>
        <v>72</v>
      </c>
      <c r="T31" s="59">
        <v>23915</v>
      </c>
    </row>
    <row r="32" spans="1:22">
      <c r="A32" s="91" t="s">
        <v>143</v>
      </c>
      <c r="B32" s="38" t="s">
        <v>85</v>
      </c>
      <c r="C32" s="182" t="s">
        <v>144</v>
      </c>
      <c r="D32" s="169"/>
      <c r="E32" s="56" t="s">
        <v>145</v>
      </c>
      <c r="F32" s="182"/>
      <c r="G32" s="183"/>
      <c r="H32" s="86"/>
      <c r="I32" s="57">
        <v>120</v>
      </c>
      <c r="J32" s="58"/>
      <c r="K32" s="58"/>
      <c r="L32" s="168"/>
      <c r="M32" s="169"/>
      <c r="N32" s="81"/>
      <c r="O32" s="86">
        <v>144</v>
      </c>
      <c r="P32" s="55">
        <v>720</v>
      </c>
      <c r="Q32" s="81">
        <v>120</v>
      </c>
      <c r="R32" s="55"/>
      <c r="S32" s="53">
        <f t="shared" si="0"/>
        <v>1104</v>
      </c>
      <c r="T32" s="59">
        <v>357629</v>
      </c>
    </row>
    <row r="33" spans="1:20">
      <c r="A33" s="91" t="s">
        <v>143</v>
      </c>
      <c r="B33" s="38" t="s">
        <v>86</v>
      </c>
      <c r="C33" s="182" t="s">
        <v>127</v>
      </c>
      <c r="D33" s="169"/>
      <c r="E33" s="56" t="s">
        <v>146</v>
      </c>
      <c r="F33" s="182">
        <v>720</v>
      </c>
      <c r="G33" s="183"/>
      <c r="H33" s="86">
        <v>1440</v>
      </c>
      <c r="I33" s="57">
        <v>600</v>
      </c>
      <c r="J33" s="58"/>
      <c r="K33" s="58"/>
      <c r="L33" s="168"/>
      <c r="M33" s="169"/>
      <c r="N33" s="81">
        <v>480</v>
      </c>
      <c r="O33" s="86">
        <v>720</v>
      </c>
      <c r="P33" s="55">
        <v>4800</v>
      </c>
      <c r="Q33" s="81"/>
      <c r="R33" s="55"/>
      <c r="S33" s="53">
        <f t="shared" si="0"/>
        <v>8760</v>
      </c>
      <c r="T33" s="59">
        <v>2737951</v>
      </c>
    </row>
    <row r="34" spans="1:20">
      <c r="A34" s="92" t="s">
        <v>147</v>
      </c>
      <c r="B34" s="38" t="s">
        <v>87</v>
      </c>
      <c r="C34" s="182" t="s">
        <v>117</v>
      </c>
      <c r="D34" s="169"/>
      <c r="E34" s="56" t="s">
        <v>118</v>
      </c>
      <c r="F34" s="182"/>
      <c r="G34" s="183"/>
      <c r="H34" s="86"/>
      <c r="I34" s="57"/>
      <c r="J34" s="58"/>
      <c r="K34" s="58"/>
      <c r="L34" s="168"/>
      <c r="M34" s="169"/>
      <c r="N34" s="81"/>
      <c r="O34" s="86"/>
      <c r="P34" s="55">
        <v>480</v>
      </c>
      <c r="Q34" s="81"/>
      <c r="R34" s="55"/>
      <c r="S34" s="53">
        <f t="shared" si="0"/>
        <v>480</v>
      </c>
      <c r="T34" s="59">
        <v>159430</v>
      </c>
    </row>
    <row r="35" spans="1:20">
      <c r="A35" s="93" t="s">
        <v>147</v>
      </c>
      <c r="B35" s="38" t="s">
        <v>88</v>
      </c>
      <c r="C35" s="182" t="s">
        <v>111</v>
      </c>
      <c r="D35" s="169"/>
      <c r="E35" s="56" t="s">
        <v>112</v>
      </c>
      <c r="F35" s="182"/>
      <c r="G35" s="183"/>
      <c r="H35" s="86"/>
      <c r="I35" s="57">
        <v>9750</v>
      </c>
      <c r="J35" s="58"/>
      <c r="K35" s="58">
        <v>330</v>
      </c>
      <c r="L35" s="168"/>
      <c r="M35" s="169"/>
      <c r="N35" s="81"/>
      <c r="O35" s="86">
        <v>120</v>
      </c>
      <c r="P35" s="55">
        <v>2400</v>
      </c>
      <c r="Q35" s="81">
        <v>1500</v>
      </c>
      <c r="R35" s="55"/>
      <c r="S35" s="53">
        <f t="shared" si="0"/>
        <v>14100</v>
      </c>
      <c r="T35" s="59">
        <v>4400818</v>
      </c>
    </row>
    <row r="36" spans="1:20">
      <c r="A36" s="94" t="s">
        <v>148</v>
      </c>
      <c r="B36" s="38" t="s">
        <v>89</v>
      </c>
      <c r="C36" s="182" t="s">
        <v>102</v>
      </c>
      <c r="D36" s="169"/>
      <c r="E36" s="56" t="s">
        <v>103</v>
      </c>
      <c r="F36" s="182"/>
      <c r="G36" s="183"/>
      <c r="H36" s="86"/>
      <c r="I36" s="57"/>
      <c r="J36" s="58"/>
      <c r="K36" s="58"/>
      <c r="L36" s="168"/>
      <c r="M36" s="169"/>
      <c r="N36" s="81"/>
      <c r="O36" s="86"/>
      <c r="P36" s="55"/>
      <c r="Q36" s="81">
        <v>60</v>
      </c>
      <c r="R36" s="55"/>
      <c r="S36" s="53">
        <f t="shared" si="0"/>
        <v>60</v>
      </c>
      <c r="T36" s="59">
        <v>23166</v>
      </c>
    </row>
    <row r="37" spans="1:20">
      <c r="A37" s="94" t="s">
        <v>148</v>
      </c>
      <c r="B37" s="38" t="s">
        <v>90</v>
      </c>
      <c r="C37" s="182" t="s">
        <v>149</v>
      </c>
      <c r="D37" s="169"/>
      <c r="E37" s="56" t="s">
        <v>99</v>
      </c>
      <c r="F37" s="182"/>
      <c r="G37" s="183"/>
      <c r="H37" s="86"/>
      <c r="I37" s="57"/>
      <c r="J37" s="58"/>
      <c r="K37" s="58"/>
      <c r="L37" s="168"/>
      <c r="M37" s="169"/>
      <c r="N37" s="81"/>
      <c r="O37" s="86"/>
      <c r="P37" s="55">
        <v>120</v>
      </c>
      <c r="Q37" s="81">
        <v>24</v>
      </c>
      <c r="R37" s="55"/>
      <c r="S37" s="53">
        <f t="shared" si="0"/>
        <v>144</v>
      </c>
      <c r="T37" s="59">
        <v>49124</v>
      </c>
    </row>
    <row r="38" spans="1:20">
      <c r="A38" s="94" t="s">
        <v>148</v>
      </c>
      <c r="B38" s="38" t="s">
        <v>91</v>
      </c>
      <c r="C38" s="182" t="s">
        <v>95</v>
      </c>
      <c r="D38" s="169"/>
      <c r="E38" s="56" t="s">
        <v>96</v>
      </c>
      <c r="F38" s="182"/>
      <c r="G38" s="183"/>
      <c r="H38" s="86"/>
      <c r="I38" s="57">
        <v>600</v>
      </c>
      <c r="J38" s="58"/>
      <c r="K38" s="58"/>
      <c r="L38" s="168"/>
      <c r="M38" s="169"/>
      <c r="N38" s="81">
        <v>480</v>
      </c>
      <c r="O38" s="86">
        <v>480</v>
      </c>
      <c r="P38" s="55">
        <v>1200</v>
      </c>
      <c r="Q38" s="81"/>
      <c r="R38" s="55"/>
      <c r="S38" s="53">
        <f t="shared" si="0"/>
        <v>2760</v>
      </c>
      <c r="T38" s="59">
        <v>869400</v>
      </c>
    </row>
    <row r="39" spans="1:20">
      <c r="A39" s="52" t="s">
        <v>150</v>
      </c>
      <c r="B39" s="97" t="s">
        <v>92</v>
      </c>
      <c r="C39" s="180" t="s">
        <v>52</v>
      </c>
      <c r="D39" s="181"/>
      <c r="E39" s="56" t="s">
        <v>158</v>
      </c>
      <c r="F39" s="182"/>
      <c r="G39" s="183"/>
      <c r="H39" s="86">
        <v>120</v>
      </c>
      <c r="I39" s="57"/>
      <c r="J39" s="58"/>
      <c r="K39" s="58"/>
      <c r="L39" s="168"/>
      <c r="M39" s="169"/>
      <c r="N39" s="95"/>
      <c r="O39" s="86"/>
      <c r="P39" s="55"/>
      <c r="Q39" s="95"/>
      <c r="R39" s="55"/>
      <c r="S39" s="53">
        <f t="shared" si="0"/>
        <v>120</v>
      </c>
      <c r="T39" s="59">
        <v>41293</v>
      </c>
    </row>
    <row r="40" spans="1:20">
      <c r="A40" s="96" t="s">
        <v>150</v>
      </c>
      <c r="B40" s="38" t="s">
        <v>93</v>
      </c>
      <c r="C40" s="180" t="s">
        <v>111</v>
      </c>
      <c r="D40" s="181"/>
      <c r="E40" s="56" t="s">
        <v>112</v>
      </c>
      <c r="F40" s="182"/>
      <c r="G40" s="183"/>
      <c r="H40" s="86"/>
      <c r="I40" s="57">
        <v>6450</v>
      </c>
      <c r="J40" s="58"/>
      <c r="K40" s="58">
        <v>110</v>
      </c>
      <c r="L40" s="168"/>
      <c r="M40" s="169"/>
      <c r="N40" s="95">
        <v>240</v>
      </c>
      <c r="O40" s="86">
        <v>120</v>
      </c>
      <c r="P40" s="55">
        <v>4200</v>
      </c>
      <c r="Q40" s="95">
        <v>2100</v>
      </c>
      <c r="R40" s="55"/>
      <c r="S40" s="53">
        <f t="shared" si="0"/>
        <v>13220</v>
      </c>
      <c r="T40" s="59">
        <v>4201426</v>
      </c>
    </row>
    <row r="41" spans="1:20">
      <c r="A41" s="52" t="s">
        <v>159</v>
      </c>
      <c r="B41" s="97" t="s">
        <v>94</v>
      </c>
      <c r="C41" s="180" t="s">
        <v>120</v>
      </c>
      <c r="D41" s="181"/>
      <c r="E41" s="56" t="s">
        <v>121</v>
      </c>
      <c r="F41" s="182"/>
      <c r="G41" s="183"/>
      <c r="H41" s="86"/>
      <c r="I41" s="57">
        <v>1800</v>
      </c>
      <c r="J41" s="58"/>
      <c r="K41" s="58"/>
      <c r="L41" s="168"/>
      <c r="M41" s="169"/>
      <c r="N41" s="95">
        <v>240</v>
      </c>
      <c r="O41" s="86">
        <v>240</v>
      </c>
      <c r="P41" s="55">
        <v>2640</v>
      </c>
      <c r="Q41" s="95"/>
      <c r="R41" s="55"/>
      <c r="S41" s="53">
        <f t="shared" si="0"/>
        <v>4920</v>
      </c>
      <c r="T41" s="59">
        <v>1544165</v>
      </c>
    </row>
    <row r="42" spans="1:20">
      <c r="A42" s="52" t="s">
        <v>159</v>
      </c>
      <c r="B42" s="97" t="s">
        <v>151</v>
      </c>
      <c r="C42" s="180" t="s">
        <v>122</v>
      </c>
      <c r="D42" s="181"/>
      <c r="E42" s="56" t="s">
        <v>121</v>
      </c>
      <c r="F42" s="182"/>
      <c r="G42" s="183"/>
      <c r="H42" s="86"/>
      <c r="I42" s="57"/>
      <c r="J42" s="58"/>
      <c r="K42" s="58"/>
      <c r="L42" s="168"/>
      <c r="M42" s="169"/>
      <c r="N42" s="95">
        <v>600</v>
      </c>
      <c r="O42" s="86"/>
      <c r="P42" s="55">
        <v>1200</v>
      </c>
      <c r="Q42" s="95"/>
      <c r="R42" s="55"/>
      <c r="S42" s="53">
        <f t="shared" si="0"/>
        <v>1800</v>
      </c>
      <c r="T42" s="59">
        <v>572891</v>
      </c>
    </row>
    <row r="43" spans="1:20">
      <c r="A43" s="52" t="s">
        <v>159</v>
      </c>
      <c r="B43" s="97" t="s">
        <v>152</v>
      </c>
      <c r="C43" s="180" t="s">
        <v>123</v>
      </c>
      <c r="D43" s="181"/>
      <c r="E43" s="56" t="s">
        <v>121</v>
      </c>
      <c r="F43" s="182"/>
      <c r="G43" s="183"/>
      <c r="H43" s="86"/>
      <c r="I43" s="57"/>
      <c r="J43" s="58"/>
      <c r="K43" s="58"/>
      <c r="L43" s="168"/>
      <c r="M43" s="169"/>
      <c r="N43" s="95"/>
      <c r="O43" s="86"/>
      <c r="P43" s="55">
        <v>1800</v>
      </c>
      <c r="Q43" s="95"/>
      <c r="R43" s="55"/>
      <c r="S43" s="53">
        <f t="shared" si="0"/>
        <v>1800</v>
      </c>
      <c r="T43" s="59">
        <v>577093</v>
      </c>
    </row>
    <row r="44" spans="1:20">
      <c r="A44" s="52" t="s">
        <v>169</v>
      </c>
      <c r="B44" s="97" t="s">
        <v>153</v>
      </c>
      <c r="C44" s="180" t="s">
        <v>95</v>
      </c>
      <c r="D44" s="181"/>
      <c r="E44" s="56" t="s">
        <v>96</v>
      </c>
      <c r="F44" s="182"/>
      <c r="G44" s="183"/>
      <c r="H44" s="86"/>
      <c r="I44" s="57"/>
      <c r="J44" s="58"/>
      <c r="K44" s="58"/>
      <c r="L44" s="168"/>
      <c r="M44" s="169"/>
      <c r="N44" s="95">
        <v>1200</v>
      </c>
      <c r="O44" s="86">
        <v>1200</v>
      </c>
      <c r="P44" s="55">
        <v>5400</v>
      </c>
      <c r="Q44" s="95"/>
      <c r="R44" s="55"/>
      <c r="S44" s="53">
        <f t="shared" si="0"/>
        <v>7800</v>
      </c>
      <c r="T44" s="59">
        <v>2487530</v>
      </c>
    </row>
    <row r="45" spans="1:20">
      <c r="A45" s="52" t="s">
        <v>170</v>
      </c>
      <c r="B45" s="97" t="s">
        <v>154</v>
      </c>
      <c r="C45" s="180" t="s">
        <v>102</v>
      </c>
      <c r="D45" s="181"/>
      <c r="E45" s="56" t="s">
        <v>103</v>
      </c>
      <c r="F45" s="182"/>
      <c r="G45" s="183"/>
      <c r="H45" s="86"/>
      <c r="I45" s="57"/>
      <c r="J45" s="58"/>
      <c r="K45" s="58"/>
      <c r="L45" s="168"/>
      <c r="M45" s="169"/>
      <c r="N45" s="95"/>
      <c r="O45" s="86"/>
      <c r="P45" s="55">
        <v>120</v>
      </c>
      <c r="Q45" s="95">
        <v>60</v>
      </c>
      <c r="R45" s="55"/>
      <c r="S45" s="53">
        <f t="shared" si="0"/>
        <v>180</v>
      </c>
      <c r="T45" s="59">
        <v>63024</v>
      </c>
    </row>
    <row r="46" spans="1:20">
      <c r="A46" s="52" t="s">
        <v>170</v>
      </c>
      <c r="B46" s="97" t="s">
        <v>155</v>
      </c>
      <c r="C46" s="180" t="s">
        <v>95</v>
      </c>
      <c r="D46" s="181"/>
      <c r="E46" s="56" t="s">
        <v>96</v>
      </c>
      <c r="F46" s="182"/>
      <c r="G46" s="183"/>
      <c r="H46" s="86">
        <v>240</v>
      </c>
      <c r="I46" s="57">
        <v>450</v>
      </c>
      <c r="J46" s="58"/>
      <c r="K46" s="58"/>
      <c r="L46" s="168">
        <v>110</v>
      </c>
      <c r="M46" s="169"/>
      <c r="N46" s="98"/>
      <c r="O46" s="86"/>
      <c r="P46" s="55"/>
      <c r="Q46" s="98"/>
      <c r="R46" s="55"/>
      <c r="S46" s="53">
        <f t="shared" si="0"/>
        <v>800</v>
      </c>
      <c r="T46" s="59">
        <v>254659</v>
      </c>
    </row>
    <row r="47" spans="1:20">
      <c r="A47" s="52" t="s">
        <v>170</v>
      </c>
      <c r="B47" s="97" t="s">
        <v>156</v>
      </c>
      <c r="C47" s="180" t="s">
        <v>98</v>
      </c>
      <c r="D47" s="181"/>
      <c r="E47" s="56" t="s">
        <v>99</v>
      </c>
      <c r="F47" s="182"/>
      <c r="G47" s="183"/>
      <c r="H47" s="86"/>
      <c r="I47" s="57"/>
      <c r="J47" s="58"/>
      <c r="K47" s="58"/>
      <c r="L47" s="168"/>
      <c r="M47" s="169"/>
      <c r="N47" s="98"/>
      <c r="O47" s="86"/>
      <c r="P47" s="55">
        <v>120</v>
      </c>
      <c r="Q47" s="98"/>
      <c r="R47" s="55"/>
      <c r="S47" s="53">
        <f t="shared" si="0"/>
        <v>120</v>
      </c>
      <c r="T47" s="59">
        <v>39858</v>
      </c>
    </row>
    <row r="48" spans="1:20">
      <c r="A48" s="52" t="s">
        <v>171</v>
      </c>
      <c r="B48" s="97" t="s">
        <v>157</v>
      </c>
      <c r="C48" s="180" t="s">
        <v>127</v>
      </c>
      <c r="D48" s="181"/>
      <c r="E48" s="56" t="s">
        <v>146</v>
      </c>
      <c r="F48" s="182"/>
      <c r="G48" s="183"/>
      <c r="H48" s="86">
        <v>1200</v>
      </c>
      <c r="I48" s="57"/>
      <c r="J48" s="58">
        <v>240</v>
      </c>
      <c r="K48" s="58"/>
      <c r="L48" s="168"/>
      <c r="M48" s="169"/>
      <c r="N48" s="98">
        <v>1200</v>
      </c>
      <c r="O48" s="86">
        <v>720</v>
      </c>
      <c r="P48" s="55">
        <v>3600</v>
      </c>
      <c r="Q48" s="98">
        <v>240</v>
      </c>
      <c r="R48" s="55"/>
      <c r="S48" s="53">
        <f t="shared" si="0"/>
        <v>7200</v>
      </c>
      <c r="T48" s="59">
        <v>2265173</v>
      </c>
    </row>
    <row r="49" spans="1:24">
      <c r="A49" s="52" t="s">
        <v>171</v>
      </c>
      <c r="B49" s="97" t="s">
        <v>162</v>
      </c>
      <c r="C49" s="180" t="s">
        <v>172</v>
      </c>
      <c r="D49" s="181"/>
      <c r="E49" s="99" t="s">
        <v>173</v>
      </c>
      <c r="F49" s="182"/>
      <c r="G49" s="183"/>
      <c r="H49" s="86"/>
      <c r="I49" s="57"/>
      <c r="J49" s="58"/>
      <c r="K49" s="58"/>
      <c r="L49" s="168"/>
      <c r="M49" s="169"/>
      <c r="N49" s="98"/>
      <c r="O49" s="86"/>
      <c r="P49" s="55">
        <v>240</v>
      </c>
      <c r="Q49" s="98"/>
      <c r="R49" s="55"/>
      <c r="S49" s="53">
        <f t="shared" si="0"/>
        <v>240</v>
      </c>
      <c r="T49" s="59">
        <v>79715</v>
      </c>
    </row>
    <row r="50" spans="1:24">
      <c r="A50" s="52" t="s">
        <v>171</v>
      </c>
      <c r="B50" s="97" t="s">
        <v>163</v>
      </c>
      <c r="C50" s="180" t="s">
        <v>100</v>
      </c>
      <c r="D50" s="181"/>
      <c r="E50" s="56" t="s">
        <v>101</v>
      </c>
      <c r="F50" s="182"/>
      <c r="G50" s="183"/>
      <c r="H50" s="86"/>
      <c r="I50" s="57"/>
      <c r="J50" s="58"/>
      <c r="K50" s="58"/>
      <c r="L50" s="168"/>
      <c r="M50" s="169"/>
      <c r="N50" s="98"/>
      <c r="O50" s="86"/>
      <c r="P50" s="55">
        <v>360</v>
      </c>
      <c r="Q50" s="98"/>
      <c r="R50" s="55"/>
      <c r="S50" s="53">
        <f t="shared" si="0"/>
        <v>360</v>
      </c>
      <c r="T50" s="59">
        <v>119573</v>
      </c>
    </row>
    <row r="51" spans="1:24">
      <c r="A51" s="52" t="s">
        <v>174</v>
      </c>
      <c r="B51" s="97" t="s">
        <v>164</v>
      </c>
      <c r="C51" s="180" t="s">
        <v>175</v>
      </c>
      <c r="D51" s="181"/>
      <c r="E51" s="56" t="s">
        <v>176</v>
      </c>
      <c r="F51" s="182"/>
      <c r="G51" s="183"/>
      <c r="H51" s="86"/>
      <c r="I51" s="57"/>
      <c r="J51" s="58"/>
      <c r="K51" s="58"/>
      <c r="L51" s="168"/>
      <c r="M51" s="169"/>
      <c r="N51" s="98"/>
      <c r="O51" s="86"/>
      <c r="P51" s="55">
        <v>240</v>
      </c>
      <c r="Q51" s="98"/>
      <c r="R51" s="55"/>
      <c r="S51" s="53">
        <f t="shared" si="0"/>
        <v>240</v>
      </c>
      <c r="T51" s="59">
        <v>79715</v>
      </c>
    </row>
    <row r="52" spans="1:24">
      <c r="A52" s="52" t="s">
        <v>174</v>
      </c>
      <c r="B52" s="97" t="s">
        <v>165</v>
      </c>
      <c r="C52" s="180" t="s">
        <v>127</v>
      </c>
      <c r="D52" s="181"/>
      <c r="E52" s="56" t="s">
        <v>128</v>
      </c>
      <c r="F52" s="182"/>
      <c r="G52" s="183"/>
      <c r="H52" s="86">
        <v>960</v>
      </c>
      <c r="I52" s="57">
        <v>750</v>
      </c>
      <c r="J52" s="58"/>
      <c r="K52" s="58">
        <v>660</v>
      </c>
      <c r="L52" s="168">
        <v>330</v>
      </c>
      <c r="M52" s="169"/>
      <c r="N52" s="98">
        <v>360</v>
      </c>
      <c r="O52" s="86">
        <v>240</v>
      </c>
      <c r="P52" s="55">
        <v>1200</v>
      </c>
      <c r="Q52" s="98">
        <v>360</v>
      </c>
      <c r="R52" s="55"/>
      <c r="S52" s="53">
        <f t="shared" si="0"/>
        <v>4860</v>
      </c>
      <c r="T52" s="59">
        <v>1557805</v>
      </c>
    </row>
    <row r="53" spans="1:24">
      <c r="A53" s="52" t="s">
        <v>177</v>
      </c>
      <c r="B53" s="97" t="s">
        <v>166</v>
      </c>
      <c r="C53" s="180" t="s">
        <v>120</v>
      </c>
      <c r="D53" s="181"/>
      <c r="E53" s="56" t="s">
        <v>121</v>
      </c>
      <c r="F53" s="182"/>
      <c r="G53" s="183"/>
      <c r="H53" s="86"/>
      <c r="I53" s="57">
        <v>1800</v>
      </c>
      <c r="J53" s="58"/>
      <c r="K53" s="58"/>
      <c r="L53" s="168"/>
      <c r="M53" s="169"/>
      <c r="N53" s="98">
        <v>720</v>
      </c>
      <c r="O53" s="86">
        <v>240</v>
      </c>
      <c r="P53" s="55">
        <v>2640</v>
      </c>
      <c r="Q53" s="98"/>
      <c r="R53" s="55"/>
      <c r="S53" s="53">
        <f t="shared" si="0"/>
        <v>5400</v>
      </c>
      <c r="T53" s="59">
        <v>1694695</v>
      </c>
    </row>
    <row r="54" spans="1:24">
      <c r="A54" s="52" t="s">
        <v>177</v>
      </c>
      <c r="B54" s="97" t="s">
        <v>167</v>
      </c>
      <c r="C54" s="180" t="s">
        <v>123</v>
      </c>
      <c r="D54" s="181"/>
      <c r="E54" s="56" t="s">
        <v>121</v>
      </c>
      <c r="F54" s="182"/>
      <c r="G54" s="183"/>
      <c r="H54" s="86"/>
      <c r="I54" s="57">
        <v>600</v>
      </c>
      <c r="J54" s="58"/>
      <c r="K54" s="58"/>
      <c r="L54" s="168"/>
      <c r="M54" s="169"/>
      <c r="N54" s="98"/>
      <c r="O54" s="86"/>
      <c r="P54" s="55">
        <v>1200</v>
      </c>
      <c r="Q54" s="98"/>
      <c r="R54" s="55"/>
      <c r="S54" s="53">
        <f t="shared" si="0"/>
        <v>1800</v>
      </c>
      <c r="T54" s="59">
        <v>566899</v>
      </c>
    </row>
    <row r="55" spans="1:24" ht="15.75" thickBot="1">
      <c r="A55" s="52" t="s">
        <v>177</v>
      </c>
      <c r="B55" s="97" t="s">
        <v>168</v>
      </c>
      <c r="C55" s="180" t="s">
        <v>122</v>
      </c>
      <c r="D55" s="181"/>
      <c r="E55" s="56" t="s">
        <v>121</v>
      </c>
      <c r="F55" s="182"/>
      <c r="G55" s="183"/>
      <c r="H55" s="86"/>
      <c r="I55" s="57"/>
      <c r="J55" s="58"/>
      <c r="K55" s="58"/>
      <c r="L55" s="168"/>
      <c r="M55" s="169"/>
      <c r="N55" s="98">
        <v>480</v>
      </c>
      <c r="O55" s="86">
        <v>240</v>
      </c>
      <c r="P55" s="55">
        <v>480</v>
      </c>
      <c r="Q55" s="98"/>
      <c r="R55" s="55"/>
      <c r="S55" s="53">
        <f t="shared" si="0"/>
        <v>1200</v>
      </c>
      <c r="T55" s="59">
        <v>380407</v>
      </c>
    </row>
    <row r="56" spans="1:24" ht="15.75" thickBot="1">
      <c r="A56" s="215" t="s">
        <v>16</v>
      </c>
      <c r="B56" s="216"/>
      <c r="C56" s="216"/>
      <c r="D56" s="62"/>
      <c r="E56" s="60"/>
      <c r="F56" s="176">
        <f>SUM(F5:G55)</f>
        <v>768</v>
      </c>
      <c r="G56" s="178"/>
      <c r="H56" s="34">
        <f>SUM(H5:H55)</f>
        <v>5712</v>
      </c>
      <c r="I56" s="77">
        <f>SUM(I5:I55)</f>
        <v>32880</v>
      </c>
      <c r="J56" s="78">
        <f>SUM(J5:J55)</f>
        <v>360</v>
      </c>
      <c r="K56" s="78">
        <f>SUM(K5:K55)</f>
        <v>2442</v>
      </c>
      <c r="L56" s="179">
        <f>SUM(L5:M55)</f>
        <v>440</v>
      </c>
      <c r="M56" s="177"/>
      <c r="N56" s="77">
        <f t="shared" ref="N56:T56" si="1">SUM(N5:N55)</f>
        <v>10440</v>
      </c>
      <c r="O56" s="78">
        <f t="shared" si="1"/>
        <v>6504</v>
      </c>
      <c r="P56" s="34">
        <f t="shared" si="1"/>
        <v>55848</v>
      </c>
      <c r="Q56" s="77">
        <f t="shared" si="1"/>
        <v>6672</v>
      </c>
      <c r="R56" s="34">
        <f t="shared" si="1"/>
        <v>900</v>
      </c>
      <c r="S56" s="61">
        <f t="shared" si="1"/>
        <v>122966</v>
      </c>
      <c r="T56" s="36">
        <f t="shared" si="1"/>
        <v>39031428</v>
      </c>
      <c r="V56" s="13"/>
      <c r="W56" s="13"/>
      <c r="X56" s="13"/>
    </row>
    <row r="57" spans="1:24" ht="15.75" thickBot="1">
      <c r="A57" s="215"/>
      <c r="B57" s="216"/>
      <c r="C57" s="216"/>
      <c r="D57" s="62"/>
      <c r="E57" s="60"/>
      <c r="F57" s="176">
        <f>F4+F56</f>
        <v>768</v>
      </c>
      <c r="G57" s="178"/>
      <c r="H57" s="34">
        <f>H4+H56</f>
        <v>5712</v>
      </c>
      <c r="I57" s="62">
        <f>I4+I56</f>
        <v>32880</v>
      </c>
      <c r="J57" s="78">
        <f>J4+J56</f>
        <v>360</v>
      </c>
      <c r="K57" s="78">
        <f>K4+K56</f>
        <v>2442</v>
      </c>
      <c r="L57" s="179">
        <f>L4+L56</f>
        <v>440</v>
      </c>
      <c r="M57" s="177"/>
      <c r="N57" s="77">
        <f t="shared" ref="N57:T57" si="2">N4+N56</f>
        <v>10440</v>
      </c>
      <c r="O57" s="78">
        <f t="shared" si="2"/>
        <v>6504</v>
      </c>
      <c r="P57" s="34">
        <f t="shared" si="2"/>
        <v>55848</v>
      </c>
      <c r="Q57" s="62">
        <f t="shared" si="2"/>
        <v>6672</v>
      </c>
      <c r="R57" s="78">
        <f t="shared" si="2"/>
        <v>900</v>
      </c>
      <c r="S57" s="63">
        <f t="shared" si="2"/>
        <v>122966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217" t="s">
        <v>161</v>
      </c>
      <c r="B59" s="218"/>
      <c r="C59" s="218"/>
      <c r="D59" s="218"/>
      <c r="E59" s="218"/>
      <c r="F59" s="218"/>
      <c r="G59" s="218"/>
      <c r="H59" s="218"/>
      <c r="I59" s="218"/>
      <c r="J59" s="218"/>
      <c r="K59" s="218"/>
      <c r="L59" s="218"/>
      <c r="M59" s="218"/>
      <c r="N59" s="218"/>
      <c r="O59" s="218"/>
      <c r="P59" s="218"/>
      <c r="Q59" s="219"/>
      <c r="R59" s="1"/>
      <c r="S59" s="1"/>
      <c r="T59" s="28"/>
    </row>
    <row r="60" spans="1:24" ht="15.75" customHeight="1" thickBot="1">
      <c r="A60" s="220" t="s">
        <v>34</v>
      </c>
      <c r="B60" s="221"/>
      <c r="C60" s="224" t="s">
        <v>33</v>
      </c>
      <c r="D60" s="224" t="s">
        <v>11</v>
      </c>
      <c r="E60" s="227" t="s">
        <v>19</v>
      </c>
      <c r="F60" s="220" t="s">
        <v>8</v>
      </c>
      <c r="G60" s="221"/>
      <c r="H60" s="229" t="s">
        <v>10</v>
      </c>
      <c r="I60" s="230"/>
      <c r="J60" s="231"/>
      <c r="K60" s="232" t="s">
        <v>25</v>
      </c>
      <c r="L60" s="233"/>
      <c r="M60" s="233"/>
      <c r="N60" s="233"/>
      <c r="O60" s="234"/>
      <c r="P60" s="224" t="s">
        <v>20</v>
      </c>
      <c r="Q60" s="235" t="s">
        <v>38</v>
      </c>
      <c r="R60" s="1"/>
      <c r="S60" s="1"/>
      <c r="T60" s="28"/>
    </row>
    <row r="61" spans="1:24" ht="15.75" thickBot="1">
      <c r="A61" s="222"/>
      <c r="B61" s="223"/>
      <c r="C61" s="225"/>
      <c r="D61" s="226"/>
      <c r="E61" s="228"/>
      <c r="F61" s="222"/>
      <c r="G61" s="223"/>
      <c r="H61" s="70" t="s">
        <v>49</v>
      </c>
      <c r="I61" s="70" t="s">
        <v>48</v>
      </c>
      <c r="J61" s="70" t="s">
        <v>50</v>
      </c>
      <c r="K61" s="70" t="s">
        <v>24</v>
      </c>
      <c r="L61" s="232" t="s">
        <v>47</v>
      </c>
      <c r="M61" s="234"/>
      <c r="N61" s="70" t="s">
        <v>46</v>
      </c>
      <c r="O61" s="70" t="s">
        <v>45</v>
      </c>
      <c r="P61" s="226"/>
      <c r="Q61" s="236"/>
      <c r="T61" s="28"/>
    </row>
    <row r="62" spans="1:24" ht="15" customHeight="1">
      <c r="A62" s="220" t="s">
        <v>27</v>
      </c>
      <c r="B62" s="221"/>
      <c r="C62" s="66" t="s">
        <v>28</v>
      </c>
      <c r="D62" s="66"/>
      <c r="E62" s="4">
        <v>720</v>
      </c>
      <c r="F62" s="242"/>
      <c r="G62" s="242"/>
      <c r="H62" s="4"/>
      <c r="I62" s="67"/>
      <c r="J62" s="4"/>
      <c r="K62" s="67"/>
      <c r="L62" s="243"/>
      <c r="M62" s="244"/>
      <c r="N62" s="67"/>
      <c r="O62" s="4">
        <v>48</v>
      </c>
      <c r="P62" s="67"/>
      <c r="Q62" s="4">
        <f>SUM(D62:P62)</f>
        <v>768</v>
      </c>
      <c r="T62" s="28"/>
      <c r="V62" s="13">
        <f>Q62-F56</f>
        <v>0</v>
      </c>
    </row>
    <row r="63" spans="1:24" ht="15.75" thickBot="1">
      <c r="A63" s="222"/>
      <c r="B63" s="223"/>
      <c r="C63" s="74" t="s">
        <v>29</v>
      </c>
      <c r="D63" s="74"/>
      <c r="E63" s="14">
        <v>2640</v>
      </c>
      <c r="F63" s="249">
        <v>2160</v>
      </c>
      <c r="G63" s="249"/>
      <c r="H63" s="14"/>
      <c r="I63" s="71"/>
      <c r="J63" s="14"/>
      <c r="K63" s="71"/>
      <c r="L63" s="250"/>
      <c r="M63" s="251"/>
      <c r="N63" s="71"/>
      <c r="O63" s="14">
        <v>672</v>
      </c>
      <c r="P63" s="71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220" t="s">
        <v>41</v>
      </c>
      <c r="B64" s="221"/>
      <c r="C64" s="4" t="s">
        <v>30</v>
      </c>
      <c r="D64" s="66">
        <v>23250</v>
      </c>
      <c r="E64" s="4">
        <v>600</v>
      </c>
      <c r="F64" s="242">
        <v>1650</v>
      </c>
      <c r="G64" s="242"/>
      <c r="H64" s="4"/>
      <c r="I64" s="67">
        <v>3600</v>
      </c>
      <c r="J64" s="4">
        <v>1200</v>
      </c>
      <c r="K64" s="67"/>
      <c r="L64" s="243">
        <v>120</v>
      </c>
      <c r="M64" s="244"/>
      <c r="N64" s="67"/>
      <c r="O64" s="4">
        <v>210</v>
      </c>
      <c r="P64" s="67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257"/>
      <c r="B65" s="258"/>
      <c r="C65" s="5" t="s">
        <v>32</v>
      </c>
      <c r="D65" s="68">
        <v>120</v>
      </c>
      <c r="E65" s="5">
        <v>240</v>
      </c>
      <c r="F65" s="262"/>
      <c r="G65" s="262"/>
      <c r="H65" s="5"/>
      <c r="I65" s="69"/>
      <c r="J65" s="5"/>
      <c r="K65" s="69"/>
      <c r="L65" s="263"/>
      <c r="M65" s="264"/>
      <c r="N65" s="69"/>
      <c r="O65" s="5"/>
      <c r="P65" s="69"/>
      <c r="Q65" s="5">
        <f t="shared" si="3"/>
        <v>360</v>
      </c>
      <c r="T65" s="28"/>
      <c r="V65" s="13">
        <f>J56-Q65</f>
        <v>0</v>
      </c>
    </row>
    <row r="66" spans="1:22">
      <c r="A66" s="257"/>
      <c r="B66" s="258"/>
      <c r="C66" s="5" t="s">
        <v>43</v>
      </c>
      <c r="D66" s="68">
        <v>880</v>
      </c>
      <c r="E66" s="5"/>
      <c r="F66" s="262">
        <v>1320</v>
      </c>
      <c r="G66" s="262"/>
      <c r="H66" s="5"/>
      <c r="I66" s="69"/>
      <c r="J66" s="5"/>
      <c r="K66" s="69"/>
      <c r="L66" s="263"/>
      <c r="M66" s="264"/>
      <c r="N66" s="69"/>
      <c r="O66" s="5">
        <v>22</v>
      </c>
      <c r="P66" s="69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222"/>
      <c r="B67" s="223"/>
      <c r="C67" s="65" t="s">
        <v>44</v>
      </c>
      <c r="D67" s="73"/>
      <c r="E67" s="15"/>
      <c r="F67" s="212">
        <v>330</v>
      </c>
      <c r="G67" s="212"/>
      <c r="H67" s="15"/>
      <c r="I67" s="72"/>
      <c r="J67" s="15"/>
      <c r="K67" s="72"/>
      <c r="L67" s="213"/>
      <c r="M67" s="214"/>
      <c r="N67" s="72"/>
      <c r="O67" s="15"/>
      <c r="P67" s="72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220" t="s">
        <v>40</v>
      </c>
      <c r="B68" s="221"/>
      <c r="C68" s="76" t="s">
        <v>28</v>
      </c>
      <c r="D68" s="76">
        <v>1080</v>
      </c>
      <c r="E68" s="16">
        <v>1680</v>
      </c>
      <c r="F68" s="259">
        <v>360</v>
      </c>
      <c r="G68" s="259"/>
      <c r="H68" s="16">
        <v>1680</v>
      </c>
      <c r="I68" s="75">
        <v>1560</v>
      </c>
      <c r="J68" s="16"/>
      <c r="K68" s="75"/>
      <c r="L68" s="260"/>
      <c r="M68" s="261"/>
      <c r="N68" s="75"/>
      <c r="O68" s="16"/>
      <c r="P68" s="75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257"/>
      <c r="B69" s="258"/>
      <c r="C69" s="68" t="s">
        <v>31</v>
      </c>
      <c r="D69" s="68">
        <v>240</v>
      </c>
      <c r="E69" s="5">
        <v>1440</v>
      </c>
      <c r="F69" s="262">
        <v>240</v>
      </c>
      <c r="G69" s="262"/>
      <c r="H69" s="5">
        <v>720</v>
      </c>
      <c r="I69" s="69">
        <v>720</v>
      </c>
      <c r="J69" s="5"/>
      <c r="K69" s="69"/>
      <c r="L69" s="263">
        <v>144</v>
      </c>
      <c r="M69" s="264"/>
      <c r="N69" s="69"/>
      <c r="O69" s="5"/>
      <c r="P69" s="69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222"/>
      <c r="B70" s="223"/>
      <c r="C70" s="65" t="s">
        <v>29</v>
      </c>
      <c r="D70" s="74">
        <v>9000</v>
      </c>
      <c r="E70" s="14">
        <v>8400</v>
      </c>
      <c r="F70" s="249">
        <v>5520</v>
      </c>
      <c r="G70" s="249"/>
      <c r="H70" s="14">
        <v>2520</v>
      </c>
      <c r="I70" s="71">
        <v>8880</v>
      </c>
      <c r="J70" s="14">
        <v>4920</v>
      </c>
      <c r="K70" s="71"/>
      <c r="L70" s="250">
        <v>720</v>
      </c>
      <c r="M70" s="251"/>
      <c r="N70" s="71"/>
      <c r="O70" s="14">
        <v>3648</v>
      </c>
      <c r="P70" s="71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220" t="s">
        <v>42</v>
      </c>
      <c r="B71" s="221"/>
      <c r="C71" s="66" t="s">
        <v>31</v>
      </c>
      <c r="D71" s="66">
        <v>5160</v>
      </c>
      <c r="E71" s="4">
        <v>240</v>
      </c>
      <c r="F71" s="242">
        <v>360</v>
      </c>
      <c r="G71" s="242"/>
      <c r="H71" s="4"/>
      <c r="I71" s="67"/>
      <c r="J71" s="4"/>
      <c r="K71" s="67"/>
      <c r="L71" s="243">
        <v>120</v>
      </c>
      <c r="M71" s="244"/>
      <c r="N71" s="67"/>
      <c r="O71" s="4">
        <v>672</v>
      </c>
      <c r="P71" s="67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222"/>
      <c r="B72" s="223"/>
      <c r="C72" s="65" t="s">
        <v>29</v>
      </c>
      <c r="D72" s="73">
        <v>900</v>
      </c>
      <c r="E72" s="15"/>
      <c r="F72" s="212"/>
      <c r="G72" s="212"/>
      <c r="H72" s="15"/>
      <c r="I72" s="72"/>
      <c r="J72" s="15"/>
      <c r="K72" s="72"/>
      <c r="L72" s="213"/>
      <c r="M72" s="214"/>
      <c r="N72" s="72"/>
      <c r="O72" s="15"/>
      <c r="P72" s="72"/>
      <c r="Q72" s="16">
        <f t="shared" si="3"/>
        <v>900</v>
      </c>
      <c r="T72" s="28"/>
      <c r="V72" s="13">
        <f>R56-Q72</f>
        <v>0</v>
      </c>
    </row>
    <row r="73" spans="1:22" ht="15.75" thickBot="1">
      <c r="A73" s="245" t="s">
        <v>37</v>
      </c>
      <c r="B73" s="246"/>
      <c r="C73" s="246"/>
      <c r="D73" s="23">
        <f>SUM(D62:D72)</f>
        <v>40630</v>
      </c>
      <c r="E73" s="23">
        <f t="shared" ref="E73" si="4">SUM(E62:E72)</f>
        <v>15960</v>
      </c>
      <c r="F73" s="247">
        <f>SUM(F62:G72)</f>
        <v>11940</v>
      </c>
      <c r="G73" s="248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247">
        <f>SUM(L62:M72)</f>
        <v>1104</v>
      </c>
      <c r="M73" s="248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0</v>
      </c>
    </row>
    <row r="74" spans="1:22" ht="15.75" thickBot="1">
      <c r="A74" s="252" t="s">
        <v>36</v>
      </c>
      <c r="B74" s="253"/>
      <c r="C74" s="253"/>
      <c r="D74" s="254">
        <f>D73+E73+F73+H73+I73+J73+K73+L73+N73+O73+P73</f>
        <v>122966</v>
      </c>
      <c r="E74" s="255"/>
      <c r="F74" s="255"/>
      <c r="G74" s="255"/>
      <c r="H74" s="255"/>
      <c r="I74" s="255"/>
      <c r="J74" s="255"/>
      <c r="K74" s="255"/>
      <c r="L74" s="255"/>
      <c r="M74" s="255"/>
      <c r="N74" s="255"/>
      <c r="O74" s="255"/>
      <c r="P74" s="255"/>
      <c r="Q74" s="256"/>
      <c r="T74" s="28"/>
      <c r="V74" s="13"/>
    </row>
    <row r="75" spans="1:22" s="20" customFormat="1" ht="15" customHeight="1" thickBot="1">
      <c r="A75" s="237" t="s">
        <v>26</v>
      </c>
      <c r="B75" s="238"/>
      <c r="C75" s="238"/>
      <c r="D75" s="25">
        <v>12859514</v>
      </c>
      <c r="E75" s="22">
        <v>5003124</v>
      </c>
      <c r="F75" s="239">
        <v>3781158</v>
      </c>
      <c r="G75" s="240"/>
      <c r="H75" s="22">
        <v>1562741</v>
      </c>
      <c r="I75" s="26">
        <v>4657193</v>
      </c>
      <c r="J75" s="22">
        <v>1941728</v>
      </c>
      <c r="K75" s="22"/>
      <c r="L75" s="241">
        <v>357629</v>
      </c>
      <c r="M75" s="240"/>
      <c r="N75" s="26"/>
      <c r="O75" s="22">
        <v>1792633</v>
      </c>
      <c r="P75" s="26">
        <v>7075708</v>
      </c>
      <c r="Q75" s="100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zoomScaleNormal="100" workbookViewId="0">
      <pane ySplit="4" topLeftCell="A5" activePane="bottomLeft" state="frozen"/>
      <selection pane="bottomLeft" activeCell="H46" sqref="H46:J4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92" t="s">
        <v>188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4"/>
    </row>
    <row r="2" spans="1:20" s="6" customFormat="1" ht="12.75" customHeight="1">
      <c r="A2" s="195" t="s">
        <v>9</v>
      </c>
      <c r="B2" s="197" t="s">
        <v>13</v>
      </c>
      <c r="C2" s="199" t="s">
        <v>23</v>
      </c>
      <c r="D2" s="200"/>
      <c r="E2" s="203" t="s">
        <v>15</v>
      </c>
      <c r="F2" s="205" t="s">
        <v>0</v>
      </c>
      <c r="G2" s="197"/>
      <c r="H2" s="206"/>
      <c r="I2" s="207" t="s">
        <v>39</v>
      </c>
      <c r="J2" s="208"/>
      <c r="K2" s="208"/>
      <c r="L2" s="209"/>
      <c r="M2" s="206"/>
      <c r="N2" s="207" t="s">
        <v>1</v>
      </c>
      <c r="O2" s="208"/>
      <c r="P2" s="206"/>
      <c r="Q2" s="210" t="s">
        <v>2</v>
      </c>
      <c r="R2" s="211"/>
      <c r="S2" s="197" t="s">
        <v>14</v>
      </c>
      <c r="T2" s="170" t="s">
        <v>12</v>
      </c>
    </row>
    <row r="3" spans="1:20" s="6" customFormat="1" ht="15.75" thickBot="1">
      <c r="A3" s="196"/>
      <c r="B3" s="198"/>
      <c r="C3" s="201"/>
      <c r="D3" s="202"/>
      <c r="E3" s="204"/>
      <c r="F3" s="172" t="s">
        <v>3</v>
      </c>
      <c r="G3" s="173"/>
      <c r="H3" s="9" t="s">
        <v>4</v>
      </c>
      <c r="I3" s="10" t="s">
        <v>22</v>
      </c>
      <c r="J3" s="11" t="s">
        <v>7</v>
      </c>
      <c r="K3" s="11" t="s">
        <v>17</v>
      </c>
      <c r="L3" s="174" t="s">
        <v>18</v>
      </c>
      <c r="M3" s="17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98"/>
      <c r="T3" s="171"/>
    </row>
    <row r="4" spans="1:20" s="18" customFormat="1" ht="15.75" thickBot="1">
      <c r="A4" s="114" t="s">
        <v>35</v>
      </c>
      <c r="B4" s="30"/>
      <c r="C4" s="176"/>
      <c r="D4" s="177"/>
      <c r="E4" s="31"/>
      <c r="F4" s="176">
        <v>768</v>
      </c>
      <c r="G4" s="178"/>
      <c r="H4" s="116">
        <v>5712</v>
      </c>
      <c r="I4" s="32">
        <v>32880</v>
      </c>
      <c r="J4" s="33">
        <v>360</v>
      </c>
      <c r="K4" s="116">
        <v>2442</v>
      </c>
      <c r="L4" s="179">
        <v>440</v>
      </c>
      <c r="M4" s="177"/>
      <c r="N4" s="115">
        <v>10440</v>
      </c>
      <c r="O4" s="116">
        <v>6504</v>
      </c>
      <c r="P4" s="34">
        <v>55848</v>
      </c>
      <c r="Q4" s="115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184</v>
      </c>
      <c r="B5" s="38">
        <v>52</v>
      </c>
      <c r="C5" s="186" t="s">
        <v>98</v>
      </c>
      <c r="D5" s="189"/>
      <c r="E5" s="45" t="s">
        <v>99</v>
      </c>
      <c r="F5" s="182"/>
      <c r="G5" s="183"/>
      <c r="H5" s="102"/>
      <c r="I5" s="46">
        <v>90</v>
      </c>
      <c r="J5" s="47"/>
      <c r="K5" s="47"/>
      <c r="L5" s="190"/>
      <c r="M5" s="191"/>
      <c r="N5" s="48"/>
      <c r="O5" s="102"/>
      <c r="P5" s="49"/>
      <c r="Q5" s="46"/>
      <c r="R5" s="50"/>
      <c r="S5" s="43">
        <f t="shared" ref="S5:S28" si="0">SUM(F5:R5)</f>
        <v>90</v>
      </c>
      <c r="T5" s="51">
        <v>28368</v>
      </c>
    </row>
    <row r="6" spans="1:20">
      <c r="A6" s="37" t="s">
        <v>178</v>
      </c>
      <c r="B6" s="38">
        <v>53</v>
      </c>
      <c r="C6" s="180" t="s">
        <v>95</v>
      </c>
      <c r="D6" s="181"/>
      <c r="E6" s="45" t="s">
        <v>96</v>
      </c>
      <c r="F6" s="182"/>
      <c r="G6" s="183"/>
      <c r="H6" s="102"/>
      <c r="I6" s="48"/>
      <c r="J6" s="52"/>
      <c r="K6" s="52"/>
      <c r="L6" s="168"/>
      <c r="M6" s="169"/>
      <c r="N6" s="48">
        <v>960</v>
      </c>
      <c r="O6" s="102">
        <v>600</v>
      </c>
      <c r="P6" s="49">
        <v>2400</v>
      </c>
      <c r="Q6" s="48"/>
      <c r="R6" s="49"/>
      <c r="S6" s="53">
        <f t="shared" si="0"/>
        <v>3960</v>
      </c>
      <c r="T6" s="54">
        <v>1260480</v>
      </c>
    </row>
    <row r="7" spans="1:20">
      <c r="A7" s="37" t="s">
        <v>179</v>
      </c>
      <c r="B7" s="38">
        <v>54</v>
      </c>
      <c r="C7" s="180" t="s">
        <v>109</v>
      </c>
      <c r="D7" s="181"/>
      <c r="E7" s="45" t="s">
        <v>110</v>
      </c>
      <c r="F7" s="182"/>
      <c r="G7" s="183"/>
      <c r="H7" s="102">
        <v>48</v>
      </c>
      <c r="I7" s="48"/>
      <c r="J7" s="52"/>
      <c r="K7" s="52"/>
      <c r="L7" s="168"/>
      <c r="M7" s="169"/>
      <c r="N7" s="48"/>
      <c r="O7" s="102"/>
      <c r="P7" s="49"/>
      <c r="Q7" s="48"/>
      <c r="R7" s="49"/>
      <c r="S7" s="53">
        <f t="shared" si="0"/>
        <v>48</v>
      </c>
      <c r="T7" s="54">
        <v>16517</v>
      </c>
    </row>
    <row r="8" spans="1:20">
      <c r="A8" s="37" t="s">
        <v>179</v>
      </c>
      <c r="B8" s="38">
        <v>55</v>
      </c>
      <c r="C8" s="182" t="s">
        <v>149</v>
      </c>
      <c r="D8" s="169"/>
      <c r="E8" s="45" t="s">
        <v>99</v>
      </c>
      <c r="F8" s="182"/>
      <c r="G8" s="183"/>
      <c r="H8" s="102"/>
      <c r="I8" s="48"/>
      <c r="J8" s="52"/>
      <c r="K8" s="52"/>
      <c r="L8" s="168"/>
      <c r="M8" s="169"/>
      <c r="N8" s="48"/>
      <c r="O8" s="102"/>
      <c r="P8" s="49">
        <v>120</v>
      </c>
      <c r="Q8" s="48"/>
      <c r="R8" s="49"/>
      <c r="S8" s="53">
        <f t="shared" si="0"/>
        <v>120</v>
      </c>
      <c r="T8" s="54">
        <v>39858</v>
      </c>
    </row>
    <row r="9" spans="1:20">
      <c r="A9" s="37" t="s">
        <v>180</v>
      </c>
      <c r="B9" s="38">
        <v>56</v>
      </c>
      <c r="C9" s="180" t="s">
        <v>137</v>
      </c>
      <c r="D9" s="181"/>
      <c r="E9" s="45" t="s">
        <v>138</v>
      </c>
      <c r="F9" s="182"/>
      <c r="G9" s="183"/>
      <c r="H9" s="102"/>
      <c r="I9" s="48"/>
      <c r="J9" s="52"/>
      <c r="K9" s="52"/>
      <c r="L9" s="168"/>
      <c r="M9" s="169"/>
      <c r="N9" s="48"/>
      <c r="O9" s="102"/>
      <c r="P9" s="49"/>
      <c r="Q9" s="48">
        <v>60</v>
      </c>
      <c r="R9" s="49"/>
      <c r="S9" s="53">
        <f t="shared" si="0"/>
        <v>60</v>
      </c>
      <c r="T9" s="54">
        <v>23166</v>
      </c>
    </row>
    <row r="10" spans="1:20">
      <c r="A10" s="37" t="s">
        <v>180</v>
      </c>
      <c r="B10" s="38">
        <v>57</v>
      </c>
      <c r="C10" s="180" t="s">
        <v>120</v>
      </c>
      <c r="D10" s="181"/>
      <c r="E10" s="56" t="s">
        <v>121</v>
      </c>
      <c r="F10" s="182"/>
      <c r="G10" s="183"/>
      <c r="H10" s="102"/>
      <c r="I10" s="48">
        <v>750</v>
      </c>
      <c r="J10" s="52"/>
      <c r="K10" s="52"/>
      <c r="L10" s="168"/>
      <c r="M10" s="169"/>
      <c r="N10" s="48">
        <v>600</v>
      </c>
      <c r="O10" s="102"/>
      <c r="P10" s="49">
        <v>2400</v>
      </c>
      <c r="Q10" s="48"/>
      <c r="R10" s="49">
        <v>720</v>
      </c>
      <c r="S10" s="53">
        <f t="shared" si="0"/>
        <v>4470</v>
      </c>
      <c r="T10" s="54">
        <v>1472650</v>
      </c>
    </row>
    <row r="11" spans="1:20">
      <c r="A11" s="37" t="s">
        <v>180</v>
      </c>
      <c r="B11" s="38">
        <v>58</v>
      </c>
      <c r="C11" s="180" t="s">
        <v>122</v>
      </c>
      <c r="D11" s="181"/>
      <c r="E11" s="56" t="s">
        <v>121</v>
      </c>
      <c r="F11" s="182"/>
      <c r="G11" s="183"/>
      <c r="H11" s="102"/>
      <c r="I11" s="48"/>
      <c r="J11" s="52"/>
      <c r="K11" s="52"/>
      <c r="L11" s="168"/>
      <c r="M11" s="169"/>
      <c r="N11" s="48">
        <v>960</v>
      </c>
      <c r="O11" s="102">
        <v>480</v>
      </c>
      <c r="P11" s="49">
        <v>840</v>
      </c>
      <c r="Q11" s="48"/>
      <c r="R11" s="49"/>
      <c r="S11" s="53">
        <f t="shared" si="0"/>
        <v>2280</v>
      </c>
      <c r="T11" s="54">
        <v>722340</v>
      </c>
    </row>
    <row r="12" spans="1:20">
      <c r="A12" s="37" t="s">
        <v>180</v>
      </c>
      <c r="B12" s="38">
        <v>59</v>
      </c>
      <c r="C12" s="180" t="s">
        <v>123</v>
      </c>
      <c r="D12" s="181"/>
      <c r="E12" s="56" t="s">
        <v>121</v>
      </c>
      <c r="F12" s="182"/>
      <c r="G12" s="183"/>
      <c r="H12" s="102"/>
      <c r="I12" s="48">
        <v>450</v>
      </c>
      <c r="J12" s="52"/>
      <c r="K12" s="52"/>
      <c r="L12" s="168"/>
      <c r="M12" s="169"/>
      <c r="N12" s="48"/>
      <c r="O12" s="102"/>
      <c r="P12" s="49">
        <v>1320</v>
      </c>
      <c r="Q12" s="48"/>
      <c r="R12" s="49"/>
      <c r="S12" s="53">
        <f t="shared" si="0"/>
        <v>1770</v>
      </c>
      <c r="T12" s="54">
        <v>559829</v>
      </c>
    </row>
    <row r="13" spans="1:20">
      <c r="A13" s="37" t="s">
        <v>180</v>
      </c>
      <c r="B13" s="38">
        <v>60</v>
      </c>
      <c r="C13" s="180" t="s">
        <v>181</v>
      </c>
      <c r="D13" s="181"/>
      <c r="E13" s="45" t="s">
        <v>182</v>
      </c>
      <c r="F13" s="182"/>
      <c r="G13" s="183"/>
      <c r="H13" s="102"/>
      <c r="I13" s="48"/>
      <c r="J13" s="52"/>
      <c r="K13" s="52"/>
      <c r="L13" s="168"/>
      <c r="M13" s="169"/>
      <c r="N13" s="48"/>
      <c r="O13" s="102"/>
      <c r="P13" s="49"/>
      <c r="Q13" s="48">
        <v>120</v>
      </c>
      <c r="R13" s="49"/>
      <c r="S13" s="53">
        <f>SUM(F13:R13)</f>
        <v>120</v>
      </c>
      <c r="T13" s="54">
        <v>46333</v>
      </c>
    </row>
    <row r="14" spans="1:20">
      <c r="A14" s="117" t="s">
        <v>183</v>
      </c>
      <c r="B14" s="38">
        <v>61</v>
      </c>
      <c r="C14" s="180" t="s">
        <v>111</v>
      </c>
      <c r="D14" s="181"/>
      <c r="E14" s="45" t="s">
        <v>112</v>
      </c>
      <c r="F14" s="182"/>
      <c r="G14" s="183"/>
      <c r="H14" s="102"/>
      <c r="I14" s="48">
        <v>6450</v>
      </c>
      <c r="J14" s="52"/>
      <c r="K14" s="52"/>
      <c r="L14" s="168"/>
      <c r="M14" s="169"/>
      <c r="N14" s="101"/>
      <c r="O14" s="102"/>
      <c r="P14" s="49"/>
      <c r="Q14" s="101"/>
      <c r="R14" s="49">
        <v>2412</v>
      </c>
      <c r="S14" s="53">
        <f t="shared" si="0"/>
        <v>8862</v>
      </c>
      <c r="T14" s="54">
        <v>2866322</v>
      </c>
    </row>
    <row r="15" spans="1:20">
      <c r="A15" s="118" t="s">
        <v>187</v>
      </c>
      <c r="B15" s="38">
        <v>62</v>
      </c>
      <c r="C15" s="180" t="s">
        <v>127</v>
      </c>
      <c r="D15" s="181"/>
      <c r="E15" s="45" t="s">
        <v>128</v>
      </c>
      <c r="F15" s="182">
        <v>24</v>
      </c>
      <c r="G15" s="183"/>
      <c r="H15" s="102">
        <v>1200</v>
      </c>
      <c r="I15" s="48">
        <v>690</v>
      </c>
      <c r="J15" s="52"/>
      <c r="K15" s="52">
        <v>220</v>
      </c>
      <c r="L15" s="168">
        <v>110</v>
      </c>
      <c r="M15" s="169"/>
      <c r="N15" s="101">
        <v>240</v>
      </c>
      <c r="O15" s="102"/>
      <c r="P15" s="49">
        <v>4200</v>
      </c>
      <c r="Q15" s="101">
        <v>360</v>
      </c>
      <c r="R15" s="55"/>
      <c r="S15" s="53">
        <f t="shared" si="0"/>
        <v>7044</v>
      </c>
      <c r="T15" s="54">
        <v>2226736</v>
      </c>
    </row>
    <row r="16" spans="1:20">
      <c r="A16" s="118" t="s">
        <v>185</v>
      </c>
      <c r="B16" s="38">
        <v>63</v>
      </c>
      <c r="C16" s="180" t="s">
        <v>127</v>
      </c>
      <c r="D16" s="181"/>
      <c r="E16" s="45" t="s">
        <v>146</v>
      </c>
      <c r="F16" s="182">
        <v>600</v>
      </c>
      <c r="G16" s="183"/>
      <c r="H16" s="102">
        <v>1200</v>
      </c>
      <c r="I16" s="48"/>
      <c r="J16" s="52"/>
      <c r="K16" s="52">
        <v>220</v>
      </c>
      <c r="L16" s="168"/>
      <c r="M16" s="169"/>
      <c r="N16" s="101">
        <v>480</v>
      </c>
      <c r="O16" s="102">
        <v>600</v>
      </c>
      <c r="P16" s="49">
        <v>5400</v>
      </c>
      <c r="Q16" s="101"/>
      <c r="R16" s="55"/>
      <c r="S16" s="53">
        <f t="shared" si="0"/>
        <v>8500</v>
      </c>
      <c r="T16" s="54">
        <v>2670081</v>
      </c>
    </row>
    <row r="17" spans="1:24">
      <c r="A17" s="121" t="s">
        <v>186</v>
      </c>
      <c r="B17" s="38">
        <v>64</v>
      </c>
      <c r="C17" s="180" t="s">
        <v>95</v>
      </c>
      <c r="D17" s="181"/>
      <c r="E17" s="45" t="s">
        <v>96</v>
      </c>
      <c r="F17" s="182">
        <v>120</v>
      </c>
      <c r="G17" s="183"/>
      <c r="H17" s="102">
        <v>240</v>
      </c>
      <c r="I17" s="48">
        <v>300</v>
      </c>
      <c r="J17" s="52"/>
      <c r="K17" s="52"/>
      <c r="L17" s="168"/>
      <c r="M17" s="169"/>
      <c r="N17" s="101">
        <v>1200</v>
      </c>
      <c r="O17" s="102">
        <v>720</v>
      </c>
      <c r="P17" s="49"/>
      <c r="Q17" s="101">
        <v>120</v>
      </c>
      <c r="R17" s="55"/>
      <c r="S17" s="53">
        <f>SUM(F17:R17)</f>
        <v>2700</v>
      </c>
      <c r="T17" s="54">
        <v>858472</v>
      </c>
    </row>
    <row r="18" spans="1:24">
      <c r="A18" s="119" t="s">
        <v>190</v>
      </c>
      <c r="B18" s="38">
        <v>65</v>
      </c>
      <c r="C18" s="180" t="s">
        <v>107</v>
      </c>
      <c r="D18" s="181"/>
      <c r="E18" s="45" t="s">
        <v>108</v>
      </c>
      <c r="F18" s="182"/>
      <c r="G18" s="183"/>
      <c r="H18" s="102">
        <v>72</v>
      </c>
      <c r="I18" s="48"/>
      <c r="J18" s="52"/>
      <c r="K18" s="52"/>
      <c r="L18" s="168"/>
      <c r="M18" s="169"/>
      <c r="N18" s="101"/>
      <c r="O18" s="102"/>
      <c r="P18" s="49"/>
      <c r="Q18" s="101"/>
      <c r="R18" s="55"/>
      <c r="S18" s="53">
        <f t="shared" si="0"/>
        <v>72</v>
      </c>
      <c r="T18" s="54">
        <v>24776</v>
      </c>
      <c r="V18" s="13"/>
    </row>
    <row r="19" spans="1:24">
      <c r="A19" s="119" t="s">
        <v>192</v>
      </c>
      <c r="B19" s="38">
        <v>66</v>
      </c>
      <c r="C19" s="182" t="s">
        <v>191</v>
      </c>
      <c r="D19" s="169"/>
      <c r="E19" s="45" t="s">
        <v>130</v>
      </c>
      <c r="F19" s="182">
        <v>72</v>
      </c>
      <c r="G19" s="183"/>
      <c r="H19" s="102">
        <v>48</v>
      </c>
      <c r="I19" s="48"/>
      <c r="J19" s="52"/>
      <c r="K19" s="52"/>
      <c r="L19" s="168"/>
      <c r="M19" s="169"/>
      <c r="N19" s="101"/>
      <c r="O19" s="102"/>
      <c r="P19" s="49"/>
      <c r="Q19" s="101"/>
      <c r="R19" s="55"/>
      <c r="S19" s="53">
        <f t="shared" si="0"/>
        <v>120</v>
      </c>
      <c r="T19" s="54">
        <v>40788</v>
      </c>
    </row>
    <row r="20" spans="1:24">
      <c r="A20" s="119" t="s">
        <v>192</v>
      </c>
      <c r="B20" s="38">
        <v>67</v>
      </c>
      <c r="C20" s="182" t="s">
        <v>120</v>
      </c>
      <c r="D20" s="169"/>
      <c r="E20" s="45" t="s">
        <v>121</v>
      </c>
      <c r="F20" s="182"/>
      <c r="G20" s="183"/>
      <c r="H20" s="102"/>
      <c r="I20" s="48">
        <v>900</v>
      </c>
      <c r="J20" s="52"/>
      <c r="K20" s="52"/>
      <c r="L20" s="168"/>
      <c r="M20" s="169"/>
      <c r="N20" s="101">
        <v>960</v>
      </c>
      <c r="O20" s="102">
        <v>240</v>
      </c>
      <c r="P20" s="49">
        <v>3600</v>
      </c>
      <c r="Q20" s="101"/>
      <c r="R20" s="55"/>
      <c r="S20" s="53">
        <f t="shared" si="0"/>
        <v>5700</v>
      </c>
      <c r="T20" s="54">
        <v>1804486</v>
      </c>
    </row>
    <row r="21" spans="1:24">
      <c r="A21" s="119" t="s">
        <v>192</v>
      </c>
      <c r="B21" s="38">
        <v>68</v>
      </c>
      <c r="C21" s="182" t="s">
        <v>123</v>
      </c>
      <c r="D21" s="169"/>
      <c r="E21" s="45" t="s">
        <v>121</v>
      </c>
      <c r="F21" s="182"/>
      <c r="G21" s="183"/>
      <c r="H21" s="102"/>
      <c r="I21" s="48">
        <v>300</v>
      </c>
      <c r="J21" s="52"/>
      <c r="K21" s="52"/>
      <c r="L21" s="168"/>
      <c r="M21" s="169"/>
      <c r="N21" s="101"/>
      <c r="O21" s="102"/>
      <c r="P21" s="49">
        <v>1440</v>
      </c>
      <c r="Q21" s="101"/>
      <c r="R21" s="55"/>
      <c r="S21" s="53">
        <f t="shared" si="0"/>
        <v>1740</v>
      </c>
      <c r="T21" s="54">
        <v>552759</v>
      </c>
    </row>
    <row r="22" spans="1:24">
      <c r="A22" s="119" t="s">
        <v>192</v>
      </c>
      <c r="B22" s="38">
        <v>69</v>
      </c>
      <c r="C22" s="182" t="s">
        <v>95</v>
      </c>
      <c r="D22" s="169"/>
      <c r="E22" s="45" t="s">
        <v>96</v>
      </c>
      <c r="F22" s="182"/>
      <c r="G22" s="183"/>
      <c r="H22" s="102"/>
      <c r="I22" s="48"/>
      <c r="J22" s="52"/>
      <c r="K22" s="52"/>
      <c r="L22" s="168">
        <v>110</v>
      </c>
      <c r="M22" s="169"/>
      <c r="N22" s="101">
        <v>720</v>
      </c>
      <c r="O22" s="102">
        <v>360</v>
      </c>
      <c r="P22" s="49">
        <v>2400</v>
      </c>
      <c r="Q22" s="101"/>
      <c r="R22" s="55"/>
      <c r="S22" s="53">
        <f t="shared" si="0"/>
        <v>3590</v>
      </c>
      <c r="T22" s="54">
        <v>1147808</v>
      </c>
    </row>
    <row r="23" spans="1:24">
      <c r="A23" s="120" t="s">
        <v>193</v>
      </c>
      <c r="B23" s="38">
        <v>70</v>
      </c>
      <c r="C23" s="182" t="s">
        <v>111</v>
      </c>
      <c r="D23" s="169"/>
      <c r="E23" s="45" t="s">
        <v>112</v>
      </c>
      <c r="F23" s="182"/>
      <c r="G23" s="183"/>
      <c r="H23" s="102"/>
      <c r="I23" s="48">
        <v>3600</v>
      </c>
      <c r="J23" s="52"/>
      <c r="K23" s="52">
        <v>330</v>
      </c>
      <c r="L23" s="168"/>
      <c r="M23" s="169"/>
      <c r="N23" s="101">
        <v>480</v>
      </c>
      <c r="O23" s="102">
        <v>360</v>
      </c>
      <c r="P23" s="49">
        <v>1800</v>
      </c>
      <c r="Q23" s="101">
        <v>2100</v>
      </c>
      <c r="R23" s="55"/>
      <c r="S23" s="53">
        <f t="shared" si="0"/>
        <v>8670</v>
      </c>
      <c r="T23" s="54">
        <v>2807295</v>
      </c>
    </row>
    <row r="24" spans="1:24">
      <c r="A24" s="120" t="s">
        <v>194</v>
      </c>
      <c r="B24" s="38">
        <v>71</v>
      </c>
      <c r="C24" s="182" t="s">
        <v>52</v>
      </c>
      <c r="D24" s="169"/>
      <c r="E24" s="45" t="s">
        <v>195</v>
      </c>
      <c r="F24" s="182"/>
      <c r="G24" s="183"/>
      <c r="H24" s="102"/>
      <c r="I24" s="48"/>
      <c r="J24" s="52"/>
      <c r="K24" s="52"/>
      <c r="L24" s="168"/>
      <c r="M24" s="169"/>
      <c r="N24" s="101"/>
      <c r="O24" s="102"/>
      <c r="P24" s="49">
        <v>48</v>
      </c>
      <c r="Q24" s="101"/>
      <c r="R24" s="55"/>
      <c r="S24" s="53">
        <f t="shared" si="0"/>
        <v>48</v>
      </c>
      <c r="T24" s="54">
        <v>15934</v>
      </c>
    </row>
    <row r="25" spans="1:24">
      <c r="A25" s="120" t="s">
        <v>194</v>
      </c>
      <c r="B25" s="38">
        <v>72</v>
      </c>
      <c r="C25" s="180" t="s">
        <v>100</v>
      </c>
      <c r="D25" s="181"/>
      <c r="E25" s="56" t="s">
        <v>101</v>
      </c>
      <c r="F25" s="182"/>
      <c r="G25" s="183"/>
      <c r="H25" s="102"/>
      <c r="I25" s="48">
        <v>150</v>
      </c>
      <c r="J25" s="52"/>
      <c r="K25" s="52"/>
      <c r="L25" s="168"/>
      <c r="M25" s="169"/>
      <c r="N25" s="101"/>
      <c r="O25" s="102"/>
      <c r="P25" s="49"/>
      <c r="Q25" s="101"/>
      <c r="R25" s="55"/>
      <c r="S25" s="53">
        <f t="shared" si="0"/>
        <v>150</v>
      </c>
      <c r="T25" s="54">
        <v>47280</v>
      </c>
    </row>
    <row r="26" spans="1:24">
      <c r="A26" s="122" t="s">
        <v>196</v>
      </c>
      <c r="B26" s="38">
        <v>73</v>
      </c>
      <c r="C26" s="182" t="s">
        <v>120</v>
      </c>
      <c r="D26" s="169"/>
      <c r="E26" s="56" t="s">
        <v>121</v>
      </c>
      <c r="F26" s="182"/>
      <c r="G26" s="183"/>
      <c r="H26" s="86"/>
      <c r="I26" s="57"/>
      <c r="J26" s="58"/>
      <c r="K26" s="58"/>
      <c r="L26" s="168"/>
      <c r="M26" s="169"/>
      <c r="N26" s="103">
        <v>480</v>
      </c>
      <c r="O26" s="86"/>
      <c r="P26" s="55">
        <v>2400</v>
      </c>
      <c r="Q26" s="103"/>
      <c r="R26" s="55"/>
      <c r="S26" s="53">
        <f t="shared" si="0"/>
        <v>2880</v>
      </c>
      <c r="T26" s="59">
        <v>919986</v>
      </c>
    </row>
    <row r="27" spans="1:24">
      <c r="A27" s="122" t="s">
        <v>196</v>
      </c>
      <c r="B27" s="38">
        <v>74</v>
      </c>
      <c r="C27" s="182" t="s">
        <v>122</v>
      </c>
      <c r="D27" s="169"/>
      <c r="E27" s="56" t="s">
        <v>121</v>
      </c>
      <c r="F27" s="182"/>
      <c r="G27" s="183"/>
      <c r="H27" s="86"/>
      <c r="I27" s="57"/>
      <c r="J27" s="58"/>
      <c r="K27" s="58"/>
      <c r="L27" s="168"/>
      <c r="M27" s="169"/>
      <c r="N27" s="103">
        <v>1200</v>
      </c>
      <c r="O27" s="86"/>
      <c r="P27" s="55">
        <v>1440</v>
      </c>
      <c r="Q27" s="103"/>
      <c r="R27" s="55"/>
      <c r="S27" s="53">
        <f t="shared" si="0"/>
        <v>2640</v>
      </c>
      <c r="T27" s="59">
        <v>837998</v>
      </c>
    </row>
    <row r="28" spans="1:24" ht="15.75" thickBot="1">
      <c r="A28" s="122" t="s">
        <v>196</v>
      </c>
      <c r="B28" s="38">
        <v>75</v>
      </c>
      <c r="C28" s="182" t="s">
        <v>123</v>
      </c>
      <c r="D28" s="169"/>
      <c r="E28" s="56" t="s">
        <v>121</v>
      </c>
      <c r="F28" s="182"/>
      <c r="G28" s="183"/>
      <c r="H28" s="86"/>
      <c r="I28" s="57">
        <v>450</v>
      </c>
      <c r="J28" s="58"/>
      <c r="K28" s="58"/>
      <c r="L28" s="168"/>
      <c r="M28" s="169"/>
      <c r="N28" s="103"/>
      <c r="O28" s="86">
        <v>120</v>
      </c>
      <c r="P28" s="55">
        <v>1200</v>
      </c>
      <c r="Q28" s="103"/>
      <c r="R28" s="55"/>
      <c r="S28" s="53">
        <f t="shared" si="0"/>
        <v>1770</v>
      </c>
      <c r="T28" s="59">
        <v>559349</v>
      </c>
    </row>
    <row r="29" spans="1:24" ht="15.75" thickBot="1">
      <c r="A29" s="215" t="s">
        <v>16</v>
      </c>
      <c r="B29" s="216"/>
      <c r="C29" s="216"/>
      <c r="D29" s="62"/>
      <c r="E29" s="60"/>
      <c r="F29" s="176">
        <f>SUM(F5:G28)</f>
        <v>816</v>
      </c>
      <c r="G29" s="178"/>
      <c r="H29" s="34">
        <f>SUM(H5:H28)</f>
        <v>2808</v>
      </c>
      <c r="I29" s="115">
        <f>SUM(I5:I28)</f>
        <v>14130</v>
      </c>
      <c r="J29" s="116">
        <f>SUM(J5:J28)</f>
        <v>0</v>
      </c>
      <c r="K29" s="116">
        <f>SUM(K5:K28)</f>
        <v>770</v>
      </c>
      <c r="L29" s="179">
        <f>SUM(L5:M28)</f>
        <v>220</v>
      </c>
      <c r="M29" s="177"/>
      <c r="N29" s="115">
        <f t="shared" ref="N29:T29" si="1">SUM(N5:N28)</f>
        <v>8280</v>
      </c>
      <c r="O29" s="116">
        <f t="shared" si="1"/>
        <v>3480</v>
      </c>
      <c r="P29" s="34">
        <f t="shared" si="1"/>
        <v>31008</v>
      </c>
      <c r="Q29" s="115">
        <f t="shared" si="1"/>
        <v>2760</v>
      </c>
      <c r="R29" s="34">
        <f t="shared" si="1"/>
        <v>3132</v>
      </c>
      <c r="S29" s="61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215"/>
      <c r="B30" s="216"/>
      <c r="C30" s="216"/>
      <c r="D30" s="62"/>
      <c r="E30" s="60"/>
      <c r="F30" s="176">
        <f>F4+F29</f>
        <v>1584</v>
      </c>
      <c r="G30" s="178"/>
      <c r="H30" s="34">
        <f>H4+H29</f>
        <v>8520</v>
      </c>
      <c r="I30" s="62">
        <f>I4+I29</f>
        <v>47010</v>
      </c>
      <c r="J30" s="116">
        <f>J4+J29</f>
        <v>360</v>
      </c>
      <c r="K30" s="116">
        <f>K4+K29</f>
        <v>3212</v>
      </c>
      <c r="L30" s="179">
        <f>L4+L29</f>
        <v>660</v>
      </c>
      <c r="M30" s="177"/>
      <c r="N30" s="115">
        <f t="shared" ref="N30:T30" si="2">N4+N29</f>
        <v>18720</v>
      </c>
      <c r="O30" s="116">
        <f t="shared" si="2"/>
        <v>9984</v>
      </c>
      <c r="P30" s="34">
        <f t="shared" si="2"/>
        <v>86856</v>
      </c>
      <c r="Q30" s="62">
        <f t="shared" si="2"/>
        <v>9432</v>
      </c>
      <c r="R30" s="116">
        <f t="shared" si="2"/>
        <v>4032</v>
      </c>
      <c r="S30" s="63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217" t="s">
        <v>189</v>
      </c>
      <c r="B32" s="218"/>
      <c r="C32" s="218"/>
      <c r="D32" s="218"/>
      <c r="E32" s="218"/>
      <c r="F32" s="218"/>
      <c r="G32" s="218"/>
      <c r="H32" s="218"/>
      <c r="I32" s="218"/>
      <c r="J32" s="218"/>
      <c r="K32" s="218"/>
      <c r="L32" s="218"/>
      <c r="M32" s="218"/>
      <c r="N32" s="218"/>
      <c r="O32" s="218"/>
      <c r="P32" s="218"/>
      <c r="Q32" s="219"/>
      <c r="R32" s="1"/>
      <c r="S32" s="1"/>
      <c r="T32" s="28"/>
    </row>
    <row r="33" spans="1:22" ht="15.75" customHeight="1" thickBot="1">
      <c r="A33" s="220" t="s">
        <v>34</v>
      </c>
      <c r="B33" s="221"/>
      <c r="C33" s="224" t="s">
        <v>33</v>
      </c>
      <c r="D33" s="224" t="s">
        <v>11</v>
      </c>
      <c r="E33" s="227" t="s">
        <v>19</v>
      </c>
      <c r="F33" s="220" t="s">
        <v>8</v>
      </c>
      <c r="G33" s="221"/>
      <c r="H33" s="229" t="s">
        <v>10</v>
      </c>
      <c r="I33" s="230"/>
      <c r="J33" s="231"/>
      <c r="K33" s="232" t="s">
        <v>25</v>
      </c>
      <c r="L33" s="233"/>
      <c r="M33" s="233"/>
      <c r="N33" s="233"/>
      <c r="O33" s="234"/>
      <c r="P33" s="224" t="s">
        <v>20</v>
      </c>
      <c r="Q33" s="235" t="s">
        <v>38</v>
      </c>
      <c r="R33" s="1"/>
      <c r="S33" s="1"/>
      <c r="T33" s="28"/>
    </row>
    <row r="34" spans="1:22" ht="15.75" thickBot="1">
      <c r="A34" s="222"/>
      <c r="B34" s="223"/>
      <c r="C34" s="225"/>
      <c r="D34" s="226"/>
      <c r="E34" s="228"/>
      <c r="F34" s="222"/>
      <c r="G34" s="223"/>
      <c r="H34" s="70" t="s">
        <v>49</v>
      </c>
      <c r="I34" s="70" t="s">
        <v>48</v>
      </c>
      <c r="J34" s="70" t="s">
        <v>50</v>
      </c>
      <c r="K34" s="70" t="s">
        <v>24</v>
      </c>
      <c r="L34" s="232" t="s">
        <v>47</v>
      </c>
      <c r="M34" s="234"/>
      <c r="N34" s="70" t="s">
        <v>46</v>
      </c>
      <c r="O34" s="70" t="s">
        <v>45</v>
      </c>
      <c r="P34" s="226"/>
      <c r="Q34" s="236"/>
      <c r="T34" s="28"/>
    </row>
    <row r="35" spans="1:22" ht="15" customHeight="1">
      <c r="A35" s="220" t="s">
        <v>27</v>
      </c>
      <c r="B35" s="221"/>
      <c r="C35" s="105" t="s">
        <v>28</v>
      </c>
      <c r="D35" s="105"/>
      <c r="E35" s="4">
        <v>600</v>
      </c>
      <c r="F35" s="242">
        <v>24</v>
      </c>
      <c r="G35" s="242"/>
      <c r="H35" s="4"/>
      <c r="I35" s="104"/>
      <c r="J35" s="4"/>
      <c r="K35" s="104"/>
      <c r="L35" s="243"/>
      <c r="M35" s="244"/>
      <c r="N35" s="104"/>
      <c r="O35" s="4">
        <v>72</v>
      </c>
      <c r="P35" s="104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222"/>
      <c r="B36" s="223"/>
      <c r="C36" s="107" t="s">
        <v>29</v>
      </c>
      <c r="D36" s="107"/>
      <c r="E36" s="14">
        <v>1200</v>
      </c>
      <c r="F36" s="249">
        <v>1200</v>
      </c>
      <c r="G36" s="249"/>
      <c r="H36" s="14"/>
      <c r="I36" s="106"/>
      <c r="J36" s="14"/>
      <c r="K36" s="106"/>
      <c r="L36" s="250"/>
      <c r="M36" s="251"/>
      <c r="N36" s="106"/>
      <c r="O36" s="14">
        <v>168</v>
      </c>
      <c r="P36" s="106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220" t="s">
        <v>41</v>
      </c>
      <c r="B37" s="221"/>
      <c r="C37" s="4" t="s">
        <v>30</v>
      </c>
      <c r="D37" s="4">
        <v>10050</v>
      </c>
      <c r="E37" s="4"/>
      <c r="F37" s="242">
        <v>690</v>
      </c>
      <c r="G37" s="242"/>
      <c r="H37" s="4"/>
      <c r="I37" s="104">
        <v>1650</v>
      </c>
      <c r="J37" s="4">
        <v>1200</v>
      </c>
      <c r="K37" s="104"/>
      <c r="L37" s="243"/>
      <c r="M37" s="244"/>
      <c r="N37" s="104"/>
      <c r="O37" s="4">
        <v>240</v>
      </c>
      <c r="P37" s="104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257"/>
      <c r="B38" s="258"/>
      <c r="C38" s="5" t="s">
        <v>32</v>
      </c>
      <c r="D38" s="113"/>
      <c r="E38" s="5"/>
      <c r="F38" s="262"/>
      <c r="G38" s="262"/>
      <c r="H38" s="5"/>
      <c r="I38" s="112"/>
      <c r="J38" s="5"/>
      <c r="K38" s="112"/>
      <c r="L38" s="263"/>
      <c r="M38" s="264"/>
      <c r="N38" s="112"/>
      <c r="O38" s="5"/>
      <c r="P38" s="112"/>
      <c r="Q38" s="5">
        <f t="shared" si="3"/>
        <v>0</v>
      </c>
      <c r="T38" s="28"/>
      <c r="V38" s="13">
        <f>J29-Q38</f>
        <v>0</v>
      </c>
    </row>
    <row r="39" spans="1:22">
      <c r="A39" s="257"/>
      <c r="B39" s="258"/>
      <c r="C39" s="5" t="s">
        <v>43</v>
      </c>
      <c r="D39" s="113">
        <v>330</v>
      </c>
      <c r="E39" s="5">
        <v>220</v>
      </c>
      <c r="F39" s="262">
        <v>220</v>
      </c>
      <c r="G39" s="262"/>
      <c r="H39" s="5"/>
      <c r="I39" s="112"/>
      <c r="J39" s="5"/>
      <c r="K39" s="112"/>
      <c r="L39" s="263"/>
      <c r="M39" s="264"/>
      <c r="N39" s="112"/>
      <c r="O39" s="5"/>
      <c r="P39" s="112"/>
      <c r="Q39" s="5">
        <f t="shared" si="3"/>
        <v>770</v>
      </c>
      <c r="T39" s="28"/>
      <c r="V39" s="13">
        <f>K29-Q39</f>
        <v>0</v>
      </c>
    </row>
    <row r="40" spans="1:22" ht="15.75" thickBot="1">
      <c r="A40" s="222"/>
      <c r="B40" s="223"/>
      <c r="C40" s="65" t="s">
        <v>44</v>
      </c>
      <c r="D40" s="109"/>
      <c r="E40" s="15"/>
      <c r="F40" s="212">
        <v>110</v>
      </c>
      <c r="G40" s="212"/>
      <c r="H40" s="15"/>
      <c r="I40" s="108"/>
      <c r="J40" s="15"/>
      <c r="K40" s="108"/>
      <c r="L40" s="213"/>
      <c r="M40" s="214"/>
      <c r="N40" s="108"/>
      <c r="O40" s="15"/>
      <c r="P40" s="108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220" t="s">
        <v>40</v>
      </c>
      <c r="B41" s="221"/>
      <c r="C41" s="111" t="s">
        <v>28</v>
      </c>
      <c r="D41" s="111">
        <v>480</v>
      </c>
      <c r="E41" s="16">
        <v>480</v>
      </c>
      <c r="F41" s="259">
        <v>240</v>
      </c>
      <c r="G41" s="259"/>
      <c r="H41" s="16">
        <v>2160</v>
      </c>
      <c r="I41" s="110">
        <v>2040</v>
      </c>
      <c r="J41" s="16"/>
      <c r="K41" s="110"/>
      <c r="L41" s="260"/>
      <c r="M41" s="261"/>
      <c r="N41" s="110"/>
      <c r="O41" s="16"/>
      <c r="P41" s="110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257"/>
      <c r="B42" s="258"/>
      <c r="C42" s="113" t="s">
        <v>31</v>
      </c>
      <c r="D42" s="113">
        <v>360</v>
      </c>
      <c r="E42" s="5">
        <v>600</v>
      </c>
      <c r="F42" s="262"/>
      <c r="G42" s="262"/>
      <c r="H42" s="5">
        <v>480</v>
      </c>
      <c r="I42" s="112">
        <v>240</v>
      </c>
      <c r="J42" s="5">
        <v>120</v>
      </c>
      <c r="K42" s="112"/>
      <c r="L42" s="263"/>
      <c r="M42" s="264"/>
      <c r="N42" s="112"/>
      <c r="O42" s="5"/>
      <c r="P42" s="112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222"/>
      <c r="B43" s="223"/>
      <c r="C43" s="65" t="s">
        <v>29</v>
      </c>
      <c r="D43" s="107">
        <v>1800</v>
      </c>
      <c r="E43" s="14">
        <v>5400</v>
      </c>
      <c r="F43" s="249">
        <v>4200</v>
      </c>
      <c r="G43" s="249"/>
      <c r="H43" s="14">
        <v>2280</v>
      </c>
      <c r="I43" s="106">
        <v>8400</v>
      </c>
      <c r="J43" s="14">
        <v>3960</v>
      </c>
      <c r="K43" s="106"/>
      <c r="L43" s="250"/>
      <c r="M43" s="251"/>
      <c r="N43" s="106"/>
      <c r="O43" s="14">
        <v>168</v>
      </c>
      <c r="P43" s="106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220" t="s">
        <v>42</v>
      </c>
      <c r="B44" s="221"/>
      <c r="C44" s="105" t="s">
        <v>31</v>
      </c>
      <c r="D44" s="105">
        <v>2100</v>
      </c>
      <c r="E44" s="4"/>
      <c r="F44" s="242">
        <v>360</v>
      </c>
      <c r="G44" s="242"/>
      <c r="H44" s="4"/>
      <c r="I44" s="104"/>
      <c r="J44" s="4"/>
      <c r="K44" s="104"/>
      <c r="L44" s="243"/>
      <c r="M44" s="244"/>
      <c r="N44" s="104"/>
      <c r="O44" s="4">
        <v>180</v>
      </c>
      <c r="P44" s="104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222"/>
      <c r="B45" s="223"/>
      <c r="C45" s="65" t="s">
        <v>29</v>
      </c>
      <c r="D45" s="15">
        <v>2412</v>
      </c>
      <c r="E45" s="15"/>
      <c r="F45" s="212"/>
      <c r="G45" s="212"/>
      <c r="H45" s="15"/>
      <c r="I45" s="108">
        <v>720</v>
      </c>
      <c r="J45" s="15"/>
      <c r="K45" s="108"/>
      <c r="L45" s="213"/>
      <c r="M45" s="214"/>
      <c r="N45" s="108"/>
      <c r="O45" s="15"/>
      <c r="P45" s="108"/>
      <c r="Q45" s="16">
        <f t="shared" si="3"/>
        <v>3132</v>
      </c>
      <c r="T45" s="28"/>
      <c r="V45" s="13">
        <f>R29-Q45</f>
        <v>0</v>
      </c>
    </row>
    <row r="46" spans="1:22" ht="15.75" thickBot="1">
      <c r="A46" s="245" t="s">
        <v>37</v>
      </c>
      <c r="B46" s="246"/>
      <c r="C46" s="246"/>
      <c r="D46" s="23">
        <f>SUM(D35:D45)</f>
        <v>17532</v>
      </c>
      <c r="E46" s="23">
        <f t="shared" ref="E46" si="4">SUM(E35:E45)</f>
        <v>8500</v>
      </c>
      <c r="F46" s="247">
        <f>SUM(F35:G45)</f>
        <v>7044</v>
      </c>
      <c r="G46" s="248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247">
        <f>SUM(L35:M45)</f>
        <v>0</v>
      </c>
      <c r="M46" s="248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252" t="s">
        <v>36</v>
      </c>
      <c r="B47" s="253"/>
      <c r="C47" s="253"/>
      <c r="D47" s="254">
        <f>D46+E46+F46+H46+I46+J46+K46+L46+N46+O46+P46</f>
        <v>67404</v>
      </c>
      <c r="E47" s="255"/>
      <c r="F47" s="255"/>
      <c r="G47" s="255"/>
      <c r="H47" s="255"/>
      <c r="I47" s="255"/>
      <c r="J47" s="255"/>
      <c r="K47" s="255"/>
      <c r="L47" s="255"/>
      <c r="M47" s="255"/>
      <c r="N47" s="255"/>
      <c r="O47" s="255"/>
      <c r="P47" s="255"/>
      <c r="Q47" s="256"/>
      <c r="T47" s="28"/>
      <c r="V47" s="13"/>
    </row>
    <row r="48" spans="1:22" s="20" customFormat="1" ht="15" customHeight="1" thickBot="1">
      <c r="A48" s="237" t="s">
        <v>26</v>
      </c>
      <c r="B48" s="238"/>
      <c r="C48" s="238"/>
      <c r="D48" s="22">
        <v>5673617</v>
      </c>
      <c r="E48" s="22">
        <v>2670081</v>
      </c>
      <c r="F48" s="239">
        <v>2226736</v>
      </c>
      <c r="G48" s="240"/>
      <c r="H48" s="22">
        <v>1560338</v>
      </c>
      <c r="I48" s="26">
        <v>4197122</v>
      </c>
      <c r="J48" s="22">
        <v>1671937</v>
      </c>
      <c r="K48" s="22"/>
      <c r="L48" s="241"/>
      <c r="M48" s="240"/>
      <c r="N48" s="26"/>
      <c r="O48" s="22">
        <v>283020</v>
      </c>
      <c r="P48" s="26">
        <v>3266760</v>
      </c>
      <c r="Q48" s="100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66"/>
  <sheetViews>
    <sheetView tabSelected="1" zoomScaleNormal="100" workbookViewId="0">
      <pane ySplit="4" topLeftCell="A44" activePane="bottomLeft" state="frozen"/>
      <selection pane="bottomLeft" activeCell="V50" sqref="V50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192" t="s">
        <v>207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4"/>
    </row>
    <row r="2" spans="1:23" s="6" customFormat="1" ht="12.75" customHeight="1">
      <c r="A2" s="195" t="s">
        <v>9</v>
      </c>
      <c r="B2" s="197" t="s">
        <v>13</v>
      </c>
      <c r="C2" s="199" t="s">
        <v>23</v>
      </c>
      <c r="D2" s="200"/>
      <c r="E2" s="203" t="s">
        <v>15</v>
      </c>
      <c r="F2" s="205" t="s">
        <v>0</v>
      </c>
      <c r="G2" s="197"/>
      <c r="H2" s="206"/>
      <c r="I2" s="207" t="s">
        <v>39</v>
      </c>
      <c r="J2" s="208"/>
      <c r="K2" s="208"/>
      <c r="L2" s="209"/>
      <c r="M2" s="206"/>
      <c r="N2" s="207" t="s">
        <v>1</v>
      </c>
      <c r="O2" s="208"/>
      <c r="P2" s="206"/>
      <c r="Q2" s="210" t="s">
        <v>2</v>
      </c>
      <c r="R2" s="211"/>
      <c r="S2" s="197" t="s">
        <v>14</v>
      </c>
      <c r="T2" s="170" t="s">
        <v>12</v>
      </c>
    </row>
    <row r="3" spans="1:23" s="6" customFormat="1" ht="15.75" thickBot="1">
      <c r="A3" s="196"/>
      <c r="B3" s="198"/>
      <c r="C3" s="201"/>
      <c r="D3" s="202"/>
      <c r="E3" s="204"/>
      <c r="F3" s="172" t="s">
        <v>3</v>
      </c>
      <c r="G3" s="173"/>
      <c r="H3" s="9" t="s">
        <v>4</v>
      </c>
      <c r="I3" s="10" t="s">
        <v>22</v>
      </c>
      <c r="J3" s="11" t="s">
        <v>7</v>
      </c>
      <c r="K3" s="11" t="s">
        <v>17</v>
      </c>
      <c r="L3" s="174" t="s">
        <v>18</v>
      </c>
      <c r="M3" s="17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98"/>
      <c r="T3" s="171"/>
    </row>
    <row r="4" spans="1:23" s="18" customFormat="1" ht="15.75" thickBot="1">
      <c r="A4" s="140" t="s">
        <v>35</v>
      </c>
      <c r="B4" s="30"/>
      <c r="C4" s="176"/>
      <c r="D4" s="177"/>
      <c r="E4" s="31"/>
      <c r="F4" s="176">
        <v>1584</v>
      </c>
      <c r="G4" s="178"/>
      <c r="H4" s="139">
        <v>8520</v>
      </c>
      <c r="I4" s="32">
        <v>47010</v>
      </c>
      <c r="J4" s="33">
        <v>360</v>
      </c>
      <c r="K4" s="139">
        <v>3212</v>
      </c>
      <c r="L4" s="179">
        <v>660</v>
      </c>
      <c r="M4" s="177"/>
      <c r="N4" s="138">
        <v>18720</v>
      </c>
      <c r="O4" s="139">
        <v>9984</v>
      </c>
      <c r="P4" s="34">
        <v>86856</v>
      </c>
      <c r="Q4" s="138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53" t="s">
        <v>197</v>
      </c>
      <c r="B5" s="166">
        <v>76</v>
      </c>
      <c r="C5" s="184" t="s">
        <v>111</v>
      </c>
      <c r="D5" s="185"/>
      <c r="E5" s="167" t="s">
        <v>112</v>
      </c>
      <c r="F5" s="186"/>
      <c r="G5" s="187"/>
      <c r="H5" s="154"/>
      <c r="I5" s="40">
        <v>8100</v>
      </c>
      <c r="J5" s="41"/>
      <c r="K5" s="41">
        <v>330</v>
      </c>
      <c r="L5" s="188"/>
      <c r="M5" s="189"/>
      <c r="N5" s="40">
        <v>240</v>
      </c>
      <c r="O5" s="154">
        <v>240</v>
      </c>
      <c r="P5" s="42">
        <v>1200</v>
      </c>
      <c r="Q5" s="40">
        <v>2400</v>
      </c>
      <c r="R5" s="42">
        <v>1800</v>
      </c>
      <c r="S5" s="164">
        <f t="shared" ref="S5:S27" si="0">SUM(F5:R5)</f>
        <v>14310</v>
      </c>
      <c r="T5" s="44">
        <v>4660286</v>
      </c>
    </row>
    <row r="6" spans="1:23">
      <c r="A6" s="157" t="s">
        <v>198</v>
      </c>
      <c r="B6" s="38">
        <v>77</v>
      </c>
      <c r="C6" s="180" t="s">
        <v>124</v>
      </c>
      <c r="D6" s="181"/>
      <c r="E6" s="45" t="s">
        <v>125</v>
      </c>
      <c r="F6" s="182"/>
      <c r="G6" s="183"/>
      <c r="H6" s="148"/>
      <c r="I6" s="48">
        <v>60</v>
      </c>
      <c r="J6" s="52"/>
      <c r="K6" s="52"/>
      <c r="L6" s="168"/>
      <c r="M6" s="169"/>
      <c r="N6" s="48"/>
      <c r="O6" s="148"/>
      <c r="P6" s="49"/>
      <c r="Q6" s="48">
        <v>60</v>
      </c>
      <c r="R6" s="49"/>
      <c r="S6" s="53">
        <f t="shared" si="0"/>
        <v>120</v>
      </c>
      <c r="T6" s="54">
        <v>42078</v>
      </c>
    </row>
    <row r="7" spans="1:23">
      <c r="A7" s="157" t="s">
        <v>198</v>
      </c>
      <c r="B7" s="38">
        <v>78</v>
      </c>
      <c r="C7" s="180" t="s">
        <v>133</v>
      </c>
      <c r="D7" s="181"/>
      <c r="E7" s="45" t="s">
        <v>132</v>
      </c>
      <c r="F7" s="182"/>
      <c r="G7" s="183"/>
      <c r="H7" s="148"/>
      <c r="I7" s="48"/>
      <c r="J7" s="52"/>
      <c r="K7" s="52"/>
      <c r="L7" s="168"/>
      <c r="M7" s="169"/>
      <c r="N7" s="48"/>
      <c r="O7" s="148"/>
      <c r="P7" s="49">
        <v>120</v>
      </c>
      <c r="Q7" s="48"/>
      <c r="R7" s="49"/>
      <c r="S7" s="53">
        <f t="shared" si="0"/>
        <v>120</v>
      </c>
      <c r="T7" s="54">
        <v>39858</v>
      </c>
    </row>
    <row r="8" spans="1:23" ht="15" customHeight="1">
      <c r="A8" s="157" t="s">
        <v>198</v>
      </c>
      <c r="B8" s="38">
        <v>79</v>
      </c>
      <c r="C8" s="182" t="s">
        <v>127</v>
      </c>
      <c r="D8" s="169"/>
      <c r="E8" s="45" t="s">
        <v>146</v>
      </c>
      <c r="F8" s="182"/>
      <c r="G8" s="183"/>
      <c r="H8" s="148">
        <v>1440</v>
      </c>
      <c r="I8" s="48">
        <v>600</v>
      </c>
      <c r="J8" s="52">
        <v>480</v>
      </c>
      <c r="K8" s="52">
        <v>220</v>
      </c>
      <c r="L8" s="148"/>
      <c r="M8" s="149"/>
      <c r="N8" s="48">
        <v>480</v>
      </c>
      <c r="O8" s="148">
        <v>480</v>
      </c>
      <c r="P8" s="49">
        <v>3600</v>
      </c>
      <c r="Q8" s="48">
        <v>180</v>
      </c>
      <c r="R8" s="49"/>
      <c r="S8" s="53">
        <f t="shared" si="0"/>
        <v>7480</v>
      </c>
      <c r="T8" s="54">
        <v>2355378</v>
      </c>
    </row>
    <row r="9" spans="1:23">
      <c r="A9" s="157" t="s">
        <v>199</v>
      </c>
      <c r="B9" s="38">
        <v>80</v>
      </c>
      <c r="C9" s="269" t="s">
        <v>98</v>
      </c>
      <c r="D9" s="191"/>
      <c r="E9" s="45" t="s">
        <v>99</v>
      </c>
      <c r="F9" s="182"/>
      <c r="G9" s="183"/>
      <c r="H9" s="148">
        <v>120</v>
      </c>
      <c r="I9" s="48"/>
      <c r="J9" s="52"/>
      <c r="K9" s="52"/>
      <c r="L9" s="148"/>
      <c r="M9" s="149"/>
      <c r="N9" s="48"/>
      <c r="O9" s="148"/>
      <c r="P9" s="49">
        <v>120</v>
      </c>
      <c r="Q9" s="48"/>
      <c r="R9" s="49"/>
      <c r="S9" s="53">
        <f t="shared" si="0"/>
        <v>240</v>
      </c>
      <c r="T9" s="54">
        <v>81150</v>
      </c>
      <c r="W9" s="136"/>
    </row>
    <row r="10" spans="1:23">
      <c r="A10" s="157" t="s">
        <v>199</v>
      </c>
      <c r="B10" s="38">
        <v>81</v>
      </c>
      <c r="C10" s="180" t="s">
        <v>100</v>
      </c>
      <c r="D10" s="181"/>
      <c r="E10" s="56" t="s">
        <v>101</v>
      </c>
      <c r="F10" s="182"/>
      <c r="G10" s="183"/>
      <c r="H10" s="148"/>
      <c r="I10" s="48">
        <v>150</v>
      </c>
      <c r="J10" s="52"/>
      <c r="K10" s="52"/>
      <c r="L10" s="168"/>
      <c r="M10" s="169"/>
      <c r="N10" s="48"/>
      <c r="O10" s="148"/>
      <c r="P10" s="49">
        <v>360</v>
      </c>
      <c r="Q10" s="48">
        <v>24</v>
      </c>
      <c r="R10" s="49"/>
      <c r="S10" s="53">
        <f t="shared" si="0"/>
        <v>534</v>
      </c>
      <c r="T10" s="54">
        <v>176119</v>
      </c>
    </row>
    <row r="11" spans="1:23">
      <c r="A11" s="157" t="s">
        <v>106</v>
      </c>
      <c r="B11" s="38">
        <v>82</v>
      </c>
      <c r="C11" s="180" t="s">
        <v>102</v>
      </c>
      <c r="D11" s="181"/>
      <c r="E11" s="56" t="s">
        <v>103</v>
      </c>
      <c r="F11" s="182"/>
      <c r="G11" s="183"/>
      <c r="H11" s="148">
        <v>72</v>
      </c>
      <c r="I11" s="48"/>
      <c r="J11" s="52"/>
      <c r="K11" s="52"/>
      <c r="L11" s="168"/>
      <c r="M11" s="169"/>
      <c r="N11" s="48"/>
      <c r="O11" s="148"/>
      <c r="P11" s="49"/>
      <c r="Q11" s="48"/>
      <c r="R11" s="49"/>
      <c r="S11" s="53">
        <f t="shared" si="0"/>
        <v>72</v>
      </c>
      <c r="T11" s="54">
        <v>24776</v>
      </c>
    </row>
    <row r="12" spans="1:23">
      <c r="A12" s="157" t="s">
        <v>200</v>
      </c>
      <c r="B12" s="38">
        <v>83</v>
      </c>
      <c r="C12" s="180" t="s">
        <v>111</v>
      </c>
      <c r="D12" s="181"/>
      <c r="E12" s="56" t="s">
        <v>112</v>
      </c>
      <c r="F12" s="182"/>
      <c r="G12" s="183"/>
      <c r="H12" s="148"/>
      <c r="I12" s="48">
        <v>6000</v>
      </c>
      <c r="J12" s="52">
        <v>120</v>
      </c>
      <c r="K12" s="52">
        <v>220</v>
      </c>
      <c r="L12" s="168"/>
      <c r="M12" s="169"/>
      <c r="N12" s="48">
        <v>1200</v>
      </c>
      <c r="O12" s="148">
        <v>240</v>
      </c>
      <c r="P12" s="49">
        <v>3840</v>
      </c>
      <c r="Q12" s="48">
        <v>3000</v>
      </c>
      <c r="R12" s="49"/>
      <c r="S12" s="53">
        <f t="shared" si="0"/>
        <v>14620</v>
      </c>
      <c r="T12" s="54">
        <v>4697862</v>
      </c>
    </row>
    <row r="13" spans="1:23">
      <c r="A13" s="157" t="s">
        <v>200</v>
      </c>
      <c r="B13" s="38">
        <v>84</v>
      </c>
      <c r="C13" s="180" t="s">
        <v>95</v>
      </c>
      <c r="D13" s="181"/>
      <c r="E13" s="45" t="s">
        <v>96</v>
      </c>
      <c r="F13" s="182">
        <v>240</v>
      </c>
      <c r="G13" s="183"/>
      <c r="H13" s="148"/>
      <c r="I13" s="48">
        <v>750</v>
      </c>
      <c r="J13" s="52"/>
      <c r="K13" s="52">
        <v>176</v>
      </c>
      <c r="L13" s="168"/>
      <c r="M13" s="169"/>
      <c r="N13" s="48">
        <v>1080</v>
      </c>
      <c r="O13" s="148">
        <v>912</v>
      </c>
      <c r="P13" s="49">
        <v>3600</v>
      </c>
      <c r="Q13" s="48"/>
      <c r="R13" s="49"/>
      <c r="S13" s="53">
        <f>SUM(F13:R13)</f>
        <v>6758</v>
      </c>
      <c r="T13" s="54">
        <v>2148083</v>
      </c>
    </row>
    <row r="14" spans="1:23" ht="15" customHeight="1">
      <c r="A14" s="151" t="s">
        <v>201</v>
      </c>
      <c r="B14" s="38">
        <v>85</v>
      </c>
      <c r="C14" s="182" t="s">
        <v>127</v>
      </c>
      <c r="D14" s="169"/>
      <c r="E14" s="45" t="s">
        <v>128</v>
      </c>
      <c r="F14" s="182"/>
      <c r="G14" s="183"/>
      <c r="H14" s="148">
        <v>1800</v>
      </c>
      <c r="I14" s="48">
        <v>900</v>
      </c>
      <c r="J14" s="52"/>
      <c r="K14" s="52"/>
      <c r="L14" s="168"/>
      <c r="M14" s="169"/>
      <c r="N14" s="151"/>
      <c r="O14" s="148">
        <v>120</v>
      </c>
      <c r="P14" s="49">
        <v>3840</v>
      </c>
      <c r="Q14" s="151">
        <v>240</v>
      </c>
      <c r="R14" s="49"/>
      <c r="S14" s="53">
        <f t="shared" si="0"/>
        <v>6900</v>
      </c>
      <c r="T14" s="54">
        <v>2172057</v>
      </c>
    </row>
    <row r="15" spans="1:23">
      <c r="A15" s="151" t="s">
        <v>201</v>
      </c>
      <c r="B15" s="38">
        <v>86</v>
      </c>
      <c r="C15" s="180" t="s">
        <v>202</v>
      </c>
      <c r="D15" s="181"/>
      <c r="E15" s="45" t="s">
        <v>142</v>
      </c>
      <c r="F15" s="182"/>
      <c r="G15" s="183"/>
      <c r="H15" s="148"/>
      <c r="I15" s="48"/>
      <c r="J15" s="52"/>
      <c r="K15" s="52"/>
      <c r="L15" s="168"/>
      <c r="M15" s="169"/>
      <c r="N15" s="151"/>
      <c r="O15" s="148"/>
      <c r="P15" s="49"/>
      <c r="Q15" s="151">
        <v>24</v>
      </c>
      <c r="R15" s="55"/>
      <c r="S15" s="53">
        <f t="shared" si="0"/>
        <v>24</v>
      </c>
      <c r="T15" s="54">
        <v>9267</v>
      </c>
      <c r="V15" s="136"/>
    </row>
    <row r="16" spans="1:23">
      <c r="A16" s="151" t="s">
        <v>203</v>
      </c>
      <c r="B16" s="38">
        <v>87</v>
      </c>
      <c r="C16" s="182" t="s">
        <v>124</v>
      </c>
      <c r="D16" s="169"/>
      <c r="E16" s="45" t="s">
        <v>125</v>
      </c>
      <c r="F16" s="182">
        <v>72</v>
      </c>
      <c r="G16" s="183"/>
      <c r="H16" s="148"/>
      <c r="I16" s="48"/>
      <c r="J16" s="52"/>
      <c r="K16" s="52"/>
      <c r="L16" s="168"/>
      <c r="M16" s="169"/>
      <c r="N16" s="151"/>
      <c r="O16" s="148"/>
      <c r="P16" s="49"/>
      <c r="Q16" s="151"/>
      <c r="R16" s="55"/>
      <c r="S16" s="53">
        <f t="shared" si="0"/>
        <v>72</v>
      </c>
      <c r="T16" s="54">
        <v>24271</v>
      </c>
    </row>
    <row r="17" spans="1:22">
      <c r="A17" s="151" t="s">
        <v>204</v>
      </c>
      <c r="B17" s="38">
        <v>88</v>
      </c>
      <c r="C17" s="180" t="s">
        <v>133</v>
      </c>
      <c r="D17" s="181"/>
      <c r="E17" s="45" t="s">
        <v>132</v>
      </c>
      <c r="F17" s="182"/>
      <c r="G17" s="183"/>
      <c r="H17" s="148">
        <v>120</v>
      </c>
      <c r="I17" s="48"/>
      <c r="J17" s="52"/>
      <c r="K17" s="52"/>
      <c r="L17" s="168"/>
      <c r="M17" s="169"/>
      <c r="N17" s="151"/>
      <c r="O17" s="148"/>
      <c r="P17" s="49"/>
      <c r="Q17" s="151"/>
      <c r="R17" s="55"/>
      <c r="S17" s="53">
        <f>SUM(F17:R17)</f>
        <v>120</v>
      </c>
      <c r="T17" s="54">
        <v>41293</v>
      </c>
    </row>
    <row r="18" spans="1:22">
      <c r="A18" s="151" t="s">
        <v>205</v>
      </c>
      <c r="B18" s="38">
        <v>89</v>
      </c>
      <c r="C18" s="182" t="s">
        <v>149</v>
      </c>
      <c r="D18" s="169"/>
      <c r="E18" s="56" t="s">
        <v>99</v>
      </c>
      <c r="F18" s="182"/>
      <c r="G18" s="183"/>
      <c r="H18" s="148"/>
      <c r="I18" s="48"/>
      <c r="J18" s="52"/>
      <c r="K18" s="52"/>
      <c r="L18" s="168"/>
      <c r="M18" s="169"/>
      <c r="N18" s="151"/>
      <c r="O18" s="148"/>
      <c r="P18" s="49">
        <v>120</v>
      </c>
      <c r="Q18" s="151">
        <v>12</v>
      </c>
      <c r="R18" s="55"/>
      <c r="S18" s="53">
        <f t="shared" si="0"/>
        <v>132</v>
      </c>
      <c r="T18" s="54">
        <v>44491</v>
      </c>
      <c r="V18" s="13"/>
    </row>
    <row r="19" spans="1:22">
      <c r="A19" s="151" t="s">
        <v>205</v>
      </c>
      <c r="B19" s="38">
        <v>90</v>
      </c>
      <c r="C19" s="182" t="s">
        <v>111</v>
      </c>
      <c r="D19" s="169"/>
      <c r="E19" s="45" t="s">
        <v>112</v>
      </c>
      <c r="F19" s="182"/>
      <c r="G19" s="183"/>
      <c r="H19" s="148"/>
      <c r="I19" s="48">
        <v>4800</v>
      </c>
      <c r="J19" s="52"/>
      <c r="K19" s="52"/>
      <c r="L19" s="168"/>
      <c r="M19" s="169"/>
      <c r="N19" s="151"/>
      <c r="O19" s="148">
        <v>120</v>
      </c>
      <c r="P19" s="49">
        <v>3600</v>
      </c>
      <c r="Q19" s="151">
        <v>3600</v>
      </c>
      <c r="R19" s="55">
        <v>612</v>
      </c>
      <c r="S19" s="53">
        <f t="shared" si="0"/>
        <v>12732</v>
      </c>
      <c r="T19" s="54">
        <v>4192621</v>
      </c>
    </row>
    <row r="20" spans="1:22">
      <c r="A20" s="151" t="s">
        <v>205</v>
      </c>
      <c r="B20" s="38">
        <v>91</v>
      </c>
      <c r="C20" s="182" t="s">
        <v>95</v>
      </c>
      <c r="D20" s="169"/>
      <c r="E20" s="45" t="s">
        <v>96</v>
      </c>
      <c r="F20" s="182"/>
      <c r="G20" s="183"/>
      <c r="H20" s="148"/>
      <c r="I20" s="48"/>
      <c r="J20" s="52"/>
      <c r="K20" s="52"/>
      <c r="L20" s="168"/>
      <c r="M20" s="169"/>
      <c r="N20" s="151">
        <v>600</v>
      </c>
      <c r="O20" s="148">
        <v>600</v>
      </c>
      <c r="P20" s="49">
        <v>1200</v>
      </c>
      <c r="Q20" s="151"/>
      <c r="R20" s="55"/>
      <c r="S20" s="53">
        <f t="shared" si="0"/>
        <v>2400</v>
      </c>
      <c r="T20" s="54">
        <v>762854</v>
      </c>
    </row>
    <row r="21" spans="1:22">
      <c r="A21" s="151" t="s">
        <v>206</v>
      </c>
      <c r="B21" s="38">
        <v>92</v>
      </c>
      <c r="C21" s="182" t="s">
        <v>124</v>
      </c>
      <c r="D21" s="169"/>
      <c r="E21" s="45" t="s">
        <v>125</v>
      </c>
      <c r="F21" s="182"/>
      <c r="G21" s="183"/>
      <c r="H21" s="148">
        <v>24</v>
      </c>
      <c r="I21" s="48"/>
      <c r="J21" s="52"/>
      <c r="K21" s="52"/>
      <c r="L21" s="168"/>
      <c r="M21" s="169"/>
      <c r="N21" s="151"/>
      <c r="O21" s="148"/>
      <c r="P21" s="49">
        <v>24</v>
      </c>
      <c r="Q21" s="151"/>
      <c r="R21" s="55"/>
      <c r="S21" s="53">
        <f t="shared" si="0"/>
        <v>48</v>
      </c>
      <c r="T21" s="54">
        <v>16230</v>
      </c>
    </row>
    <row r="22" spans="1:22">
      <c r="A22" s="151" t="s">
        <v>206</v>
      </c>
      <c r="B22" s="38">
        <v>93</v>
      </c>
      <c r="C22" s="180" t="s">
        <v>122</v>
      </c>
      <c r="D22" s="181"/>
      <c r="E22" s="56" t="s">
        <v>121</v>
      </c>
      <c r="F22" s="182"/>
      <c r="G22" s="183"/>
      <c r="H22" s="148"/>
      <c r="I22" s="48">
        <v>300</v>
      </c>
      <c r="J22" s="52"/>
      <c r="K22" s="52"/>
      <c r="L22" s="168"/>
      <c r="M22" s="169"/>
      <c r="N22" s="151">
        <v>960</v>
      </c>
      <c r="O22" s="148">
        <v>480</v>
      </c>
      <c r="P22" s="49">
        <v>960</v>
      </c>
      <c r="Q22" s="151"/>
      <c r="R22" s="55"/>
      <c r="S22" s="53">
        <f t="shared" si="0"/>
        <v>2700</v>
      </c>
      <c r="T22" s="54">
        <v>851899</v>
      </c>
    </row>
    <row r="23" spans="1:22">
      <c r="A23" s="151" t="s">
        <v>206</v>
      </c>
      <c r="B23" s="38">
        <v>94</v>
      </c>
      <c r="C23" s="180" t="s">
        <v>123</v>
      </c>
      <c r="D23" s="181"/>
      <c r="E23" s="56" t="s">
        <v>121</v>
      </c>
      <c r="F23" s="182"/>
      <c r="G23" s="183"/>
      <c r="H23" s="148"/>
      <c r="I23" s="48">
        <v>450</v>
      </c>
      <c r="J23" s="52"/>
      <c r="K23" s="52"/>
      <c r="L23" s="168"/>
      <c r="M23" s="169"/>
      <c r="N23" s="151"/>
      <c r="O23" s="148">
        <v>240</v>
      </c>
      <c r="P23" s="49">
        <v>1200</v>
      </c>
      <c r="Q23" s="151"/>
      <c r="R23" s="55"/>
      <c r="S23" s="53">
        <f t="shared" si="0"/>
        <v>1890</v>
      </c>
      <c r="T23" s="54">
        <v>597342</v>
      </c>
    </row>
    <row r="24" spans="1:22">
      <c r="A24" s="151" t="s">
        <v>206</v>
      </c>
      <c r="B24" s="38">
        <v>95</v>
      </c>
      <c r="C24" s="180" t="s">
        <v>95</v>
      </c>
      <c r="D24" s="181"/>
      <c r="E24" s="56" t="s">
        <v>96</v>
      </c>
      <c r="F24" s="182"/>
      <c r="G24" s="183"/>
      <c r="H24" s="148">
        <v>24</v>
      </c>
      <c r="I24" s="48">
        <v>30</v>
      </c>
      <c r="J24" s="52"/>
      <c r="K24" s="52"/>
      <c r="L24" s="168"/>
      <c r="M24" s="169"/>
      <c r="N24" s="151"/>
      <c r="O24" s="148"/>
      <c r="P24" s="49"/>
      <c r="Q24" s="151">
        <v>24</v>
      </c>
      <c r="R24" s="55"/>
      <c r="S24" s="53">
        <f t="shared" si="0"/>
        <v>78</v>
      </c>
      <c r="T24" s="54">
        <v>26007</v>
      </c>
    </row>
    <row r="25" spans="1:22">
      <c r="A25" s="150" t="s">
        <v>212</v>
      </c>
      <c r="B25" s="38">
        <v>96</v>
      </c>
      <c r="C25" s="180" t="s">
        <v>52</v>
      </c>
      <c r="D25" s="181"/>
      <c r="E25" s="56" t="s">
        <v>195</v>
      </c>
      <c r="F25" s="182"/>
      <c r="G25" s="183"/>
      <c r="H25" s="148"/>
      <c r="I25" s="48"/>
      <c r="J25" s="52"/>
      <c r="K25" s="52"/>
      <c r="L25" s="168"/>
      <c r="M25" s="169"/>
      <c r="N25" s="151"/>
      <c r="O25" s="148"/>
      <c r="P25" s="49">
        <v>120</v>
      </c>
      <c r="Q25" s="151"/>
      <c r="R25" s="55"/>
      <c r="S25" s="53">
        <f t="shared" si="0"/>
        <v>120</v>
      </c>
      <c r="T25" s="54">
        <v>39858</v>
      </c>
    </row>
    <row r="26" spans="1:22">
      <c r="A26" s="150" t="s">
        <v>212</v>
      </c>
      <c r="B26" s="38">
        <v>97</v>
      </c>
      <c r="C26" s="182" t="s">
        <v>127</v>
      </c>
      <c r="D26" s="169"/>
      <c r="E26" s="56" t="s">
        <v>146</v>
      </c>
      <c r="F26" s="182">
        <v>600</v>
      </c>
      <c r="G26" s="183"/>
      <c r="H26" s="86">
        <v>1440</v>
      </c>
      <c r="I26" s="57">
        <v>600</v>
      </c>
      <c r="J26" s="58"/>
      <c r="K26" s="58">
        <v>110</v>
      </c>
      <c r="L26" s="168"/>
      <c r="M26" s="169"/>
      <c r="N26" s="150">
        <v>1200</v>
      </c>
      <c r="O26" s="86">
        <v>600</v>
      </c>
      <c r="P26" s="55">
        <v>5400</v>
      </c>
      <c r="Q26" s="150">
        <v>180</v>
      </c>
      <c r="R26" s="55"/>
      <c r="S26" s="53">
        <f t="shared" si="0"/>
        <v>10130</v>
      </c>
      <c r="T26" s="59">
        <v>3172273</v>
      </c>
    </row>
    <row r="27" spans="1:22">
      <c r="A27" s="150" t="s">
        <v>208</v>
      </c>
      <c r="B27" s="38">
        <v>98</v>
      </c>
      <c r="C27" s="182" t="s">
        <v>120</v>
      </c>
      <c r="D27" s="169"/>
      <c r="E27" s="56" t="s">
        <v>121</v>
      </c>
      <c r="F27" s="182"/>
      <c r="G27" s="183"/>
      <c r="H27" s="86"/>
      <c r="I27" s="57">
        <v>1800</v>
      </c>
      <c r="J27" s="58"/>
      <c r="K27" s="58"/>
      <c r="L27" s="168"/>
      <c r="M27" s="169"/>
      <c r="N27" s="150"/>
      <c r="O27" s="86"/>
      <c r="P27" s="55">
        <v>2760</v>
      </c>
      <c r="Q27" s="150"/>
      <c r="R27" s="55"/>
      <c r="S27" s="53">
        <f t="shared" si="0"/>
        <v>4560</v>
      </c>
      <c r="T27" s="59">
        <v>1431388</v>
      </c>
    </row>
    <row r="28" spans="1:22">
      <c r="A28" s="150" t="s">
        <v>208</v>
      </c>
      <c r="B28" s="137">
        <v>99</v>
      </c>
      <c r="C28" s="182" t="s">
        <v>122</v>
      </c>
      <c r="D28" s="169"/>
      <c r="E28" s="56" t="s">
        <v>121</v>
      </c>
      <c r="F28" s="182"/>
      <c r="G28" s="183"/>
      <c r="H28" s="86"/>
      <c r="I28" s="57">
        <v>300</v>
      </c>
      <c r="J28" s="58"/>
      <c r="K28" s="58"/>
      <c r="L28" s="168"/>
      <c r="M28" s="169"/>
      <c r="N28" s="150">
        <v>1080</v>
      </c>
      <c r="O28" s="86">
        <v>360</v>
      </c>
      <c r="P28" s="55">
        <v>720</v>
      </c>
      <c r="Q28" s="150"/>
      <c r="R28" s="55"/>
      <c r="S28" s="53">
        <f t="shared" ref="S28:S45" si="1">SUM(F28:R28)</f>
        <v>2460</v>
      </c>
      <c r="T28" s="59">
        <v>774593</v>
      </c>
    </row>
    <row r="29" spans="1:22">
      <c r="A29" s="150" t="s">
        <v>208</v>
      </c>
      <c r="B29" s="137">
        <v>100</v>
      </c>
      <c r="C29" s="182" t="s">
        <v>123</v>
      </c>
      <c r="D29" s="169"/>
      <c r="E29" s="56" t="s">
        <v>121</v>
      </c>
      <c r="F29" s="182"/>
      <c r="G29" s="183"/>
      <c r="H29" s="86"/>
      <c r="I29" s="57">
        <v>750</v>
      </c>
      <c r="J29" s="58"/>
      <c r="K29" s="58"/>
      <c r="L29" s="168"/>
      <c r="M29" s="169"/>
      <c r="N29" s="150"/>
      <c r="O29" s="86"/>
      <c r="P29" s="55">
        <v>600</v>
      </c>
      <c r="Q29" s="150"/>
      <c r="R29" s="55"/>
      <c r="S29" s="53">
        <f t="shared" si="1"/>
        <v>1350</v>
      </c>
      <c r="T29" s="59">
        <v>420078</v>
      </c>
    </row>
    <row r="30" spans="1:22">
      <c r="A30" s="150" t="s">
        <v>208</v>
      </c>
      <c r="B30" s="137">
        <v>101</v>
      </c>
      <c r="C30" s="180" t="s">
        <v>100</v>
      </c>
      <c r="D30" s="181"/>
      <c r="E30" s="56" t="s">
        <v>101</v>
      </c>
      <c r="F30" s="182"/>
      <c r="G30" s="183"/>
      <c r="H30" s="86"/>
      <c r="I30" s="57"/>
      <c r="J30" s="58"/>
      <c r="K30" s="58"/>
      <c r="L30" s="168"/>
      <c r="M30" s="169"/>
      <c r="N30" s="150"/>
      <c r="O30" s="86"/>
      <c r="P30" s="55">
        <v>480</v>
      </c>
      <c r="Q30" s="150"/>
      <c r="R30" s="55"/>
      <c r="S30" s="53">
        <f t="shared" si="1"/>
        <v>480</v>
      </c>
      <c r="T30" s="59">
        <v>159430</v>
      </c>
    </row>
    <row r="31" spans="1:22">
      <c r="A31" s="150" t="s">
        <v>209</v>
      </c>
      <c r="B31" s="137">
        <v>102</v>
      </c>
      <c r="C31" s="182" t="s">
        <v>140</v>
      </c>
      <c r="D31" s="169"/>
      <c r="E31" s="56" t="s">
        <v>139</v>
      </c>
      <c r="F31" s="182"/>
      <c r="G31" s="183"/>
      <c r="H31" s="86"/>
      <c r="I31" s="57"/>
      <c r="J31" s="58"/>
      <c r="K31" s="58"/>
      <c r="L31" s="168"/>
      <c r="M31" s="169"/>
      <c r="N31" s="150"/>
      <c r="O31" s="86"/>
      <c r="P31" s="55"/>
      <c r="Q31" s="150">
        <v>60</v>
      </c>
      <c r="R31" s="55"/>
      <c r="S31" s="53">
        <f t="shared" si="1"/>
        <v>60</v>
      </c>
      <c r="T31" s="59">
        <v>23166</v>
      </c>
    </row>
    <row r="32" spans="1:22">
      <c r="A32" s="150" t="s">
        <v>209</v>
      </c>
      <c r="B32" s="137">
        <v>103</v>
      </c>
      <c r="C32" s="182" t="s">
        <v>144</v>
      </c>
      <c r="D32" s="169"/>
      <c r="E32" s="56" t="s">
        <v>145</v>
      </c>
      <c r="F32" s="182"/>
      <c r="G32" s="183"/>
      <c r="H32" s="86"/>
      <c r="I32" s="57">
        <v>30</v>
      </c>
      <c r="J32" s="58"/>
      <c r="K32" s="58"/>
      <c r="L32" s="168"/>
      <c r="M32" s="169"/>
      <c r="N32" s="150">
        <v>120</v>
      </c>
      <c r="O32" s="86">
        <v>240</v>
      </c>
      <c r="P32" s="55">
        <v>576</v>
      </c>
      <c r="Q32" s="150">
        <v>120</v>
      </c>
      <c r="R32" s="55"/>
      <c r="S32" s="53">
        <f t="shared" si="1"/>
        <v>1086</v>
      </c>
      <c r="T32" s="59">
        <v>352163</v>
      </c>
    </row>
    <row r="33" spans="1:24">
      <c r="A33" s="150" t="s">
        <v>209</v>
      </c>
      <c r="B33" s="137">
        <v>104</v>
      </c>
      <c r="C33" s="182" t="s">
        <v>95</v>
      </c>
      <c r="D33" s="169"/>
      <c r="E33" s="56" t="s">
        <v>96</v>
      </c>
      <c r="F33" s="182"/>
      <c r="G33" s="183"/>
      <c r="H33" s="86"/>
      <c r="I33" s="57"/>
      <c r="J33" s="58"/>
      <c r="K33" s="58"/>
      <c r="L33" s="168"/>
      <c r="M33" s="169"/>
      <c r="N33" s="150">
        <v>1200</v>
      </c>
      <c r="O33" s="86">
        <v>600</v>
      </c>
      <c r="P33" s="55">
        <v>2400</v>
      </c>
      <c r="Q33" s="150">
        <v>60</v>
      </c>
      <c r="R33" s="55"/>
      <c r="S33" s="53">
        <f t="shared" si="1"/>
        <v>4260</v>
      </c>
      <c r="T33" s="59">
        <v>1358128</v>
      </c>
    </row>
    <row r="34" spans="1:24">
      <c r="A34" s="150" t="s">
        <v>210</v>
      </c>
      <c r="B34" s="137">
        <v>105</v>
      </c>
      <c r="C34" s="182" t="s">
        <v>117</v>
      </c>
      <c r="D34" s="169"/>
      <c r="E34" s="56" t="s">
        <v>118</v>
      </c>
      <c r="F34" s="182"/>
      <c r="G34" s="183"/>
      <c r="H34" s="86"/>
      <c r="I34" s="57"/>
      <c r="J34" s="58"/>
      <c r="K34" s="58"/>
      <c r="L34" s="168"/>
      <c r="M34" s="169"/>
      <c r="N34" s="150"/>
      <c r="O34" s="86"/>
      <c r="P34" s="55">
        <v>360</v>
      </c>
      <c r="Q34" s="150"/>
      <c r="R34" s="55"/>
      <c r="S34" s="53">
        <f t="shared" si="1"/>
        <v>360</v>
      </c>
      <c r="T34" s="59">
        <v>119573</v>
      </c>
    </row>
    <row r="35" spans="1:24">
      <c r="A35" s="150" t="s">
        <v>210</v>
      </c>
      <c r="B35" s="137">
        <v>106</v>
      </c>
      <c r="C35" s="182" t="s">
        <v>111</v>
      </c>
      <c r="D35" s="169"/>
      <c r="E35" s="56" t="s">
        <v>112</v>
      </c>
      <c r="F35" s="182"/>
      <c r="G35" s="183"/>
      <c r="H35" s="86"/>
      <c r="I35" s="57">
        <v>5400</v>
      </c>
      <c r="J35" s="58">
        <v>72</v>
      </c>
      <c r="K35" s="58">
        <v>440</v>
      </c>
      <c r="L35" s="168"/>
      <c r="M35" s="169"/>
      <c r="N35" s="150">
        <v>1200</v>
      </c>
      <c r="O35" s="86">
        <v>720</v>
      </c>
      <c r="P35" s="55">
        <v>4800</v>
      </c>
      <c r="Q35" s="150">
        <v>1020</v>
      </c>
      <c r="R35" s="55"/>
      <c r="S35" s="53">
        <f t="shared" si="1"/>
        <v>13652</v>
      </c>
      <c r="T35" s="59">
        <v>4299973</v>
      </c>
    </row>
    <row r="36" spans="1:24">
      <c r="A36" s="150" t="s">
        <v>211</v>
      </c>
      <c r="B36" s="137">
        <v>107</v>
      </c>
      <c r="C36" s="182" t="s">
        <v>133</v>
      </c>
      <c r="D36" s="169"/>
      <c r="E36" s="56" t="s">
        <v>132</v>
      </c>
      <c r="F36" s="182"/>
      <c r="G36" s="183"/>
      <c r="H36" s="86"/>
      <c r="I36" s="57"/>
      <c r="J36" s="58"/>
      <c r="K36" s="58"/>
      <c r="L36" s="168"/>
      <c r="M36" s="169"/>
      <c r="N36" s="150"/>
      <c r="O36" s="86"/>
      <c r="P36" s="55">
        <v>120</v>
      </c>
      <c r="Q36" s="150"/>
      <c r="R36" s="55"/>
      <c r="S36" s="53">
        <f t="shared" si="1"/>
        <v>120</v>
      </c>
      <c r="T36" s="59">
        <v>39858</v>
      </c>
    </row>
    <row r="37" spans="1:24">
      <c r="A37" s="150" t="s">
        <v>211</v>
      </c>
      <c r="B37" s="137">
        <v>108</v>
      </c>
      <c r="C37" s="182" t="s">
        <v>127</v>
      </c>
      <c r="D37" s="169"/>
      <c r="E37" s="56" t="s">
        <v>128</v>
      </c>
      <c r="F37" s="182"/>
      <c r="G37" s="183"/>
      <c r="H37" s="86">
        <v>600</v>
      </c>
      <c r="I37" s="57">
        <v>1800</v>
      </c>
      <c r="J37" s="58"/>
      <c r="K37" s="58">
        <v>440</v>
      </c>
      <c r="L37" s="168">
        <v>440</v>
      </c>
      <c r="M37" s="169"/>
      <c r="N37" s="150">
        <v>720</v>
      </c>
      <c r="O37" s="86">
        <v>120</v>
      </c>
      <c r="P37" s="55">
        <v>3600</v>
      </c>
      <c r="Q37" s="150"/>
      <c r="R37" s="55"/>
      <c r="S37" s="53">
        <f t="shared" si="1"/>
        <v>7720</v>
      </c>
      <c r="T37" s="59">
        <v>2398129</v>
      </c>
    </row>
    <row r="38" spans="1:24">
      <c r="A38" s="150" t="s">
        <v>214</v>
      </c>
      <c r="B38" s="137">
        <v>109</v>
      </c>
      <c r="C38" s="182" t="s">
        <v>98</v>
      </c>
      <c r="D38" s="169"/>
      <c r="E38" s="56" t="s">
        <v>99</v>
      </c>
      <c r="F38" s="182"/>
      <c r="G38" s="183"/>
      <c r="H38" s="86">
        <v>120</v>
      </c>
      <c r="I38" s="57"/>
      <c r="J38" s="58"/>
      <c r="K38" s="58"/>
      <c r="L38" s="168"/>
      <c r="M38" s="169"/>
      <c r="N38" s="150"/>
      <c r="O38" s="86"/>
      <c r="P38" s="55">
        <v>120</v>
      </c>
      <c r="Q38" s="150"/>
      <c r="R38" s="55"/>
      <c r="S38" s="53">
        <f t="shared" si="1"/>
        <v>240</v>
      </c>
      <c r="T38" s="59">
        <v>81150</v>
      </c>
    </row>
    <row r="39" spans="1:24" ht="15.75" thickBot="1">
      <c r="A39" s="156" t="s">
        <v>214</v>
      </c>
      <c r="B39" s="141">
        <v>110</v>
      </c>
      <c r="C39" s="267" t="s">
        <v>215</v>
      </c>
      <c r="D39" s="266"/>
      <c r="E39" s="142" t="s">
        <v>216</v>
      </c>
      <c r="F39" s="267"/>
      <c r="G39" s="268"/>
      <c r="H39" s="155"/>
      <c r="I39" s="143"/>
      <c r="J39" s="144"/>
      <c r="K39" s="144"/>
      <c r="L39" s="265"/>
      <c r="M39" s="266"/>
      <c r="N39" s="156"/>
      <c r="O39" s="155"/>
      <c r="P39" s="145">
        <v>480</v>
      </c>
      <c r="Q39" s="156"/>
      <c r="R39" s="145"/>
      <c r="S39" s="146">
        <f t="shared" si="1"/>
        <v>480</v>
      </c>
      <c r="T39" s="147">
        <v>159430</v>
      </c>
    </row>
    <row r="40" spans="1:24">
      <c r="A40" s="153" t="s">
        <v>214</v>
      </c>
      <c r="B40" s="158">
        <v>111</v>
      </c>
      <c r="C40" s="186" t="s">
        <v>172</v>
      </c>
      <c r="D40" s="189"/>
      <c r="E40" s="159" t="s">
        <v>217</v>
      </c>
      <c r="F40" s="186"/>
      <c r="G40" s="187"/>
      <c r="H40" s="160"/>
      <c r="I40" s="161">
        <v>150</v>
      </c>
      <c r="J40" s="162"/>
      <c r="K40" s="162"/>
      <c r="L40" s="188"/>
      <c r="M40" s="189"/>
      <c r="N40" s="152"/>
      <c r="O40" s="160"/>
      <c r="P40" s="163">
        <v>360</v>
      </c>
      <c r="Q40" s="152"/>
      <c r="R40" s="163"/>
      <c r="S40" s="164">
        <f t="shared" si="1"/>
        <v>510</v>
      </c>
      <c r="T40" s="165">
        <v>166853</v>
      </c>
    </row>
    <row r="41" spans="1:24">
      <c r="A41" s="96" t="s">
        <v>218</v>
      </c>
      <c r="B41" s="137">
        <v>112</v>
      </c>
      <c r="C41" s="182" t="s">
        <v>111</v>
      </c>
      <c r="D41" s="169"/>
      <c r="E41" s="56" t="s">
        <v>112</v>
      </c>
      <c r="F41" s="182"/>
      <c r="G41" s="183"/>
      <c r="H41" s="86">
        <v>72</v>
      </c>
      <c r="I41" s="57">
        <v>8700</v>
      </c>
      <c r="J41" s="58">
        <v>72</v>
      </c>
      <c r="K41" s="58">
        <v>220</v>
      </c>
      <c r="L41" s="168"/>
      <c r="M41" s="169"/>
      <c r="N41" s="150">
        <v>720</v>
      </c>
      <c r="O41" s="86">
        <v>360</v>
      </c>
      <c r="P41" s="55">
        <v>1800</v>
      </c>
      <c r="Q41" s="150">
        <v>1320</v>
      </c>
      <c r="R41" s="55"/>
      <c r="S41" s="53">
        <f t="shared" si="1"/>
        <v>13264</v>
      </c>
      <c r="T41" s="59">
        <v>4136203</v>
      </c>
    </row>
    <row r="42" spans="1:24">
      <c r="A42" s="150" t="s">
        <v>219</v>
      </c>
      <c r="B42" s="137">
        <v>113</v>
      </c>
      <c r="C42" s="182" t="s">
        <v>127</v>
      </c>
      <c r="D42" s="169"/>
      <c r="E42" s="56" t="s">
        <v>128</v>
      </c>
      <c r="F42" s="182"/>
      <c r="G42" s="183"/>
      <c r="H42" s="86">
        <v>720</v>
      </c>
      <c r="I42" s="57">
        <v>300</v>
      </c>
      <c r="J42" s="58"/>
      <c r="K42" s="58">
        <v>220</v>
      </c>
      <c r="L42" s="168"/>
      <c r="M42" s="169"/>
      <c r="N42" s="150"/>
      <c r="O42" s="86"/>
      <c r="P42" s="55">
        <v>480</v>
      </c>
      <c r="Q42" s="150">
        <v>600</v>
      </c>
      <c r="R42" s="55"/>
      <c r="S42" s="53">
        <f t="shared" si="1"/>
        <v>2320</v>
      </c>
      <c r="T42" s="59">
        <v>767615</v>
      </c>
    </row>
    <row r="43" spans="1:24">
      <c r="A43" s="150" t="s">
        <v>220</v>
      </c>
      <c r="B43" s="137">
        <v>114</v>
      </c>
      <c r="C43" s="182" t="s">
        <v>221</v>
      </c>
      <c r="D43" s="169"/>
      <c r="E43" s="56" t="s">
        <v>222</v>
      </c>
      <c r="F43" s="182"/>
      <c r="G43" s="183"/>
      <c r="H43" s="86"/>
      <c r="I43" s="57"/>
      <c r="J43" s="58"/>
      <c r="K43" s="58">
        <v>22</v>
      </c>
      <c r="L43" s="168"/>
      <c r="M43" s="169"/>
      <c r="N43" s="150"/>
      <c r="O43" s="86"/>
      <c r="P43" s="55"/>
      <c r="Q43" s="150"/>
      <c r="R43" s="55"/>
      <c r="S43" s="53">
        <f t="shared" si="1"/>
        <v>22</v>
      </c>
      <c r="T43" s="59">
        <v>7887</v>
      </c>
    </row>
    <row r="44" spans="1:24">
      <c r="A44" s="150" t="s">
        <v>220</v>
      </c>
      <c r="B44" s="137">
        <v>115</v>
      </c>
      <c r="C44" s="182" t="s">
        <v>215</v>
      </c>
      <c r="D44" s="169"/>
      <c r="E44" s="56" t="s">
        <v>216</v>
      </c>
      <c r="F44" s="182"/>
      <c r="G44" s="183"/>
      <c r="H44" s="86"/>
      <c r="I44" s="57"/>
      <c r="J44" s="58"/>
      <c r="K44" s="58"/>
      <c r="L44" s="168"/>
      <c r="M44" s="169"/>
      <c r="N44" s="150"/>
      <c r="O44" s="86"/>
      <c r="P44" s="55"/>
      <c r="Q44" s="150">
        <v>120</v>
      </c>
      <c r="R44" s="55"/>
      <c r="S44" s="53">
        <f t="shared" si="1"/>
        <v>120</v>
      </c>
      <c r="T44" s="59">
        <v>46333</v>
      </c>
    </row>
    <row r="45" spans="1:24" ht="15.75" thickBot="1">
      <c r="A45" s="150" t="s">
        <v>220</v>
      </c>
      <c r="B45" s="137">
        <v>116</v>
      </c>
      <c r="C45" s="182" t="s">
        <v>95</v>
      </c>
      <c r="D45" s="169"/>
      <c r="E45" s="56" t="s">
        <v>96</v>
      </c>
      <c r="F45" s="182"/>
      <c r="G45" s="183"/>
      <c r="H45" s="86"/>
      <c r="I45" s="57"/>
      <c r="J45" s="58"/>
      <c r="K45" s="58"/>
      <c r="L45" s="168"/>
      <c r="M45" s="169"/>
      <c r="N45" s="150">
        <v>600</v>
      </c>
      <c r="O45" s="86"/>
      <c r="P45" s="55">
        <v>1800</v>
      </c>
      <c r="Q45" s="150"/>
      <c r="R45" s="55"/>
      <c r="S45" s="53">
        <f t="shared" si="1"/>
        <v>2400</v>
      </c>
      <c r="T45" s="59">
        <v>765255</v>
      </c>
    </row>
    <row r="46" spans="1:24" ht="15.75" thickBot="1">
      <c r="A46" s="215" t="s">
        <v>16</v>
      </c>
      <c r="B46" s="216"/>
      <c r="C46" s="216"/>
      <c r="D46" s="62"/>
      <c r="E46" s="60"/>
      <c r="F46" s="176">
        <f>SUM(F5:G45)</f>
        <v>912</v>
      </c>
      <c r="G46" s="178"/>
      <c r="H46" s="34">
        <f>SUM(H5:H45)</f>
        <v>6552</v>
      </c>
      <c r="I46" s="123">
        <f>SUM(I5:I45)</f>
        <v>41970</v>
      </c>
      <c r="J46" s="124">
        <f>SUM(J5:J45)</f>
        <v>744</v>
      </c>
      <c r="K46" s="124">
        <f>SUM(K5:K45)</f>
        <v>2398</v>
      </c>
      <c r="L46" s="179">
        <f>SUM(L5:M45)</f>
        <v>440</v>
      </c>
      <c r="M46" s="177"/>
      <c r="N46" s="123">
        <f t="shared" ref="N46:T46" si="2">SUM(N5:N45)</f>
        <v>11400</v>
      </c>
      <c r="O46" s="124">
        <f t="shared" si="2"/>
        <v>6432</v>
      </c>
      <c r="P46" s="34">
        <f t="shared" si="2"/>
        <v>50760</v>
      </c>
      <c r="Q46" s="123">
        <f t="shared" si="2"/>
        <v>13044</v>
      </c>
      <c r="R46" s="34">
        <f t="shared" si="2"/>
        <v>2412</v>
      </c>
      <c r="S46" s="61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215"/>
      <c r="B47" s="216"/>
      <c r="C47" s="216"/>
      <c r="D47" s="62"/>
      <c r="E47" s="60"/>
      <c r="F47" s="176">
        <f>F4+F46</f>
        <v>2496</v>
      </c>
      <c r="G47" s="178"/>
      <c r="H47" s="34">
        <f>H4+H46</f>
        <v>15072</v>
      </c>
      <c r="I47" s="62">
        <f>I4+I46</f>
        <v>88980</v>
      </c>
      <c r="J47" s="124">
        <f>J4+J46</f>
        <v>1104</v>
      </c>
      <c r="K47" s="124">
        <f>K4+K46</f>
        <v>5610</v>
      </c>
      <c r="L47" s="179">
        <f>L4+L46</f>
        <v>1100</v>
      </c>
      <c r="M47" s="177"/>
      <c r="N47" s="123">
        <f t="shared" ref="N47:T47" si="3">N4+N46</f>
        <v>30120</v>
      </c>
      <c r="O47" s="124">
        <f t="shared" si="3"/>
        <v>16416</v>
      </c>
      <c r="P47" s="34">
        <f t="shared" si="3"/>
        <v>137616</v>
      </c>
      <c r="Q47" s="62">
        <f t="shared" si="3"/>
        <v>22476</v>
      </c>
      <c r="R47" s="124">
        <f t="shared" si="3"/>
        <v>6444</v>
      </c>
      <c r="S47" s="63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217" t="s">
        <v>213</v>
      </c>
      <c r="B49" s="218"/>
      <c r="C49" s="218"/>
      <c r="D49" s="218"/>
      <c r="E49" s="218"/>
      <c r="F49" s="218"/>
      <c r="G49" s="218"/>
      <c r="H49" s="218"/>
      <c r="I49" s="218"/>
      <c r="J49" s="218"/>
      <c r="K49" s="218"/>
      <c r="L49" s="218"/>
      <c r="M49" s="218"/>
      <c r="N49" s="218"/>
      <c r="O49" s="218"/>
      <c r="P49" s="218"/>
      <c r="Q49" s="219"/>
      <c r="R49" s="1"/>
      <c r="S49" s="1"/>
      <c r="T49" s="28"/>
    </row>
    <row r="50" spans="1:22" ht="15.75" customHeight="1" thickBot="1">
      <c r="A50" s="220" t="s">
        <v>34</v>
      </c>
      <c r="B50" s="221"/>
      <c r="C50" s="224" t="s">
        <v>33</v>
      </c>
      <c r="D50" s="224" t="s">
        <v>11</v>
      </c>
      <c r="E50" s="227" t="s">
        <v>19</v>
      </c>
      <c r="F50" s="220" t="s">
        <v>8</v>
      </c>
      <c r="G50" s="221"/>
      <c r="H50" s="229" t="s">
        <v>10</v>
      </c>
      <c r="I50" s="230"/>
      <c r="J50" s="231"/>
      <c r="K50" s="232" t="s">
        <v>25</v>
      </c>
      <c r="L50" s="233"/>
      <c r="M50" s="233"/>
      <c r="N50" s="233"/>
      <c r="O50" s="234"/>
      <c r="P50" s="224" t="s">
        <v>20</v>
      </c>
      <c r="Q50" s="235" t="s">
        <v>38</v>
      </c>
      <c r="R50" s="1"/>
      <c r="S50" s="1"/>
      <c r="T50" s="28"/>
    </row>
    <row r="51" spans="1:22" ht="15.75" thickBot="1">
      <c r="A51" s="222"/>
      <c r="B51" s="223"/>
      <c r="C51" s="225"/>
      <c r="D51" s="226"/>
      <c r="E51" s="228"/>
      <c r="F51" s="222"/>
      <c r="G51" s="223"/>
      <c r="H51" s="70" t="s">
        <v>49</v>
      </c>
      <c r="I51" s="70" t="s">
        <v>48</v>
      </c>
      <c r="J51" s="70" t="s">
        <v>50</v>
      </c>
      <c r="K51" s="70" t="s">
        <v>24</v>
      </c>
      <c r="L51" s="232" t="s">
        <v>47</v>
      </c>
      <c r="M51" s="234"/>
      <c r="N51" s="70" t="s">
        <v>46</v>
      </c>
      <c r="O51" s="70" t="s">
        <v>45</v>
      </c>
      <c r="P51" s="226"/>
      <c r="Q51" s="236"/>
      <c r="T51" s="28"/>
    </row>
    <row r="52" spans="1:22" ht="15" customHeight="1">
      <c r="A52" s="220" t="s">
        <v>27</v>
      </c>
      <c r="B52" s="221"/>
      <c r="C52" s="128" t="s">
        <v>28</v>
      </c>
      <c r="D52" s="128"/>
      <c r="E52" s="4">
        <v>600</v>
      </c>
      <c r="F52" s="242"/>
      <c r="G52" s="242"/>
      <c r="H52" s="4"/>
      <c r="I52" s="127"/>
      <c r="J52" s="4"/>
      <c r="K52" s="127"/>
      <c r="L52" s="243"/>
      <c r="M52" s="244"/>
      <c r="N52" s="127"/>
      <c r="O52" s="4">
        <v>72</v>
      </c>
      <c r="P52" s="127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222"/>
      <c r="B53" s="223"/>
      <c r="C53" s="130" t="s">
        <v>29</v>
      </c>
      <c r="D53" s="130">
        <v>72</v>
      </c>
      <c r="E53" s="14">
        <f>1440+1440</f>
        <v>2880</v>
      </c>
      <c r="F53" s="249">
        <v>3120</v>
      </c>
      <c r="G53" s="249"/>
      <c r="H53" s="14"/>
      <c r="I53" s="129"/>
      <c r="J53" s="14"/>
      <c r="K53" s="129"/>
      <c r="L53" s="250"/>
      <c r="M53" s="251"/>
      <c r="N53" s="129"/>
      <c r="O53" s="14">
        <v>456</v>
      </c>
      <c r="P53" s="129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220" t="s">
        <v>41</v>
      </c>
      <c r="B54" s="221"/>
      <c r="C54" s="4" t="s">
        <v>30</v>
      </c>
      <c r="D54" s="4">
        <v>33000</v>
      </c>
      <c r="E54" s="4">
        <f>600+600</f>
        <v>1200</v>
      </c>
      <c r="F54" s="242">
        <f>900+1800+300</f>
        <v>3000</v>
      </c>
      <c r="G54" s="242"/>
      <c r="H54" s="4">
        <f>300+300</f>
        <v>600</v>
      </c>
      <c r="I54" s="127">
        <v>1800</v>
      </c>
      <c r="J54" s="4">
        <f>450+750</f>
        <v>1200</v>
      </c>
      <c r="K54" s="127"/>
      <c r="L54" s="243">
        <v>30</v>
      </c>
      <c r="M54" s="244"/>
      <c r="N54" s="127"/>
      <c r="O54" s="4">
        <v>360</v>
      </c>
      <c r="P54" s="127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257"/>
      <c r="B55" s="258"/>
      <c r="C55" s="5" t="s">
        <v>32</v>
      </c>
      <c r="D55" s="134">
        <v>264</v>
      </c>
      <c r="E55" s="5">
        <v>480</v>
      </c>
      <c r="F55" s="262"/>
      <c r="G55" s="262"/>
      <c r="H55" s="5"/>
      <c r="I55" s="133"/>
      <c r="J55" s="5"/>
      <c r="K55" s="133"/>
      <c r="L55" s="263"/>
      <c r="M55" s="264"/>
      <c r="N55" s="133"/>
      <c r="O55" s="5"/>
      <c r="P55" s="133"/>
      <c r="Q55" s="5">
        <f t="shared" si="4"/>
        <v>744</v>
      </c>
      <c r="T55" s="28"/>
      <c r="V55" s="13">
        <f>J46-Q55</f>
        <v>0</v>
      </c>
    </row>
    <row r="56" spans="1:22">
      <c r="A56" s="257"/>
      <c r="B56" s="258"/>
      <c r="C56" s="5" t="s">
        <v>43</v>
      </c>
      <c r="D56" s="134">
        <v>1210</v>
      </c>
      <c r="E56" s="5">
        <f>220+110</f>
        <v>330</v>
      </c>
      <c r="F56" s="262">
        <f>440+220</f>
        <v>660</v>
      </c>
      <c r="G56" s="262"/>
      <c r="H56" s="5"/>
      <c r="I56" s="133"/>
      <c r="J56" s="5"/>
      <c r="K56" s="133"/>
      <c r="L56" s="263"/>
      <c r="M56" s="264"/>
      <c r="N56" s="133"/>
      <c r="O56" s="5">
        <v>22</v>
      </c>
      <c r="P56" s="133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222"/>
      <c r="B57" s="223"/>
      <c r="C57" s="65" t="s">
        <v>44</v>
      </c>
      <c r="D57" s="126"/>
      <c r="E57" s="15"/>
      <c r="F57" s="212">
        <f>440</f>
        <v>440</v>
      </c>
      <c r="G57" s="212"/>
      <c r="H57" s="15"/>
      <c r="I57" s="125"/>
      <c r="J57" s="15"/>
      <c r="K57" s="125"/>
      <c r="L57" s="213"/>
      <c r="M57" s="214"/>
      <c r="N57" s="125"/>
      <c r="O57" s="15"/>
      <c r="P57" s="125"/>
      <c r="Q57" s="16">
        <f t="shared" si="4"/>
        <v>440</v>
      </c>
      <c r="T57" s="28"/>
      <c r="V57" s="13">
        <f>L46-Q57</f>
        <v>0</v>
      </c>
    </row>
    <row r="58" spans="1:22">
      <c r="A58" s="220" t="s">
        <v>40</v>
      </c>
      <c r="B58" s="221"/>
      <c r="C58" s="132" t="s">
        <v>28</v>
      </c>
      <c r="D58" s="132">
        <v>3360</v>
      </c>
      <c r="E58" s="16">
        <f>480+1200</f>
        <v>1680</v>
      </c>
      <c r="F58" s="259">
        <f>720</f>
        <v>720</v>
      </c>
      <c r="G58" s="259"/>
      <c r="H58" s="16">
        <f>960+1080</f>
        <v>2040</v>
      </c>
      <c r="I58" s="131"/>
      <c r="J58" s="16"/>
      <c r="K58" s="131"/>
      <c r="L58" s="260">
        <v>120</v>
      </c>
      <c r="M58" s="261"/>
      <c r="N58" s="131"/>
      <c r="O58" s="16"/>
      <c r="P58" s="131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257"/>
      <c r="B59" s="258"/>
      <c r="C59" s="134" t="s">
        <v>31</v>
      </c>
      <c r="D59" s="134">
        <v>1680</v>
      </c>
      <c r="E59" s="5">
        <f>480+600</f>
        <v>1080</v>
      </c>
      <c r="F59" s="262">
        <f>120+120</f>
        <v>240</v>
      </c>
      <c r="G59" s="262"/>
      <c r="H59" s="5">
        <f>480+360</f>
        <v>840</v>
      </c>
      <c r="I59" s="133"/>
      <c r="J59" s="5">
        <v>240</v>
      </c>
      <c r="K59" s="133"/>
      <c r="L59" s="263">
        <v>240</v>
      </c>
      <c r="M59" s="264"/>
      <c r="N59" s="133"/>
      <c r="O59" s="5"/>
      <c r="P59" s="133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222"/>
      <c r="B60" s="223"/>
      <c r="C60" s="65" t="s">
        <v>29</v>
      </c>
      <c r="D60" s="130">
        <v>15240</v>
      </c>
      <c r="E60" s="14">
        <f>3600+5400</f>
        <v>9000</v>
      </c>
      <c r="F60" s="249">
        <f>3840+3600+480</f>
        <v>7920</v>
      </c>
      <c r="G60" s="249"/>
      <c r="H60" s="14">
        <f>960+720</f>
        <v>1680</v>
      </c>
      <c r="I60" s="129">
        <v>2760</v>
      </c>
      <c r="J60" s="14">
        <f>1200+600</f>
        <v>1800</v>
      </c>
      <c r="K60" s="129"/>
      <c r="L60" s="250">
        <v>576</v>
      </c>
      <c r="M60" s="251"/>
      <c r="N60" s="129"/>
      <c r="O60" s="14">
        <v>2784</v>
      </c>
      <c r="P60" s="129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220" t="s">
        <v>42</v>
      </c>
      <c r="B61" s="221"/>
      <c r="C61" s="128" t="s">
        <v>31</v>
      </c>
      <c r="D61" s="128">
        <v>11340</v>
      </c>
      <c r="E61" s="4">
        <f>180+180</f>
        <v>360</v>
      </c>
      <c r="F61" s="242">
        <f>240+600</f>
        <v>840</v>
      </c>
      <c r="G61" s="242"/>
      <c r="H61" s="4"/>
      <c r="I61" s="127"/>
      <c r="J61" s="4"/>
      <c r="K61" s="127"/>
      <c r="L61" s="243">
        <v>120</v>
      </c>
      <c r="M61" s="244"/>
      <c r="N61" s="127"/>
      <c r="O61" s="4">
        <v>300</v>
      </c>
      <c r="P61" s="127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222"/>
      <c r="B62" s="223"/>
      <c r="C62" s="65" t="s">
        <v>29</v>
      </c>
      <c r="D62" s="15">
        <f>1800+612</f>
        <v>2412</v>
      </c>
      <c r="E62" s="15"/>
      <c r="F62" s="212"/>
      <c r="G62" s="212"/>
      <c r="H62" s="15"/>
      <c r="I62" s="125"/>
      <c r="J62" s="15"/>
      <c r="K62" s="125"/>
      <c r="L62" s="213"/>
      <c r="M62" s="214"/>
      <c r="N62" s="125"/>
      <c r="O62" s="15"/>
      <c r="P62" s="125"/>
      <c r="Q62" s="16">
        <f t="shared" si="4"/>
        <v>2412</v>
      </c>
      <c r="T62" s="28"/>
      <c r="V62" s="13">
        <f>R46-Q62</f>
        <v>0</v>
      </c>
    </row>
    <row r="63" spans="1:22" ht="15.75" thickBot="1">
      <c r="A63" s="245" t="s">
        <v>37</v>
      </c>
      <c r="B63" s="246"/>
      <c r="C63" s="246"/>
      <c r="D63" s="23">
        <f>SUM(D52:D62)</f>
        <v>68578</v>
      </c>
      <c r="E63" s="23">
        <f t="shared" ref="E63" si="5">SUM(E52:E62)</f>
        <v>17610</v>
      </c>
      <c r="F63" s="247">
        <f>SUM(F52:G62)</f>
        <v>16940</v>
      </c>
      <c r="G63" s="248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247">
        <f>SUM(L52:M62)</f>
        <v>1086</v>
      </c>
      <c r="M63" s="248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252" t="s">
        <v>36</v>
      </c>
      <c r="B64" s="253"/>
      <c r="C64" s="253"/>
      <c r="D64" s="254">
        <f>D63+E63+F63+H63+I63+J63+K63+L63+N63+O63+P63</f>
        <v>137064</v>
      </c>
      <c r="E64" s="255"/>
      <c r="F64" s="255"/>
      <c r="G64" s="255"/>
      <c r="H64" s="255"/>
      <c r="I64" s="255"/>
      <c r="J64" s="255"/>
      <c r="K64" s="255"/>
      <c r="L64" s="255"/>
      <c r="M64" s="255"/>
      <c r="N64" s="255"/>
      <c r="O64" s="255"/>
      <c r="P64" s="255"/>
      <c r="Q64" s="256"/>
      <c r="T64" s="28"/>
      <c r="V64" s="13"/>
    </row>
    <row r="65" spans="1:22" s="20" customFormat="1" ht="15" customHeight="1" thickBot="1">
      <c r="A65" s="237" t="s">
        <v>26</v>
      </c>
      <c r="B65" s="238"/>
      <c r="C65" s="238"/>
      <c r="D65" s="22">
        <v>21986945</v>
      </c>
      <c r="E65" s="22">
        <v>5527651</v>
      </c>
      <c r="F65" s="239">
        <f>2172057+2398129+767615</f>
        <v>5337801</v>
      </c>
      <c r="G65" s="240"/>
      <c r="H65" s="22">
        <v>1626492</v>
      </c>
      <c r="I65" s="26">
        <v>1431388</v>
      </c>
      <c r="J65" s="22">
        <v>1017420</v>
      </c>
      <c r="K65" s="22"/>
      <c r="L65" s="241">
        <v>352163</v>
      </c>
      <c r="M65" s="240"/>
      <c r="N65" s="26"/>
      <c r="O65" s="22">
        <v>1343071</v>
      </c>
      <c r="P65" s="26">
        <f>2148083+2146989+765255</f>
        <v>5060327</v>
      </c>
      <c r="Q65" s="135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C41:D41"/>
    <mergeCell ref="C42:D42"/>
    <mergeCell ref="C43:D43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L38:M38"/>
    <mergeCell ref="L39:M39"/>
    <mergeCell ref="L40:M40"/>
    <mergeCell ref="L41:M41"/>
    <mergeCell ref="L42:M42"/>
    <mergeCell ref="L43:M43"/>
    <mergeCell ref="L44:M44"/>
    <mergeCell ref="L45:M45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2021-07-01T05:00:56Z</cp:lastPrinted>
  <dcterms:created xsi:type="dcterms:W3CDTF">2013-12-03T07:14:02Z</dcterms:created>
  <dcterms:modified xsi:type="dcterms:W3CDTF">2021-07-01T05:01:23Z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