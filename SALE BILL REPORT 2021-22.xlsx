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</sheets>
  <definedNames>
    <definedName name="_xlnm._FilterDatabase" localSheetId="0" hidden="1">'April 2021-22'!$A$2:$X$3</definedName>
    <definedName name="_xlnm._FilterDatabase" localSheetId="4" hidden="1">'August 2021'!$A$4:$X$53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37" i="73"/>
  <c r="J67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S52" i="73" l="1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D71" i="73" l="1"/>
  <c r="V59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<sst xmlns="http://schemas.openxmlformats.org/spreadsheetml/2006/main" count="1201" uniqueCount="408">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</sst>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12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  <xf numFmtId="0" fontId="8" fillId="2" borderId="8" xfId="0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11" t="s">
        <v>160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3"/>
    </row>
    <row r="2" spans="1:20" s="6" customFormat="1" ht="12.75" customHeight="1">
      <c r="A2" s="314" t="s">
        <v>9</v>
      </c>
      <c r="B2" s="316" t="s">
        <v>13</v>
      </c>
      <c r="C2" s="318" t="s">
        <v>23</v>
      </c>
      <c r="D2" s="319"/>
      <c r="E2" s="322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6" t="s">
        <v>14</v>
      </c>
      <c r="T2" s="289" t="s">
        <v>12</v>
      </c>
    </row>
    <row r="3" spans="1:20" s="6" customFormat="1" ht="15.75" thickBot="1">
      <c r="A3" s="315"/>
      <c r="B3" s="317"/>
      <c r="C3" s="320"/>
      <c r="D3" s="321"/>
      <c r="E3" s="323"/>
      <c r="F3" s="291" t="s">
        <v>3</v>
      </c>
      <c r="G3" s="292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2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17"/>
      <c r="T3" s="290"/>
    </row>
    <row r="4" spans="1:20" s="18" customFormat="1" ht="15.75" thickBot="1">
      <c r="A4" s="80" t="s">
        <v>35</v>
      </c>
      <c r="B4" s="30"/>
      <c r="C4" s="295"/>
      <c r="D4" s="296"/>
      <c r="E4" s="31"/>
      <c r="F4" s="295"/>
      <c r="G4" s="297"/>
      <c r="H4" s="79"/>
      <c r="I4" s="32"/>
      <c r="J4" s="33"/>
      <c r="K4" s="79"/>
      <c r="L4" s="298"/>
      <c r="M4" s="296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03" t="s">
        <v>52</v>
      </c>
      <c r="D5" s="304"/>
      <c r="E5" s="151" t="s">
        <v>53</v>
      </c>
      <c r="F5" s="305"/>
      <c r="G5" s="306"/>
      <c r="H5" s="157"/>
      <c r="I5" s="39"/>
      <c r="J5" s="40"/>
      <c r="K5" s="40"/>
      <c r="L5" s="307"/>
      <c r="M5" s="308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299" t="s">
        <v>57</v>
      </c>
      <c r="D6" s="300"/>
      <c r="E6" s="44" t="s">
        <v>58</v>
      </c>
      <c r="F6" s="301"/>
      <c r="G6" s="302"/>
      <c r="H6" s="152"/>
      <c r="I6" s="45">
        <v>60</v>
      </c>
      <c r="J6" s="46"/>
      <c r="K6" s="46">
        <v>22</v>
      </c>
      <c r="L6" s="309"/>
      <c r="M6" s="310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299" t="s">
        <v>95</v>
      </c>
      <c r="D7" s="300"/>
      <c r="E7" s="44" t="s">
        <v>96</v>
      </c>
      <c r="F7" s="301"/>
      <c r="G7" s="302"/>
      <c r="H7" s="152"/>
      <c r="I7" s="47"/>
      <c r="J7" s="51"/>
      <c r="K7" s="51"/>
      <c r="L7" s="287"/>
      <c r="M7" s="288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299" t="s">
        <v>98</v>
      </c>
      <c r="D8" s="300"/>
      <c r="E8" s="44" t="s">
        <v>99</v>
      </c>
      <c r="F8" s="301"/>
      <c r="G8" s="302"/>
      <c r="H8" s="152">
        <v>120</v>
      </c>
      <c r="I8" s="47"/>
      <c r="J8" s="51"/>
      <c r="K8" s="51"/>
      <c r="L8" s="287"/>
      <c r="M8" s="288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299" t="s">
        <v>100</v>
      </c>
      <c r="D9" s="300"/>
      <c r="E9" s="44" t="s">
        <v>101</v>
      </c>
      <c r="F9" s="301"/>
      <c r="G9" s="302"/>
      <c r="H9" s="152"/>
      <c r="I9" s="47">
        <v>150</v>
      </c>
      <c r="J9" s="51"/>
      <c r="K9" s="51"/>
      <c r="L9" s="287"/>
      <c r="M9" s="288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299" t="s">
        <v>102</v>
      </c>
      <c r="D10" s="300"/>
      <c r="E10" s="44" t="s">
        <v>103</v>
      </c>
      <c r="F10" s="301"/>
      <c r="G10" s="302"/>
      <c r="H10" s="152"/>
      <c r="I10" s="47"/>
      <c r="J10" s="51"/>
      <c r="K10" s="51"/>
      <c r="L10" s="287"/>
      <c r="M10" s="288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299" t="s">
        <v>100</v>
      </c>
      <c r="D11" s="300"/>
      <c r="E11" s="44" t="s">
        <v>101</v>
      </c>
      <c r="F11" s="301"/>
      <c r="G11" s="302"/>
      <c r="H11" s="152">
        <v>24</v>
      </c>
      <c r="I11" s="47"/>
      <c r="J11" s="51"/>
      <c r="K11" s="51"/>
      <c r="L11" s="287"/>
      <c r="M11" s="288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299" t="s">
        <v>105</v>
      </c>
      <c r="D12" s="300"/>
      <c r="E12" s="183" t="s">
        <v>221</v>
      </c>
      <c r="F12" s="301"/>
      <c r="G12" s="302"/>
      <c r="H12" s="152"/>
      <c r="I12" s="47"/>
      <c r="J12" s="51"/>
      <c r="K12" s="51"/>
      <c r="L12" s="287"/>
      <c r="M12" s="288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299" t="s">
        <v>107</v>
      </c>
      <c r="D13" s="300"/>
      <c r="E13" s="44" t="s">
        <v>108</v>
      </c>
      <c r="F13" s="301"/>
      <c r="G13" s="302"/>
      <c r="H13" s="152">
        <v>48</v>
      </c>
      <c r="I13" s="47"/>
      <c r="J13" s="51"/>
      <c r="K13" s="51"/>
      <c r="L13" s="287"/>
      <c r="M13" s="288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299" t="s">
        <v>109</v>
      </c>
      <c r="D14" s="300"/>
      <c r="E14" s="44" t="s">
        <v>110</v>
      </c>
      <c r="F14" s="301"/>
      <c r="G14" s="302"/>
      <c r="H14" s="152">
        <v>48</v>
      </c>
      <c r="I14" s="47"/>
      <c r="J14" s="51"/>
      <c r="K14" s="51"/>
      <c r="L14" s="287"/>
      <c r="M14" s="288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299" t="s">
        <v>111</v>
      </c>
      <c r="D15" s="300"/>
      <c r="E15" s="44" t="s">
        <v>112</v>
      </c>
      <c r="F15" s="301"/>
      <c r="G15" s="302"/>
      <c r="H15" s="152"/>
      <c r="I15" s="47">
        <v>7050</v>
      </c>
      <c r="J15" s="51">
        <v>120</v>
      </c>
      <c r="K15" s="51">
        <v>440</v>
      </c>
      <c r="L15" s="287"/>
      <c r="M15" s="288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299" t="s">
        <v>114</v>
      </c>
      <c r="D16" s="300"/>
      <c r="E16" s="44" t="s">
        <v>115</v>
      </c>
      <c r="F16" s="301"/>
      <c r="G16" s="302"/>
      <c r="H16" s="152"/>
      <c r="I16" s="47"/>
      <c r="J16" s="51"/>
      <c r="K16" s="51"/>
      <c r="L16" s="287"/>
      <c r="M16" s="288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299" t="s">
        <v>117</v>
      </c>
      <c r="D17" s="300"/>
      <c r="E17" s="44" t="s">
        <v>118</v>
      </c>
      <c r="F17" s="301"/>
      <c r="G17" s="302"/>
      <c r="H17" s="152"/>
      <c r="I17" s="47"/>
      <c r="J17" s="51"/>
      <c r="K17" s="51"/>
      <c r="L17" s="287"/>
      <c r="M17" s="288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299" t="s">
        <v>120</v>
      </c>
      <c r="D18" s="300"/>
      <c r="E18" s="44" t="s">
        <v>121</v>
      </c>
      <c r="F18" s="301"/>
      <c r="G18" s="302"/>
      <c r="H18" s="152"/>
      <c r="I18" s="47"/>
      <c r="J18" s="51"/>
      <c r="K18" s="51"/>
      <c r="L18" s="287"/>
      <c r="M18" s="288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299" t="s">
        <v>122</v>
      </c>
      <c r="D19" s="300"/>
      <c r="E19" s="44" t="s">
        <v>121</v>
      </c>
      <c r="F19" s="301"/>
      <c r="G19" s="302"/>
      <c r="H19" s="152"/>
      <c r="I19" s="47"/>
      <c r="J19" s="51"/>
      <c r="K19" s="51"/>
      <c r="L19" s="287"/>
      <c r="M19" s="288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301" t="s">
        <v>123</v>
      </c>
      <c r="D20" s="288"/>
      <c r="E20" s="44" t="s">
        <v>121</v>
      </c>
      <c r="F20" s="301"/>
      <c r="G20" s="302"/>
      <c r="H20" s="152"/>
      <c r="I20" s="47">
        <v>600</v>
      </c>
      <c r="J20" s="51"/>
      <c r="K20" s="51"/>
      <c r="L20" s="287"/>
      <c r="M20" s="288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301" t="s">
        <v>95</v>
      </c>
      <c r="D21" s="288"/>
      <c r="E21" s="44" t="s">
        <v>96</v>
      </c>
      <c r="F21" s="301"/>
      <c r="G21" s="302"/>
      <c r="H21" s="152"/>
      <c r="I21" s="47"/>
      <c r="J21" s="51"/>
      <c r="K21" s="51">
        <v>220</v>
      </c>
      <c r="L21" s="287"/>
      <c r="M21" s="288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301" t="s">
        <v>124</v>
      </c>
      <c r="D22" s="288"/>
      <c r="E22" s="44" t="s">
        <v>125</v>
      </c>
      <c r="F22" s="301">
        <v>48</v>
      </c>
      <c r="G22" s="302"/>
      <c r="H22" s="152">
        <v>24</v>
      </c>
      <c r="I22" s="47"/>
      <c r="J22" s="51"/>
      <c r="K22" s="51"/>
      <c r="L22" s="287"/>
      <c r="M22" s="288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301" t="s">
        <v>127</v>
      </c>
      <c r="D23" s="288"/>
      <c r="E23" s="44" t="s">
        <v>128</v>
      </c>
      <c r="F23" s="301"/>
      <c r="G23" s="302"/>
      <c r="H23" s="152">
        <v>1200</v>
      </c>
      <c r="I23" s="47">
        <v>900</v>
      </c>
      <c r="J23" s="51"/>
      <c r="K23" s="51">
        <v>660</v>
      </c>
      <c r="L23" s="287"/>
      <c r="M23" s="288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301" t="s">
        <v>98</v>
      </c>
      <c r="D24" s="288"/>
      <c r="E24" s="44" t="s">
        <v>99</v>
      </c>
      <c r="F24" s="301"/>
      <c r="G24" s="302"/>
      <c r="H24" s="152">
        <v>120</v>
      </c>
      <c r="I24" s="47"/>
      <c r="J24" s="51"/>
      <c r="K24" s="51"/>
      <c r="L24" s="287"/>
      <c r="M24" s="288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301" t="s">
        <v>129</v>
      </c>
      <c r="D25" s="288"/>
      <c r="E25" s="44" t="s">
        <v>130</v>
      </c>
      <c r="F25" s="301"/>
      <c r="G25" s="302"/>
      <c r="H25" s="152">
        <v>120</v>
      </c>
      <c r="I25" s="47"/>
      <c r="J25" s="51"/>
      <c r="K25" s="51"/>
      <c r="L25" s="287"/>
      <c r="M25" s="288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301" t="s">
        <v>95</v>
      </c>
      <c r="D26" s="288"/>
      <c r="E26" s="44" t="s">
        <v>96</v>
      </c>
      <c r="F26" s="301"/>
      <c r="G26" s="302"/>
      <c r="H26" s="152"/>
      <c r="I26" s="47">
        <v>1200</v>
      </c>
      <c r="J26" s="51"/>
      <c r="K26" s="51"/>
      <c r="L26" s="287"/>
      <c r="M26" s="288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301" t="s">
        <v>133</v>
      </c>
      <c r="D27" s="288"/>
      <c r="E27" s="55" t="s">
        <v>132</v>
      </c>
      <c r="F27" s="301"/>
      <c r="G27" s="302"/>
      <c r="H27" s="81"/>
      <c r="I27" s="56"/>
      <c r="J27" s="57"/>
      <c r="K27" s="57"/>
      <c r="L27" s="287"/>
      <c r="M27" s="288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301" t="s">
        <v>134</v>
      </c>
      <c r="D28" s="288"/>
      <c r="E28" s="55" t="s">
        <v>135</v>
      </c>
      <c r="F28" s="301"/>
      <c r="G28" s="302"/>
      <c r="H28" s="81">
        <v>48</v>
      </c>
      <c r="I28" s="56"/>
      <c r="J28" s="57"/>
      <c r="K28" s="57"/>
      <c r="L28" s="287"/>
      <c r="M28" s="288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301" t="s">
        <v>137</v>
      </c>
      <c r="D29" s="288"/>
      <c r="E29" s="55" t="s">
        <v>138</v>
      </c>
      <c r="F29" s="301"/>
      <c r="G29" s="302"/>
      <c r="H29" s="81"/>
      <c r="I29" s="56"/>
      <c r="J29" s="57"/>
      <c r="K29" s="57"/>
      <c r="L29" s="287"/>
      <c r="M29" s="288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301" t="s">
        <v>140</v>
      </c>
      <c r="D30" s="288"/>
      <c r="E30" s="55" t="s">
        <v>139</v>
      </c>
      <c r="F30" s="301"/>
      <c r="G30" s="302"/>
      <c r="H30" s="81"/>
      <c r="I30" s="56"/>
      <c r="J30" s="57"/>
      <c r="K30" s="57"/>
      <c r="L30" s="287"/>
      <c r="M30" s="288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301" t="s">
        <v>141</v>
      </c>
      <c r="D31" s="288"/>
      <c r="E31" s="55" t="s">
        <v>142</v>
      </c>
      <c r="F31" s="301"/>
      <c r="G31" s="302"/>
      <c r="H31" s="81"/>
      <c r="I31" s="56"/>
      <c r="J31" s="57"/>
      <c r="K31" s="57"/>
      <c r="L31" s="287"/>
      <c r="M31" s="288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301" t="s">
        <v>144</v>
      </c>
      <c r="D32" s="288"/>
      <c r="E32" s="55" t="s">
        <v>145</v>
      </c>
      <c r="F32" s="301"/>
      <c r="G32" s="302"/>
      <c r="H32" s="81"/>
      <c r="I32" s="56">
        <v>120</v>
      </c>
      <c r="J32" s="57"/>
      <c r="K32" s="57"/>
      <c r="L32" s="287"/>
      <c r="M32" s="288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301" t="s">
        <v>127</v>
      </c>
      <c r="D33" s="288"/>
      <c r="E33" s="55" t="s">
        <v>146</v>
      </c>
      <c r="F33" s="301">
        <v>720</v>
      </c>
      <c r="G33" s="302"/>
      <c r="H33" s="81">
        <v>1440</v>
      </c>
      <c r="I33" s="56">
        <v>600</v>
      </c>
      <c r="J33" s="57"/>
      <c r="K33" s="57"/>
      <c r="L33" s="287"/>
      <c r="M33" s="288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301" t="s">
        <v>117</v>
      </c>
      <c r="D34" s="288"/>
      <c r="E34" s="55" t="s">
        <v>118</v>
      </c>
      <c r="F34" s="301"/>
      <c r="G34" s="302"/>
      <c r="H34" s="81"/>
      <c r="I34" s="56"/>
      <c r="J34" s="57"/>
      <c r="K34" s="57"/>
      <c r="L34" s="287"/>
      <c r="M34" s="288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301" t="s">
        <v>111</v>
      </c>
      <c r="D35" s="288"/>
      <c r="E35" s="55" t="s">
        <v>112</v>
      </c>
      <c r="F35" s="301"/>
      <c r="G35" s="302"/>
      <c r="H35" s="81"/>
      <c r="I35" s="56">
        <v>9750</v>
      </c>
      <c r="J35" s="57"/>
      <c r="K35" s="57">
        <v>330</v>
      </c>
      <c r="L35" s="287"/>
      <c r="M35" s="288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301" t="s">
        <v>102</v>
      </c>
      <c r="D36" s="288"/>
      <c r="E36" s="55" t="s">
        <v>103</v>
      </c>
      <c r="F36" s="301"/>
      <c r="G36" s="302"/>
      <c r="H36" s="81"/>
      <c r="I36" s="56"/>
      <c r="J36" s="57"/>
      <c r="K36" s="57"/>
      <c r="L36" s="287"/>
      <c r="M36" s="288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301" t="s">
        <v>149</v>
      </c>
      <c r="D37" s="288"/>
      <c r="E37" s="55" t="s">
        <v>99</v>
      </c>
      <c r="F37" s="301"/>
      <c r="G37" s="302"/>
      <c r="H37" s="81"/>
      <c r="I37" s="56"/>
      <c r="J37" s="57"/>
      <c r="K37" s="57"/>
      <c r="L37" s="287"/>
      <c r="M37" s="288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301" t="s">
        <v>95</v>
      </c>
      <c r="D38" s="288"/>
      <c r="E38" s="55" t="s">
        <v>96</v>
      </c>
      <c r="F38" s="301"/>
      <c r="G38" s="302"/>
      <c r="H38" s="81"/>
      <c r="I38" s="56">
        <v>600</v>
      </c>
      <c r="J38" s="57"/>
      <c r="K38" s="57"/>
      <c r="L38" s="287"/>
      <c r="M38" s="288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31" t="s">
        <v>52</v>
      </c>
      <c r="D39" s="332"/>
      <c r="E39" s="126" t="s">
        <v>158</v>
      </c>
      <c r="F39" s="331"/>
      <c r="G39" s="334"/>
      <c r="H39" s="158">
        <v>120</v>
      </c>
      <c r="I39" s="127"/>
      <c r="J39" s="128"/>
      <c r="K39" s="128"/>
      <c r="L39" s="333"/>
      <c r="M39" s="332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03" t="s">
        <v>111</v>
      </c>
      <c r="D40" s="304"/>
      <c r="E40" s="143" t="s">
        <v>112</v>
      </c>
      <c r="F40" s="305"/>
      <c r="G40" s="306"/>
      <c r="H40" s="144"/>
      <c r="I40" s="145">
        <v>6450</v>
      </c>
      <c r="J40" s="146"/>
      <c r="K40" s="146">
        <v>110</v>
      </c>
      <c r="L40" s="307"/>
      <c r="M40" s="308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299" t="s">
        <v>120</v>
      </c>
      <c r="D41" s="300"/>
      <c r="E41" s="55" t="s">
        <v>121</v>
      </c>
      <c r="F41" s="301"/>
      <c r="G41" s="302"/>
      <c r="H41" s="81"/>
      <c r="I41" s="56">
        <v>1800</v>
      </c>
      <c r="J41" s="57"/>
      <c r="K41" s="57"/>
      <c r="L41" s="287"/>
      <c r="M41" s="288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299" t="s">
        <v>122</v>
      </c>
      <c r="D42" s="300"/>
      <c r="E42" s="55" t="s">
        <v>121</v>
      </c>
      <c r="F42" s="301"/>
      <c r="G42" s="302"/>
      <c r="H42" s="81"/>
      <c r="I42" s="56"/>
      <c r="J42" s="57"/>
      <c r="K42" s="57"/>
      <c r="L42" s="287"/>
      <c r="M42" s="288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299" t="s">
        <v>123</v>
      </c>
      <c r="D43" s="300"/>
      <c r="E43" s="55" t="s">
        <v>121</v>
      </c>
      <c r="F43" s="301"/>
      <c r="G43" s="302"/>
      <c r="H43" s="81"/>
      <c r="I43" s="56"/>
      <c r="J43" s="57"/>
      <c r="K43" s="57"/>
      <c r="L43" s="287"/>
      <c r="M43" s="288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299" t="s">
        <v>95</v>
      </c>
      <c r="D44" s="300"/>
      <c r="E44" s="55" t="s">
        <v>96</v>
      </c>
      <c r="F44" s="301"/>
      <c r="G44" s="302"/>
      <c r="H44" s="81"/>
      <c r="I44" s="56"/>
      <c r="J44" s="57"/>
      <c r="K44" s="57"/>
      <c r="L44" s="287"/>
      <c r="M44" s="288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299" t="s">
        <v>102</v>
      </c>
      <c r="D45" s="300"/>
      <c r="E45" s="55" t="s">
        <v>103</v>
      </c>
      <c r="F45" s="301"/>
      <c r="G45" s="302"/>
      <c r="H45" s="81"/>
      <c r="I45" s="56"/>
      <c r="J45" s="57"/>
      <c r="K45" s="57"/>
      <c r="L45" s="287"/>
      <c r="M45" s="288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299" t="s">
        <v>95</v>
      </c>
      <c r="D46" s="300"/>
      <c r="E46" s="55" t="s">
        <v>96</v>
      </c>
      <c r="F46" s="301"/>
      <c r="G46" s="302"/>
      <c r="H46" s="81">
        <v>240</v>
      </c>
      <c r="I46" s="56">
        <v>450</v>
      </c>
      <c r="J46" s="57"/>
      <c r="K46" s="57"/>
      <c r="L46" s="287">
        <v>110</v>
      </c>
      <c r="M46" s="288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299" t="s">
        <v>98</v>
      </c>
      <c r="D47" s="300"/>
      <c r="E47" s="55" t="s">
        <v>99</v>
      </c>
      <c r="F47" s="301"/>
      <c r="G47" s="302"/>
      <c r="H47" s="81"/>
      <c r="I47" s="56"/>
      <c r="J47" s="57"/>
      <c r="K47" s="57"/>
      <c r="L47" s="287"/>
      <c r="M47" s="288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299" t="s">
        <v>127</v>
      </c>
      <c r="D48" s="300"/>
      <c r="E48" s="55" t="s">
        <v>146</v>
      </c>
      <c r="F48" s="301"/>
      <c r="G48" s="302"/>
      <c r="H48" s="81">
        <v>1200</v>
      </c>
      <c r="I48" s="56"/>
      <c r="J48" s="57">
        <v>240</v>
      </c>
      <c r="K48" s="57"/>
      <c r="L48" s="287"/>
      <c r="M48" s="288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299" t="s">
        <v>172</v>
      </c>
      <c r="D49" s="300"/>
      <c r="E49" s="183" t="s">
        <v>215</v>
      </c>
      <c r="F49" s="301"/>
      <c r="G49" s="302"/>
      <c r="H49" s="81"/>
      <c r="I49" s="56"/>
      <c r="J49" s="57"/>
      <c r="K49" s="57"/>
      <c r="L49" s="287"/>
      <c r="M49" s="288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299" t="s">
        <v>100</v>
      </c>
      <c r="D50" s="300"/>
      <c r="E50" s="55" t="s">
        <v>101</v>
      </c>
      <c r="F50" s="301"/>
      <c r="G50" s="302"/>
      <c r="H50" s="81"/>
      <c r="I50" s="56"/>
      <c r="J50" s="57"/>
      <c r="K50" s="57"/>
      <c r="L50" s="287"/>
      <c r="M50" s="288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299" t="s">
        <v>174</v>
      </c>
      <c r="D51" s="300"/>
      <c r="E51" s="55" t="s">
        <v>175</v>
      </c>
      <c r="F51" s="301"/>
      <c r="G51" s="302"/>
      <c r="H51" s="81"/>
      <c r="I51" s="56"/>
      <c r="J51" s="57"/>
      <c r="K51" s="57"/>
      <c r="L51" s="287"/>
      <c r="M51" s="288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299" t="s">
        <v>127</v>
      </c>
      <c r="D52" s="300"/>
      <c r="E52" s="55" t="s">
        <v>128</v>
      </c>
      <c r="F52" s="301"/>
      <c r="G52" s="302"/>
      <c r="H52" s="81">
        <v>960</v>
      </c>
      <c r="I52" s="56">
        <v>750</v>
      </c>
      <c r="J52" s="57"/>
      <c r="K52" s="57">
        <v>660</v>
      </c>
      <c r="L52" s="287">
        <v>330</v>
      </c>
      <c r="M52" s="288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299" t="s">
        <v>120</v>
      </c>
      <c r="D53" s="300"/>
      <c r="E53" s="55" t="s">
        <v>121</v>
      </c>
      <c r="F53" s="301"/>
      <c r="G53" s="302"/>
      <c r="H53" s="81"/>
      <c r="I53" s="56">
        <v>1800</v>
      </c>
      <c r="J53" s="57"/>
      <c r="K53" s="57"/>
      <c r="L53" s="287"/>
      <c r="M53" s="288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299" t="s">
        <v>123</v>
      </c>
      <c r="D54" s="300"/>
      <c r="E54" s="55" t="s">
        <v>121</v>
      </c>
      <c r="F54" s="301"/>
      <c r="G54" s="302"/>
      <c r="H54" s="81"/>
      <c r="I54" s="56">
        <v>600</v>
      </c>
      <c r="J54" s="57">
        <f>120+24+48+48+24+1200+120+120+48+1440+120+240+1200+960</f>
        <v>5712</v>
      </c>
      <c r="K54" s="57"/>
      <c r="L54" s="287"/>
      <c r="M54" s="288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31" t="s">
        <v>122</v>
      </c>
      <c r="D55" s="332"/>
      <c r="E55" s="126" t="s">
        <v>121</v>
      </c>
      <c r="F55" s="331"/>
      <c r="G55" s="334"/>
      <c r="H55" s="158"/>
      <c r="I55" s="127"/>
      <c r="J55" s="128"/>
      <c r="K55" s="128"/>
      <c r="L55" s="333"/>
      <c r="M55" s="332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38" t="s">
        <v>16</v>
      </c>
      <c r="B56" s="339"/>
      <c r="C56" s="339"/>
      <c r="D56" s="61"/>
      <c r="E56" s="59"/>
      <c r="F56" s="295">
        <f>SUM(F5:G55)</f>
        <v>768</v>
      </c>
      <c r="G56" s="297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298">
        <f>SUM(L5:M55)</f>
        <v>440</v>
      </c>
      <c r="M56" s="296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38"/>
      <c r="B57" s="339"/>
      <c r="C57" s="339"/>
      <c r="D57" s="61"/>
      <c r="E57" s="59"/>
      <c r="F57" s="295">
        <f>F4+F56</f>
        <v>768</v>
      </c>
      <c r="G57" s="297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298">
        <f>L4+L56</f>
        <v>440</v>
      </c>
      <c r="M57" s="296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40" t="s">
        <v>161</v>
      </c>
      <c r="B59" s="341"/>
      <c r="C59" s="341"/>
      <c r="D59" s="341"/>
      <c r="E59" s="341"/>
      <c r="F59" s="341"/>
      <c r="G59" s="341"/>
      <c r="H59" s="341"/>
      <c r="I59" s="341"/>
      <c r="J59" s="341"/>
      <c r="K59" s="341"/>
      <c r="L59" s="341"/>
      <c r="M59" s="341"/>
      <c r="N59" s="341"/>
      <c r="O59" s="341"/>
      <c r="P59" s="341"/>
      <c r="Q59" s="342"/>
      <c r="R59" s="1"/>
      <c r="S59" s="1"/>
      <c r="T59" s="28"/>
    </row>
    <row r="60" spans="1:24" ht="15.75" customHeight="1" thickBot="1">
      <c r="A60" s="343" t="s">
        <v>34</v>
      </c>
      <c r="B60" s="344"/>
      <c r="C60" s="347" t="s">
        <v>33</v>
      </c>
      <c r="D60" s="347" t="s">
        <v>11</v>
      </c>
      <c r="E60" s="350" t="s">
        <v>19</v>
      </c>
      <c r="F60" s="343" t="s">
        <v>8</v>
      </c>
      <c r="G60" s="344"/>
      <c r="H60" s="352" t="s">
        <v>10</v>
      </c>
      <c r="I60" s="353"/>
      <c r="J60" s="354"/>
      <c r="K60" s="355" t="s">
        <v>25</v>
      </c>
      <c r="L60" s="356"/>
      <c r="M60" s="356"/>
      <c r="N60" s="356"/>
      <c r="O60" s="357"/>
      <c r="P60" s="347" t="s">
        <v>20</v>
      </c>
      <c r="Q60" s="358" t="s">
        <v>38</v>
      </c>
      <c r="R60" s="1"/>
      <c r="S60" s="1"/>
      <c r="T60" s="28"/>
    </row>
    <row r="61" spans="1:24" ht="15.75" thickBot="1">
      <c r="A61" s="345"/>
      <c r="B61" s="346"/>
      <c r="C61" s="348"/>
      <c r="D61" s="349"/>
      <c r="E61" s="351"/>
      <c r="F61" s="345"/>
      <c r="G61" s="346"/>
      <c r="H61" s="69" t="s">
        <v>49</v>
      </c>
      <c r="I61" s="69" t="s">
        <v>48</v>
      </c>
      <c r="J61" s="69" t="s">
        <v>50</v>
      </c>
      <c r="K61" s="69" t="s">
        <v>24</v>
      </c>
      <c r="L61" s="355" t="s">
        <v>47</v>
      </c>
      <c r="M61" s="357"/>
      <c r="N61" s="69" t="s">
        <v>46</v>
      </c>
      <c r="O61" s="69" t="s">
        <v>45</v>
      </c>
      <c r="P61" s="349"/>
      <c r="Q61" s="359"/>
      <c r="T61" s="28"/>
    </row>
    <row r="62" spans="1:24" ht="15" customHeight="1">
      <c r="A62" s="343" t="s">
        <v>27</v>
      </c>
      <c r="B62" s="344"/>
      <c r="C62" s="65" t="s">
        <v>28</v>
      </c>
      <c r="D62" s="65"/>
      <c r="E62" s="4">
        <v>720</v>
      </c>
      <c r="F62" s="365"/>
      <c r="G62" s="365"/>
      <c r="H62" s="4"/>
      <c r="I62" s="66"/>
      <c r="J62" s="4"/>
      <c r="K62" s="66"/>
      <c r="L62" s="366"/>
      <c r="M62" s="367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45"/>
      <c r="B63" s="346"/>
      <c r="C63" s="73" t="s">
        <v>29</v>
      </c>
      <c r="D63" s="73"/>
      <c r="E63" s="14">
        <v>2640</v>
      </c>
      <c r="F63" s="372">
        <v>2160</v>
      </c>
      <c r="G63" s="372"/>
      <c r="H63" s="14"/>
      <c r="I63" s="70"/>
      <c r="J63" s="14"/>
      <c r="K63" s="70"/>
      <c r="L63" s="373"/>
      <c r="M63" s="374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43" t="s">
        <v>41</v>
      </c>
      <c r="B64" s="344"/>
      <c r="C64" s="4" t="s">
        <v>30</v>
      </c>
      <c r="D64" s="65">
        <v>23250</v>
      </c>
      <c r="E64" s="4">
        <v>600</v>
      </c>
      <c r="F64" s="365">
        <v>1650</v>
      </c>
      <c r="G64" s="365"/>
      <c r="H64" s="4"/>
      <c r="I64" s="66">
        <v>3600</v>
      </c>
      <c r="J64" s="4">
        <v>1200</v>
      </c>
      <c r="K64" s="66"/>
      <c r="L64" s="366">
        <v>120</v>
      </c>
      <c r="M64" s="367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380"/>
      <c r="B65" s="381"/>
      <c r="C65" s="5" t="s">
        <v>32</v>
      </c>
      <c r="D65" s="67">
        <v>120</v>
      </c>
      <c r="E65" s="5">
        <v>240</v>
      </c>
      <c r="F65" s="385"/>
      <c r="G65" s="385"/>
      <c r="H65" s="5"/>
      <c r="I65" s="68"/>
      <c r="J65" s="5"/>
      <c r="K65" s="68"/>
      <c r="L65" s="386"/>
      <c r="M65" s="387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380"/>
      <c r="B66" s="381"/>
      <c r="C66" s="5" t="s">
        <v>43</v>
      </c>
      <c r="D66" s="67">
        <v>880</v>
      </c>
      <c r="E66" s="5"/>
      <c r="F66" s="385">
        <v>1320</v>
      </c>
      <c r="G66" s="385"/>
      <c r="H66" s="5"/>
      <c r="I66" s="68"/>
      <c r="J66" s="5"/>
      <c r="K66" s="68"/>
      <c r="L66" s="386"/>
      <c r="M66" s="387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45"/>
      <c r="B67" s="346"/>
      <c r="C67" s="64" t="s">
        <v>44</v>
      </c>
      <c r="D67" s="72"/>
      <c r="E67" s="15"/>
      <c r="F67" s="335">
        <v>330</v>
      </c>
      <c r="G67" s="335"/>
      <c r="H67" s="15"/>
      <c r="I67" s="71"/>
      <c r="J67" s="15"/>
      <c r="K67" s="71"/>
      <c r="L67" s="336"/>
      <c r="M67" s="337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43" t="s">
        <v>40</v>
      </c>
      <c r="B68" s="344"/>
      <c r="C68" s="75" t="s">
        <v>28</v>
      </c>
      <c r="D68" s="75">
        <v>1080</v>
      </c>
      <c r="E68" s="16">
        <v>1680</v>
      </c>
      <c r="F68" s="382">
        <v>360</v>
      </c>
      <c r="G68" s="382"/>
      <c r="H68" s="16">
        <v>1680</v>
      </c>
      <c r="I68" s="74">
        <v>1560</v>
      </c>
      <c r="J68" s="16"/>
      <c r="K68" s="74"/>
      <c r="L68" s="383"/>
      <c r="M68" s="384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380"/>
      <c r="B69" s="381"/>
      <c r="C69" s="67" t="s">
        <v>31</v>
      </c>
      <c r="D69" s="67">
        <v>240</v>
      </c>
      <c r="E69" s="5">
        <v>1440</v>
      </c>
      <c r="F69" s="385">
        <v>240</v>
      </c>
      <c r="G69" s="385"/>
      <c r="H69" s="5">
        <v>720</v>
      </c>
      <c r="I69" s="68">
        <v>720</v>
      </c>
      <c r="J69" s="5"/>
      <c r="K69" s="68"/>
      <c r="L69" s="386">
        <v>144</v>
      </c>
      <c r="M69" s="387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45"/>
      <c r="B70" s="346"/>
      <c r="C70" s="64" t="s">
        <v>29</v>
      </c>
      <c r="D70" s="73">
        <v>9000</v>
      </c>
      <c r="E70" s="14">
        <v>8400</v>
      </c>
      <c r="F70" s="372">
        <v>5520</v>
      </c>
      <c r="G70" s="372"/>
      <c r="H70" s="14">
        <v>2520</v>
      </c>
      <c r="I70" s="70">
        <v>8880</v>
      </c>
      <c r="J70" s="14">
        <v>4920</v>
      </c>
      <c r="K70" s="70"/>
      <c r="L70" s="373">
        <v>720</v>
      </c>
      <c r="M70" s="374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43" t="s">
        <v>42</v>
      </c>
      <c r="B71" s="344"/>
      <c r="C71" s="65" t="s">
        <v>31</v>
      </c>
      <c r="D71" s="65">
        <v>5160</v>
      </c>
      <c r="E71" s="4">
        <v>240</v>
      </c>
      <c r="F71" s="365">
        <v>360</v>
      </c>
      <c r="G71" s="365"/>
      <c r="H71" s="4"/>
      <c r="I71" s="66"/>
      <c r="J71" s="4"/>
      <c r="K71" s="66"/>
      <c r="L71" s="366">
        <v>120</v>
      </c>
      <c r="M71" s="367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45"/>
      <c r="B72" s="346"/>
      <c r="C72" s="64" t="s">
        <v>29</v>
      </c>
      <c r="D72" s="72">
        <v>900</v>
      </c>
      <c r="E72" s="15"/>
      <c r="F72" s="335"/>
      <c r="G72" s="335"/>
      <c r="H72" s="15"/>
      <c r="I72" s="71"/>
      <c r="J72" s="15"/>
      <c r="K72" s="71"/>
      <c r="L72" s="336"/>
      <c r="M72" s="337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68" t="s">
        <v>37</v>
      </c>
      <c r="B73" s="369"/>
      <c r="C73" s="369"/>
      <c r="D73" s="23">
        <f>SUM(D62:D72)</f>
        <v>40630</v>
      </c>
      <c r="E73" s="23">
        <f t="shared" ref="E73" si="4">SUM(E62:E72)</f>
        <v>15960</v>
      </c>
      <c r="F73" s="370">
        <f>SUM(F62:G72)</f>
        <v>11940</v>
      </c>
      <c r="G73" s="371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70">
        <f>SUM(L62:M72)</f>
        <v>1104</v>
      </c>
      <c r="M73" s="371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75" t="s">
        <v>36</v>
      </c>
      <c r="B74" s="376"/>
      <c r="C74" s="376"/>
      <c r="D74" s="377">
        <f>D73+E73+F73+H73+I73+J73+K73+L73+N73+O73+P73</f>
        <v>122966</v>
      </c>
      <c r="E74" s="378"/>
      <c r="F74" s="378"/>
      <c r="G74" s="378"/>
      <c r="H74" s="378"/>
      <c r="I74" s="378"/>
      <c r="J74" s="378"/>
      <c r="K74" s="378"/>
      <c r="L74" s="378"/>
      <c r="M74" s="378"/>
      <c r="N74" s="378"/>
      <c r="O74" s="378"/>
      <c r="P74" s="378"/>
      <c r="Q74" s="379"/>
      <c r="T74" s="28"/>
      <c r="V74" s="13"/>
    </row>
    <row r="75" spans="1:22" s="20" customFormat="1" ht="15" customHeight="1" thickBot="1">
      <c r="A75" s="360" t="s">
        <v>26</v>
      </c>
      <c r="B75" s="361"/>
      <c r="C75" s="361"/>
      <c r="D75" s="25">
        <v>12859514</v>
      </c>
      <c r="E75" s="22">
        <v>5003124</v>
      </c>
      <c r="F75" s="362">
        <v>3781158</v>
      </c>
      <c r="G75" s="363"/>
      <c r="H75" s="22">
        <v>1562741</v>
      </c>
      <c r="I75" s="26">
        <v>4657193</v>
      </c>
      <c r="J75" s="22">
        <v>1941728</v>
      </c>
      <c r="K75" s="22"/>
      <c r="L75" s="364">
        <v>357629</v>
      </c>
      <c r="M75" s="363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88" t="s">
        <v>187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90"/>
    </row>
    <row r="2" spans="1:20" s="6" customFormat="1" ht="12.75" customHeight="1">
      <c r="A2" s="314" t="s">
        <v>9</v>
      </c>
      <c r="B2" s="316" t="s">
        <v>13</v>
      </c>
      <c r="C2" s="318" t="s">
        <v>23</v>
      </c>
      <c r="D2" s="319"/>
      <c r="E2" s="322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6" t="s">
        <v>14</v>
      </c>
      <c r="T2" s="289" t="s">
        <v>12</v>
      </c>
    </row>
    <row r="3" spans="1:20" s="6" customFormat="1" ht="15.75" thickBot="1">
      <c r="A3" s="315"/>
      <c r="B3" s="317"/>
      <c r="C3" s="320"/>
      <c r="D3" s="321"/>
      <c r="E3" s="323"/>
      <c r="F3" s="291" t="s">
        <v>3</v>
      </c>
      <c r="G3" s="292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2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17"/>
      <c r="T3" s="290"/>
    </row>
    <row r="4" spans="1:20" s="18" customFormat="1" ht="15.75" thickBot="1">
      <c r="A4" s="98" t="s">
        <v>35</v>
      </c>
      <c r="B4" s="30"/>
      <c r="C4" s="295"/>
      <c r="D4" s="296"/>
      <c r="E4" s="31"/>
      <c r="F4" s="295">
        <v>768</v>
      </c>
      <c r="G4" s="297"/>
      <c r="H4" s="100">
        <v>5712</v>
      </c>
      <c r="I4" s="32">
        <v>32880</v>
      </c>
      <c r="J4" s="33">
        <v>360</v>
      </c>
      <c r="K4" s="100">
        <v>2442</v>
      </c>
      <c r="L4" s="298">
        <v>440</v>
      </c>
      <c r="M4" s="296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05" t="s">
        <v>98</v>
      </c>
      <c r="D5" s="308"/>
      <c r="E5" s="44" t="s">
        <v>99</v>
      </c>
      <c r="F5" s="301"/>
      <c r="G5" s="302"/>
      <c r="H5" s="86"/>
      <c r="I5" s="45">
        <v>90</v>
      </c>
      <c r="J5" s="46"/>
      <c r="K5" s="46"/>
      <c r="L5" s="309"/>
      <c r="M5" s="310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299" t="s">
        <v>95</v>
      </c>
      <c r="D6" s="300"/>
      <c r="E6" s="44" t="s">
        <v>96</v>
      </c>
      <c r="F6" s="301"/>
      <c r="G6" s="302"/>
      <c r="H6" s="86"/>
      <c r="I6" s="47"/>
      <c r="J6" s="51"/>
      <c r="K6" s="51"/>
      <c r="L6" s="287"/>
      <c r="M6" s="288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299" t="s">
        <v>109</v>
      </c>
      <c r="D7" s="300"/>
      <c r="E7" s="44" t="s">
        <v>110</v>
      </c>
      <c r="F7" s="301"/>
      <c r="G7" s="302"/>
      <c r="H7" s="86">
        <v>48</v>
      </c>
      <c r="I7" s="47"/>
      <c r="J7" s="51"/>
      <c r="K7" s="51"/>
      <c r="L7" s="287"/>
      <c r="M7" s="288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301" t="s">
        <v>149</v>
      </c>
      <c r="D8" s="288"/>
      <c r="E8" s="44" t="s">
        <v>99</v>
      </c>
      <c r="F8" s="301"/>
      <c r="G8" s="302"/>
      <c r="H8" s="86"/>
      <c r="I8" s="47"/>
      <c r="J8" s="51"/>
      <c r="K8" s="51"/>
      <c r="L8" s="287"/>
      <c r="M8" s="288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299" t="s">
        <v>137</v>
      </c>
      <c r="D9" s="300"/>
      <c r="E9" s="44" t="s">
        <v>138</v>
      </c>
      <c r="F9" s="301"/>
      <c r="G9" s="302"/>
      <c r="H9" s="86"/>
      <c r="I9" s="47"/>
      <c r="J9" s="51"/>
      <c r="K9" s="51"/>
      <c r="L9" s="287"/>
      <c r="M9" s="288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299" t="s">
        <v>120</v>
      </c>
      <c r="D10" s="300"/>
      <c r="E10" s="55" t="s">
        <v>121</v>
      </c>
      <c r="F10" s="301"/>
      <c r="G10" s="302"/>
      <c r="H10" s="86"/>
      <c r="I10" s="47">
        <v>750</v>
      </c>
      <c r="J10" s="51"/>
      <c r="K10" s="51"/>
      <c r="L10" s="287"/>
      <c r="M10" s="288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299" t="s">
        <v>122</v>
      </c>
      <c r="D11" s="300"/>
      <c r="E11" s="55" t="s">
        <v>121</v>
      </c>
      <c r="F11" s="301"/>
      <c r="G11" s="302"/>
      <c r="H11" s="86"/>
      <c r="I11" s="47"/>
      <c r="J11" s="51"/>
      <c r="K11" s="51"/>
      <c r="L11" s="287"/>
      <c r="M11" s="288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299" t="s">
        <v>123</v>
      </c>
      <c r="D12" s="300"/>
      <c r="E12" s="55" t="s">
        <v>121</v>
      </c>
      <c r="F12" s="301"/>
      <c r="G12" s="302"/>
      <c r="H12" s="86"/>
      <c r="I12" s="47">
        <v>450</v>
      </c>
      <c r="J12" s="51"/>
      <c r="K12" s="51"/>
      <c r="L12" s="287"/>
      <c r="M12" s="288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299" t="s">
        <v>180</v>
      </c>
      <c r="D13" s="300"/>
      <c r="E13" s="44" t="s">
        <v>181</v>
      </c>
      <c r="F13" s="301"/>
      <c r="G13" s="302"/>
      <c r="H13" s="86"/>
      <c r="I13" s="47"/>
      <c r="J13" s="51"/>
      <c r="K13" s="51"/>
      <c r="L13" s="287"/>
      <c r="M13" s="288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299" t="s">
        <v>111</v>
      </c>
      <c r="D14" s="300"/>
      <c r="E14" s="44" t="s">
        <v>112</v>
      </c>
      <c r="F14" s="301"/>
      <c r="G14" s="302"/>
      <c r="H14" s="86"/>
      <c r="I14" s="47">
        <v>6450</v>
      </c>
      <c r="J14" s="51"/>
      <c r="K14" s="51"/>
      <c r="L14" s="287"/>
      <c r="M14" s="288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299" t="s">
        <v>127</v>
      </c>
      <c r="D15" s="300"/>
      <c r="E15" s="44" t="s">
        <v>128</v>
      </c>
      <c r="F15" s="301">
        <v>24</v>
      </c>
      <c r="G15" s="302"/>
      <c r="H15" s="86">
        <v>1200</v>
      </c>
      <c r="I15" s="47">
        <v>690</v>
      </c>
      <c r="J15" s="51"/>
      <c r="K15" s="51">
        <v>220</v>
      </c>
      <c r="L15" s="287">
        <v>110</v>
      </c>
      <c r="M15" s="288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299" t="s">
        <v>127</v>
      </c>
      <c r="D16" s="300"/>
      <c r="E16" s="44" t="s">
        <v>146</v>
      </c>
      <c r="F16" s="301">
        <v>600</v>
      </c>
      <c r="G16" s="302"/>
      <c r="H16" s="86">
        <v>1200</v>
      </c>
      <c r="I16" s="47"/>
      <c r="J16" s="51"/>
      <c r="K16" s="51">
        <v>220</v>
      </c>
      <c r="L16" s="287"/>
      <c r="M16" s="288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299" t="s">
        <v>95</v>
      </c>
      <c r="D17" s="300"/>
      <c r="E17" s="44" t="s">
        <v>96</v>
      </c>
      <c r="F17" s="301">
        <v>120</v>
      </c>
      <c r="G17" s="302"/>
      <c r="H17" s="86">
        <v>240</v>
      </c>
      <c r="I17" s="47">
        <v>300</v>
      </c>
      <c r="J17" s="51"/>
      <c r="K17" s="51"/>
      <c r="L17" s="287"/>
      <c r="M17" s="288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299" t="s">
        <v>107</v>
      </c>
      <c r="D18" s="300"/>
      <c r="E18" s="44" t="s">
        <v>108</v>
      </c>
      <c r="F18" s="301"/>
      <c r="G18" s="302"/>
      <c r="H18" s="86">
        <v>72</v>
      </c>
      <c r="I18" s="47"/>
      <c r="J18" s="51"/>
      <c r="K18" s="51"/>
      <c r="L18" s="287"/>
      <c r="M18" s="288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301" t="s">
        <v>190</v>
      </c>
      <c r="D19" s="288"/>
      <c r="E19" s="44" t="s">
        <v>130</v>
      </c>
      <c r="F19" s="301">
        <v>72</v>
      </c>
      <c r="G19" s="302"/>
      <c r="H19" s="86">
        <v>48</v>
      </c>
      <c r="I19" s="47"/>
      <c r="J19" s="51"/>
      <c r="K19" s="51"/>
      <c r="L19" s="287"/>
      <c r="M19" s="288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301" t="s">
        <v>120</v>
      </c>
      <c r="D20" s="288"/>
      <c r="E20" s="44" t="s">
        <v>121</v>
      </c>
      <c r="F20" s="301"/>
      <c r="G20" s="302"/>
      <c r="H20" s="86"/>
      <c r="I20" s="47">
        <v>900</v>
      </c>
      <c r="J20" s="51"/>
      <c r="K20" s="51"/>
      <c r="L20" s="287"/>
      <c r="M20" s="288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301" t="s">
        <v>123</v>
      </c>
      <c r="D21" s="288"/>
      <c r="E21" s="44" t="s">
        <v>121</v>
      </c>
      <c r="F21" s="301"/>
      <c r="G21" s="302"/>
      <c r="H21" s="86"/>
      <c r="I21" s="47">
        <v>300</v>
      </c>
      <c r="J21" s="51"/>
      <c r="K21" s="51"/>
      <c r="L21" s="287"/>
      <c r="M21" s="288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301" t="s">
        <v>95</v>
      </c>
      <c r="D22" s="288"/>
      <c r="E22" s="44" t="s">
        <v>96</v>
      </c>
      <c r="F22" s="301"/>
      <c r="G22" s="302"/>
      <c r="H22" s="86"/>
      <c r="I22" s="47"/>
      <c r="J22" s="51"/>
      <c r="K22" s="51"/>
      <c r="L22" s="287">
        <v>110</v>
      </c>
      <c r="M22" s="288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301" t="s">
        <v>111</v>
      </c>
      <c r="D23" s="288"/>
      <c r="E23" s="44" t="s">
        <v>112</v>
      </c>
      <c r="F23" s="301"/>
      <c r="G23" s="302"/>
      <c r="H23" s="86"/>
      <c r="I23" s="47">
        <v>3600</v>
      </c>
      <c r="J23" s="51"/>
      <c r="K23" s="51">
        <v>330</v>
      </c>
      <c r="L23" s="287"/>
      <c r="M23" s="288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301" t="s">
        <v>52</v>
      </c>
      <c r="D24" s="288"/>
      <c r="E24" s="44" t="s">
        <v>194</v>
      </c>
      <c r="F24" s="301"/>
      <c r="G24" s="302"/>
      <c r="H24" s="86"/>
      <c r="I24" s="47"/>
      <c r="J24" s="51"/>
      <c r="K24" s="51"/>
      <c r="L24" s="287"/>
      <c r="M24" s="288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299" t="s">
        <v>100</v>
      </c>
      <c r="D25" s="300"/>
      <c r="E25" s="55" t="s">
        <v>101</v>
      </c>
      <c r="F25" s="301"/>
      <c r="G25" s="302"/>
      <c r="H25" s="86"/>
      <c r="I25" s="47">
        <v>150</v>
      </c>
      <c r="J25" s="51"/>
      <c r="K25" s="51"/>
      <c r="L25" s="287"/>
      <c r="M25" s="288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301" t="s">
        <v>120</v>
      </c>
      <c r="D26" s="288"/>
      <c r="E26" s="55" t="s">
        <v>121</v>
      </c>
      <c r="F26" s="301"/>
      <c r="G26" s="302"/>
      <c r="H26" s="81"/>
      <c r="I26" s="56"/>
      <c r="J26" s="57"/>
      <c r="K26" s="57"/>
      <c r="L26" s="287"/>
      <c r="M26" s="288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301" t="s">
        <v>122</v>
      </c>
      <c r="D27" s="288"/>
      <c r="E27" s="55" t="s">
        <v>121</v>
      </c>
      <c r="F27" s="301"/>
      <c r="G27" s="302"/>
      <c r="H27" s="81"/>
      <c r="I27" s="56"/>
      <c r="J27" s="57"/>
      <c r="K27" s="57"/>
      <c r="L27" s="287"/>
      <c r="M27" s="288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301" t="s">
        <v>123</v>
      </c>
      <c r="D28" s="288"/>
      <c r="E28" s="55" t="s">
        <v>121</v>
      </c>
      <c r="F28" s="301"/>
      <c r="G28" s="302"/>
      <c r="H28" s="81"/>
      <c r="I28" s="56">
        <v>450</v>
      </c>
      <c r="J28" s="57"/>
      <c r="K28" s="57"/>
      <c r="L28" s="287"/>
      <c r="M28" s="288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38" t="s">
        <v>16</v>
      </c>
      <c r="B29" s="339"/>
      <c r="C29" s="339"/>
      <c r="D29" s="61"/>
      <c r="E29" s="59"/>
      <c r="F29" s="295">
        <f>SUM(F5:G28)</f>
        <v>816</v>
      </c>
      <c r="G29" s="297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298">
        <f>SUM(L5:M28)</f>
        <v>220</v>
      </c>
      <c r="M29" s="296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38"/>
      <c r="B30" s="339"/>
      <c r="C30" s="339"/>
      <c r="D30" s="61"/>
      <c r="E30" s="59"/>
      <c r="F30" s="295">
        <f>F4+F29</f>
        <v>1584</v>
      </c>
      <c r="G30" s="297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298">
        <f>L4+L29</f>
        <v>660</v>
      </c>
      <c r="M30" s="296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40" t="s">
        <v>188</v>
      </c>
      <c r="B32" s="341"/>
      <c r="C32" s="341"/>
      <c r="D32" s="341"/>
      <c r="E32" s="341"/>
      <c r="F32" s="341"/>
      <c r="G32" s="341"/>
      <c r="H32" s="341"/>
      <c r="I32" s="341"/>
      <c r="J32" s="341"/>
      <c r="K32" s="341"/>
      <c r="L32" s="341"/>
      <c r="M32" s="341"/>
      <c r="N32" s="341"/>
      <c r="O32" s="341"/>
      <c r="P32" s="341"/>
      <c r="Q32" s="342"/>
      <c r="R32" s="1"/>
      <c r="S32" s="1"/>
      <c r="T32" s="28"/>
    </row>
    <row r="33" spans="1:22" ht="15.75" customHeight="1" thickBot="1">
      <c r="A33" s="343" t="s">
        <v>34</v>
      </c>
      <c r="B33" s="344"/>
      <c r="C33" s="347" t="s">
        <v>33</v>
      </c>
      <c r="D33" s="347" t="s">
        <v>11</v>
      </c>
      <c r="E33" s="350" t="s">
        <v>19</v>
      </c>
      <c r="F33" s="343" t="s">
        <v>8</v>
      </c>
      <c r="G33" s="344"/>
      <c r="H33" s="352" t="s">
        <v>10</v>
      </c>
      <c r="I33" s="353"/>
      <c r="J33" s="354"/>
      <c r="K33" s="355" t="s">
        <v>25</v>
      </c>
      <c r="L33" s="356"/>
      <c r="M33" s="356"/>
      <c r="N33" s="356"/>
      <c r="O33" s="357"/>
      <c r="P33" s="347" t="s">
        <v>20</v>
      </c>
      <c r="Q33" s="358" t="s">
        <v>38</v>
      </c>
      <c r="R33" s="1"/>
      <c r="S33" s="1"/>
      <c r="T33" s="28"/>
    </row>
    <row r="34" spans="1:22" ht="15.75" thickBot="1">
      <c r="A34" s="345"/>
      <c r="B34" s="346"/>
      <c r="C34" s="348"/>
      <c r="D34" s="349"/>
      <c r="E34" s="351"/>
      <c r="F34" s="345"/>
      <c r="G34" s="346"/>
      <c r="H34" s="69" t="s">
        <v>49</v>
      </c>
      <c r="I34" s="69" t="s">
        <v>48</v>
      </c>
      <c r="J34" s="69" t="s">
        <v>50</v>
      </c>
      <c r="K34" s="69" t="s">
        <v>24</v>
      </c>
      <c r="L34" s="355" t="s">
        <v>47</v>
      </c>
      <c r="M34" s="357"/>
      <c r="N34" s="69" t="s">
        <v>46</v>
      </c>
      <c r="O34" s="69" t="s">
        <v>45</v>
      </c>
      <c r="P34" s="349"/>
      <c r="Q34" s="359"/>
      <c r="T34" s="28"/>
    </row>
    <row r="35" spans="1:22" ht="15" customHeight="1">
      <c r="A35" s="343" t="s">
        <v>27</v>
      </c>
      <c r="B35" s="344"/>
      <c r="C35" s="89" t="s">
        <v>28</v>
      </c>
      <c r="D35" s="89"/>
      <c r="E35" s="4">
        <v>600</v>
      </c>
      <c r="F35" s="365">
        <v>24</v>
      </c>
      <c r="G35" s="365"/>
      <c r="H35" s="4"/>
      <c r="I35" s="88"/>
      <c r="J35" s="4"/>
      <c r="K35" s="88"/>
      <c r="L35" s="366"/>
      <c r="M35" s="367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45"/>
      <c r="B36" s="346"/>
      <c r="C36" s="91" t="s">
        <v>29</v>
      </c>
      <c r="D36" s="91"/>
      <c r="E36" s="14">
        <v>1200</v>
      </c>
      <c r="F36" s="372">
        <v>1200</v>
      </c>
      <c r="G36" s="372"/>
      <c r="H36" s="14"/>
      <c r="I36" s="90"/>
      <c r="J36" s="14"/>
      <c r="K36" s="90"/>
      <c r="L36" s="373"/>
      <c r="M36" s="374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43" t="s">
        <v>41</v>
      </c>
      <c r="B37" s="344"/>
      <c r="C37" s="4" t="s">
        <v>30</v>
      </c>
      <c r="D37" s="4">
        <v>10050</v>
      </c>
      <c r="E37" s="4"/>
      <c r="F37" s="365">
        <v>690</v>
      </c>
      <c r="G37" s="365"/>
      <c r="H37" s="4"/>
      <c r="I37" s="88">
        <v>1650</v>
      </c>
      <c r="J37" s="4">
        <v>1200</v>
      </c>
      <c r="K37" s="88"/>
      <c r="L37" s="366"/>
      <c r="M37" s="367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380"/>
      <c r="B38" s="381"/>
      <c r="C38" s="5" t="s">
        <v>32</v>
      </c>
      <c r="D38" s="97"/>
      <c r="E38" s="5"/>
      <c r="F38" s="385"/>
      <c r="G38" s="385"/>
      <c r="H38" s="5"/>
      <c r="I38" s="96"/>
      <c r="J38" s="5"/>
      <c r="K38" s="96"/>
      <c r="L38" s="386"/>
      <c r="M38" s="387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380"/>
      <c r="B39" s="381"/>
      <c r="C39" s="5" t="s">
        <v>43</v>
      </c>
      <c r="D39" s="97">
        <v>330</v>
      </c>
      <c r="E39" s="5">
        <v>220</v>
      </c>
      <c r="F39" s="385">
        <v>220</v>
      </c>
      <c r="G39" s="385"/>
      <c r="H39" s="5"/>
      <c r="I39" s="96"/>
      <c r="J39" s="5"/>
      <c r="K39" s="96"/>
      <c r="L39" s="386"/>
      <c r="M39" s="387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45"/>
      <c r="B40" s="346"/>
      <c r="C40" s="64" t="s">
        <v>44</v>
      </c>
      <c r="D40" s="93"/>
      <c r="E40" s="15"/>
      <c r="F40" s="335">
        <v>110</v>
      </c>
      <c r="G40" s="335"/>
      <c r="H40" s="15"/>
      <c r="I40" s="92"/>
      <c r="J40" s="15"/>
      <c r="K40" s="92"/>
      <c r="L40" s="336"/>
      <c r="M40" s="337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43" t="s">
        <v>40</v>
      </c>
      <c r="B41" s="344"/>
      <c r="C41" s="95" t="s">
        <v>28</v>
      </c>
      <c r="D41" s="95">
        <v>480</v>
      </c>
      <c r="E41" s="16">
        <v>480</v>
      </c>
      <c r="F41" s="382">
        <v>240</v>
      </c>
      <c r="G41" s="382"/>
      <c r="H41" s="16">
        <v>2160</v>
      </c>
      <c r="I41" s="94">
        <v>2040</v>
      </c>
      <c r="J41" s="16"/>
      <c r="K41" s="94"/>
      <c r="L41" s="383"/>
      <c r="M41" s="384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380"/>
      <c r="B42" s="381"/>
      <c r="C42" s="97" t="s">
        <v>31</v>
      </c>
      <c r="D42" s="97">
        <v>360</v>
      </c>
      <c r="E42" s="5">
        <v>600</v>
      </c>
      <c r="F42" s="385"/>
      <c r="G42" s="385"/>
      <c r="H42" s="5">
        <v>480</v>
      </c>
      <c r="I42" s="96">
        <v>240</v>
      </c>
      <c r="J42" s="5">
        <v>120</v>
      </c>
      <c r="K42" s="96"/>
      <c r="L42" s="386"/>
      <c r="M42" s="387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45"/>
      <c r="B43" s="346"/>
      <c r="C43" s="64" t="s">
        <v>29</v>
      </c>
      <c r="D43" s="91">
        <v>1800</v>
      </c>
      <c r="E43" s="14">
        <v>5400</v>
      </c>
      <c r="F43" s="372">
        <v>4200</v>
      </c>
      <c r="G43" s="372"/>
      <c r="H43" s="14">
        <v>2280</v>
      </c>
      <c r="I43" s="90">
        <v>8400</v>
      </c>
      <c r="J43" s="14">
        <v>3960</v>
      </c>
      <c r="K43" s="90"/>
      <c r="L43" s="373"/>
      <c r="M43" s="374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43" t="s">
        <v>42</v>
      </c>
      <c r="B44" s="344"/>
      <c r="C44" s="89" t="s">
        <v>31</v>
      </c>
      <c r="D44" s="89">
        <v>2100</v>
      </c>
      <c r="E44" s="4"/>
      <c r="F44" s="365">
        <v>360</v>
      </c>
      <c r="G44" s="365"/>
      <c r="H44" s="4"/>
      <c r="I44" s="88"/>
      <c r="J44" s="4"/>
      <c r="K44" s="88"/>
      <c r="L44" s="366"/>
      <c r="M44" s="367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45"/>
      <c r="B45" s="346"/>
      <c r="C45" s="64" t="s">
        <v>29</v>
      </c>
      <c r="D45" s="15">
        <v>2412</v>
      </c>
      <c r="E45" s="15"/>
      <c r="F45" s="335"/>
      <c r="G45" s="335"/>
      <c r="H45" s="15"/>
      <c r="I45" s="92">
        <v>720</v>
      </c>
      <c r="J45" s="15"/>
      <c r="K45" s="92"/>
      <c r="L45" s="336"/>
      <c r="M45" s="337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68" t="s">
        <v>37</v>
      </c>
      <c r="B46" s="369"/>
      <c r="C46" s="369"/>
      <c r="D46" s="23">
        <f>SUM(D35:D45)</f>
        <v>17532</v>
      </c>
      <c r="E46" s="23">
        <f t="shared" ref="E46" si="4">SUM(E35:E45)</f>
        <v>8500</v>
      </c>
      <c r="F46" s="370">
        <f>SUM(F35:G45)</f>
        <v>7044</v>
      </c>
      <c r="G46" s="371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70">
        <f>SUM(L35:M45)</f>
        <v>0</v>
      </c>
      <c r="M46" s="371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75" t="s">
        <v>36</v>
      </c>
      <c r="B47" s="376"/>
      <c r="C47" s="376"/>
      <c r="D47" s="377">
        <f>D46+E46+F46+H46+I46+J46+K46+L46+N46+O46+P46</f>
        <v>67404</v>
      </c>
      <c r="E47" s="378"/>
      <c r="F47" s="378"/>
      <c r="G47" s="378"/>
      <c r="H47" s="378"/>
      <c r="I47" s="378"/>
      <c r="J47" s="378"/>
      <c r="K47" s="378"/>
      <c r="L47" s="378"/>
      <c r="M47" s="378"/>
      <c r="N47" s="378"/>
      <c r="O47" s="378"/>
      <c r="P47" s="378"/>
      <c r="Q47" s="379"/>
      <c r="T47" s="28"/>
      <c r="V47" s="13"/>
    </row>
    <row r="48" spans="1:22" s="20" customFormat="1" ht="15" customHeight="1" thickBot="1">
      <c r="A48" s="360" t="s">
        <v>26</v>
      </c>
      <c r="B48" s="361"/>
      <c r="C48" s="361"/>
      <c r="D48" s="22">
        <v>5673617</v>
      </c>
      <c r="E48" s="22">
        <v>2670081</v>
      </c>
      <c r="F48" s="362">
        <v>2226736</v>
      </c>
      <c r="G48" s="363"/>
      <c r="H48" s="22">
        <v>1560338</v>
      </c>
      <c r="I48" s="26">
        <v>4197122</v>
      </c>
      <c r="J48" s="22">
        <v>1671937</v>
      </c>
      <c r="K48" s="22"/>
      <c r="L48" s="364"/>
      <c r="M48" s="363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8" t="s">
        <v>206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90"/>
    </row>
    <row r="2" spans="1:23" s="6" customFormat="1" ht="12.75" customHeight="1">
      <c r="A2" s="314" t="s">
        <v>9</v>
      </c>
      <c r="B2" s="316" t="s">
        <v>13</v>
      </c>
      <c r="C2" s="318" t="s">
        <v>23</v>
      </c>
      <c r="D2" s="319"/>
      <c r="E2" s="322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6" t="s">
        <v>14</v>
      </c>
      <c r="T2" s="289" t="s">
        <v>12</v>
      </c>
    </row>
    <row r="3" spans="1:23" s="6" customFormat="1" ht="15.75" thickBot="1">
      <c r="A3" s="315"/>
      <c r="B3" s="317"/>
      <c r="C3" s="320"/>
      <c r="D3" s="321"/>
      <c r="E3" s="323"/>
      <c r="F3" s="291" t="s">
        <v>3</v>
      </c>
      <c r="G3" s="292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2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17"/>
      <c r="T3" s="290"/>
    </row>
    <row r="4" spans="1:23" s="18" customFormat="1" ht="15.75" thickBot="1">
      <c r="A4" s="124" t="s">
        <v>35</v>
      </c>
      <c r="B4" s="30"/>
      <c r="C4" s="295"/>
      <c r="D4" s="296"/>
      <c r="E4" s="31"/>
      <c r="F4" s="295">
        <v>1584</v>
      </c>
      <c r="G4" s="297"/>
      <c r="H4" s="123">
        <v>8520</v>
      </c>
      <c r="I4" s="32">
        <v>47010</v>
      </c>
      <c r="J4" s="33">
        <v>360</v>
      </c>
      <c r="K4" s="123">
        <v>3212</v>
      </c>
      <c r="L4" s="298">
        <v>660</v>
      </c>
      <c r="M4" s="296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03" t="s">
        <v>111</v>
      </c>
      <c r="D5" s="304"/>
      <c r="E5" s="151" t="s">
        <v>112</v>
      </c>
      <c r="F5" s="305"/>
      <c r="G5" s="306"/>
      <c r="H5" s="138"/>
      <c r="I5" s="39">
        <v>8100</v>
      </c>
      <c r="J5" s="40"/>
      <c r="K5" s="40">
        <v>330</v>
      </c>
      <c r="L5" s="307"/>
      <c r="M5" s="308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299" t="s">
        <v>124</v>
      </c>
      <c r="D6" s="300"/>
      <c r="E6" s="44" t="s">
        <v>125</v>
      </c>
      <c r="F6" s="301"/>
      <c r="G6" s="302"/>
      <c r="H6" s="132"/>
      <c r="I6" s="47">
        <v>60</v>
      </c>
      <c r="J6" s="51"/>
      <c r="K6" s="51"/>
      <c r="L6" s="287"/>
      <c r="M6" s="288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299" t="s">
        <v>133</v>
      </c>
      <c r="D7" s="300"/>
      <c r="E7" s="44" t="s">
        <v>132</v>
      </c>
      <c r="F7" s="301"/>
      <c r="G7" s="302"/>
      <c r="H7" s="132"/>
      <c r="I7" s="47"/>
      <c r="J7" s="51"/>
      <c r="K7" s="51"/>
      <c r="L7" s="287"/>
      <c r="M7" s="288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301" t="s">
        <v>127</v>
      </c>
      <c r="D8" s="288"/>
      <c r="E8" s="44" t="s">
        <v>146</v>
      </c>
      <c r="F8" s="301"/>
      <c r="G8" s="302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391" t="s">
        <v>98</v>
      </c>
      <c r="D9" s="310"/>
      <c r="E9" s="44" t="s">
        <v>99</v>
      </c>
      <c r="F9" s="301"/>
      <c r="G9" s="302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299" t="s">
        <v>100</v>
      </c>
      <c r="D10" s="300"/>
      <c r="E10" s="55" t="s">
        <v>101</v>
      </c>
      <c r="F10" s="301"/>
      <c r="G10" s="302"/>
      <c r="H10" s="132"/>
      <c r="I10" s="47">
        <v>150</v>
      </c>
      <c r="J10" s="51"/>
      <c r="K10" s="51"/>
      <c r="L10" s="287"/>
      <c r="M10" s="288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299" t="s">
        <v>102</v>
      </c>
      <c r="D11" s="300"/>
      <c r="E11" s="55" t="s">
        <v>103</v>
      </c>
      <c r="F11" s="301"/>
      <c r="G11" s="302"/>
      <c r="H11" s="132">
        <v>72</v>
      </c>
      <c r="I11" s="47"/>
      <c r="J11" s="51"/>
      <c r="K11" s="51"/>
      <c r="L11" s="287"/>
      <c r="M11" s="288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299" t="s">
        <v>111</v>
      </c>
      <c r="D12" s="300"/>
      <c r="E12" s="55" t="s">
        <v>112</v>
      </c>
      <c r="F12" s="301"/>
      <c r="G12" s="302"/>
      <c r="H12" s="132"/>
      <c r="I12" s="47">
        <v>6000</v>
      </c>
      <c r="J12" s="51">
        <v>120</v>
      </c>
      <c r="K12" s="51">
        <v>220</v>
      </c>
      <c r="L12" s="287"/>
      <c r="M12" s="288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299" t="s">
        <v>95</v>
      </c>
      <c r="D13" s="300"/>
      <c r="E13" s="44" t="s">
        <v>96</v>
      </c>
      <c r="F13" s="301">
        <v>240</v>
      </c>
      <c r="G13" s="302"/>
      <c r="H13" s="132"/>
      <c r="I13" s="47">
        <v>750</v>
      </c>
      <c r="J13" s="51"/>
      <c r="K13" s="51">
        <v>176</v>
      </c>
      <c r="L13" s="287"/>
      <c r="M13" s="288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301" t="s">
        <v>127</v>
      </c>
      <c r="D14" s="288"/>
      <c r="E14" s="44" t="s">
        <v>128</v>
      </c>
      <c r="F14" s="301"/>
      <c r="G14" s="302"/>
      <c r="H14" s="132">
        <v>1800</v>
      </c>
      <c r="I14" s="47">
        <v>900</v>
      </c>
      <c r="J14" s="51"/>
      <c r="K14" s="51"/>
      <c r="L14" s="287"/>
      <c r="M14" s="288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299" t="s">
        <v>201</v>
      </c>
      <c r="D15" s="300"/>
      <c r="E15" s="44" t="s">
        <v>142</v>
      </c>
      <c r="F15" s="301"/>
      <c r="G15" s="302"/>
      <c r="H15" s="132"/>
      <c r="I15" s="47"/>
      <c r="J15" s="51"/>
      <c r="K15" s="51"/>
      <c r="L15" s="287"/>
      <c r="M15" s="288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301" t="s">
        <v>124</v>
      </c>
      <c r="D16" s="288"/>
      <c r="E16" s="44" t="s">
        <v>125</v>
      </c>
      <c r="F16" s="301">
        <v>72</v>
      </c>
      <c r="G16" s="302"/>
      <c r="H16" s="132"/>
      <c r="I16" s="47"/>
      <c r="J16" s="51"/>
      <c r="K16" s="51"/>
      <c r="L16" s="287"/>
      <c r="M16" s="288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299" t="s">
        <v>133</v>
      </c>
      <c r="D17" s="300"/>
      <c r="E17" s="44" t="s">
        <v>132</v>
      </c>
      <c r="F17" s="301"/>
      <c r="G17" s="302"/>
      <c r="H17" s="132">
        <v>120</v>
      </c>
      <c r="I17" s="47"/>
      <c r="J17" s="51"/>
      <c r="K17" s="51"/>
      <c r="L17" s="287"/>
      <c r="M17" s="288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301" t="s">
        <v>149</v>
      </c>
      <c r="D18" s="288"/>
      <c r="E18" s="55" t="s">
        <v>99</v>
      </c>
      <c r="F18" s="301"/>
      <c r="G18" s="302"/>
      <c r="H18" s="132"/>
      <c r="I18" s="47"/>
      <c r="J18" s="51"/>
      <c r="K18" s="51"/>
      <c r="L18" s="287"/>
      <c r="M18" s="288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301" t="s">
        <v>111</v>
      </c>
      <c r="D19" s="288"/>
      <c r="E19" s="44" t="s">
        <v>112</v>
      </c>
      <c r="F19" s="301"/>
      <c r="G19" s="302"/>
      <c r="H19" s="132"/>
      <c r="I19" s="47">
        <v>4800</v>
      </c>
      <c r="J19" s="51"/>
      <c r="K19" s="51"/>
      <c r="L19" s="287"/>
      <c r="M19" s="288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301" t="s">
        <v>95</v>
      </c>
      <c r="D20" s="288"/>
      <c r="E20" s="44" t="s">
        <v>96</v>
      </c>
      <c r="F20" s="301"/>
      <c r="G20" s="302"/>
      <c r="H20" s="132"/>
      <c r="I20" s="47"/>
      <c r="J20" s="51"/>
      <c r="K20" s="51"/>
      <c r="L20" s="287"/>
      <c r="M20" s="288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301" t="s">
        <v>124</v>
      </c>
      <c r="D21" s="288"/>
      <c r="E21" s="44" t="s">
        <v>125</v>
      </c>
      <c r="F21" s="301"/>
      <c r="G21" s="302"/>
      <c r="H21" s="132">
        <v>24</v>
      </c>
      <c r="I21" s="47"/>
      <c r="J21" s="51"/>
      <c r="K21" s="51"/>
      <c r="L21" s="287"/>
      <c r="M21" s="288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299" t="s">
        <v>122</v>
      </c>
      <c r="D22" s="300"/>
      <c r="E22" s="55" t="s">
        <v>121</v>
      </c>
      <c r="F22" s="301"/>
      <c r="G22" s="302"/>
      <c r="H22" s="132"/>
      <c r="I22" s="47">
        <v>300</v>
      </c>
      <c r="J22" s="51"/>
      <c r="K22" s="51"/>
      <c r="L22" s="287"/>
      <c r="M22" s="288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299" t="s">
        <v>123</v>
      </c>
      <c r="D23" s="300"/>
      <c r="E23" s="55" t="s">
        <v>121</v>
      </c>
      <c r="F23" s="301"/>
      <c r="G23" s="302"/>
      <c r="H23" s="132"/>
      <c r="I23" s="47">
        <v>450</v>
      </c>
      <c r="J23" s="51"/>
      <c r="K23" s="51"/>
      <c r="L23" s="287"/>
      <c r="M23" s="288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299" t="s">
        <v>95</v>
      </c>
      <c r="D24" s="300"/>
      <c r="E24" s="55" t="s">
        <v>96</v>
      </c>
      <c r="F24" s="301"/>
      <c r="G24" s="302"/>
      <c r="H24" s="132">
        <v>24</v>
      </c>
      <c r="I24" s="47">
        <v>30</v>
      </c>
      <c r="J24" s="51"/>
      <c r="K24" s="51"/>
      <c r="L24" s="287"/>
      <c r="M24" s="288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299" t="s">
        <v>52</v>
      </c>
      <c r="D25" s="300"/>
      <c r="E25" s="55" t="s">
        <v>194</v>
      </c>
      <c r="F25" s="301"/>
      <c r="G25" s="302"/>
      <c r="H25" s="132"/>
      <c r="I25" s="47"/>
      <c r="J25" s="51"/>
      <c r="K25" s="51"/>
      <c r="L25" s="287"/>
      <c r="M25" s="288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301" t="s">
        <v>127</v>
      </c>
      <c r="D26" s="288"/>
      <c r="E26" s="55" t="s">
        <v>146</v>
      </c>
      <c r="F26" s="301">
        <v>600</v>
      </c>
      <c r="G26" s="302"/>
      <c r="H26" s="81">
        <v>1440</v>
      </c>
      <c r="I26" s="56">
        <v>600</v>
      </c>
      <c r="J26" s="57"/>
      <c r="K26" s="57">
        <v>110</v>
      </c>
      <c r="L26" s="287"/>
      <c r="M26" s="288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301" t="s">
        <v>120</v>
      </c>
      <c r="D27" s="288"/>
      <c r="E27" s="55" t="s">
        <v>121</v>
      </c>
      <c r="F27" s="301"/>
      <c r="G27" s="302"/>
      <c r="H27" s="81"/>
      <c r="I27" s="56">
        <v>1800</v>
      </c>
      <c r="J27" s="57"/>
      <c r="K27" s="57"/>
      <c r="L27" s="287"/>
      <c r="M27" s="288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301" t="s">
        <v>122</v>
      </c>
      <c r="D28" s="288"/>
      <c r="E28" s="55" t="s">
        <v>121</v>
      </c>
      <c r="F28" s="301"/>
      <c r="G28" s="302"/>
      <c r="H28" s="81"/>
      <c r="I28" s="56">
        <v>300</v>
      </c>
      <c r="J28" s="57"/>
      <c r="K28" s="57"/>
      <c r="L28" s="287"/>
      <c r="M28" s="288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301" t="s">
        <v>123</v>
      </c>
      <c r="D29" s="288"/>
      <c r="E29" s="55" t="s">
        <v>121</v>
      </c>
      <c r="F29" s="301"/>
      <c r="G29" s="302"/>
      <c r="H29" s="81"/>
      <c r="I29" s="56">
        <v>750</v>
      </c>
      <c r="J29" s="57"/>
      <c r="K29" s="57"/>
      <c r="L29" s="287"/>
      <c r="M29" s="288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299" t="s">
        <v>100</v>
      </c>
      <c r="D30" s="300"/>
      <c r="E30" s="55" t="s">
        <v>101</v>
      </c>
      <c r="F30" s="301"/>
      <c r="G30" s="302"/>
      <c r="H30" s="81"/>
      <c r="I30" s="56"/>
      <c r="J30" s="57"/>
      <c r="K30" s="57"/>
      <c r="L30" s="287"/>
      <c r="M30" s="288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301" t="s">
        <v>140</v>
      </c>
      <c r="D31" s="288"/>
      <c r="E31" s="55" t="s">
        <v>139</v>
      </c>
      <c r="F31" s="301"/>
      <c r="G31" s="302"/>
      <c r="H31" s="81"/>
      <c r="I31" s="56"/>
      <c r="J31" s="57"/>
      <c r="K31" s="57"/>
      <c r="L31" s="287"/>
      <c r="M31" s="288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301" t="s">
        <v>144</v>
      </c>
      <c r="D32" s="288"/>
      <c r="E32" s="55" t="s">
        <v>145</v>
      </c>
      <c r="F32" s="301"/>
      <c r="G32" s="302"/>
      <c r="H32" s="81"/>
      <c r="I32" s="56">
        <v>30</v>
      </c>
      <c r="J32" s="57"/>
      <c r="K32" s="57"/>
      <c r="L32" s="287"/>
      <c r="M32" s="288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301" t="s">
        <v>95</v>
      </c>
      <c r="D33" s="288"/>
      <c r="E33" s="55" t="s">
        <v>96</v>
      </c>
      <c r="F33" s="301"/>
      <c r="G33" s="302"/>
      <c r="H33" s="81"/>
      <c r="I33" s="56"/>
      <c r="J33" s="57"/>
      <c r="K33" s="57"/>
      <c r="L33" s="287"/>
      <c r="M33" s="288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301" t="s">
        <v>117</v>
      </c>
      <c r="D34" s="288"/>
      <c r="E34" s="55" t="s">
        <v>118</v>
      </c>
      <c r="F34" s="301"/>
      <c r="G34" s="302"/>
      <c r="H34" s="81"/>
      <c r="I34" s="56"/>
      <c r="J34" s="57"/>
      <c r="K34" s="57"/>
      <c r="L34" s="287"/>
      <c r="M34" s="288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301" t="s">
        <v>111</v>
      </c>
      <c r="D35" s="288"/>
      <c r="E35" s="55" t="s">
        <v>112</v>
      </c>
      <c r="F35" s="301"/>
      <c r="G35" s="302"/>
      <c r="H35" s="81"/>
      <c r="I35" s="56">
        <v>5400</v>
      </c>
      <c r="J35" s="57">
        <v>72</v>
      </c>
      <c r="K35" s="57">
        <v>440</v>
      </c>
      <c r="L35" s="287"/>
      <c r="M35" s="288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301" t="s">
        <v>133</v>
      </c>
      <c r="D36" s="288"/>
      <c r="E36" s="55" t="s">
        <v>132</v>
      </c>
      <c r="F36" s="301"/>
      <c r="G36" s="302"/>
      <c r="H36" s="81"/>
      <c r="I36" s="56"/>
      <c r="J36" s="57"/>
      <c r="K36" s="57"/>
      <c r="L36" s="287"/>
      <c r="M36" s="288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301" t="s">
        <v>127</v>
      </c>
      <c r="D37" s="288"/>
      <c r="E37" s="55" t="s">
        <v>128</v>
      </c>
      <c r="F37" s="301"/>
      <c r="G37" s="302"/>
      <c r="H37" s="81">
        <v>600</v>
      </c>
      <c r="I37" s="56">
        <v>1800</v>
      </c>
      <c r="J37" s="57"/>
      <c r="K37" s="57">
        <v>440</v>
      </c>
      <c r="L37" s="287">
        <v>440</v>
      </c>
      <c r="M37" s="288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301" t="s">
        <v>98</v>
      </c>
      <c r="D38" s="288"/>
      <c r="E38" s="55" t="s">
        <v>99</v>
      </c>
      <c r="F38" s="301"/>
      <c r="G38" s="302"/>
      <c r="H38" s="81">
        <v>120</v>
      </c>
      <c r="I38" s="56"/>
      <c r="J38" s="57"/>
      <c r="K38" s="57"/>
      <c r="L38" s="287"/>
      <c r="M38" s="288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31" t="s">
        <v>214</v>
      </c>
      <c r="D39" s="332"/>
      <c r="E39" s="126" t="s">
        <v>221</v>
      </c>
      <c r="F39" s="331"/>
      <c r="G39" s="334"/>
      <c r="H39" s="139"/>
      <c r="I39" s="127"/>
      <c r="J39" s="128"/>
      <c r="K39" s="128"/>
      <c r="L39" s="333"/>
      <c r="M39" s="332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05" t="s">
        <v>172</v>
      </c>
      <c r="D40" s="308"/>
      <c r="E40" s="143" t="s">
        <v>215</v>
      </c>
      <c r="F40" s="305"/>
      <c r="G40" s="306"/>
      <c r="H40" s="144"/>
      <c r="I40" s="145">
        <v>150</v>
      </c>
      <c r="J40" s="146"/>
      <c r="K40" s="146"/>
      <c r="L40" s="307"/>
      <c r="M40" s="308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301" t="s">
        <v>111</v>
      </c>
      <c r="D41" s="288"/>
      <c r="E41" s="55" t="s">
        <v>112</v>
      </c>
      <c r="F41" s="301"/>
      <c r="G41" s="302"/>
      <c r="H41" s="81">
        <v>72</v>
      </c>
      <c r="I41" s="56">
        <v>8700</v>
      </c>
      <c r="J41" s="57">
        <v>72</v>
      </c>
      <c r="K41" s="57">
        <v>220</v>
      </c>
      <c r="L41" s="287"/>
      <c r="M41" s="288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301" t="s">
        <v>127</v>
      </c>
      <c r="D42" s="288"/>
      <c r="E42" s="55" t="s">
        <v>128</v>
      </c>
      <c r="F42" s="301"/>
      <c r="G42" s="302"/>
      <c r="H42" s="81">
        <v>720</v>
      </c>
      <c r="I42" s="56">
        <v>300</v>
      </c>
      <c r="J42" s="57"/>
      <c r="K42" s="57">
        <v>220</v>
      </c>
      <c r="L42" s="287"/>
      <c r="M42" s="288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301" t="s">
        <v>219</v>
      </c>
      <c r="D43" s="288"/>
      <c r="E43" s="55" t="s">
        <v>220</v>
      </c>
      <c r="F43" s="301"/>
      <c r="G43" s="302"/>
      <c r="H43" s="81"/>
      <c r="I43" s="56"/>
      <c r="J43" s="57"/>
      <c r="K43" s="57">
        <v>22</v>
      </c>
      <c r="L43" s="287"/>
      <c r="M43" s="288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301" t="s">
        <v>214</v>
      </c>
      <c r="D44" s="288"/>
      <c r="E44" s="55" t="s">
        <v>221</v>
      </c>
      <c r="F44" s="301"/>
      <c r="G44" s="302"/>
      <c r="H44" s="81"/>
      <c r="I44" s="56"/>
      <c r="J44" s="57"/>
      <c r="K44" s="57"/>
      <c r="L44" s="287"/>
      <c r="M44" s="288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301" t="s">
        <v>95</v>
      </c>
      <c r="D45" s="288"/>
      <c r="E45" s="55" t="s">
        <v>96</v>
      </c>
      <c r="F45" s="301"/>
      <c r="G45" s="302"/>
      <c r="H45" s="81"/>
      <c r="I45" s="56"/>
      <c r="J45" s="57"/>
      <c r="K45" s="57"/>
      <c r="L45" s="287"/>
      <c r="M45" s="288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38" t="s">
        <v>16</v>
      </c>
      <c r="B46" s="339"/>
      <c r="C46" s="339"/>
      <c r="D46" s="61"/>
      <c r="E46" s="59"/>
      <c r="F46" s="295">
        <f>SUM(F5:G45)</f>
        <v>912</v>
      </c>
      <c r="G46" s="297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298">
        <f>SUM(L5:M45)</f>
        <v>440</v>
      </c>
      <c r="M46" s="296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38"/>
      <c r="B47" s="339"/>
      <c r="C47" s="339"/>
      <c r="D47" s="61"/>
      <c r="E47" s="59"/>
      <c r="F47" s="295">
        <f>F4+F46</f>
        <v>2496</v>
      </c>
      <c r="G47" s="297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298">
        <f>L4+L46</f>
        <v>1100</v>
      </c>
      <c r="M47" s="296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40" t="s">
        <v>212</v>
      </c>
      <c r="B49" s="341"/>
      <c r="C49" s="341"/>
      <c r="D49" s="341"/>
      <c r="E49" s="341"/>
      <c r="F49" s="341"/>
      <c r="G49" s="341"/>
      <c r="H49" s="341"/>
      <c r="I49" s="341"/>
      <c r="J49" s="341"/>
      <c r="K49" s="341"/>
      <c r="L49" s="341"/>
      <c r="M49" s="341"/>
      <c r="N49" s="341"/>
      <c r="O49" s="341"/>
      <c r="P49" s="341"/>
      <c r="Q49" s="342"/>
      <c r="R49" s="1"/>
      <c r="S49" s="1"/>
      <c r="T49" s="28"/>
    </row>
    <row r="50" spans="1:22" ht="15.75" customHeight="1" thickBot="1">
      <c r="A50" s="343" t="s">
        <v>34</v>
      </c>
      <c r="B50" s="344"/>
      <c r="C50" s="347" t="s">
        <v>33</v>
      </c>
      <c r="D50" s="347" t="s">
        <v>11</v>
      </c>
      <c r="E50" s="350" t="s">
        <v>19</v>
      </c>
      <c r="F50" s="343" t="s">
        <v>8</v>
      </c>
      <c r="G50" s="344"/>
      <c r="H50" s="352" t="s">
        <v>10</v>
      </c>
      <c r="I50" s="353"/>
      <c r="J50" s="354"/>
      <c r="K50" s="355" t="s">
        <v>25</v>
      </c>
      <c r="L50" s="356"/>
      <c r="M50" s="356"/>
      <c r="N50" s="356"/>
      <c r="O50" s="357"/>
      <c r="P50" s="347" t="s">
        <v>20</v>
      </c>
      <c r="Q50" s="358" t="s">
        <v>38</v>
      </c>
      <c r="R50" s="1"/>
      <c r="S50" s="1"/>
      <c r="T50" s="28"/>
    </row>
    <row r="51" spans="1:22" ht="15.75" thickBot="1">
      <c r="A51" s="345"/>
      <c r="B51" s="346"/>
      <c r="C51" s="348"/>
      <c r="D51" s="349"/>
      <c r="E51" s="351"/>
      <c r="F51" s="345"/>
      <c r="G51" s="346"/>
      <c r="H51" s="69" t="s">
        <v>49</v>
      </c>
      <c r="I51" s="69" t="s">
        <v>48</v>
      </c>
      <c r="J51" s="69" t="s">
        <v>50</v>
      </c>
      <c r="K51" s="69" t="s">
        <v>24</v>
      </c>
      <c r="L51" s="355" t="s">
        <v>47</v>
      </c>
      <c r="M51" s="357"/>
      <c r="N51" s="69" t="s">
        <v>46</v>
      </c>
      <c r="O51" s="69" t="s">
        <v>45</v>
      </c>
      <c r="P51" s="349"/>
      <c r="Q51" s="359"/>
      <c r="T51" s="28"/>
    </row>
    <row r="52" spans="1:22" ht="15" customHeight="1">
      <c r="A52" s="343" t="s">
        <v>27</v>
      </c>
      <c r="B52" s="344"/>
      <c r="C52" s="112" t="s">
        <v>28</v>
      </c>
      <c r="D52" s="112"/>
      <c r="E52" s="4">
        <v>600</v>
      </c>
      <c r="F52" s="365"/>
      <c r="G52" s="365"/>
      <c r="H52" s="4"/>
      <c r="I52" s="111"/>
      <c r="J52" s="4"/>
      <c r="K52" s="111"/>
      <c r="L52" s="366"/>
      <c r="M52" s="367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45"/>
      <c r="B53" s="346"/>
      <c r="C53" s="114" t="s">
        <v>29</v>
      </c>
      <c r="D53" s="114">
        <v>72</v>
      </c>
      <c r="E53" s="14">
        <f>1440+1440</f>
        <v>2880</v>
      </c>
      <c r="F53" s="372">
        <v>3120</v>
      </c>
      <c r="G53" s="372"/>
      <c r="H53" s="14"/>
      <c r="I53" s="113"/>
      <c r="J53" s="14"/>
      <c r="K53" s="113"/>
      <c r="L53" s="373"/>
      <c r="M53" s="374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43" t="s">
        <v>41</v>
      </c>
      <c r="B54" s="344"/>
      <c r="C54" s="4" t="s">
        <v>30</v>
      </c>
      <c r="D54" s="4">
        <v>33000</v>
      </c>
      <c r="E54" s="4">
        <f>600+600</f>
        <v>1200</v>
      </c>
      <c r="F54" s="365">
        <f>900+1800+300</f>
        <v>3000</v>
      </c>
      <c r="G54" s="365"/>
      <c r="H54" s="4">
        <f>300+300</f>
        <v>600</v>
      </c>
      <c r="I54" s="111">
        <v>1800</v>
      </c>
      <c r="J54" s="4">
        <f>450+750</f>
        <v>1200</v>
      </c>
      <c r="K54" s="111"/>
      <c r="L54" s="366">
        <v>30</v>
      </c>
      <c r="M54" s="367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380"/>
      <c r="B55" s="381"/>
      <c r="C55" s="5" t="s">
        <v>32</v>
      </c>
      <c r="D55" s="118">
        <v>264</v>
      </c>
      <c r="E55" s="5">
        <v>480</v>
      </c>
      <c r="F55" s="385"/>
      <c r="G55" s="385"/>
      <c r="H55" s="5"/>
      <c r="I55" s="117"/>
      <c r="J55" s="5"/>
      <c r="K55" s="117"/>
      <c r="L55" s="386"/>
      <c r="M55" s="387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380"/>
      <c r="B56" s="381"/>
      <c r="C56" s="5" t="s">
        <v>43</v>
      </c>
      <c r="D56" s="118">
        <v>1210</v>
      </c>
      <c r="E56" s="5">
        <f>220+110</f>
        <v>330</v>
      </c>
      <c r="F56" s="385">
        <f>440+220</f>
        <v>660</v>
      </c>
      <c r="G56" s="385"/>
      <c r="H56" s="5"/>
      <c r="I56" s="117"/>
      <c r="J56" s="5"/>
      <c r="K56" s="117"/>
      <c r="L56" s="386"/>
      <c r="M56" s="387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45"/>
      <c r="B57" s="346"/>
      <c r="C57" s="64" t="s">
        <v>44</v>
      </c>
      <c r="D57" s="110"/>
      <c r="E57" s="15"/>
      <c r="F57" s="335">
        <f>440</f>
        <v>440</v>
      </c>
      <c r="G57" s="335"/>
      <c r="H57" s="15"/>
      <c r="I57" s="109"/>
      <c r="J57" s="15"/>
      <c r="K57" s="109"/>
      <c r="L57" s="336"/>
      <c r="M57" s="337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43" t="s">
        <v>40</v>
      </c>
      <c r="B58" s="344"/>
      <c r="C58" s="116" t="s">
        <v>28</v>
      </c>
      <c r="D58" s="116">
        <v>3360</v>
      </c>
      <c r="E58" s="16">
        <f>480+1200</f>
        <v>1680</v>
      </c>
      <c r="F58" s="382">
        <f>720</f>
        <v>720</v>
      </c>
      <c r="G58" s="382"/>
      <c r="H58" s="16">
        <f>960+1080</f>
        <v>2040</v>
      </c>
      <c r="I58" s="115"/>
      <c r="J58" s="16"/>
      <c r="K58" s="115"/>
      <c r="L58" s="383">
        <v>120</v>
      </c>
      <c r="M58" s="384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380"/>
      <c r="B59" s="381"/>
      <c r="C59" s="118" t="s">
        <v>31</v>
      </c>
      <c r="D59" s="118">
        <v>1680</v>
      </c>
      <c r="E59" s="5">
        <f>480+600</f>
        <v>1080</v>
      </c>
      <c r="F59" s="385">
        <f>120+120</f>
        <v>240</v>
      </c>
      <c r="G59" s="385"/>
      <c r="H59" s="5">
        <f>480+360</f>
        <v>840</v>
      </c>
      <c r="I59" s="117"/>
      <c r="J59" s="5">
        <v>240</v>
      </c>
      <c r="K59" s="117"/>
      <c r="L59" s="386">
        <v>240</v>
      </c>
      <c r="M59" s="387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45"/>
      <c r="B60" s="346"/>
      <c r="C60" s="64" t="s">
        <v>29</v>
      </c>
      <c r="D60" s="114">
        <v>15240</v>
      </c>
      <c r="E60" s="14">
        <f>3600+5400</f>
        <v>9000</v>
      </c>
      <c r="F60" s="372">
        <f>3840+3600+480</f>
        <v>7920</v>
      </c>
      <c r="G60" s="372"/>
      <c r="H60" s="14">
        <f>960+720</f>
        <v>1680</v>
      </c>
      <c r="I60" s="113">
        <v>2760</v>
      </c>
      <c r="J60" s="14">
        <f>1200+600</f>
        <v>1800</v>
      </c>
      <c r="K60" s="113"/>
      <c r="L60" s="373">
        <v>576</v>
      </c>
      <c r="M60" s="374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43" t="s">
        <v>42</v>
      </c>
      <c r="B61" s="344"/>
      <c r="C61" s="112" t="s">
        <v>31</v>
      </c>
      <c r="D61" s="112">
        <v>11340</v>
      </c>
      <c r="E61" s="4">
        <f>180+180</f>
        <v>360</v>
      </c>
      <c r="F61" s="365">
        <f>240+600</f>
        <v>840</v>
      </c>
      <c r="G61" s="365"/>
      <c r="H61" s="4"/>
      <c r="I61" s="111"/>
      <c r="J61" s="4"/>
      <c r="K61" s="111"/>
      <c r="L61" s="366">
        <v>120</v>
      </c>
      <c r="M61" s="367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45"/>
      <c r="B62" s="346"/>
      <c r="C62" s="64" t="s">
        <v>29</v>
      </c>
      <c r="D62" s="15">
        <f>1800+612</f>
        <v>2412</v>
      </c>
      <c r="E62" s="15"/>
      <c r="F62" s="335"/>
      <c r="G62" s="335"/>
      <c r="H62" s="15"/>
      <c r="I62" s="109"/>
      <c r="J62" s="15"/>
      <c r="K62" s="109"/>
      <c r="L62" s="336"/>
      <c r="M62" s="337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68" t="s">
        <v>37</v>
      </c>
      <c r="B63" s="369"/>
      <c r="C63" s="369"/>
      <c r="D63" s="23">
        <f>SUM(D52:D62)</f>
        <v>68578</v>
      </c>
      <c r="E63" s="23">
        <f t="shared" ref="E63" si="5">SUM(E52:E62)</f>
        <v>17610</v>
      </c>
      <c r="F63" s="370">
        <f>SUM(F52:G62)</f>
        <v>16940</v>
      </c>
      <c r="G63" s="371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70">
        <f>SUM(L52:M62)</f>
        <v>1086</v>
      </c>
      <c r="M63" s="371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75" t="s">
        <v>36</v>
      </c>
      <c r="B64" s="376"/>
      <c r="C64" s="376"/>
      <c r="D64" s="377">
        <f>D63+E63+F63+H63+I63+J63+K63+L63+N63+O63+P63</f>
        <v>137064</v>
      </c>
      <c r="E64" s="378"/>
      <c r="F64" s="378"/>
      <c r="G64" s="378"/>
      <c r="H64" s="378"/>
      <c r="I64" s="378"/>
      <c r="J64" s="378"/>
      <c r="K64" s="378"/>
      <c r="L64" s="378"/>
      <c r="M64" s="378"/>
      <c r="N64" s="378"/>
      <c r="O64" s="378"/>
      <c r="P64" s="378"/>
      <c r="Q64" s="379"/>
      <c r="T64" s="28"/>
      <c r="V64" s="13"/>
    </row>
    <row r="65" spans="1:22" s="20" customFormat="1" ht="15" customHeight="1" thickBot="1">
      <c r="A65" s="360" t="s">
        <v>26</v>
      </c>
      <c r="B65" s="361"/>
      <c r="C65" s="361"/>
      <c r="D65" s="22">
        <v>21986945</v>
      </c>
      <c r="E65" s="22">
        <v>5527651</v>
      </c>
      <c r="F65" s="362">
        <f>2172057+2398129+767615</f>
        <v>5337801</v>
      </c>
      <c r="G65" s="363"/>
      <c r="H65" s="22">
        <v>1626492</v>
      </c>
      <c r="I65" s="26">
        <v>1431388</v>
      </c>
      <c r="J65" s="22">
        <v>1017420</v>
      </c>
      <c r="K65" s="22"/>
      <c r="L65" s="364">
        <v>352163</v>
      </c>
      <c r="M65" s="363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77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8" t="s">
        <v>282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90"/>
    </row>
    <row r="2" spans="1:23" s="6" customFormat="1" ht="12.75" customHeight="1">
      <c r="A2" s="314" t="s">
        <v>9</v>
      </c>
      <c r="B2" s="316" t="s">
        <v>13</v>
      </c>
      <c r="C2" s="318" t="s">
        <v>23</v>
      </c>
      <c r="D2" s="319"/>
      <c r="E2" s="322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6" t="s">
        <v>14</v>
      </c>
      <c r="T2" s="289" t="s">
        <v>12</v>
      </c>
    </row>
    <row r="3" spans="1:23" s="6" customFormat="1" ht="15.75" thickBot="1">
      <c r="A3" s="315"/>
      <c r="B3" s="317"/>
      <c r="C3" s="320"/>
      <c r="D3" s="321"/>
      <c r="E3" s="323"/>
      <c r="F3" s="291" t="s">
        <v>3</v>
      </c>
      <c r="G3" s="292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2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17"/>
      <c r="T3" s="290"/>
    </row>
    <row r="4" spans="1:23" s="18" customFormat="1" ht="15.75" thickBot="1">
      <c r="A4" s="175" t="s">
        <v>35</v>
      </c>
      <c r="B4" s="30"/>
      <c r="C4" s="295"/>
      <c r="D4" s="296"/>
      <c r="E4" s="31"/>
      <c r="F4" s="295">
        <v>2496</v>
      </c>
      <c r="G4" s="297"/>
      <c r="H4" s="177">
        <v>15072</v>
      </c>
      <c r="I4" s="32">
        <v>88980</v>
      </c>
      <c r="J4" s="33">
        <v>1104</v>
      </c>
      <c r="K4" s="177">
        <v>5610</v>
      </c>
      <c r="L4" s="298">
        <v>1100</v>
      </c>
      <c r="M4" s="296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03" t="s">
        <v>223</v>
      </c>
      <c r="D5" s="304"/>
      <c r="E5" s="151" t="s">
        <v>135</v>
      </c>
      <c r="F5" s="305">
        <v>48</v>
      </c>
      <c r="G5" s="306"/>
      <c r="H5" s="195">
        <v>72</v>
      </c>
      <c r="I5" s="39"/>
      <c r="J5" s="40"/>
      <c r="K5" s="40"/>
      <c r="L5" s="307"/>
      <c r="M5" s="308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299" t="s">
        <v>224</v>
      </c>
      <c r="D6" s="300"/>
      <c r="E6" s="44" t="s">
        <v>125</v>
      </c>
      <c r="F6" s="301"/>
      <c r="G6" s="302"/>
      <c r="H6" s="162"/>
      <c r="I6" s="47"/>
      <c r="J6" s="51"/>
      <c r="K6" s="51"/>
      <c r="L6" s="287"/>
      <c r="M6" s="288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299" t="s">
        <v>226</v>
      </c>
      <c r="D7" s="300"/>
      <c r="E7" s="44" t="s">
        <v>103</v>
      </c>
      <c r="F7" s="301"/>
      <c r="G7" s="302"/>
      <c r="H7" s="162">
        <v>48</v>
      </c>
      <c r="I7" s="47">
        <v>30</v>
      </c>
      <c r="J7" s="51"/>
      <c r="K7" s="51"/>
      <c r="L7" s="287"/>
      <c r="M7" s="288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301" t="s">
        <v>227</v>
      </c>
      <c r="D8" s="288"/>
      <c r="E8" s="44" t="s">
        <v>138</v>
      </c>
      <c r="F8" s="301"/>
      <c r="G8" s="302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391" t="s">
        <v>228</v>
      </c>
      <c r="D9" s="310"/>
      <c r="E9" s="44" t="s">
        <v>229</v>
      </c>
      <c r="F9" s="301"/>
      <c r="G9" s="302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299" t="s">
        <v>120</v>
      </c>
      <c r="D10" s="300"/>
      <c r="E10" s="55" t="s">
        <v>121</v>
      </c>
      <c r="F10" s="301"/>
      <c r="G10" s="302"/>
      <c r="H10" s="162"/>
      <c r="I10" s="47">
        <v>900</v>
      </c>
      <c r="J10" s="51"/>
      <c r="K10" s="51"/>
      <c r="L10" s="287"/>
      <c r="M10" s="288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299" t="s">
        <v>231</v>
      </c>
      <c r="D11" s="300"/>
      <c r="E11" s="55" t="s">
        <v>121</v>
      </c>
      <c r="F11" s="301"/>
      <c r="G11" s="302"/>
      <c r="H11" s="162"/>
      <c r="I11" s="47">
        <v>450</v>
      </c>
      <c r="J11" s="51"/>
      <c r="K11" s="51"/>
      <c r="L11" s="287"/>
      <c r="M11" s="288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299" t="s">
        <v>232</v>
      </c>
      <c r="D12" s="300"/>
      <c r="E12" s="55" t="s">
        <v>130</v>
      </c>
      <c r="F12" s="301">
        <v>48</v>
      </c>
      <c r="G12" s="302"/>
      <c r="H12" s="162">
        <v>72</v>
      </c>
      <c r="I12" s="47"/>
      <c r="J12" s="51"/>
      <c r="K12" s="51"/>
      <c r="L12" s="287"/>
      <c r="M12" s="288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299" t="s">
        <v>234</v>
      </c>
      <c r="D13" s="300"/>
      <c r="E13" s="44" t="s">
        <v>99</v>
      </c>
      <c r="F13" s="301"/>
      <c r="G13" s="302"/>
      <c r="H13" s="162"/>
      <c r="I13" s="47"/>
      <c r="J13" s="51"/>
      <c r="K13" s="51"/>
      <c r="L13" s="287"/>
      <c r="M13" s="288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301" t="s">
        <v>226</v>
      </c>
      <c r="D14" s="288"/>
      <c r="E14" s="44" t="s">
        <v>103</v>
      </c>
      <c r="F14" s="301"/>
      <c r="G14" s="302"/>
      <c r="H14" s="162"/>
      <c r="I14" s="47"/>
      <c r="J14" s="51"/>
      <c r="K14" s="51"/>
      <c r="L14" s="287"/>
      <c r="M14" s="288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299" t="s">
        <v>235</v>
      </c>
      <c r="D15" s="300"/>
      <c r="E15" s="44" t="s">
        <v>146</v>
      </c>
      <c r="F15" s="301"/>
      <c r="G15" s="302"/>
      <c r="H15" s="191"/>
      <c r="I15" s="47">
        <v>600</v>
      </c>
      <c r="J15" s="51">
        <v>240</v>
      </c>
      <c r="K15" s="51"/>
      <c r="L15" s="287"/>
      <c r="M15" s="288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301" t="s">
        <v>237</v>
      </c>
      <c r="D16" s="288"/>
      <c r="E16" s="44" t="s">
        <v>142</v>
      </c>
      <c r="F16" s="301"/>
      <c r="G16" s="302"/>
      <c r="H16" s="162">
        <v>24</v>
      </c>
      <c r="I16" s="47"/>
      <c r="J16" s="51"/>
      <c r="K16" s="51"/>
      <c r="L16" s="287"/>
      <c r="M16" s="288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299" t="s">
        <v>227</v>
      </c>
      <c r="D17" s="300"/>
      <c r="E17" s="44" t="s">
        <v>138</v>
      </c>
      <c r="F17" s="301"/>
      <c r="G17" s="302"/>
      <c r="H17" s="162"/>
      <c r="I17" s="47"/>
      <c r="J17" s="51">
        <v>24</v>
      </c>
      <c r="K17" s="51">
        <v>22</v>
      </c>
      <c r="L17" s="287">
        <v>22</v>
      </c>
      <c r="M17" s="288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301" t="s">
        <v>239</v>
      </c>
      <c r="D18" s="288"/>
      <c r="E18" s="55" t="s">
        <v>118</v>
      </c>
      <c r="F18" s="301"/>
      <c r="G18" s="302"/>
      <c r="H18" s="162"/>
      <c r="I18" s="47"/>
      <c r="J18" s="51"/>
      <c r="K18" s="51"/>
      <c r="L18" s="287"/>
      <c r="M18" s="288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301" t="s">
        <v>109</v>
      </c>
      <c r="D19" s="288"/>
      <c r="E19" s="44" t="s">
        <v>110</v>
      </c>
      <c r="F19" s="301"/>
      <c r="G19" s="302"/>
      <c r="H19" s="162">
        <v>24</v>
      </c>
      <c r="I19" s="47"/>
      <c r="J19" s="51"/>
      <c r="K19" s="51"/>
      <c r="L19" s="287"/>
      <c r="M19" s="288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301" t="s">
        <v>240</v>
      </c>
      <c r="D20" s="288"/>
      <c r="E20" s="44" t="s">
        <v>112</v>
      </c>
      <c r="F20" s="301"/>
      <c r="G20" s="302"/>
      <c r="H20" s="162"/>
      <c r="I20" s="47">
        <v>6600</v>
      </c>
      <c r="J20" s="51"/>
      <c r="K20" s="51">
        <v>440</v>
      </c>
      <c r="L20" s="287"/>
      <c r="M20" s="288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301" t="s">
        <v>249</v>
      </c>
      <c r="D21" s="288"/>
      <c r="E21" s="44" t="s">
        <v>245</v>
      </c>
      <c r="F21" s="301"/>
      <c r="G21" s="302"/>
      <c r="H21" s="162"/>
      <c r="I21" s="47"/>
      <c r="J21" s="51"/>
      <c r="K21" s="51"/>
      <c r="L21" s="287"/>
      <c r="M21" s="288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299" t="s">
        <v>243</v>
      </c>
      <c r="D22" s="300"/>
      <c r="E22" s="55" t="s">
        <v>244</v>
      </c>
      <c r="F22" s="301"/>
      <c r="G22" s="302"/>
      <c r="H22" s="162"/>
      <c r="I22" s="47">
        <v>150</v>
      </c>
      <c r="J22" s="51"/>
      <c r="K22" s="51"/>
      <c r="L22" s="287"/>
      <c r="M22" s="288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301" t="s">
        <v>242</v>
      </c>
      <c r="D23" s="288"/>
      <c r="E23" s="44" t="s">
        <v>96</v>
      </c>
      <c r="F23" s="301"/>
      <c r="G23" s="302"/>
      <c r="H23" s="188"/>
      <c r="I23" s="47"/>
      <c r="J23" s="51"/>
      <c r="K23" s="51">
        <v>220</v>
      </c>
      <c r="L23" s="287">
        <v>154</v>
      </c>
      <c r="M23" s="288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299" t="s">
        <v>247</v>
      </c>
      <c r="D24" s="300"/>
      <c r="E24" s="55" t="s">
        <v>248</v>
      </c>
      <c r="F24" s="301"/>
      <c r="G24" s="302"/>
      <c r="H24" s="162"/>
      <c r="I24" s="47"/>
      <c r="J24" s="51"/>
      <c r="K24" s="51"/>
      <c r="L24" s="287"/>
      <c r="M24" s="288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299" t="s">
        <v>253</v>
      </c>
      <c r="D25" s="300"/>
      <c r="E25" s="55" t="s">
        <v>108</v>
      </c>
      <c r="F25" s="301"/>
      <c r="G25" s="302"/>
      <c r="H25" s="191">
        <v>48</v>
      </c>
      <c r="I25" s="47"/>
      <c r="J25" s="51"/>
      <c r="K25" s="51"/>
      <c r="L25" s="287"/>
      <c r="M25" s="288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301" t="s">
        <v>258</v>
      </c>
      <c r="D26" s="288"/>
      <c r="E26" s="55" t="s">
        <v>259</v>
      </c>
      <c r="F26" s="301"/>
      <c r="G26" s="302"/>
      <c r="H26" s="81"/>
      <c r="I26" s="56">
        <v>30</v>
      </c>
      <c r="J26" s="57"/>
      <c r="K26" s="57"/>
      <c r="L26" s="287"/>
      <c r="M26" s="288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301" t="s">
        <v>240</v>
      </c>
      <c r="D27" s="288"/>
      <c r="E27" s="55" t="s">
        <v>112</v>
      </c>
      <c r="F27" s="301"/>
      <c r="G27" s="302"/>
      <c r="H27" s="81"/>
      <c r="I27" s="56">
        <v>9150</v>
      </c>
      <c r="J27" s="57"/>
      <c r="K27" s="57">
        <v>220</v>
      </c>
      <c r="L27" s="287"/>
      <c r="M27" s="288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301" t="s">
        <v>254</v>
      </c>
      <c r="D28" s="288"/>
      <c r="E28" s="55" t="s">
        <v>255</v>
      </c>
      <c r="F28" s="301"/>
      <c r="G28" s="302"/>
      <c r="H28" s="81"/>
      <c r="I28" s="56"/>
      <c r="J28" s="57"/>
      <c r="K28" s="57"/>
      <c r="L28" s="287"/>
      <c r="M28" s="288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301" t="s">
        <v>256</v>
      </c>
      <c r="D29" s="288"/>
      <c r="E29" s="55" t="s">
        <v>132</v>
      </c>
      <c r="F29" s="301"/>
      <c r="G29" s="302"/>
      <c r="H29" s="81"/>
      <c r="I29" s="56"/>
      <c r="J29" s="57"/>
      <c r="K29" s="57"/>
      <c r="L29" s="287"/>
      <c r="M29" s="288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301" t="s">
        <v>257</v>
      </c>
      <c r="D30" s="288"/>
      <c r="E30" s="55" t="s">
        <v>99</v>
      </c>
      <c r="F30" s="301"/>
      <c r="G30" s="302"/>
      <c r="H30" s="81"/>
      <c r="I30" s="56">
        <v>60</v>
      </c>
      <c r="J30" s="57"/>
      <c r="K30" s="57"/>
      <c r="L30" s="287"/>
      <c r="M30" s="288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301" t="s">
        <v>120</v>
      </c>
      <c r="D31" s="288"/>
      <c r="E31" s="55" t="s">
        <v>121</v>
      </c>
      <c r="F31" s="301"/>
      <c r="G31" s="302"/>
      <c r="H31" s="81"/>
      <c r="I31" s="56">
        <v>900</v>
      </c>
      <c r="J31" s="57"/>
      <c r="K31" s="57"/>
      <c r="L31" s="287"/>
      <c r="M31" s="288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301" t="s">
        <v>231</v>
      </c>
      <c r="D32" s="288"/>
      <c r="E32" s="55" t="s">
        <v>121</v>
      </c>
      <c r="F32" s="301"/>
      <c r="G32" s="302"/>
      <c r="H32" s="81"/>
      <c r="I32" s="56">
        <v>750</v>
      </c>
      <c r="J32" s="57"/>
      <c r="K32" s="57"/>
      <c r="L32" s="287"/>
      <c r="M32" s="288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301" t="s">
        <v>242</v>
      </c>
      <c r="D33" s="288"/>
      <c r="E33" s="55" t="s">
        <v>96</v>
      </c>
      <c r="F33" s="301"/>
      <c r="G33" s="302"/>
      <c r="H33" s="81"/>
      <c r="I33" s="56"/>
      <c r="J33" s="57"/>
      <c r="K33" s="57"/>
      <c r="L33" s="287"/>
      <c r="M33" s="288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301" t="s">
        <v>240</v>
      </c>
      <c r="D34" s="288"/>
      <c r="E34" s="55" t="s">
        <v>112</v>
      </c>
      <c r="F34" s="301"/>
      <c r="G34" s="302"/>
      <c r="H34" s="81"/>
      <c r="I34" s="56">
        <v>9450</v>
      </c>
      <c r="J34" s="57"/>
      <c r="K34" s="57"/>
      <c r="L34" s="287"/>
      <c r="M34" s="288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301" t="s">
        <v>235</v>
      </c>
      <c r="D35" s="288"/>
      <c r="E35" s="55" t="s">
        <v>262</v>
      </c>
      <c r="F35" s="301">
        <v>264</v>
      </c>
      <c r="G35" s="302"/>
      <c r="H35" s="81">
        <v>720</v>
      </c>
      <c r="I35" s="56">
        <v>660</v>
      </c>
      <c r="J35" s="57"/>
      <c r="K35" s="57">
        <v>330</v>
      </c>
      <c r="L35" s="287">
        <v>176</v>
      </c>
      <c r="M35" s="288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301" t="s">
        <v>109</v>
      </c>
      <c r="D36" s="288"/>
      <c r="E36" s="55" t="s">
        <v>110</v>
      </c>
      <c r="F36" s="301"/>
      <c r="G36" s="302"/>
      <c r="H36" s="81">
        <v>24</v>
      </c>
      <c r="I36" s="56"/>
      <c r="J36" s="57"/>
      <c r="K36" s="57"/>
      <c r="L36" s="287"/>
      <c r="M36" s="288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301" t="s">
        <v>243</v>
      </c>
      <c r="D37" s="288"/>
      <c r="E37" s="55" t="s">
        <v>244</v>
      </c>
      <c r="F37" s="301"/>
      <c r="G37" s="302"/>
      <c r="H37" s="81"/>
      <c r="I37" s="56"/>
      <c r="J37" s="57"/>
      <c r="K37" s="57"/>
      <c r="L37" s="287"/>
      <c r="M37" s="288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301" t="s">
        <v>235</v>
      </c>
      <c r="D38" s="288"/>
      <c r="E38" s="55" t="s">
        <v>264</v>
      </c>
      <c r="F38" s="301">
        <v>720</v>
      </c>
      <c r="G38" s="302"/>
      <c r="H38" s="81">
        <v>1080</v>
      </c>
      <c r="I38" s="56">
        <v>300</v>
      </c>
      <c r="J38" s="57"/>
      <c r="K38" s="57">
        <v>220</v>
      </c>
      <c r="L38" s="287"/>
      <c r="M38" s="288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301" t="s">
        <v>240</v>
      </c>
      <c r="D39" s="288"/>
      <c r="E39" s="55" t="s">
        <v>265</v>
      </c>
      <c r="F39" s="301"/>
      <c r="G39" s="302"/>
      <c r="H39" s="81"/>
      <c r="I39" s="56">
        <v>7800</v>
      </c>
      <c r="J39" s="57"/>
      <c r="K39" s="57">
        <v>330</v>
      </c>
      <c r="L39" s="287"/>
      <c r="M39" s="288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301" t="s">
        <v>267</v>
      </c>
      <c r="D40" s="288"/>
      <c r="E40" s="55" t="s">
        <v>215</v>
      </c>
      <c r="F40" s="301"/>
      <c r="G40" s="302"/>
      <c r="H40" s="81"/>
      <c r="I40" s="56">
        <v>90</v>
      </c>
      <c r="J40" s="57"/>
      <c r="K40" s="57"/>
      <c r="L40" s="287"/>
      <c r="M40" s="288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301" t="s">
        <v>226</v>
      </c>
      <c r="D41" s="288"/>
      <c r="E41" s="55" t="s">
        <v>103</v>
      </c>
      <c r="F41" s="301"/>
      <c r="G41" s="302"/>
      <c r="H41" s="81">
        <v>48</v>
      </c>
      <c r="I41" s="56"/>
      <c r="J41" s="57"/>
      <c r="K41" s="57"/>
      <c r="L41" s="287"/>
      <c r="M41" s="288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301" t="s">
        <v>257</v>
      </c>
      <c r="D42" s="288"/>
      <c r="E42" s="55" t="s">
        <v>99</v>
      </c>
      <c r="F42" s="301"/>
      <c r="G42" s="302"/>
      <c r="H42" s="81">
        <v>72</v>
      </c>
      <c r="I42" s="56"/>
      <c r="J42" s="57"/>
      <c r="K42" s="57"/>
      <c r="L42" s="287"/>
      <c r="M42" s="288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301" t="s">
        <v>268</v>
      </c>
      <c r="D43" s="288"/>
      <c r="E43" s="55" t="s">
        <v>269</v>
      </c>
      <c r="F43" s="301"/>
      <c r="G43" s="302"/>
      <c r="H43" s="81"/>
      <c r="I43" s="56"/>
      <c r="J43" s="57"/>
      <c r="K43" s="57"/>
      <c r="L43" s="287"/>
      <c r="M43" s="288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301" t="s">
        <v>226</v>
      </c>
      <c r="D44" s="288"/>
      <c r="E44" s="55" t="s">
        <v>103</v>
      </c>
      <c r="F44" s="301"/>
      <c r="G44" s="302"/>
      <c r="H44" s="81"/>
      <c r="I44" s="56"/>
      <c r="J44" s="57"/>
      <c r="K44" s="57"/>
      <c r="L44" s="287"/>
      <c r="M44" s="288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301" t="s">
        <v>120</v>
      </c>
      <c r="D45" s="288"/>
      <c r="E45" s="55" t="s">
        <v>121</v>
      </c>
      <c r="F45" s="301"/>
      <c r="G45" s="302"/>
      <c r="H45" s="81"/>
      <c r="I45" s="56">
        <v>900</v>
      </c>
      <c r="J45" s="57"/>
      <c r="K45" s="57"/>
      <c r="L45" s="287"/>
      <c r="M45" s="288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301" t="s">
        <v>122</v>
      </c>
      <c r="D46" s="288"/>
      <c r="E46" s="55" t="s">
        <v>121</v>
      </c>
      <c r="F46" s="301"/>
      <c r="G46" s="302"/>
      <c r="H46" s="81"/>
      <c r="I46" s="56"/>
      <c r="J46" s="57"/>
      <c r="K46" s="57"/>
      <c r="L46" s="287"/>
      <c r="M46" s="288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301" t="s">
        <v>231</v>
      </c>
      <c r="D47" s="288"/>
      <c r="E47" s="55" t="s">
        <v>121</v>
      </c>
      <c r="F47" s="301"/>
      <c r="G47" s="302"/>
      <c r="H47" s="81"/>
      <c r="I47" s="56">
        <v>450</v>
      </c>
      <c r="J47" s="57"/>
      <c r="K47" s="57"/>
      <c r="L47" s="287"/>
      <c r="M47" s="288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301" t="s">
        <v>273</v>
      </c>
      <c r="D48" s="288"/>
      <c r="E48" s="55" t="s">
        <v>118</v>
      </c>
      <c r="F48" s="301"/>
      <c r="G48" s="302"/>
      <c r="H48" s="81"/>
      <c r="I48" s="56"/>
      <c r="J48" s="57"/>
      <c r="K48" s="57"/>
      <c r="L48" s="287"/>
      <c r="M48" s="288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301" t="s">
        <v>235</v>
      </c>
      <c r="D49" s="288"/>
      <c r="E49" s="55" t="s">
        <v>146</v>
      </c>
      <c r="F49" s="301"/>
      <c r="G49" s="302"/>
      <c r="H49" s="81">
        <v>960</v>
      </c>
      <c r="I49" s="56"/>
      <c r="J49" s="57"/>
      <c r="K49" s="57"/>
      <c r="L49" s="287"/>
      <c r="M49" s="288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301" t="s">
        <v>276</v>
      </c>
      <c r="D50" s="288"/>
      <c r="E50" s="55" t="s">
        <v>255</v>
      </c>
      <c r="F50" s="301"/>
      <c r="G50" s="302"/>
      <c r="H50" s="81"/>
      <c r="I50" s="56">
        <v>210</v>
      </c>
      <c r="J50" s="57"/>
      <c r="K50" s="57"/>
      <c r="L50" s="287"/>
      <c r="M50" s="288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301" t="s">
        <v>274</v>
      </c>
      <c r="D51" s="288"/>
      <c r="E51" s="55" t="s">
        <v>277</v>
      </c>
      <c r="F51" s="301"/>
      <c r="G51" s="302"/>
      <c r="H51" s="81"/>
      <c r="I51" s="56"/>
      <c r="J51" s="57"/>
      <c r="K51" s="57"/>
      <c r="L51" s="287"/>
      <c r="M51" s="288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301" t="s">
        <v>275</v>
      </c>
      <c r="D52" s="288"/>
      <c r="E52" s="55" t="s">
        <v>278</v>
      </c>
      <c r="F52" s="301"/>
      <c r="G52" s="302"/>
      <c r="H52" s="81"/>
      <c r="I52" s="56"/>
      <c r="J52" s="57"/>
      <c r="K52" s="57"/>
      <c r="L52" s="287"/>
      <c r="M52" s="288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301" t="s">
        <v>52</v>
      </c>
      <c r="D53" s="288"/>
      <c r="E53" s="55" t="s">
        <v>279</v>
      </c>
      <c r="F53" s="301"/>
      <c r="G53" s="302"/>
      <c r="H53" s="81"/>
      <c r="I53" s="56"/>
      <c r="J53" s="57"/>
      <c r="K53" s="57"/>
      <c r="L53" s="287"/>
      <c r="M53" s="288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301" t="s">
        <v>52</v>
      </c>
      <c r="D54" s="288"/>
      <c r="E54" s="55" t="s">
        <v>279</v>
      </c>
      <c r="F54" s="301"/>
      <c r="G54" s="302"/>
      <c r="H54" s="81"/>
      <c r="I54" s="56"/>
      <c r="J54" s="57"/>
      <c r="K54" s="57"/>
      <c r="L54" s="287"/>
      <c r="M54" s="288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301" t="s">
        <v>235</v>
      </c>
      <c r="D55" s="288"/>
      <c r="E55" s="55" t="s">
        <v>262</v>
      </c>
      <c r="F55" s="301"/>
      <c r="G55" s="302"/>
      <c r="H55" s="81">
        <v>960</v>
      </c>
      <c r="I55" s="56"/>
      <c r="J55" s="57"/>
      <c r="K55" s="57">
        <v>154</v>
      </c>
      <c r="L55" s="287"/>
      <c r="M55" s="288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301" t="s">
        <v>240</v>
      </c>
      <c r="D56" s="288"/>
      <c r="E56" s="55" t="s">
        <v>112</v>
      </c>
      <c r="F56" s="301"/>
      <c r="G56" s="302"/>
      <c r="H56" s="81"/>
      <c r="I56" s="56">
        <v>2850</v>
      </c>
      <c r="J56" s="57"/>
      <c r="K56" s="57">
        <v>220</v>
      </c>
      <c r="L56" s="287"/>
      <c r="M56" s="288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301" t="s">
        <v>227</v>
      </c>
      <c r="D57" s="288"/>
      <c r="E57" s="55" t="s">
        <v>138</v>
      </c>
      <c r="F57" s="301"/>
      <c r="G57" s="302"/>
      <c r="H57" s="81"/>
      <c r="I57" s="56"/>
      <c r="J57" s="57"/>
      <c r="K57" s="57"/>
      <c r="L57" s="287"/>
      <c r="M57" s="288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301" t="s">
        <v>144</v>
      </c>
      <c r="D58" s="288"/>
      <c r="E58" s="55" t="s">
        <v>145</v>
      </c>
      <c r="F58" s="301"/>
      <c r="G58" s="302"/>
      <c r="H58" s="81"/>
      <c r="I58" s="56"/>
      <c r="J58" s="57"/>
      <c r="K58" s="57"/>
      <c r="L58" s="287"/>
      <c r="M58" s="288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301" t="s">
        <v>242</v>
      </c>
      <c r="D59" s="288"/>
      <c r="E59" s="55" t="s">
        <v>96</v>
      </c>
      <c r="F59" s="301"/>
      <c r="G59" s="302"/>
      <c r="H59" s="81">
        <v>96</v>
      </c>
      <c r="I59" s="56">
        <v>750</v>
      </c>
      <c r="J59" s="57"/>
      <c r="K59" s="57"/>
      <c r="L59" s="287"/>
      <c r="M59" s="288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38" t="s">
        <v>16</v>
      </c>
      <c r="B60" s="339"/>
      <c r="C60" s="339"/>
      <c r="D60" s="61"/>
      <c r="E60" s="59"/>
      <c r="F60" s="295">
        <f>SUM(F5:G59)</f>
        <v>1080</v>
      </c>
      <c r="G60" s="297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298">
        <f>SUM(L5:M59)</f>
        <v>352</v>
      </c>
      <c r="M60" s="296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38"/>
      <c r="B61" s="339"/>
      <c r="C61" s="339"/>
      <c r="D61" s="61"/>
      <c r="E61" s="59"/>
      <c r="F61" s="295">
        <f>F4+F60</f>
        <v>3576</v>
      </c>
      <c r="G61" s="297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298">
        <f>L4+L60</f>
        <v>1452</v>
      </c>
      <c r="M61" s="296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40" t="s">
        <v>281</v>
      </c>
      <c r="B79" s="341"/>
      <c r="C79" s="341"/>
      <c r="D79" s="341"/>
      <c r="E79" s="341"/>
      <c r="F79" s="341"/>
      <c r="G79" s="341"/>
      <c r="H79" s="341"/>
      <c r="I79" s="341"/>
      <c r="J79" s="341"/>
      <c r="K79" s="341"/>
      <c r="L79" s="341"/>
      <c r="M79" s="341"/>
      <c r="N79" s="341"/>
      <c r="O79" s="341"/>
      <c r="P79" s="341"/>
      <c r="Q79" s="342"/>
      <c r="R79" s="1"/>
      <c r="S79" s="1"/>
      <c r="T79" s="28"/>
    </row>
    <row r="80" spans="1:22" ht="15.75" customHeight="1" thickBot="1">
      <c r="A80" s="343" t="s">
        <v>34</v>
      </c>
      <c r="B80" s="344"/>
      <c r="C80" s="347" t="s">
        <v>33</v>
      </c>
      <c r="D80" s="347" t="s">
        <v>11</v>
      </c>
      <c r="E80" s="350" t="s">
        <v>19</v>
      </c>
      <c r="F80" s="343" t="s">
        <v>8</v>
      </c>
      <c r="G80" s="344"/>
      <c r="H80" s="352" t="s">
        <v>10</v>
      </c>
      <c r="I80" s="353"/>
      <c r="J80" s="354"/>
      <c r="K80" s="355" t="s">
        <v>25</v>
      </c>
      <c r="L80" s="356"/>
      <c r="M80" s="356"/>
      <c r="N80" s="356"/>
      <c r="O80" s="357"/>
      <c r="P80" s="347" t="s">
        <v>20</v>
      </c>
      <c r="Q80" s="358" t="s">
        <v>38</v>
      </c>
      <c r="R80" s="1"/>
      <c r="S80" s="1"/>
      <c r="T80" s="28"/>
    </row>
    <row r="81" spans="1:22" ht="15.75" thickBot="1">
      <c r="A81" s="345"/>
      <c r="B81" s="346"/>
      <c r="C81" s="348"/>
      <c r="D81" s="349"/>
      <c r="E81" s="351"/>
      <c r="F81" s="345"/>
      <c r="G81" s="346"/>
      <c r="H81" s="69" t="s">
        <v>49</v>
      </c>
      <c r="I81" s="69" t="s">
        <v>48</v>
      </c>
      <c r="J81" s="69" t="s">
        <v>50</v>
      </c>
      <c r="K81" s="69" t="s">
        <v>24</v>
      </c>
      <c r="L81" s="355" t="s">
        <v>47</v>
      </c>
      <c r="M81" s="357"/>
      <c r="N81" s="69" t="s">
        <v>46</v>
      </c>
      <c r="O81" s="69" t="s">
        <v>45</v>
      </c>
      <c r="P81" s="349"/>
      <c r="Q81" s="359"/>
      <c r="T81" s="28"/>
    </row>
    <row r="82" spans="1:22" ht="15" customHeight="1">
      <c r="A82" s="343" t="s">
        <v>27</v>
      </c>
      <c r="B82" s="344"/>
      <c r="C82" s="166" t="s">
        <v>28</v>
      </c>
      <c r="D82" s="166"/>
      <c r="E82" s="4">
        <v>720</v>
      </c>
      <c r="F82" s="365">
        <v>264</v>
      </c>
      <c r="G82" s="365"/>
      <c r="H82" s="4"/>
      <c r="I82" s="165"/>
      <c r="J82" s="4"/>
      <c r="K82" s="165"/>
      <c r="L82" s="366"/>
      <c r="M82" s="367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45"/>
      <c r="B83" s="346"/>
      <c r="C83" s="168" t="s">
        <v>29</v>
      </c>
      <c r="D83" s="168"/>
      <c r="E83" s="14">
        <f>1080+960</f>
        <v>2040</v>
      </c>
      <c r="F83" s="372">
        <f>720+960</f>
        <v>1680</v>
      </c>
      <c r="G83" s="372"/>
      <c r="H83" s="14"/>
      <c r="I83" s="167"/>
      <c r="J83" s="14"/>
      <c r="K83" s="167"/>
      <c r="L83" s="373"/>
      <c r="M83" s="374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43" t="s">
        <v>41</v>
      </c>
      <c r="B84" s="344"/>
      <c r="C84" s="4" t="s">
        <v>30</v>
      </c>
      <c r="D84" s="4">
        <f>6600+9150+9450+7800+2850</f>
        <v>35850</v>
      </c>
      <c r="E84" s="4">
        <f>600+300</f>
        <v>900</v>
      </c>
      <c r="F84" s="365">
        <v>660</v>
      </c>
      <c r="G84" s="365"/>
      <c r="H84" s="4"/>
      <c r="I84" s="165">
        <f>900+900+900</f>
        <v>2700</v>
      </c>
      <c r="J84" s="4">
        <f>450+750+450</f>
        <v>1650</v>
      </c>
      <c r="K84" s="165"/>
      <c r="L84" s="366"/>
      <c r="M84" s="367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380"/>
      <c r="B85" s="381"/>
      <c r="C85" s="5" t="s">
        <v>32</v>
      </c>
      <c r="D85" s="172"/>
      <c r="E85" s="5">
        <v>240</v>
      </c>
      <c r="F85" s="385"/>
      <c r="G85" s="385"/>
      <c r="H85" s="5"/>
      <c r="I85" s="171"/>
      <c r="J85" s="5"/>
      <c r="K85" s="171"/>
      <c r="L85" s="386"/>
      <c r="M85" s="387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380"/>
      <c r="B86" s="381"/>
      <c r="C86" s="5" t="s">
        <v>43</v>
      </c>
      <c r="D86" s="172">
        <f>440+220+330+220</f>
        <v>1210</v>
      </c>
      <c r="E86" s="5">
        <v>220</v>
      </c>
      <c r="F86" s="385">
        <f>330+154</f>
        <v>484</v>
      </c>
      <c r="G86" s="385"/>
      <c r="H86" s="5"/>
      <c r="I86" s="171"/>
      <c r="J86" s="5"/>
      <c r="K86" s="171"/>
      <c r="L86" s="386"/>
      <c r="M86" s="387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45"/>
      <c r="B87" s="346"/>
      <c r="C87" s="64" t="s">
        <v>44</v>
      </c>
      <c r="D87" s="174"/>
      <c r="E87" s="15"/>
      <c r="F87" s="335">
        <v>176</v>
      </c>
      <c r="G87" s="335"/>
      <c r="H87" s="15"/>
      <c r="I87" s="173"/>
      <c r="J87" s="15"/>
      <c r="K87" s="173"/>
      <c r="L87" s="336"/>
      <c r="M87" s="337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43" t="s">
        <v>40</v>
      </c>
      <c r="B88" s="344"/>
      <c r="C88" s="170" t="s">
        <v>28</v>
      </c>
      <c r="D88" s="170">
        <f>840+360+600+600+600</f>
        <v>3000</v>
      </c>
      <c r="E88" s="16">
        <f>480+240+960</f>
        <v>1680</v>
      </c>
      <c r="F88" s="382">
        <v>240</v>
      </c>
      <c r="G88" s="382"/>
      <c r="H88" s="16">
        <v>600</v>
      </c>
      <c r="I88" s="201">
        <f>1200+840</f>
        <v>2040</v>
      </c>
      <c r="J88" s="16">
        <v>240</v>
      </c>
      <c r="K88" s="169"/>
      <c r="L88" s="383">
        <v>48</v>
      </c>
      <c r="M88" s="384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380"/>
      <c r="B89" s="381"/>
      <c r="C89" s="172" t="s">
        <v>31</v>
      </c>
      <c r="D89" s="172">
        <f>360+240+600+240+360</f>
        <v>1800</v>
      </c>
      <c r="E89" s="5">
        <f>480+240+960</f>
        <v>1680</v>
      </c>
      <c r="F89" s="385">
        <v>120</v>
      </c>
      <c r="G89" s="385"/>
      <c r="H89" s="5">
        <v>240</v>
      </c>
      <c r="I89" s="171">
        <v>480</v>
      </c>
      <c r="J89" s="5"/>
      <c r="K89" s="171"/>
      <c r="L89" s="386">
        <v>192</v>
      </c>
      <c r="M89" s="387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45"/>
      <c r="B90" s="346"/>
      <c r="C90" s="64" t="s">
        <v>29</v>
      </c>
      <c r="D90" s="168">
        <f>3600+1800+2040+3120+1920</f>
        <v>12480</v>
      </c>
      <c r="E90" s="14">
        <f>2400+2400+4320</f>
        <v>9120</v>
      </c>
      <c r="F90" s="372">
        <f>3600+3600</f>
        <v>7200</v>
      </c>
      <c r="G90" s="372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73">
        <v>504</v>
      </c>
      <c r="M90" s="374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43" t="s">
        <v>42</v>
      </c>
      <c r="B91" s="344"/>
      <c r="C91" s="166" t="s">
        <v>31</v>
      </c>
      <c r="D91" s="166">
        <f>1800+1800+840+2400+1980</f>
        <v>8820</v>
      </c>
      <c r="E91" s="4"/>
      <c r="F91" s="365">
        <f>240+300</f>
        <v>540</v>
      </c>
      <c r="G91" s="365"/>
      <c r="H91" s="4"/>
      <c r="I91" s="165"/>
      <c r="J91" s="4"/>
      <c r="K91" s="165"/>
      <c r="L91" s="366">
        <v>180</v>
      </c>
      <c r="M91" s="367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45"/>
      <c r="B92" s="346"/>
      <c r="C92" s="64" t="s">
        <v>29</v>
      </c>
      <c r="D92" s="15">
        <v>12</v>
      </c>
      <c r="E92" s="15"/>
      <c r="F92" s="335"/>
      <c r="G92" s="335"/>
      <c r="H92" s="15"/>
      <c r="I92" s="173"/>
      <c r="J92" s="15"/>
      <c r="K92" s="173"/>
      <c r="L92" s="336"/>
      <c r="M92" s="337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68" t="s">
        <v>37</v>
      </c>
      <c r="B93" s="369"/>
      <c r="C93" s="369"/>
      <c r="D93" s="23">
        <f>SUM(D82:D92)</f>
        <v>63172</v>
      </c>
      <c r="E93" s="23">
        <f t="shared" ref="E93" si="5">SUM(E82:E92)</f>
        <v>16600</v>
      </c>
      <c r="F93" s="370">
        <f>SUM(F82:G92)</f>
        <v>11364</v>
      </c>
      <c r="G93" s="371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70">
        <f>SUM(L82:M92)</f>
        <v>924</v>
      </c>
      <c r="M93" s="371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75" t="s">
        <v>36</v>
      </c>
      <c r="B94" s="376"/>
      <c r="C94" s="376"/>
      <c r="D94" s="377">
        <f>D93+E93+F93+H93+I93+J93+K93+L93+N93+O93+P93</f>
        <v>131244</v>
      </c>
      <c r="E94" s="378"/>
      <c r="F94" s="378"/>
      <c r="G94" s="378"/>
      <c r="H94" s="378"/>
      <c r="I94" s="378"/>
      <c r="J94" s="378"/>
      <c r="K94" s="378"/>
      <c r="L94" s="378"/>
      <c r="M94" s="378"/>
      <c r="N94" s="378"/>
      <c r="O94" s="378"/>
      <c r="P94" s="378"/>
      <c r="Q94" s="379"/>
      <c r="T94" s="28"/>
      <c r="V94" s="13"/>
    </row>
    <row r="95" spans="1:22" s="20" customFormat="1" ht="15" customHeight="1" thickBot="1">
      <c r="A95" s="360" t="s">
        <v>26</v>
      </c>
      <c r="B95" s="361"/>
      <c r="C95" s="361"/>
      <c r="D95" s="22">
        <f>4319949+4252517+4175553+4605009+2574956</f>
        <v>19927984</v>
      </c>
      <c r="E95" s="22">
        <f>1293840+1638888+2246237</f>
        <v>5178965</v>
      </c>
      <c r="F95" s="362">
        <f>2003393+1597114</f>
        <v>3600507</v>
      </c>
      <c r="G95" s="363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64">
        <v>304577</v>
      </c>
      <c r="M95" s="363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32" activePane="bottomLeft" state="frozen"/>
      <selection pane="bottomLeft" activeCell="E50" sqref="E50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98" t="s">
        <v>357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  <c r="O1" s="399"/>
      <c r="P1" s="399"/>
      <c r="Q1" s="399"/>
      <c r="R1" s="399"/>
      <c r="S1" s="399"/>
      <c r="T1" s="400"/>
    </row>
    <row r="2" spans="1:23" s="6" customFormat="1" ht="12.75" customHeight="1">
      <c r="A2" s="314" t="s">
        <v>9</v>
      </c>
      <c r="B2" s="401" t="s">
        <v>13</v>
      </c>
      <c r="C2" s="318" t="s">
        <v>23</v>
      </c>
      <c r="D2" s="319"/>
      <c r="E2" s="403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6" t="s">
        <v>14</v>
      </c>
      <c r="T2" s="289" t="s">
        <v>12</v>
      </c>
    </row>
    <row r="3" spans="1:23" s="6" customFormat="1" ht="15.75" thickBot="1">
      <c r="A3" s="315"/>
      <c r="B3" s="402"/>
      <c r="C3" s="320"/>
      <c r="D3" s="321"/>
      <c r="E3" s="404"/>
      <c r="F3" s="291" t="s">
        <v>3</v>
      </c>
      <c r="G3" s="292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2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17"/>
      <c r="T3" s="290"/>
    </row>
    <row r="4" spans="1:23" s="18" customFormat="1" ht="15.75" thickBot="1">
      <c r="A4" s="211" t="s">
        <v>35</v>
      </c>
      <c r="B4" s="30"/>
      <c r="C4" s="295"/>
      <c r="D4" s="296"/>
      <c r="E4" s="31"/>
      <c r="F4" s="295">
        <v>3576</v>
      </c>
      <c r="G4" s="297"/>
      <c r="H4" s="205">
        <v>19392</v>
      </c>
      <c r="I4" s="32">
        <v>132060</v>
      </c>
      <c r="J4" s="33">
        <v>1368</v>
      </c>
      <c r="K4" s="205">
        <v>7766</v>
      </c>
      <c r="L4" s="298">
        <v>1452</v>
      </c>
      <c r="M4" s="296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03" t="s">
        <v>284</v>
      </c>
      <c r="D5" s="304"/>
      <c r="E5" s="151" t="s">
        <v>285</v>
      </c>
      <c r="F5" s="305"/>
      <c r="G5" s="306"/>
      <c r="H5" s="208">
        <v>48</v>
      </c>
      <c r="I5" s="39"/>
      <c r="J5" s="40"/>
      <c r="K5" s="40"/>
      <c r="L5" s="307"/>
      <c r="M5" s="308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299" t="s">
        <v>287</v>
      </c>
      <c r="D6" s="300"/>
      <c r="E6" s="44" t="s">
        <v>288</v>
      </c>
      <c r="F6" s="301"/>
      <c r="G6" s="302"/>
      <c r="H6" s="202">
        <v>72</v>
      </c>
      <c r="I6" s="47"/>
      <c r="J6" s="51"/>
      <c r="K6" s="51"/>
      <c r="L6" s="287"/>
      <c r="M6" s="288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299" t="s">
        <v>290</v>
      </c>
      <c r="D7" s="300"/>
      <c r="E7" s="44" t="s">
        <v>291</v>
      </c>
      <c r="F7" s="301"/>
      <c r="G7" s="302"/>
      <c r="H7" s="202"/>
      <c r="I7" s="47"/>
      <c r="J7" s="51"/>
      <c r="K7" s="51"/>
      <c r="L7" s="287"/>
      <c r="M7" s="288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301" t="s">
        <v>293</v>
      </c>
      <c r="D8" s="288"/>
      <c r="E8" s="44" t="s">
        <v>294</v>
      </c>
      <c r="F8" s="301"/>
      <c r="G8" s="302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391" t="s">
        <v>295</v>
      </c>
      <c r="D9" s="310"/>
      <c r="E9" s="44" t="s">
        <v>296</v>
      </c>
      <c r="F9" s="301"/>
      <c r="G9" s="302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299" t="s">
        <v>298</v>
      </c>
      <c r="D10" s="300"/>
      <c r="E10" s="55" t="s">
        <v>299</v>
      </c>
      <c r="F10" s="301">
        <v>48</v>
      </c>
      <c r="G10" s="302"/>
      <c r="H10" s="202"/>
      <c r="I10" s="47">
        <v>60</v>
      </c>
      <c r="J10" s="51"/>
      <c r="K10" s="51"/>
      <c r="L10" s="287"/>
      <c r="M10" s="288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299" t="s">
        <v>300</v>
      </c>
      <c r="D11" s="300"/>
      <c r="E11" s="55" t="s">
        <v>301</v>
      </c>
      <c r="F11" s="301">
        <v>48</v>
      </c>
      <c r="G11" s="302"/>
      <c r="H11" s="202">
        <v>72</v>
      </c>
      <c r="I11" s="47"/>
      <c r="J11" s="51"/>
      <c r="K11" s="51"/>
      <c r="L11" s="287"/>
      <c r="M11" s="288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299" t="s">
        <v>303</v>
      </c>
      <c r="D12" s="300"/>
      <c r="E12" s="55" t="s">
        <v>11</v>
      </c>
      <c r="F12" s="301"/>
      <c r="G12" s="302"/>
      <c r="H12" s="202"/>
      <c r="I12" s="47">
        <v>7500</v>
      </c>
      <c r="J12" s="51">
        <v>120</v>
      </c>
      <c r="K12" s="51">
        <v>550</v>
      </c>
      <c r="L12" s="287"/>
      <c r="M12" s="288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299" t="s">
        <v>304</v>
      </c>
      <c r="D13" s="300"/>
      <c r="E13" s="44" t="s">
        <v>305</v>
      </c>
      <c r="F13" s="301"/>
      <c r="G13" s="302"/>
      <c r="H13" s="202"/>
      <c r="I13" s="47">
        <v>150</v>
      </c>
      <c r="J13" s="51"/>
      <c r="K13" s="51"/>
      <c r="L13" s="287"/>
      <c r="M13" s="288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301" t="s">
        <v>306</v>
      </c>
      <c r="D14" s="288"/>
      <c r="E14" s="44" t="s">
        <v>294</v>
      </c>
      <c r="F14" s="301"/>
      <c r="G14" s="302"/>
      <c r="H14" s="202"/>
      <c r="I14" s="47"/>
      <c r="J14" s="51"/>
      <c r="K14" s="51"/>
      <c r="L14" s="287"/>
      <c r="M14" s="288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299" t="s">
        <v>308</v>
      </c>
      <c r="D15" s="300"/>
      <c r="E15" s="44" t="s">
        <v>8</v>
      </c>
      <c r="F15" s="301">
        <v>24</v>
      </c>
      <c r="G15" s="302"/>
      <c r="H15" s="202">
        <v>720</v>
      </c>
      <c r="I15" s="47">
        <v>60</v>
      </c>
      <c r="J15" s="51"/>
      <c r="K15" s="51">
        <v>110</v>
      </c>
      <c r="L15" s="287"/>
      <c r="M15" s="288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301" t="s">
        <v>311</v>
      </c>
      <c r="D16" s="288"/>
      <c r="E16" s="44" t="s">
        <v>314</v>
      </c>
      <c r="F16" s="301"/>
      <c r="G16" s="302"/>
      <c r="H16" s="224" t="s">
        <v>309</v>
      </c>
      <c r="I16" s="47"/>
      <c r="J16" s="51"/>
      <c r="K16" s="51"/>
      <c r="L16" s="287"/>
      <c r="M16" s="288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392" t="s">
        <v>308</v>
      </c>
      <c r="D17" s="393"/>
      <c r="E17" s="232" t="s">
        <v>19</v>
      </c>
      <c r="F17" s="394">
        <v>480</v>
      </c>
      <c r="G17" s="395"/>
      <c r="H17" s="233"/>
      <c r="I17" s="234">
        <v>600</v>
      </c>
      <c r="J17" s="235"/>
      <c r="K17" s="235"/>
      <c r="L17" s="396"/>
      <c r="M17" s="397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301" t="s">
        <v>313</v>
      </c>
      <c r="D18" s="288"/>
      <c r="E18" s="55" t="s">
        <v>315</v>
      </c>
      <c r="F18" s="301"/>
      <c r="G18" s="302"/>
      <c r="H18" s="202">
        <v>48</v>
      </c>
      <c r="I18" s="47"/>
      <c r="J18" s="51"/>
      <c r="K18" s="51"/>
      <c r="L18" s="287"/>
      <c r="M18" s="288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301" t="s">
        <v>316</v>
      </c>
      <c r="D19" s="288"/>
      <c r="E19" s="44" t="s">
        <v>318</v>
      </c>
      <c r="F19" s="301"/>
      <c r="G19" s="302"/>
      <c r="H19" s="202"/>
      <c r="I19" s="47"/>
      <c r="J19" s="51"/>
      <c r="K19" s="51"/>
      <c r="L19" s="287"/>
      <c r="M19" s="288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301" t="s">
        <v>319</v>
      </c>
      <c r="D20" s="288"/>
      <c r="E20" s="44" t="s">
        <v>10</v>
      </c>
      <c r="F20" s="301"/>
      <c r="G20" s="302"/>
      <c r="H20" s="202"/>
      <c r="I20" s="47">
        <v>870</v>
      </c>
      <c r="J20" s="51"/>
      <c r="K20" s="51"/>
      <c r="L20" s="287"/>
      <c r="M20" s="288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301" t="s">
        <v>320</v>
      </c>
      <c r="D21" s="288"/>
      <c r="E21" s="44" t="s">
        <v>10</v>
      </c>
      <c r="F21" s="301"/>
      <c r="G21" s="302"/>
      <c r="H21" s="202"/>
      <c r="I21" s="47"/>
      <c r="J21" s="51"/>
      <c r="K21" s="51"/>
      <c r="L21" s="287"/>
      <c r="M21" s="288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299" t="s">
        <v>321</v>
      </c>
      <c r="D22" s="300"/>
      <c r="E22" s="44" t="s">
        <v>10</v>
      </c>
      <c r="F22" s="301"/>
      <c r="G22" s="302"/>
      <c r="H22" s="202"/>
      <c r="I22" s="47"/>
      <c r="J22" s="51"/>
      <c r="K22" s="51"/>
      <c r="L22" s="287"/>
      <c r="M22" s="288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299" t="s">
        <v>284</v>
      </c>
      <c r="D23" s="300"/>
      <c r="E23" s="44" t="s">
        <v>285</v>
      </c>
      <c r="F23" s="301"/>
      <c r="G23" s="302"/>
      <c r="H23" s="229">
        <v>48</v>
      </c>
      <c r="I23" s="47"/>
      <c r="J23" s="51"/>
      <c r="K23" s="51"/>
      <c r="L23" s="287"/>
      <c r="M23" s="288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299" t="s">
        <v>323</v>
      </c>
      <c r="D24" s="300"/>
      <c r="E24" s="44" t="s">
        <v>11</v>
      </c>
      <c r="F24" s="301"/>
      <c r="G24" s="302"/>
      <c r="H24" s="229"/>
      <c r="I24" s="47">
        <v>9300</v>
      </c>
      <c r="J24" s="51">
        <v>72</v>
      </c>
      <c r="K24" s="51"/>
      <c r="L24" s="287"/>
      <c r="M24" s="288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299" t="s">
        <v>325</v>
      </c>
      <c r="D25" s="300"/>
      <c r="E25" s="44" t="s">
        <v>326</v>
      </c>
      <c r="F25" s="301"/>
      <c r="G25" s="302"/>
      <c r="H25" s="229"/>
      <c r="I25" s="47"/>
      <c r="J25" s="51"/>
      <c r="K25" s="51"/>
      <c r="L25" s="287"/>
      <c r="M25" s="288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299" t="s">
        <v>327</v>
      </c>
      <c r="D26" s="300"/>
      <c r="E26" s="44" t="s">
        <v>305</v>
      </c>
      <c r="F26" s="301"/>
      <c r="G26" s="302"/>
      <c r="H26" s="229"/>
      <c r="I26" s="47">
        <v>150</v>
      </c>
      <c r="J26" s="51"/>
      <c r="K26" s="51"/>
      <c r="L26" s="287"/>
      <c r="M26" s="288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299" t="s">
        <v>329</v>
      </c>
      <c r="D27" s="300"/>
      <c r="E27" s="44" t="s">
        <v>330</v>
      </c>
      <c r="F27" s="301"/>
      <c r="G27" s="302"/>
      <c r="H27" s="229"/>
      <c r="I27" s="47"/>
      <c r="J27" s="51"/>
      <c r="K27" s="51">
        <v>22</v>
      </c>
      <c r="L27" s="287"/>
      <c r="M27" s="288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299" t="s">
        <v>331</v>
      </c>
      <c r="D28" s="300"/>
      <c r="E28" s="44" t="s">
        <v>20</v>
      </c>
      <c r="F28" s="301"/>
      <c r="G28" s="302"/>
      <c r="H28" s="244">
        <v>240</v>
      </c>
      <c r="I28" s="47"/>
      <c r="J28" s="51"/>
      <c r="K28" s="51"/>
      <c r="L28" s="287"/>
      <c r="M28" s="288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299" t="s">
        <v>333</v>
      </c>
      <c r="D29" s="300"/>
      <c r="E29" s="44" t="s">
        <v>314</v>
      </c>
      <c r="F29" s="301"/>
      <c r="G29" s="302"/>
      <c r="H29" s="244">
        <v>48</v>
      </c>
      <c r="I29" s="47"/>
      <c r="J29" s="51"/>
      <c r="K29" s="51">
        <v>22</v>
      </c>
      <c r="L29" s="287"/>
      <c r="M29" s="288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299" t="s">
        <v>293</v>
      </c>
      <c r="D30" s="300"/>
      <c r="E30" s="44" t="s">
        <v>294</v>
      </c>
      <c r="F30" s="301"/>
      <c r="G30" s="302"/>
      <c r="H30" s="244">
        <v>120</v>
      </c>
      <c r="I30" s="47"/>
      <c r="J30" s="51"/>
      <c r="K30" s="51"/>
      <c r="L30" s="287"/>
      <c r="M30" s="288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299" t="s">
        <v>303</v>
      </c>
      <c r="D31" s="300"/>
      <c r="E31" s="44" t="s">
        <v>11</v>
      </c>
      <c r="F31" s="301"/>
      <c r="G31" s="302"/>
      <c r="H31" s="244"/>
      <c r="I31" s="47">
        <v>7200</v>
      </c>
      <c r="J31" s="51"/>
      <c r="K31" s="51"/>
      <c r="L31" s="287"/>
      <c r="M31" s="288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299" t="s">
        <v>335</v>
      </c>
      <c r="D32" s="300"/>
      <c r="E32" s="44" t="s">
        <v>336</v>
      </c>
      <c r="F32" s="301"/>
      <c r="G32" s="302"/>
      <c r="H32" s="244">
        <v>48</v>
      </c>
      <c r="I32" s="47"/>
      <c r="J32" s="51"/>
      <c r="K32" s="51"/>
      <c r="L32" s="287"/>
      <c r="M32" s="288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299" t="s">
        <v>308</v>
      </c>
      <c r="D33" s="300"/>
      <c r="E33" s="44" t="s">
        <v>8</v>
      </c>
      <c r="F33" s="301"/>
      <c r="G33" s="302"/>
      <c r="H33" s="244">
        <v>1680</v>
      </c>
      <c r="I33" s="47">
        <v>600</v>
      </c>
      <c r="J33" s="51"/>
      <c r="K33" s="51">
        <v>396</v>
      </c>
      <c r="L33" s="287">
        <v>220</v>
      </c>
      <c r="M33" s="288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299" t="s">
        <v>333</v>
      </c>
      <c r="D34" s="300"/>
      <c r="E34" s="44" t="s">
        <v>314</v>
      </c>
      <c r="F34" s="301"/>
      <c r="G34" s="302"/>
      <c r="H34" s="229"/>
      <c r="I34" s="47"/>
      <c r="J34" s="51"/>
      <c r="K34" s="51"/>
      <c r="L34" s="287"/>
      <c r="M34" s="288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299" t="s">
        <v>303</v>
      </c>
      <c r="D35" s="300"/>
      <c r="E35" s="44" t="s">
        <v>11</v>
      </c>
      <c r="F35" s="301"/>
      <c r="G35" s="302"/>
      <c r="H35" s="229"/>
      <c r="I35" s="47">
        <v>7800</v>
      </c>
      <c r="J35" s="51">
        <v>120</v>
      </c>
      <c r="K35" s="51">
        <v>110</v>
      </c>
      <c r="L35" s="287"/>
      <c r="M35" s="288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299" t="s">
        <v>338</v>
      </c>
      <c r="D36" s="300"/>
      <c r="E36" s="44" t="s">
        <v>339</v>
      </c>
      <c r="F36" s="301"/>
      <c r="G36" s="302"/>
      <c r="H36" s="229"/>
      <c r="I36" s="47"/>
      <c r="J36" s="51"/>
      <c r="K36" s="51"/>
      <c r="L36" s="287"/>
      <c r="M36" s="288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299" t="s">
        <v>340</v>
      </c>
      <c r="D37" s="300"/>
      <c r="E37" s="44" t="s">
        <v>341</v>
      </c>
      <c r="F37" s="301"/>
      <c r="G37" s="302"/>
      <c r="H37" s="229">
        <v>24</v>
      </c>
      <c r="I37" s="47"/>
      <c r="J37" s="51"/>
      <c r="K37" s="51"/>
      <c r="L37" s="287"/>
      <c r="M37" s="288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299" t="s">
        <v>287</v>
      </c>
      <c r="D38" s="300"/>
      <c r="E38" s="44" t="s">
        <v>288</v>
      </c>
      <c r="F38" s="301"/>
      <c r="G38" s="302"/>
      <c r="H38" s="229"/>
      <c r="I38" s="47"/>
      <c r="J38" s="51"/>
      <c r="K38" s="51"/>
      <c r="L38" s="287"/>
      <c r="M38" s="288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299" t="s">
        <v>329</v>
      </c>
      <c r="D39" s="300"/>
      <c r="E39" s="44" t="s">
        <v>330</v>
      </c>
      <c r="F39" s="301"/>
      <c r="G39" s="302"/>
      <c r="H39" s="229">
        <v>24</v>
      </c>
      <c r="I39" s="47">
        <v>30</v>
      </c>
      <c r="J39" s="51"/>
      <c r="K39" s="51"/>
      <c r="L39" s="287"/>
      <c r="M39" s="288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299" t="s">
        <v>308</v>
      </c>
      <c r="D40" s="300"/>
      <c r="E40" s="44" t="s">
        <v>19</v>
      </c>
      <c r="F40" s="301"/>
      <c r="G40" s="302"/>
      <c r="H40" s="243">
        <v>1200</v>
      </c>
      <c r="I40" s="47"/>
      <c r="J40" s="51">
        <v>480</v>
      </c>
      <c r="K40" s="51">
        <v>220</v>
      </c>
      <c r="L40" s="287"/>
      <c r="M40" s="288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299" t="s">
        <v>333</v>
      </c>
      <c r="D41" s="300"/>
      <c r="E41" s="44" t="s">
        <v>314</v>
      </c>
      <c r="F41" s="301"/>
      <c r="G41" s="302"/>
      <c r="H41" s="229">
        <v>48</v>
      </c>
      <c r="I41" s="47"/>
      <c r="J41" s="51"/>
      <c r="K41" s="51"/>
      <c r="L41" s="287"/>
      <c r="M41" s="288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299" t="s">
        <v>344</v>
      </c>
      <c r="D42" s="300"/>
      <c r="E42" s="44" t="s">
        <v>345</v>
      </c>
      <c r="F42" s="301"/>
      <c r="G42" s="302"/>
      <c r="H42" s="229"/>
      <c r="I42" s="47"/>
      <c r="J42" s="51"/>
      <c r="K42" s="51"/>
      <c r="L42" s="287"/>
      <c r="M42" s="288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299" t="s">
        <v>347</v>
      </c>
      <c r="D43" s="300"/>
      <c r="E43" s="44" t="s">
        <v>348</v>
      </c>
      <c r="F43" s="301"/>
      <c r="G43" s="302"/>
      <c r="H43" s="229"/>
      <c r="I43" s="47"/>
      <c r="J43" s="51"/>
      <c r="K43" s="51"/>
      <c r="L43" s="287"/>
      <c r="M43" s="288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299" t="s">
        <v>349</v>
      </c>
      <c r="D44" s="300"/>
      <c r="E44" s="44" t="s">
        <v>350</v>
      </c>
      <c r="F44" s="301"/>
      <c r="G44" s="302"/>
      <c r="H44" s="229"/>
      <c r="I44" s="47">
        <v>150</v>
      </c>
      <c r="J44" s="51"/>
      <c r="K44" s="51"/>
      <c r="L44" s="287"/>
      <c r="M44" s="288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299" t="s">
        <v>351</v>
      </c>
      <c r="D45" s="300"/>
      <c r="E45" s="44" t="s">
        <v>352</v>
      </c>
      <c r="F45" s="301"/>
      <c r="G45" s="302"/>
      <c r="H45" s="229"/>
      <c r="I45" s="47"/>
      <c r="J45" s="51"/>
      <c r="K45" s="51"/>
      <c r="L45" s="287"/>
      <c r="M45" s="288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299" t="s">
        <v>331</v>
      </c>
      <c r="D46" s="300"/>
      <c r="E46" s="44" t="s">
        <v>20</v>
      </c>
      <c r="F46" s="301"/>
      <c r="G46" s="302"/>
      <c r="H46" s="229"/>
      <c r="I46" s="47"/>
      <c r="J46" s="51"/>
      <c r="K46" s="51">
        <v>330</v>
      </c>
      <c r="L46" s="287">
        <v>110</v>
      </c>
      <c r="M46" s="288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299" t="s">
        <v>353</v>
      </c>
      <c r="D47" s="300"/>
      <c r="E47" s="44" t="s">
        <v>354</v>
      </c>
      <c r="F47" s="301"/>
      <c r="G47" s="302"/>
      <c r="H47" s="229"/>
      <c r="I47" s="47">
        <v>60</v>
      </c>
      <c r="J47" s="51"/>
      <c r="K47" s="51"/>
      <c r="L47" s="287"/>
      <c r="M47" s="288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299" t="s">
        <v>319</v>
      </c>
      <c r="D48" s="300"/>
      <c r="E48" s="44" t="s">
        <v>10</v>
      </c>
      <c r="F48" s="301"/>
      <c r="G48" s="302"/>
      <c r="H48" s="229"/>
      <c r="I48" s="47">
        <v>1050</v>
      </c>
      <c r="J48" s="51"/>
      <c r="K48" s="51"/>
      <c r="L48" s="287"/>
      <c r="M48" s="288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299" t="s">
        <v>320</v>
      </c>
      <c r="D49" s="300"/>
      <c r="E49" s="44" t="s">
        <v>10</v>
      </c>
      <c r="F49" s="301"/>
      <c r="G49" s="302"/>
      <c r="H49" s="229"/>
      <c r="I49" s="47"/>
      <c r="J49" s="51"/>
      <c r="K49" s="51"/>
      <c r="L49" s="287"/>
      <c r="M49" s="288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299" t="s">
        <v>321</v>
      </c>
      <c r="D50" s="300"/>
      <c r="E50" s="44" t="s">
        <v>10</v>
      </c>
      <c r="F50" s="301"/>
      <c r="G50" s="302"/>
      <c r="H50" s="229"/>
      <c r="I50" s="47">
        <v>300</v>
      </c>
      <c r="J50" s="51"/>
      <c r="K50" s="51"/>
      <c r="L50" s="287"/>
      <c r="M50" s="288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299" t="s">
        <v>327</v>
      </c>
      <c r="D51" s="300"/>
      <c r="E51" s="44" t="s">
        <v>305</v>
      </c>
      <c r="F51" s="301"/>
      <c r="G51" s="302"/>
      <c r="H51" s="229"/>
      <c r="I51" s="47">
        <v>150</v>
      </c>
      <c r="J51" s="51"/>
      <c r="K51" s="51"/>
      <c r="L51" s="287"/>
      <c r="M51" s="288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38" t="s">
        <v>16</v>
      </c>
      <c r="B52" s="339"/>
      <c r="C52" s="339"/>
      <c r="D52" s="61"/>
      <c r="E52" s="59"/>
      <c r="F52" s="295">
        <f>SUM(F5:G51)</f>
        <v>600</v>
      </c>
      <c r="G52" s="297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298">
        <f>SUM(L5:M51)</f>
        <v>330</v>
      </c>
      <c r="M52" s="296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38"/>
      <c r="B53" s="339"/>
      <c r="C53" s="339"/>
      <c r="D53" s="61"/>
      <c r="E53" s="59"/>
      <c r="F53" s="295">
        <f>F4+F52</f>
        <v>4176</v>
      </c>
      <c r="G53" s="297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298">
        <f>L4+L52</f>
        <v>1782</v>
      </c>
      <c r="M53" s="296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40" t="s">
        <v>358</v>
      </c>
      <c r="B55" s="341"/>
      <c r="C55" s="341"/>
      <c r="D55" s="341"/>
      <c r="E55" s="341"/>
      <c r="F55" s="341"/>
      <c r="G55" s="341"/>
      <c r="H55" s="341"/>
      <c r="I55" s="341"/>
      <c r="J55" s="341"/>
      <c r="K55" s="341"/>
      <c r="L55" s="341"/>
      <c r="M55" s="341"/>
      <c r="N55" s="341"/>
      <c r="O55" s="341"/>
      <c r="P55" s="341"/>
      <c r="Q55" s="342"/>
      <c r="R55" s="1"/>
      <c r="S55" s="1"/>
      <c r="T55" s="28"/>
    </row>
    <row r="56" spans="1:24" ht="15.75" customHeight="1" thickBot="1">
      <c r="A56" s="343" t="s">
        <v>34</v>
      </c>
      <c r="B56" s="344"/>
      <c r="C56" s="347" t="s">
        <v>33</v>
      </c>
      <c r="D56" s="347" t="s">
        <v>11</v>
      </c>
      <c r="E56" s="350" t="s">
        <v>19</v>
      </c>
      <c r="F56" s="343" t="s">
        <v>8</v>
      </c>
      <c r="G56" s="344"/>
      <c r="H56" s="352" t="s">
        <v>10</v>
      </c>
      <c r="I56" s="353"/>
      <c r="J56" s="354"/>
      <c r="K56" s="355" t="s">
        <v>25</v>
      </c>
      <c r="L56" s="356"/>
      <c r="M56" s="356"/>
      <c r="N56" s="356"/>
      <c r="O56" s="357"/>
      <c r="P56" s="347" t="s">
        <v>20</v>
      </c>
      <c r="Q56" s="358" t="s">
        <v>38</v>
      </c>
      <c r="R56" s="1"/>
      <c r="S56" s="1"/>
      <c r="T56" s="28"/>
    </row>
    <row r="57" spans="1:24" ht="15.75" thickBot="1">
      <c r="A57" s="345"/>
      <c r="B57" s="346"/>
      <c r="C57" s="348"/>
      <c r="D57" s="349"/>
      <c r="E57" s="351"/>
      <c r="F57" s="345"/>
      <c r="G57" s="346"/>
      <c r="H57" s="69" t="s">
        <v>49</v>
      </c>
      <c r="I57" s="69" t="s">
        <v>48</v>
      </c>
      <c r="J57" s="69" t="s">
        <v>50</v>
      </c>
      <c r="K57" s="69" t="s">
        <v>24</v>
      </c>
      <c r="L57" s="355" t="s">
        <v>47</v>
      </c>
      <c r="M57" s="357"/>
      <c r="N57" s="69" t="s">
        <v>46</v>
      </c>
      <c r="O57" s="69" t="s">
        <v>45</v>
      </c>
      <c r="P57" s="349"/>
      <c r="Q57" s="359"/>
      <c r="T57" s="28"/>
    </row>
    <row r="58" spans="1:24" ht="15" customHeight="1">
      <c r="A58" s="343" t="s">
        <v>27</v>
      </c>
      <c r="B58" s="344"/>
      <c r="C58" s="213" t="s">
        <v>28</v>
      </c>
      <c r="D58" s="213"/>
      <c r="E58" s="4">
        <v>480</v>
      </c>
      <c r="F58" s="365">
        <v>24</v>
      </c>
      <c r="G58" s="365"/>
      <c r="H58" s="4"/>
      <c r="I58" s="212"/>
      <c r="J58" s="4"/>
      <c r="K58" s="212"/>
      <c r="L58" s="366"/>
      <c r="M58" s="367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45"/>
      <c r="B59" s="346"/>
      <c r="C59" s="215" t="s">
        <v>29</v>
      </c>
      <c r="D59" s="215"/>
      <c r="E59" s="14">
        <v>1200</v>
      </c>
      <c r="F59" s="372">
        <f>720+1680</f>
        <v>2400</v>
      </c>
      <c r="G59" s="372"/>
      <c r="H59" s="14"/>
      <c r="I59" s="214"/>
      <c r="J59" s="14"/>
      <c r="K59" s="214"/>
      <c r="L59" s="373"/>
      <c r="M59" s="374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43" t="s">
        <v>41</v>
      </c>
      <c r="B60" s="344"/>
      <c r="C60" s="4" t="s">
        <v>30</v>
      </c>
      <c r="D60" s="4">
        <v>31800</v>
      </c>
      <c r="E60" s="4">
        <v>600</v>
      </c>
      <c r="F60" s="365">
        <v>660</v>
      </c>
      <c r="G60" s="365"/>
      <c r="H60" s="4"/>
      <c r="I60" s="212">
        <v>1920</v>
      </c>
      <c r="J60" s="4">
        <v>300</v>
      </c>
      <c r="K60" s="212"/>
      <c r="L60" s="366">
        <v>60</v>
      </c>
      <c r="M60" s="367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380"/>
      <c r="B61" s="381"/>
      <c r="C61" s="5" t="s">
        <v>32</v>
      </c>
      <c r="D61" s="219">
        <v>312</v>
      </c>
      <c r="E61" s="5">
        <v>480</v>
      </c>
      <c r="F61" s="385"/>
      <c r="G61" s="385"/>
      <c r="H61" s="5"/>
      <c r="I61" s="218"/>
      <c r="J61" s="5"/>
      <c r="K61" s="218"/>
      <c r="L61" s="386"/>
      <c r="M61" s="387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380"/>
      <c r="B62" s="381"/>
      <c r="C62" s="5" t="s">
        <v>43</v>
      </c>
      <c r="D62" s="219">
        <v>660</v>
      </c>
      <c r="E62" s="5">
        <v>220</v>
      </c>
      <c r="F62" s="385">
        <f>110+396</f>
        <v>506</v>
      </c>
      <c r="G62" s="385"/>
      <c r="H62" s="5"/>
      <c r="I62" s="218"/>
      <c r="J62" s="5"/>
      <c r="K62" s="218"/>
      <c r="L62" s="386"/>
      <c r="M62" s="387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45"/>
      <c r="B63" s="346"/>
      <c r="C63" s="64" t="s">
        <v>44</v>
      </c>
      <c r="D63" s="210"/>
      <c r="E63" s="15"/>
      <c r="F63" s="335">
        <v>220</v>
      </c>
      <c r="G63" s="335"/>
      <c r="H63" s="15"/>
      <c r="I63" s="209"/>
      <c r="J63" s="15"/>
      <c r="K63" s="209"/>
      <c r="L63" s="336"/>
      <c r="M63" s="337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43" t="s">
        <v>40</v>
      </c>
      <c r="B64" s="344"/>
      <c r="C64" s="217" t="s">
        <v>28</v>
      </c>
      <c r="D64" s="217">
        <v>1560</v>
      </c>
      <c r="E64" s="16">
        <f>360+480</f>
        <v>840</v>
      </c>
      <c r="F64" s="382">
        <v>120</v>
      </c>
      <c r="G64" s="382"/>
      <c r="H64" s="16">
        <v>1320</v>
      </c>
      <c r="I64" s="216">
        <v>1560</v>
      </c>
      <c r="J64" s="16"/>
      <c r="K64" s="216"/>
      <c r="L64" s="383">
        <v>48</v>
      </c>
      <c r="M64" s="384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380"/>
      <c r="B65" s="381"/>
      <c r="C65" s="219" t="s">
        <v>31</v>
      </c>
      <c r="D65" s="219">
        <v>1080</v>
      </c>
      <c r="E65" s="5">
        <v>480</v>
      </c>
      <c r="F65" s="385">
        <v>120</v>
      </c>
      <c r="G65" s="385"/>
      <c r="H65" s="5">
        <v>480</v>
      </c>
      <c r="I65" s="218"/>
      <c r="J65" s="5"/>
      <c r="K65" s="218"/>
      <c r="L65" s="386">
        <v>24</v>
      </c>
      <c r="M65" s="387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45"/>
      <c r="B66" s="346"/>
      <c r="C66" s="64" t="s">
        <v>29</v>
      </c>
      <c r="D66" s="215">
        <v>12360</v>
      </c>
      <c r="E66" s="14">
        <f>6000</f>
        <v>6000</v>
      </c>
      <c r="F66" s="372">
        <v>5400</v>
      </c>
      <c r="G66" s="372"/>
      <c r="H66" s="14">
        <v>1080</v>
      </c>
      <c r="I66" s="214">
        <v>5640</v>
      </c>
      <c r="J66" s="14">
        <v>3240</v>
      </c>
      <c r="K66" s="214"/>
      <c r="L66" s="373">
        <v>360</v>
      </c>
      <c r="M66" s="374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43" t="s">
        <v>42</v>
      </c>
      <c r="B67" s="344"/>
      <c r="C67" s="213" t="s">
        <v>31</v>
      </c>
      <c r="D67" s="213">
        <v>7320</v>
      </c>
      <c r="E67" s="4">
        <v>240</v>
      </c>
      <c r="F67" s="365">
        <v>300</v>
      </c>
      <c r="G67" s="365"/>
      <c r="H67" s="4"/>
      <c r="I67" s="212"/>
      <c r="J67" s="4"/>
      <c r="K67" s="212"/>
      <c r="L67" s="366">
        <v>60</v>
      </c>
      <c r="M67" s="367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45"/>
      <c r="B68" s="346"/>
      <c r="C68" s="64" t="s">
        <v>29</v>
      </c>
      <c r="D68" s="15">
        <v>600</v>
      </c>
      <c r="E68" s="15"/>
      <c r="F68" s="335"/>
      <c r="G68" s="335"/>
      <c r="H68" s="15"/>
      <c r="I68" s="209"/>
      <c r="J68" s="15"/>
      <c r="K68" s="209"/>
      <c r="L68" s="336"/>
      <c r="M68" s="337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68" t="s">
        <v>37</v>
      </c>
      <c r="B69" s="369"/>
      <c r="C69" s="369"/>
      <c r="D69" s="23">
        <f>SUM(D58:D68)</f>
        <v>55692</v>
      </c>
      <c r="E69" s="23">
        <f t="shared" ref="E69" si="4">SUM(E58:E68)</f>
        <v>10540</v>
      </c>
      <c r="F69" s="370">
        <f>SUM(F58:G68)</f>
        <v>9750</v>
      </c>
      <c r="G69" s="371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70">
        <f>SUM(L58:M68)</f>
        <v>552</v>
      </c>
      <c r="M69" s="371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75" t="s">
        <v>36</v>
      </c>
      <c r="B70" s="376"/>
      <c r="C70" s="376"/>
      <c r="D70" s="377">
        <f>D69+E69+F69+H69+I69+J69+K69+L69+N69+O69+P69</f>
        <v>105428</v>
      </c>
      <c r="E70" s="378"/>
      <c r="F70" s="378"/>
      <c r="G70" s="378"/>
      <c r="H70" s="378"/>
      <c r="I70" s="378"/>
      <c r="J70" s="378"/>
      <c r="K70" s="378"/>
      <c r="L70" s="378"/>
      <c r="M70" s="378"/>
      <c r="N70" s="378"/>
      <c r="O70" s="378"/>
      <c r="P70" s="378"/>
      <c r="Q70" s="379"/>
      <c r="T70" s="28"/>
      <c r="V70" s="13"/>
    </row>
    <row r="71" spans="1:22" s="20" customFormat="1" ht="15" customHeight="1" thickBot="1">
      <c r="A71" s="360" t="s">
        <v>26</v>
      </c>
      <c r="B71" s="361"/>
      <c r="C71" s="361"/>
      <c r="D71" s="22">
        <v>17582415</v>
      </c>
      <c r="E71" s="22">
        <v>3309541</v>
      </c>
      <c r="F71" s="362">
        <f>810866+2284848</f>
        <v>3095714</v>
      </c>
      <c r="G71" s="363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64">
        <v>178670</v>
      </c>
      <c r="M71" s="363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tabSelected="1" zoomScaleNormal="100" workbookViewId="0">
      <pane ySplit="2" topLeftCell="A52" activePane="bottomLeft" state="frozen"/>
      <selection pane="bottomLeft" activeCell="W58" sqref="W58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98" t="s">
        <v>359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  <c r="O1" s="399"/>
      <c r="P1" s="399"/>
      <c r="Q1" s="399"/>
      <c r="R1" s="399"/>
      <c r="S1" s="399"/>
      <c r="T1" s="400"/>
    </row>
    <row r="2" spans="1:23" s="6" customFormat="1" ht="12.75" customHeight="1">
      <c r="A2" s="401" t="s">
        <v>9</v>
      </c>
      <c r="B2" s="401" t="s">
        <v>13</v>
      </c>
      <c r="C2" s="318" t="s">
        <v>23</v>
      </c>
      <c r="D2" s="408"/>
      <c r="E2" s="403" t="s">
        <v>15</v>
      </c>
      <c r="F2" s="324" t="s">
        <v>0</v>
      </c>
      <c r="G2" s="316"/>
      <c r="H2" s="325"/>
      <c r="I2" s="326" t="s">
        <v>39</v>
      </c>
      <c r="J2" s="327"/>
      <c r="K2" s="327"/>
      <c r="L2" s="328"/>
      <c r="M2" s="325"/>
      <c r="N2" s="326" t="s">
        <v>1</v>
      </c>
      <c r="O2" s="327"/>
      <c r="P2" s="325"/>
      <c r="Q2" s="329" t="s">
        <v>2</v>
      </c>
      <c r="R2" s="330"/>
      <c r="S2" s="319" t="s">
        <v>14</v>
      </c>
      <c r="T2" s="289" t="s">
        <v>12</v>
      </c>
    </row>
    <row r="3" spans="1:23" s="6" customFormat="1" ht="24.75" customHeight="1" thickBot="1">
      <c r="A3" s="405"/>
      <c r="B3" s="405"/>
      <c r="C3" s="409"/>
      <c r="D3" s="410"/>
      <c r="E3" s="405"/>
      <c r="F3" s="291" t="s">
        <v>3</v>
      </c>
      <c r="G3" s="406"/>
      <c r="H3" s="9" t="s">
        <v>4</v>
      </c>
      <c r="I3" s="10" t="s">
        <v>22</v>
      </c>
      <c r="J3" s="11" t="s">
        <v>7</v>
      </c>
      <c r="K3" s="11" t="s">
        <v>17</v>
      </c>
      <c r="L3" s="293" t="s">
        <v>18</v>
      </c>
      <c r="M3" s="40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10"/>
      <c r="T3" s="405"/>
    </row>
    <row r="4" spans="1:23" s="18" customFormat="1" ht="15.75" customHeight="1" thickBot="1">
      <c r="A4" s="261" t="s">
        <v>35</v>
      </c>
      <c r="B4" s="30"/>
      <c r="C4" s="295"/>
      <c r="D4" s="296"/>
      <c r="E4" s="31"/>
      <c r="F4" s="295">
        <v>4176</v>
      </c>
      <c r="G4" s="297"/>
      <c r="H4" s="263">
        <v>24000</v>
      </c>
      <c r="I4" s="32">
        <v>168090</v>
      </c>
      <c r="J4" s="33">
        <v>2160</v>
      </c>
      <c r="K4" s="263">
        <v>9526</v>
      </c>
      <c r="L4" s="298">
        <v>1782</v>
      </c>
      <c r="M4" s="296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03" t="s">
        <v>361</v>
      </c>
      <c r="D5" s="304"/>
      <c r="E5" s="151" t="s">
        <v>8</v>
      </c>
      <c r="F5" s="305"/>
      <c r="G5" s="306"/>
      <c r="H5" s="265">
        <v>1920</v>
      </c>
      <c r="I5" s="39">
        <v>300</v>
      </c>
      <c r="J5" s="40"/>
      <c r="K5" s="40">
        <v>330</v>
      </c>
      <c r="L5" s="307"/>
      <c r="M5" s="308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299" t="s">
        <v>284</v>
      </c>
      <c r="D6" s="300"/>
      <c r="E6" s="44" t="s">
        <v>363</v>
      </c>
      <c r="F6" s="301"/>
      <c r="G6" s="302"/>
      <c r="H6" s="249">
        <v>24</v>
      </c>
      <c r="I6" s="47"/>
      <c r="J6" s="51"/>
      <c r="K6" s="51">
        <v>22</v>
      </c>
      <c r="L6" s="287">
        <v>22</v>
      </c>
      <c r="M6" s="288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299" t="s">
        <v>316</v>
      </c>
      <c r="D7" s="300"/>
      <c r="E7" s="44" t="s">
        <v>318</v>
      </c>
      <c r="F7" s="301"/>
      <c r="G7" s="302"/>
      <c r="H7" s="249"/>
      <c r="I7" s="47"/>
      <c r="J7" s="51"/>
      <c r="K7" s="51"/>
      <c r="L7" s="287"/>
      <c r="M7" s="288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301" t="s">
        <v>366</v>
      </c>
      <c r="D8" s="288"/>
      <c r="E8" s="44" t="s">
        <v>101</v>
      </c>
      <c r="F8" s="301"/>
      <c r="G8" s="302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391" t="s">
        <v>293</v>
      </c>
      <c r="D9" s="310"/>
      <c r="E9" s="44" t="s">
        <v>294</v>
      </c>
      <c r="F9" s="301"/>
      <c r="G9" s="302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301" t="s">
        <v>331</v>
      </c>
      <c r="D10" s="288"/>
      <c r="E10" s="44" t="s">
        <v>20</v>
      </c>
      <c r="F10" s="301"/>
      <c r="G10" s="302"/>
      <c r="H10" s="249"/>
      <c r="I10" s="47"/>
      <c r="J10" s="51"/>
      <c r="K10" s="51"/>
      <c r="L10" s="287"/>
      <c r="M10" s="288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301" t="s">
        <v>396</v>
      </c>
      <c r="D11" s="288"/>
      <c r="E11" s="44" t="s">
        <v>354</v>
      </c>
      <c r="F11" s="301">
        <v>24</v>
      </c>
      <c r="G11" s="302"/>
      <c r="H11" s="249">
        <v>96</v>
      </c>
      <c r="I11" s="47"/>
      <c r="J11" s="51"/>
      <c r="K11" s="51"/>
      <c r="L11" s="287"/>
      <c r="M11" s="288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299" t="s">
        <v>323</v>
      </c>
      <c r="D12" s="300"/>
      <c r="E12" s="55" t="s">
        <v>11</v>
      </c>
      <c r="F12" s="301"/>
      <c r="G12" s="302"/>
      <c r="H12" s="249"/>
      <c r="I12" s="47">
        <v>6600</v>
      </c>
      <c r="J12" s="51">
        <v>96</v>
      </c>
      <c r="K12" s="51"/>
      <c r="L12" s="287"/>
      <c r="M12" s="288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299" t="s">
        <v>290</v>
      </c>
      <c r="D13" s="300"/>
      <c r="E13" s="44" t="s">
        <v>291</v>
      </c>
      <c r="F13" s="301"/>
      <c r="G13" s="302"/>
      <c r="H13" s="249"/>
      <c r="I13" s="47"/>
      <c r="J13" s="51"/>
      <c r="K13" s="51"/>
      <c r="L13" s="287"/>
      <c r="M13" s="288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301" t="s">
        <v>371</v>
      </c>
      <c r="D14" s="288"/>
      <c r="E14" s="44" t="s">
        <v>314</v>
      </c>
      <c r="F14" s="301"/>
      <c r="G14" s="302"/>
      <c r="H14" s="249"/>
      <c r="I14" s="47"/>
      <c r="J14" s="51"/>
      <c r="K14" s="51"/>
      <c r="L14" s="287"/>
      <c r="M14" s="288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299" t="s">
        <v>361</v>
      </c>
      <c r="D15" s="300"/>
      <c r="E15" s="44" t="s">
        <v>19</v>
      </c>
      <c r="F15" s="301">
        <v>480</v>
      </c>
      <c r="G15" s="302"/>
      <c r="H15" s="249">
        <v>1200</v>
      </c>
      <c r="I15" s="47">
        <v>900</v>
      </c>
      <c r="J15" s="51"/>
      <c r="K15" s="51"/>
      <c r="L15" s="287"/>
      <c r="M15" s="288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301" t="s">
        <v>361</v>
      </c>
      <c r="D16" s="288"/>
      <c r="E16" s="44" t="s">
        <v>8</v>
      </c>
      <c r="F16" s="301">
        <v>360</v>
      </c>
      <c r="G16" s="302"/>
      <c r="H16" s="249">
        <v>240</v>
      </c>
      <c r="I16" s="47">
        <v>600</v>
      </c>
      <c r="J16" s="51"/>
      <c r="K16" s="51">
        <v>220</v>
      </c>
      <c r="L16" s="287">
        <v>220</v>
      </c>
      <c r="M16" s="288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392" t="s">
        <v>335</v>
      </c>
      <c r="D17" s="393"/>
      <c r="E17" s="232" t="s">
        <v>336</v>
      </c>
      <c r="F17" s="394"/>
      <c r="G17" s="395"/>
      <c r="H17" s="268">
        <v>48</v>
      </c>
      <c r="I17" s="234"/>
      <c r="J17" s="235"/>
      <c r="K17" s="235"/>
      <c r="L17" s="396"/>
      <c r="M17" s="397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301" t="s">
        <v>373</v>
      </c>
      <c r="D18" s="288"/>
      <c r="E18" s="55" t="s">
        <v>294</v>
      </c>
      <c r="F18" s="301"/>
      <c r="G18" s="302"/>
      <c r="H18" s="249"/>
      <c r="I18" s="47"/>
      <c r="J18" s="51"/>
      <c r="K18" s="51"/>
      <c r="L18" s="287"/>
      <c r="M18" s="288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301" t="s">
        <v>323</v>
      </c>
      <c r="D19" s="288"/>
      <c r="E19" s="44" t="s">
        <v>11</v>
      </c>
      <c r="F19" s="301"/>
      <c r="G19" s="302"/>
      <c r="H19" s="286"/>
      <c r="I19" s="285">
        <v>8700</v>
      </c>
      <c r="J19" s="411"/>
      <c r="K19" s="51"/>
      <c r="L19" s="287"/>
      <c r="M19" s="288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301" t="s">
        <v>319</v>
      </c>
      <c r="D20" s="288"/>
      <c r="E20" s="44" t="s">
        <v>10</v>
      </c>
      <c r="F20" s="301"/>
      <c r="G20" s="302"/>
      <c r="H20" s="249"/>
      <c r="I20" s="47">
        <v>2100</v>
      </c>
      <c r="J20" s="51"/>
      <c r="K20" s="51"/>
      <c r="L20" s="287"/>
      <c r="M20" s="288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301" t="s">
        <v>320</v>
      </c>
      <c r="D21" s="288"/>
      <c r="E21" s="44" t="s">
        <v>10</v>
      </c>
      <c r="F21" s="301"/>
      <c r="G21" s="302"/>
      <c r="H21" s="249"/>
      <c r="I21" s="47"/>
      <c r="J21" s="51"/>
      <c r="K21" s="51"/>
      <c r="L21" s="287"/>
      <c r="M21" s="288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299" t="s">
        <v>321</v>
      </c>
      <c r="D22" s="300"/>
      <c r="E22" s="44" t="s">
        <v>10</v>
      </c>
      <c r="F22" s="301"/>
      <c r="G22" s="302"/>
      <c r="H22" s="249"/>
      <c r="I22" s="47">
        <v>900</v>
      </c>
      <c r="J22" s="51"/>
      <c r="K22" s="51"/>
      <c r="L22" s="287"/>
      <c r="M22" s="288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299" t="s">
        <v>376</v>
      </c>
      <c r="D23" s="300"/>
      <c r="E23" s="44" t="s">
        <v>377</v>
      </c>
      <c r="F23" s="301"/>
      <c r="G23" s="302"/>
      <c r="H23" s="249"/>
      <c r="I23" s="47"/>
      <c r="J23" s="51"/>
      <c r="K23" s="51"/>
      <c r="L23" s="287"/>
      <c r="M23" s="288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299" t="s">
        <v>379</v>
      </c>
      <c r="D24" s="300"/>
      <c r="E24" s="44" t="s">
        <v>380</v>
      </c>
      <c r="F24" s="301"/>
      <c r="G24" s="302"/>
      <c r="H24" s="249"/>
      <c r="I24" s="47"/>
      <c r="J24" s="51"/>
      <c r="K24" s="51"/>
      <c r="L24" s="287"/>
      <c r="M24" s="288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299" t="s">
        <v>284</v>
      </c>
      <c r="D25" s="300"/>
      <c r="E25" s="44" t="s">
        <v>381</v>
      </c>
      <c r="F25" s="301"/>
      <c r="G25" s="302"/>
      <c r="H25" s="249">
        <v>24</v>
      </c>
      <c r="I25" s="47"/>
      <c r="J25" s="51"/>
      <c r="K25" s="51"/>
      <c r="L25" s="287"/>
      <c r="M25" s="288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299" t="s">
        <v>361</v>
      </c>
      <c r="D26" s="300"/>
      <c r="E26" s="44" t="s">
        <v>8</v>
      </c>
      <c r="F26" s="301">
        <v>24</v>
      </c>
      <c r="G26" s="302"/>
      <c r="H26" s="249">
        <v>360</v>
      </c>
      <c r="I26" s="47">
        <v>90</v>
      </c>
      <c r="J26" s="51"/>
      <c r="K26" s="51">
        <v>110</v>
      </c>
      <c r="L26" s="287">
        <v>110</v>
      </c>
      <c r="M26" s="288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299" t="s">
        <v>371</v>
      </c>
      <c r="D27" s="300"/>
      <c r="E27" s="44" t="s">
        <v>314</v>
      </c>
      <c r="F27" s="301"/>
      <c r="G27" s="302"/>
      <c r="H27" s="249">
        <v>72</v>
      </c>
      <c r="I27" s="47"/>
      <c r="J27" s="51"/>
      <c r="K27" s="51"/>
      <c r="L27" s="287"/>
      <c r="M27" s="288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299" t="s">
        <v>373</v>
      </c>
      <c r="D28" s="300"/>
      <c r="E28" s="44" t="s">
        <v>294</v>
      </c>
      <c r="F28" s="301"/>
      <c r="G28" s="302"/>
      <c r="H28" s="249"/>
      <c r="I28" s="47"/>
      <c r="J28" s="51"/>
      <c r="K28" s="51"/>
      <c r="L28" s="287"/>
      <c r="M28" s="288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299" t="s">
        <v>323</v>
      </c>
      <c r="D29" s="300"/>
      <c r="E29" s="44" t="s">
        <v>11</v>
      </c>
      <c r="F29" s="301">
        <v>72</v>
      </c>
      <c r="G29" s="302"/>
      <c r="H29" s="249">
        <v>72</v>
      </c>
      <c r="I29" s="47">
        <v>4800</v>
      </c>
      <c r="J29" s="51"/>
      <c r="K29" s="51">
        <v>110</v>
      </c>
      <c r="L29" s="287"/>
      <c r="M29" s="288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299" t="s">
        <v>319</v>
      </c>
      <c r="D30" s="300"/>
      <c r="E30" s="44" t="s">
        <v>10</v>
      </c>
      <c r="F30" s="301"/>
      <c r="G30" s="302"/>
      <c r="H30" s="249"/>
      <c r="I30" s="47">
        <v>1800</v>
      </c>
      <c r="J30" s="51"/>
      <c r="K30" s="51"/>
      <c r="L30" s="287"/>
      <c r="M30" s="288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299" t="s">
        <v>385</v>
      </c>
      <c r="D31" s="300"/>
      <c r="E31" s="44" t="s">
        <v>315</v>
      </c>
      <c r="F31" s="301"/>
      <c r="G31" s="302"/>
      <c r="H31" s="249"/>
      <c r="I31" s="47"/>
      <c r="J31" s="51"/>
      <c r="K31" s="51"/>
      <c r="L31" s="287"/>
      <c r="M31" s="288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299" t="s">
        <v>387</v>
      </c>
      <c r="D32" s="300"/>
      <c r="E32" s="44" t="s">
        <v>388</v>
      </c>
      <c r="F32" s="301"/>
      <c r="G32" s="302"/>
      <c r="H32" s="249">
        <v>48</v>
      </c>
      <c r="I32" s="47"/>
      <c r="J32" s="51"/>
      <c r="K32" s="51"/>
      <c r="L32" s="287"/>
      <c r="M32" s="288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299" t="s">
        <v>295</v>
      </c>
      <c r="D33" s="300"/>
      <c r="E33" s="44" t="s">
        <v>46</v>
      </c>
      <c r="F33" s="301"/>
      <c r="G33" s="302"/>
      <c r="H33" s="249"/>
      <c r="I33" s="47">
        <v>300</v>
      </c>
      <c r="J33" s="51"/>
      <c r="K33" s="51"/>
      <c r="L33" s="287"/>
      <c r="M33" s="288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301" t="s">
        <v>316</v>
      </c>
      <c r="D34" s="288"/>
      <c r="E34" s="44" t="s">
        <v>318</v>
      </c>
      <c r="F34" s="301"/>
      <c r="G34" s="302"/>
      <c r="H34" s="279"/>
      <c r="I34" s="47"/>
      <c r="J34" s="51"/>
      <c r="K34" s="51"/>
      <c r="L34" s="287"/>
      <c r="M34" s="288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301" t="s">
        <v>323</v>
      </c>
      <c r="D35" s="288"/>
      <c r="E35" s="44" t="s">
        <v>11</v>
      </c>
      <c r="F35" s="301"/>
      <c r="G35" s="302"/>
      <c r="H35" s="279"/>
      <c r="I35" s="47">
        <v>7500</v>
      </c>
      <c r="J35" s="51"/>
      <c r="K35" s="51">
        <v>110</v>
      </c>
      <c r="L35" s="287"/>
      <c r="M35" s="288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301" t="s">
        <v>331</v>
      </c>
      <c r="D36" s="288"/>
      <c r="E36" s="44" t="s">
        <v>20</v>
      </c>
      <c r="F36" s="301"/>
      <c r="G36" s="302"/>
      <c r="H36" s="279"/>
      <c r="I36" s="47">
        <v>900</v>
      </c>
      <c r="J36" s="51"/>
      <c r="K36" s="51"/>
      <c r="L36" s="287"/>
      <c r="M36" s="288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301" t="s">
        <v>371</v>
      </c>
      <c r="D37" s="288"/>
      <c r="E37" s="44" t="s">
        <v>314</v>
      </c>
      <c r="F37" s="301"/>
      <c r="G37" s="302"/>
      <c r="H37" s="279"/>
      <c r="I37" s="47">
        <v>30</v>
      </c>
      <c r="J37" s="51"/>
      <c r="K37" s="51"/>
      <c r="L37" s="287"/>
      <c r="M37" s="288"/>
      <c r="N37" s="282"/>
      <c r="O37" s="279"/>
      <c r="P37" s="286"/>
      <c r="Q37" s="285"/>
      <c r="R37" s="51"/>
      <c r="S37" s="148">
        <f t="shared" si="0"/>
        <v>30</v>
      </c>
      <c r="T37" s="53">
        <v>9246</v>
      </c>
    </row>
    <row r="38" spans="1:20" ht="15.75" customHeight="1" thickBot="1">
      <c r="A38" s="282" t="s">
        <v>389</v>
      </c>
      <c r="B38" s="150">
        <v>252</v>
      </c>
      <c r="C38" s="301" t="s">
        <v>300</v>
      </c>
      <c r="D38" s="288"/>
      <c r="E38" s="44" t="s">
        <v>301</v>
      </c>
      <c r="F38" s="301">
        <v>72</v>
      </c>
      <c r="G38" s="302"/>
      <c r="H38" s="279">
        <v>120</v>
      </c>
      <c r="I38" s="47"/>
      <c r="J38" s="51"/>
      <c r="K38" s="51"/>
      <c r="L38" s="287"/>
      <c r="M38" s="288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301" t="s">
        <v>327</v>
      </c>
      <c r="D39" s="288"/>
      <c r="E39" s="44" t="s">
        <v>101</v>
      </c>
      <c r="F39" s="301"/>
      <c r="G39" s="302"/>
      <c r="H39" s="279"/>
      <c r="I39" s="47"/>
      <c r="J39" s="51"/>
      <c r="K39" s="51"/>
      <c r="L39" s="287"/>
      <c r="M39" s="288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301" t="s">
        <v>293</v>
      </c>
      <c r="D40" s="288"/>
      <c r="E40" s="44" t="s">
        <v>294</v>
      </c>
      <c r="F40" s="301"/>
      <c r="G40" s="302"/>
      <c r="H40" s="279">
        <v>120</v>
      </c>
      <c r="I40" s="47"/>
      <c r="J40" s="51"/>
      <c r="K40" s="51"/>
      <c r="L40" s="287"/>
      <c r="M40" s="288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301" t="s">
        <v>391</v>
      </c>
      <c r="D41" s="288"/>
      <c r="E41" s="44" t="s">
        <v>392</v>
      </c>
      <c r="F41" s="301"/>
      <c r="G41" s="302"/>
      <c r="H41" s="279"/>
      <c r="I41" s="47">
        <v>30</v>
      </c>
      <c r="J41" s="51"/>
      <c r="K41" s="51">
        <v>22</v>
      </c>
      <c r="L41" s="287"/>
      <c r="M41" s="288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301" t="s">
        <v>361</v>
      </c>
      <c r="D42" s="288"/>
      <c r="E42" s="44" t="s">
        <v>19</v>
      </c>
      <c r="F42" s="301">
        <v>720</v>
      </c>
      <c r="G42" s="302"/>
      <c r="H42" s="279">
        <v>960</v>
      </c>
      <c r="I42" s="47">
        <v>1050</v>
      </c>
      <c r="J42" s="51">
        <v>288</v>
      </c>
      <c r="K42" s="51">
        <v>110</v>
      </c>
      <c r="L42" s="287"/>
      <c r="M42" s="288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301" t="s">
        <v>323</v>
      </c>
      <c r="D43" s="288"/>
      <c r="E43" s="44" t="s">
        <v>11</v>
      </c>
      <c r="F43" s="301"/>
      <c r="G43" s="302"/>
      <c r="H43" s="279"/>
      <c r="I43" s="47">
        <v>6600</v>
      </c>
      <c r="J43" s="51"/>
      <c r="K43" s="51">
        <v>550</v>
      </c>
      <c r="L43" s="287"/>
      <c r="M43" s="288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301" t="s">
        <v>396</v>
      </c>
      <c r="D44" s="288"/>
      <c r="E44" s="44" t="s">
        <v>354</v>
      </c>
      <c r="F44" s="301"/>
      <c r="G44" s="302"/>
      <c r="H44" s="279">
        <v>48</v>
      </c>
      <c r="I44" s="47">
        <v>30</v>
      </c>
      <c r="J44" s="51"/>
      <c r="K44" s="51"/>
      <c r="L44" s="287"/>
      <c r="M44" s="288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301" t="s">
        <v>287</v>
      </c>
      <c r="D45" s="288"/>
      <c r="E45" s="44" t="s">
        <v>288</v>
      </c>
      <c r="F45" s="301"/>
      <c r="G45" s="302"/>
      <c r="H45" s="279"/>
      <c r="I45" s="47"/>
      <c r="J45" s="51"/>
      <c r="K45" s="51"/>
      <c r="L45" s="287"/>
      <c r="M45" s="288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301" t="s">
        <v>347</v>
      </c>
      <c r="D46" s="288"/>
      <c r="E46" s="44" t="s">
        <v>348</v>
      </c>
      <c r="F46" s="301"/>
      <c r="G46" s="302"/>
      <c r="H46" s="279"/>
      <c r="I46" s="47"/>
      <c r="J46" s="51"/>
      <c r="K46" s="51"/>
      <c r="L46" s="287"/>
      <c r="M46" s="288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301" t="s">
        <v>398</v>
      </c>
      <c r="D47" s="288"/>
      <c r="E47" s="44" t="s">
        <v>339</v>
      </c>
      <c r="F47" s="301"/>
      <c r="G47" s="302"/>
      <c r="H47" s="279"/>
      <c r="I47" s="47"/>
      <c r="J47" s="51"/>
      <c r="K47" s="51"/>
      <c r="L47" s="287"/>
      <c r="M47" s="288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301" t="s">
        <v>399</v>
      </c>
      <c r="D48" s="288"/>
      <c r="E48" s="44" t="s">
        <v>400</v>
      </c>
      <c r="F48" s="301"/>
      <c r="G48" s="302"/>
      <c r="H48" s="283"/>
      <c r="I48" s="47"/>
      <c r="J48" s="51"/>
      <c r="K48" s="51"/>
      <c r="L48" s="287"/>
      <c r="M48" s="288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301" t="s">
        <v>319</v>
      </c>
      <c r="D49" s="288"/>
      <c r="E49" s="44" t="s">
        <v>10</v>
      </c>
      <c r="F49" s="301"/>
      <c r="G49" s="302"/>
      <c r="H49" s="283"/>
      <c r="I49" s="47"/>
      <c r="J49" s="51"/>
      <c r="K49" s="51"/>
      <c r="L49" s="287"/>
      <c r="M49" s="288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</row>
    <row r="50" spans="1:24" ht="15.75" customHeight="1" thickBot="1">
      <c r="A50" s="284" t="s">
        <v>405</v>
      </c>
      <c r="B50" s="150">
        <v>264</v>
      </c>
      <c r="C50" s="301" t="s">
        <v>321</v>
      </c>
      <c r="D50" s="288"/>
      <c r="E50" s="44" t="s">
        <v>10</v>
      </c>
      <c r="F50" s="301"/>
      <c r="G50" s="302"/>
      <c r="H50" s="283"/>
      <c r="I50" s="47"/>
      <c r="J50" s="51"/>
      <c r="K50" s="51"/>
      <c r="L50" s="287"/>
      <c r="M50" s="288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301" t="s">
        <v>331</v>
      </c>
      <c r="D51" s="288"/>
      <c r="E51" s="44" t="s">
        <v>20</v>
      </c>
      <c r="F51" s="301"/>
      <c r="G51" s="302"/>
      <c r="H51" s="283"/>
      <c r="I51" s="47"/>
      <c r="J51" s="51"/>
      <c r="K51" s="51"/>
      <c r="L51" s="287"/>
      <c r="M51" s="288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338" t="s">
        <v>16</v>
      </c>
      <c r="B52" s="339"/>
      <c r="C52" s="339"/>
      <c r="D52" s="61"/>
      <c r="E52" s="59"/>
      <c r="F52" s="295">
        <f>SUM(F5:G51)</f>
        <v>1752</v>
      </c>
      <c r="G52" s="297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298">
        <f>SUM(L5:M51)</f>
        <v>352</v>
      </c>
      <c r="M52" s="296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136024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338"/>
      <c r="B53" s="339"/>
      <c r="C53" s="339"/>
      <c r="D53" s="61"/>
      <c r="E53" s="59"/>
      <c r="F53" s="295">
        <f>F4+F52</f>
        <v>5928</v>
      </c>
      <c r="G53" s="297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298">
        <f>L4+L52</f>
        <v>2134</v>
      </c>
      <c r="M53" s="296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697130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40" t="s">
        <v>394</v>
      </c>
      <c r="B56" s="341"/>
      <c r="C56" s="341"/>
      <c r="D56" s="341"/>
      <c r="E56" s="341"/>
      <c r="F56" s="341"/>
      <c r="G56" s="341"/>
      <c r="H56" s="341"/>
      <c r="I56" s="341"/>
      <c r="J56" s="341"/>
      <c r="K56" s="341"/>
      <c r="L56" s="341"/>
      <c r="M56" s="341"/>
      <c r="N56" s="341"/>
      <c r="O56" s="341"/>
      <c r="P56" s="341"/>
      <c r="Q56" s="342"/>
      <c r="R56" s="1"/>
      <c r="S56" s="1"/>
      <c r="T56" s="28"/>
    </row>
    <row r="57" spans="1:24" ht="15.75" customHeight="1" thickBot="1">
      <c r="A57" s="343" t="s">
        <v>34</v>
      </c>
      <c r="B57" s="344"/>
      <c r="C57" s="347" t="s">
        <v>33</v>
      </c>
      <c r="D57" s="347" t="s">
        <v>11</v>
      </c>
      <c r="E57" s="350" t="s">
        <v>19</v>
      </c>
      <c r="F57" s="343" t="s">
        <v>8</v>
      </c>
      <c r="G57" s="344"/>
      <c r="H57" s="352" t="s">
        <v>10</v>
      </c>
      <c r="I57" s="353"/>
      <c r="J57" s="354"/>
      <c r="K57" s="355" t="s">
        <v>25</v>
      </c>
      <c r="L57" s="356"/>
      <c r="M57" s="356"/>
      <c r="N57" s="356"/>
      <c r="O57" s="357"/>
      <c r="P57" s="347" t="s">
        <v>20</v>
      </c>
      <c r="Q57" s="358" t="s">
        <v>38</v>
      </c>
      <c r="R57" s="1"/>
      <c r="S57" s="1"/>
      <c r="T57" s="28"/>
    </row>
    <row r="58" spans="1:24" ht="15.75" thickBot="1">
      <c r="A58" s="345"/>
      <c r="B58" s="346"/>
      <c r="C58" s="348"/>
      <c r="D58" s="349"/>
      <c r="E58" s="351"/>
      <c r="F58" s="345"/>
      <c r="G58" s="346"/>
      <c r="H58" s="69" t="s">
        <v>49</v>
      </c>
      <c r="I58" s="69" t="s">
        <v>48</v>
      </c>
      <c r="J58" s="69" t="s">
        <v>50</v>
      </c>
      <c r="K58" s="69" t="s">
        <v>24</v>
      </c>
      <c r="L58" s="355" t="s">
        <v>47</v>
      </c>
      <c r="M58" s="357"/>
      <c r="N58" s="69" t="s">
        <v>46</v>
      </c>
      <c r="O58" s="69" t="s">
        <v>45</v>
      </c>
      <c r="P58" s="349"/>
      <c r="Q58" s="359"/>
      <c r="T58" s="28"/>
    </row>
    <row r="59" spans="1:24" ht="15" customHeight="1">
      <c r="A59" s="343" t="s">
        <v>27</v>
      </c>
      <c r="B59" s="344"/>
      <c r="C59" s="252" t="s">
        <v>28</v>
      </c>
      <c r="D59" s="252">
        <v>72</v>
      </c>
      <c r="E59" s="4">
        <v>1200</v>
      </c>
      <c r="F59" s="365">
        <v>384</v>
      </c>
      <c r="G59" s="365"/>
      <c r="H59" s="4"/>
      <c r="I59" s="251"/>
      <c r="J59" s="4"/>
      <c r="K59" s="251"/>
      <c r="L59" s="366">
        <v>24</v>
      </c>
      <c r="M59" s="367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345"/>
      <c r="B60" s="346"/>
      <c r="C60" s="254" t="s">
        <v>29</v>
      </c>
      <c r="D60" s="254">
        <v>72</v>
      </c>
      <c r="E60" s="14">
        <v>2160</v>
      </c>
      <c r="F60" s="372">
        <v>2520</v>
      </c>
      <c r="G60" s="372"/>
      <c r="H60" s="14"/>
      <c r="I60" s="253"/>
      <c r="J60" s="14"/>
      <c r="K60" s="253"/>
      <c r="L60" s="373">
        <v>144</v>
      </c>
      <c r="M60" s="374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343" t="s">
        <v>41</v>
      </c>
      <c r="B61" s="344"/>
      <c r="C61" s="4" t="s">
        <v>30</v>
      </c>
      <c r="D61" s="4">
        <v>34200</v>
      </c>
      <c r="E61" s="4">
        <v>1950</v>
      </c>
      <c r="F61" s="365">
        <v>990</v>
      </c>
      <c r="G61" s="365"/>
      <c r="H61" s="4"/>
      <c r="I61" s="251">
        <v>3900</v>
      </c>
      <c r="J61" s="4">
        <v>900</v>
      </c>
      <c r="K61" s="251"/>
      <c r="L61" s="366">
        <v>30</v>
      </c>
      <c r="M61" s="367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380"/>
      <c r="B62" s="381"/>
      <c r="C62" s="5" t="s">
        <v>32</v>
      </c>
      <c r="D62" s="258">
        <v>96</v>
      </c>
      <c r="E62" s="5">
        <v>288</v>
      </c>
      <c r="F62" s="385"/>
      <c r="G62" s="385"/>
      <c r="H62" s="5"/>
      <c r="I62" s="257"/>
      <c r="J62" s="5"/>
      <c r="K62" s="257"/>
      <c r="L62" s="386"/>
      <c r="M62" s="387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380"/>
      <c r="B63" s="381"/>
      <c r="C63" s="5" t="s">
        <v>43</v>
      </c>
      <c r="D63" s="258">
        <v>770</v>
      </c>
      <c r="E63" s="5">
        <v>110</v>
      </c>
      <c r="F63" s="385">
        <v>660</v>
      </c>
      <c r="G63" s="385"/>
      <c r="H63" s="5"/>
      <c r="I63" s="257"/>
      <c r="J63" s="5"/>
      <c r="K63" s="257"/>
      <c r="L63" s="386"/>
      <c r="M63" s="387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345"/>
      <c r="B64" s="346"/>
      <c r="C64" s="64" t="s">
        <v>44</v>
      </c>
      <c r="D64" s="260"/>
      <c r="E64" s="15"/>
      <c r="F64" s="335">
        <v>330</v>
      </c>
      <c r="G64" s="335"/>
      <c r="H64" s="15"/>
      <c r="I64" s="259"/>
      <c r="J64" s="15"/>
      <c r="K64" s="259"/>
      <c r="L64" s="336"/>
      <c r="M64" s="337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343" t="s">
        <v>40</v>
      </c>
      <c r="B65" s="344"/>
      <c r="C65" s="256" t="s">
        <v>28</v>
      </c>
      <c r="D65" s="256">
        <v>3240</v>
      </c>
      <c r="E65" s="16">
        <v>1440</v>
      </c>
      <c r="F65" s="382">
        <v>240</v>
      </c>
      <c r="G65" s="382"/>
      <c r="H65" s="16">
        <v>480</v>
      </c>
      <c r="I65" s="255">
        <v>480</v>
      </c>
      <c r="J65" s="16">
        <v>240</v>
      </c>
      <c r="K65" s="255"/>
      <c r="L65" s="383">
        <v>96</v>
      </c>
      <c r="M65" s="384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380"/>
      <c r="B66" s="381"/>
      <c r="C66" s="258" t="s">
        <v>31</v>
      </c>
      <c r="D66" s="258">
        <v>2040</v>
      </c>
      <c r="E66" s="5">
        <v>960</v>
      </c>
      <c r="F66" s="385">
        <v>240</v>
      </c>
      <c r="G66" s="385"/>
      <c r="H66" s="5"/>
      <c r="I66" s="257">
        <v>240</v>
      </c>
      <c r="J66" s="5">
        <v>240</v>
      </c>
      <c r="K66" s="257"/>
      <c r="L66" s="386">
        <v>120</v>
      </c>
      <c r="M66" s="387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345"/>
      <c r="B67" s="346"/>
      <c r="C67" s="64" t="s">
        <v>29</v>
      </c>
      <c r="D67" s="254">
        <v>12840</v>
      </c>
      <c r="E67" s="14">
        <v>7800</v>
      </c>
      <c r="F67" s="372">
        <v>8400</v>
      </c>
      <c r="G67" s="372"/>
      <c r="H67" s="14">
        <v>600</v>
      </c>
      <c r="I67" s="253">
        <v>8400</v>
      </c>
      <c r="J67" s="14">
        <f>1800+600</f>
        <v>2400</v>
      </c>
      <c r="K67" s="253"/>
      <c r="L67" s="373">
        <v>768</v>
      </c>
      <c r="M67" s="374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343" t="s">
        <v>42</v>
      </c>
      <c r="B68" s="344"/>
      <c r="C68" s="252" t="s">
        <v>31</v>
      </c>
      <c r="D68" s="252">
        <v>6900</v>
      </c>
      <c r="E68" s="4">
        <v>180</v>
      </c>
      <c r="F68" s="365">
        <v>360</v>
      </c>
      <c r="G68" s="365"/>
      <c r="H68" s="4"/>
      <c r="I68" s="251"/>
      <c r="J68" s="4"/>
      <c r="K68" s="251"/>
      <c r="L68" s="366">
        <v>192</v>
      </c>
      <c r="M68" s="367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345"/>
      <c r="B69" s="346"/>
      <c r="C69" s="64" t="s">
        <v>29</v>
      </c>
      <c r="D69" s="15">
        <v>7212</v>
      </c>
      <c r="E69" s="15"/>
      <c r="F69" s="335"/>
      <c r="G69" s="335"/>
      <c r="H69" s="15"/>
      <c r="I69" s="259"/>
      <c r="J69" s="15"/>
      <c r="K69" s="259"/>
      <c r="L69" s="336"/>
      <c r="M69" s="337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368" t="s">
        <v>37</v>
      </c>
      <c r="B70" s="369"/>
      <c r="C70" s="369"/>
      <c r="D70" s="23">
        <f>SUM(D59:D69)</f>
        <v>67442</v>
      </c>
      <c r="E70" s="23">
        <f t="shared" ref="E70" si="4">SUM(E59:E69)</f>
        <v>16088</v>
      </c>
      <c r="F70" s="370">
        <f>SUM(F59:G69)</f>
        <v>14124</v>
      </c>
      <c r="G70" s="371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370">
        <f>SUM(L59:M69)</f>
        <v>1374</v>
      </c>
      <c r="M70" s="371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0</v>
      </c>
    </row>
    <row r="71" spans="1:22" ht="15.75" thickBot="1">
      <c r="A71" s="375" t="s">
        <v>407</v>
      </c>
      <c r="B71" s="376"/>
      <c r="C71" s="376"/>
      <c r="D71" s="377">
        <f>D70+E70+F70+H70+I70+J70+K70+L70+N70+O70+P70</f>
        <v>136024</v>
      </c>
      <c r="E71" s="378"/>
      <c r="F71" s="378"/>
      <c r="G71" s="378"/>
      <c r="H71" s="378"/>
      <c r="I71" s="378"/>
      <c r="J71" s="378"/>
      <c r="K71" s="378"/>
      <c r="L71" s="378"/>
      <c r="M71" s="378"/>
      <c r="N71" s="378"/>
      <c r="O71" s="378"/>
      <c r="P71" s="378"/>
      <c r="Q71" s="379"/>
      <c r="T71" s="28"/>
      <c r="V71" s="13"/>
    </row>
    <row r="72" spans="1:22" s="20" customFormat="1" ht="15" customHeight="1" thickBot="1">
      <c r="A72" s="360" t="s">
        <v>26</v>
      </c>
      <c r="B72" s="361"/>
      <c r="C72" s="361"/>
      <c r="D72" s="22">
        <v>21173229</v>
      </c>
      <c r="E72" s="22">
        <v>5017604</v>
      </c>
      <c r="F72" s="362">
        <v>4465756</v>
      </c>
      <c r="G72" s="363"/>
      <c r="H72" s="22">
        <v>334264</v>
      </c>
      <c r="I72" s="26">
        <v>4003538</v>
      </c>
      <c r="J72" s="22">
        <v>1164648</v>
      </c>
      <c r="K72" s="22">
        <v>0</v>
      </c>
      <c r="L72" s="364">
        <v>439556</v>
      </c>
      <c r="M72" s="363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40:D40"/>
    <mergeCell ref="F40:G40"/>
    <mergeCell ref="L40:M40"/>
    <mergeCell ref="C41:D41"/>
    <mergeCell ref="F41:G41"/>
    <mergeCell ref="L41:M4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L6:M6"/>
    <mergeCell ref="C12:D12"/>
    <mergeCell ref="F12:G12"/>
    <mergeCell ref="L12:M12"/>
    <mergeCell ref="C13:D13"/>
    <mergeCell ref="F13:G13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F49:G49"/>
    <mergeCell ref="L49:M49"/>
    <mergeCell ref="F50:G50"/>
    <mergeCell ref="L50:M50"/>
    <mergeCell ref="F51:G51"/>
    <mergeCell ref="L51:M5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2021-10-01T08:31:38Z</cp:lastPrinted>
  <dcterms:created xsi:type="dcterms:W3CDTF">2013-12-03T07:14:02Z</dcterms:created>
  <dcterms:modified xsi:type="dcterms:W3CDTF">2021-10-01T08:31:46Z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