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-120" yWindow="-120" windowWidth="20730" windowHeight="11160" tabRatio="584"/>
  </bookViews>
  <sheets>
    <sheet name="VARGIN TEA AC-2020-21" sheetId="1" r:id="rId1"/>
    <sheet name="ARRIVEL-2020-21" sheetId="2" r:id="rId2"/>
    <sheet name="BLEND PAPER USED-2020-21" sheetId="3" r:id="rId3"/>
    <sheet name="Sheet1" sheetId="4" r:id="rId4"/>
  </sheet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AC-2020-21'!$A$3:$AB$1421</definedName>
  </definedNames>
  <calcPr calcId="125725"/>
</workbook>
</file>

<file path=xl/calcChain.xml><?xml version="1.0" encoding="utf-8"?>
<calcChain xmlns="http://schemas.openxmlformats.org/spreadsheetml/2006/main">
  <c r="X1305" i="1"/>
  <c r="X1304"/>
  <c r="X1303"/>
  <c r="X1302"/>
  <c r="X1301"/>
  <c r="X1300"/>
  <c r="X1299"/>
  <c r="X1298"/>
  <c r="X1297"/>
  <c r="X1296"/>
  <c r="X1295"/>
  <c r="X1294"/>
  <c r="X1293"/>
  <c r="X1292"/>
  <c r="X1291"/>
  <c r="X1290"/>
  <c r="X1289"/>
  <c r="X1288"/>
  <c r="X1287"/>
  <c r="X1286"/>
  <c r="X1285"/>
  <c r="X1284"/>
  <c r="X1283"/>
  <c r="X1281"/>
  <c r="X1280"/>
  <c r="X1279"/>
  <c r="G1419"/>
  <c r="K1286"/>
  <c r="K1287"/>
  <c r="K1288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5"/>
  <c r="K1284"/>
  <c r="I1306"/>
  <c r="K1283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K1263"/>
  <c r="X1263" s="1"/>
  <c r="K1262"/>
  <c r="X1262" s="1"/>
  <c r="K1261"/>
  <c r="X1261" s="1"/>
  <c r="K1260"/>
  <c r="X1260" s="1"/>
  <c r="X1411"/>
  <c r="X1410"/>
  <c r="X1409"/>
  <c r="X1408"/>
  <c r="X1407"/>
  <c r="X1406"/>
  <c r="X1405"/>
  <c r="X1404"/>
  <c r="X1403"/>
  <c r="X1402"/>
  <c r="X1401"/>
  <c r="X1400"/>
  <c r="X1399"/>
  <c r="X1398"/>
  <c r="X1397"/>
  <c r="X1396"/>
  <c r="X1395"/>
  <c r="X1394"/>
  <c r="X1393"/>
  <c r="X1392"/>
  <c r="X1391"/>
  <c r="X1390"/>
  <c r="X1389"/>
  <c r="X1388"/>
  <c r="X1387"/>
  <c r="X1386"/>
  <c r="X1385"/>
  <c r="X1384"/>
  <c r="X1383"/>
  <c r="X1382"/>
  <c r="X1381"/>
  <c r="X1380"/>
  <c r="X1379"/>
  <c r="X1378"/>
  <c r="X1377"/>
  <c r="X1376"/>
  <c r="X1375"/>
  <c r="X1374"/>
  <c r="X1373"/>
  <c r="X1372"/>
  <c r="X1371"/>
  <c r="X1370"/>
  <c r="X1369"/>
  <c r="X1368"/>
  <c r="X1367"/>
  <c r="X1366"/>
  <c r="X1365"/>
  <c r="X1364"/>
  <c r="X1363"/>
  <c r="X1362"/>
  <c r="X1361"/>
  <c r="X1360"/>
  <c r="X1359"/>
  <c r="X1358"/>
  <c r="X1357"/>
  <c r="X1356"/>
  <c r="X1355"/>
  <c r="X1354"/>
  <c r="X1353"/>
  <c r="X1352"/>
  <c r="X1351"/>
  <c r="X1350"/>
  <c r="X1349"/>
  <c r="X1348"/>
  <c r="X1347"/>
  <c r="X1346"/>
  <c r="X1345"/>
  <c r="X1344"/>
  <c r="X1343"/>
  <c r="X1342"/>
  <c r="X1341"/>
  <c r="X1340"/>
  <c r="X1339"/>
  <c r="X1338"/>
  <c r="X1337"/>
  <c r="X1336"/>
  <c r="X1335"/>
  <c r="X1334"/>
  <c r="X1333"/>
  <c r="X1332"/>
  <c r="X1331"/>
  <c r="X1330"/>
  <c r="X1329"/>
  <c r="X1328"/>
  <c r="X1327"/>
  <c r="X1326"/>
  <c r="X1325"/>
  <c r="X1324"/>
  <c r="X1323"/>
  <c r="X1322"/>
  <c r="X1321"/>
  <c r="X1320"/>
  <c r="X1319"/>
  <c r="X1318"/>
  <c r="X1317"/>
  <c r="X1316"/>
  <c r="X1315"/>
  <c r="X1314"/>
  <c r="X1313"/>
  <c r="X1312"/>
  <c r="X1311"/>
  <c r="X1310"/>
  <c r="X1309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X1264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I1307" l="1"/>
  <c r="I1308" s="1"/>
  <c r="K1306"/>
  <c r="K1307" s="1"/>
  <c r="K1308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T14" i="3"/>
  <c r="K1139" i="1" l="1"/>
  <c r="K1071"/>
  <c r="K1168"/>
  <c r="K1220"/>
  <c r="K1259"/>
  <c r="K1277" s="1"/>
  <c r="K1278" s="1"/>
  <c r="I1078"/>
  <c r="K1068"/>
  <c r="T12" i="3"/>
  <c r="K1078" i="1" l="1"/>
  <c r="Q407"/>
  <c r="P407"/>
  <c r="M410"/>
  <c r="N240"/>
  <c r="P19" i="3"/>
  <c r="N23" i="1"/>
  <c r="M23"/>
  <c r="Q10" i="3" l="1"/>
  <c r="Q13" i="1" l="1"/>
  <c r="P13"/>
  <c r="Q28"/>
  <c r="P28"/>
  <c r="P19" l="1"/>
  <c r="Q19"/>
  <c r="X1198" l="1"/>
  <c r="X1412"/>
  <c r="M1414"/>
  <c r="N1414"/>
  <c r="G1414" s="1"/>
  <c r="P1415"/>
  <c r="Q1415"/>
  <c r="G1415" s="1"/>
  <c r="S1416"/>
  <c r="T1416"/>
  <c r="G1416" s="1"/>
  <c r="V1417"/>
  <c r="W1417"/>
  <c r="G1417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420" l="1"/>
  <c r="G1421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D28"/>
  <c r="C28"/>
  <c r="L21"/>
  <c r="K21"/>
  <c r="G71" l="1"/>
  <c r="P71"/>
  <c r="H71"/>
  <c r="C71"/>
  <c r="L71"/>
  <c r="D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413" s="1"/>
  <c r="G1413" s="1"/>
  <c r="T13" i="3" s="1"/>
  <c r="T18" s="1"/>
  <c r="P72"/>
  <c r="P73" s="1"/>
  <c r="G1424" i="1" l="1"/>
  <c r="K72" i="3"/>
  <c r="K73" s="1"/>
  <c r="C72" l="1"/>
  <c r="C73" s="1"/>
  <c r="G72" l="1"/>
  <c r="G73" s="1"/>
  <c r="H72" l="1"/>
  <c r="H73" s="1"/>
  <c r="L72" l="1"/>
  <c r="L73" s="1"/>
  <c r="D72" l="1"/>
  <c r="D73" s="1"/>
</calcChain>
</file>

<file path=xl/sharedStrings.xml><?xml version="1.0" encoding="utf-8"?>
<sst xmlns="http://schemas.openxmlformats.org/spreadsheetml/2006/main" count="10135" uniqueCount="1613">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</sst>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538"/>
  <sheetViews>
    <sheetView tabSelected="1" topLeftCell="H1" zoomScaleNormal="100" workbookViewId="0">
      <pane ySplit="3" topLeftCell="A1294" activePane="bottomLeft" state="frozen"/>
      <selection pane="bottomLeft" activeCell="AA1306" sqref="AA1306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58" t="s">
        <v>510</v>
      </c>
      <c r="B1" s="459"/>
      <c r="C1" s="459"/>
      <c r="D1" s="459"/>
      <c r="E1" s="459"/>
      <c r="F1" s="459"/>
      <c r="G1" s="459"/>
      <c r="H1" s="459"/>
      <c r="I1" s="459"/>
      <c r="J1" s="459"/>
      <c r="K1" s="460"/>
      <c r="L1" s="473" t="s">
        <v>511</v>
      </c>
      <c r="M1" s="474"/>
      <c r="N1" s="474"/>
      <c r="O1" s="474"/>
      <c r="P1" s="474"/>
      <c r="Q1" s="474"/>
      <c r="R1" s="475"/>
      <c r="S1" s="475"/>
      <c r="T1" s="475"/>
      <c r="U1" s="475"/>
      <c r="V1" s="475"/>
      <c r="W1" s="475"/>
      <c r="X1" s="120"/>
      <c r="Y1" s="52"/>
      <c r="Z1" s="3"/>
      <c r="AB1" s="1"/>
    </row>
    <row r="2" spans="1:28" ht="15.75" thickBot="1">
      <c r="A2" s="458"/>
      <c r="B2" s="459"/>
      <c r="C2" s="459"/>
      <c r="D2" s="459"/>
      <c r="E2" s="459"/>
      <c r="F2" s="459"/>
      <c r="G2" s="459"/>
      <c r="H2" s="459"/>
      <c r="I2" s="459"/>
      <c r="J2" s="459"/>
      <c r="K2" s="460"/>
      <c r="L2" s="470" t="s">
        <v>229</v>
      </c>
      <c r="M2" s="471"/>
      <c r="N2" s="472"/>
      <c r="O2" s="461" t="s">
        <v>48</v>
      </c>
      <c r="P2" s="462"/>
      <c r="Q2" s="463"/>
      <c r="R2" s="464" t="s">
        <v>49</v>
      </c>
      <c r="S2" s="465"/>
      <c r="T2" s="466"/>
      <c r="U2" s="467" t="s">
        <v>50</v>
      </c>
      <c r="V2" s="468"/>
      <c r="W2" s="469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>
      <c r="A4" s="386" t="s">
        <v>1381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1382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>
      <c r="A5" s="390" t="s">
        <v>1381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1382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>
      <c r="A6" s="390" t="s">
        <v>1381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1384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>
      <c r="A7" s="390" t="s">
        <v>1381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1384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>
      <c r="A8" s="390" t="s">
        <v>1381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1384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>
      <c r="A9" s="390" t="s">
        <v>1381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1384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>
      <c r="A10" s="390" t="s">
        <v>1381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1384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 hidden="1">
      <c r="A11" s="390" t="s">
        <v>1381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1384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 hidden="1">
      <c r="A12" s="390" t="s">
        <v>1381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1382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 hidden="1">
      <c r="A13" s="390" t="s">
        <v>1381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1390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 hidden="1">
      <c r="A14" s="390" t="s">
        <v>1381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1382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1381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 hidden="1">
      <c r="A16" s="390" t="s">
        <v>1381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1384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 hidden="1">
      <c r="A17" s="390" t="s">
        <v>1381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1382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 hidden="1">
      <c r="A18" s="390" t="s">
        <v>1381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1382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 hidden="1">
      <c r="A19" s="390" t="s">
        <v>1381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1385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 hidden="1">
      <c r="A20" s="390" t="s">
        <v>1381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1389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 hidden="1">
      <c r="A21" s="390" t="s">
        <v>1381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1382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 hidden="1">
      <c r="A22" s="390" t="s">
        <v>1381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1382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 hidden="1">
      <c r="A23" s="390" t="s">
        <v>1381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1385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 hidden="1">
      <c r="A24" s="390" t="s">
        <v>1381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1398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 hidden="1">
      <c r="A25" s="390" t="s">
        <v>1381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1382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 hidden="1">
      <c r="A26" s="390" t="s">
        <v>1381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1384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 hidden="1">
      <c r="A27" s="390" t="s">
        <v>1381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1384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 hidden="1">
      <c r="A28" s="390" t="s">
        <v>1381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1390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 hidden="1">
      <c r="A29" s="390" t="s">
        <v>1381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1389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 hidden="1">
      <c r="A30" s="390" t="s">
        <v>1381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1384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 hidden="1">
      <c r="A31" s="390" t="s">
        <v>1381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1384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 hidden="1">
      <c r="A32" s="390" t="s">
        <v>1381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1384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 hidden="1">
      <c r="A33" s="390" t="s">
        <v>1381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1384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 hidden="1">
      <c r="A34" s="390" t="s">
        <v>1381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1384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hidden="1" thickBot="1">
      <c r="A35" s="390" t="s">
        <v>1381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1382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 hidden="1">
      <c r="A36" s="390" t="s">
        <v>1381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1382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 hidden="1">
      <c r="A37" s="390" t="s">
        <v>1381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1382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 hidden="1">
      <c r="A38" s="390" t="s">
        <v>1381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1382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 hidden="1">
      <c r="A39" s="390" t="s">
        <v>1381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1382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 hidden="1">
      <c r="A40" s="390" t="s">
        <v>1381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1382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 hidden="1">
      <c r="A41" s="390" t="s">
        <v>1381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1384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 hidden="1">
      <c r="A42" s="390" t="s">
        <v>1381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1384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 hidden="1">
      <c r="A43" s="390" t="s">
        <v>1381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1384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 hidden="1">
      <c r="A44" s="390" t="s">
        <v>1381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1384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 hidden="1">
      <c r="A45" s="390" t="s">
        <v>1381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1384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 hidden="1">
      <c r="A46" s="390" t="s">
        <v>1381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1384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 hidden="1">
      <c r="A47" s="390" t="s">
        <v>1381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1382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 hidden="1">
      <c r="A48" s="390" t="s">
        <v>1381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1384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 hidden="1">
      <c r="A49" s="390" t="s">
        <v>1381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1384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 hidden="1">
      <c r="A50" s="390" t="s">
        <v>1381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1382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 hidden="1">
      <c r="A51" s="390" t="s">
        <v>1381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1382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 hidden="1">
      <c r="A52" s="390" t="s">
        <v>1381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1382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 hidden="1">
      <c r="A53" s="390" t="s">
        <v>1381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1382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 hidden="1">
      <c r="A54" s="390" t="s">
        <v>1381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1382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 hidden="1">
      <c r="A55" s="390" t="s">
        <v>1381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1382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 hidden="1">
      <c r="A56" s="390" t="s">
        <v>1381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1382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 hidden="1">
      <c r="A57" s="390" t="s">
        <v>1381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1382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 hidden="1">
      <c r="A58" s="390" t="s">
        <v>1381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1382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 hidden="1">
      <c r="A59" s="390" t="s">
        <v>1381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1382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 hidden="1">
      <c r="A60" s="390" t="s">
        <v>1381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1382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 hidden="1">
      <c r="A61" s="390" t="s">
        <v>1381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1382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 hidden="1">
      <c r="A62" s="390" t="s">
        <v>1381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1382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 hidden="1">
      <c r="A63" s="390" t="s">
        <v>1381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1382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 hidden="1">
      <c r="A64" s="390" t="s">
        <v>1381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1382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 hidden="1">
      <c r="A65" s="390" t="s">
        <v>1381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1382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 hidden="1">
      <c r="A66" s="390" t="s">
        <v>1381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1382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 hidden="1">
      <c r="A67" s="390" t="s">
        <v>1381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1382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 hidden="1">
      <c r="A68" s="390" t="s">
        <v>1381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1382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 hidden="1">
      <c r="A69" s="390" t="s">
        <v>1381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1382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 hidden="1">
      <c r="A70" s="390" t="s">
        <v>1381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1382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 hidden="1">
      <c r="A71" s="390" t="s">
        <v>1381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1382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hidden="1" thickBot="1">
      <c r="A72" s="390" t="s">
        <v>1381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1382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 hidden="1">
      <c r="A73" s="390" t="s">
        <v>1381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1382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 hidden="1">
      <c r="A74" s="390" t="s">
        <v>1381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1382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 hidden="1">
      <c r="A75" s="390" t="s">
        <v>1381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1382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 hidden="1">
      <c r="A76" s="390" t="s">
        <v>1381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1382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 hidden="1">
      <c r="A77" s="390" t="s">
        <v>1381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1382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 hidden="1">
      <c r="A78" s="390" t="s">
        <v>1381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1382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 hidden="1">
      <c r="A79" s="390" t="s">
        <v>1381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228"/>
      <c r="M79" s="58"/>
      <c r="N79" s="229"/>
      <c r="O79" s="186" t="s">
        <v>1389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4"/>
        <v>0</v>
      </c>
      <c r="Y79" s="52"/>
      <c r="Z79" s="3"/>
    </row>
    <row r="80" spans="1:26" hidden="1">
      <c r="A80" s="390" t="s">
        <v>1381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228"/>
      <c r="M80" s="58"/>
      <c r="N80" s="229"/>
      <c r="O80" s="186" t="s">
        <v>1393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4"/>
        <v>0</v>
      </c>
      <c r="Y80" s="52"/>
      <c r="Z80" s="3"/>
    </row>
    <row r="81" spans="1:26" hidden="1">
      <c r="A81" s="390" t="s">
        <v>1381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228"/>
      <c r="M81" s="58"/>
      <c r="N81" s="229"/>
      <c r="O81" s="186" t="s">
        <v>1389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4"/>
        <v>0</v>
      </c>
      <c r="Y81" s="52"/>
      <c r="Z81" s="3"/>
    </row>
    <row r="82" spans="1:26" hidden="1">
      <c r="A82" s="390" t="s">
        <v>1381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228"/>
      <c r="M82" s="58"/>
      <c r="N82" s="229"/>
      <c r="O82" s="186" t="s">
        <v>1393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4"/>
        <v>0</v>
      </c>
      <c r="Y82" s="52"/>
      <c r="Z82" s="3"/>
    </row>
    <row r="83" spans="1:26" hidden="1">
      <c r="A83" s="390" t="s">
        <v>1381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228"/>
      <c r="M83" s="58"/>
      <c r="N83" s="229"/>
      <c r="O83" s="186" t="s">
        <v>1396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4"/>
        <v>0</v>
      </c>
      <c r="Y83" s="52"/>
      <c r="Z83" s="3"/>
    </row>
    <row r="84" spans="1:26" hidden="1">
      <c r="A84" s="390" t="s">
        <v>1381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229"/>
      <c r="O84" s="186" t="s">
        <v>1389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4"/>
        <v>0</v>
      </c>
      <c r="Y84" s="52"/>
      <c r="Z84" s="3"/>
    </row>
    <row r="85" spans="1:26" hidden="1">
      <c r="A85" s="390" t="s">
        <v>1381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228"/>
      <c r="M85" s="58"/>
      <c r="N85" s="229"/>
      <c r="O85" s="186" t="s">
        <v>1389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4"/>
        <v>0</v>
      </c>
      <c r="Y85" s="52"/>
      <c r="Z85" s="3"/>
    </row>
    <row r="86" spans="1:26" hidden="1">
      <c r="A86" s="390" t="s">
        <v>1381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1382</v>
      </c>
      <c r="V86" s="24">
        <v>20</v>
      </c>
      <c r="W86" s="315">
        <v>511.4</v>
      </c>
      <c r="X86" s="123">
        <f t="shared" si="4"/>
        <v>0</v>
      </c>
      <c r="Y86" s="52"/>
      <c r="Z86" s="3"/>
    </row>
    <row r="87" spans="1:26" hidden="1">
      <c r="A87" s="390" t="s">
        <v>1381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229"/>
      <c r="O87" s="186" t="s">
        <v>1389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4"/>
        <v>0</v>
      </c>
      <c r="Y87" s="52"/>
      <c r="Z87" s="3"/>
    </row>
    <row r="88" spans="1:26" hidden="1">
      <c r="A88" s="390" t="s">
        <v>1381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229"/>
      <c r="O88" s="186" t="s">
        <v>1396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4"/>
        <v>0</v>
      </c>
      <c r="Y88" s="52"/>
      <c r="Z88" s="3"/>
    </row>
    <row r="89" spans="1:26" hidden="1">
      <c r="A89" s="390" t="s">
        <v>1381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229"/>
      <c r="O89" s="186" t="s">
        <v>1389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4"/>
        <v>0</v>
      </c>
      <c r="Y89" s="52"/>
      <c r="Z89" s="3"/>
    </row>
    <row r="90" spans="1:26" hidden="1">
      <c r="A90" s="390" t="s">
        <v>1381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1382</v>
      </c>
      <c r="V90" s="24">
        <v>20</v>
      </c>
      <c r="W90" s="315">
        <v>691.4</v>
      </c>
      <c r="X90" s="123">
        <f t="shared" si="4"/>
        <v>0</v>
      </c>
      <c r="Y90" s="52"/>
      <c r="Z90" s="3"/>
    </row>
    <row r="91" spans="1:26" hidden="1">
      <c r="A91" s="390" t="s">
        <v>1381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1382</v>
      </c>
      <c r="V91" s="24">
        <v>15</v>
      </c>
      <c r="W91" s="315">
        <v>561.4</v>
      </c>
      <c r="X91" s="123">
        <f t="shared" si="4"/>
        <v>0</v>
      </c>
      <c r="Y91" s="52"/>
      <c r="Z91" s="3"/>
    </row>
    <row r="92" spans="1:26" hidden="1">
      <c r="A92" s="390" t="s">
        <v>1381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228"/>
      <c r="M92" s="58"/>
      <c r="N92" s="229"/>
      <c r="O92" s="186" t="s">
        <v>1382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4"/>
        <v>0</v>
      </c>
      <c r="Y92" s="52"/>
      <c r="Z92" s="3"/>
    </row>
    <row r="93" spans="1:26" hidden="1">
      <c r="A93" s="390" t="s">
        <v>1381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228"/>
      <c r="M93" s="58"/>
      <c r="N93" s="229"/>
      <c r="O93" s="186" t="s">
        <v>1382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4"/>
        <v>0</v>
      </c>
      <c r="Y93" s="52"/>
      <c r="Z93" s="3"/>
    </row>
    <row r="94" spans="1:26" hidden="1">
      <c r="A94" s="390" t="s">
        <v>1381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1382</v>
      </c>
      <c r="V94" s="24">
        <v>20</v>
      </c>
      <c r="W94" s="315">
        <v>751.4</v>
      </c>
      <c r="X94" s="123">
        <f t="shared" si="4"/>
        <v>0</v>
      </c>
      <c r="Y94" s="52"/>
      <c r="Z94" s="3"/>
    </row>
    <row r="95" spans="1:26" hidden="1">
      <c r="A95" s="390" t="s">
        <v>1381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228"/>
      <c r="M95" s="58"/>
      <c r="N95" s="229"/>
      <c r="O95" s="186" t="s">
        <v>1382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4"/>
        <v>0</v>
      </c>
      <c r="Y95" s="52"/>
      <c r="Z95" s="3"/>
    </row>
    <row r="96" spans="1:26" hidden="1">
      <c r="A96" s="390" t="s">
        <v>1381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228"/>
      <c r="M96" s="58"/>
      <c r="N96" s="229"/>
      <c r="O96" s="186" t="s">
        <v>1382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4"/>
        <v>0</v>
      </c>
      <c r="Y96" s="52"/>
      <c r="Z96" s="3"/>
    </row>
    <row r="97" spans="1:26" hidden="1">
      <c r="A97" s="390" t="s">
        <v>1381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228"/>
      <c r="M97" s="58"/>
      <c r="N97" s="229"/>
      <c r="O97" s="186" t="s">
        <v>1382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4"/>
        <v>0</v>
      </c>
      <c r="Y97" s="52"/>
      <c r="Z97" s="3"/>
    </row>
    <row r="98" spans="1:26" hidden="1">
      <c r="A98" s="390" t="s">
        <v>1381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228"/>
      <c r="M98" s="58"/>
      <c r="N98" s="229"/>
      <c r="O98" s="186" t="s">
        <v>1382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4"/>
        <v>0</v>
      </c>
      <c r="Y98" s="52"/>
      <c r="Z98" s="3"/>
    </row>
    <row r="99" spans="1:26" hidden="1">
      <c r="A99" s="390" t="s">
        <v>1381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228"/>
      <c r="M99" s="58"/>
      <c r="N99" s="229"/>
      <c r="O99" s="186" t="s">
        <v>1382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4"/>
        <v>0</v>
      </c>
      <c r="Y99" s="52"/>
      <c r="Z99" s="3"/>
    </row>
    <row r="100" spans="1:26" hidden="1">
      <c r="A100" s="390" t="s">
        <v>1381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228"/>
      <c r="M100" s="58"/>
      <c r="N100" s="229"/>
      <c r="O100" s="186" t="s">
        <v>1382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4"/>
        <v>0</v>
      </c>
      <c r="Y100" s="52"/>
      <c r="Z100" s="3"/>
    </row>
    <row r="101" spans="1:26" hidden="1">
      <c r="A101" s="390" t="s">
        <v>1381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228"/>
      <c r="M101" s="58"/>
      <c r="N101" s="229"/>
      <c r="O101" s="186" t="s">
        <v>1384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4"/>
        <v>0</v>
      </c>
      <c r="Y101" s="52"/>
      <c r="Z101" s="3"/>
    </row>
    <row r="102" spans="1:26" hidden="1">
      <c r="A102" s="390" t="s">
        <v>1381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228"/>
      <c r="M102" s="58"/>
      <c r="N102" s="229"/>
      <c r="O102" s="186" t="s">
        <v>1389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4"/>
        <v>0</v>
      </c>
      <c r="Y102" s="52"/>
      <c r="Z102" s="3"/>
    </row>
    <row r="103" spans="1:26" hidden="1">
      <c r="A103" s="390" t="s">
        <v>1381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228"/>
      <c r="M103" s="58"/>
      <c r="N103" s="229"/>
      <c r="O103" s="186" t="s">
        <v>1389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4"/>
        <v>0</v>
      </c>
      <c r="Y103" s="52"/>
      <c r="Z103" s="3"/>
    </row>
    <row r="104" spans="1:26" hidden="1">
      <c r="A104" s="390" t="s">
        <v>1381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228"/>
      <c r="M104" s="58"/>
      <c r="N104" s="229"/>
      <c r="O104" s="186" t="s">
        <v>1389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4"/>
        <v>0</v>
      </c>
      <c r="Y104" s="52"/>
      <c r="Z104" s="3"/>
    </row>
    <row r="105" spans="1:26" hidden="1">
      <c r="A105" s="390" t="s">
        <v>1381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228"/>
      <c r="M105" s="58"/>
      <c r="N105" s="229"/>
      <c r="O105" s="186" t="s">
        <v>1384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4"/>
        <v>0</v>
      </c>
      <c r="Y105" s="52"/>
      <c r="Z105" s="3"/>
    </row>
    <row r="106" spans="1:26" hidden="1">
      <c r="A106" s="390" t="s">
        <v>1381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229"/>
      <c r="O106" s="186" t="s">
        <v>1384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4"/>
        <v>0</v>
      </c>
      <c r="Y106" s="52"/>
      <c r="Z106" s="3"/>
    </row>
    <row r="107" spans="1:26" hidden="1">
      <c r="A107" s="390" t="s">
        <v>1381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229"/>
      <c r="O107" s="186" t="s">
        <v>1389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4"/>
        <v>0</v>
      </c>
      <c r="Y107" s="52"/>
      <c r="Z107" s="3"/>
    </row>
    <row r="108" spans="1:26" hidden="1">
      <c r="A108" s="390" t="s">
        <v>1381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229"/>
      <c r="O108" s="186" t="s">
        <v>1384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4"/>
        <v>0</v>
      </c>
      <c r="Y108" s="52"/>
      <c r="Z108" s="3"/>
    </row>
    <row r="109" spans="1:26" hidden="1">
      <c r="A109" s="390" t="s">
        <v>1381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228"/>
      <c r="M109" s="58"/>
      <c r="N109" s="229"/>
      <c r="O109" s="186" t="s">
        <v>1389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4"/>
        <v>0</v>
      </c>
      <c r="Y109" s="52"/>
      <c r="Z109" s="3"/>
    </row>
    <row r="110" spans="1:26" ht="15.75" hidden="1" thickBot="1">
      <c r="A110" s="390" t="s">
        <v>1381</v>
      </c>
      <c r="B110" s="394" t="s">
        <v>9</v>
      </c>
      <c r="C110" s="394">
        <v>39</v>
      </c>
      <c r="D110" s="394" t="s">
        <v>10</v>
      </c>
      <c r="E110" s="394">
        <v>262</v>
      </c>
      <c r="F110" s="394" t="s">
        <v>875</v>
      </c>
      <c r="G110" s="394" t="s">
        <v>644</v>
      </c>
      <c r="H110" s="394" t="s">
        <v>15</v>
      </c>
      <c r="I110" s="394">
        <v>20</v>
      </c>
      <c r="J110" s="395" t="s">
        <v>17</v>
      </c>
      <c r="K110" s="396">
        <f>(19*35)+(1*26.4)</f>
        <v>691.4</v>
      </c>
      <c r="L110" s="58"/>
      <c r="M110" s="58"/>
      <c r="N110" s="229"/>
      <c r="O110" s="186" t="s">
        <v>1389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4"/>
        <v>0</v>
      </c>
      <c r="Y110" s="52"/>
      <c r="Z110" s="3"/>
    </row>
    <row r="111" spans="1:26" hidden="1">
      <c r="A111" s="390" t="s">
        <v>1381</v>
      </c>
      <c r="B111" s="387" t="s">
        <v>9</v>
      </c>
      <c r="C111" s="387">
        <v>39</v>
      </c>
      <c r="D111" s="387" t="s">
        <v>10</v>
      </c>
      <c r="E111" s="387">
        <v>267</v>
      </c>
      <c r="F111" s="387" t="s">
        <v>461</v>
      </c>
      <c r="G111" s="387" t="s">
        <v>644</v>
      </c>
      <c r="H111" s="387" t="s">
        <v>15</v>
      </c>
      <c r="I111" s="387">
        <v>20</v>
      </c>
      <c r="J111" s="388" t="s">
        <v>17</v>
      </c>
      <c r="K111" s="389">
        <f>(19*35)+(1*26.4)</f>
        <v>691.4</v>
      </c>
      <c r="L111" s="58"/>
      <c r="M111" s="58"/>
      <c r="N111" s="229"/>
      <c r="O111" s="186" t="s">
        <v>1389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4"/>
        <v>0</v>
      </c>
      <c r="Y111" s="52"/>
      <c r="Z111" s="3"/>
    </row>
    <row r="112" spans="1:26" hidden="1">
      <c r="A112" s="390" t="s">
        <v>1381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229"/>
      <c r="O112" s="186" t="s">
        <v>1389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4"/>
        <v>0</v>
      </c>
      <c r="Y112" s="52"/>
      <c r="Z112" s="3"/>
    </row>
    <row r="113" spans="1:26" hidden="1">
      <c r="A113" s="390" t="s">
        <v>1381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229"/>
      <c r="O113" s="186" t="s">
        <v>1384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4"/>
        <v>0</v>
      </c>
      <c r="Y113" s="52"/>
      <c r="Z113" s="3"/>
    </row>
    <row r="114" spans="1:26" hidden="1">
      <c r="A114" s="390" t="s">
        <v>1381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229"/>
      <c r="O114" s="186"/>
      <c r="P114" s="21"/>
      <c r="Q114" s="187"/>
      <c r="R114" s="22"/>
      <c r="S114" s="22"/>
      <c r="T114" s="23"/>
      <c r="U114" s="108" t="s">
        <v>1382</v>
      </c>
      <c r="V114" s="24">
        <v>15</v>
      </c>
      <c r="W114" s="315">
        <v>381.4</v>
      </c>
      <c r="X114" s="123">
        <f t="shared" si="4"/>
        <v>0</v>
      </c>
      <c r="Y114" s="52"/>
      <c r="Z114" s="3"/>
    </row>
    <row r="115" spans="1:26" hidden="1">
      <c r="A115" s="390" t="s">
        <v>1381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229"/>
      <c r="O115" s="186"/>
      <c r="P115" s="21"/>
      <c r="Q115" s="187"/>
      <c r="R115" s="295" t="s">
        <v>1382</v>
      </c>
      <c r="S115" s="22">
        <v>20</v>
      </c>
      <c r="T115" s="23">
        <v>511.4</v>
      </c>
      <c r="U115" s="24"/>
      <c r="V115" s="24"/>
      <c r="W115" s="315"/>
      <c r="X115" s="123">
        <f t="shared" si="4"/>
        <v>0</v>
      </c>
      <c r="Y115" s="52"/>
      <c r="Z115" s="3"/>
    </row>
    <row r="116" spans="1:26" hidden="1">
      <c r="A116" s="390" t="s">
        <v>1381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229"/>
      <c r="O116" s="186" t="s">
        <v>1389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4"/>
        <v>0</v>
      </c>
      <c r="Y116" s="52"/>
      <c r="Z116" s="3"/>
    </row>
    <row r="117" spans="1:26" hidden="1">
      <c r="A117" s="390" t="s">
        <v>1381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229"/>
      <c r="O117" s="186" t="s">
        <v>1393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4"/>
        <v>0</v>
      </c>
      <c r="Y117" s="52"/>
      <c r="Z117" s="3"/>
    </row>
    <row r="118" spans="1:26" hidden="1">
      <c r="A118" s="390" t="s">
        <v>1381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229"/>
      <c r="O118" s="186" t="s">
        <v>1393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4"/>
        <v>0</v>
      </c>
      <c r="Y118" s="52"/>
      <c r="Z118" s="3"/>
    </row>
    <row r="119" spans="1:26" hidden="1">
      <c r="A119" s="390" t="s">
        <v>1381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229"/>
      <c r="O119" s="186" t="s">
        <v>1393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4"/>
        <v>0</v>
      </c>
      <c r="Y119" s="52"/>
      <c r="Z119" s="3"/>
    </row>
    <row r="120" spans="1:26" hidden="1">
      <c r="A120" s="390" t="s">
        <v>1381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229"/>
      <c r="O120" s="186" t="s">
        <v>1389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4"/>
        <v>0</v>
      </c>
      <c r="Y120" s="52"/>
      <c r="Z120" s="3"/>
    </row>
    <row r="121" spans="1:26" hidden="1">
      <c r="A121" s="390" t="s">
        <v>1381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229"/>
      <c r="O121" s="186" t="s">
        <v>1389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4"/>
        <v>0</v>
      </c>
      <c r="Y121" s="52"/>
      <c r="Z121" s="3"/>
    </row>
    <row r="122" spans="1:26" hidden="1">
      <c r="A122" s="390" t="s">
        <v>1381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229"/>
      <c r="O122" s="186" t="s">
        <v>1384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4"/>
        <v>0</v>
      </c>
      <c r="Y122" s="52"/>
      <c r="Z122" s="3"/>
    </row>
    <row r="123" spans="1:26" hidden="1">
      <c r="A123" s="390" t="s">
        <v>1381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229"/>
      <c r="O123" s="186" t="s">
        <v>1384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4"/>
        <v>0</v>
      </c>
      <c r="Y123" s="52"/>
      <c r="Z123" s="3"/>
    </row>
    <row r="124" spans="1:26" hidden="1">
      <c r="A124" s="390" t="s">
        <v>1381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229"/>
      <c r="O124" s="186" t="s">
        <v>1389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4"/>
        <v>0</v>
      </c>
      <c r="Y124" s="52"/>
      <c r="Z124" s="3"/>
    </row>
    <row r="125" spans="1:26" hidden="1">
      <c r="A125" s="390" t="s">
        <v>1381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229"/>
      <c r="O125" s="186" t="s">
        <v>1389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4"/>
        <v>0</v>
      </c>
      <c r="Y125" s="52"/>
      <c r="Z125" s="3"/>
    </row>
    <row r="126" spans="1:26" hidden="1">
      <c r="A126" s="390" t="s">
        <v>1381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1384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4"/>
        <v>0</v>
      </c>
      <c r="Y126" s="52"/>
      <c r="Z126" s="3"/>
    </row>
    <row r="127" spans="1:26" hidden="1">
      <c r="A127" s="390" t="s">
        <v>1381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1382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 hidden="1">
      <c r="A128" s="390" t="s">
        <v>1381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229"/>
      <c r="O128" s="186" t="s">
        <v>1389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4"/>
        <v>0</v>
      </c>
      <c r="Y128" s="52"/>
      <c r="Z128" s="3"/>
    </row>
    <row r="129" spans="1:26" hidden="1">
      <c r="A129" s="390" t="s">
        <v>1381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229"/>
      <c r="O129" s="186"/>
      <c r="P129" s="21"/>
      <c r="Q129" s="187"/>
      <c r="R129" s="295" t="s">
        <v>1382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5">SUM(K129-N129-Q129-T129-W129)</f>
        <v>0</v>
      </c>
      <c r="Y129" s="52"/>
      <c r="Z129" s="3"/>
    </row>
    <row r="130" spans="1:26" hidden="1">
      <c r="A130" s="390" t="s">
        <v>1381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229"/>
      <c r="O130" s="186" t="s">
        <v>1393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5"/>
        <v>0</v>
      </c>
      <c r="Y130" s="52"/>
      <c r="Z130" s="3"/>
    </row>
    <row r="131" spans="1:26" hidden="1">
      <c r="A131" s="390" t="s">
        <v>1381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229"/>
      <c r="O131" s="186" t="s">
        <v>1389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5"/>
        <v>0</v>
      </c>
      <c r="Y131" s="52"/>
      <c r="Z131" s="3"/>
    </row>
    <row r="132" spans="1:26" hidden="1">
      <c r="A132" s="390" t="s">
        <v>1381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229"/>
      <c r="O132" s="186" t="s">
        <v>1393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5"/>
        <v>0</v>
      </c>
      <c r="Y132" s="52"/>
      <c r="Z132" s="3"/>
    </row>
    <row r="133" spans="1:26" hidden="1">
      <c r="A133" s="390" t="s">
        <v>1381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228"/>
      <c r="M133" s="58"/>
      <c r="N133" s="229"/>
      <c r="O133" s="186" t="s">
        <v>1393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5"/>
        <v>0</v>
      </c>
      <c r="Y133" s="52"/>
      <c r="Z133" s="3"/>
    </row>
    <row r="134" spans="1:26" hidden="1">
      <c r="A134" s="390" t="s">
        <v>1381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228"/>
      <c r="M134" s="58"/>
      <c r="N134" s="229"/>
      <c r="O134" s="186" t="s">
        <v>1396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5"/>
        <v>0</v>
      </c>
      <c r="Y134" s="52"/>
      <c r="Z134" s="3"/>
    </row>
    <row r="135" spans="1:26" hidden="1">
      <c r="A135" s="390" t="s">
        <v>1381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229"/>
      <c r="O135" s="186" t="s">
        <v>1396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5"/>
        <v>0</v>
      </c>
      <c r="Y135" s="52"/>
      <c r="Z135" s="3"/>
    </row>
    <row r="136" spans="1:26" hidden="1">
      <c r="A136" s="390" t="s">
        <v>1381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228"/>
      <c r="M136" s="58"/>
      <c r="N136" s="229"/>
      <c r="O136" s="186" t="s">
        <v>1396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5"/>
        <v>0</v>
      </c>
      <c r="Y136" s="52"/>
      <c r="Z136" s="3"/>
    </row>
    <row r="137" spans="1:26" hidden="1">
      <c r="A137" s="390" t="s">
        <v>1381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228"/>
      <c r="M137" s="58"/>
      <c r="N137" s="229"/>
      <c r="O137" s="186" t="s">
        <v>1393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5"/>
        <v>0</v>
      </c>
      <c r="Y137" s="52"/>
      <c r="Z137" s="3"/>
    </row>
    <row r="138" spans="1:26" hidden="1">
      <c r="A138" s="390" t="s">
        <v>1381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228"/>
      <c r="M138" s="58"/>
      <c r="N138" s="229"/>
      <c r="O138" s="186" t="s">
        <v>1393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5"/>
        <v>0</v>
      </c>
      <c r="Y138" s="52"/>
      <c r="Z138" s="3"/>
    </row>
    <row r="139" spans="1:26" hidden="1">
      <c r="A139" s="390" t="s">
        <v>1381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228"/>
      <c r="M139" s="58"/>
      <c r="N139" s="229"/>
      <c r="O139" s="21"/>
      <c r="P139" s="21"/>
      <c r="Q139" s="187"/>
      <c r="R139" s="295" t="s">
        <v>1382</v>
      </c>
      <c r="S139" s="22">
        <v>15</v>
      </c>
      <c r="T139" s="23">
        <v>381.4</v>
      </c>
      <c r="U139" s="24"/>
      <c r="V139" s="24"/>
      <c r="W139" s="315"/>
      <c r="X139" s="123">
        <f t="shared" si="5"/>
        <v>0</v>
      </c>
      <c r="Y139" s="52"/>
      <c r="Z139" s="3"/>
    </row>
    <row r="140" spans="1:26" hidden="1">
      <c r="A140" s="390" t="s">
        <v>1381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228"/>
      <c r="M140" s="58"/>
      <c r="N140" s="229"/>
      <c r="O140" s="21"/>
      <c r="P140" s="21"/>
      <c r="Q140" s="187"/>
      <c r="R140" s="295" t="s">
        <v>1382</v>
      </c>
      <c r="S140" s="22">
        <v>15</v>
      </c>
      <c r="T140" s="23">
        <v>381.4</v>
      </c>
      <c r="U140" s="24"/>
      <c r="V140" s="24"/>
      <c r="W140" s="315"/>
      <c r="X140" s="123">
        <f t="shared" si="5"/>
        <v>0</v>
      </c>
      <c r="Y140" s="52"/>
      <c r="Z140" s="3"/>
    </row>
    <row r="141" spans="1:26" hidden="1">
      <c r="A141" s="390" t="s">
        <v>1381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228"/>
      <c r="M141" s="58"/>
      <c r="N141" s="229"/>
      <c r="O141" s="186" t="s">
        <v>1393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5"/>
        <v>0</v>
      </c>
      <c r="Y141" s="52"/>
      <c r="Z141" s="3"/>
    </row>
    <row r="142" spans="1:26" hidden="1">
      <c r="A142" s="390" t="s">
        <v>1381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1382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 hidden="1">
      <c r="A143" s="390" t="s">
        <v>1381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1382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 hidden="1">
      <c r="A144" s="390" t="s">
        <v>1381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1382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 hidden="1">
      <c r="A145" s="390" t="s">
        <v>1381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1382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 hidden="1">
      <c r="A146" s="390" t="s">
        <v>1381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1382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 hidden="1">
      <c r="A147" s="390" t="s">
        <v>1381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1382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 hidden="1">
      <c r="A148" s="390" t="s">
        <v>1381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1382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t="15.75" hidden="1" thickBot="1">
      <c r="A149" s="390" t="s">
        <v>1381</v>
      </c>
      <c r="B149" s="394" t="s">
        <v>129</v>
      </c>
      <c r="C149" s="394">
        <v>43</v>
      </c>
      <c r="D149" s="394" t="s">
        <v>55</v>
      </c>
      <c r="E149" s="394">
        <v>564</v>
      </c>
      <c r="F149" s="394" t="s">
        <v>334</v>
      </c>
      <c r="G149" s="394" t="s">
        <v>176</v>
      </c>
      <c r="H149" s="394" t="s">
        <v>15</v>
      </c>
      <c r="I149" s="394">
        <v>15</v>
      </c>
      <c r="J149" s="395" t="s">
        <v>137</v>
      </c>
      <c r="K149" s="396">
        <f>(15*35)</f>
        <v>525</v>
      </c>
      <c r="L149" s="58"/>
      <c r="M149" s="58"/>
      <c r="N149" s="229"/>
      <c r="O149" s="186" t="s">
        <v>1382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 hidden="1">
      <c r="A150" s="390" t="s">
        <v>1381</v>
      </c>
      <c r="B150" s="387" t="s">
        <v>129</v>
      </c>
      <c r="C150" s="387">
        <v>43</v>
      </c>
      <c r="D150" s="387" t="s">
        <v>55</v>
      </c>
      <c r="E150" s="387">
        <v>636</v>
      </c>
      <c r="F150" s="387" t="s">
        <v>692</v>
      </c>
      <c r="G150" s="387" t="s">
        <v>655</v>
      </c>
      <c r="H150" s="387" t="s">
        <v>5</v>
      </c>
      <c r="I150" s="387">
        <v>15</v>
      </c>
      <c r="J150" s="388" t="s">
        <v>93</v>
      </c>
      <c r="K150" s="389">
        <f>(15*38)</f>
        <v>570</v>
      </c>
      <c r="L150" s="58"/>
      <c r="M150" s="58"/>
      <c r="N150" s="229"/>
      <c r="O150" s="186" t="s">
        <v>1382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 hidden="1">
      <c r="A151" s="390" t="s">
        <v>1381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1382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 hidden="1">
      <c r="A152" s="390" t="s">
        <v>1381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1382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56" t="s">
        <v>1381</v>
      </c>
      <c r="B153" s="352" t="s">
        <v>129</v>
      </c>
      <c r="C153" s="352">
        <v>41</v>
      </c>
      <c r="D153" s="352" t="s">
        <v>7</v>
      </c>
      <c r="E153" s="358">
        <v>5026</v>
      </c>
      <c r="F153" s="352" t="s">
        <v>901</v>
      </c>
      <c r="G153" s="352" t="s">
        <v>774</v>
      </c>
      <c r="H153" s="358" t="s">
        <v>550</v>
      </c>
      <c r="I153" s="358">
        <v>10</v>
      </c>
      <c r="J153" s="353" t="s">
        <v>907</v>
      </c>
      <c r="K153" s="357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 hidden="1">
      <c r="A154" s="390" t="s">
        <v>1381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1389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56" t="s">
        <v>1381</v>
      </c>
      <c r="B155" s="352" t="s">
        <v>129</v>
      </c>
      <c r="C155" s="352">
        <v>41</v>
      </c>
      <c r="D155" s="352" t="s">
        <v>7</v>
      </c>
      <c r="E155" s="358">
        <v>5064</v>
      </c>
      <c r="F155" s="352" t="s">
        <v>903</v>
      </c>
      <c r="G155" s="352" t="s">
        <v>547</v>
      </c>
      <c r="H155" s="358" t="s">
        <v>778</v>
      </c>
      <c r="I155" s="358">
        <v>20</v>
      </c>
      <c r="J155" s="353" t="s">
        <v>909</v>
      </c>
      <c r="K155" s="357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56" t="s">
        <v>1381</v>
      </c>
      <c r="B156" s="352" t="s">
        <v>129</v>
      </c>
      <c r="C156" s="352">
        <v>41</v>
      </c>
      <c r="D156" s="352" t="s">
        <v>7</v>
      </c>
      <c r="E156" s="358">
        <v>5073</v>
      </c>
      <c r="F156" s="352" t="s">
        <v>904</v>
      </c>
      <c r="G156" s="352" t="s">
        <v>775</v>
      </c>
      <c r="H156" s="358" t="s">
        <v>778</v>
      </c>
      <c r="I156" s="358">
        <v>10</v>
      </c>
      <c r="J156" s="353" t="s">
        <v>910</v>
      </c>
      <c r="K156" s="357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 hidden="1">
      <c r="A157" s="390" t="s">
        <v>1381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1382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 hidden="1">
      <c r="A158" s="390" t="s">
        <v>1381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1382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 hidden="1">
      <c r="A159" s="390" t="s">
        <v>1381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1396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 hidden="1">
      <c r="A160" s="390" t="s">
        <v>1381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1393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 hidden="1">
      <c r="A161" s="390" t="s">
        <v>1381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1382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 hidden="1">
      <c r="A162" s="390" t="s">
        <v>1381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1396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 hidden="1">
      <c r="A163" s="390" t="s">
        <v>1381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1393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 hidden="1">
      <c r="A164" s="390" t="s">
        <v>1381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1393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 hidden="1">
      <c r="A165" s="390" t="s">
        <v>1381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1396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 hidden="1">
      <c r="A166" s="390" t="s">
        <v>1381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1382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 hidden="1">
      <c r="A167" s="390" t="s">
        <v>1381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1396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 hidden="1">
      <c r="A168" s="390" t="s">
        <v>1381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1393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 hidden="1">
      <c r="A169" s="390" t="s">
        <v>1381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1382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 hidden="1">
      <c r="A170" s="390" t="s">
        <v>1381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1396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 hidden="1">
      <c r="A171" s="390" t="s">
        <v>1381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1396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 hidden="1">
      <c r="A172" s="390" t="s">
        <v>1381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1382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 hidden="1">
      <c r="A173" s="390" t="s">
        <v>1381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1393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 hidden="1">
      <c r="A174" s="390" t="s">
        <v>1381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1393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 hidden="1">
      <c r="A175" s="390" t="s">
        <v>1381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1396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 hidden="1">
      <c r="A176" s="390" t="s">
        <v>1381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1382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 hidden="1">
      <c r="A177" s="390" t="s">
        <v>1381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1382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 hidden="1">
      <c r="A178" s="390" t="s">
        <v>1381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1389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5"/>
        <v>0</v>
      </c>
      <c r="Y178" s="52"/>
      <c r="Z178" s="3"/>
    </row>
    <row r="179" spans="1:26" hidden="1">
      <c r="A179" s="390" t="s">
        <v>1381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1382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 hidden="1">
      <c r="A180" s="390" t="s">
        <v>1381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1382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 hidden="1">
      <c r="A181" s="390" t="s">
        <v>1381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1382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 hidden="1">
      <c r="A182" s="390" t="s">
        <v>1381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1389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 hidden="1">
      <c r="A183" s="390" t="s">
        <v>1381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1382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 hidden="1">
      <c r="A184" s="390" t="s">
        <v>1381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95" t="s">
        <v>1382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 hidden="1">
      <c r="A185" s="390" t="s">
        <v>1381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1389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 hidden="1">
      <c r="A186" s="390" t="s">
        <v>1381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1393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 hidden="1">
      <c r="A187" s="390" t="s">
        <v>1381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1393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5"/>
        <v>0</v>
      </c>
      <c r="Y187" s="52"/>
      <c r="Z187" s="3"/>
    </row>
    <row r="188" spans="1:26" ht="15.75" hidden="1" thickBot="1">
      <c r="A188" s="390" t="s">
        <v>1381</v>
      </c>
      <c r="B188" s="394" t="s">
        <v>9</v>
      </c>
      <c r="C188" s="394">
        <v>39</v>
      </c>
      <c r="D188" s="394" t="s">
        <v>16</v>
      </c>
      <c r="E188" s="394">
        <v>154</v>
      </c>
      <c r="F188" s="394" t="s">
        <v>921</v>
      </c>
      <c r="G188" s="394" t="s">
        <v>598</v>
      </c>
      <c r="H188" s="394" t="s">
        <v>814</v>
      </c>
      <c r="I188" s="394">
        <v>20</v>
      </c>
      <c r="J188" s="395" t="s">
        <v>30</v>
      </c>
      <c r="K188" s="396">
        <f>(19*38)+(1*29.4)</f>
        <v>751.4</v>
      </c>
      <c r="L188" s="58"/>
      <c r="M188" s="58"/>
      <c r="N188" s="229"/>
      <c r="O188" s="186" t="s">
        <v>1389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 hidden="1">
      <c r="A189" s="390" t="s">
        <v>1381</v>
      </c>
      <c r="B189" s="387" t="s">
        <v>9</v>
      </c>
      <c r="C189" s="387">
        <v>39</v>
      </c>
      <c r="D189" s="387" t="s">
        <v>16</v>
      </c>
      <c r="E189" s="387">
        <v>164</v>
      </c>
      <c r="F189" s="387" t="s">
        <v>707</v>
      </c>
      <c r="G189" s="387" t="s">
        <v>458</v>
      </c>
      <c r="H189" s="387" t="s">
        <v>15</v>
      </c>
      <c r="I189" s="387">
        <v>15</v>
      </c>
      <c r="J189" s="388" t="s">
        <v>14</v>
      </c>
      <c r="K189" s="389">
        <f>(14*38)+(1*29.4)</f>
        <v>561.4</v>
      </c>
      <c r="L189" s="228"/>
      <c r="M189" s="58"/>
      <c r="N189" s="229"/>
      <c r="O189" s="186" t="s">
        <v>1396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 hidden="1">
      <c r="A190" s="390" t="s">
        <v>1381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228"/>
      <c r="M190" s="58"/>
      <c r="N190" s="229"/>
      <c r="O190" s="21"/>
      <c r="P190" s="21"/>
      <c r="Q190" s="187"/>
      <c r="R190" s="295" t="s">
        <v>1382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 hidden="1">
      <c r="A191" s="390" t="s">
        <v>1381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1396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 hidden="1">
      <c r="A192" s="390" t="s">
        <v>1381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923</v>
      </c>
      <c r="G192" s="391" t="s">
        <v>863</v>
      </c>
      <c r="H192" s="391" t="s">
        <v>15</v>
      </c>
      <c r="I192" s="391">
        <v>20</v>
      </c>
      <c r="J192" s="392" t="s">
        <v>927</v>
      </c>
      <c r="K192" s="393">
        <f>(19*25)+(1*20.7)</f>
        <v>495.7</v>
      </c>
      <c r="L192" s="228" t="s">
        <v>1382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 hidden="1">
      <c r="A193" s="390" t="s">
        <v>1381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924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228" t="s">
        <v>1384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 hidden="1">
      <c r="A194" s="390" t="s">
        <v>1381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925</v>
      </c>
      <c r="H194" s="391" t="s">
        <v>15</v>
      </c>
      <c r="I194" s="391">
        <v>30</v>
      </c>
      <c r="J194" s="392" t="s">
        <v>928</v>
      </c>
      <c r="K194" s="393">
        <f>(28*35)+(2*27.3)</f>
        <v>1034.5999999999999</v>
      </c>
      <c r="L194" s="228" t="s">
        <v>1382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 hidden="1">
      <c r="A195" s="390" t="s">
        <v>1381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228" t="s">
        <v>1382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 hidden="1">
      <c r="A196" s="390" t="s">
        <v>1381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929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1384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 hidden="1">
      <c r="A197" s="390" t="s">
        <v>1381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1384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 hidden="1">
      <c r="A198" s="390" t="s">
        <v>1381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1389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 hidden="1">
      <c r="A199" s="390" t="s">
        <v>1381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1389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 hidden="1">
      <c r="A200" s="390" t="s">
        <v>1381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228"/>
      <c r="M200" s="58"/>
      <c r="N200" s="229"/>
      <c r="O200" s="186" t="s">
        <v>1384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 hidden="1">
      <c r="A201" s="390" t="s">
        <v>1381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228"/>
      <c r="M201" s="58"/>
      <c r="N201" s="229"/>
      <c r="O201" s="186" t="s">
        <v>1389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 hidden="1">
      <c r="A202" s="390" t="s">
        <v>1381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1384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 hidden="1">
      <c r="A203" s="390" t="s">
        <v>1381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1389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 hidden="1">
      <c r="A204" s="390" t="s">
        <v>1381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228"/>
      <c r="M204" s="58"/>
      <c r="N204" s="229"/>
      <c r="O204" s="186" t="s">
        <v>1384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 hidden="1">
      <c r="A205" s="390" t="s">
        <v>1381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228"/>
      <c r="M205" s="58"/>
      <c r="N205" s="229"/>
      <c r="O205" s="186" t="s">
        <v>1389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 hidden="1">
      <c r="A206" s="390" t="s">
        <v>1381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932</v>
      </c>
      <c r="K206" s="393">
        <f>(14*33)+(1*27.2)</f>
        <v>489.2</v>
      </c>
      <c r="L206" s="228"/>
      <c r="M206" s="58"/>
      <c r="N206" s="229"/>
      <c r="O206" s="186" t="s">
        <v>1384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 hidden="1">
      <c r="A207" s="390" t="s">
        <v>1381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930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228"/>
      <c r="M207" s="58"/>
      <c r="N207" s="229"/>
      <c r="O207" s="186" t="s">
        <v>1389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 hidden="1">
      <c r="A208" s="390" t="s">
        <v>1381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228"/>
      <c r="M208" s="58"/>
      <c r="N208" s="229"/>
      <c r="O208" s="186" t="s">
        <v>1384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 hidden="1">
      <c r="A209" s="390" t="s">
        <v>1381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228"/>
      <c r="M209" s="58"/>
      <c r="N209" s="229"/>
      <c r="O209" s="186" t="s">
        <v>1384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 hidden="1">
      <c r="A210" s="390" t="s">
        <v>1381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228"/>
      <c r="M210" s="58"/>
      <c r="N210" s="229"/>
      <c r="O210" s="186" t="s">
        <v>1389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 hidden="1">
      <c r="A211" s="390" t="s">
        <v>1381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1384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 hidden="1">
      <c r="A212" s="390" t="s">
        <v>1381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931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1384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 hidden="1">
      <c r="A213" s="390" t="s">
        <v>1381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1384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 hidden="1">
      <c r="A214" s="390" t="s">
        <v>1381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1382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 hidden="1">
      <c r="A215" s="390" t="s">
        <v>1381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1382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 hidden="1">
      <c r="A216" s="390" t="s">
        <v>1381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947</v>
      </c>
      <c r="H216" s="391" t="s">
        <v>15</v>
      </c>
      <c r="I216" s="397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1382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 hidden="1">
      <c r="A217" s="390" t="s">
        <v>1381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7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1382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 hidden="1">
      <c r="A218" s="390" t="s">
        <v>1381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948</v>
      </c>
      <c r="H218" s="391" t="s">
        <v>15</v>
      </c>
      <c r="I218" s="397">
        <v>20</v>
      </c>
      <c r="J218" s="392" t="s">
        <v>950</v>
      </c>
      <c r="K218" s="393">
        <f>(18*43)+(2*38.7)</f>
        <v>851.4</v>
      </c>
      <c r="L218" s="228"/>
      <c r="M218" s="58"/>
      <c r="N218" s="229"/>
      <c r="O218" s="186" t="s">
        <v>1382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 hidden="1">
      <c r="A219" s="390" t="s">
        <v>1381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945</v>
      </c>
      <c r="G219" s="391" t="s">
        <v>87</v>
      </c>
      <c r="H219" s="391" t="s">
        <v>5</v>
      </c>
      <c r="I219" s="397">
        <v>20</v>
      </c>
      <c r="J219" s="392" t="s">
        <v>443</v>
      </c>
      <c r="K219" s="393">
        <f>(18*38)+(2*33.7)</f>
        <v>751.4</v>
      </c>
      <c r="L219" s="228" t="s">
        <v>1382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 hidden="1">
      <c r="A220" s="390" t="s">
        <v>1381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943</v>
      </c>
      <c r="G220" s="391" t="s">
        <v>87</v>
      </c>
      <c r="H220" s="391" t="s">
        <v>5</v>
      </c>
      <c r="I220" s="397">
        <v>22</v>
      </c>
      <c r="J220" s="392" t="s">
        <v>951</v>
      </c>
      <c r="K220" s="393">
        <f>(20*38)+(2*30.3)</f>
        <v>820.6</v>
      </c>
      <c r="L220" s="228" t="s">
        <v>1384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 hidden="1">
      <c r="A221" s="390" t="s">
        <v>1381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7">
        <v>20</v>
      </c>
      <c r="J221" s="392" t="s">
        <v>944</v>
      </c>
      <c r="K221" s="393">
        <f>(19*42)+(1*37.7)</f>
        <v>835.7</v>
      </c>
      <c r="L221" s="228" t="s">
        <v>1382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 hidden="1">
      <c r="A222" s="390" t="s">
        <v>1381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7">
        <v>20</v>
      </c>
      <c r="J222" s="392" t="s">
        <v>944</v>
      </c>
      <c r="K222" s="393">
        <f>(19*42)+(1*37.7)</f>
        <v>835.7</v>
      </c>
      <c r="L222" s="228" t="s">
        <v>1384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 hidden="1">
      <c r="A223" s="390" t="s">
        <v>1381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7">
        <v>20</v>
      </c>
      <c r="J223" s="392" t="s">
        <v>952</v>
      </c>
      <c r="K223" s="393">
        <f>(17*43)+(3*38.7)</f>
        <v>847.1</v>
      </c>
      <c r="L223" s="228" t="s">
        <v>1382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 hidden="1">
      <c r="A224" s="390" t="s">
        <v>1381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7">
        <v>20</v>
      </c>
      <c r="J224" s="392" t="s">
        <v>950</v>
      </c>
      <c r="K224" s="393">
        <f>(18*43)+(2*38.7)</f>
        <v>851.4</v>
      </c>
      <c r="L224" s="228" t="s">
        <v>1384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 hidden="1">
      <c r="A225" s="390" t="s">
        <v>1381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7">
        <v>30</v>
      </c>
      <c r="J225" s="392" t="s">
        <v>382</v>
      </c>
      <c r="K225" s="393">
        <f>(28*36)+(2*28.3)</f>
        <v>1064.5999999999999</v>
      </c>
      <c r="L225" s="228" t="s">
        <v>1382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 hidden="1">
      <c r="A226" s="390" t="s">
        <v>1381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946</v>
      </c>
      <c r="G226" s="391" t="s">
        <v>745</v>
      </c>
      <c r="H226" s="391" t="s">
        <v>15</v>
      </c>
      <c r="I226" s="397">
        <v>15</v>
      </c>
      <c r="J226" s="392" t="s">
        <v>402</v>
      </c>
      <c r="K226" s="393">
        <f>(13*36)+(2*28.3)</f>
        <v>524.6</v>
      </c>
      <c r="L226" s="228" t="s">
        <v>1382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t="15.75" hidden="1" thickBot="1">
      <c r="A227" s="390" t="s">
        <v>1381</v>
      </c>
      <c r="B227" s="394" t="s">
        <v>129</v>
      </c>
      <c r="C227" s="394">
        <v>44</v>
      </c>
      <c r="D227" s="394" t="s">
        <v>55</v>
      </c>
      <c r="E227" s="394">
        <v>547</v>
      </c>
      <c r="F227" s="394" t="s">
        <v>198</v>
      </c>
      <c r="G227" s="394" t="s">
        <v>655</v>
      </c>
      <c r="H227" s="394" t="s">
        <v>5</v>
      </c>
      <c r="I227" s="399">
        <v>15</v>
      </c>
      <c r="J227" s="395" t="s">
        <v>355</v>
      </c>
      <c r="K227" s="396">
        <f>(14*38)+(1*30.3)</f>
        <v>562.29999999999995</v>
      </c>
      <c r="L227" s="228" t="s">
        <v>1382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 hidden="1">
      <c r="A228" s="390" t="s">
        <v>1381</v>
      </c>
      <c r="B228" s="387" t="s">
        <v>129</v>
      </c>
      <c r="C228" s="387">
        <v>44</v>
      </c>
      <c r="D228" s="387" t="s">
        <v>55</v>
      </c>
      <c r="E228" s="387">
        <v>549</v>
      </c>
      <c r="F228" s="387" t="s">
        <v>804</v>
      </c>
      <c r="G228" s="387" t="s">
        <v>655</v>
      </c>
      <c r="H228" s="387" t="s">
        <v>5</v>
      </c>
      <c r="I228" s="400">
        <v>15</v>
      </c>
      <c r="J228" s="388" t="s">
        <v>355</v>
      </c>
      <c r="K228" s="389">
        <f>(14*38)+(1*30.3)</f>
        <v>562.29999999999995</v>
      </c>
      <c r="L228" s="228" t="s">
        <v>1382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 hidden="1">
      <c r="A229" s="390" t="s">
        <v>1381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953</v>
      </c>
      <c r="K229" s="393">
        <f>(12*38)+(3*30.3)</f>
        <v>546.9</v>
      </c>
      <c r="L229" s="228" t="s">
        <v>1384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 hidden="1">
      <c r="A230" s="390" t="s">
        <v>1381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954</v>
      </c>
      <c r="K230" s="393">
        <f>(28*38)+(2*30.3)</f>
        <v>1124.5999999999999</v>
      </c>
      <c r="L230" s="228" t="s">
        <v>1384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 hidden="1">
      <c r="A231" s="390" t="s">
        <v>1381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1382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 hidden="1">
      <c r="A232" s="390" t="s">
        <v>1381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949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1382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 hidden="1">
      <c r="A233" s="390" t="s">
        <v>1381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1389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 hidden="1">
      <c r="A234" s="390" t="s">
        <v>1381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933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1389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 hidden="1">
      <c r="A235" s="390" t="s">
        <v>1381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934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1389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 hidden="1">
      <c r="A236" s="390" t="s">
        <v>1381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935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1389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 hidden="1">
      <c r="A237" s="390" t="s">
        <v>1381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1389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 hidden="1">
      <c r="A238" s="390" t="s">
        <v>1381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1389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 hidden="1">
      <c r="A239" s="390" t="s">
        <v>1381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938</v>
      </c>
      <c r="K239" s="393">
        <f>(8*28)+(2*19.4)</f>
        <v>262.8</v>
      </c>
      <c r="L239" s="228" t="s">
        <v>1389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 hidden="1">
      <c r="A240" s="390" t="s">
        <v>1381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939</v>
      </c>
      <c r="K240" s="393">
        <f>(8*28)+(1*19.4)</f>
        <v>243.4</v>
      </c>
      <c r="L240" s="228" t="s">
        <v>1389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 hidden="1">
      <c r="A241" s="390" t="s">
        <v>1381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1389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 hidden="1">
      <c r="A242" s="390" t="s">
        <v>1381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1389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 hidden="1">
      <c r="A243" s="390" t="s">
        <v>1381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1389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 hidden="1">
      <c r="A244" s="390" t="s">
        <v>1381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1389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 hidden="1">
      <c r="A245" s="390" t="s">
        <v>1381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1389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 hidden="1">
      <c r="A246" s="390" t="s">
        <v>1381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1389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 hidden="1">
      <c r="A247" s="390" t="s">
        <v>1381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1389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 hidden="1">
      <c r="A248" s="390" t="s">
        <v>1381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1389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 hidden="1">
      <c r="A249" s="390" t="s">
        <v>1381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1389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 hidden="1">
      <c r="A250" s="390" t="s">
        <v>1381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940</v>
      </c>
      <c r="K250" s="393">
        <f>(14*38)++(1*29.4)</f>
        <v>561.4</v>
      </c>
      <c r="L250" s="228" t="s">
        <v>1389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 hidden="1">
      <c r="A251" s="390" t="s">
        <v>1381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940</v>
      </c>
      <c r="K251" s="393">
        <f>(14*38)++(1*29.4)</f>
        <v>561.4</v>
      </c>
      <c r="L251" s="228" t="s">
        <v>1389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 hidden="1">
      <c r="A252" s="390" t="s">
        <v>1381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936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1389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 hidden="1">
      <c r="A253" s="390" t="s">
        <v>1381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1389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 hidden="1">
      <c r="A254" s="390" t="s">
        <v>1381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1389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 hidden="1">
      <c r="A255" s="390" t="s">
        <v>1381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1389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 hidden="1">
      <c r="A256" s="390" t="s">
        <v>1381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1389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 hidden="1">
      <c r="A257" s="390" t="s">
        <v>1381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1389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 hidden="1">
      <c r="A258" s="390" t="s">
        <v>1381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1389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 hidden="1">
      <c r="A259" s="390" t="s">
        <v>1381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941</v>
      </c>
      <c r="K259" s="393">
        <f>(18*30)+(2*21.4)</f>
        <v>582.79999999999995</v>
      </c>
      <c r="L259" s="228" t="s">
        <v>1389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 hidden="1">
      <c r="A260" s="390" t="s">
        <v>1381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937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1389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 hidden="1">
      <c r="A261" s="390" t="s">
        <v>1381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1384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 hidden="1">
      <c r="A262" s="390" t="s">
        <v>1381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1384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 hidden="1">
      <c r="A263" s="390" t="s">
        <v>1381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963</v>
      </c>
      <c r="K263" s="393">
        <f>(18*24)+(2*19.7)</f>
        <v>471.4</v>
      </c>
      <c r="L263" s="228" t="s">
        <v>1382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 hidden="1">
      <c r="A264" s="390" t="s">
        <v>1381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958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1382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 hidden="1">
      <c r="A265" s="390" t="s">
        <v>1381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956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1382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hidden="1" thickBot="1">
      <c r="A266" s="390" t="s">
        <v>1381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957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1384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 hidden="1">
      <c r="A267" s="390" t="s">
        <v>1381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959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1382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 hidden="1">
      <c r="A268" s="390" t="s">
        <v>1381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1382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 hidden="1">
      <c r="A269" s="390" t="s">
        <v>1381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961</v>
      </c>
      <c r="G269" s="391" t="s">
        <v>962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1382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 hidden="1">
      <c r="A270" s="390" t="s">
        <v>1381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965</v>
      </c>
      <c r="K270" s="393">
        <f>(11*30)+(2*22.3)</f>
        <v>374.6</v>
      </c>
      <c r="L270" s="58"/>
      <c r="M270" s="58"/>
      <c r="N270" s="229"/>
      <c r="O270" s="186" t="s">
        <v>1382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 hidden="1">
      <c r="A271" s="390" t="s">
        <v>1381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1382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 hidden="1">
      <c r="A272" s="390" t="s">
        <v>1381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966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1382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 hidden="1">
      <c r="A273" s="390" t="s">
        <v>1381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1393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 hidden="1">
      <c r="A274" s="390" t="s">
        <v>1381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973</v>
      </c>
      <c r="K274" s="393">
        <f>(9*38)+(1*29.4)</f>
        <v>371.4</v>
      </c>
      <c r="L274" s="58"/>
      <c r="M274" s="58"/>
      <c r="N274" s="229"/>
      <c r="O274" s="186" t="s">
        <v>1396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 hidden="1">
      <c r="A275" s="390" t="s">
        <v>1381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967</v>
      </c>
      <c r="G275" s="391" t="s">
        <v>708</v>
      </c>
      <c r="H275" s="391" t="s">
        <v>5</v>
      </c>
      <c r="I275" s="391">
        <v>20</v>
      </c>
      <c r="J275" s="392" t="s">
        <v>974</v>
      </c>
      <c r="K275" s="393">
        <f>(19*40)+(1*31.4)</f>
        <v>791.4</v>
      </c>
      <c r="L275" s="58"/>
      <c r="M275" s="58"/>
      <c r="N275" s="229"/>
      <c r="O275" s="186" t="s">
        <v>1396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 hidden="1">
      <c r="A276" s="390" t="s">
        <v>1381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968</v>
      </c>
      <c r="G276" s="391" t="s">
        <v>708</v>
      </c>
      <c r="H276" s="391" t="s">
        <v>5</v>
      </c>
      <c r="I276" s="391">
        <v>20</v>
      </c>
      <c r="J276" s="392" t="s">
        <v>974</v>
      </c>
      <c r="K276" s="393">
        <f>(19*40)+(1*31.4)</f>
        <v>791.4</v>
      </c>
      <c r="L276" s="58"/>
      <c r="M276" s="58"/>
      <c r="N276" s="229"/>
      <c r="O276" s="186" t="s">
        <v>1398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 hidden="1">
      <c r="A277" s="390" t="s">
        <v>1381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1384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 hidden="1">
      <c r="A278" s="390" t="s">
        <v>1381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1382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 hidden="1">
      <c r="A279" s="390" t="s">
        <v>1381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1384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 hidden="1">
      <c r="A280" s="390" t="s">
        <v>1381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1393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 hidden="1">
      <c r="A281" s="390" t="s">
        <v>1381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1398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 hidden="1">
      <c r="A282" s="390" t="s">
        <v>1381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1393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 hidden="1">
      <c r="A283" s="390" t="s">
        <v>1381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1396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 hidden="1">
      <c r="A284" s="390" t="s">
        <v>1381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969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1393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 hidden="1">
      <c r="A285" s="390" t="s">
        <v>1381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1396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 hidden="1">
      <c r="A286" s="390" t="s">
        <v>1381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970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1393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 hidden="1">
      <c r="A287" s="390" t="s">
        <v>1381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1382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 hidden="1">
      <c r="A288" s="390" t="s">
        <v>1381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1393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 hidden="1">
      <c r="A289" s="390" t="s">
        <v>1381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971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1396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 hidden="1">
      <c r="A290" s="390" t="s">
        <v>1381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1393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 hidden="1">
      <c r="A291" s="390" t="s">
        <v>1381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1382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 hidden="1">
      <c r="A292" s="390" t="s">
        <v>1381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1384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 hidden="1">
      <c r="A293" s="390" t="s">
        <v>1381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1382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 hidden="1">
      <c r="A294" s="390" t="s">
        <v>1381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1382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 hidden="1">
      <c r="A295" s="390" t="s">
        <v>1381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1382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 hidden="1">
      <c r="A296" s="390" t="s">
        <v>1381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1384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 hidden="1">
      <c r="A297" s="390" t="s">
        <v>1381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1382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 hidden="1">
      <c r="A298" s="390" t="s">
        <v>1381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1382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 hidden="1">
      <c r="A299" s="390" t="s">
        <v>1381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1382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 hidden="1">
      <c r="A300" s="390" t="s">
        <v>1381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972</v>
      </c>
      <c r="H300" s="391" t="s">
        <v>5</v>
      </c>
      <c r="I300" s="391">
        <v>23</v>
      </c>
      <c r="J300" s="392" t="s">
        <v>975</v>
      </c>
      <c r="K300" s="393">
        <f>(22*35)+(1*26.4)</f>
        <v>796.4</v>
      </c>
      <c r="L300" s="228" t="s">
        <v>1382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 hidden="1">
      <c r="A301" s="390" t="s">
        <v>1381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1384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 hidden="1">
      <c r="A302" s="390" t="s">
        <v>1381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1384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 hidden="1">
      <c r="A303" s="390" t="s">
        <v>1381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1384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 hidden="1">
      <c r="A304" s="390" t="s">
        <v>1381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1384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hidden="1" thickBot="1">
      <c r="A305" s="390" t="s">
        <v>1381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976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1389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 hidden="1">
      <c r="A306" s="390" t="s">
        <v>1381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977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1384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 hidden="1">
      <c r="A307" s="390" t="s">
        <v>1381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1389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 hidden="1">
      <c r="A308" s="390" t="s">
        <v>1381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1384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 hidden="1">
      <c r="A309" s="390" t="s">
        <v>1381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1384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 hidden="1">
      <c r="A310" s="390" t="s">
        <v>1381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978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1389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 hidden="1">
      <c r="A311" s="390" t="s">
        <v>1381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1389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 hidden="1">
      <c r="A312" s="390" t="s">
        <v>1381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982</v>
      </c>
      <c r="K312" s="393">
        <f>(17*28)+(1*19.4)</f>
        <v>495.4</v>
      </c>
      <c r="L312" s="228" t="s">
        <v>1389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 hidden="1">
      <c r="A313" s="390" t="s">
        <v>1381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983</v>
      </c>
      <c r="K313" s="393">
        <f>(29*33)+(1*24.4)</f>
        <v>981.4</v>
      </c>
      <c r="L313" s="228" t="s">
        <v>1384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 hidden="1">
      <c r="A314" s="390" t="s">
        <v>1381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1384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 hidden="1">
      <c r="A315" s="390" t="s">
        <v>1381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1389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 hidden="1">
      <c r="A316" s="390" t="s">
        <v>1381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1384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 hidden="1">
      <c r="A317" s="390" t="s">
        <v>1381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1384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 hidden="1">
      <c r="A318" s="390" t="s">
        <v>1381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1384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 hidden="1">
      <c r="A319" s="390" t="s">
        <v>1381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1389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 hidden="1">
      <c r="A320" s="390" t="s">
        <v>1381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979</v>
      </c>
      <c r="G320" s="391" t="s">
        <v>981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1384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 hidden="1">
      <c r="A321" s="390" t="s">
        <v>1381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1384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 hidden="1">
      <c r="A322" s="390" t="s">
        <v>1381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1389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 hidden="1">
      <c r="A323" s="390" t="s">
        <v>1381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1384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 hidden="1">
      <c r="A324" s="390" t="s">
        <v>1381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1389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 hidden="1">
      <c r="A325" s="390" t="s">
        <v>1381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980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1389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 hidden="1">
      <c r="A326" s="390" t="s">
        <v>1381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1384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 hidden="1">
      <c r="A327" s="390" t="s">
        <v>1381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1389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 hidden="1">
      <c r="A328" s="390" t="s">
        <v>1381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1389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 hidden="1">
      <c r="A329" s="390" t="s">
        <v>1381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1389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 hidden="1">
      <c r="A330" s="390" t="s">
        <v>1381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1384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 hidden="1">
      <c r="A331" s="390" t="s">
        <v>1381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984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1382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 hidden="1">
      <c r="A332" s="390" t="s">
        <v>1381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1384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 hidden="1">
      <c r="A333" s="390" t="s">
        <v>1381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1382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 hidden="1">
      <c r="A334" s="390" t="s">
        <v>1381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985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1384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 hidden="1">
      <c r="A335" s="390" t="s">
        <v>1381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1398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 hidden="1">
      <c r="A336" s="390" t="s">
        <v>1381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1396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 hidden="1">
      <c r="A337" s="390" t="s">
        <v>1381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1382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 hidden="1">
      <c r="A338" s="390" t="s">
        <v>1381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1384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 hidden="1">
      <c r="A339" s="390" t="s">
        <v>1381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986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1382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 hidden="1">
      <c r="A340" s="390" t="s">
        <v>1381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1382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 hidden="1">
      <c r="A341" s="390" t="s">
        <v>1381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1384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 hidden="1">
      <c r="A342" s="390" t="s">
        <v>1381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1384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 hidden="1">
      <c r="A343" s="390" t="s">
        <v>1381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1382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hidden="1" thickBot="1">
      <c r="A344" s="390" t="s">
        <v>1381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1384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 hidden="1">
      <c r="A345" s="390" t="s">
        <v>1381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955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1382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 hidden="1">
      <c r="A346" s="390" t="s">
        <v>1381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1382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 hidden="1">
      <c r="A347" s="390" t="s">
        <v>1381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987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1396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 hidden="1">
      <c r="A348" s="390" t="s">
        <v>1381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988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1382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 hidden="1">
      <c r="A349" s="390" t="s">
        <v>1381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1382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 hidden="1">
      <c r="A350" s="390" t="s">
        <v>1381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1382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 hidden="1">
      <c r="A351" s="390" t="s">
        <v>1381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989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1384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 hidden="1">
      <c r="A352" s="390" t="s">
        <v>1381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1382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 hidden="1">
      <c r="A353" s="390" t="s">
        <v>1381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1384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 hidden="1">
      <c r="A354" s="390" t="s">
        <v>1381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990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1382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 hidden="1">
      <c r="A355" s="390" t="s">
        <v>1381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1024</v>
      </c>
      <c r="K355" s="393">
        <f>(20*37)</f>
        <v>740</v>
      </c>
      <c r="L355" s="228" t="s">
        <v>1384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 hidden="1">
      <c r="A356" s="390" t="s">
        <v>1381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991</v>
      </c>
      <c r="G356" s="391" t="s">
        <v>258</v>
      </c>
      <c r="H356" s="391" t="s">
        <v>15</v>
      </c>
      <c r="I356" s="391">
        <v>20</v>
      </c>
      <c r="J356" s="392" t="s">
        <v>1025</v>
      </c>
      <c r="K356" s="393">
        <f>(19*37)+(1*29.3)</f>
        <v>732.3</v>
      </c>
      <c r="L356" s="58"/>
      <c r="M356" s="58"/>
      <c r="N356" s="229"/>
      <c r="O356" s="186" t="s">
        <v>1384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 hidden="1">
      <c r="A357" s="390" t="s">
        <v>1381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992</v>
      </c>
      <c r="G357" s="391" t="s">
        <v>863</v>
      </c>
      <c r="H357" s="391" t="s">
        <v>15</v>
      </c>
      <c r="I357" s="391">
        <v>20</v>
      </c>
      <c r="J357" s="392" t="s">
        <v>1026</v>
      </c>
      <c r="K357" s="393">
        <f>(18*26)+(1*10.6)+(1*18.3)</f>
        <v>496.90000000000003</v>
      </c>
      <c r="L357" s="228" t="s">
        <v>1384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 hidden="1">
      <c r="A358" s="390" t="s">
        <v>1381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993</v>
      </c>
      <c r="G358" s="391" t="s">
        <v>669</v>
      </c>
      <c r="H358" s="391" t="s">
        <v>15</v>
      </c>
      <c r="I358" s="391">
        <v>20</v>
      </c>
      <c r="J358" s="392" t="s">
        <v>1027</v>
      </c>
      <c r="K358" s="393">
        <f>(18*33)+(1*24.4)+(1*28.7)</f>
        <v>647.1</v>
      </c>
      <c r="L358" s="228"/>
      <c r="M358" s="58"/>
      <c r="N358" s="229"/>
      <c r="O358" s="186" t="s">
        <v>1384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 hidden="1">
      <c r="A359" s="390" t="s">
        <v>1381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994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1384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 hidden="1">
      <c r="A360" s="390" t="s">
        <v>1381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1389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 hidden="1">
      <c r="A361" s="390" t="s">
        <v>1381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995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1384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 hidden="1">
      <c r="A362" s="390" t="s">
        <v>1381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1023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1389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 hidden="1">
      <c r="A363" s="390" t="s">
        <v>1381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1384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 hidden="1">
      <c r="A364" s="390" t="s">
        <v>1381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1389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 hidden="1">
      <c r="A365" s="390" t="s">
        <v>1381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996</v>
      </c>
      <c r="G365" s="391" t="s">
        <v>1000</v>
      </c>
      <c r="H365" s="391" t="s">
        <v>15</v>
      </c>
      <c r="I365" s="391">
        <v>20</v>
      </c>
      <c r="J365" s="392" t="s">
        <v>1028</v>
      </c>
      <c r="K365" s="393">
        <f>(17*26)+(3*18.3)</f>
        <v>496.9</v>
      </c>
      <c r="L365" s="58"/>
      <c r="M365" s="58"/>
      <c r="N365" s="229"/>
      <c r="O365" s="186" t="s">
        <v>1389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 hidden="1">
      <c r="A366" s="390" t="s">
        <v>1381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997</v>
      </c>
      <c r="G366" s="391" t="s">
        <v>352</v>
      </c>
      <c r="H366" s="391" t="s">
        <v>15</v>
      </c>
      <c r="I366" s="391">
        <v>30</v>
      </c>
      <c r="J366" s="392" t="s">
        <v>1029</v>
      </c>
      <c r="K366" s="393">
        <f>(30*40)</f>
        <v>1200</v>
      </c>
      <c r="L366" s="228" t="s">
        <v>1384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 hidden="1">
      <c r="A367" s="390" t="s">
        <v>1381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998</v>
      </c>
      <c r="G367" s="391" t="s">
        <v>352</v>
      </c>
      <c r="H367" s="391" t="s">
        <v>15</v>
      </c>
      <c r="I367" s="391">
        <v>30</v>
      </c>
      <c r="J367" s="392" t="s">
        <v>1029</v>
      </c>
      <c r="K367" s="393">
        <f>(30*40)</f>
        <v>1200</v>
      </c>
      <c r="L367" s="58"/>
      <c r="M367" s="58"/>
      <c r="N367" s="229"/>
      <c r="O367" s="186" t="s">
        <v>1384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 hidden="1">
      <c r="A368" s="390" t="s">
        <v>1381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996</v>
      </c>
      <c r="G368" s="391" t="s">
        <v>685</v>
      </c>
      <c r="H368" s="391" t="s">
        <v>15</v>
      </c>
      <c r="I368" s="391">
        <v>20</v>
      </c>
      <c r="J368" s="392" t="s">
        <v>1030</v>
      </c>
      <c r="K368" s="393">
        <f>(19*38)+(1*30.3)</f>
        <v>752.3</v>
      </c>
      <c r="L368" s="58"/>
      <c r="M368" s="58"/>
      <c r="N368" s="229"/>
      <c r="O368" s="186" t="s">
        <v>1389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 hidden="1">
      <c r="A369" s="390" t="s">
        <v>1381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999</v>
      </c>
      <c r="G369" s="391" t="s">
        <v>649</v>
      </c>
      <c r="H369" s="391" t="s">
        <v>15</v>
      </c>
      <c r="I369" s="391">
        <v>20</v>
      </c>
      <c r="J369" s="392" t="s">
        <v>1031</v>
      </c>
      <c r="K369" s="393">
        <f>(19*24)+(1*19.7)</f>
        <v>475.7</v>
      </c>
      <c r="L369" s="58"/>
      <c r="M369" s="58"/>
      <c r="N369" s="229"/>
      <c r="O369" s="186" t="s">
        <v>1389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 hidden="1">
      <c r="A370" s="390" t="s">
        <v>1381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1384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 hidden="1">
      <c r="A371" s="390" t="s">
        <v>1381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1001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1389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 hidden="1">
      <c r="A372" s="390" t="s">
        <v>1381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1002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1384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 hidden="1">
      <c r="A373" s="390" t="s">
        <v>1381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1003</v>
      </c>
      <c r="G373" s="391" t="s">
        <v>87</v>
      </c>
      <c r="H373" s="391" t="s">
        <v>5</v>
      </c>
      <c r="I373" s="391">
        <v>12</v>
      </c>
      <c r="J373" s="392" t="s">
        <v>1032</v>
      </c>
      <c r="K373" s="393">
        <f>(10*38)+(2*30.3)</f>
        <v>440.6</v>
      </c>
      <c r="L373" s="58"/>
      <c r="M373" s="58"/>
      <c r="N373" s="229"/>
      <c r="O373" s="186" t="s">
        <v>1389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 hidden="1">
      <c r="A374" s="390" t="s">
        <v>1381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1004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1389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 hidden="1">
      <c r="A375" s="390" t="s">
        <v>1381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1005</v>
      </c>
      <c r="G375" s="391" t="s">
        <v>87</v>
      </c>
      <c r="H375" s="391" t="s">
        <v>15</v>
      </c>
      <c r="I375" s="391">
        <v>20</v>
      </c>
      <c r="J375" s="392" t="s">
        <v>1033</v>
      </c>
      <c r="K375" s="393">
        <f>(19*39)+(1*30.4)</f>
        <v>771.4</v>
      </c>
      <c r="L375" s="228"/>
      <c r="M375" s="58"/>
      <c r="N375" s="229"/>
      <c r="O375" s="186" t="s">
        <v>1389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 hidden="1">
      <c r="A376" s="390" t="s">
        <v>1381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1389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 hidden="1">
      <c r="A377" s="390" t="s">
        <v>1381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1006</v>
      </c>
      <c r="H377" s="391" t="s">
        <v>15</v>
      </c>
      <c r="I377" s="391">
        <v>6</v>
      </c>
      <c r="J377" s="392" t="s">
        <v>1034</v>
      </c>
      <c r="K377" s="393">
        <f>(5*34)+(1*29.7)</f>
        <v>199.7</v>
      </c>
      <c r="L377" s="228" t="s">
        <v>1384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 hidden="1">
      <c r="A378" s="390" t="s">
        <v>1381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1006</v>
      </c>
      <c r="H378" s="391" t="s">
        <v>15</v>
      </c>
      <c r="I378" s="391">
        <v>13</v>
      </c>
      <c r="J378" s="392" t="s">
        <v>1035</v>
      </c>
      <c r="K378" s="393">
        <f>(12*34)+(1*29.7)</f>
        <v>437.7</v>
      </c>
      <c r="L378" s="228" t="s">
        <v>1384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 hidden="1">
      <c r="A379" s="390" t="s">
        <v>1381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1389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 hidden="1">
      <c r="A380" s="390" t="s">
        <v>1381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1389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 hidden="1">
      <c r="A381" s="390" t="s">
        <v>1381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1389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 hidden="1">
      <c r="A382" s="390" t="s">
        <v>1381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1389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hidden="1" thickBot="1">
      <c r="A383" s="390" t="s">
        <v>1381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1036</v>
      </c>
      <c r="K383" s="396">
        <f>(18*42)+(2*37.7)</f>
        <v>831.4</v>
      </c>
      <c r="L383" s="58"/>
      <c r="M383" s="58"/>
      <c r="N383" s="229"/>
      <c r="O383" s="186" t="s">
        <v>1389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 hidden="1">
      <c r="A384" s="390" t="s">
        <v>1381</v>
      </c>
      <c r="B384" s="387" t="s">
        <v>6</v>
      </c>
      <c r="C384" s="387" t="s">
        <v>309</v>
      </c>
      <c r="D384" s="387"/>
      <c r="E384" s="387"/>
      <c r="F384" s="387" t="s">
        <v>1007</v>
      </c>
      <c r="G384" s="387" t="s">
        <v>374</v>
      </c>
      <c r="H384" s="387" t="s">
        <v>330</v>
      </c>
      <c r="I384" s="387">
        <v>15</v>
      </c>
      <c r="J384" s="388" t="s">
        <v>1037</v>
      </c>
      <c r="K384" s="389">
        <f>(14*24)+(1*20.4)</f>
        <v>356.4</v>
      </c>
      <c r="L384" s="58"/>
      <c r="M384" s="58"/>
      <c r="N384" s="229"/>
      <c r="O384" s="186" t="s">
        <v>1398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 hidden="1">
      <c r="A385" s="390" t="s">
        <v>1381</v>
      </c>
      <c r="B385" s="391" t="s">
        <v>6</v>
      </c>
      <c r="C385" s="391" t="s">
        <v>309</v>
      </c>
      <c r="D385" s="391"/>
      <c r="E385" s="391"/>
      <c r="F385" s="391" t="s">
        <v>1008</v>
      </c>
      <c r="G385" s="391" t="s">
        <v>374</v>
      </c>
      <c r="H385" s="391" t="s">
        <v>330</v>
      </c>
      <c r="I385" s="391">
        <v>10</v>
      </c>
      <c r="J385" s="392" t="s">
        <v>1038</v>
      </c>
      <c r="K385" s="393">
        <f>(9*24)+(1*20.4)</f>
        <v>236.4</v>
      </c>
      <c r="L385" s="58"/>
      <c r="M385" s="58"/>
      <c r="N385" s="229"/>
      <c r="O385" s="186" t="s">
        <v>1398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1381</v>
      </c>
      <c r="B386" s="391" t="s">
        <v>6</v>
      </c>
      <c r="C386" s="391" t="s">
        <v>309</v>
      </c>
      <c r="D386" s="391"/>
      <c r="E386" s="391"/>
      <c r="F386" s="391" t="s">
        <v>1022</v>
      </c>
      <c r="G386" s="391" t="s">
        <v>374</v>
      </c>
      <c r="H386" s="391" t="s">
        <v>330</v>
      </c>
      <c r="I386" s="391">
        <v>15</v>
      </c>
      <c r="J386" s="392" t="s">
        <v>1037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1389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 hidden="1">
      <c r="A387" s="390" t="s">
        <v>1381</v>
      </c>
      <c r="B387" s="391" t="s">
        <v>6</v>
      </c>
      <c r="C387" s="391" t="s">
        <v>309</v>
      </c>
      <c r="D387" s="391"/>
      <c r="E387" s="391"/>
      <c r="F387" s="391" t="s">
        <v>1009</v>
      </c>
      <c r="G387" s="391" t="s">
        <v>374</v>
      </c>
      <c r="H387" s="391" t="s">
        <v>330</v>
      </c>
      <c r="I387" s="391">
        <v>10</v>
      </c>
      <c r="J387" s="392" t="s">
        <v>1038</v>
      </c>
      <c r="K387" s="393">
        <f>(9*24)+(1*20.4)</f>
        <v>236.4</v>
      </c>
      <c r="L387" s="58"/>
      <c r="M387" s="58"/>
      <c r="N387" s="229"/>
      <c r="O387" s="186" t="s">
        <v>1406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 hidden="1">
      <c r="A388" s="390" t="s">
        <v>1381</v>
      </c>
      <c r="B388" s="391" t="s">
        <v>6</v>
      </c>
      <c r="C388" s="391" t="s">
        <v>309</v>
      </c>
      <c r="D388" s="391"/>
      <c r="E388" s="391"/>
      <c r="F388" s="391" t="s">
        <v>1010</v>
      </c>
      <c r="G388" s="391" t="s">
        <v>374</v>
      </c>
      <c r="H388" s="391" t="s">
        <v>330</v>
      </c>
      <c r="I388" s="391">
        <v>15</v>
      </c>
      <c r="J388" s="392" t="s">
        <v>1037</v>
      </c>
      <c r="K388" s="393">
        <f>(14*24)+(1*20.4)</f>
        <v>356.4</v>
      </c>
      <c r="L388" s="228"/>
      <c r="M388" s="58"/>
      <c r="N388" s="229"/>
      <c r="O388" s="186" t="s">
        <v>1403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 hidden="1">
      <c r="A389" s="390" t="s">
        <v>1381</v>
      </c>
      <c r="B389" s="391" t="s">
        <v>6</v>
      </c>
      <c r="C389" s="391" t="s">
        <v>309</v>
      </c>
      <c r="D389" s="391"/>
      <c r="E389" s="391"/>
      <c r="F389" s="391" t="s">
        <v>1021</v>
      </c>
      <c r="G389" s="391" t="s">
        <v>374</v>
      </c>
      <c r="H389" s="391" t="s">
        <v>330</v>
      </c>
      <c r="I389" s="391">
        <v>10</v>
      </c>
      <c r="J389" s="392" t="s">
        <v>1038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1384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 hidden="1">
      <c r="A390" s="390" t="s">
        <v>1381</v>
      </c>
      <c r="B390" s="391" t="s">
        <v>6</v>
      </c>
      <c r="C390" s="391" t="s">
        <v>309</v>
      </c>
      <c r="D390" s="391"/>
      <c r="E390" s="391"/>
      <c r="F390" s="391" t="s">
        <v>1011</v>
      </c>
      <c r="G390" s="391" t="s">
        <v>374</v>
      </c>
      <c r="H390" s="391" t="s">
        <v>330</v>
      </c>
      <c r="I390" s="391">
        <v>15</v>
      </c>
      <c r="J390" s="392" t="s">
        <v>1037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1384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 hidden="1">
      <c r="A391" s="390" t="s">
        <v>1381</v>
      </c>
      <c r="B391" s="391" t="s">
        <v>6</v>
      </c>
      <c r="C391" s="391" t="s">
        <v>309</v>
      </c>
      <c r="D391" s="391"/>
      <c r="E391" s="391"/>
      <c r="F391" s="391" t="s">
        <v>1012</v>
      </c>
      <c r="G391" s="391" t="s">
        <v>374</v>
      </c>
      <c r="H391" s="391" t="s">
        <v>330</v>
      </c>
      <c r="I391" s="391">
        <v>10</v>
      </c>
      <c r="J391" s="392" t="s">
        <v>1038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1384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 hidden="1">
      <c r="A392" s="390" t="s">
        <v>1381</v>
      </c>
      <c r="B392" s="391" t="s">
        <v>6</v>
      </c>
      <c r="C392" s="391" t="s">
        <v>309</v>
      </c>
      <c r="D392" s="391"/>
      <c r="E392" s="391"/>
      <c r="F392" s="391" t="s">
        <v>1013</v>
      </c>
      <c r="G392" s="391" t="s">
        <v>374</v>
      </c>
      <c r="H392" s="391" t="s">
        <v>330</v>
      </c>
      <c r="I392" s="391">
        <v>10</v>
      </c>
      <c r="J392" s="392" t="s">
        <v>1039</v>
      </c>
      <c r="K392" s="393">
        <f>(9*21)+(1*17.4)</f>
        <v>206.4</v>
      </c>
      <c r="L392" s="58"/>
      <c r="M392" s="58"/>
      <c r="N392" s="229"/>
      <c r="O392" s="186" t="s">
        <v>1393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 hidden="1">
      <c r="A393" s="390" t="s">
        <v>1381</v>
      </c>
      <c r="B393" s="391" t="s">
        <v>6</v>
      </c>
      <c r="C393" s="391" t="s">
        <v>309</v>
      </c>
      <c r="D393" s="391"/>
      <c r="E393" s="391"/>
      <c r="F393" s="391" t="s">
        <v>1014</v>
      </c>
      <c r="G393" s="391" t="s">
        <v>374</v>
      </c>
      <c r="H393" s="391" t="s">
        <v>330</v>
      </c>
      <c r="I393" s="391">
        <v>10</v>
      </c>
      <c r="J393" s="392" t="s">
        <v>1039</v>
      </c>
      <c r="K393" s="393">
        <f t="shared" ref="K393:K399" si="11">(9*21)+(1*17.4)</f>
        <v>206.4</v>
      </c>
      <c r="L393" s="58"/>
      <c r="M393" s="58"/>
      <c r="N393" s="229"/>
      <c r="O393" s="186" t="s">
        <v>1393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 hidden="1">
      <c r="A394" s="390" t="s">
        <v>1381</v>
      </c>
      <c r="B394" s="391" t="s">
        <v>6</v>
      </c>
      <c r="C394" s="391" t="s">
        <v>309</v>
      </c>
      <c r="D394" s="391"/>
      <c r="E394" s="391"/>
      <c r="F394" s="391" t="s">
        <v>1015</v>
      </c>
      <c r="G394" s="391" t="s">
        <v>374</v>
      </c>
      <c r="H394" s="391" t="s">
        <v>330</v>
      </c>
      <c r="I394" s="391">
        <v>10</v>
      </c>
      <c r="J394" s="392" t="s">
        <v>1039</v>
      </c>
      <c r="K394" s="393">
        <f t="shared" si="11"/>
        <v>206.4</v>
      </c>
      <c r="L394" s="58"/>
      <c r="M394" s="58"/>
      <c r="N394" s="229"/>
      <c r="O394" s="186" t="s">
        <v>1393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 hidden="1">
      <c r="A395" s="390" t="s">
        <v>1381</v>
      </c>
      <c r="B395" s="391" t="s">
        <v>6</v>
      </c>
      <c r="C395" s="391" t="s">
        <v>309</v>
      </c>
      <c r="D395" s="391"/>
      <c r="E395" s="391"/>
      <c r="F395" s="391" t="s">
        <v>1016</v>
      </c>
      <c r="G395" s="391" t="s">
        <v>374</v>
      </c>
      <c r="H395" s="391" t="s">
        <v>330</v>
      </c>
      <c r="I395" s="391">
        <v>10</v>
      </c>
      <c r="J395" s="392" t="s">
        <v>1039</v>
      </c>
      <c r="K395" s="393">
        <f t="shared" si="11"/>
        <v>206.4</v>
      </c>
      <c r="L395" s="58"/>
      <c r="M395" s="58"/>
      <c r="N395" s="229"/>
      <c r="O395" s="186" t="s">
        <v>1396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 hidden="1">
      <c r="A396" s="390" t="s">
        <v>1381</v>
      </c>
      <c r="B396" s="391" t="s">
        <v>6</v>
      </c>
      <c r="C396" s="391" t="s">
        <v>309</v>
      </c>
      <c r="D396" s="391"/>
      <c r="E396" s="391"/>
      <c r="F396" s="391" t="s">
        <v>1017</v>
      </c>
      <c r="G396" s="391" t="s">
        <v>374</v>
      </c>
      <c r="H396" s="391" t="s">
        <v>330</v>
      </c>
      <c r="I396" s="391">
        <v>10</v>
      </c>
      <c r="J396" s="392" t="s">
        <v>1039</v>
      </c>
      <c r="K396" s="393">
        <f t="shared" si="11"/>
        <v>206.4</v>
      </c>
      <c r="L396" s="228"/>
      <c r="M396" s="58"/>
      <c r="N396" s="229"/>
      <c r="O396" s="186" t="s">
        <v>1396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 hidden="1">
      <c r="A397" s="390" t="s">
        <v>1381</v>
      </c>
      <c r="B397" s="391" t="s">
        <v>6</v>
      </c>
      <c r="C397" s="391" t="s">
        <v>309</v>
      </c>
      <c r="D397" s="391"/>
      <c r="E397" s="391"/>
      <c r="F397" s="391" t="s">
        <v>1018</v>
      </c>
      <c r="G397" s="391" t="s">
        <v>374</v>
      </c>
      <c r="H397" s="391" t="s">
        <v>330</v>
      </c>
      <c r="I397" s="391">
        <v>10</v>
      </c>
      <c r="J397" s="392" t="s">
        <v>1039</v>
      </c>
      <c r="K397" s="393">
        <f t="shared" si="11"/>
        <v>206.4</v>
      </c>
      <c r="L397" s="228"/>
      <c r="M397" s="58"/>
      <c r="N397" s="229"/>
      <c r="O397" s="186" t="s">
        <v>1396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 hidden="1">
      <c r="A398" s="390" t="s">
        <v>1381</v>
      </c>
      <c r="B398" s="391" t="s">
        <v>6</v>
      </c>
      <c r="C398" s="391" t="s">
        <v>309</v>
      </c>
      <c r="D398" s="391"/>
      <c r="E398" s="391"/>
      <c r="F398" s="391" t="s">
        <v>1019</v>
      </c>
      <c r="G398" s="391" t="s">
        <v>374</v>
      </c>
      <c r="H398" s="391" t="s">
        <v>330</v>
      </c>
      <c r="I398" s="391">
        <v>10</v>
      </c>
      <c r="J398" s="392" t="s">
        <v>1039</v>
      </c>
      <c r="K398" s="393">
        <f t="shared" si="11"/>
        <v>206.4</v>
      </c>
      <c r="L398" s="228"/>
      <c r="M398" s="58"/>
      <c r="N398" s="229"/>
      <c r="O398" s="186" t="s">
        <v>1396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 hidden="1">
      <c r="A399" s="390" t="s">
        <v>1381</v>
      </c>
      <c r="B399" s="391" t="s">
        <v>6</v>
      </c>
      <c r="C399" s="391" t="s">
        <v>309</v>
      </c>
      <c r="D399" s="391"/>
      <c r="E399" s="391"/>
      <c r="F399" s="391" t="s">
        <v>1020</v>
      </c>
      <c r="G399" s="391" t="s">
        <v>374</v>
      </c>
      <c r="H399" s="391" t="s">
        <v>330</v>
      </c>
      <c r="I399" s="391">
        <v>10</v>
      </c>
      <c r="J399" s="392" t="s">
        <v>1039</v>
      </c>
      <c r="K399" s="393">
        <f t="shared" si="11"/>
        <v>206.4</v>
      </c>
      <c r="L399" s="228"/>
      <c r="M399" s="58"/>
      <c r="N399" s="229"/>
      <c r="O399" s="186" t="s">
        <v>1402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 hidden="1">
      <c r="A400" s="390" t="s">
        <v>1381</v>
      </c>
      <c r="B400" s="391" t="s">
        <v>6</v>
      </c>
      <c r="C400" s="391">
        <v>47</v>
      </c>
      <c r="D400" s="391" t="s">
        <v>1040</v>
      </c>
      <c r="E400" s="391">
        <v>5013</v>
      </c>
      <c r="F400" s="391" t="s">
        <v>1041</v>
      </c>
      <c r="G400" s="391" t="s">
        <v>1060</v>
      </c>
      <c r="H400" s="391" t="s">
        <v>905</v>
      </c>
      <c r="I400" s="391">
        <v>10</v>
      </c>
      <c r="J400" s="392" t="s">
        <v>1070</v>
      </c>
      <c r="K400" s="393">
        <f>(9*47)+(1*42.9)</f>
        <v>465.9</v>
      </c>
      <c r="L400" s="228"/>
      <c r="M400" s="58"/>
      <c r="N400" s="229"/>
      <c r="O400" s="186" t="s">
        <v>1393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 hidden="1">
      <c r="A401" s="390" t="s">
        <v>1381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1042</v>
      </c>
      <c r="G401" s="391" t="s">
        <v>1061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1402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 hidden="1">
      <c r="A402" s="390" t="s">
        <v>1381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1043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1402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 hidden="1">
      <c r="A403" s="390" t="s">
        <v>1381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1044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1393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 hidden="1">
      <c r="A404" s="390" t="s">
        <v>1381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1045</v>
      </c>
      <c r="G404" s="391" t="s">
        <v>245</v>
      </c>
      <c r="H404" s="391" t="s">
        <v>8</v>
      </c>
      <c r="I404" s="391">
        <v>10</v>
      </c>
      <c r="J404" s="392" t="s">
        <v>1071</v>
      </c>
      <c r="K404" s="393">
        <f>(9*42)+(1*37.9)</f>
        <v>415.9</v>
      </c>
      <c r="L404" s="58"/>
      <c r="M404" s="58"/>
      <c r="N404" s="229"/>
      <c r="O404" s="186" t="s">
        <v>1396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 hidden="1">
      <c r="A405" s="390" t="s">
        <v>1381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1046</v>
      </c>
      <c r="G405" s="391" t="s">
        <v>1062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1403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 hidden="1">
      <c r="A406" s="390" t="s">
        <v>1381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1047</v>
      </c>
      <c r="G406" s="391" t="s">
        <v>407</v>
      </c>
      <c r="H406" s="391" t="s">
        <v>905</v>
      </c>
      <c r="I406" s="391">
        <v>15</v>
      </c>
      <c r="J406" s="392" t="s">
        <v>1072</v>
      </c>
      <c r="K406" s="393">
        <f>(14*19)+(1*14.9)</f>
        <v>280.89999999999998</v>
      </c>
      <c r="L406" s="58"/>
      <c r="M406" s="58"/>
      <c r="N406" s="229"/>
      <c r="O406" s="186" t="s">
        <v>1403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 hidden="1">
      <c r="A407" s="390" t="s">
        <v>1381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1048</v>
      </c>
      <c r="G407" s="391" t="s">
        <v>1063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1405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 hidden="1">
      <c r="A408" s="390" t="s">
        <v>1381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1049</v>
      </c>
      <c r="G408" s="391" t="s">
        <v>1063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1393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 hidden="1">
      <c r="A409" s="390" t="s">
        <v>1381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1050</v>
      </c>
      <c r="G409" s="391" t="s">
        <v>1064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1393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 hidden="1">
      <c r="A410" s="356" t="s">
        <v>1381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1051</v>
      </c>
      <c r="G410" s="352" t="s">
        <v>1064</v>
      </c>
      <c r="H410" s="352" t="s">
        <v>190</v>
      </c>
      <c r="I410" s="352">
        <v>10</v>
      </c>
      <c r="J410" s="353" t="s">
        <v>1073</v>
      </c>
      <c r="K410" s="357">
        <f>(9*37)+(1*32.9)</f>
        <v>365.9</v>
      </c>
      <c r="L410" s="228" t="s">
        <v>1401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 hidden="1">
      <c r="A411" s="390" t="s">
        <v>1381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1052</v>
      </c>
      <c r="G411" s="391" t="s">
        <v>406</v>
      </c>
      <c r="H411" s="391" t="s">
        <v>8</v>
      </c>
      <c r="I411" s="391">
        <v>20</v>
      </c>
      <c r="J411" s="392" t="s">
        <v>1074</v>
      </c>
      <c r="K411" s="393">
        <f>(19*42)+(1*35)</f>
        <v>833</v>
      </c>
      <c r="L411" s="228" t="s">
        <v>1396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 hidden="1">
      <c r="A412" s="390" t="s">
        <v>1381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1053</v>
      </c>
      <c r="G412" s="391" t="s">
        <v>1065</v>
      </c>
      <c r="H412" s="391" t="s">
        <v>905</v>
      </c>
      <c r="I412" s="391">
        <v>10</v>
      </c>
      <c r="J412" s="392" t="s">
        <v>1075</v>
      </c>
      <c r="K412" s="393">
        <f>(9*19)+(1*14.9)</f>
        <v>185.9</v>
      </c>
      <c r="L412" s="228" t="s">
        <v>1389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 hidden="1">
      <c r="A413" s="390" t="s">
        <v>1381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1054</v>
      </c>
      <c r="G413" s="391" t="s">
        <v>1066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1406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 hidden="1">
      <c r="A414" s="390" t="s">
        <v>1381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1055</v>
      </c>
      <c r="G414" s="391" t="s">
        <v>1067</v>
      </c>
      <c r="H414" s="391" t="s">
        <v>8</v>
      </c>
      <c r="I414" s="391">
        <v>20</v>
      </c>
      <c r="J414" s="392" t="s">
        <v>1076</v>
      </c>
      <c r="K414" s="393">
        <f>(19*18)+(1*11)</f>
        <v>353</v>
      </c>
      <c r="L414" s="58"/>
      <c r="M414" s="58"/>
      <c r="N414" s="229"/>
      <c r="O414" s="186" t="s">
        <v>1406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 hidden="1">
      <c r="A415" s="390" t="s">
        <v>1381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1056</v>
      </c>
      <c r="G415" s="391" t="s">
        <v>1068</v>
      </c>
      <c r="H415" s="391" t="s">
        <v>905</v>
      </c>
      <c r="I415" s="391">
        <v>20</v>
      </c>
      <c r="J415" s="392" t="s">
        <v>1077</v>
      </c>
      <c r="K415" s="393">
        <f>(18*21)+(2*14)</f>
        <v>406</v>
      </c>
      <c r="L415" s="228"/>
      <c r="M415" s="58"/>
      <c r="N415" s="229"/>
      <c r="O415" s="186" t="s">
        <v>1398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 hidden="1">
      <c r="A416" s="390" t="s">
        <v>1381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1057</v>
      </c>
      <c r="G416" s="391" t="s">
        <v>1069</v>
      </c>
      <c r="H416" s="391" t="s">
        <v>905</v>
      </c>
      <c r="I416" s="391">
        <v>20</v>
      </c>
      <c r="J416" s="392" t="s">
        <v>1078</v>
      </c>
      <c r="K416" s="393">
        <f>(19*45)+(1*38)</f>
        <v>893</v>
      </c>
      <c r="L416" s="228" t="s">
        <v>1389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 hidden="1">
      <c r="A417" s="390" t="s">
        <v>1381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1058</v>
      </c>
      <c r="G417" s="391" t="s">
        <v>546</v>
      </c>
      <c r="H417" s="391" t="s">
        <v>905</v>
      </c>
      <c r="I417" s="391">
        <v>15</v>
      </c>
      <c r="J417" s="392" t="s">
        <v>1079</v>
      </c>
      <c r="K417" s="393">
        <f>(14*22)+(1*15)</f>
        <v>323</v>
      </c>
      <c r="L417" s="228" t="s">
        <v>1398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 hidden="1">
      <c r="A418" s="356" t="s">
        <v>1381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1059</v>
      </c>
      <c r="G418" s="352" t="s">
        <v>546</v>
      </c>
      <c r="H418" s="352" t="s">
        <v>8</v>
      </c>
      <c r="I418" s="352">
        <v>15</v>
      </c>
      <c r="J418" s="353" t="s">
        <v>1080</v>
      </c>
      <c r="K418" s="357">
        <f>(14*20)+(1*13)</f>
        <v>293</v>
      </c>
      <c r="L418" s="228" t="s">
        <v>1398</v>
      </c>
      <c r="M418" s="58">
        <v>5</v>
      </c>
      <c r="N418" s="229">
        <v>100</v>
      </c>
      <c r="O418" s="186" t="s">
        <v>1406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 hidden="1">
      <c r="A419" s="390" t="s">
        <v>1381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1393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 hidden="1">
      <c r="A420" s="390" t="s">
        <v>1381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1081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1393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 hidden="1">
      <c r="A421" s="390" t="s">
        <v>1381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1396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hidden="1" thickBot="1">
      <c r="A422" s="390" t="s">
        <v>1381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1396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 hidden="1">
      <c r="A423" s="390" t="s">
        <v>1381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1396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 hidden="1">
      <c r="A424" s="390" t="s">
        <v>1381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1082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1393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 hidden="1">
      <c r="A425" s="390" t="s">
        <v>1381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1083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1398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 hidden="1">
      <c r="A426" s="390" t="s">
        <v>1381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1084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1398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 hidden="1">
      <c r="A427" s="390" t="s">
        <v>1381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1396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 hidden="1">
      <c r="A428" s="390" t="s">
        <v>1381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1085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1396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 hidden="1">
      <c r="A429" s="390" t="s">
        <v>1381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1086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1398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 hidden="1">
      <c r="A430" s="390" t="s">
        <v>1381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1087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1393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 hidden="1">
      <c r="A431" s="390" t="s">
        <v>1381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1398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 hidden="1">
      <c r="A432" s="390" t="s">
        <v>1381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1088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1398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 hidden="1">
      <c r="A433" s="390" t="s">
        <v>1381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1089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1396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 hidden="1">
      <c r="A434" s="390" t="s">
        <v>1381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1393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 hidden="1">
      <c r="A435" s="390" t="s">
        <v>1381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1396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 hidden="1">
      <c r="A436" s="390" t="s">
        <v>1381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1398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 hidden="1">
      <c r="A437" s="390" t="s">
        <v>1381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1393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 hidden="1">
      <c r="A438" s="390" t="s">
        <v>1381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1396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 hidden="1">
      <c r="A439" s="390" t="s">
        <v>1381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1396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 hidden="1">
      <c r="A440" s="390" t="s">
        <v>1381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1398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 hidden="1">
      <c r="A441" s="390" t="s">
        <v>1381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1382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 hidden="1">
      <c r="A442" s="390" t="s">
        <v>1381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983</v>
      </c>
      <c r="K442" s="393">
        <f>(29*33)+(1*24.4)</f>
        <v>981.4</v>
      </c>
      <c r="L442" s="58"/>
      <c r="M442" s="58"/>
      <c r="N442" s="229"/>
      <c r="O442" s="186" t="s">
        <v>1396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 hidden="1">
      <c r="A443" s="390" t="s">
        <v>1381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983</v>
      </c>
      <c r="K443" s="393">
        <f>(29*33)+(1*24.4)</f>
        <v>981.4</v>
      </c>
      <c r="L443" s="228"/>
      <c r="M443" s="58"/>
      <c r="N443" s="229"/>
      <c r="O443" s="186" t="s">
        <v>1398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 hidden="1">
      <c r="A444" s="390" t="s">
        <v>1381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1396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 hidden="1">
      <c r="A445" s="390" t="s">
        <v>1381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1398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 hidden="1">
      <c r="A446" s="390" t="s">
        <v>1381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1090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1396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 hidden="1">
      <c r="A447" s="390" t="s">
        <v>1381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1382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 hidden="1">
      <c r="A448" s="390" t="s">
        <v>1381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1398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 hidden="1">
      <c r="A449" s="390" t="s">
        <v>1381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1091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1396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 hidden="1">
      <c r="A450" s="390" t="s">
        <v>1381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1393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 hidden="1">
      <c r="A451" s="390" t="s">
        <v>1381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1396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 hidden="1">
      <c r="A452" s="390" t="s">
        <v>1381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1396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 hidden="1">
      <c r="A453" s="390" t="s">
        <v>1381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1393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 hidden="1">
      <c r="A454" s="390" t="s">
        <v>1381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1382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 hidden="1">
      <c r="A455" s="390" t="s">
        <v>1381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1092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1393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 hidden="1">
      <c r="A456" s="390" t="s">
        <v>1381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1093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1398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 hidden="1">
      <c r="A457" s="390" t="s">
        <v>1381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1393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 hidden="1">
      <c r="A458" s="390" t="s">
        <v>1381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1396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 hidden="1">
      <c r="A459" s="390" t="s">
        <v>1381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1398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 hidden="1">
      <c r="A460" s="390" t="s">
        <v>1381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1382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hidden="1" thickBot="1">
      <c r="A461" s="390" t="s">
        <v>1381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1382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 hidden="1">
      <c r="A462" s="390" t="s">
        <v>1381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1382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 hidden="1">
      <c r="A463" s="390" t="s">
        <v>1381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1384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 hidden="1">
      <c r="A464" s="390" t="s">
        <v>1381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1382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 hidden="1">
      <c r="A465" s="390" t="s">
        <v>1381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1382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 hidden="1">
      <c r="A466" s="390" t="s">
        <v>1381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1094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1382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 hidden="1">
      <c r="A467" s="390" t="s">
        <v>1381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1095</v>
      </c>
      <c r="G467" s="391" t="s">
        <v>727</v>
      </c>
      <c r="H467" s="391" t="s">
        <v>182</v>
      </c>
      <c r="I467" s="391">
        <v>22</v>
      </c>
      <c r="J467" s="392" t="s">
        <v>1104</v>
      </c>
      <c r="K467" s="393">
        <f>(21*38)+(1*29.4)</f>
        <v>827.4</v>
      </c>
      <c r="L467" s="228" t="s">
        <v>1382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 hidden="1">
      <c r="A468" s="390" t="s">
        <v>1381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1096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1384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 hidden="1">
      <c r="A469" s="390" t="s">
        <v>1381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1097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1384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 hidden="1">
      <c r="A470" s="390" t="s">
        <v>1381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1098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1382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 hidden="1">
      <c r="A471" s="390" t="s">
        <v>1381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1099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1382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 hidden="1">
      <c r="A472" s="390" t="s">
        <v>1381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1100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1384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 hidden="1">
      <c r="A473" s="390" t="s">
        <v>1381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1384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 hidden="1">
      <c r="A474" s="390" t="s">
        <v>1381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1101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1384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 hidden="1">
      <c r="A475" s="390" t="s">
        <v>1381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1102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1382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 hidden="1">
      <c r="A476" s="390" t="s">
        <v>1381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1103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1384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 hidden="1">
      <c r="A477" s="390" t="s">
        <v>1381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1113</v>
      </c>
      <c r="H477" s="391" t="s">
        <v>15</v>
      </c>
      <c r="I477" s="391">
        <v>15</v>
      </c>
      <c r="J477" s="392" t="s">
        <v>1124</v>
      </c>
      <c r="K477" s="393">
        <f>(11*36)+(4*28.3)</f>
        <v>509.2</v>
      </c>
      <c r="L477" s="58"/>
      <c r="M477" s="58"/>
      <c r="N477" s="229"/>
      <c r="O477" s="186" t="s">
        <v>1402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 hidden="1">
      <c r="A478" s="390" t="s">
        <v>1381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1105</v>
      </c>
      <c r="G478" s="391" t="s">
        <v>1114</v>
      </c>
      <c r="H478" s="391" t="s">
        <v>15</v>
      </c>
      <c r="I478" s="391">
        <v>15</v>
      </c>
      <c r="J478" s="392" t="s">
        <v>1125</v>
      </c>
      <c r="K478" s="393">
        <f>(15*25)</f>
        <v>375</v>
      </c>
      <c r="L478" s="228" t="s">
        <v>1396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 hidden="1">
      <c r="A479" s="390" t="s">
        <v>1381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1114</v>
      </c>
      <c r="H479" s="391" t="s">
        <v>15</v>
      </c>
      <c r="I479" s="391">
        <v>15</v>
      </c>
      <c r="J479" s="392" t="s">
        <v>1125</v>
      </c>
      <c r="K479" s="393">
        <f>(15*25)</f>
        <v>375</v>
      </c>
      <c r="L479" s="228" t="s">
        <v>1396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 hidden="1">
      <c r="A480" s="390" t="s">
        <v>1381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1106</v>
      </c>
      <c r="G480" s="391" t="s">
        <v>1114</v>
      </c>
      <c r="H480" s="391" t="s">
        <v>15</v>
      </c>
      <c r="I480" s="391">
        <v>15</v>
      </c>
      <c r="J480" s="392" t="s">
        <v>1125</v>
      </c>
      <c r="K480" s="393">
        <f>(15*25)</f>
        <v>375</v>
      </c>
      <c r="L480" s="228" t="s">
        <v>1396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 hidden="1">
      <c r="A481" s="390" t="s">
        <v>1381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1107</v>
      </c>
      <c r="G481" s="391" t="s">
        <v>1114</v>
      </c>
      <c r="H481" s="391" t="s">
        <v>15</v>
      </c>
      <c r="I481" s="391">
        <v>15</v>
      </c>
      <c r="J481" s="392" t="s">
        <v>1126</v>
      </c>
      <c r="K481" s="393">
        <f>(12*25)+(3*17.3)</f>
        <v>351.9</v>
      </c>
      <c r="L481" s="228" t="s">
        <v>1398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 hidden="1">
      <c r="A482" s="390" t="s">
        <v>1381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1108</v>
      </c>
      <c r="G482" s="391" t="s">
        <v>442</v>
      </c>
      <c r="H482" s="391" t="s">
        <v>15</v>
      </c>
      <c r="I482" s="391">
        <v>30</v>
      </c>
      <c r="J482" s="392" t="s">
        <v>1127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1382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 hidden="1">
      <c r="A483" s="390" t="s">
        <v>1381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1396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 hidden="1">
      <c r="A484" s="390" t="s">
        <v>1381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1396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 hidden="1">
      <c r="A485" s="390" t="s">
        <v>1381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1109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1396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 hidden="1">
      <c r="A486" s="390" t="s">
        <v>1381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1110</v>
      </c>
      <c r="G486" s="391" t="s">
        <v>962</v>
      </c>
      <c r="H486" s="391" t="s">
        <v>5</v>
      </c>
      <c r="I486" s="391">
        <v>20</v>
      </c>
      <c r="J486" s="392" t="s">
        <v>1128</v>
      </c>
      <c r="K486" s="393">
        <f>(16*25)+(4*20.7)</f>
        <v>482.8</v>
      </c>
      <c r="L486" s="58"/>
      <c r="M486" s="58"/>
      <c r="N486" s="229"/>
      <c r="O486" s="186" t="s">
        <v>1402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 hidden="1">
      <c r="A487" s="390" t="s">
        <v>1381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1111</v>
      </c>
      <c r="G487" s="391" t="s">
        <v>962</v>
      </c>
      <c r="H487" s="391" t="s">
        <v>15</v>
      </c>
      <c r="I487" s="391">
        <v>20</v>
      </c>
      <c r="J487" s="392" t="s">
        <v>1129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1384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 hidden="1">
      <c r="A488" s="390" t="s">
        <v>1381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1115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1402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 hidden="1">
      <c r="A489" s="390" t="s">
        <v>1381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1116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1382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 hidden="1">
      <c r="A490" s="390" t="s">
        <v>1381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1116</v>
      </c>
      <c r="H490" s="391" t="s">
        <v>15</v>
      </c>
      <c r="I490" s="391">
        <v>10</v>
      </c>
      <c r="J490" s="392" t="s">
        <v>1130</v>
      </c>
      <c r="K490" s="393">
        <f>(8*38)+(2*33.7)</f>
        <v>371.4</v>
      </c>
      <c r="L490" s="58"/>
      <c r="M490" s="58"/>
      <c r="N490" s="229"/>
      <c r="O490" s="186" t="s">
        <v>1402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 hidden="1">
      <c r="A491" s="390" t="s">
        <v>1381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1116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1382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 hidden="1">
      <c r="A492" s="390" t="s">
        <v>1381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1117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1403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 hidden="1">
      <c r="A493" s="390" t="s">
        <v>1381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1117</v>
      </c>
      <c r="H493" s="391" t="s">
        <v>15</v>
      </c>
      <c r="I493" s="391">
        <v>15</v>
      </c>
      <c r="J493" s="392" t="s">
        <v>1131</v>
      </c>
      <c r="K493" s="393">
        <f>(12*28)+(3*20.3)</f>
        <v>396.9</v>
      </c>
      <c r="L493" s="58"/>
      <c r="M493" s="58"/>
      <c r="N493" s="229"/>
      <c r="O493" s="186" t="s">
        <v>1402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 hidden="1">
      <c r="A494" s="390" t="s">
        <v>1381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1112</v>
      </c>
      <c r="G494" s="391" t="s">
        <v>1117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1403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 hidden="1">
      <c r="A495" s="390" t="s">
        <v>1381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1402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 hidden="1">
      <c r="A496" s="390" t="s">
        <v>1381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1402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 hidden="1">
      <c r="A497" s="390" t="s">
        <v>1381</v>
      </c>
      <c r="B497" s="391" t="s">
        <v>129</v>
      </c>
      <c r="C497" s="391" t="s">
        <v>1404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1402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 hidden="1">
      <c r="A498" s="390" t="s">
        <v>1381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1396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 hidden="1">
      <c r="A499" s="390" t="s">
        <v>1381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1119</v>
      </c>
      <c r="H499" s="391" t="s">
        <v>15</v>
      </c>
      <c r="I499" s="391">
        <v>20</v>
      </c>
      <c r="J499" s="392" t="s">
        <v>1132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1384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hidden="1" thickBot="1">
      <c r="A500" s="390" t="s">
        <v>1381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1120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1382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 hidden="1">
      <c r="A501" s="390" t="s">
        <v>1381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1120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1382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 hidden="1">
      <c r="A502" s="390" t="s">
        <v>1381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1121</v>
      </c>
      <c r="H502" s="391" t="s">
        <v>5</v>
      </c>
      <c r="I502" s="391">
        <v>25</v>
      </c>
      <c r="J502" s="392" t="s">
        <v>1133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1384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 hidden="1">
      <c r="A503" s="390" t="s">
        <v>1381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1118</v>
      </c>
      <c r="G503" s="391" t="s">
        <v>1006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1396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 hidden="1">
      <c r="A504" s="390" t="s">
        <v>1381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1122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1403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 hidden="1">
      <c r="A505" s="390" t="s">
        <v>1381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955</v>
      </c>
      <c r="G505" s="391" t="s">
        <v>1123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1396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 hidden="1">
      <c r="A506" s="390" t="s">
        <v>1381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1123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1396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 hidden="1">
      <c r="A507" s="390" t="s">
        <v>1381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1123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1398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 hidden="1">
      <c r="A508" s="390" t="s">
        <v>1381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1398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 hidden="1">
      <c r="A509" s="390" t="s">
        <v>1381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1102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1384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 hidden="1">
      <c r="A510" s="390" t="s">
        <v>1381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1398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 hidden="1">
      <c r="A511" s="390" t="s">
        <v>1381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991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1398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 hidden="1">
      <c r="A512" s="390" t="s">
        <v>1381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1134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1402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 hidden="1">
      <c r="A513" s="390" t="s">
        <v>1381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1135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1398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 hidden="1">
      <c r="A514" s="390" t="s">
        <v>1381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1136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1403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 hidden="1">
      <c r="A515" s="390" t="s">
        <v>1381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1139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1384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 hidden="1">
      <c r="A516" s="390" t="s">
        <v>1381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1398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 hidden="1">
      <c r="A517" s="390" t="s">
        <v>1381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1398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 hidden="1">
      <c r="A518" s="390" t="s">
        <v>1381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1384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 hidden="1">
      <c r="A519" s="390" t="s">
        <v>1381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1384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 hidden="1">
      <c r="A520" s="390" t="s">
        <v>1381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1398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 hidden="1">
      <c r="A521" s="390" t="s">
        <v>1381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989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1384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 hidden="1">
      <c r="A522" s="390" t="s">
        <v>1381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1402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 hidden="1">
      <c r="A523" s="390" t="s">
        <v>1381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1398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 hidden="1">
      <c r="A524" s="390" t="s">
        <v>1381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1384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 hidden="1">
      <c r="A525" s="390" t="s">
        <v>1381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1137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1384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 hidden="1">
      <c r="A526" s="390" t="s">
        <v>1381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1402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 hidden="1">
      <c r="A527" s="390" t="s">
        <v>1381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1398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 hidden="1">
      <c r="A528" s="390" t="s">
        <v>1381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1384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 hidden="1">
      <c r="A529" s="390" t="s">
        <v>1381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1140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1384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 hidden="1">
      <c r="A530" s="390" t="s">
        <v>1381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1398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 hidden="1">
      <c r="A531" s="390" t="s">
        <v>1381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1403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 hidden="1">
      <c r="A532" s="390" t="s">
        <v>1381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984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1384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 hidden="1">
      <c r="A533" s="390" t="s">
        <v>1381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1398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 hidden="1">
      <c r="A534" s="390" t="s">
        <v>1381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1402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 hidden="1">
      <c r="A535" s="390" t="s">
        <v>1381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1384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 hidden="1">
      <c r="A536" s="390" t="s">
        <v>1381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1384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 hidden="1">
      <c r="A537" s="390" t="s">
        <v>1381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1384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 hidden="1">
      <c r="A538" s="390" t="s">
        <v>1381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1138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1384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hidden="1" thickBot="1">
      <c r="A539" s="390" t="s">
        <v>1381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1384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 hidden="1">
      <c r="A540" s="390" t="s">
        <v>1381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1384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 hidden="1">
      <c r="A541" s="390" t="s">
        <v>1381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1398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 hidden="1">
      <c r="A542" s="390" t="s">
        <v>1381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1384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 hidden="1">
      <c r="A543" s="390" t="s">
        <v>1381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1398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 hidden="1">
      <c r="A544" s="390" t="s">
        <v>1381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1398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 hidden="1">
      <c r="A545" s="390" t="s">
        <v>1381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1384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 hidden="1">
      <c r="A546" s="390" t="s">
        <v>1381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1141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1398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 hidden="1">
      <c r="A547" s="390" t="s">
        <v>1381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1398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 hidden="1">
      <c r="A548" s="390" t="s">
        <v>1381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1142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1402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 hidden="1">
      <c r="A549" s="390" t="s">
        <v>1381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1398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 hidden="1">
      <c r="A550" s="390" t="s">
        <v>1381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1143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1398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 hidden="1">
      <c r="A551" s="390" t="s">
        <v>1381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1143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1384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 hidden="1">
      <c r="A552" s="390" t="s">
        <v>1381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1144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1398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 hidden="1">
      <c r="A553" s="390" t="s">
        <v>1381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1144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1398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 hidden="1">
      <c r="A554" s="390" t="s">
        <v>1381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1144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1402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 hidden="1">
      <c r="A555" s="390" t="s">
        <v>1381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1144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1384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 hidden="1">
      <c r="A556" s="390" t="s">
        <v>1381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1144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1398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 hidden="1">
      <c r="A557" s="390" t="s">
        <v>1381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1384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 hidden="1">
      <c r="A558" s="390" t="s">
        <v>1381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1402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 hidden="1">
      <c r="A559" s="390" t="s">
        <v>1381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1384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 hidden="1">
      <c r="A560" s="390" t="s">
        <v>1381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1398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 hidden="1">
      <c r="A561" s="390" t="s">
        <v>1381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1145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1402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 hidden="1">
      <c r="A562" s="390" t="s">
        <v>1381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1145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1384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 hidden="1">
      <c r="A563" s="390" t="s">
        <v>1381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1145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1398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 hidden="1">
      <c r="A564" s="390" t="s">
        <v>1381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1145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1403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 hidden="1">
      <c r="A565" s="390" t="s">
        <v>1381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1145</v>
      </c>
      <c r="H565" s="391" t="s">
        <v>5</v>
      </c>
      <c r="I565" s="391">
        <v>30</v>
      </c>
      <c r="J565" s="392" t="s">
        <v>1146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1384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 hidden="1">
      <c r="A566" s="390" t="s">
        <v>1381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1145</v>
      </c>
      <c r="H566" s="391" t="s">
        <v>5</v>
      </c>
      <c r="I566" s="391">
        <v>25</v>
      </c>
      <c r="J566" s="392" t="s">
        <v>1147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1384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 hidden="1">
      <c r="A567" s="390" t="s">
        <v>1381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1145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1398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 hidden="1">
      <c r="A568" s="390" t="s">
        <v>1381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1145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1402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 hidden="1">
      <c r="A569" s="390" t="s">
        <v>1381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1384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 hidden="1">
      <c r="A570" s="390" t="s">
        <v>1381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1384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 hidden="1">
      <c r="A571" s="390" t="s">
        <v>1381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1402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 hidden="1">
      <c r="A572" s="390" t="s">
        <v>1381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1384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 hidden="1">
      <c r="A573" s="390" t="s">
        <v>1381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1393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 hidden="1">
      <c r="A574" s="390" t="s">
        <v>1381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1393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 hidden="1">
      <c r="A575" s="390" t="s">
        <v>1381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1384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 hidden="1">
      <c r="A576" s="390" t="s">
        <v>1381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1384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 hidden="1">
      <c r="A577" s="390" t="s">
        <v>1381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1393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hidden="1" thickBot="1">
      <c r="A578" s="390" t="s">
        <v>1381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978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1393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 hidden="1">
      <c r="A579" s="390" t="s">
        <v>1381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1403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 hidden="1">
      <c r="A580" s="390" t="s">
        <v>1381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1393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 hidden="1">
      <c r="A581" s="390" t="s">
        <v>1381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1393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 hidden="1">
      <c r="A582" s="390" t="s">
        <v>1381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1148</v>
      </c>
      <c r="G582" s="391" t="s">
        <v>294</v>
      </c>
      <c r="H582" s="391" t="s">
        <v>15</v>
      </c>
      <c r="I582" s="391">
        <v>15</v>
      </c>
      <c r="J582" s="392" t="s">
        <v>1140</v>
      </c>
      <c r="K582" s="393">
        <f>(12*38)+(3*29.4)</f>
        <v>544.20000000000005</v>
      </c>
      <c r="L582" s="228" t="s">
        <v>1393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 hidden="1">
      <c r="A583" s="390" t="s">
        <v>1381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1140</v>
      </c>
      <c r="K583" s="393">
        <f>(12*38)+(3*29.4)</f>
        <v>544.20000000000005</v>
      </c>
      <c r="L583" s="58"/>
      <c r="M583" s="58"/>
      <c r="N583" s="229"/>
      <c r="O583" s="186" t="s">
        <v>1403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 hidden="1">
      <c r="A584" s="390" t="s">
        <v>1381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1149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1393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 hidden="1">
      <c r="A585" s="390" t="s">
        <v>1381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1150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1393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 hidden="1">
      <c r="A586" s="390" t="s">
        <v>1381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1151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1403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 hidden="1">
      <c r="A587" s="390" t="s">
        <v>1381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1152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1403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 hidden="1">
      <c r="A588" s="390" t="s">
        <v>1381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1153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1403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 hidden="1">
      <c r="A589" s="390" t="s">
        <v>1381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1156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1393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 hidden="1">
      <c r="A590" s="390" t="s">
        <v>1381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1156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1393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 hidden="1">
      <c r="A591" s="390" t="s">
        <v>1381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1156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1393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 hidden="1">
      <c r="A592" s="390" t="s">
        <v>1381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1156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1393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 hidden="1">
      <c r="A593" s="390" t="s">
        <v>1381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1154</v>
      </c>
      <c r="G593" s="391" t="s">
        <v>1157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1393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 hidden="1">
      <c r="A594" s="390" t="s">
        <v>1381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1157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1393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 hidden="1">
      <c r="A595" s="390" t="s">
        <v>1381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1393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 hidden="1">
      <c r="A596" s="390" t="s">
        <v>1381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1393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 hidden="1">
      <c r="A597" s="390" t="s">
        <v>1381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1155</v>
      </c>
      <c r="G597" s="391" t="s">
        <v>1158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1393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 hidden="1">
      <c r="A598" s="390" t="s">
        <v>1381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1159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1393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 hidden="1">
      <c r="A599" s="390" t="s">
        <v>1381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1159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1393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 hidden="1">
      <c r="A600" s="390" t="s">
        <v>1381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1160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1402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 hidden="1">
      <c r="A601" s="390" t="s">
        <v>1381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1161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1384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 hidden="1">
      <c r="A602" s="390" t="s">
        <v>1381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1384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 hidden="1">
      <c r="A603" s="390" t="s">
        <v>1381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1162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1384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 hidden="1">
      <c r="A604" s="390" t="s">
        <v>1381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1092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1402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 hidden="1">
      <c r="A605" s="390" t="s">
        <v>1381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1163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1393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 hidden="1">
      <c r="A606" s="390" t="s">
        <v>1381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1172</v>
      </c>
      <c r="K606" s="393">
        <f>(23*38)</f>
        <v>874</v>
      </c>
      <c r="L606" s="228" t="s">
        <v>1393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 hidden="1">
      <c r="A607" s="390" t="s">
        <v>1381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1164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1393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 hidden="1">
      <c r="A608" s="390" t="s">
        <v>1381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1393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 hidden="1">
      <c r="A609" s="390" t="s">
        <v>1381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1384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 hidden="1">
      <c r="A610" s="390" t="s">
        <v>1381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1165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1402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 hidden="1">
      <c r="A611" s="390" t="s">
        <v>1381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1403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 hidden="1">
      <c r="A612" s="390" t="s">
        <v>1381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1148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1384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 hidden="1">
      <c r="A613" s="390" t="s">
        <v>1381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1403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 hidden="1">
      <c r="A614" s="390" t="s">
        <v>1381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1403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 hidden="1">
      <c r="A615" s="390" t="s">
        <v>1381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1403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 hidden="1">
      <c r="A616" s="390" t="s">
        <v>1381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1393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hidden="1" thickBot="1">
      <c r="A617" s="390" t="s">
        <v>1381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1393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 hidden="1">
      <c r="A618" s="390" t="s">
        <v>1381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1403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 hidden="1">
      <c r="A619" s="390" t="s">
        <v>1381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1393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 hidden="1">
      <c r="A620" s="390" t="s">
        <v>1381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1393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 hidden="1">
      <c r="A621" s="390" t="s">
        <v>1381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1393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 hidden="1">
      <c r="A622" s="390" t="s">
        <v>1381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1393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 hidden="1">
      <c r="A623" s="390" t="s">
        <v>1381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1166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1403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 hidden="1">
      <c r="A624" s="390" t="s">
        <v>1381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1167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1393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 hidden="1">
      <c r="A625" s="390" t="s">
        <v>1381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1168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1393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 hidden="1">
      <c r="A626" s="390" t="s">
        <v>1381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1169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1403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 hidden="1">
      <c r="A627" s="390" t="s">
        <v>1381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1170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1393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 hidden="1">
      <c r="A628" s="390" t="s">
        <v>1381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1171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1393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 hidden="1">
      <c r="A629" s="390" t="s">
        <v>1381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1403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 hidden="1">
      <c r="A630" s="390" t="s">
        <v>1381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1403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 hidden="1">
      <c r="A631" s="390" t="s">
        <v>1381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1403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 hidden="1">
      <c r="A632" s="390" t="s">
        <v>1381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1384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 hidden="1">
      <c r="A633" s="390" t="s">
        <v>1381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1402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 hidden="1">
      <c r="A634" s="390" t="s">
        <v>1381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1403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 hidden="1">
      <c r="A635" s="390" t="s">
        <v>1381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1173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1393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 hidden="1">
      <c r="A636" s="390" t="s">
        <v>1381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1173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1393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 hidden="1">
      <c r="A637" s="390" t="s">
        <v>1381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1384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 hidden="1">
      <c r="A638" s="390" t="s">
        <v>1381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1403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 hidden="1">
      <c r="A639" s="390" t="s">
        <v>1381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1402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 hidden="1">
      <c r="A640" s="390" t="s">
        <v>1381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1174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1403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 hidden="1">
      <c r="A641" s="390" t="s">
        <v>1381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1175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1403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 hidden="1">
      <c r="A642" s="390" t="s">
        <v>1381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1024</v>
      </c>
      <c r="K642" s="393">
        <f>(20*37)</f>
        <v>740</v>
      </c>
      <c r="L642" s="58"/>
      <c r="M642" s="58"/>
      <c r="N642" s="229"/>
      <c r="O642" s="186" t="s">
        <v>1402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 hidden="1">
      <c r="A643" s="390" t="s">
        <v>1381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1403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 hidden="1">
      <c r="A644" s="390" t="s">
        <v>1381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1393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 hidden="1">
      <c r="A645" s="390" t="s">
        <v>1381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1393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 hidden="1">
      <c r="A646" s="390" t="s">
        <v>1381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1176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1393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 hidden="1">
      <c r="A647" s="390" t="s">
        <v>1381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1393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 hidden="1">
      <c r="A648" s="390" t="s">
        <v>1381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1177</v>
      </c>
      <c r="G648" s="391" t="s">
        <v>294</v>
      </c>
      <c r="H648" s="391" t="s">
        <v>5</v>
      </c>
      <c r="I648" s="391">
        <v>23</v>
      </c>
      <c r="J648" s="392" t="s">
        <v>1172</v>
      </c>
      <c r="K648" s="393">
        <f>(23*38)</f>
        <v>874</v>
      </c>
      <c r="L648" s="228"/>
      <c r="M648" s="58"/>
      <c r="N648" s="229"/>
      <c r="O648" s="186" t="s">
        <v>1406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 hidden="1">
      <c r="A649" s="390" t="s">
        <v>1381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1178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1396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 hidden="1">
      <c r="A650" s="390" t="s">
        <v>1381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1179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1406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 hidden="1">
      <c r="A651" s="390" t="s">
        <v>1381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1180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1396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 hidden="1">
      <c r="A652" s="390" t="s">
        <v>1381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1396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 hidden="1">
      <c r="A653" s="390" t="s">
        <v>1381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1396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 hidden="1">
      <c r="A654" s="390" t="s">
        <v>1381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1181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1396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 hidden="1">
      <c r="A655" s="390" t="s">
        <v>1381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1398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hidden="1" thickBot="1">
      <c r="A656" s="390" t="s">
        <v>1381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1406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 hidden="1">
      <c r="A657" s="390" t="s">
        <v>1381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1396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 hidden="1">
      <c r="A658" s="390" t="s">
        <v>1381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1396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 hidden="1">
      <c r="A659" s="390" t="s">
        <v>1381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1406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 hidden="1">
      <c r="A660" s="390" t="s">
        <v>1381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1182</v>
      </c>
      <c r="G660" s="391" t="s">
        <v>1191</v>
      </c>
      <c r="H660" s="391" t="s">
        <v>15</v>
      </c>
      <c r="I660" s="391">
        <v>30</v>
      </c>
      <c r="J660" s="392" t="s">
        <v>1196</v>
      </c>
      <c r="K660" s="393">
        <f>(30*25)</f>
        <v>750</v>
      </c>
      <c r="L660" s="228"/>
      <c r="M660" s="58"/>
      <c r="N660" s="229"/>
      <c r="O660" s="186" t="s">
        <v>1403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 hidden="1">
      <c r="A661" s="390" t="s">
        <v>1381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1127</v>
      </c>
      <c r="K661" s="393">
        <f>(29*25)+(1*17.3)</f>
        <v>742.3</v>
      </c>
      <c r="L661" s="228" t="s">
        <v>1398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 hidden="1">
      <c r="A662" s="390" t="s">
        <v>1381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1177</v>
      </c>
      <c r="G662" s="391" t="s">
        <v>900</v>
      </c>
      <c r="H662" s="391" t="s">
        <v>5</v>
      </c>
      <c r="I662" s="391">
        <v>15</v>
      </c>
      <c r="J662" s="392" t="s">
        <v>1197</v>
      </c>
      <c r="K662" s="393">
        <f>(13*26)+(2*18.3)</f>
        <v>374.6</v>
      </c>
      <c r="L662" s="58"/>
      <c r="M662" s="58"/>
      <c r="N662" s="229"/>
      <c r="O662" s="186" t="s">
        <v>1406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 hidden="1">
      <c r="A663" s="390" t="s">
        <v>1381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1183</v>
      </c>
      <c r="G663" s="391" t="s">
        <v>1116</v>
      </c>
      <c r="H663" s="391" t="s">
        <v>5</v>
      </c>
      <c r="I663" s="391">
        <v>10</v>
      </c>
      <c r="J663" s="392" t="s">
        <v>1198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1384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 hidden="1">
      <c r="A664" s="390" t="s">
        <v>1381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1117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1384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 hidden="1">
      <c r="A665" s="390" t="s">
        <v>1381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1117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1384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 hidden="1">
      <c r="A666" s="390" t="s">
        <v>1381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1384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 hidden="1">
      <c r="A667" s="390" t="s">
        <v>1381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1406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 hidden="1">
      <c r="A668" s="390" t="s">
        <v>1381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928</v>
      </c>
      <c r="K668" s="393">
        <f>(28*35)+(2*27.3)</f>
        <v>1034.5999999999999</v>
      </c>
      <c r="L668" s="58"/>
      <c r="M668" s="58"/>
      <c r="N668" s="229"/>
      <c r="O668" s="186" t="s">
        <v>1403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 hidden="1">
      <c r="A669" s="390" t="s">
        <v>1381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1406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 hidden="1">
      <c r="A670" s="390" t="s">
        <v>1381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1384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 hidden="1">
      <c r="A671" s="390" t="s">
        <v>1381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1184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1406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 hidden="1">
      <c r="A672" s="390" t="s">
        <v>1381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1108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1384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 hidden="1">
      <c r="A673" s="390" t="s">
        <v>1381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1185</v>
      </c>
      <c r="G673" s="391" t="s">
        <v>1192</v>
      </c>
      <c r="H673" s="391" t="s">
        <v>15</v>
      </c>
      <c r="I673" s="391">
        <v>20</v>
      </c>
      <c r="J673" s="392" t="s">
        <v>1031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1384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 hidden="1">
      <c r="A674" s="390" t="s">
        <v>1381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1186</v>
      </c>
      <c r="G674" s="391" t="s">
        <v>1193</v>
      </c>
      <c r="H674" s="391" t="s">
        <v>15</v>
      </c>
      <c r="I674" s="391">
        <v>20</v>
      </c>
      <c r="J674" s="392" t="s">
        <v>1199</v>
      </c>
      <c r="K674" s="393">
        <f>(19*25)+(1*17.3)</f>
        <v>492.3</v>
      </c>
      <c r="L674" s="228" t="s">
        <v>1396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 hidden="1">
      <c r="A675" s="390" t="s">
        <v>1381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1187</v>
      </c>
      <c r="G675" s="391" t="s">
        <v>1193</v>
      </c>
      <c r="H675" s="391" t="s">
        <v>15</v>
      </c>
      <c r="I675" s="391">
        <v>20</v>
      </c>
      <c r="J675" s="392" t="s">
        <v>1200</v>
      </c>
      <c r="K675" s="393">
        <f>(19*26)+(1*18.3)</f>
        <v>512.29999999999995</v>
      </c>
      <c r="L675" s="228" t="s">
        <v>1396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1381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1188</v>
      </c>
      <c r="G676" s="352" t="s">
        <v>1193</v>
      </c>
      <c r="H676" s="358" t="s">
        <v>15</v>
      </c>
      <c r="I676" s="358">
        <v>20</v>
      </c>
      <c r="J676" s="353" t="s">
        <v>1199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 hidden="1">
      <c r="A677" s="390" t="s">
        <v>1381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1189</v>
      </c>
      <c r="G677" s="391" t="s">
        <v>1193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1398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 hidden="1">
      <c r="A678" s="390" t="s">
        <v>1381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1190</v>
      </c>
      <c r="G678" s="391" t="s">
        <v>1193</v>
      </c>
      <c r="H678" s="391" t="s">
        <v>15</v>
      </c>
      <c r="I678" s="391">
        <v>28</v>
      </c>
      <c r="J678" s="392" t="s">
        <v>1201</v>
      </c>
      <c r="K678" s="393">
        <f>(28*25)</f>
        <v>700</v>
      </c>
      <c r="L678" s="228" t="s">
        <v>1398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 hidden="1">
      <c r="A679" s="390" t="s">
        <v>1381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1113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1398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 hidden="1">
      <c r="A680" s="390" t="s">
        <v>1381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1398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 hidden="1">
      <c r="A681" s="390" t="s">
        <v>1381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1025</v>
      </c>
      <c r="K681" s="393">
        <f>(19*37)+(1*29.3)</f>
        <v>732.3</v>
      </c>
      <c r="L681" s="228" t="s">
        <v>1398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1381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1025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 hidden="1">
      <c r="A683" s="390" t="s">
        <v>1381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1120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1384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 hidden="1">
      <c r="A684" s="390" t="s">
        <v>1381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1195</v>
      </c>
      <c r="H684" s="391" t="s">
        <v>5</v>
      </c>
      <c r="I684" s="391">
        <v>7</v>
      </c>
      <c r="J684" s="392" t="s">
        <v>1202</v>
      </c>
      <c r="K684" s="393">
        <f>(5*31)+(2*26.7)</f>
        <v>208.4</v>
      </c>
      <c r="L684" s="228" t="s">
        <v>1398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 hidden="1">
      <c r="A685" s="390" t="s">
        <v>1381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1122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1406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 hidden="1">
      <c r="A686" s="390" t="s">
        <v>1381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1122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1398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 hidden="1">
      <c r="A687" s="390" t="s">
        <v>1381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1100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1398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 hidden="1">
      <c r="A688" s="390" t="s">
        <v>1381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1194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1398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 hidden="1">
      <c r="A689" s="390" t="s">
        <v>1381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1398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 hidden="1">
      <c r="A690" s="390" t="s">
        <v>1381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1398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 hidden="1">
      <c r="A691" s="390" t="s">
        <v>1381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1203</v>
      </c>
      <c r="G691" s="391" t="s">
        <v>1211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1393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 hidden="1">
      <c r="A692" s="390" t="s">
        <v>1381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1204</v>
      </c>
      <c r="G692" s="391" t="s">
        <v>1211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1396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 hidden="1">
      <c r="A693" s="390" t="s">
        <v>1381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1212</v>
      </c>
      <c r="H693" s="391" t="s">
        <v>15</v>
      </c>
      <c r="I693" s="391">
        <v>20</v>
      </c>
      <c r="J693" s="392" t="s">
        <v>926</v>
      </c>
      <c r="K693" s="393">
        <f>(19*33)+(1*28.7)</f>
        <v>655.7</v>
      </c>
      <c r="L693" s="58"/>
      <c r="M693" s="58"/>
      <c r="N693" s="229"/>
      <c r="O693" s="186" t="s">
        <v>1384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 hidden="1">
      <c r="A694" s="390" t="s">
        <v>1381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1030</v>
      </c>
      <c r="K694" s="393">
        <f>(19*38)+(1*30.3)</f>
        <v>752.3</v>
      </c>
      <c r="L694" s="58"/>
      <c r="M694" s="58"/>
      <c r="N694" s="229"/>
      <c r="O694" s="186" t="s">
        <v>1393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hidden="1" thickBot="1">
      <c r="A695" s="390" t="s">
        <v>1381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1030</v>
      </c>
      <c r="K695" s="396">
        <f>(19*38)+(1*30.3)</f>
        <v>752.3</v>
      </c>
      <c r="L695" s="228"/>
      <c r="M695" s="58"/>
      <c r="N695" s="229"/>
      <c r="O695" s="186" t="s">
        <v>1396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 hidden="1">
      <c r="A696" s="390" t="s">
        <v>1381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1213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1393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 hidden="1">
      <c r="A697" s="390" t="s">
        <v>1381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1213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1396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 hidden="1">
      <c r="A698" s="390" t="s">
        <v>1381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1205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1384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 hidden="1">
      <c r="A699" s="390" t="s">
        <v>1381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1396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 hidden="1">
      <c r="A700" s="390" t="s">
        <v>1381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1206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1398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 hidden="1">
      <c r="A701" s="390" t="s">
        <v>1381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1207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1384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 hidden="1">
      <c r="A702" s="390" t="s">
        <v>1381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1209</v>
      </c>
      <c r="G702" s="391" t="s">
        <v>184</v>
      </c>
      <c r="H702" s="391" t="s">
        <v>15</v>
      </c>
      <c r="I702" s="391">
        <v>35</v>
      </c>
      <c r="J702" s="392" t="s">
        <v>1217</v>
      </c>
      <c r="K702" s="393">
        <f>(34*38)+(1*30.3)</f>
        <v>1322.3</v>
      </c>
      <c r="L702" s="58"/>
      <c r="M702" s="58"/>
      <c r="N702" s="229"/>
      <c r="O702" s="186" t="s">
        <v>1396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 hidden="1">
      <c r="A703" s="390" t="s">
        <v>1381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1210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1398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 hidden="1">
      <c r="A704" s="390" t="s">
        <v>1381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1122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1384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 hidden="1">
      <c r="A705" s="390" t="s">
        <v>1381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1214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1396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 hidden="1">
      <c r="A706" s="390" t="s">
        <v>1381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1214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1396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 hidden="1">
      <c r="A707" s="390" t="s">
        <v>1381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1396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 hidden="1">
      <c r="A708" s="390" t="s">
        <v>1381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1215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1393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 hidden="1">
      <c r="A709" s="390" t="s">
        <v>1381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1216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1398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 hidden="1">
      <c r="A710" s="390" t="s">
        <v>1381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1402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 hidden="1">
      <c r="A711" s="390" t="s">
        <v>1381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1403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 hidden="1">
      <c r="A712" s="390" t="s">
        <v>1381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1396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 hidden="1">
      <c r="A713" s="390" t="s">
        <v>1381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1218</v>
      </c>
      <c r="G713" s="391" t="s">
        <v>949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1396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 hidden="1">
      <c r="A714" s="390" t="s">
        <v>1381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1219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1406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 hidden="1">
      <c r="A715" s="390" t="s">
        <v>1381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1220</v>
      </c>
      <c r="G715" s="391" t="s">
        <v>423</v>
      </c>
      <c r="H715" s="391" t="s">
        <v>15</v>
      </c>
      <c r="I715" s="391">
        <v>20</v>
      </c>
      <c r="J715" s="392" t="s">
        <v>926</v>
      </c>
      <c r="K715" s="393">
        <f>(19*33)+(1*28.7)</f>
        <v>655.7</v>
      </c>
      <c r="L715" s="228"/>
      <c r="M715" s="58"/>
      <c r="N715" s="229"/>
      <c r="O715" s="186" t="s">
        <v>1402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 hidden="1">
      <c r="A716" s="390" t="s">
        <v>1381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1221</v>
      </c>
      <c r="G716" s="391" t="s">
        <v>1226</v>
      </c>
      <c r="H716" s="391" t="s">
        <v>15</v>
      </c>
      <c r="I716" s="391">
        <v>30</v>
      </c>
      <c r="J716" s="392" t="s">
        <v>1242</v>
      </c>
      <c r="K716" s="393">
        <f>(29*28)+(1*20.3)</f>
        <v>832.3</v>
      </c>
      <c r="L716" s="228"/>
      <c r="M716" s="58"/>
      <c r="N716" s="229"/>
      <c r="O716" s="186" t="s">
        <v>1402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 hidden="1">
      <c r="A717" s="390" t="s">
        <v>1381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1222</v>
      </c>
      <c r="G717" s="391" t="s">
        <v>1226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1403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 hidden="1">
      <c r="A718" s="390" t="s">
        <v>1381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1223</v>
      </c>
      <c r="G718" s="391" t="s">
        <v>1226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1403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 hidden="1">
      <c r="A719" s="390" t="s">
        <v>1381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1224</v>
      </c>
      <c r="G719" s="391" t="s">
        <v>1227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1382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 hidden="1">
      <c r="A720" s="390" t="s">
        <v>1381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1228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1402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 hidden="1">
      <c r="A721" s="390" t="s">
        <v>1381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1225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1403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 hidden="1">
      <c r="A722" s="390" t="s">
        <v>1381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1113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1403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 hidden="1">
      <c r="A723" s="390" t="s">
        <v>1381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1396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 hidden="1">
      <c r="A724" s="390" t="s">
        <v>1381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1229</v>
      </c>
      <c r="G724" s="391" t="s">
        <v>1239</v>
      </c>
      <c r="H724" s="391" t="s">
        <v>15</v>
      </c>
      <c r="I724" s="391">
        <v>20</v>
      </c>
      <c r="J724" s="392" t="s">
        <v>1243</v>
      </c>
      <c r="K724" s="393">
        <f>(18*25)+(2*20.7)</f>
        <v>491.4</v>
      </c>
      <c r="L724" s="228" t="s">
        <v>1396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 hidden="1">
      <c r="A725" s="390" t="s">
        <v>1381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1230</v>
      </c>
      <c r="G725" s="391" t="s">
        <v>1114</v>
      </c>
      <c r="H725" s="391" t="s">
        <v>15</v>
      </c>
      <c r="I725" s="391">
        <v>15</v>
      </c>
      <c r="J725" s="392" t="s">
        <v>1125</v>
      </c>
      <c r="K725" s="393">
        <f>(15*25)</f>
        <v>375</v>
      </c>
      <c r="L725" s="228" t="s">
        <v>1398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 hidden="1">
      <c r="A726" s="390" t="s">
        <v>1381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1231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1403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 hidden="1">
      <c r="A727" s="390" t="s">
        <v>1381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1398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 hidden="1">
      <c r="A728" s="390" t="s">
        <v>1381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1232</v>
      </c>
      <c r="G728" s="391" t="s">
        <v>423</v>
      </c>
      <c r="H728" s="391" t="s">
        <v>15</v>
      </c>
      <c r="I728" s="391">
        <v>20</v>
      </c>
      <c r="J728" s="392" t="s">
        <v>926</v>
      </c>
      <c r="K728" s="393">
        <f>(19*33)+(1*28.7)</f>
        <v>655.7</v>
      </c>
      <c r="L728" s="228"/>
      <c r="M728" s="58"/>
      <c r="N728" s="229"/>
      <c r="O728" s="186" t="s">
        <v>1406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 hidden="1">
      <c r="A729" s="390" t="s">
        <v>1381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1240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1403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 hidden="1">
      <c r="A730" s="390" t="s">
        <v>1381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1241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1406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 hidden="1">
      <c r="A731" s="390" t="s">
        <v>1381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1233</v>
      </c>
      <c r="G731" s="391" t="s">
        <v>1226</v>
      </c>
      <c r="H731" s="391" t="s">
        <v>15</v>
      </c>
      <c r="I731" s="391">
        <v>15</v>
      </c>
      <c r="J731" s="392" t="s">
        <v>1244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1384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 hidden="1">
      <c r="A732" s="390" t="s">
        <v>1381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1234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1398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 hidden="1">
      <c r="A733" s="390" t="s">
        <v>1381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1245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1384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hidden="1" thickBot="1">
      <c r="A734" s="390" t="s">
        <v>1381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980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1406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 hidden="1">
      <c r="A735" s="390" t="s">
        <v>1381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1235</v>
      </c>
      <c r="G735" s="387" t="s">
        <v>863</v>
      </c>
      <c r="H735" s="387" t="s">
        <v>15</v>
      </c>
      <c r="I735" s="387">
        <v>20</v>
      </c>
      <c r="J735" s="388" t="s">
        <v>1245</v>
      </c>
      <c r="K735" s="389">
        <f>(19*26)+(1*21.7)</f>
        <v>515.70000000000005</v>
      </c>
      <c r="L735" s="58"/>
      <c r="M735" s="58"/>
      <c r="N735" s="229"/>
      <c r="O735" s="186" t="s">
        <v>1402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 hidden="1">
      <c r="A736" s="390" t="s">
        <v>1381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1236</v>
      </c>
      <c r="G736" s="391" t="s">
        <v>863</v>
      </c>
      <c r="H736" s="391" t="s">
        <v>15</v>
      </c>
      <c r="I736" s="391">
        <v>20</v>
      </c>
      <c r="J736" s="392" t="s">
        <v>1245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1384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 hidden="1">
      <c r="A737" s="390" t="s">
        <v>1381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1237</v>
      </c>
      <c r="G737" s="391" t="s">
        <v>1191</v>
      </c>
      <c r="H737" s="391" t="s">
        <v>15</v>
      </c>
      <c r="I737" s="391">
        <v>30</v>
      </c>
      <c r="J737" s="392" t="s">
        <v>1196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1384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 hidden="1">
      <c r="A738" s="390" t="s">
        <v>1381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1238</v>
      </c>
      <c r="G738" s="391" t="s">
        <v>1116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1384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 hidden="1">
      <c r="A739" s="390" t="s">
        <v>1381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1164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1393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 hidden="1">
      <c r="A740" s="390" t="s">
        <v>1381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1396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 hidden="1">
      <c r="A741" s="390" t="s">
        <v>1381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1246</v>
      </c>
      <c r="G741" s="391" t="s">
        <v>1191</v>
      </c>
      <c r="H741" s="391" t="s">
        <v>15</v>
      </c>
      <c r="I741" s="391">
        <v>20</v>
      </c>
      <c r="J741" s="392" t="s">
        <v>1257</v>
      </c>
      <c r="K741" s="393">
        <f>(20*25)</f>
        <v>500</v>
      </c>
      <c r="L741" s="58"/>
      <c r="M741" s="58"/>
      <c r="N741" s="229"/>
      <c r="O741" s="186" t="s">
        <v>1384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 hidden="1">
      <c r="A742" s="390" t="s">
        <v>1381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1247</v>
      </c>
      <c r="G742" s="391" t="s">
        <v>1254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1384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 hidden="1">
      <c r="A743" s="390" t="s">
        <v>1381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1248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1384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 hidden="1">
      <c r="A744" s="390" t="s">
        <v>1381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1396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 hidden="1">
      <c r="A745" s="390" t="s">
        <v>1381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1393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 hidden="1">
      <c r="A746" s="390" t="s">
        <v>1381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1249</v>
      </c>
      <c r="G746" s="391" t="s">
        <v>1255</v>
      </c>
      <c r="H746" s="391" t="s">
        <v>15</v>
      </c>
      <c r="I746" s="391">
        <v>20</v>
      </c>
      <c r="J746" s="392" t="s">
        <v>927</v>
      </c>
      <c r="K746" s="393">
        <f>(19*25)+(1*20.7)</f>
        <v>495.7</v>
      </c>
      <c r="L746" s="58"/>
      <c r="M746" s="58"/>
      <c r="N746" s="229"/>
      <c r="O746" s="186" t="s">
        <v>1384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 hidden="1">
      <c r="A747" s="390" t="s">
        <v>1381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1250</v>
      </c>
      <c r="G747" s="391" t="s">
        <v>1000</v>
      </c>
      <c r="H747" s="391" t="s">
        <v>15</v>
      </c>
      <c r="I747" s="391">
        <v>20</v>
      </c>
      <c r="J747" s="392" t="s">
        <v>1200</v>
      </c>
      <c r="K747" s="393">
        <f>(19*26)+(1*18.3)</f>
        <v>512.29999999999995</v>
      </c>
      <c r="L747" s="58"/>
      <c r="M747" s="58"/>
      <c r="N747" s="229"/>
      <c r="O747" s="186" t="s">
        <v>1398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 hidden="1">
      <c r="A748" s="390" t="s">
        <v>1381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1251</v>
      </c>
      <c r="G748" s="391" t="s">
        <v>1000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1398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 hidden="1">
      <c r="A749" s="390" t="s">
        <v>1381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1252</v>
      </c>
      <c r="G749" s="391" t="s">
        <v>1256</v>
      </c>
      <c r="H749" s="391" t="s">
        <v>15</v>
      </c>
      <c r="I749" s="391">
        <v>20</v>
      </c>
      <c r="J749" s="392" t="s">
        <v>1199</v>
      </c>
      <c r="K749" s="393">
        <f>(19*25)+(1*17.3)</f>
        <v>492.3</v>
      </c>
      <c r="L749" s="228"/>
      <c r="M749" s="58"/>
      <c r="N749" s="229"/>
      <c r="O749" s="186" t="s">
        <v>1398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 hidden="1">
      <c r="A750" s="390" t="s">
        <v>1381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1253</v>
      </c>
      <c r="G750" s="391" t="s">
        <v>1256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1393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 hidden="1">
      <c r="A751" s="390" t="s">
        <v>1381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1398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 hidden="1">
      <c r="A752" s="390" t="s">
        <v>1381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1398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 hidden="1">
      <c r="A753" s="390" t="s">
        <v>1381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1384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 hidden="1">
      <c r="A754" s="390" t="s">
        <v>1381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1398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 hidden="1">
      <c r="A755" s="390" t="s">
        <v>1381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1389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 hidden="1">
      <c r="A756" s="390" t="s">
        <v>1381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1384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 hidden="1">
      <c r="A757" s="390" t="s">
        <v>1381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1398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 hidden="1">
      <c r="A758" s="390" t="s">
        <v>1381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1398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 hidden="1">
      <c r="A759" s="390" t="s">
        <v>1381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1389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 hidden="1">
      <c r="A760" s="390" t="s">
        <v>1381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1122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1384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 hidden="1">
      <c r="A761" s="390" t="s">
        <v>1381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1122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1384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 hidden="1">
      <c r="A762" s="390" t="s">
        <v>1381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1258</v>
      </c>
      <c r="G762" s="391" t="s">
        <v>1261</v>
      </c>
      <c r="H762" s="391" t="s">
        <v>5</v>
      </c>
      <c r="I762" s="391">
        <v>12</v>
      </c>
      <c r="J762" s="392" t="s">
        <v>1268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1382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 hidden="1">
      <c r="A763" s="390" t="s">
        <v>1381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1259</v>
      </c>
      <c r="G763" s="391" t="s">
        <v>423</v>
      </c>
      <c r="H763" s="391" t="s">
        <v>15</v>
      </c>
      <c r="I763" s="391">
        <v>20</v>
      </c>
      <c r="J763" s="392" t="s">
        <v>926</v>
      </c>
      <c r="K763" s="393">
        <f>(19*33)+(1*28.7)</f>
        <v>655.7</v>
      </c>
      <c r="L763" s="228" t="s">
        <v>1393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 hidden="1">
      <c r="A764" s="390" t="s">
        <v>1381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1260</v>
      </c>
      <c r="G764" s="391" t="s">
        <v>423</v>
      </c>
      <c r="H764" s="391" t="s">
        <v>15</v>
      </c>
      <c r="I764" s="391">
        <v>20</v>
      </c>
      <c r="J764" s="392" t="s">
        <v>1269</v>
      </c>
      <c r="K764" s="393">
        <f>(18*33)+(2*28.7)</f>
        <v>651.4</v>
      </c>
      <c r="L764" s="58"/>
      <c r="M764" s="58"/>
      <c r="N764" s="229"/>
      <c r="O764" s="186" t="s">
        <v>1396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 hidden="1">
      <c r="A765" s="390" t="s">
        <v>1381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1262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1393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 hidden="1">
      <c r="A766" s="390" t="s">
        <v>1381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1263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1393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 hidden="1">
      <c r="A767" s="390" t="s">
        <v>1381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1266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1389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 hidden="1">
      <c r="A768" s="390" t="s">
        <v>1381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1266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1389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 hidden="1">
      <c r="A769" s="390" t="s">
        <v>1381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1266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1389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 hidden="1">
      <c r="A770" s="390" t="s">
        <v>1381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1266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1389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 hidden="1">
      <c r="A771" s="390" t="s">
        <v>1381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1264</v>
      </c>
      <c r="G771" s="391" t="s">
        <v>1267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1389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 hidden="1">
      <c r="A772" s="390" t="s">
        <v>1381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1389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hidden="1" thickBot="1">
      <c r="A773" s="390" t="s">
        <v>1381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1265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1389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 hidden="1">
      <c r="A774" s="390" t="s">
        <v>1381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1263</v>
      </c>
      <c r="H774" s="387" t="s">
        <v>15</v>
      </c>
      <c r="I774" s="387">
        <v>40</v>
      </c>
      <c r="J774" s="388" t="s">
        <v>1271</v>
      </c>
      <c r="K774" s="389">
        <f>(39*34)+(1*26.3)</f>
        <v>1352.3</v>
      </c>
      <c r="L774" s="228"/>
      <c r="M774" s="58"/>
      <c r="N774" s="229"/>
      <c r="O774" s="186" t="s">
        <v>1396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 hidden="1">
      <c r="A775" s="390" t="s">
        <v>1381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1263</v>
      </c>
      <c r="H775" s="391" t="s">
        <v>15</v>
      </c>
      <c r="I775" s="391">
        <v>35</v>
      </c>
      <c r="J775" s="392" t="s">
        <v>1272</v>
      </c>
      <c r="K775" s="393">
        <f>(34*34)+(1*26.3)</f>
        <v>1182.3</v>
      </c>
      <c r="L775" s="228"/>
      <c r="M775" s="58"/>
      <c r="N775" s="229"/>
      <c r="O775" s="186" t="s">
        <v>1393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 hidden="1">
      <c r="A776" s="390" t="s">
        <v>1381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1262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1402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hidden="1" customHeight="1">
      <c r="A777" s="390" t="s">
        <v>1381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1273</v>
      </c>
      <c r="G777" s="391" t="s">
        <v>1263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1393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 hidden="1">
      <c r="A778" s="390" t="s">
        <v>1381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1263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1393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 hidden="1">
      <c r="A779" s="390" t="s">
        <v>1381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1274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1382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 hidden="1">
      <c r="A780" s="390" t="s">
        <v>1381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1275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1382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 hidden="1">
      <c r="A781" s="390" t="s">
        <v>1381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1276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1398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 hidden="1">
      <c r="A782" s="390" t="s">
        <v>1381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964</v>
      </c>
      <c r="K782" s="393">
        <f>(20*40)</f>
        <v>800</v>
      </c>
      <c r="L782" s="228" t="s">
        <v>1393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 hidden="1">
      <c r="A783" s="390" t="s">
        <v>1381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1393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 hidden="1">
      <c r="A784" s="390" t="s">
        <v>1381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1402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 hidden="1">
      <c r="A785" s="390" t="s">
        <v>1381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1277</v>
      </c>
      <c r="G785" s="391" t="s">
        <v>942</v>
      </c>
      <c r="H785" s="391" t="s">
        <v>5</v>
      </c>
      <c r="I785" s="391">
        <v>20</v>
      </c>
      <c r="J785" s="392" t="s">
        <v>1270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1382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 hidden="1">
      <c r="A786" s="390" t="s">
        <v>1381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1278</v>
      </c>
      <c r="G786" s="391" t="s">
        <v>942</v>
      </c>
      <c r="H786" s="391" t="s">
        <v>15</v>
      </c>
      <c r="I786" s="391">
        <v>20</v>
      </c>
      <c r="J786" s="392" t="s">
        <v>1270</v>
      </c>
      <c r="K786" s="393">
        <f>(18*26)+(2*21.7)</f>
        <v>511.4</v>
      </c>
      <c r="L786" s="228"/>
      <c r="M786" s="58"/>
      <c r="N786" s="229"/>
      <c r="O786" s="186" t="s">
        <v>1398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 hidden="1">
      <c r="A787" s="390" t="s">
        <v>1381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1402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 hidden="1">
      <c r="A788" s="390" t="s">
        <v>1381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1402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 hidden="1">
      <c r="A789" s="390" t="s">
        <v>1381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1281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1398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 hidden="1">
      <c r="A790" s="390" t="s">
        <v>1381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962</v>
      </c>
      <c r="H790" s="391" t="s">
        <v>15</v>
      </c>
      <c r="I790" s="391">
        <v>20</v>
      </c>
      <c r="J790" s="392" t="s">
        <v>1129</v>
      </c>
      <c r="K790" s="393">
        <f>(18*29)+(2*24.7)</f>
        <v>571.4</v>
      </c>
      <c r="L790" s="228" t="s">
        <v>1393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 hidden="1">
      <c r="A791" s="390" t="s">
        <v>1381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1279</v>
      </c>
      <c r="G791" s="391" t="s">
        <v>962</v>
      </c>
      <c r="H791" s="391" t="s">
        <v>15</v>
      </c>
      <c r="I791" s="391">
        <v>20</v>
      </c>
      <c r="J791" s="392" t="s">
        <v>1129</v>
      </c>
      <c r="K791" s="393">
        <f>(18*29)+(2*24.7)</f>
        <v>571.4</v>
      </c>
      <c r="L791" s="228" t="s">
        <v>1393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 hidden="1">
      <c r="A792" s="390" t="s">
        <v>1381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1282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1393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 hidden="1">
      <c r="A793" s="390" t="s">
        <v>1381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1393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 hidden="1">
      <c r="A794" s="390" t="s">
        <v>1381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1280</v>
      </c>
      <c r="G794" s="391" t="s">
        <v>1254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1382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 hidden="1">
      <c r="A795" s="390" t="s">
        <v>1381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1396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 hidden="1">
      <c r="A796" s="390" t="s">
        <v>1381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1398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 hidden="1">
      <c r="A797" s="390" t="s">
        <v>1381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1092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1393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 hidden="1">
      <c r="A798" s="390" t="s">
        <v>1381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1398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 hidden="1">
      <c r="A799" s="390" t="s">
        <v>1381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1286</v>
      </c>
      <c r="K799" s="393">
        <f>(9*35)+(1*30.7)</f>
        <v>345.7</v>
      </c>
      <c r="L799" s="228" t="s">
        <v>1393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 hidden="1">
      <c r="A800" s="390" t="s">
        <v>1381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1393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 hidden="1">
      <c r="A801" s="390" t="s">
        <v>1381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1396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 hidden="1">
      <c r="A802" s="390" t="s">
        <v>1381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1284</v>
      </c>
      <c r="K802" s="393">
        <f>(9*36)+(1*31.7)</f>
        <v>355.7</v>
      </c>
      <c r="L802" s="228" t="s">
        <v>1393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 hidden="1">
      <c r="A803" s="390" t="s">
        <v>1381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1283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1393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 hidden="1">
      <c r="A804" s="390" t="s">
        <v>1381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1283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1393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 hidden="1">
      <c r="A805" s="390" t="s">
        <v>1381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1283</v>
      </c>
      <c r="H805" s="391" t="s">
        <v>15</v>
      </c>
      <c r="I805" s="391">
        <v>10</v>
      </c>
      <c r="J805" s="392" t="s">
        <v>1285</v>
      </c>
      <c r="K805" s="393">
        <f>(9*37)+(1*32.7)</f>
        <v>365.7</v>
      </c>
      <c r="L805" s="228" t="s">
        <v>1393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 hidden="1">
      <c r="A806" s="390" t="s">
        <v>1381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1402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 hidden="1">
      <c r="A807" s="390" t="s">
        <v>1381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1287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1389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 hidden="1">
      <c r="A808" s="390" t="s">
        <v>1381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1288</v>
      </c>
      <c r="G808" s="391" t="s">
        <v>1293</v>
      </c>
      <c r="H808" s="391" t="s">
        <v>15</v>
      </c>
      <c r="I808" s="391">
        <v>20</v>
      </c>
      <c r="J808" s="392" t="s">
        <v>1299</v>
      </c>
      <c r="K808" s="393">
        <f>(19*23)+(1*18.7)</f>
        <v>455.7</v>
      </c>
      <c r="L808" s="228" t="s">
        <v>1389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 hidden="1">
      <c r="A809" s="390" t="s">
        <v>1381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1289</v>
      </c>
      <c r="G809" s="391" t="s">
        <v>1191</v>
      </c>
      <c r="H809" s="391" t="s">
        <v>15</v>
      </c>
      <c r="I809" s="391">
        <v>25</v>
      </c>
      <c r="J809" s="392" t="s">
        <v>1300</v>
      </c>
      <c r="K809" s="393">
        <f>(25*25)</f>
        <v>625</v>
      </c>
      <c r="L809" s="58"/>
      <c r="M809" s="58"/>
      <c r="N809" s="229"/>
      <c r="O809" s="186" t="s">
        <v>1393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 hidden="1">
      <c r="A810" s="390" t="s">
        <v>1381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1290</v>
      </c>
      <c r="G810" s="391" t="s">
        <v>1294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1389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 hidden="1">
      <c r="A811" s="390" t="s">
        <v>1381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1291</v>
      </c>
      <c r="G811" s="391" t="s">
        <v>1294</v>
      </c>
      <c r="H811" s="391" t="s">
        <v>15</v>
      </c>
      <c r="I811" s="391">
        <v>20</v>
      </c>
      <c r="J811" s="392" t="s">
        <v>1301</v>
      </c>
      <c r="K811" s="393">
        <f>(19*35)+(1*27.3)</f>
        <v>692.3</v>
      </c>
      <c r="L811" s="228" t="s">
        <v>1389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hidden="1" thickBot="1">
      <c r="A812" s="390" t="s">
        <v>1381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1125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1382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 hidden="1">
      <c r="A813" s="390" t="s">
        <v>1381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1393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 hidden="1">
      <c r="A814" s="390" t="s">
        <v>1381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1302</v>
      </c>
      <c r="K814" s="393">
        <f>(30*28)</f>
        <v>840</v>
      </c>
      <c r="L814" s="228" t="s">
        <v>1389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 hidden="1">
      <c r="A815" s="390" t="s">
        <v>1381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958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1382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 hidden="1">
      <c r="A816" s="390" t="s">
        <v>1381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964</v>
      </c>
      <c r="K816" s="393">
        <f>(20*40)</f>
        <v>800</v>
      </c>
      <c r="L816" s="228" t="s">
        <v>1389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 hidden="1">
      <c r="A817" s="390" t="s">
        <v>1381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1389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 hidden="1">
      <c r="A818" s="390" t="s">
        <v>1381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1389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 hidden="1">
      <c r="A819" s="390" t="s">
        <v>1381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1292</v>
      </c>
      <c r="G819" s="391" t="s">
        <v>1116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1389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 hidden="1">
      <c r="A820" s="390" t="s">
        <v>1381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1382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 hidden="1">
      <c r="A821" s="390" t="s">
        <v>1381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1389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 hidden="1">
      <c r="A822" s="390" t="s">
        <v>1381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1382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 hidden="1">
      <c r="A823" s="390" t="s">
        <v>1381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1295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1389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 hidden="1">
      <c r="A824" s="390" t="s">
        <v>1381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1296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1382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 hidden="1">
      <c r="A825" s="390" t="s">
        <v>1381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1297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1393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 hidden="1">
      <c r="A826" s="390" t="s">
        <v>1381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1389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 hidden="1">
      <c r="A827" s="390" t="s">
        <v>1381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1393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 hidden="1">
      <c r="A828" s="390" t="s">
        <v>1381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1382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 hidden="1">
      <c r="A829" s="390" t="s">
        <v>1381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1389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 hidden="1">
      <c r="A830" s="390" t="s">
        <v>1381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1406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 hidden="1">
      <c r="A831" s="390" t="s">
        <v>1381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1396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 hidden="1">
      <c r="A832" s="390" t="s">
        <v>1381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1406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 hidden="1">
      <c r="A833" s="390" t="s">
        <v>1381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1406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 hidden="1">
      <c r="A834" s="390" t="s">
        <v>1381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1396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 hidden="1">
      <c r="A835" s="390" t="s">
        <v>1381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1402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 hidden="1">
      <c r="A836" s="390" t="s">
        <v>1381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1403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 hidden="1">
      <c r="A837" s="390" t="s">
        <v>1381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1303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1403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 hidden="1">
      <c r="A838" s="390" t="s">
        <v>1381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1304</v>
      </c>
      <c r="G838" s="391" t="s">
        <v>294</v>
      </c>
      <c r="H838" s="391" t="s">
        <v>15</v>
      </c>
      <c r="I838" s="391">
        <v>15</v>
      </c>
      <c r="J838" s="392" t="s">
        <v>1140</v>
      </c>
      <c r="K838" s="393">
        <f>(12*38)+(3*29.4)</f>
        <v>544.20000000000005</v>
      </c>
      <c r="L838" s="58"/>
      <c r="M838" s="58"/>
      <c r="N838" s="229"/>
      <c r="O838" s="186" t="s">
        <v>1402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 hidden="1">
      <c r="A839" s="390" t="s">
        <v>1381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1024</v>
      </c>
      <c r="K839" s="393">
        <f>(20*37)</f>
        <v>740</v>
      </c>
      <c r="L839" s="58"/>
      <c r="M839" s="58"/>
      <c r="N839" s="229"/>
      <c r="O839" s="186" t="s">
        <v>1406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 hidden="1">
      <c r="A840" s="390" t="s">
        <v>1381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1305</v>
      </c>
      <c r="G840" s="391" t="s">
        <v>1308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1402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 hidden="1">
      <c r="A841" s="390" t="s">
        <v>1381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1137</v>
      </c>
      <c r="G841" s="391" t="s">
        <v>1308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1403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 hidden="1">
      <c r="A842" s="390" t="s">
        <v>1381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1308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1403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 hidden="1">
      <c r="A843" s="390" t="s">
        <v>1381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1308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1402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 hidden="1">
      <c r="A844" s="390" t="s">
        <v>1381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1144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1403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 hidden="1">
      <c r="A845" s="390" t="s">
        <v>1381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1144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1406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 hidden="1">
      <c r="A846" s="390" t="s">
        <v>1381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1144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1402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 hidden="1">
      <c r="A847" s="390" t="s">
        <v>1381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1144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1406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 hidden="1">
      <c r="A848" s="390" t="s">
        <v>1381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1144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1402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 hidden="1">
      <c r="A849" s="390" t="s">
        <v>1381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1406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 hidden="1">
      <c r="A850" s="390" t="s">
        <v>1381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1396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hidden="1" thickBot="1">
      <c r="A851" s="390" t="s">
        <v>1381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1396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 hidden="1">
      <c r="A852" s="390" t="s">
        <v>1381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1403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 hidden="1">
      <c r="A853" s="390" t="s">
        <v>1381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1406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 hidden="1">
      <c r="A854" s="390" t="s">
        <v>1381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1403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 hidden="1">
      <c r="A855" s="390" t="s">
        <v>1381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1099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1403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 hidden="1">
      <c r="A856" s="390" t="s">
        <v>1381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1306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1396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 hidden="1">
      <c r="A857" s="390" t="s">
        <v>1381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1307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1402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 hidden="1">
      <c r="A858" s="390" t="s">
        <v>1381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1147</v>
      </c>
      <c r="K858" s="393">
        <f>(23*35)+(2*26.4)</f>
        <v>857.8</v>
      </c>
      <c r="L858" s="58"/>
      <c r="M858" s="58"/>
      <c r="N858" s="229"/>
      <c r="O858" s="186" t="s">
        <v>1406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 hidden="1">
      <c r="A859" s="390" t="s">
        <v>1381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1406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 hidden="1">
      <c r="A860" s="390" t="s">
        <v>1381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1403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 hidden="1">
      <c r="A861" s="390" t="s">
        <v>1381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1396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 hidden="1">
      <c r="A862" s="390" t="s">
        <v>1381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1309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1384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 hidden="1">
      <c r="A863" s="390" t="s">
        <v>1381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958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1393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 hidden="1">
      <c r="A864" s="390" t="s">
        <v>1381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958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1396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 hidden="1">
      <c r="A865" s="390" t="s">
        <v>1381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1310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1402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1381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 hidden="1">
      <c r="A867" s="390" t="s">
        <v>1381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1389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1381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1381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1381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1381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 hidden="1">
      <c r="A872" s="390" t="s">
        <v>1381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1314</v>
      </c>
      <c r="K872" s="393">
        <f>(20*38)</f>
        <v>760</v>
      </c>
      <c r="L872" s="58"/>
      <c r="M872" s="58"/>
      <c r="N872" s="229"/>
      <c r="O872" s="186" t="s">
        <v>1402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1381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1381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 hidden="1">
      <c r="A875" s="390" t="s">
        <v>1381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1406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1381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1381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 hidden="1">
      <c r="A878" s="390" t="s">
        <v>1381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984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1406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1381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1381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1311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 hidden="1">
      <c r="A881" s="390" t="s">
        <v>1381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1402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1381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1315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1381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1381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 hidden="1">
      <c r="A885" s="390" t="s">
        <v>1381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1312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1402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1381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1313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1381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 hidden="1">
      <c r="A888" s="390" t="s">
        <v>1381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1389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 hidden="1">
      <c r="A889" s="390" t="s">
        <v>1381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1389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hidden="1" thickBot="1">
      <c r="A890" s="390" t="s">
        <v>1381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1298</v>
      </c>
      <c r="K890" s="396">
        <f>(10*38)</f>
        <v>380</v>
      </c>
      <c r="L890" s="58"/>
      <c r="M890" s="58"/>
      <c r="N890" s="229"/>
      <c r="O890" s="186" t="s">
        <v>1406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 hidden="1">
      <c r="A891" s="390" t="s">
        <v>1381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1389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 hidden="1">
      <c r="A892" s="390" t="s">
        <v>1381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1144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1406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1381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1304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 hidden="1">
      <c r="A894" s="390" t="s">
        <v>1381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1406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 hidden="1">
      <c r="A895" s="390" t="s">
        <v>1381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1384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 hidden="1">
      <c r="A896" s="390" t="s">
        <v>1381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1402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 hidden="1">
      <c r="A897" s="390" t="s">
        <v>1381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1403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 hidden="1">
      <c r="A898" s="390" t="s">
        <v>1381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1316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1406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 hidden="1">
      <c r="A899" s="390" t="s">
        <v>1381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1402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 hidden="1">
      <c r="A900" s="390" t="s">
        <v>1381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1317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1389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 hidden="1">
      <c r="A901" s="390" t="s">
        <v>1381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1081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1406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 hidden="1">
      <c r="A902" s="390" t="s">
        <v>1381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1402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 hidden="1">
      <c r="A903" s="390" t="s">
        <v>1381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1403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 hidden="1">
      <c r="A904" s="390" t="s">
        <v>1381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1403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 hidden="1">
      <c r="A905" s="390" t="s">
        <v>1381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1402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 hidden="1">
      <c r="A906" s="390" t="s">
        <v>1381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1396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 hidden="1">
      <c r="A907" s="390" t="s">
        <v>1381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1323</v>
      </c>
      <c r="K907" s="393">
        <f>(28*38)+(1*29.4)</f>
        <v>1093.4000000000001</v>
      </c>
      <c r="L907" s="58"/>
      <c r="M907" s="58"/>
      <c r="N907" s="229"/>
      <c r="O907" s="186" t="s">
        <v>1406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 hidden="1">
      <c r="A908" s="390" t="s">
        <v>1381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1324</v>
      </c>
      <c r="K908" s="393">
        <f>(35*38)</f>
        <v>1330</v>
      </c>
      <c r="L908" s="58"/>
      <c r="M908" s="58"/>
      <c r="N908" s="229"/>
      <c r="O908" s="186" t="s">
        <v>1406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 hidden="1">
      <c r="A909" s="390" t="s">
        <v>1381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1396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 hidden="1">
      <c r="A910" s="390" t="s">
        <v>1381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1396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 hidden="1">
      <c r="A911" s="390" t="s">
        <v>1381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1324</v>
      </c>
      <c r="K911" s="393">
        <f>(35*38)</f>
        <v>1330</v>
      </c>
      <c r="L911" s="228" t="s">
        <v>1398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 hidden="1">
      <c r="A912" s="390" t="s">
        <v>1381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1318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1406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 hidden="1">
      <c r="A913" s="390" t="s">
        <v>1381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1319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1396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 hidden="1">
      <c r="A914" s="390" t="s">
        <v>1381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1320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1396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 hidden="1">
      <c r="A915" s="390" t="s">
        <v>1381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1321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1406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 hidden="1">
      <c r="A916" s="390" t="s">
        <v>1381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1322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1403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 hidden="1">
      <c r="A917" s="390" t="s">
        <v>1381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1398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 hidden="1">
      <c r="A918" s="390" t="s">
        <v>1381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1389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 hidden="1">
      <c r="A919" s="390" t="s">
        <v>1381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1403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 hidden="1">
      <c r="A920" s="390" t="s">
        <v>1381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1325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1396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 hidden="1">
      <c r="A921" s="390" t="s">
        <v>1381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1326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1396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 hidden="1">
      <c r="A922" s="390" t="s">
        <v>1381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1398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 hidden="1">
      <c r="A923" s="390" t="s">
        <v>1381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1327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1398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 hidden="1">
      <c r="A924" s="390" t="s">
        <v>1381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1222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1398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 hidden="1">
      <c r="A925" s="390" t="s">
        <v>1381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1396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1381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 hidden="1">
      <c r="A927" s="390" t="s">
        <v>1381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1396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 hidden="1">
      <c r="A928" s="390" t="s">
        <v>1381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1328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1398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hidden="1" thickBot="1">
      <c r="A929" s="390" t="s">
        <v>1381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1329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1398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 hidden="1">
      <c r="A930" s="390" t="s">
        <v>1381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1398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 hidden="1">
      <c r="A931" s="390" t="s">
        <v>1381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1158</v>
      </c>
      <c r="H931" s="391" t="s">
        <v>15</v>
      </c>
      <c r="I931" s="391">
        <v>18</v>
      </c>
      <c r="J931" s="392" t="s">
        <v>1345</v>
      </c>
      <c r="K931" s="393">
        <f>(18*38)</f>
        <v>684</v>
      </c>
      <c r="L931" s="58"/>
      <c r="M931" s="58"/>
      <c r="N931" s="229"/>
      <c r="O931" s="186" t="s">
        <v>1403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 hidden="1">
      <c r="A932" s="390" t="s">
        <v>1381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1406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1381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1330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 hidden="1">
      <c r="A934" s="390" t="s">
        <v>1381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1389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 hidden="1">
      <c r="A935" s="390" t="s">
        <v>1381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1402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 hidden="1">
      <c r="A936" s="390" t="s">
        <v>1381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1398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 hidden="1">
      <c r="A937" s="390" t="s">
        <v>1381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1331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1403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 hidden="1">
      <c r="A938" s="390" t="s">
        <v>1381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1396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 hidden="1">
      <c r="A939" s="390" t="s">
        <v>1381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1332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1396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 hidden="1">
      <c r="A940" s="390" t="s">
        <v>1381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1333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1398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 hidden="1">
      <c r="A941" s="390" t="s">
        <v>1381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1334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1396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 hidden="1">
      <c r="A942" s="390" t="s">
        <v>1381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1396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 hidden="1">
      <c r="A943" s="390" t="s">
        <v>1381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1396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 hidden="1">
      <c r="A944" s="390" t="s">
        <v>1381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1335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1398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 hidden="1">
      <c r="A945" s="390" t="s">
        <v>1381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1396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 hidden="1">
      <c r="A946" s="390" t="s">
        <v>1381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1398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 hidden="1">
      <c r="A947" s="390" t="s">
        <v>1381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1398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1381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 hidden="1">
      <c r="A949" s="390" t="s">
        <v>1381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1402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 hidden="1">
      <c r="A950" s="390" t="s">
        <v>1381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1389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 hidden="1">
      <c r="A951" s="390" t="s">
        <v>1381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971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1396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 hidden="1">
      <c r="A952" s="390" t="s">
        <v>1381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1398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 hidden="1">
      <c r="A953" s="390" t="s">
        <v>1381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1336</v>
      </c>
      <c r="G953" s="391" t="s">
        <v>1344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1389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 hidden="1">
      <c r="A954" s="390" t="s">
        <v>1381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1337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1406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1381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 hidden="1">
      <c r="A956" s="390" t="s">
        <v>1381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1338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1406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 hidden="1">
      <c r="A957" s="390" t="s">
        <v>1381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1402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 hidden="1">
      <c r="A958" s="390" t="s">
        <v>1381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1389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 hidden="1">
      <c r="A959" s="390" t="s">
        <v>1381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1085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1403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 hidden="1">
      <c r="A960" s="390" t="s">
        <v>1381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960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1396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 hidden="1">
      <c r="A961" s="390" t="s">
        <v>1381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1208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1398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 hidden="1">
      <c r="A962" s="390" t="s">
        <v>1381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1339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1396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 hidden="1">
      <c r="A963" s="390" t="s">
        <v>1381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1340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1402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 hidden="1">
      <c r="A964" s="390" t="s">
        <v>1381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1341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1396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 hidden="1">
      <c r="A965" s="390" t="s">
        <v>1381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1396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 hidden="1">
      <c r="A966" s="390" t="s">
        <v>1381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1398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 hidden="1">
      <c r="A967" s="390" t="s">
        <v>1381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1342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1396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hidden="1" thickBot="1">
      <c r="A968" s="390" t="s">
        <v>1381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1343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1396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 hidden="1">
      <c r="A969" s="390" t="s">
        <v>1381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1109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1398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 hidden="1">
      <c r="A970" s="390" t="s">
        <v>1381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1396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 hidden="1">
      <c r="A971" s="390" t="s">
        <v>1381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1406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 hidden="1">
      <c r="A972" s="390" t="s">
        <v>1381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1407</v>
      </c>
      <c r="R972" s="22"/>
      <c r="S972" s="22"/>
      <c r="T972" s="23"/>
      <c r="U972" s="108" t="s">
        <v>1389</v>
      </c>
      <c r="V972" s="24">
        <v>15</v>
      </c>
      <c r="W972" s="315">
        <v>561.4</v>
      </c>
      <c r="X972" s="123">
        <v>0</v>
      </c>
      <c r="Y972" s="52"/>
      <c r="Z972" s="3"/>
    </row>
    <row r="973" spans="1:26" hidden="1">
      <c r="A973" s="390" t="s">
        <v>1381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1316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1406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 hidden="1">
      <c r="A974" s="390" t="s">
        <v>1381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1406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1381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1381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1346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 hidden="1">
      <c r="A977" s="390" t="s">
        <v>1381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1406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 hidden="1">
      <c r="A978" s="390" t="s">
        <v>1381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1347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1406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1381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1348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 hidden="1">
      <c r="A980" s="390" t="s">
        <v>1381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1406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 hidden="1">
      <c r="A981" s="390" t="s">
        <v>1381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1144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1398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1381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1144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1381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1144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1381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1381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1381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1349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1381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1381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1381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1381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977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1381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1134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1381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1381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1350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1381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1351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1381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1352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1381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1353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1381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936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 hidden="1">
      <c r="A998" s="390" t="s">
        <v>1381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1398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1381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 hidden="1">
      <c r="A1000" s="390" t="s">
        <v>1381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1406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 hidden="1">
      <c r="A1001" s="390" t="s">
        <v>1381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1083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1403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1381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1354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1381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 hidden="1">
      <c r="A1004" s="390" t="s">
        <v>1381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1355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1398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1381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1332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 hidden="1">
      <c r="A1006" s="390" t="s">
        <v>1381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1356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1398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hidden="1" thickBot="1">
      <c r="A1007" s="390" t="s">
        <v>1381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1357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1398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 hidden="1">
      <c r="A1008" s="390" t="s">
        <v>1381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1358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1398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 hidden="1">
      <c r="A1009" s="390" t="s">
        <v>1381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1359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1403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 hidden="1">
      <c r="A1010" s="390" t="s">
        <v>1381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1360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1406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 hidden="1">
      <c r="A1011" s="390" t="s">
        <v>1381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1361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1398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 hidden="1">
      <c r="A1012" s="390" t="s">
        <v>1381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1362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1389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1381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1363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 hidden="1">
      <c r="A1014" s="390" t="s">
        <v>1381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976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1398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 hidden="1">
      <c r="A1015" s="390" t="s">
        <v>1381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1364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1398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 hidden="1">
      <c r="A1016" s="390" t="s">
        <v>1381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1365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1398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 hidden="1">
      <c r="A1017" s="390" t="s">
        <v>1381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1398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 hidden="1">
      <c r="A1018" s="390" t="s">
        <v>1381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1366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1398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1381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1367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1381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1368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 hidden="1">
      <c r="A1021" s="390" t="s">
        <v>1381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1403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1381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 hidden="1">
      <c r="A1023" s="390" t="s">
        <v>1381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1406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 hidden="1">
      <c r="A1024" s="390" t="s">
        <v>1381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1406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 hidden="1">
      <c r="A1025" s="390" t="s">
        <v>1381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1406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 hidden="1">
      <c r="A1026" s="390" t="s">
        <v>1381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1165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1406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 hidden="1">
      <c r="A1027" s="390" t="s">
        <v>1381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1389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 hidden="1">
      <c r="A1028" s="390" t="s">
        <v>1381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1369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1406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 hidden="1">
      <c r="A1029" s="390" t="s">
        <v>1381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1406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1381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1370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 hidden="1">
      <c r="A1031" s="390" t="s">
        <v>1381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1398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1381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1381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1381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1321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1381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 hidden="1">
      <c r="A1036" s="390" t="s">
        <v>1381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1398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 hidden="1">
      <c r="A1037" s="390" t="s">
        <v>1381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1398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 hidden="1">
      <c r="A1038" s="390" t="s">
        <v>1381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1137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1398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1381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1381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1224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1381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1381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1177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1381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1371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 hidden="1">
      <c r="A1044" s="390" t="s">
        <v>1381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1372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1402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 hidden="1">
      <c r="A1045" s="390" t="s">
        <v>1381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1373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1403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hidden="1" thickBot="1">
      <c r="A1046" s="390" t="s">
        <v>1381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1165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1389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 hidden="1">
      <c r="A1047" s="390" t="s">
        <v>1381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1396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1381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 hidden="1">
      <c r="A1049" s="390" t="s">
        <v>1381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1379</v>
      </c>
      <c r="K1049" s="393">
        <f>(11*38)+(3*29.4)</f>
        <v>506.2</v>
      </c>
      <c r="L1049" s="228"/>
      <c r="M1049" s="58"/>
      <c r="N1049" s="229"/>
      <c r="O1049" s="186" t="s">
        <v>1406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 hidden="1">
      <c r="A1050" s="390" t="s">
        <v>1381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1402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1381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 hidden="1">
      <c r="A1052" s="390" t="s">
        <v>1381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1402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 hidden="1">
      <c r="A1053" s="390" t="s">
        <v>1381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1166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1406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 hidden="1">
      <c r="A1054" s="390" t="s">
        <v>1381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1406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 hidden="1">
      <c r="A1055" s="390" t="s">
        <v>1381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1356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1396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 hidden="1">
      <c r="A1056" s="390" t="s">
        <v>1381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1374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1398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 hidden="1">
      <c r="A1057" s="390" t="s">
        <v>1381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1396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 hidden="1">
      <c r="A1058" s="390" t="s">
        <v>1381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1398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 hidden="1">
      <c r="A1059" s="390" t="s">
        <v>1381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1396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 hidden="1">
      <c r="A1060" s="390" t="s">
        <v>1381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1396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 hidden="1">
      <c r="A1061" s="390" t="s">
        <v>1381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1164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1398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1380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1413</v>
      </c>
      <c r="B1063" s="298" t="s">
        <v>9</v>
      </c>
      <c r="C1063" s="298" t="s">
        <v>1414</v>
      </c>
      <c r="D1063" s="298"/>
      <c r="E1063" s="298"/>
      <c r="F1063" s="298" t="s">
        <v>1415</v>
      </c>
      <c r="G1063" s="298" t="s">
        <v>1420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1413</v>
      </c>
      <c r="B1064" s="298" t="s">
        <v>9</v>
      </c>
      <c r="C1064" s="298" t="s">
        <v>1414</v>
      </c>
      <c r="D1064" s="298"/>
      <c r="E1064" s="298"/>
      <c r="F1064" s="298" t="s">
        <v>1416</v>
      </c>
      <c r="G1064" s="298" t="s">
        <v>1420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1413</v>
      </c>
      <c r="B1065" s="298" t="s">
        <v>9</v>
      </c>
      <c r="C1065" s="298" t="s">
        <v>1414</v>
      </c>
      <c r="D1065" s="298"/>
      <c r="E1065" s="298"/>
      <c r="F1065" s="298" t="s">
        <v>1417</v>
      </c>
      <c r="G1065" s="298" t="s">
        <v>1420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1413</v>
      </c>
      <c r="B1066" s="298" t="s">
        <v>9</v>
      </c>
      <c r="C1066" s="298" t="s">
        <v>1414</v>
      </c>
      <c r="D1066" s="298"/>
      <c r="E1066" s="298"/>
      <c r="F1066" s="298" t="s">
        <v>1418</v>
      </c>
      <c r="G1066" s="298" t="s">
        <v>1420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1413</v>
      </c>
      <c r="B1067" s="298" t="s">
        <v>9</v>
      </c>
      <c r="C1067" s="298" t="s">
        <v>1414</v>
      </c>
      <c r="D1067" s="298"/>
      <c r="E1067" s="298"/>
      <c r="F1067" s="298" t="s">
        <v>1419</v>
      </c>
      <c r="G1067" s="298" t="s">
        <v>1420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6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1413</v>
      </c>
      <c r="B1069" s="298" t="s">
        <v>9</v>
      </c>
      <c r="C1069" s="298" t="s">
        <v>1414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1507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1413</v>
      </c>
      <c r="B1070" s="298" t="s">
        <v>9</v>
      </c>
      <c r="C1070" s="298" t="s">
        <v>1414</v>
      </c>
      <c r="D1070" s="298"/>
      <c r="E1070" s="298"/>
      <c r="F1070" s="298" t="s">
        <v>1166</v>
      </c>
      <c r="G1070" s="298" t="s">
        <v>151</v>
      </c>
      <c r="H1070" s="298" t="s">
        <v>15</v>
      </c>
      <c r="I1070" s="298">
        <v>30</v>
      </c>
      <c r="J1070" s="71" t="s">
        <v>1507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7"/>
      <c r="K1071" s="451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1413</v>
      </c>
      <c r="B1072" s="298" t="s">
        <v>9</v>
      </c>
      <c r="C1072" s="298" t="s">
        <v>1414</v>
      </c>
      <c r="D1072" s="298"/>
      <c r="E1072" s="298"/>
      <c r="F1072" s="298" t="s">
        <v>78</v>
      </c>
      <c r="G1072" s="298" t="s">
        <v>1423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1413</v>
      </c>
      <c r="B1073" s="298" t="s">
        <v>9</v>
      </c>
      <c r="C1073" s="298" t="s">
        <v>1414</v>
      </c>
      <c r="D1073" s="298"/>
      <c r="E1073" s="298"/>
      <c r="F1073" s="298" t="s">
        <v>1421</v>
      </c>
      <c r="G1073" s="298" t="s">
        <v>1423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1413</v>
      </c>
      <c r="B1074" s="298" t="s">
        <v>9</v>
      </c>
      <c r="C1074" s="298" t="s">
        <v>1414</v>
      </c>
      <c r="D1074" s="298"/>
      <c r="E1074" s="298"/>
      <c r="F1074" s="298" t="s">
        <v>325</v>
      </c>
      <c r="G1074" s="298" t="s">
        <v>1423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1413</v>
      </c>
      <c r="B1075" s="298" t="s">
        <v>9</v>
      </c>
      <c r="C1075" s="298" t="s">
        <v>1414</v>
      </c>
      <c r="D1075" s="298"/>
      <c r="E1075" s="298"/>
      <c r="F1075" s="298" t="s">
        <v>210</v>
      </c>
      <c r="G1075" s="298" t="s">
        <v>1423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1413</v>
      </c>
      <c r="B1076" s="298" t="s">
        <v>9</v>
      </c>
      <c r="C1076" s="298" t="s">
        <v>1414</v>
      </c>
      <c r="D1076" s="298"/>
      <c r="E1076" s="298"/>
      <c r="F1076" s="298" t="s">
        <v>1422</v>
      </c>
      <c r="G1076" s="298" t="s">
        <v>1423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6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2" t="s">
        <v>1424</v>
      </c>
      <c r="B1078" s="453"/>
      <c r="C1078" s="453"/>
      <c r="D1078" s="453"/>
      <c r="E1078" s="453"/>
      <c r="F1078" s="453"/>
      <c r="G1078" s="453"/>
      <c r="H1078" s="453"/>
      <c r="I1078" s="453">
        <f>I1068+I1071+I1077</f>
        <v>300</v>
      </c>
      <c r="J1078" s="454"/>
      <c r="K1078" s="455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1427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1428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1427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1429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1427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1427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1430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1427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1427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1427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1427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1431</v>
      </c>
      <c r="G1086" s="298" t="s">
        <v>99</v>
      </c>
      <c r="H1086" s="298" t="s">
        <v>15</v>
      </c>
      <c r="I1086" s="298">
        <v>10</v>
      </c>
      <c r="J1086" s="71" t="s">
        <v>1508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1427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1432</v>
      </c>
      <c r="G1087" s="298" t="s">
        <v>1444</v>
      </c>
      <c r="H1087" s="298" t="s">
        <v>15</v>
      </c>
      <c r="I1087" s="298">
        <v>20</v>
      </c>
      <c r="J1087" s="71" t="s">
        <v>1509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1427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1433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1427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1434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1427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1445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1427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1435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1427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1436</v>
      </c>
      <c r="G1092" s="298" t="s">
        <v>290</v>
      </c>
      <c r="H1092" s="298" t="s">
        <v>15</v>
      </c>
      <c r="I1092" s="298">
        <v>18</v>
      </c>
      <c r="J1092" s="71" t="s">
        <v>1510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1427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1437</v>
      </c>
      <c r="G1093" s="298" t="s">
        <v>1446</v>
      </c>
      <c r="H1093" s="298" t="s">
        <v>5</v>
      </c>
      <c r="I1093" s="298">
        <v>20</v>
      </c>
      <c r="J1093" s="71" t="s">
        <v>1511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1427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1438</v>
      </c>
      <c r="G1094" s="298" t="s">
        <v>127</v>
      </c>
      <c r="H1094" s="298" t="s">
        <v>15</v>
      </c>
      <c r="I1094" s="298">
        <v>24</v>
      </c>
      <c r="J1094" s="71" t="s">
        <v>1512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1427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1439</v>
      </c>
      <c r="G1095" s="298" t="s">
        <v>127</v>
      </c>
      <c r="H1095" s="298" t="s">
        <v>15</v>
      </c>
      <c r="I1095" s="298">
        <v>24</v>
      </c>
      <c r="J1095" s="71" t="s">
        <v>1512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1427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1427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1440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1427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1441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1427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1442</v>
      </c>
      <c r="G1099" s="298" t="s">
        <v>1447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1427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1447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1427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1443</v>
      </c>
      <c r="G1101" s="298" t="s">
        <v>1448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2" t="s">
        <v>1466</v>
      </c>
      <c r="B1103" s="453"/>
      <c r="C1103" s="453"/>
      <c r="D1103" s="453"/>
      <c r="E1103" s="453"/>
      <c r="F1103" s="453"/>
      <c r="G1103" s="453"/>
      <c r="H1103" s="453"/>
      <c r="I1103" s="453">
        <v>20</v>
      </c>
      <c r="J1103" s="454"/>
      <c r="K1103" s="455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1450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1451</v>
      </c>
      <c r="G1104" s="298" t="s">
        <v>1462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1450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1450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1452</v>
      </c>
      <c r="G1106" s="298" t="s">
        <v>1463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1450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1450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1453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1450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1454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1450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1513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1450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1455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1450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1450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1194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1450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1456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1450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1450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1457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1450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1450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1458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1450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1459</v>
      </c>
      <c r="G1119" s="298" t="s">
        <v>1464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1450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1460</v>
      </c>
      <c r="G1120" s="298" t="s">
        <v>1464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1450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1461</v>
      </c>
      <c r="G1121" s="298" t="s">
        <v>1465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1450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955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1450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1450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1450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6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2" t="s">
        <v>1467</v>
      </c>
      <c r="B1127" s="453"/>
      <c r="C1127" s="453"/>
      <c r="D1127" s="453"/>
      <c r="E1127" s="453"/>
      <c r="F1127" s="453"/>
      <c r="G1127" s="453"/>
      <c r="H1127" s="453"/>
      <c r="I1127" s="453">
        <f>I1126</f>
        <v>405</v>
      </c>
      <c r="J1127" s="454"/>
      <c r="K1127" s="455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1450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1469</v>
      </c>
      <c r="H1128" s="298" t="s">
        <v>15</v>
      </c>
      <c r="I1128" s="298">
        <v>40</v>
      </c>
      <c r="J1128" s="71" t="s">
        <v>1514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1450</v>
      </c>
      <c r="B1129" s="298" t="s">
        <v>9</v>
      </c>
      <c r="C1129" s="298" t="s">
        <v>309</v>
      </c>
      <c r="D1129" s="298"/>
      <c r="E1129" s="298"/>
      <c r="F1129" s="298" t="s">
        <v>1468</v>
      </c>
      <c r="G1129" s="298" t="s">
        <v>1469</v>
      </c>
      <c r="H1129" s="298" t="s">
        <v>15</v>
      </c>
      <c r="I1129" s="298">
        <v>40</v>
      </c>
      <c r="J1129" s="71" t="s">
        <v>1514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6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1450</v>
      </c>
      <c r="B1131" s="298" t="s">
        <v>9</v>
      </c>
      <c r="C1131" s="298" t="s">
        <v>309</v>
      </c>
      <c r="D1131" s="298"/>
      <c r="E1131" s="298"/>
      <c r="F1131" s="298" t="s">
        <v>1470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1450</v>
      </c>
      <c r="B1132" s="298" t="s">
        <v>9</v>
      </c>
      <c r="C1132" s="298" t="s">
        <v>309</v>
      </c>
      <c r="D1132" s="298"/>
      <c r="E1132" s="298"/>
      <c r="F1132" s="298" t="s">
        <v>1471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1450</v>
      </c>
      <c r="B1133" s="298" t="s">
        <v>9</v>
      </c>
      <c r="C1133" s="298" t="s">
        <v>309</v>
      </c>
      <c r="D1133" s="298"/>
      <c r="E1133" s="298"/>
      <c r="F1133" s="298" t="s">
        <v>1472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6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1450</v>
      </c>
      <c r="B1135" s="298" t="s">
        <v>9</v>
      </c>
      <c r="C1135" s="298" t="s">
        <v>309</v>
      </c>
      <c r="D1135" s="298"/>
      <c r="E1135" s="298"/>
      <c r="F1135" s="298" t="s">
        <v>1473</v>
      </c>
      <c r="G1135" s="298" t="s">
        <v>1475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1450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1475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1450</v>
      </c>
      <c r="B1137" s="298" t="s">
        <v>9</v>
      </c>
      <c r="C1137" s="298" t="s">
        <v>309</v>
      </c>
      <c r="D1137" s="298"/>
      <c r="E1137" s="298"/>
      <c r="F1137" s="298" t="s">
        <v>1474</v>
      </c>
      <c r="G1137" s="298" t="s">
        <v>1475</v>
      </c>
      <c r="H1137" s="298" t="s">
        <v>15</v>
      </c>
      <c r="I1137" s="298">
        <v>21</v>
      </c>
      <c r="J1137" s="71" t="s">
        <v>1515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6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2" t="s">
        <v>1478</v>
      </c>
      <c r="B1139" s="453"/>
      <c r="C1139" s="453"/>
      <c r="D1139" s="453"/>
      <c r="E1139" s="453"/>
      <c r="F1139" s="453"/>
      <c r="G1139" s="453"/>
      <c r="H1139" s="453"/>
      <c r="I1139" s="453">
        <f>I1130+I1134+I1138</f>
        <v>201</v>
      </c>
      <c r="J1139" s="454"/>
      <c r="K1139" s="455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1479</v>
      </c>
      <c r="B1140" s="298" t="s">
        <v>9</v>
      </c>
      <c r="C1140" s="298" t="s">
        <v>309</v>
      </c>
      <c r="D1140" s="298"/>
      <c r="E1140" s="298"/>
      <c r="F1140" s="298" t="s">
        <v>1480</v>
      </c>
      <c r="G1140" s="298" t="s">
        <v>1486</v>
      </c>
      <c r="H1140" s="298" t="s">
        <v>526</v>
      </c>
      <c r="I1140" s="298">
        <v>20</v>
      </c>
      <c r="J1140" s="71" t="s">
        <v>1516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1479</v>
      </c>
      <c r="B1141" s="298" t="s">
        <v>9</v>
      </c>
      <c r="C1141" s="298" t="s">
        <v>309</v>
      </c>
      <c r="D1141" s="298"/>
      <c r="E1141" s="298"/>
      <c r="F1141" s="298" t="s">
        <v>1481</v>
      </c>
      <c r="G1141" s="298" t="s">
        <v>1486</v>
      </c>
      <c r="H1141" s="298" t="s">
        <v>15</v>
      </c>
      <c r="I1141" s="298">
        <v>20</v>
      </c>
      <c r="J1141" s="71" t="s">
        <v>1516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1479</v>
      </c>
      <c r="B1142" s="298" t="s">
        <v>9</v>
      </c>
      <c r="C1142" s="298" t="s">
        <v>309</v>
      </c>
      <c r="D1142" s="298"/>
      <c r="E1142" s="298"/>
      <c r="F1142" s="298" t="s">
        <v>1482</v>
      </c>
      <c r="G1142" s="298" t="s">
        <v>1486</v>
      </c>
      <c r="H1142" s="298" t="s">
        <v>15</v>
      </c>
      <c r="I1142" s="298">
        <v>20</v>
      </c>
      <c r="J1142" s="71" t="s">
        <v>1516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1479</v>
      </c>
      <c r="B1143" s="298" t="s">
        <v>9</v>
      </c>
      <c r="C1143" s="298" t="s">
        <v>309</v>
      </c>
      <c r="D1143" s="298"/>
      <c r="E1143" s="298"/>
      <c r="F1143" s="298" t="s">
        <v>1483</v>
      </c>
      <c r="G1143" s="298" t="s">
        <v>1486</v>
      </c>
      <c r="H1143" s="298" t="s">
        <v>15</v>
      </c>
      <c r="I1143" s="298">
        <v>20</v>
      </c>
      <c r="J1143" s="71" t="s">
        <v>1516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1479</v>
      </c>
      <c r="B1144" s="298" t="s">
        <v>9</v>
      </c>
      <c r="C1144" s="298" t="s">
        <v>309</v>
      </c>
      <c r="D1144" s="298"/>
      <c r="E1144" s="298"/>
      <c r="F1144" s="298" t="s">
        <v>1484</v>
      </c>
      <c r="G1144" s="298" t="s">
        <v>1486</v>
      </c>
      <c r="H1144" s="298" t="s">
        <v>5</v>
      </c>
      <c r="I1144" s="298">
        <v>20</v>
      </c>
      <c r="J1144" s="71" t="s">
        <v>1516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1479</v>
      </c>
      <c r="B1145" s="298" t="s">
        <v>9</v>
      </c>
      <c r="C1145" s="298" t="s">
        <v>309</v>
      </c>
      <c r="D1145" s="298"/>
      <c r="E1145" s="298"/>
      <c r="F1145" s="298" t="s">
        <v>1088</v>
      </c>
      <c r="G1145" s="298" t="s">
        <v>1486</v>
      </c>
      <c r="H1145" s="298" t="s">
        <v>5</v>
      </c>
      <c r="I1145" s="298">
        <v>20</v>
      </c>
      <c r="J1145" s="71" t="s">
        <v>1516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1479</v>
      </c>
      <c r="B1146" s="298" t="s">
        <v>9</v>
      </c>
      <c r="C1146" s="298" t="s">
        <v>309</v>
      </c>
      <c r="D1146" s="298"/>
      <c r="E1146" s="298"/>
      <c r="F1146" s="298" t="s">
        <v>1485</v>
      </c>
      <c r="G1146" s="298" t="s">
        <v>1486</v>
      </c>
      <c r="H1146" s="298" t="s">
        <v>15</v>
      </c>
      <c r="I1146" s="298">
        <v>20</v>
      </c>
      <c r="J1146" s="71" t="s">
        <v>1516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6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1479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1487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1479</v>
      </c>
      <c r="B1149" s="298" t="s">
        <v>9</v>
      </c>
      <c r="C1149" s="298" t="s">
        <v>309</v>
      </c>
      <c r="D1149" s="298"/>
      <c r="E1149" s="298"/>
      <c r="F1149" s="298" t="s">
        <v>1137</v>
      </c>
      <c r="G1149" s="298" t="s">
        <v>1487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1479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1487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1479</v>
      </c>
      <c r="B1151" s="298" t="s">
        <v>9</v>
      </c>
      <c r="C1151" s="298" t="s">
        <v>309</v>
      </c>
      <c r="D1151" s="298"/>
      <c r="E1151" s="298"/>
      <c r="F1151" s="298" t="s">
        <v>987</v>
      </c>
      <c r="G1151" s="298" t="s">
        <v>1487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6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1479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1487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1479</v>
      </c>
      <c r="B1154" s="298" t="s">
        <v>9</v>
      </c>
      <c r="C1154" s="298" t="s">
        <v>309</v>
      </c>
      <c r="D1154" s="298"/>
      <c r="E1154" s="298"/>
      <c r="F1154" s="298" t="s">
        <v>1432</v>
      </c>
      <c r="G1154" s="298" t="s">
        <v>1487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1479</v>
      </c>
      <c r="B1155" s="298" t="s">
        <v>9</v>
      </c>
      <c r="C1155" s="298" t="s">
        <v>309</v>
      </c>
      <c r="D1155" s="298"/>
      <c r="E1155" s="298"/>
      <c r="F1155" s="298" t="s">
        <v>1488</v>
      </c>
      <c r="G1155" s="298" t="s">
        <v>1487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6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1479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1517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1479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1518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6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1479</v>
      </c>
      <c r="B1160" s="298" t="s">
        <v>9</v>
      </c>
      <c r="C1160" s="298" t="s">
        <v>309</v>
      </c>
      <c r="D1160" s="298"/>
      <c r="E1160" s="298"/>
      <c r="F1160" s="298" t="s">
        <v>1489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1479</v>
      </c>
      <c r="B1161" s="298" t="s">
        <v>9</v>
      </c>
      <c r="C1161" s="298" t="s">
        <v>309</v>
      </c>
      <c r="D1161" s="298"/>
      <c r="E1161" s="298"/>
      <c r="F1161" s="298" t="s">
        <v>1490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1479</v>
      </c>
      <c r="B1162" s="298" t="s">
        <v>9</v>
      </c>
      <c r="C1162" s="298" t="s">
        <v>309</v>
      </c>
      <c r="D1162" s="298"/>
      <c r="E1162" s="298"/>
      <c r="F1162" s="298" t="s">
        <v>1491</v>
      </c>
      <c r="G1162" s="298" t="s">
        <v>886</v>
      </c>
      <c r="H1162" s="298" t="s">
        <v>15</v>
      </c>
      <c r="I1162" s="298">
        <v>40</v>
      </c>
      <c r="J1162" s="71" t="s">
        <v>1519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1479</v>
      </c>
      <c r="B1163" s="298" t="s">
        <v>9</v>
      </c>
      <c r="C1163" s="298" t="s">
        <v>309</v>
      </c>
      <c r="D1163" s="298"/>
      <c r="E1163" s="298"/>
      <c r="F1163" s="298" t="s">
        <v>1492</v>
      </c>
      <c r="G1163" s="298" t="s">
        <v>886</v>
      </c>
      <c r="H1163" s="298" t="s">
        <v>15</v>
      </c>
      <c r="I1163" s="298">
        <v>40</v>
      </c>
      <c r="J1163" s="71" t="s">
        <v>1519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1479</v>
      </c>
      <c r="B1164" s="298" t="s">
        <v>9</v>
      </c>
      <c r="C1164" s="298" t="s">
        <v>309</v>
      </c>
      <c r="D1164" s="298"/>
      <c r="E1164" s="298"/>
      <c r="F1164" s="298" t="s">
        <v>976</v>
      </c>
      <c r="G1164" s="298" t="s">
        <v>886</v>
      </c>
      <c r="H1164" s="298" t="s">
        <v>5</v>
      </c>
      <c r="I1164" s="298">
        <v>40</v>
      </c>
      <c r="J1164" s="71" t="s">
        <v>1519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1479</v>
      </c>
      <c r="B1165" s="298" t="s">
        <v>9</v>
      </c>
      <c r="C1165" s="298" t="s">
        <v>309</v>
      </c>
      <c r="D1165" s="298"/>
      <c r="E1165" s="298"/>
      <c r="F1165" s="298" t="s">
        <v>977</v>
      </c>
      <c r="G1165" s="298" t="s">
        <v>886</v>
      </c>
      <c r="H1165" s="298" t="s">
        <v>15</v>
      </c>
      <c r="I1165" s="298">
        <v>40</v>
      </c>
      <c r="J1165" s="71" t="s">
        <v>1519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1479</v>
      </c>
      <c r="B1166" s="298" t="s">
        <v>9</v>
      </c>
      <c r="C1166" s="298" t="s">
        <v>309</v>
      </c>
      <c r="D1166" s="298"/>
      <c r="E1166" s="298"/>
      <c r="F1166" s="298" t="s">
        <v>1134</v>
      </c>
      <c r="G1166" s="298" t="s">
        <v>886</v>
      </c>
      <c r="H1166" s="298" t="s">
        <v>15</v>
      </c>
      <c r="I1166" s="298">
        <v>40</v>
      </c>
      <c r="J1166" s="71" t="s">
        <v>1519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6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2" t="s">
        <v>1493</v>
      </c>
      <c r="B1168" s="453"/>
      <c r="C1168" s="453"/>
      <c r="D1168" s="453"/>
      <c r="E1168" s="453"/>
      <c r="F1168" s="453"/>
      <c r="G1168" s="453"/>
      <c r="H1168" s="453"/>
      <c r="I1168" s="453">
        <f>I1147+I1152+I1156+I1159+I1167</f>
        <v>586</v>
      </c>
      <c r="J1168" s="454"/>
      <c r="K1168" s="455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1495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1495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1496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1495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1497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1495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1495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1498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1495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1499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1495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1495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1495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1495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1495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1433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1495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1500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1495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1495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1501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1495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1495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1496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1495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1495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1495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1502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1495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1495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1520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1495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1503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1495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1495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1495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1495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1495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1504</v>
      </c>
      <c r="G1195" s="298" t="s">
        <v>1505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2" t="s">
        <v>1506</v>
      </c>
      <c r="B1197" s="453"/>
      <c r="C1197" s="453"/>
      <c r="D1197" s="453"/>
      <c r="E1197" s="453"/>
      <c r="F1197" s="453"/>
      <c r="G1197" s="453"/>
      <c r="H1197" s="453"/>
      <c r="I1197" s="453">
        <f>I1196</f>
        <v>500</v>
      </c>
      <c r="J1197" s="454"/>
      <c r="K1197" s="455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1522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1523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1522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1524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1522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1522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1349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1522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1522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1525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1522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1526</v>
      </c>
      <c r="G1204" s="298" t="s">
        <v>1447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1522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1527</v>
      </c>
      <c r="G1205" s="298" t="s">
        <v>1445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1522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1446</v>
      </c>
      <c r="H1206" s="298" t="s">
        <v>5</v>
      </c>
      <c r="I1206" s="298">
        <v>20</v>
      </c>
      <c r="J1206" s="71" t="s">
        <v>1511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1522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1528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1522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6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1522</v>
      </c>
      <c r="B1210" s="298" t="s">
        <v>9</v>
      </c>
      <c r="C1210" s="298" t="s">
        <v>1414</v>
      </c>
      <c r="D1210" s="298"/>
      <c r="E1210" s="298"/>
      <c r="F1210" s="298" t="s">
        <v>1529</v>
      </c>
      <c r="G1210" s="298" t="s">
        <v>1420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6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1522</v>
      </c>
      <c r="B1212" s="298" t="s">
        <v>9</v>
      </c>
      <c r="C1212" s="298" t="s">
        <v>1414</v>
      </c>
      <c r="D1212" s="298"/>
      <c r="E1212" s="298"/>
      <c r="F1212" s="298" t="s">
        <v>1530</v>
      </c>
      <c r="G1212" s="298" t="s">
        <v>1420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1522</v>
      </c>
      <c r="B1213" s="298" t="s">
        <v>9</v>
      </c>
      <c r="C1213" s="298" t="s">
        <v>1414</v>
      </c>
      <c r="D1213" s="298"/>
      <c r="E1213" s="298"/>
      <c r="F1213" s="298" t="s">
        <v>1531</v>
      </c>
      <c r="G1213" s="298" t="s">
        <v>1420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1522</v>
      </c>
      <c r="B1214" s="298" t="s">
        <v>9</v>
      </c>
      <c r="C1214" s="298" t="s">
        <v>1414</v>
      </c>
      <c r="D1214" s="298"/>
      <c r="E1214" s="298"/>
      <c r="F1214" s="298" t="s">
        <v>1532</v>
      </c>
      <c r="G1214" s="298" t="s">
        <v>1420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1522</v>
      </c>
      <c r="B1215" s="298" t="s">
        <v>9</v>
      </c>
      <c r="C1215" s="298" t="s">
        <v>1414</v>
      </c>
      <c r="D1215" s="298"/>
      <c r="E1215" s="298"/>
      <c r="F1215" s="298" t="s">
        <v>1533</v>
      </c>
      <c r="G1215" s="298" t="s">
        <v>1420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1522</v>
      </c>
      <c r="B1216" s="298" t="s">
        <v>9</v>
      </c>
      <c r="C1216" s="298" t="s">
        <v>1414</v>
      </c>
      <c r="D1216" s="298"/>
      <c r="E1216" s="298"/>
      <c r="F1216" s="298" t="s">
        <v>1534</v>
      </c>
      <c r="G1216" s="298" t="s">
        <v>1420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1522</v>
      </c>
      <c r="B1217" s="298" t="s">
        <v>9</v>
      </c>
      <c r="C1217" s="298" t="s">
        <v>1414</v>
      </c>
      <c r="D1217" s="298"/>
      <c r="E1217" s="298"/>
      <c r="F1217" s="298" t="s">
        <v>1535</v>
      </c>
      <c r="G1217" s="298" t="s">
        <v>1420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1522</v>
      </c>
      <c r="B1218" s="298" t="s">
        <v>9</v>
      </c>
      <c r="C1218" s="298" t="s">
        <v>1414</v>
      </c>
      <c r="D1218" s="298"/>
      <c r="E1218" s="298"/>
      <c r="F1218" s="298" t="s">
        <v>1536</v>
      </c>
      <c r="G1218" s="298" t="s">
        <v>1420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6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2" t="s">
        <v>1537</v>
      </c>
      <c r="B1220" s="453"/>
      <c r="C1220" s="453"/>
      <c r="D1220" s="453"/>
      <c r="E1220" s="453"/>
      <c r="F1220" s="453"/>
      <c r="G1220" s="453"/>
      <c r="H1220" s="453"/>
      <c r="I1220" s="453">
        <f>I1209+I1211+I1219</f>
        <v>410</v>
      </c>
      <c r="J1220" s="454"/>
      <c r="K1220" s="455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1539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1539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1539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1540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1539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1541</v>
      </c>
      <c r="G1224" s="298" t="s">
        <v>1554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1539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1555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1539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1555</v>
      </c>
      <c r="H1226" s="298" t="s">
        <v>15</v>
      </c>
      <c r="I1226" s="298">
        <v>13</v>
      </c>
      <c r="J1226" s="71" t="s">
        <v>1563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1539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1542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1539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1543</v>
      </c>
      <c r="G1228" s="298" t="s">
        <v>82</v>
      </c>
      <c r="H1228" s="298" t="s">
        <v>5</v>
      </c>
      <c r="I1228" s="298">
        <v>21</v>
      </c>
      <c r="J1228" s="71" t="s">
        <v>1564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1539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1544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1539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1545</v>
      </c>
      <c r="G1230" s="298" t="s">
        <v>82</v>
      </c>
      <c r="H1230" s="298" t="s">
        <v>5</v>
      </c>
      <c r="I1230" s="298">
        <v>11</v>
      </c>
      <c r="J1230" s="71" t="s">
        <v>1565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1539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1546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1539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1547</v>
      </c>
      <c r="G1232" s="298" t="s">
        <v>1556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1539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1081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1539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1539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1539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1539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1539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1539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1557</v>
      </c>
      <c r="H1239" s="298" t="s">
        <v>15</v>
      </c>
      <c r="I1239" s="298">
        <v>15</v>
      </c>
      <c r="J1239" s="71" t="s">
        <v>1566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1539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1558</v>
      </c>
      <c r="H1240" s="298" t="s">
        <v>15</v>
      </c>
      <c r="I1240" s="298">
        <v>15</v>
      </c>
      <c r="J1240" s="71" t="s">
        <v>1567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1539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1548</v>
      </c>
      <c r="G1241" s="298" t="s">
        <v>1558</v>
      </c>
      <c r="H1241" s="298" t="s">
        <v>15</v>
      </c>
      <c r="I1241" s="298">
        <v>30</v>
      </c>
      <c r="J1241" s="71" t="s">
        <v>1568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1539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1559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1539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1549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1539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1560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1539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1539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1550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1539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1551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1539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1552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1539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1553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2" t="s">
        <v>1561</v>
      </c>
      <c r="B1251" s="453"/>
      <c r="C1251" s="453"/>
      <c r="D1251" s="453"/>
      <c r="E1251" s="453"/>
      <c r="F1251" s="453"/>
      <c r="G1251" s="453"/>
      <c r="H1251" s="453"/>
      <c r="I1251" s="453">
        <f>I1250</f>
        <v>530</v>
      </c>
      <c r="J1251" s="454"/>
      <c r="K1251" s="455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1569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1570</v>
      </c>
      <c r="G1252" s="298" t="s">
        <v>1576</v>
      </c>
      <c r="H1252" s="298" t="s">
        <v>191</v>
      </c>
      <c r="I1252" s="298">
        <v>11</v>
      </c>
      <c r="J1252" s="71" t="s">
        <v>1581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1569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1571</v>
      </c>
      <c r="G1253" s="298" t="s">
        <v>1577</v>
      </c>
      <c r="H1253" s="298" t="s">
        <v>8</v>
      </c>
      <c r="I1253" s="298">
        <v>20</v>
      </c>
      <c r="J1253" s="71" t="s">
        <v>1582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1569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1572</v>
      </c>
      <c r="G1254" s="298" t="s">
        <v>1577</v>
      </c>
      <c r="H1254" s="298" t="s">
        <v>550</v>
      </c>
      <c r="I1254" s="298">
        <v>20</v>
      </c>
      <c r="J1254" s="71" t="s">
        <v>1583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1569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1573</v>
      </c>
      <c r="G1255" s="298" t="s">
        <v>1578</v>
      </c>
      <c r="H1255" s="298" t="s">
        <v>550</v>
      </c>
      <c r="I1255" s="298">
        <v>20</v>
      </c>
      <c r="J1255" s="71" t="s">
        <v>1583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1569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1574</v>
      </c>
      <c r="G1256" s="298" t="s">
        <v>1579</v>
      </c>
      <c r="H1256" s="298" t="s">
        <v>8</v>
      </c>
      <c r="I1256" s="298">
        <v>20</v>
      </c>
      <c r="J1256" s="71" t="s">
        <v>1582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1569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1575</v>
      </c>
      <c r="G1257" s="298" t="s">
        <v>245</v>
      </c>
      <c r="H1257" s="298" t="s">
        <v>550</v>
      </c>
      <c r="I1257" s="298">
        <v>20</v>
      </c>
      <c r="J1257" s="71" t="s">
        <v>1584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2" t="s">
        <v>1580</v>
      </c>
      <c r="B1259" s="453"/>
      <c r="C1259" s="453"/>
      <c r="D1259" s="453"/>
      <c r="E1259" s="453"/>
      <c r="F1259" s="453"/>
      <c r="G1259" s="453"/>
      <c r="H1259" s="453"/>
      <c r="I1259" s="453">
        <f>I1258</f>
        <v>111</v>
      </c>
      <c r="J1259" s="454"/>
      <c r="K1259" s="455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1585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1585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1585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1586</v>
      </c>
      <c r="G1262" s="298" t="s">
        <v>27</v>
      </c>
      <c r="H1262" s="298" t="s">
        <v>5</v>
      </c>
      <c r="I1262" s="298">
        <v>15</v>
      </c>
      <c r="J1262" s="71" t="s">
        <v>1593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1585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1587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411" si="31">SUM(K1263-N1263-Q1263-T1263-W1263)</f>
        <v>516.4</v>
      </c>
      <c r="Y1263" s="52"/>
      <c r="Z1263" s="3"/>
    </row>
    <row r="1264" spans="1:26">
      <c r="A1264" s="297" t="s">
        <v>1585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1585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1588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1585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1585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1589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1585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1590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1585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1585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1585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1585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1585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1585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1585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1591</v>
      </c>
      <c r="G1275" s="298" t="s">
        <v>1157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1585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1157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2" t="s">
        <v>1592</v>
      </c>
      <c r="B1278" s="453"/>
      <c r="C1278" s="453"/>
      <c r="D1278" s="453"/>
      <c r="E1278" s="453"/>
      <c r="F1278" s="453"/>
      <c r="G1278" s="453"/>
      <c r="H1278" s="453"/>
      <c r="I1278" s="509">
        <f>I1277</f>
        <v>502</v>
      </c>
      <c r="J1278" s="454"/>
      <c r="K1278" s="455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1597</v>
      </c>
      <c r="B1279" s="298" t="s">
        <v>9</v>
      </c>
      <c r="C1279" s="298" t="s">
        <v>1414</v>
      </c>
      <c r="D1279" s="298"/>
      <c r="E1279" s="298"/>
      <c r="F1279" s="298" t="s">
        <v>1598</v>
      </c>
      <c r="G1279" s="298" t="s">
        <v>1601</v>
      </c>
      <c r="H1279" s="298" t="s">
        <v>15</v>
      </c>
      <c r="I1279" s="96">
        <v>20</v>
      </c>
      <c r="J1279" s="71" t="s">
        <v>1516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1597</v>
      </c>
      <c r="B1280" s="298" t="s">
        <v>9</v>
      </c>
      <c r="C1280" s="298" t="s">
        <v>1414</v>
      </c>
      <c r="D1280" s="298"/>
      <c r="E1280" s="298"/>
      <c r="F1280" s="298" t="s">
        <v>1599</v>
      </c>
      <c r="G1280" s="298" t="s">
        <v>1601</v>
      </c>
      <c r="H1280" s="298" t="s">
        <v>15</v>
      </c>
      <c r="I1280" s="298">
        <v>20</v>
      </c>
      <c r="J1280" s="71" t="s">
        <v>1516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1597</v>
      </c>
      <c r="B1281" s="298" t="s">
        <v>9</v>
      </c>
      <c r="C1281" s="298" t="s">
        <v>1414</v>
      </c>
      <c r="D1281" s="298"/>
      <c r="E1281" s="298"/>
      <c r="F1281" s="298" t="s">
        <v>1600</v>
      </c>
      <c r="G1281" s="298" t="s">
        <v>1601</v>
      </c>
      <c r="H1281" s="298" t="s">
        <v>15</v>
      </c>
      <c r="I1281" s="298">
        <v>20</v>
      </c>
      <c r="J1281" s="71" t="s">
        <v>1516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6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1597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1603</v>
      </c>
      <c r="G1283" s="298" t="s">
        <v>1557</v>
      </c>
      <c r="H1283" s="298" t="s">
        <v>15</v>
      </c>
      <c r="I1283" s="298">
        <v>15</v>
      </c>
      <c r="J1283" s="71" t="s">
        <v>1566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1597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1557</v>
      </c>
      <c r="H1284" s="298" t="s">
        <v>15</v>
      </c>
      <c r="I1284" s="298">
        <v>30</v>
      </c>
      <c r="J1284" s="71" t="s">
        <v>1610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1597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1453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1597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1604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1597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1605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1597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1606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1597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1597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1607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1597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1452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1597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1597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1597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1608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1597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1597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1597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1597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1597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1609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1597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1597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1597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1597</v>
      </c>
      <c r="B1303" s="298" t="s">
        <v>9</v>
      </c>
      <c r="C1303" s="298">
        <v>32</v>
      </c>
      <c r="D1303" s="298" t="s">
        <v>7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1597</v>
      </c>
      <c r="B1304" s="298" t="s">
        <v>9</v>
      </c>
      <c r="C1304" s="298">
        <v>32</v>
      </c>
      <c r="D1304" s="298" t="s">
        <v>7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1597</v>
      </c>
      <c r="B1305" s="298" t="s">
        <v>9</v>
      </c>
      <c r="C1305" s="298">
        <v>32</v>
      </c>
      <c r="D1305" s="298" t="s">
        <v>7</v>
      </c>
      <c r="E1305" s="298">
        <v>509</v>
      </c>
      <c r="F1305" s="298" t="s">
        <v>1552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 ht="15.75" thickBot="1">
      <c r="A1308" s="452" t="s">
        <v>1602</v>
      </c>
      <c r="B1308" s="453"/>
      <c r="C1308" s="453"/>
      <c r="D1308" s="453"/>
      <c r="E1308" s="453"/>
      <c r="F1308" s="453"/>
      <c r="G1308" s="453"/>
      <c r="H1308" s="453"/>
      <c r="I1308" s="509">
        <f>I1307</f>
        <v>545</v>
      </c>
      <c r="J1308" s="454"/>
      <c r="K1308" s="455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 ht="15.75" hidden="1" thickBot="1">
      <c r="A1309" s="297"/>
      <c r="B1309" s="298"/>
      <c r="C1309" s="298"/>
      <c r="D1309" s="298"/>
      <c r="E1309" s="298"/>
      <c r="F1309" s="298"/>
      <c r="G1309" s="298"/>
      <c r="H1309" s="298"/>
      <c r="I1309" s="298"/>
      <c r="J1309" s="71"/>
      <c r="K1309" s="299"/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0</v>
      </c>
      <c r="Y1309" s="52"/>
      <c r="Z1309" s="3"/>
    </row>
    <row r="1310" spans="1:26" ht="15.75" hidden="1" thickBot="1">
      <c r="A1310" s="297"/>
      <c r="B1310" s="298"/>
      <c r="C1310" s="298"/>
      <c r="D1310" s="298"/>
      <c r="E1310" s="298"/>
      <c r="F1310" s="298"/>
      <c r="G1310" s="298"/>
      <c r="H1310" s="298"/>
      <c r="I1310" s="298"/>
      <c r="J1310" s="71"/>
      <c r="K1310" s="299"/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0</v>
      </c>
      <c r="Y1310" s="52"/>
      <c r="Z1310" s="3"/>
    </row>
    <row r="1311" spans="1:26" ht="15.75" hidden="1" thickBot="1">
      <c r="A1311" s="297"/>
      <c r="B1311" s="298"/>
      <c r="C1311" s="298"/>
      <c r="D1311" s="298"/>
      <c r="E1311" s="298"/>
      <c r="F1311" s="298"/>
      <c r="G1311" s="298"/>
      <c r="H1311" s="298"/>
      <c r="I1311" s="298"/>
      <c r="J1311" s="71"/>
      <c r="K1311" s="299"/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0</v>
      </c>
      <c r="Y1311" s="52"/>
      <c r="Z1311" s="3"/>
    </row>
    <row r="1312" spans="1:26" ht="15.75" hidden="1" thickBot="1">
      <c r="A1312" s="297"/>
      <c r="B1312" s="298"/>
      <c r="C1312" s="298"/>
      <c r="D1312" s="298"/>
      <c r="E1312" s="298"/>
      <c r="F1312" s="298"/>
      <c r="G1312" s="298"/>
      <c r="H1312" s="298"/>
      <c r="I1312" s="298"/>
      <c r="J1312" s="71"/>
      <c r="K1312" s="299"/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0</v>
      </c>
      <c r="Y1312" s="52"/>
      <c r="Z1312" s="3"/>
    </row>
    <row r="1313" spans="1:26" ht="15.75" hidden="1" thickBot="1">
      <c r="A1313" s="297"/>
      <c r="B1313" s="298"/>
      <c r="C1313" s="298"/>
      <c r="D1313" s="298"/>
      <c r="E1313" s="298"/>
      <c r="F1313" s="298"/>
      <c r="G1313" s="298"/>
      <c r="H1313" s="298"/>
      <c r="I1313" s="298"/>
      <c r="J1313" s="71"/>
      <c r="K1313" s="299"/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0</v>
      </c>
      <c r="Y1313" s="52"/>
      <c r="Z1313" s="3"/>
    </row>
    <row r="1314" spans="1:26" ht="15.75" hidden="1" thickBot="1">
      <c r="A1314" s="297"/>
      <c r="B1314" s="298"/>
      <c r="C1314" s="298"/>
      <c r="D1314" s="298"/>
      <c r="E1314" s="298"/>
      <c r="F1314" s="298"/>
      <c r="G1314" s="298"/>
      <c r="H1314" s="298"/>
      <c r="I1314" s="298"/>
      <c r="J1314" s="71"/>
      <c r="K1314" s="299"/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0</v>
      </c>
      <c r="Y1314" s="52"/>
      <c r="Z1314" s="3"/>
    </row>
    <row r="1315" spans="1:26" ht="15.75" hidden="1" thickBot="1">
      <c r="A1315" s="297"/>
      <c r="B1315" s="298"/>
      <c r="C1315" s="298"/>
      <c r="D1315" s="298"/>
      <c r="E1315" s="298"/>
      <c r="F1315" s="298"/>
      <c r="G1315" s="298"/>
      <c r="H1315" s="298"/>
      <c r="I1315" s="298"/>
      <c r="J1315" s="71"/>
      <c r="K1315" s="299"/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0</v>
      </c>
      <c r="Y1315" s="52"/>
      <c r="Z1315" s="3"/>
    </row>
    <row r="1316" spans="1:26" ht="15.75" hidden="1" thickBot="1">
      <c r="A1316" s="297"/>
      <c r="B1316" s="298"/>
      <c r="C1316" s="298"/>
      <c r="D1316" s="298"/>
      <c r="E1316" s="298"/>
      <c r="F1316" s="298"/>
      <c r="G1316" s="298"/>
      <c r="H1316" s="298"/>
      <c r="I1316" s="298"/>
      <c r="J1316" s="71"/>
      <c r="K1316" s="299"/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0</v>
      </c>
      <c r="Y1316" s="52"/>
      <c r="Z1316" s="3"/>
    </row>
    <row r="1317" spans="1:26" ht="15.75" hidden="1" thickBot="1">
      <c r="A1317" s="297"/>
      <c r="B1317" s="298"/>
      <c r="C1317" s="298"/>
      <c r="D1317" s="298"/>
      <c r="E1317" s="298"/>
      <c r="F1317" s="298"/>
      <c r="G1317" s="298"/>
      <c r="H1317" s="298"/>
      <c r="I1317" s="298"/>
      <c r="J1317" s="71"/>
      <c r="K1317" s="299"/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0</v>
      </c>
      <c r="Y1317" s="52"/>
      <c r="Z1317" s="3"/>
    </row>
    <row r="1318" spans="1:26" ht="15.75" hidden="1" thickBot="1">
      <c r="A1318" s="297"/>
      <c r="B1318" s="298"/>
      <c r="C1318" s="298"/>
      <c r="D1318" s="298"/>
      <c r="E1318" s="298"/>
      <c r="F1318" s="298"/>
      <c r="G1318" s="298"/>
      <c r="H1318" s="298"/>
      <c r="I1318" s="298"/>
      <c r="J1318" s="71"/>
      <c r="K1318" s="299"/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0</v>
      </c>
      <c r="Y1318" s="52"/>
      <c r="Z1318" s="3"/>
    </row>
    <row r="1319" spans="1:26" ht="15.75" hidden="1" thickBot="1">
      <c r="A1319" s="297"/>
      <c r="B1319" s="298"/>
      <c r="C1319" s="298"/>
      <c r="D1319" s="298"/>
      <c r="E1319" s="298"/>
      <c r="F1319" s="298"/>
      <c r="G1319" s="298"/>
      <c r="H1319" s="298"/>
      <c r="I1319" s="298"/>
      <c r="J1319" s="71"/>
      <c r="K1319" s="299"/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0</v>
      </c>
      <c r="Y1319" s="52"/>
      <c r="Z1319" s="3"/>
    </row>
    <row r="1320" spans="1:26" ht="15.75" hidden="1" thickBot="1">
      <c r="A1320" s="297"/>
      <c r="B1320" s="298"/>
      <c r="C1320" s="298"/>
      <c r="D1320" s="298"/>
      <c r="E1320" s="298"/>
      <c r="F1320" s="298"/>
      <c r="G1320" s="298"/>
      <c r="H1320" s="298"/>
      <c r="I1320" s="298"/>
      <c r="J1320" s="71"/>
      <c r="K1320" s="299"/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0</v>
      </c>
      <c r="Y1320" s="52"/>
      <c r="Z1320" s="3"/>
    </row>
    <row r="1321" spans="1:26" ht="15.75" hidden="1" thickBot="1">
      <c r="A1321" s="297"/>
      <c r="B1321" s="298"/>
      <c r="C1321" s="298"/>
      <c r="D1321" s="298"/>
      <c r="E1321" s="298"/>
      <c r="F1321" s="298"/>
      <c r="G1321" s="298"/>
      <c r="H1321" s="298"/>
      <c r="I1321" s="298"/>
      <c r="J1321" s="71"/>
      <c r="K1321" s="299"/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0</v>
      </c>
      <c r="Y1321" s="52"/>
      <c r="Z1321" s="3"/>
    </row>
    <row r="1322" spans="1:26" ht="15.75" hidden="1" thickBot="1">
      <c r="A1322" s="297"/>
      <c r="B1322" s="298"/>
      <c r="C1322" s="298"/>
      <c r="D1322" s="298"/>
      <c r="E1322" s="298"/>
      <c r="F1322" s="298"/>
      <c r="G1322" s="298"/>
      <c r="H1322" s="298"/>
      <c r="I1322" s="298"/>
      <c r="J1322" s="71"/>
      <c r="K1322" s="299"/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0</v>
      </c>
      <c r="Y1322" s="52"/>
      <c r="Z1322" s="3"/>
    </row>
    <row r="1323" spans="1:26" ht="15.75" hidden="1" thickBot="1">
      <c r="A1323" s="297"/>
      <c r="B1323" s="298"/>
      <c r="C1323" s="298"/>
      <c r="D1323" s="298"/>
      <c r="E1323" s="298"/>
      <c r="F1323" s="298"/>
      <c r="G1323" s="298"/>
      <c r="H1323" s="298"/>
      <c r="I1323" s="298"/>
      <c r="J1323" s="71"/>
      <c r="K1323" s="299"/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0</v>
      </c>
      <c r="Y1323" s="52"/>
      <c r="Z1323" s="3"/>
    </row>
    <row r="1324" spans="1:26" ht="15.75" hidden="1" thickBot="1">
      <c r="A1324" s="297"/>
      <c r="B1324" s="298"/>
      <c r="C1324" s="298"/>
      <c r="D1324" s="298"/>
      <c r="E1324" s="298"/>
      <c r="F1324" s="298"/>
      <c r="G1324" s="298"/>
      <c r="H1324" s="298"/>
      <c r="I1324" s="298"/>
      <c r="J1324" s="71"/>
      <c r="K1324" s="299"/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0</v>
      </c>
      <c r="Y1324" s="52"/>
      <c r="Z1324" s="3"/>
    </row>
    <row r="1325" spans="1:26" ht="15.75" hidden="1" thickBot="1">
      <c r="A1325" s="297"/>
      <c r="B1325" s="298"/>
      <c r="C1325" s="298"/>
      <c r="D1325" s="298"/>
      <c r="E1325" s="298"/>
      <c r="F1325" s="298"/>
      <c r="G1325" s="298"/>
      <c r="H1325" s="298"/>
      <c r="I1325" s="298"/>
      <c r="J1325" s="71"/>
      <c r="K1325" s="299"/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0</v>
      </c>
      <c r="Y1325" s="52"/>
      <c r="Z1325" s="3"/>
    </row>
    <row r="1326" spans="1:26" ht="15.75" hidden="1" thickBot="1">
      <c r="A1326" s="297"/>
      <c r="B1326" s="298"/>
      <c r="C1326" s="298"/>
      <c r="D1326" s="298"/>
      <c r="E1326" s="298"/>
      <c r="F1326" s="298"/>
      <c r="G1326" s="298"/>
      <c r="H1326" s="298"/>
      <c r="I1326" s="298"/>
      <c r="J1326" s="71"/>
      <c r="K1326" s="299"/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0</v>
      </c>
      <c r="Y1326" s="52"/>
      <c r="Z1326" s="3"/>
    </row>
    <row r="1327" spans="1:26" ht="15.75" hidden="1" thickBot="1">
      <c r="A1327" s="297"/>
      <c r="B1327" s="298"/>
      <c r="C1327" s="298"/>
      <c r="D1327" s="298"/>
      <c r="E1327" s="298"/>
      <c r="F1327" s="298"/>
      <c r="G1327" s="298"/>
      <c r="H1327" s="298"/>
      <c r="I1327" s="298"/>
      <c r="J1327" s="71"/>
      <c r="K1327" s="299"/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0</v>
      </c>
      <c r="Y1327" s="52"/>
      <c r="Z1327" s="3"/>
    </row>
    <row r="1328" spans="1:26" ht="15.75" hidden="1" thickBot="1">
      <c r="A1328" s="297"/>
      <c r="B1328" s="298"/>
      <c r="C1328" s="298"/>
      <c r="D1328" s="298"/>
      <c r="E1328" s="298"/>
      <c r="F1328" s="298"/>
      <c r="G1328" s="298"/>
      <c r="H1328" s="298"/>
      <c r="I1328" s="298"/>
      <c r="J1328" s="71"/>
      <c r="K1328" s="299"/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0</v>
      </c>
      <c r="Y1328" s="52"/>
      <c r="Z1328" s="3"/>
    </row>
    <row r="1329" spans="1:26" ht="15.75" hidden="1" thickBot="1">
      <c r="A1329" s="297"/>
      <c r="B1329" s="298"/>
      <c r="C1329" s="298"/>
      <c r="D1329" s="298"/>
      <c r="E1329" s="298"/>
      <c r="F1329" s="298"/>
      <c r="G1329" s="298"/>
      <c r="H1329" s="298"/>
      <c r="I1329" s="298"/>
      <c r="J1329" s="71"/>
      <c r="K1329" s="299"/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0</v>
      </c>
      <c r="Y1329" s="52"/>
      <c r="Z1329" s="3"/>
    </row>
    <row r="1330" spans="1:26" ht="15.75" hidden="1" thickBot="1">
      <c r="A1330" s="297"/>
      <c r="B1330" s="298"/>
      <c r="C1330" s="298"/>
      <c r="D1330" s="298"/>
      <c r="E1330" s="298"/>
      <c r="F1330" s="298"/>
      <c r="G1330" s="298"/>
      <c r="H1330" s="298"/>
      <c r="I1330" s="298"/>
      <c r="J1330" s="71"/>
      <c r="K1330" s="299"/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0</v>
      </c>
      <c r="Y1330" s="52"/>
      <c r="Z1330" s="3"/>
    </row>
    <row r="1331" spans="1:26" ht="15.75" hidden="1" thickBot="1">
      <c r="A1331" s="297"/>
      <c r="B1331" s="298"/>
      <c r="C1331" s="298"/>
      <c r="D1331" s="298"/>
      <c r="E1331" s="298"/>
      <c r="F1331" s="298"/>
      <c r="G1331" s="298"/>
      <c r="H1331" s="298"/>
      <c r="I1331" s="298"/>
      <c r="J1331" s="71"/>
      <c r="K1331" s="299"/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0</v>
      </c>
      <c r="Y1331" s="52"/>
      <c r="Z1331" s="3"/>
    </row>
    <row r="1332" spans="1:26" ht="15.75" hidden="1" thickBot="1">
      <c r="A1332" s="297"/>
      <c r="B1332" s="298"/>
      <c r="C1332" s="298"/>
      <c r="D1332" s="298"/>
      <c r="E1332" s="298"/>
      <c r="F1332" s="298"/>
      <c r="G1332" s="298"/>
      <c r="H1332" s="298"/>
      <c r="I1332" s="298"/>
      <c r="J1332" s="71"/>
      <c r="K1332" s="299"/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0</v>
      </c>
      <c r="Y1332" s="52"/>
      <c r="Z1332" s="3"/>
    </row>
    <row r="1333" spans="1:26" ht="15.75" hidden="1" thickBot="1">
      <c r="A1333" s="297"/>
      <c r="B1333" s="298"/>
      <c r="C1333" s="298"/>
      <c r="D1333" s="298"/>
      <c r="E1333" s="298"/>
      <c r="F1333" s="298"/>
      <c r="G1333" s="298"/>
      <c r="H1333" s="298"/>
      <c r="I1333" s="298"/>
      <c r="J1333" s="71"/>
      <c r="K1333" s="299"/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0</v>
      </c>
      <c r="Y1333" s="52"/>
      <c r="Z1333" s="3"/>
    </row>
    <row r="1334" spans="1:26" ht="15.75" hidden="1" thickBot="1">
      <c r="A1334" s="297"/>
      <c r="B1334" s="298"/>
      <c r="C1334" s="298"/>
      <c r="D1334" s="298"/>
      <c r="E1334" s="298"/>
      <c r="F1334" s="298"/>
      <c r="G1334" s="298"/>
      <c r="H1334" s="298"/>
      <c r="I1334" s="298"/>
      <c r="J1334" s="71"/>
      <c r="K1334" s="299"/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0</v>
      </c>
      <c r="Y1334" s="52"/>
      <c r="Z1334" s="3"/>
    </row>
    <row r="1335" spans="1:26" ht="15.75" hidden="1" thickBot="1">
      <c r="A1335" s="297"/>
      <c r="B1335" s="298"/>
      <c r="C1335" s="298"/>
      <c r="D1335" s="298"/>
      <c r="E1335" s="298"/>
      <c r="F1335" s="298"/>
      <c r="G1335" s="298"/>
      <c r="H1335" s="298"/>
      <c r="I1335" s="298"/>
      <c r="J1335" s="71"/>
      <c r="K1335" s="299"/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>
        <f t="shared" si="31"/>
        <v>0</v>
      </c>
      <c r="Y1335" s="52"/>
      <c r="Z1335" s="3"/>
    </row>
    <row r="1336" spans="1:26" ht="15.75" hidden="1" thickBot="1">
      <c r="A1336" s="297"/>
      <c r="B1336" s="298"/>
      <c r="C1336" s="298"/>
      <c r="D1336" s="298"/>
      <c r="E1336" s="298"/>
      <c r="F1336" s="298"/>
      <c r="G1336" s="298"/>
      <c r="H1336" s="298"/>
      <c r="I1336" s="298"/>
      <c r="J1336" s="71"/>
      <c r="K1336" s="299"/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>
        <f t="shared" si="31"/>
        <v>0</v>
      </c>
      <c r="Y1336" s="52"/>
      <c r="Z1336" s="3"/>
    </row>
    <row r="1337" spans="1:26" ht="15.75" hidden="1" thickBot="1">
      <c r="A1337" s="297"/>
      <c r="B1337" s="298"/>
      <c r="C1337" s="298"/>
      <c r="D1337" s="298"/>
      <c r="E1337" s="298"/>
      <c r="F1337" s="298"/>
      <c r="G1337" s="298"/>
      <c r="H1337" s="298"/>
      <c r="I1337" s="298"/>
      <c r="J1337" s="71"/>
      <c r="K1337" s="299"/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0</v>
      </c>
      <c r="Y1337" s="52"/>
      <c r="Z1337" s="3"/>
    </row>
    <row r="1338" spans="1:26" ht="15.75" hidden="1" thickBot="1">
      <c r="A1338" s="297"/>
      <c r="B1338" s="298"/>
      <c r="C1338" s="298"/>
      <c r="D1338" s="298"/>
      <c r="E1338" s="298"/>
      <c r="F1338" s="298"/>
      <c r="G1338" s="298"/>
      <c r="H1338" s="298"/>
      <c r="I1338" s="298"/>
      <c r="J1338" s="71"/>
      <c r="K1338" s="299"/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0</v>
      </c>
      <c r="Y1338" s="52"/>
      <c r="Z1338" s="3"/>
    </row>
    <row r="1339" spans="1:26" ht="15.75" hidden="1" thickBot="1">
      <c r="A1339" s="297"/>
      <c r="B1339" s="298"/>
      <c r="C1339" s="298"/>
      <c r="D1339" s="298"/>
      <c r="E1339" s="298"/>
      <c r="F1339" s="298"/>
      <c r="G1339" s="298"/>
      <c r="H1339" s="298"/>
      <c r="I1339" s="298"/>
      <c r="J1339" s="71"/>
      <c r="K1339" s="299"/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0</v>
      </c>
      <c r="Y1339" s="52"/>
      <c r="Z1339" s="3"/>
    </row>
    <row r="1340" spans="1:26" ht="15.75" hidden="1" thickBot="1">
      <c r="A1340" s="297"/>
      <c r="B1340" s="298"/>
      <c r="C1340" s="298"/>
      <c r="D1340" s="298"/>
      <c r="E1340" s="298"/>
      <c r="F1340" s="298"/>
      <c r="G1340" s="298"/>
      <c r="H1340" s="298"/>
      <c r="I1340" s="298"/>
      <c r="J1340" s="71"/>
      <c r="K1340" s="299"/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0</v>
      </c>
      <c r="Y1340" s="52"/>
      <c r="Z1340" s="3"/>
    </row>
    <row r="1341" spans="1:26" ht="15.75" hidden="1" thickBot="1">
      <c r="A1341" s="297"/>
      <c r="B1341" s="298"/>
      <c r="C1341" s="298"/>
      <c r="D1341" s="298"/>
      <c r="E1341" s="298"/>
      <c r="F1341" s="298"/>
      <c r="G1341" s="298"/>
      <c r="H1341" s="298"/>
      <c r="I1341" s="298"/>
      <c r="J1341" s="71"/>
      <c r="K1341" s="299"/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0</v>
      </c>
      <c r="Y1341" s="52"/>
      <c r="Z1341" s="3"/>
    </row>
    <row r="1342" spans="1:26" ht="15.75" hidden="1" thickBot="1">
      <c r="A1342" s="297"/>
      <c r="B1342" s="298"/>
      <c r="C1342" s="298"/>
      <c r="D1342" s="298"/>
      <c r="E1342" s="298"/>
      <c r="F1342" s="298"/>
      <c r="G1342" s="298"/>
      <c r="H1342" s="298"/>
      <c r="I1342" s="298"/>
      <c r="J1342" s="71"/>
      <c r="K1342" s="299"/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0</v>
      </c>
      <c r="Y1342" s="52"/>
      <c r="Z1342" s="3"/>
    </row>
    <row r="1343" spans="1:26" ht="15.75" hidden="1" thickBot="1">
      <c r="A1343" s="297"/>
      <c r="B1343" s="298"/>
      <c r="C1343" s="298"/>
      <c r="D1343" s="298"/>
      <c r="E1343" s="298"/>
      <c r="F1343" s="298"/>
      <c r="G1343" s="298"/>
      <c r="H1343" s="298"/>
      <c r="I1343" s="298"/>
      <c r="J1343" s="71"/>
      <c r="K1343" s="299"/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0</v>
      </c>
      <c r="Y1343" s="52"/>
      <c r="Z1343" s="3"/>
    </row>
    <row r="1344" spans="1:26" ht="15.75" hidden="1" thickBot="1">
      <c r="A1344" s="297"/>
      <c r="B1344" s="298"/>
      <c r="C1344" s="298"/>
      <c r="D1344" s="298"/>
      <c r="E1344" s="298"/>
      <c r="F1344" s="298"/>
      <c r="G1344" s="298"/>
      <c r="H1344" s="298"/>
      <c r="I1344" s="298"/>
      <c r="J1344" s="71"/>
      <c r="K1344" s="299"/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0</v>
      </c>
      <c r="Y1344" s="52"/>
      <c r="Z1344" s="3"/>
    </row>
    <row r="1345" spans="1:26" ht="15.75" hidden="1" thickBot="1">
      <c r="A1345" s="297"/>
      <c r="B1345" s="298"/>
      <c r="C1345" s="298"/>
      <c r="D1345" s="298"/>
      <c r="E1345" s="298"/>
      <c r="F1345" s="298"/>
      <c r="G1345" s="298"/>
      <c r="H1345" s="298"/>
      <c r="I1345" s="298"/>
      <c r="J1345" s="71"/>
      <c r="K1345" s="299"/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0</v>
      </c>
      <c r="Y1345" s="52"/>
      <c r="Z1345" s="3"/>
    </row>
    <row r="1346" spans="1:26" ht="15.75" hidden="1" thickBot="1">
      <c r="A1346" s="297"/>
      <c r="B1346" s="298"/>
      <c r="C1346" s="298"/>
      <c r="D1346" s="298"/>
      <c r="E1346" s="298"/>
      <c r="F1346" s="298"/>
      <c r="G1346" s="298"/>
      <c r="H1346" s="298"/>
      <c r="I1346" s="298"/>
      <c r="J1346" s="71"/>
      <c r="K1346" s="299"/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0</v>
      </c>
      <c r="Y1346" s="52"/>
      <c r="Z1346" s="3"/>
    </row>
    <row r="1347" spans="1:26" ht="15.75" hidden="1" thickBot="1">
      <c r="A1347" s="297"/>
      <c r="B1347" s="298"/>
      <c r="C1347" s="298"/>
      <c r="D1347" s="298"/>
      <c r="E1347" s="298"/>
      <c r="F1347" s="298"/>
      <c r="G1347" s="298"/>
      <c r="H1347" s="298"/>
      <c r="I1347" s="298"/>
      <c r="J1347" s="71"/>
      <c r="K1347" s="299"/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0</v>
      </c>
      <c r="Y1347" s="52"/>
      <c r="Z1347" s="3"/>
    </row>
    <row r="1348" spans="1:26" ht="15.75" hidden="1" thickBot="1">
      <c r="A1348" s="297"/>
      <c r="B1348" s="298"/>
      <c r="C1348" s="298"/>
      <c r="D1348" s="298"/>
      <c r="E1348" s="298"/>
      <c r="F1348" s="298"/>
      <c r="G1348" s="298"/>
      <c r="H1348" s="298"/>
      <c r="I1348" s="298"/>
      <c r="J1348" s="71"/>
      <c r="K1348" s="299"/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0</v>
      </c>
      <c r="Y1348" s="52"/>
      <c r="Z1348" s="3"/>
    </row>
    <row r="1349" spans="1:26" ht="15.75" hidden="1" thickBot="1">
      <c r="A1349" s="297"/>
      <c r="B1349" s="298"/>
      <c r="C1349" s="298"/>
      <c r="D1349" s="298"/>
      <c r="E1349" s="298"/>
      <c r="F1349" s="298"/>
      <c r="G1349" s="298"/>
      <c r="H1349" s="298"/>
      <c r="I1349" s="298"/>
      <c r="J1349" s="71"/>
      <c r="K1349" s="299"/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0</v>
      </c>
      <c r="Y1349" s="52"/>
      <c r="Z1349" s="3"/>
    </row>
    <row r="1350" spans="1:26" ht="15.75" hidden="1" thickBot="1">
      <c r="A1350" s="297"/>
      <c r="B1350" s="298"/>
      <c r="C1350" s="298"/>
      <c r="D1350" s="298"/>
      <c r="E1350" s="298"/>
      <c r="F1350" s="298"/>
      <c r="G1350" s="298"/>
      <c r="H1350" s="298"/>
      <c r="I1350" s="298"/>
      <c r="J1350" s="71"/>
      <c r="K1350" s="299"/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0</v>
      </c>
      <c r="Y1350" s="52"/>
      <c r="Z1350" s="3"/>
    </row>
    <row r="1351" spans="1:26" ht="15.75" hidden="1" thickBot="1">
      <c r="A1351" s="297"/>
      <c r="B1351" s="298"/>
      <c r="C1351" s="298"/>
      <c r="D1351" s="298"/>
      <c r="E1351" s="298"/>
      <c r="F1351" s="298"/>
      <c r="G1351" s="298"/>
      <c r="H1351" s="298"/>
      <c r="I1351" s="298"/>
      <c r="J1351" s="71"/>
      <c r="K1351" s="299"/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0</v>
      </c>
      <c r="Y1351" s="52"/>
      <c r="Z1351" s="3"/>
    </row>
    <row r="1352" spans="1:26" ht="15.75" hidden="1" thickBot="1">
      <c r="A1352" s="297"/>
      <c r="B1352" s="298"/>
      <c r="C1352" s="298"/>
      <c r="D1352" s="298"/>
      <c r="E1352" s="298"/>
      <c r="F1352" s="298"/>
      <c r="G1352" s="298"/>
      <c r="H1352" s="298"/>
      <c r="I1352" s="298"/>
      <c r="J1352" s="71"/>
      <c r="K1352" s="299"/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0</v>
      </c>
      <c r="Y1352" s="52"/>
      <c r="Z1352" s="3"/>
    </row>
    <row r="1353" spans="1:26" ht="15.75" hidden="1" thickBot="1">
      <c r="A1353" s="297"/>
      <c r="B1353" s="298"/>
      <c r="C1353" s="298"/>
      <c r="D1353" s="298"/>
      <c r="E1353" s="298"/>
      <c r="F1353" s="298"/>
      <c r="G1353" s="298"/>
      <c r="H1353" s="298"/>
      <c r="I1353" s="298"/>
      <c r="J1353" s="71"/>
      <c r="K1353" s="299"/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0</v>
      </c>
      <c r="Y1353" s="52"/>
      <c r="Z1353" s="3"/>
    </row>
    <row r="1354" spans="1:26" ht="15.75" hidden="1" thickBot="1">
      <c r="A1354" s="297"/>
      <c r="B1354" s="298"/>
      <c r="C1354" s="298"/>
      <c r="D1354" s="298"/>
      <c r="E1354" s="298"/>
      <c r="F1354" s="298"/>
      <c r="G1354" s="298"/>
      <c r="H1354" s="298"/>
      <c r="I1354" s="298"/>
      <c r="J1354" s="71"/>
      <c r="K1354" s="299"/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0</v>
      </c>
      <c r="Y1354" s="52"/>
      <c r="Z1354" s="3"/>
    </row>
    <row r="1355" spans="1:26" ht="15.75" hidden="1" thickBot="1">
      <c r="A1355" s="297"/>
      <c r="B1355" s="298"/>
      <c r="C1355" s="298"/>
      <c r="D1355" s="298"/>
      <c r="E1355" s="298"/>
      <c r="F1355" s="298"/>
      <c r="G1355" s="298"/>
      <c r="H1355" s="298"/>
      <c r="I1355" s="298"/>
      <c r="J1355" s="71"/>
      <c r="K1355" s="299"/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>
        <f t="shared" si="31"/>
        <v>0</v>
      </c>
      <c r="Y1355" s="52"/>
      <c r="Z1355" s="3"/>
    </row>
    <row r="1356" spans="1:26" ht="15.75" hidden="1" thickBot="1">
      <c r="A1356" s="297"/>
      <c r="B1356" s="298"/>
      <c r="C1356" s="298"/>
      <c r="D1356" s="298"/>
      <c r="E1356" s="298"/>
      <c r="F1356" s="298"/>
      <c r="G1356" s="298"/>
      <c r="H1356" s="298"/>
      <c r="I1356" s="298"/>
      <c r="J1356" s="71"/>
      <c r="K1356" s="299"/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>
        <f t="shared" si="31"/>
        <v>0</v>
      </c>
      <c r="Y1356" s="52"/>
      <c r="Z1356" s="3"/>
    </row>
    <row r="1357" spans="1:26" ht="15.75" hidden="1" thickBot="1">
      <c r="A1357" s="297"/>
      <c r="B1357" s="298"/>
      <c r="C1357" s="298"/>
      <c r="D1357" s="298"/>
      <c r="E1357" s="298"/>
      <c r="F1357" s="298"/>
      <c r="G1357" s="298"/>
      <c r="H1357" s="298"/>
      <c r="I1357" s="298"/>
      <c r="J1357" s="71"/>
      <c r="K1357" s="299"/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>
        <f t="shared" si="31"/>
        <v>0</v>
      </c>
      <c r="Y1357" s="52"/>
      <c r="Z1357" s="3"/>
    </row>
    <row r="1358" spans="1:26" ht="15.75" hidden="1" thickBot="1">
      <c r="A1358" s="297"/>
      <c r="B1358" s="298"/>
      <c r="C1358" s="298"/>
      <c r="D1358" s="298"/>
      <c r="E1358" s="298"/>
      <c r="F1358" s="298"/>
      <c r="G1358" s="298"/>
      <c r="H1358" s="298"/>
      <c r="I1358" s="298"/>
      <c r="J1358" s="71"/>
      <c r="K1358" s="299"/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>
        <f t="shared" si="31"/>
        <v>0</v>
      </c>
      <c r="Y1358" s="52"/>
      <c r="Z1358" s="3"/>
    </row>
    <row r="1359" spans="1:26" ht="15.75" hidden="1" thickBot="1">
      <c r="A1359" s="297"/>
      <c r="B1359" s="298"/>
      <c r="C1359" s="298"/>
      <c r="D1359" s="298"/>
      <c r="E1359" s="298"/>
      <c r="F1359" s="298"/>
      <c r="G1359" s="298"/>
      <c r="H1359" s="298"/>
      <c r="I1359" s="298"/>
      <c r="J1359" s="71"/>
      <c r="K1359" s="299"/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>
        <f t="shared" si="31"/>
        <v>0</v>
      </c>
      <c r="Y1359" s="52"/>
      <c r="Z1359" s="3"/>
    </row>
    <row r="1360" spans="1:26" ht="15.75" hidden="1" thickBot="1">
      <c r="A1360" s="297"/>
      <c r="B1360" s="298"/>
      <c r="C1360" s="298"/>
      <c r="D1360" s="298"/>
      <c r="E1360" s="298"/>
      <c r="F1360" s="298"/>
      <c r="G1360" s="298"/>
      <c r="H1360" s="298"/>
      <c r="I1360" s="298"/>
      <c r="J1360" s="71"/>
      <c r="K1360" s="299"/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>
        <f t="shared" si="31"/>
        <v>0</v>
      </c>
      <c r="Y1360" s="52"/>
      <c r="Z1360" s="3"/>
    </row>
    <row r="1361" spans="1:26" ht="15.75" hidden="1" thickBot="1">
      <c r="A1361" s="297"/>
      <c r="B1361" s="298"/>
      <c r="C1361" s="298"/>
      <c r="D1361" s="298"/>
      <c r="E1361" s="298"/>
      <c r="F1361" s="298"/>
      <c r="G1361" s="298"/>
      <c r="H1361" s="298"/>
      <c r="I1361" s="298"/>
      <c r="J1361" s="71"/>
      <c r="K1361" s="299"/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>
        <f t="shared" si="31"/>
        <v>0</v>
      </c>
      <c r="Y1361" s="52"/>
      <c r="Z1361" s="3"/>
    </row>
    <row r="1362" spans="1:26" ht="15.75" hidden="1" thickBot="1">
      <c r="A1362" s="297"/>
      <c r="B1362" s="298"/>
      <c r="C1362" s="298"/>
      <c r="D1362" s="298"/>
      <c r="E1362" s="298"/>
      <c r="F1362" s="298"/>
      <c r="G1362" s="298"/>
      <c r="H1362" s="298"/>
      <c r="I1362" s="298"/>
      <c r="J1362" s="71"/>
      <c r="K1362" s="299"/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>
        <f t="shared" si="31"/>
        <v>0</v>
      </c>
      <c r="Y1362" s="52"/>
      <c r="Z1362" s="3"/>
    </row>
    <row r="1363" spans="1:26" ht="15.75" hidden="1" thickBot="1">
      <c r="A1363" s="297"/>
      <c r="B1363" s="298"/>
      <c r="C1363" s="298"/>
      <c r="D1363" s="298"/>
      <c r="E1363" s="298"/>
      <c r="F1363" s="298"/>
      <c r="G1363" s="298"/>
      <c r="H1363" s="298"/>
      <c r="I1363" s="298"/>
      <c r="J1363" s="71"/>
      <c r="K1363" s="299"/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>
        <f t="shared" si="31"/>
        <v>0</v>
      </c>
      <c r="Y1363" s="52"/>
      <c r="Z1363" s="3"/>
    </row>
    <row r="1364" spans="1:26" ht="15.75" hidden="1" thickBot="1">
      <c r="A1364" s="297"/>
      <c r="B1364" s="298"/>
      <c r="C1364" s="298"/>
      <c r="D1364" s="298"/>
      <c r="E1364" s="298"/>
      <c r="F1364" s="298"/>
      <c r="G1364" s="298"/>
      <c r="H1364" s="298"/>
      <c r="I1364" s="298"/>
      <c r="J1364" s="71"/>
      <c r="K1364" s="299"/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>
        <f t="shared" si="31"/>
        <v>0</v>
      </c>
      <c r="Y1364" s="52"/>
      <c r="Z1364" s="3"/>
    </row>
    <row r="1365" spans="1:26" ht="15.75" hidden="1" thickBot="1">
      <c r="A1365" s="297"/>
      <c r="B1365" s="298"/>
      <c r="C1365" s="298"/>
      <c r="D1365" s="298"/>
      <c r="E1365" s="298"/>
      <c r="F1365" s="298"/>
      <c r="G1365" s="298"/>
      <c r="H1365" s="298"/>
      <c r="I1365" s="298"/>
      <c r="J1365" s="71"/>
      <c r="K1365" s="299"/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>
        <f t="shared" si="31"/>
        <v>0</v>
      </c>
      <c r="Y1365" s="52"/>
      <c r="Z1365" s="3"/>
    </row>
    <row r="1366" spans="1:26" ht="15.75" hidden="1" thickBot="1">
      <c r="A1366" s="297"/>
      <c r="B1366" s="298"/>
      <c r="C1366" s="298"/>
      <c r="D1366" s="298"/>
      <c r="E1366" s="298"/>
      <c r="F1366" s="298"/>
      <c r="G1366" s="298"/>
      <c r="H1366" s="298"/>
      <c r="I1366" s="298"/>
      <c r="J1366" s="71"/>
      <c r="K1366" s="299"/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>
        <f t="shared" si="31"/>
        <v>0</v>
      </c>
      <c r="Y1366" s="52"/>
      <c r="Z1366" s="3"/>
    </row>
    <row r="1367" spans="1:26" ht="15.75" hidden="1" thickBot="1">
      <c r="A1367" s="297"/>
      <c r="B1367" s="298"/>
      <c r="C1367" s="298"/>
      <c r="D1367" s="298"/>
      <c r="E1367" s="298"/>
      <c r="F1367" s="298"/>
      <c r="G1367" s="298"/>
      <c r="H1367" s="298"/>
      <c r="I1367" s="298"/>
      <c r="J1367" s="71"/>
      <c r="K1367" s="299"/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>
        <f t="shared" si="31"/>
        <v>0</v>
      </c>
      <c r="Y1367" s="52"/>
      <c r="Z1367" s="3"/>
    </row>
    <row r="1368" spans="1:26" ht="15.75" hidden="1" thickBot="1">
      <c r="A1368" s="297"/>
      <c r="B1368" s="298"/>
      <c r="C1368" s="298"/>
      <c r="D1368" s="298"/>
      <c r="E1368" s="298"/>
      <c r="F1368" s="298"/>
      <c r="G1368" s="298"/>
      <c r="H1368" s="298"/>
      <c r="I1368" s="298"/>
      <c r="J1368" s="71"/>
      <c r="K1368" s="299"/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>
        <f t="shared" si="31"/>
        <v>0</v>
      </c>
      <c r="Y1368" s="52"/>
      <c r="Z1368" s="3"/>
    </row>
    <row r="1369" spans="1:26" ht="15.75" hidden="1" thickBot="1">
      <c r="A1369" s="297"/>
      <c r="B1369" s="298"/>
      <c r="C1369" s="298"/>
      <c r="D1369" s="298"/>
      <c r="E1369" s="298"/>
      <c r="F1369" s="298"/>
      <c r="G1369" s="298"/>
      <c r="H1369" s="298"/>
      <c r="I1369" s="298"/>
      <c r="J1369" s="71"/>
      <c r="K1369" s="299"/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>
        <f t="shared" si="31"/>
        <v>0</v>
      </c>
      <c r="Y1369" s="52"/>
      <c r="Z1369" s="3"/>
    </row>
    <row r="1370" spans="1:26" ht="15.75" hidden="1" thickBot="1">
      <c r="A1370" s="297"/>
      <c r="B1370" s="298"/>
      <c r="C1370" s="298"/>
      <c r="D1370" s="298"/>
      <c r="E1370" s="298"/>
      <c r="F1370" s="298"/>
      <c r="G1370" s="298"/>
      <c r="H1370" s="298"/>
      <c r="I1370" s="298"/>
      <c r="J1370" s="71"/>
      <c r="K1370" s="299"/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>
        <f t="shared" si="31"/>
        <v>0</v>
      </c>
      <c r="Y1370" s="52"/>
      <c r="Z1370" s="3"/>
    </row>
    <row r="1371" spans="1:26" ht="15.75" hidden="1" thickBot="1">
      <c r="A1371" s="297"/>
      <c r="B1371" s="298"/>
      <c r="C1371" s="298"/>
      <c r="D1371" s="298"/>
      <c r="E1371" s="298"/>
      <c r="F1371" s="298"/>
      <c r="G1371" s="298"/>
      <c r="H1371" s="298"/>
      <c r="I1371" s="298"/>
      <c r="J1371" s="71"/>
      <c r="K1371" s="299"/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>
        <f t="shared" si="31"/>
        <v>0</v>
      </c>
      <c r="Y1371" s="52"/>
      <c r="Z1371" s="3"/>
    </row>
    <row r="1372" spans="1:26" ht="15.75" hidden="1" thickBot="1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9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>
        <f t="shared" si="31"/>
        <v>0</v>
      </c>
      <c r="Y1372" s="52"/>
      <c r="Z1372" s="3"/>
    </row>
    <row r="1373" spans="1:26" ht="15.75" hidden="1" thickBot="1">
      <c r="A1373" s="297"/>
      <c r="B1373" s="298"/>
      <c r="C1373" s="298"/>
      <c r="D1373" s="298"/>
      <c r="E1373" s="298"/>
      <c r="F1373" s="298"/>
      <c r="G1373" s="298"/>
      <c r="H1373" s="298"/>
      <c r="I1373" s="298"/>
      <c r="J1373" s="71"/>
      <c r="K1373" s="299"/>
      <c r="L1373" s="58"/>
      <c r="M1373" s="58"/>
      <c r="N1373" s="229"/>
      <c r="O1373" s="21"/>
      <c r="P1373" s="21"/>
      <c r="Q1373" s="187"/>
      <c r="R1373" s="22"/>
      <c r="S1373" s="22"/>
      <c r="T1373" s="23"/>
      <c r="U1373" s="24"/>
      <c r="V1373" s="24"/>
      <c r="W1373" s="315"/>
      <c r="X1373" s="123">
        <f t="shared" si="31"/>
        <v>0</v>
      </c>
      <c r="Y1373" s="52"/>
      <c r="Z1373" s="3"/>
    </row>
    <row r="1374" spans="1:26" ht="15.75" hidden="1" thickBot="1">
      <c r="A1374" s="297"/>
      <c r="B1374" s="298"/>
      <c r="C1374" s="298"/>
      <c r="D1374" s="298"/>
      <c r="E1374" s="298"/>
      <c r="F1374" s="298"/>
      <c r="G1374" s="298"/>
      <c r="H1374" s="298"/>
      <c r="I1374" s="298"/>
      <c r="J1374" s="71"/>
      <c r="K1374" s="299"/>
      <c r="L1374" s="58"/>
      <c r="M1374" s="58"/>
      <c r="N1374" s="229"/>
      <c r="O1374" s="21"/>
      <c r="P1374" s="21"/>
      <c r="Q1374" s="187"/>
      <c r="R1374" s="22"/>
      <c r="S1374" s="22"/>
      <c r="T1374" s="23"/>
      <c r="U1374" s="24"/>
      <c r="V1374" s="24"/>
      <c r="W1374" s="315"/>
      <c r="X1374" s="123">
        <f t="shared" si="31"/>
        <v>0</v>
      </c>
      <c r="Y1374" s="52"/>
      <c r="Z1374" s="3"/>
    </row>
    <row r="1375" spans="1:26" ht="15.75" hidden="1" thickBot="1">
      <c r="A1375" s="297"/>
      <c r="B1375" s="298"/>
      <c r="C1375" s="298"/>
      <c r="D1375" s="298"/>
      <c r="E1375" s="298"/>
      <c r="F1375" s="298"/>
      <c r="G1375" s="298"/>
      <c r="H1375" s="298"/>
      <c r="I1375" s="298"/>
      <c r="J1375" s="71"/>
      <c r="K1375" s="299"/>
      <c r="L1375" s="58"/>
      <c r="M1375" s="58"/>
      <c r="N1375" s="229"/>
      <c r="O1375" s="21"/>
      <c r="P1375" s="21"/>
      <c r="Q1375" s="187"/>
      <c r="R1375" s="22"/>
      <c r="S1375" s="22"/>
      <c r="T1375" s="23"/>
      <c r="U1375" s="24"/>
      <c r="V1375" s="24"/>
      <c r="W1375" s="315"/>
      <c r="X1375" s="123">
        <f t="shared" si="31"/>
        <v>0</v>
      </c>
      <c r="Y1375" s="52"/>
      <c r="Z1375" s="3"/>
    </row>
    <row r="1376" spans="1:26" ht="15.75" hidden="1" thickBot="1">
      <c r="A1376" s="297"/>
      <c r="B1376" s="298"/>
      <c r="C1376" s="298"/>
      <c r="D1376" s="298"/>
      <c r="E1376" s="298"/>
      <c r="F1376" s="298"/>
      <c r="G1376" s="298"/>
      <c r="H1376" s="298"/>
      <c r="I1376" s="298"/>
      <c r="J1376" s="71"/>
      <c r="K1376" s="299"/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>
        <f t="shared" si="31"/>
        <v>0</v>
      </c>
      <c r="Y1376" s="52"/>
      <c r="Z1376" s="3"/>
    </row>
    <row r="1377" spans="1:26" ht="15.75" hidden="1" thickBot="1">
      <c r="A1377" s="297"/>
      <c r="B1377" s="298"/>
      <c r="C1377" s="298"/>
      <c r="D1377" s="298"/>
      <c r="E1377" s="298"/>
      <c r="F1377" s="298"/>
      <c r="G1377" s="298"/>
      <c r="H1377" s="298"/>
      <c r="I1377" s="298"/>
      <c r="J1377" s="71"/>
      <c r="K1377" s="299"/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>
        <f t="shared" si="31"/>
        <v>0</v>
      </c>
      <c r="Y1377" s="52"/>
      <c r="Z1377" s="3"/>
    </row>
    <row r="1378" spans="1:26" ht="15.75" hidden="1" thickBot="1">
      <c r="A1378" s="297"/>
      <c r="B1378" s="298"/>
      <c r="C1378" s="298"/>
      <c r="D1378" s="298"/>
      <c r="E1378" s="298"/>
      <c r="F1378" s="298"/>
      <c r="G1378" s="298"/>
      <c r="H1378" s="298"/>
      <c r="I1378" s="298"/>
      <c r="J1378" s="71"/>
      <c r="K1378" s="299"/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>
        <f t="shared" si="31"/>
        <v>0</v>
      </c>
      <c r="Y1378" s="52"/>
      <c r="Z1378" s="3"/>
    </row>
    <row r="1379" spans="1:26" ht="15.75" hidden="1" thickBot="1">
      <c r="A1379" s="297"/>
      <c r="B1379" s="298"/>
      <c r="C1379" s="298"/>
      <c r="D1379" s="298"/>
      <c r="E1379" s="298"/>
      <c r="F1379" s="298"/>
      <c r="G1379" s="298"/>
      <c r="H1379" s="298"/>
      <c r="I1379" s="298"/>
      <c r="J1379" s="71"/>
      <c r="K1379" s="299"/>
      <c r="L1379" s="58"/>
      <c r="M1379" s="58"/>
      <c r="N1379" s="229"/>
      <c r="O1379" s="21"/>
      <c r="P1379" s="21"/>
      <c r="Q1379" s="187"/>
      <c r="R1379" s="22"/>
      <c r="S1379" s="22"/>
      <c r="T1379" s="23"/>
      <c r="U1379" s="24"/>
      <c r="V1379" s="24"/>
      <c r="W1379" s="315"/>
      <c r="X1379" s="123">
        <f t="shared" si="31"/>
        <v>0</v>
      </c>
      <c r="Y1379" s="52"/>
      <c r="Z1379" s="3"/>
    </row>
    <row r="1380" spans="1:26" ht="15.75" hidden="1" thickBot="1">
      <c r="A1380" s="297"/>
      <c r="B1380" s="298"/>
      <c r="C1380" s="298"/>
      <c r="D1380" s="298"/>
      <c r="E1380" s="298"/>
      <c r="F1380" s="298"/>
      <c r="G1380" s="298"/>
      <c r="H1380" s="298"/>
      <c r="I1380" s="298"/>
      <c r="J1380" s="71"/>
      <c r="K1380" s="299"/>
      <c r="L1380" s="58"/>
      <c r="M1380" s="58"/>
      <c r="N1380" s="229"/>
      <c r="O1380" s="21"/>
      <c r="P1380" s="21"/>
      <c r="Q1380" s="187"/>
      <c r="R1380" s="22"/>
      <c r="S1380" s="22"/>
      <c r="T1380" s="23"/>
      <c r="U1380" s="24"/>
      <c r="V1380" s="24"/>
      <c r="W1380" s="315"/>
      <c r="X1380" s="123">
        <f t="shared" si="31"/>
        <v>0</v>
      </c>
      <c r="Y1380" s="52"/>
      <c r="Z1380" s="3"/>
    </row>
    <row r="1381" spans="1:26" ht="15.75" hidden="1" thickBot="1">
      <c r="A1381" s="297"/>
      <c r="B1381" s="298"/>
      <c r="C1381" s="298"/>
      <c r="D1381" s="298"/>
      <c r="E1381" s="298"/>
      <c r="F1381" s="298"/>
      <c r="G1381" s="298"/>
      <c r="H1381" s="298"/>
      <c r="I1381" s="298"/>
      <c r="J1381" s="71"/>
      <c r="K1381" s="299"/>
      <c r="L1381" s="58"/>
      <c r="M1381" s="58"/>
      <c r="N1381" s="229"/>
      <c r="O1381" s="21"/>
      <c r="P1381" s="21"/>
      <c r="Q1381" s="187"/>
      <c r="R1381" s="22"/>
      <c r="S1381" s="22"/>
      <c r="T1381" s="23"/>
      <c r="U1381" s="24"/>
      <c r="V1381" s="24"/>
      <c r="W1381" s="315"/>
      <c r="X1381" s="123">
        <f t="shared" si="31"/>
        <v>0</v>
      </c>
      <c r="Y1381" s="52"/>
      <c r="Z1381" s="3"/>
    </row>
    <row r="1382" spans="1:26" ht="15.75" hidden="1" thickBot="1">
      <c r="A1382" s="297"/>
      <c r="B1382" s="298"/>
      <c r="C1382" s="298"/>
      <c r="D1382" s="298"/>
      <c r="E1382" s="298"/>
      <c r="F1382" s="298"/>
      <c r="G1382" s="298"/>
      <c r="H1382" s="298"/>
      <c r="I1382" s="298"/>
      <c r="J1382" s="71"/>
      <c r="K1382" s="299"/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>
        <f t="shared" si="31"/>
        <v>0</v>
      </c>
      <c r="Y1382" s="52"/>
      <c r="Z1382" s="3"/>
    </row>
    <row r="1383" spans="1:26" ht="15.75" hidden="1" thickBot="1">
      <c r="A1383" s="297"/>
      <c r="B1383" s="298"/>
      <c r="C1383" s="298"/>
      <c r="D1383" s="298"/>
      <c r="E1383" s="298"/>
      <c r="F1383" s="298"/>
      <c r="G1383" s="298"/>
      <c r="H1383" s="298"/>
      <c r="I1383" s="298"/>
      <c r="J1383" s="71"/>
      <c r="K1383" s="299"/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>
        <f t="shared" si="31"/>
        <v>0</v>
      </c>
      <c r="Y1383" s="52"/>
      <c r="Z1383" s="3"/>
    </row>
    <row r="1384" spans="1:26" ht="15.75" hidden="1" thickBot="1">
      <c r="A1384" s="297"/>
      <c r="B1384" s="298"/>
      <c r="C1384" s="298"/>
      <c r="D1384" s="298"/>
      <c r="E1384" s="298"/>
      <c r="F1384" s="298"/>
      <c r="G1384" s="298"/>
      <c r="H1384" s="298"/>
      <c r="I1384" s="298"/>
      <c r="J1384" s="71"/>
      <c r="K1384" s="299"/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>
        <f t="shared" si="31"/>
        <v>0</v>
      </c>
      <c r="Y1384" s="52"/>
      <c r="Z1384" s="3"/>
    </row>
    <row r="1385" spans="1:26" ht="15.75" hidden="1" thickBot="1">
      <c r="A1385" s="297"/>
      <c r="B1385" s="298"/>
      <c r="C1385" s="298"/>
      <c r="D1385" s="298"/>
      <c r="E1385" s="298"/>
      <c r="F1385" s="298"/>
      <c r="G1385" s="298"/>
      <c r="H1385" s="298"/>
      <c r="I1385" s="298"/>
      <c r="J1385" s="71"/>
      <c r="K1385" s="299"/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>
        <f t="shared" si="31"/>
        <v>0</v>
      </c>
      <c r="Y1385" s="52"/>
      <c r="Z1385" s="3"/>
    </row>
    <row r="1386" spans="1:26" ht="15.75" hidden="1" thickBot="1">
      <c r="A1386" s="297"/>
      <c r="B1386" s="298"/>
      <c r="C1386" s="298"/>
      <c r="D1386" s="298"/>
      <c r="E1386" s="298"/>
      <c r="F1386" s="298"/>
      <c r="G1386" s="298"/>
      <c r="H1386" s="298"/>
      <c r="I1386" s="298"/>
      <c r="J1386" s="71"/>
      <c r="K1386" s="299"/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>
        <f t="shared" si="31"/>
        <v>0</v>
      </c>
      <c r="Y1386" s="52"/>
      <c r="Z1386" s="3"/>
    </row>
    <row r="1387" spans="1:26" ht="15.75" hidden="1" thickBot="1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9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>
        <f t="shared" si="31"/>
        <v>0</v>
      </c>
      <c r="Y1387" s="52"/>
      <c r="Z1387" s="3"/>
    </row>
    <row r="1388" spans="1:26" ht="15.75" hidden="1" thickBot="1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9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>
        <f t="shared" si="31"/>
        <v>0</v>
      </c>
      <c r="Y1388" s="52"/>
      <c r="Z1388" s="3"/>
    </row>
    <row r="1389" spans="1:26" ht="15.75" hidden="1" thickBot="1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9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>
        <f t="shared" si="31"/>
        <v>0</v>
      </c>
      <c r="Y1389" s="52"/>
      <c r="Z1389" s="3"/>
    </row>
    <row r="1390" spans="1:26" ht="15.75" hidden="1" thickBot="1">
      <c r="A1390" s="297"/>
      <c r="B1390" s="298"/>
      <c r="C1390" s="298"/>
      <c r="D1390" s="298"/>
      <c r="E1390" s="298"/>
      <c r="F1390" s="298"/>
      <c r="G1390" s="298"/>
      <c r="H1390" s="298"/>
      <c r="I1390" s="298"/>
      <c r="J1390" s="71"/>
      <c r="K1390" s="299"/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>
        <f t="shared" si="31"/>
        <v>0</v>
      </c>
      <c r="Y1390" s="52"/>
      <c r="Z1390" s="3"/>
    </row>
    <row r="1391" spans="1:26" ht="15.75" hidden="1" thickBot="1">
      <c r="A1391" s="297"/>
      <c r="B1391" s="298"/>
      <c r="C1391" s="298"/>
      <c r="D1391" s="298"/>
      <c r="E1391" s="298"/>
      <c r="F1391" s="298"/>
      <c r="G1391" s="298"/>
      <c r="H1391" s="298"/>
      <c r="I1391" s="298"/>
      <c r="J1391" s="71"/>
      <c r="K1391" s="299"/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>
        <f t="shared" si="31"/>
        <v>0</v>
      </c>
      <c r="Y1391" s="52"/>
      <c r="Z1391" s="3"/>
    </row>
    <row r="1392" spans="1:26" ht="15.75" hidden="1" thickBot="1">
      <c r="A1392" s="297"/>
      <c r="B1392" s="298"/>
      <c r="C1392" s="298"/>
      <c r="D1392" s="298"/>
      <c r="E1392" s="298"/>
      <c r="F1392" s="298"/>
      <c r="G1392" s="298"/>
      <c r="H1392" s="298"/>
      <c r="I1392" s="298"/>
      <c r="J1392" s="71"/>
      <c r="K1392" s="299"/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>
        <f t="shared" si="31"/>
        <v>0</v>
      </c>
      <c r="Y1392" s="52"/>
      <c r="Z1392" s="3"/>
    </row>
    <row r="1393" spans="1:26" ht="15.75" hidden="1" thickBot="1">
      <c r="A1393" s="297"/>
      <c r="B1393" s="298"/>
      <c r="C1393" s="298"/>
      <c r="D1393" s="298"/>
      <c r="E1393" s="298"/>
      <c r="F1393" s="298"/>
      <c r="G1393" s="298"/>
      <c r="H1393" s="298"/>
      <c r="I1393" s="298"/>
      <c r="J1393" s="71"/>
      <c r="K1393" s="299"/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>
        <f t="shared" si="31"/>
        <v>0</v>
      </c>
      <c r="Y1393" s="52"/>
      <c r="Z1393" s="3"/>
    </row>
    <row r="1394" spans="1:26" ht="15.75" hidden="1" thickBot="1">
      <c r="A1394" s="297"/>
      <c r="B1394" s="298"/>
      <c r="C1394" s="298"/>
      <c r="D1394" s="298"/>
      <c r="E1394" s="298"/>
      <c r="F1394" s="298"/>
      <c r="G1394" s="298"/>
      <c r="H1394" s="298"/>
      <c r="I1394" s="298"/>
      <c r="J1394" s="71"/>
      <c r="K1394" s="299"/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>
        <f t="shared" si="31"/>
        <v>0</v>
      </c>
      <c r="Y1394" s="52"/>
      <c r="Z1394" s="3"/>
    </row>
    <row r="1395" spans="1:26" ht="15.75" hidden="1" thickBot="1">
      <c r="A1395" s="297"/>
      <c r="B1395" s="298"/>
      <c r="C1395" s="298"/>
      <c r="D1395" s="298"/>
      <c r="E1395" s="298"/>
      <c r="F1395" s="298"/>
      <c r="G1395" s="298"/>
      <c r="H1395" s="298"/>
      <c r="I1395" s="298"/>
      <c r="J1395" s="71"/>
      <c r="K1395" s="299"/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>
        <f t="shared" si="31"/>
        <v>0</v>
      </c>
      <c r="Y1395" s="52"/>
      <c r="Z1395" s="3"/>
    </row>
    <row r="1396" spans="1:26" ht="15.75" hidden="1" thickBot="1">
      <c r="A1396" s="297"/>
      <c r="B1396" s="298"/>
      <c r="C1396" s="298"/>
      <c r="D1396" s="298"/>
      <c r="E1396" s="298"/>
      <c r="F1396" s="298"/>
      <c r="G1396" s="298"/>
      <c r="H1396" s="298"/>
      <c r="I1396" s="298"/>
      <c r="J1396" s="71"/>
      <c r="K1396" s="299"/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>
        <f t="shared" si="31"/>
        <v>0</v>
      </c>
      <c r="Y1396" s="52"/>
      <c r="Z1396" s="3"/>
    </row>
    <row r="1397" spans="1:26" ht="15.75" hidden="1" thickBot="1">
      <c r="A1397" s="297"/>
      <c r="B1397" s="298"/>
      <c r="C1397" s="298"/>
      <c r="D1397" s="298"/>
      <c r="E1397" s="298"/>
      <c r="F1397" s="298"/>
      <c r="G1397" s="298"/>
      <c r="H1397" s="298"/>
      <c r="I1397" s="298"/>
      <c r="J1397" s="71"/>
      <c r="K1397" s="299"/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>
        <f t="shared" si="31"/>
        <v>0</v>
      </c>
      <c r="Y1397" s="52"/>
      <c r="Z1397" s="3"/>
    </row>
    <row r="1398" spans="1:26" ht="15.75" hidden="1" thickBot="1">
      <c r="A1398" s="297"/>
      <c r="B1398" s="298"/>
      <c r="C1398" s="298"/>
      <c r="D1398" s="298"/>
      <c r="E1398" s="298"/>
      <c r="F1398" s="298"/>
      <c r="G1398" s="298"/>
      <c r="H1398" s="298"/>
      <c r="I1398" s="298"/>
      <c r="J1398" s="71"/>
      <c r="K1398" s="299"/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>
        <f t="shared" si="31"/>
        <v>0</v>
      </c>
      <c r="Y1398" s="52"/>
      <c r="Z1398" s="3"/>
    </row>
    <row r="1399" spans="1:26" ht="15.75" hidden="1" thickBot="1">
      <c r="A1399" s="297"/>
      <c r="B1399" s="298"/>
      <c r="C1399" s="298"/>
      <c r="D1399" s="298"/>
      <c r="E1399" s="298"/>
      <c r="F1399" s="298"/>
      <c r="G1399" s="298"/>
      <c r="H1399" s="298"/>
      <c r="I1399" s="298"/>
      <c r="J1399" s="71"/>
      <c r="K1399" s="299"/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>
        <f t="shared" si="31"/>
        <v>0</v>
      </c>
      <c r="Y1399" s="52"/>
      <c r="Z1399" s="3"/>
    </row>
    <row r="1400" spans="1:26" ht="15.75" hidden="1" thickBot="1">
      <c r="A1400" s="297"/>
      <c r="B1400" s="298"/>
      <c r="C1400" s="298"/>
      <c r="D1400" s="298"/>
      <c r="E1400" s="298"/>
      <c r="F1400" s="298"/>
      <c r="G1400" s="298"/>
      <c r="H1400" s="298"/>
      <c r="I1400" s="298"/>
      <c r="J1400" s="71"/>
      <c r="K1400" s="299"/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>
        <f t="shared" si="31"/>
        <v>0</v>
      </c>
      <c r="Y1400" s="52"/>
      <c r="Z1400" s="3"/>
    </row>
    <row r="1401" spans="1:26" ht="15.75" hidden="1" thickBot="1">
      <c r="A1401" s="297"/>
      <c r="B1401" s="298"/>
      <c r="C1401" s="298"/>
      <c r="D1401" s="298"/>
      <c r="E1401" s="298"/>
      <c r="F1401" s="298"/>
      <c r="G1401" s="298"/>
      <c r="H1401" s="298"/>
      <c r="I1401" s="298"/>
      <c r="J1401" s="71"/>
      <c r="K1401" s="299"/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>
        <f t="shared" si="31"/>
        <v>0</v>
      </c>
      <c r="Y1401" s="52"/>
      <c r="Z1401" s="3"/>
    </row>
    <row r="1402" spans="1:26" ht="15.75" hidden="1" thickBot="1">
      <c r="A1402" s="297"/>
      <c r="B1402" s="298"/>
      <c r="C1402" s="298"/>
      <c r="D1402" s="298"/>
      <c r="E1402" s="298"/>
      <c r="F1402" s="298"/>
      <c r="G1402" s="298"/>
      <c r="H1402" s="298"/>
      <c r="I1402" s="298"/>
      <c r="J1402" s="71"/>
      <c r="K1402" s="299"/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>
        <f t="shared" si="31"/>
        <v>0</v>
      </c>
      <c r="Y1402" s="52"/>
      <c r="Z1402" s="3"/>
    </row>
    <row r="1403" spans="1:26" ht="15.75" hidden="1" thickBot="1">
      <c r="A1403" s="297"/>
      <c r="B1403" s="298"/>
      <c r="C1403" s="298"/>
      <c r="D1403" s="298"/>
      <c r="E1403" s="298"/>
      <c r="F1403" s="298"/>
      <c r="G1403" s="298"/>
      <c r="H1403" s="298"/>
      <c r="I1403" s="298"/>
      <c r="J1403" s="71"/>
      <c r="K1403" s="299"/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>
        <f t="shared" si="31"/>
        <v>0</v>
      </c>
      <c r="Y1403" s="52"/>
      <c r="Z1403" s="3"/>
    </row>
    <row r="1404" spans="1:26" ht="15.75" hidden="1" thickBot="1">
      <c r="A1404" s="297"/>
      <c r="B1404" s="298"/>
      <c r="C1404" s="298"/>
      <c r="D1404" s="298"/>
      <c r="E1404" s="298"/>
      <c r="F1404" s="298"/>
      <c r="G1404" s="298"/>
      <c r="H1404" s="298"/>
      <c r="I1404" s="298"/>
      <c r="J1404" s="71"/>
      <c r="K1404" s="299"/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>
        <f t="shared" si="31"/>
        <v>0</v>
      </c>
      <c r="Y1404" s="52"/>
      <c r="Z1404" s="3"/>
    </row>
    <row r="1405" spans="1:26" ht="15.75" hidden="1" thickBot="1">
      <c r="A1405" s="297"/>
      <c r="B1405" s="298"/>
      <c r="C1405" s="298"/>
      <c r="D1405" s="298"/>
      <c r="E1405" s="298"/>
      <c r="F1405" s="298"/>
      <c r="G1405" s="298"/>
      <c r="H1405" s="298"/>
      <c r="I1405" s="298"/>
      <c r="J1405" s="71"/>
      <c r="K1405" s="299"/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>
        <f t="shared" si="31"/>
        <v>0</v>
      </c>
      <c r="Y1405" s="52"/>
      <c r="Z1405" s="3"/>
    </row>
    <row r="1406" spans="1:26" ht="15.75" hidden="1" thickBot="1">
      <c r="A1406" s="297"/>
      <c r="B1406" s="298"/>
      <c r="C1406" s="298"/>
      <c r="D1406" s="298"/>
      <c r="E1406" s="298"/>
      <c r="F1406" s="298"/>
      <c r="G1406" s="298"/>
      <c r="H1406" s="298"/>
      <c r="I1406" s="298"/>
      <c r="J1406" s="71"/>
      <c r="K1406" s="299"/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>
        <f t="shared" si="31"/>
        <v>0</v>
      </c>
      <c r="Y1406" s="52"/>
      <c r="Z1406" s="3"/>
    </row>
    <row r="1407" spans="1:26" ht="15.75" hidden="1" thickBot="1">
      <c r="A1407" s="297"/>
      <c r="B1407" s="298"/>
      <c r="C1407" s="298"/>
      <c r="D1407" s="298"/>
      <c r="E1407" s="298"/>
      <c r="F1407" s="298"/>
      <c r="G1407" s="298"/>
      <c r="H1407" s="298"/>
      <c r="I1407" s="298"/>
      <c r="J1407" s="71"/>
      <c r="K1407" s="299"/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>
        <f t="shared" si="31"/>
        <v>0</v>
      </c>
      <c r="Y1407" s="52"/>
      <c r="Z1407" s="3"/>
    </row>
    <row r="1408" spans="1:26" ht="15.75" hidden="1" thickBot="1">
      <c r="A1408" s="297"/>
      <c r="B1408" s="298"/>
      <c r="C1408" s="298"/>
      <c r="D1408" s="298"/>
      <c r="E1408" s="298"/>
      <c r="F1408" s="298"/>
      <c r="G1408" s="298"/>
      <c r="H1408" s="298"/>
      <c r="I1408" s="298"/>
      <c r="J1408" s="71"/>
      <c r="K1408" s="299"/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>
        <f t="shared" si="31"/>
        <v>0</v>
      </c>
      <c r="Y1408" s="52"/>
      <c r="Z1408" s="3"/>
    </row>
    <row r="1409" spans="1:26" ht="15.75" hidden="1" thickBot="1">
      <c r="A1409" s="297"/>
      <c r="B1409" s="298"/>
      <c r="C1409" s="298"/>
      <c r="D1409" s="298"/>
      <c r="E1409" s="298"/>
      <c r="F1409" s="298"/>
      <c r="G1409" s="298"/>
      <c r="H1409" s="298"/>
      <c r="I1409" s="298"/>
      <c r="J1409" s="71"/>
      <c r="K1409" s="299"/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>
        <f t="shared" si="31"/>
        <v>0</v>
      </c>
      <c r="Y1409" s="52"/>
      <c r="Z1409" s="3"/>
    </row>
    <row r="1410" spans="1:26" ht="15.75" hidden="1" thickBot="1">
      <c r="A1410" s="297"/>
      <c r="B1410" s="298"/>
      <c r="C1410" s="298"/>
      <c r="D1410" s="298"/>
      <c r="E1410" s="298"/>
      <c r="F1410" s="298"/>
      <c r="G1410" s="298"/>
      <c r="H1410" s="298"/>
      <c r="I1410" s="298"/>
      <c r="J1410" s="71"/>
      <c r="K1410" s="299"/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>
        <f t="shared" si="31"/>
        <v>0</v>
      </c>
      <c r="Y1410" s="52"/>
      <c r="Z1410" s="3"/>
    </row>
    <row r="1411" spans="1:26" ht="15.75" hidden="1" thickBot="1">
      <c r="A1411" s="297"/>
      <c r="B1411" s="352"/>
      <c r="C1411" s="352"/>
      <c r="D1411" s="352"/>
      <c r="E1411" s="352"/>
      <c r="F1411" s="352"/>
      <c r="G1411" s="352"/>
      <c r="H1411" s="352"/>
      <c r="I1411" s="355"/>
      <c r="J1411" s="353"/>
      <c r="K1411" s="354"/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>
        <f t="shared" si="31"/>
        <v>0</v>
      </c>
      <c r="Y1411" s="52"/>
      <c r="Z1411" s="3"/>
    </row>
    <row r="1412" spans="1:26" ht="9" hidden="1" customHeight="1" thickBot="1">
      <c r="A1412" s="297"/>
      <c r="B1412" s="298"/>
      <c r="C1412" s="298"/>
      <c r="D1412" s="298"/>
      <c r="E1412" s="70"/>
      <c r="F1412" s="298"/>
      <c r="G1412" s="298"/>
      <c r="H1412" s="70"/>
      <c r="I1412" s="70"/>
      <c r="J1412" s="71"/>
      <c r="K1412" s="299"/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>
        <f>SUM(K1412-N1412-Q1412-T1412-W1412)</f>
        <v>0</v>
      </c>
      <c r="Y1412" s="52"/>
      <c r="Z1412" s="3"/>
    </row>
    <row r="1413" spans="1:26" ht="15.75" hidden="1" thickBot="1">
      <c r="A1413" s="72" t="s">
        <v>51</v>
      </c>
      <c r="B1413" s="73"/>
      <c r="C1413" s="73"/>
      <c r="D1413" s="73"/>
      <c r="E1413" s="74"/>
      <c r="F1413" s="74"/>
      <c r="G1413" s="75">
        <f>SUM(X1413)</f>
        <v>187407.19999999943</v>
      </c>
      <c r="H1413" s="74"/>
      <c r="I1413" s="74"/>
      <c r="J1413" s="75"/>
      <c r="K1413" s="303"/>
      <c r="L1413" s="8"/>
      <c r="M1413" s="49"/>
      <c r="N1413" s="50"/>
      <c r="O1413" s="7"/>
      <c r="P1413" s="7"/>
      <c r="Q1413" s="8"/>
      <c r="R1413" s="7"/>
      <c r="S1413" s="7"/>
      <c r="T1413" s="7"/>
      <c r="U1413" s="7"/>
      <c r="V1413" s="7"/>
      <c r="W1413" s="316"/>
      <c r="X1413" s="124">
        <f>SUM(X4:X1412)</f>
        <v>187407.19999999943</v>
      </c>
      <c r="Y1413" s="53"/>
      <c r="Z1413" s="3"/>
    </row>
    <row r="1414" spans="1:26" ht="15.75" thickBot="1">
      <c r="A1414" s="76" t="s">
        <v>1375</v>
      </c>
      <c r="B1414" s="77"/>
      <c r="C1414" s="77"/>
      <c r="D1414" s="77"/>
      <c r="E1414" s="78"/>
      <c r="F1414" s="78"/>
      <c r="G1414" s="79">
        <f>N1414</f>
        <v>216439.19999999943</v>
      </c>
      <c r="H1414" s="78"/>
      <c r="I1414" s="78"/>
      <c r="J1414" s="79"/>
      <c r="K1414" s="304"/>
      <c r="L1414" s="48"/>
      <c r="M1414" s="209">
        <f>SUM(M4:M1412)</f>
        <v>6434</v>
      </c>
      <c r="N1414" s="59">
        <f>SUM(N4:N1412)</f>
        <v>216439.19999999943</v>
      </c>
      <c r="O1414" s="9"/>
      <c r="P1414" s="9"/>
      <c r="Q1414" s="60"/>
      <c r="R1414" s="10"/>
      <c r="S1414" s="10"/>
      <c r="T1414" s="10"/>
      <c r="U1414" s="11"/>
      <c r="V1414" s="11"/>
      <c r="W1414" s="317"/>
      <c r="X1414" s="125"/>
      <c r="Y1414" s="53"/>
      <c r="Z1414" s="3"/>
    </row>
    <row r="1415" spans="1:26" ht="15.75" thickBot="1">
      <c r="A1415" s="80" t="s">
        <v>1376</v>
      </c>
      <c r="B1415" s="81"/>
      <c r="C1415" s="81"/>
      <c r="D1415" s="81"/>
      <c r="E1415" s="82"/>
      <c r="F1415" s="82"/>
      <c r="G1415" s="83">
        <f>SUM(Q1415)</f>
        <v>332333.90000000043</v>
      </c>
      <c r="H1415" s="82"/>
      <c r="I1415" s="82"/>
      <c r="J1415" s="83"/>
      <c r="K1415" s="305"/>
      <c r="L1415" s="60"/>
      <c r="M1415" s="60"/>
      <c r="N1415" s="60"/>
      <c r="O1415" s="9"/>
      <c r="P1415" s="25">
        <f>SUM(P4:P1412)</f>
        <v>9716</v>
      </c>
      <c r="Q1415" s="26">
        <f>SUM(Q4:Q1412)</f>
        <v>332333.90000000043</v>
      </c>
      <c r="R1415" s="10"/>
      <c r="S1415" s="10"/>
      <c r="T1415" s="10"/>
      <c r="U1415" s="11"/>
      <c r="V1415" s="11"/>
      <c r="W1415" s="317"/>
      <c r="X1415" s="126"/>
      <c r="Y1415" s="53"/>
      <c r="Z1415" s="3"/>
    </row>
    <row r="1416" spans="1:26" ht="15.75" thickBot="1">
      <c r="A1416" s="84" t="s">
        <v>1377</v>
      </c>
      <c r="B1416" s="85"/>
      <c r="C1416" s="85"/>
      <c r="D1416" s="85"/>
      <c r="E1416" s="86"/>
      <c r="F1416" s="86"/>
      <c r="G1416" s="87">
        <f>T1416</f>
        <v>33356.600000000006</v>
      </c>
      <c r="H1416" s="86"/>
      <c r="I1416" s="86"/>
      <c r="J1416" s="87"/>
      <c r="K1416" s="306"/>
      <c r="L1416" s="61"/>
      <c r="M1416" s="61"/>
      <c r="N1416" s="61"/>
      <c r="O1416" s="10"/>
      <c r="P1416" s="10"/>
      <c r="Q1416" s="13"/>
      <c r="R1416" s="10"/>
      <c r="S1416" s="27">
        <f>SUM(S4:S1412)</f>
        <v>983</v>
      </c>
      <c r="T1416" s="28">
        <f>SUM(T4:T1412)</f>
        <v>33356.600000000006</v>
      </c>
      <c r="U1416" s="11"/>
      <c r="V1416" s="11"/>
      <c r="W1416" s="317"/>
      <c r="X1416" s="126"/>
      <c r="Y1416" s="53"/>
      <c r="Z1416" s="3"/>
    </row>
    <row r="1417" spans="1:26" ht="15.75" thickBot="1">
      <c r="A1417" s="88" t="s">
        <v>1378</v>
      </c>
      <c r="B1417" s="89"/>
      <c r="C1417" s="89"/>
      <c r="D1417" s="89"/>
      <c r="E1417" s="89"/>
      <c r="F1417" s="89"/>
      <c r="G1417" s="90">
        <f>SUM(W1417)</f>
        <v>43800.500000000022</v>
      </c>
      <c r="H1417" s="89"/>
      <c r="I1417" s="89"/>
      <c r="J1417" s="90"/>
      <c r="K1417" s="307"/>
      <c r="L1417" s="12"/>
      <c r="M1417" s="12"/>
      <c r="N1417" s="12"/>
      <c r="O1417" s="11"/>
      <c r="P1417" s="11"/>
      <c r="Q1417" s="16"/>
      <c r="R1417" s="11"/>
      <c r="S1417" s="11"/>
      <c r="T1417" s="11"/>
      <c r="U1417" s="11"/>
      <c r="V1417" s="47">
        <f>SUM(V4:V1412)</f>
        <v>1298</v>
      </c>
      <c r="W1417" s="29">
        <f>SUM(W4:W1412)</f>
        <v>43800.500000000022</v>
      </c>
      <c r="X1417" s="126"/>
      <c r="Y1417" s="53"/>
      <c r="Z1417" s="3"/>
    </row>
    <row r="1418" spans="1:26" ht="15.75" thickBot="1">
      <c r="A1418" s="67" t="s">
        <v>508</v>
      </c>
      <c r="B1418" s="68"/>
      <c r="C1418" s="68"/>
      <c r="D1418" s="68"/>
      <c r="E1418" s="68"/>
      <c r="F1418" s="68"/>
      <c r="G1418" s="69">
        <v>666070.9</v>
      </c>
      <c r="H1418" s="68"/>
      <c r="I1418" s="68"/>
      <c r="J1418" s="69"/>
      <c r="K1418" s="308"/>
      <c r="L1418" s="5"/>
      <c r="M1418" s="5"/>
      <c r="N1418" s="5"/>
      <c r="O1418" s="4"/>
      <c r="P1418" s="4"/>
      <c r="Q1418" s="17"/>
      <c r="R1418" s="4"/>
      <c r="S1418" s="4"/>
      <c r="T1418" s="4"/>
      <c r="U1418" s="4"/>
      <c r="V1418" s="4"/>
      <c r="W1418" s="318"/>
      <c r="X1418" s="126"/>
      <c r="Y1418" s="53"/>
      <c r="Z1418" s="3"/>
    </row>
    <row r="1419" spans="1:26" ht="15.75" thickBot="1">
      <c r="A1419" s="106" t="s">
        <v>1594</v>
      </c>
      <c r="B1419" s="107"/>
      <c r="C1419" s="107"/>
      <c r="D1419" s="107"/>
      <c r="E1419" s="107"/>
      <c r="F1419" s="107"/>
      <c r="G1419" s="69">
        <f>K1078+K1103+K1127+K1139+K1168+K1197+K1220+K1251+K1259+K1278+K1308</f>
        <v>156213.09999999998</v>
      </c>
      <c r="H1419" s="68"/>
      <c r="I1419" s="68"/>
      <c r="J1419" s="69"/>
      <c r="K1419" s="308"/>
      <c r="L1419" s="5"/>
      <c r="M1419" s="5"/>
      <c r="N1419" s="5"/>
      <c r="O1419" s="4"/>
      <c r="P1419" s="4"/>
      <c r="Q1419" s="17"/>
      <c r="R1419" s="4"/>
      <c r="S1419" s="4"/>
      <c r="T1419" s="4"/>
      <c r="U1419" s="4"/>
      <c r="V1419" s="4"/>
      <c r="W1419" s="318"/>
      <c r="X1419" s="126"/>
      <c r="Y1419" s="53"/>
      <c r="Z1419" s="3"/>
    </row>
    <row r="1420" spans="1:26" ht="15.75" thickBot="1">
      <c r="A1420" s="67" t="s">
        <v>509</v>
      </c>
      <c r="B1420" s="68"/>
      <c r="C1420" s="68"/>
      <c r="D1420" s="68"/>
      <c r="E1420" s="68"/>
      <c r="F1420" s="68"/>
      <c r="G1420" s="91">
        <f>SUM(G1414:G1417)</f>
        <v>625930.19999999984</v>
      </c>
      <c r="H1420" s="68"/>
      <c r="I1420" s="68"/>
      <c r="J1420" s="69"/>
      <c r="K1420" s="309"/>
      <c r="L1420" s="14"/>
      <c r="M1420" s="14"/>
      <c r="N1420" s="14"/>
      <c r="O1420" s="4"/>
      <c r="P1420" s="4"/>
      <c r="Q1420" s="17"/>
      <c r="R1420" s="4"/>
      <c r="S1420" s="4"/>
      <c r="T1420" s="4"/>
      <c r="U1420" s="4"/>
      <c r="V1420" s="4"/>
      <c r="W1420" s="318"/>
      <c r="X1420" s="126"/>
      <c r="Y1420" s="53"/>
      <c r="Z1420" s="3"/>
    </row>
    <row r="1421" spans="1:26" ht="15.75" thickBot="1">
      <c r="A1421" s="67" t="s">
        <v>52</v>
      </c>
      <c r="B1421" s="68"/>
      <c r="C1421" s="68"/>
      <c r="D1421" s="68"/>
      <c r="E1421" s="68"/>
      <c r="F1421" s="68"/>
      <c r="G1421" s="69">
        <f>G1418+G1419-G1420</f>
        <v>196353.80000000016</v>
      </c>
      <c r="H1421" s="68"/>
      <c r="I1421" s="68"/>
      <c r="J1421" s="92"/>
      <c r="K1421" s="310"/>
      <c r="L1421" s="62"/>
      <c r="M1421" s="62"/>
      <c r="N1421" s="62"/>
      <c r="O1421" s="15"/>
      <c r="P1421" s="4"/>
      <c r="Q1421" s="17"/>
      <c r="R1421" s="6"/>
      <c r="S1421" s="6"/>
      <c r="T1421" s="6"/>
      <c r="U1421" s="4"/>
      <c r="V1421" s="4"/>
      <c r="W1421" s="318"/>
      <c r="X1421" s="127"/>
      <c r="Y1421" s="53"/>
      <c r="Z1421" s="3"/>
    </row>
    <row r="1422" spans="1:26">
      <c r="A1422" s="93"/>
      <c r="B1422" s="94"/>
      <c r="C1422" s="94"/>
      <c r="D1422" s="94"/>
      <c r="E1422" s="94"/>
      <c r="F1422" s="94"/>
      <c r="G1422" s="94"/>
      <c r="H1422" s="94"/>
      <c r="I1422" s="94"/>
      <c r="J1422" s="94"/>
      <c r="K1422" s="311"/>
      <c r="L1422" s="63"/>
      <c r="M1422" s="63"/>
      <c r="N1422" s="63"/>
      <c r="O1422" s="46"/>
      <c r="P1422" s="46"/>
      <c r="Q1422" s="119"/>
      <c r="R1422" s="45"/>
      <c r="S1422" s="45"/>
      <c r="T1422" s="45"/>
      <c r="U1422" s="46"/>
      <c r="V1422" s="46"/>
      <c r="W1422" s="319"/>
      <c r="X1422" s="128"/>
    </row>
    <row r="1423" spans="1:26">
      <c r="A1423" s="93"/>
      <c r="B1423" s="94"/>
      <c r="C1423" s="94"/>
      <c r="D1423" s="94"/>
      <c r="E1423" s="94"/>
      <c r="F1423" s="94"/>
      <c r="G1423" s="94"/>
      <c r="H1423" s="94"/>
      <c r="I1423" s="94"/>
      <c r="J1423" s="94"/>
      <c r="K1423" s="311"/>
      <c r="L1423" s="63"/>
      <c r="M1423" s="63"/>
      <c r="N1423" s="63"/>
      <c r="O1423" s="46"/>
      <c r="P1423" s="46"/>
      <c r="Q1423" s="119"/>
      <c r="R1423" s="45"/>
      <c r="S1423" s="45"/>
      <c r="T1423" s="45"/>
      <c r="U1423" s="46"/>
      <c r="V1423" s="46"/>
      <c r="W1423" s="319"/>
      <c r="X1423" s="128"/>
    </row>
    <row r="1424" spans="1:26">
      <c r="A1424" s="93"/>
      <c r="B1424" s="94"/>
      <c r="C1424" s="94"/>
      <c r="D1424" s="94"/>
      <c r="E1424" s="94"/>
      <c r="F1424" s="94"/>
      <c r="G1424" s="313">
        <f>G1413-G1421</f>
        <v>-8946.6000000007334</v>
      </c>
      <c r="H1424" s="94"/>
      <c r="I1424" s="94"/>
      <c r="J1424" s="94"/>
      <c r="K1424" s="311"/>
      <c r="L1424" s="63"/>
      <c r="M1424" s="63"/>
      <c r="N1424" s="63"/>
      <c r="O1424" s="46"/>
      <c r="P1424" s="46"/>
      <c r="Q1424" s="64"/>
      <c r="R1424" s="45"/>
      <c r="S1424" s="45"/>
      <c r="T1424" s="45"/>
      <c r="U1424" s="46"/>
      <c r="V1424" s="46"/>
      <c r="W1424" s="319"/>
      <c r="X1424" s="128"/>
    </row>
    <row r="1425" spans="1:24">
      <c r="A1425" s="93"/>
      <c r="B1425" s="94"/>
      <c r="C1425" s="94"/>
      <c r="D1425" s="94"/>
      <c r="E1425" s="94"/>
      <c r="F1425" s="94"/>
      <c r="G1425" s="94"/>
      <c r="H1425" s="94"/>
      <c r="I1425" s="94"/>
      <c r="J1425" s="94"/>
      <c r="K1425" s="311"/>
      <c r="L1425" s="63"/>
      <c r="M1425" s="63"/>
      <c r="N1425" s="63"/>
      <c r="O1425" s="46"/>
      <c r="P1425" s="46"/>
      <c r="Q1425" s="64"/>
      <c r="R1425" s="45"/>
      <c r="S1425" s="45"/>
      <c r="T1425" s="45"/>
      <c r="U1425" s="46"/>
      <c r="V1425" s="46"/>
      <c r="W1425" s="319"/>
      <c r="X1425" s="128"/>
    </row>
    <row r="1426" spans="1:24">
      <c r="A1426" s="93"/>
      <c r="B1426" s="94"/>
      <c r="C1426" s="94"/>
      <c r="D1426" s="94"/>
      <c r="E1426" s="94"/>
      <c r="F1426" s="94"/>
      <c r="G1426" s="94"/>
      <c r="H1426" s="94"/>
      <c r="I1426" s="94"/>
      <c r="J1426" s="94"/>
      <c r="K1426" s="311"/>
      <c r="L1426" s="63"/>
      <c r="M1426" s="63"/>
      <c r="N1426" s="63"/>
      <c r="O1426" s="46"/>
      <c r="P1426" s="46"/>
      <c r="Q1426" s="64"/>
      <c r="R1426" s="45"/>
      <c r="S1426" s="45"/>
      <c r="T1426" s="45"/>
      <c r="U1426" s="46"/>
      <c r="V1426" s="46"/>
      <c r="W1426" s="319"/>
      <c r="X1426" s="128"/>
    </row>
    <row r="1427" spans="1:24">
      <c r="A1427" s="93"/>
      <c r="B1427" s="94"/>
      <c r="C1427" s="94"/>
      <c r="D1427" s="94"/>
      <c r="E1427" s="94"/>
      <c r="F1427" s="94"/>
      <c r="G1427" s="94"/>
      <c r="H1427" s="94"/>
      <c r="I1427" s="94"/>
      <c r="J1427" s="94"/>
      <c r="K1427" s="311"/>
      <c r="L1427" s="63"/>
      <c r="M1427" s="63"/>
      <c r="N1427" s="63"/>
      <c r="O1427" s="46"/>
      <c r="P1427" s="46"/>
      <c r="Q1427" s="64"/>
      <c r="R1427" s="45"/>
      <c r="S1427" s="45"/>
      <c r="T1427" s="45"/>
      <c r="U1427" s="46"/>
      <c r="V1427" s="46"/>
      <c r="W1427" s="319"/>
      <c r="X1427" s="128"/>
    </row>
    <row r="1428" spans="1:24">
      <c r="A1428" s="93"/>
      <c r="B1428" s="94"/>
      <c r="C1428" s="94"/>
      <c r="D1428" s="94"/>
      <c r="E1428" s="94"/>
      <c r="F1428" s="94"/>
      <c r="G1428" s="94"/>
      <c r="H1428" s="94"/>
      <c r="I1428" s="94"/>
      <c r="J1428" s="94"/>
      <c r="K1428" s="311"/>
      <c r="L1428" s="63"/>
      <c r="M1428" s="63"/>
      <c r="N1428" s="63"/>
      <c r="O1428" s="46"/>
      <c r="P1428" s="46"/>
      <c r="Q1428" s="64"/>
      <c r="R1428" s="45"/>
      <c r="S1428" s="45"/>
      <c r="T1428" s="45"/>
      <c r="U1428" s="46"/>
      <c r="V1428" s="46"/>
      <c r="W1428" s="319"/>
      <c r="X1428" s="128"/>
    </row>
    <row r="1429" spans="1:24">
      <c r="A1429" s="93"/>
      <c r="B1429" s="94"/>
      <c r="C1429" s="94"/>
      <c r="D1429" s="94"/>
      <c r="E1429" s="94"/>
      <c r="F1429" s="94"/>
      <c r="G1429" s="94"/>
      <c r="H1429" s="94"/>
      <c r="I1429" s="94"/>
      <c r="J1429" s="94"/>
      <c r="K1429" s="311"/>
      <c r="L1429" s="63"/>
      <c r="M1429" s="63"/>
      <c r="N1429" s="63"/>
      <c r="O1429" s="46"/>
      <c r="P1429" s="46"/>
      <c r="Q1429" s="64"/>
      <c r="R1429" s="45"/>
      <c r="S1429" s="45"/>
      <c r="T1429" s="45"/>
      <c r="U1429" s="46"/>
      <c r="V1429" s="46"/>
      <c r="W1429" s="319"/>
      <c r="X1429" s="128"/>
    </row>
    <row r="1430" spans="1:24">
      <c r="A1430" s="93"/>
      <c r="B1430" s="94"/>
      <c r="C1430" s="94"/>
      <c r="D1430" s="94"/>
      <c r="E1430" s="94"/>
      <c r="F1430" s="94"/>
      <c r="G1430" s="94"/>
      <c r="H1430" s="94"/>
      <c r="I1430" s="94"/>
      <c r="J1430" s="94"/>
      <c r="K1430" s="311"/>
      <c r="L1430" s="63"/>
      <c r="M1430" s="63"/>
      <c r="N1430" s="63"/>
      <c r="O1430" s="46"/>
      <c r="P1430" s="46"/>
      <c r="Q1430" s="64"/>
      <c r="R1430" s="45"/>
      <c r="S1430" s="45"/>
      <c r="T1430" s="45"/>
      <c r="U1430" s="46"/>
      <c r="V1430" s="46"/>
      <c r="W1430" s="319"/>
      <c r="X1430" s="128"/>
    </row>
    <row r="1431" spans="1:24">
      <c r="A1431" s="93"/>
      <c r="B1431" s="94"/>
      <c r="C1431" s="94"/>
      <c r="D1431" s="94"/>
      <c r="E1431" s="94"/>
      <c r="F1431" s="94"/>
      <c r="G1431" s="94"/>
      <c r="H1431" s="94"/>
      <c r="I1431" s="94"/>
      <c r="J1431" s="94"/>
      <c r="K1431" s="311"/>
      <c r="L1431" s="63"/>
      <c r="M1431" s="63"/>
      <c r="N1431" s="63"/>
      <c r="O1431" s="46"/>
      <c r="P1431" s="46"/>
      <c r="Q1431" s="64"/>
      <c r="R1431" s="45"/>
      <c r="S1431" s="45"/>
      <c r="T1431" s="45"/>
      <c r="U1431" s="46"/>
      <c r="V1431" s="46"/>
      <c r="W1431" s="319"/>
      <c r="X1431" s="128"/>
    </row>
    <row r="1432" spans="1:24">
      <c r="A1432" s="93"/>
      <c r="B1432" s="94"/>
      <c r="C1432" s="94"/>
      <c r="D1432" s="94"/>
      <c r="E1432" s="94"/>
      <c r="F1432" s="94"/>
      <c r="G1432" s="94"/>
      <c r="H1432" s="94"/>
      <c r="I1432" s="94"/>
      <c r="J1432" s="94"/>
      <c r="K1432" s="311"/>
      <c r="L1432" s="63"/>
      <c r="M1432" s="63"/>
      <c r="N1432" s="63"/>
      <c r="O1432" s="46"/>
      <c r="P1432" s="46"/>
      <c r="Q1432" s="64"/>
      <c r="R1432" s="45"/>
      <c r="S1432" s="45"/>
      <c r="T1432" s="45"/>
      <c r="U1432" s="46"/>
      <c r="V1432" s="46"/>
      <c r="W1432" s="319"/>
      <c r="X1432" s="128"/>
    </row>
    <row r="1433" spans="1:24">
      <c r="A1433" s="93"/>
      <c r="B1433" s="94"/>
      <c r="C1433" s="94"/>
      <c r="D1433" s="94"/>
      <c r="E1433" s="94"/>
      <c r="F1433" s="94"/>
      <c r="G1433" s="94"/>
      <c r="H1433" s="94"/>
      <c r="I1433" s="94"/>
      <c r="J1433" s="94"/>
      <c r="K1433" s="311"/>
      <c r="L1433" s="63"/>
      <c r="M1433" s="63"/>
      <c r="N1433" s="63"/>
      <c r="O1433" s="46"/>
      <c r="P1433" s="46"/>
      <c r="Q1433" s="64"/>
      <c r="R1433" s="45"/>
      <c r="S1433" s="45"/>
      <c r="T1433" s="45"/>
      <c r="U1433" s="46"/>
      <c r="V1433" s="46"/>
      <c r="W1433" s="319"/>
      <c r="X1433" s="128"/>
    </row>
    <row r="1434" spans="1:24">
      <c r="A1434" s="93"/>
      <c r="B1434" s="94"/>
      <c r="C1434" s="94"/>
      <c r="D1434" s="94"/>
      <c r="E1434" s="94"/>
      <c r="F1434" s="94"/>
      <c r="G1434" s="94"/>
      <c r="H1434" s="94"/>
      <c r="I1434" s="94"/>
      <c r="J1434" s="94"/>
      <c r="K1434" s="311"/>
      <c r="L1434" s="63"/>
      <c r="M1434" s="63"/>
      <c r="N1434" s="63"/>
      <c r="O1434" s="46"/>
      <c r="P1434" s="46"/>
      <c r="Q1434" s="64"/>
      <c r="R1434" s="45"/>
      <c r="S1434" s="45"/>
      <c r="T1434" s="45"/>
      <c r="U1434" s="46"/>
      <c r="V1434" s="46"/>
      <c r="W1434" s="319"/>
      <c r="X1434" s="128"/>
    </row>
    <row r="1435" spans="1:24">
      <c r="A1435" s="93"/>
      <c r="B1435" s="94"/>
      <c r="C1435" s="94"/>
      <c r="D1435" s="94"/>
      <c r="E1435" s="94"/>
      <c r="F1435" s="94"/>
      <c r="G1435" s="94"/>
      <c r="H1435" s="94"/>
      <c r="I1435" s="94"/>
      <c r="J1435" s="94"/>
      <c r="K1435" s="311"/>
      <c r="L1435" s="63"/>
      <c r="M1435" s="63"/>
      <c r="N1435" s="63"/>
      <c r="O1435" s="46"/>
      <c r="P1435" s="46"/>
      <c r="Q1435" s="64"/>
      <c r="R1435" s="45"/>
      <c r="S1435" s="45"/>
      <c r="T1435" s="45"/>
      <c r="U1435" s="46"/>
      <c r="V1435" s="46"/>
      <c r="W1435" s="319"/>
      <c r="X1435" s="128"/>
    </row>
    <row r="1436" spans="1:24">
      <c r="A1436" s="93"/>
      <c r="B1436" s="94"/>
      <c r="C1436" s="94"/>
      <c r="D1436" s="94"/>
      <c r="E1436" s="94"/>
      <c r="F1436" s="94"/>
      <c r="G1436" s="94"/>
      <c r="H1436" s="94"/>
      <c r="I1436" s="94"/>
      <c r="J1436" s="94"/>
      <c r="K1436" s="311"/>
      <c r="L1436" s="63"/>
      <c r="M1436" s="63"/>
      <c r="N1436" s="63"/>
      <c r="O1436" s="46"/>
      <c r="P1436" s="46"/>
      <c r="Q1436" s="64"/>
      <c r="R1436" s="45"/>
      <c r="S1436" s="45"/>
      <c r="T1436" s="45"/>
      <c r="U1436" s="46"/>
      <c r="V1436" s="46"/>
      <c r="W1436" s="319"/>
      <c r="X1436" s="128"/>
    </row>
    <row r="1437" spans="1:24">
      <c r="A1437" s="93"/>
      <c r="B1437" s="94"/>
      <c r="C1437" s="94"/>
      <c r="D1437" s="94"/>
      <c r="E1437" s="94"/>
      <c r="F1437" s="94"/>
      <c r="G1437" s="94"/>
      <c r="H1437" s="94"/>
      <c r="I1437" s="94"/>
      <c r="J1437" s="94"/>
      <c r="K1437" s="311"/>
      <c r="L1437" s="63"/>
      <c r="M1437" s="63"/>
      <c r="N1437" s="63"/>
      <c r="O1437" s="46"/>
      <c r="P1437" s="46"/>
      <c r="Q1437" s="64"/>
      <c r="R1437" s="45"/>
      <c r="S1437" s="45"/>
      <c r="T1437" s="45"/>
      <c r="U1437" s="46"/>
      <c r="V1437" s="46"/>
      <c r="W1437" s="319"/>
      <c r="X1437" s="128"/>
    </row>
    <row r="1438" spans="1:24">
      <c r="A1438" s="93"/>
      <c r="B1438" s="94"/>
      <c r="C1438" s="94"/>
      <c r="D1438" s="94"/>
      <c r="E1438" s="94"/>
      <c r="F1438" s="94"/>
      <c r="G1438" s="94"/>
      <c r="H1438" s="94"/>
      <c r="I1438" s="94"/>
      <c r="J1438" s="94"/>
      <c r="K1438" s="311"/>
      <c r="L1438" s="63"/>
      <c r="M1438" s="63"/>
      <c r="N1438" s="63"/>
      <c r="O1438" s="46"/>
      <c r="P1438" s="46"/>
      <c r="Q1438" s="64"/>
      <c r="R1438" s="45"/>
      <c r="S1438" s="45"/>
      <c r="T1438" s="45"/>
      <c r="U1438" s="46"/>
      <c r="V1438" s="46"/>
      <c r="W1438" s="319"/>
      <c r="X1438" s="128"/>
    </row>
    <row r="1439" spans="1:24">
      <c r="A1439" s="93"/>
      <c r="B1439" s="94"/>
      <c r="C1439" s="94"/>
      <c r="D1439" s="94"/>
      <c r="E1439" s="94"/>
      <c r="F1439" s="94"/>
      <c r="G1439" s="94"/>
      <c r="H1439" s="94"/>
      <c r="I1439" s="94"/>
      <c r="J1439" s="94"/>
      <c r="K1439" s="311"/>
      <c r="L1439" s="63"/>
      <c r="M1439" s="63"/>
      <c r="N1439" s="63"/>
      <c r="O1439" s="46"/>
      <c r="P1439" s="46"/>
      <c r="Q1439" s="64"/>
      <c r="R1439" s="45"/>
      <c r="S1439" s="45"/>
      <c r="T1439" s="45"/>
      <c r="U1439" s="46"/>
      <c r="V1439" s="46"/>
      <c r="W1439" s="319"/>
      <c r="X1439" s="128"/>
    </row>
    <row r="1440" spans="1:24">
      <c r="A1440" s="93"/>
      <c r="B1440" s="94"/>
      <c r="C1440" s="94"/>
      <c r="D1440" s="94"/>
      <c r="E1440" s="94"/>
      <c r="F1440" s="94"/>
      <c r="G1440" s="94"/>
      <c r="H1440" s="94"/>
      <c r="I1440" s="94"/>
      <c r="J1440" s="94"/>
      <c r="K1440" s="311"/>
      <c r="L1440" s="63"/>
      <c r="M1440" s="63"/>
      <c r="N1440" s="63"/>
      <c r="O1440" s="46"/>
      <c r="P1440" s="46"/>
      <c r="Q1440" s="64"/>
      <c r="R1440" s="45"/>
      <c r="S1440" s="45"/>
      <c r="T1440" s="45"/>
      <c r="U1440" s="46"/>
      <c r="V1440" s="46"/>
      <c r="W1440" s="319"/>
      <c r="X1440" s="128"/>
    </row>
    <row r="1441" spans="1:24">
      <c r="A1441" s="93"/>
      <c r="B1441" s="94"/>
      <c r="C1441" s="94"/>
      <c r="D1441" s="94"/>
      <c r="E1441" s="94"/>
      <c r="F1441" s="94"/>
      <c r="G1441" s="94"/>
      <c r="H1441" s="94"/>
      <c r="I1441" s="94"/>
      <c r="J1441" s="94"/>
      <c r="K1441" s="311"/>
      <c r="L1441" s="63"/>
      <c r="M1441" s="63"/>
      <c r="N1441" s="63"/>
      <c r="O1441" s="46"/>
      <c r="P1441" s="46"/>
      <c r="Q1441" s="64"/>
      <c r="R1441" s="45"/>
      <c r="S1441" s="45"/>
      <c r="T1441" s="45"/>
      <c r="U1441" s="46"/>
      <c r="V1441" s="46"/>
      <c r="W1441" s="319"/>
      <c r="X1441" s="128"/>
    </row>
    <row r="1442" spans="1:24">
      <c r="A1442" s="93"/>
      <c r="B1442" s="94"/>
      <c r="C1442" s="94"/>
      <c r="D1442" s="94"/>
      <c r="E1442" s="94"/>
      <c r="F1442" s="94"/>
      <c r="G1442" s="94"/>
      <c r="H1442" s="94"/>
      <c r="I1442" s="94"/>
      <c r="J1442" s="94"/>
      <c r="K1442" s="311"/>
      <c r="L1442" s="63"/>
      <c r="M1442" s="63"/>
      <c r="N1442" s="63"/>
      <c r="O1442" s="46"/>
      <c r="P1442" s="46"/>
      <c r="Q1442" s="64"/>
      <c r="R1442" s="45"/>
      <c r="S1442" s="45"/>
      <c r="T1442" s="45"/>
      <c r="U1442" s="46"/>
      <c r="V1442" s="46"/>
      <c r="W1442" s="319"/>
      <c r="X1442" s="128"/>
    </row>
    <row r="1443" spans="1:24">
      <c r="A1443" s="93"/>
      <c r="B1443" s="94"/>
      <c r="C1443" s="94"/>
      <c r="D1443" s="94"/>
      <c r="E1443" s="94"/>
      <c r="F1443" s="94"/>
      <c r="G1443" s="94"/>
      <c r="H1443" s="94"/>
      <c r="I1443" s="94"/>
      <c r="J1443" s="94"/>
      <c r="K1443" s="311"/>
      <c r="L1443" s="63"/>
      <c r="M1443" s="63"/>
      <c r="N1443" s="63"/>
      <c r="O1443" s="46"/>
      <c r="P1443" s="46"/>
      <c r="Q1443" s="64"/>
      <c r="R1443" s="45"/>
      <c r="S1443" s="45"/>
      <c r="T1443" s="45"/>
      <c r="U1443" s="46"/>
      <c r="V1443" s="46"/>
      <c r="W1443" s="319"/>
      <c r="X1443" s="128"/>
    </row>
    <row r="1444" spans="1:24">
      <c r="A1444" s="93"/>
      <c r="B1444" s="94"/>
      <c r="C1444" s="94"/>
      <c r="D1444" s="94"/>
      <c r="E1444" s="94"/>
      <c r="F1444" s="94"/>
      <c r="G1444" s="94"/>
      <c r="H1444" s="94"/>
      <c r="I1444" s="94"/>
      <c r="J1444" s="94"/>
      <c r="K1444" s="311"/>
      <c r="L1444" s="63"/>
      <c r="M1444" s="63"/>
      <c r="N1444" s="63"/>
      <c r="O1444" s="46"/>
      <c r="P1444" s="46"/>
      <c r="Q1444" s="64"/>
      <c r="R1444" s="45"/>
      <c r="S1444" s="45"/>
      <c r="T1444" s="45"/>
      <c r="U1444" s="46"/>
      <c r="V1444" s="46"/>
      <c r="W1444" s="319"/>
      <c r="X1444" s="128"/>
    </row>
    <row r="1445" spans="1:24">
      <c r="A1445" s="93"/>
      <c r="B1445" s="94"/>
      <c r="C1445" s="94"/>
      <c r="D1445" s="94"/>
      <c r="E1445" s="94"/>
      <c r="F1445" s="94"/>
      <c r="G1445" s="94"/>
      <c r="H1445" s="94"/>
      <c r="I1445" s="94"/>
      <c r="J1445" s="94"/>
      <c r="K1445" s="311"/>
      <c r="L1445" s="63"/>
      <c r="M1445" s="63"/>
      <c r="N1445" s="63"/>
      <c r="O1445" s="46"/>
      <c r="P1445" s="46"/>
      <c r="Q1445" s="64"/>
      <c r="R1445" s="45"/>
      <c r="S1445" s="45"/>
      <c r="T1445" s="45"/>
      <c r="U1445" s="46"/>
      <c r="V1445" s="46"/>
      <c r="W1445" s="319"/>
      <c r="X1445" s="128"/>
    </row>
    <row r="1446" spans="1:24">
      <c r="A1446" s="93"/>
      <c r="B1446" s="94"/>
      <c r="C1446" s="94"/>
      <c r="D1446" s="94"/>
      <c r="E1446" s="94"/>
      <c r="F1446" s="94"/>
      <c r="G1446" s="94"/>
      <c r="H1446" s="94"/>
      <c r="I1446" s="94"/>
      <c r="J1446" s="94"/>
      <c r="K1446" s="311"/>
      <c r="L1446" s="63"/>
      <c r="M1446" s="63"/>
      <c r="N1446" s="63"/>
      <c r="O1446" s="46"/>
      <c r="P1446" s="46"/>
      <c r="Q1446" s="64"/>
      <c r="R1446" s="45"/>
      <c r="S1446" s="45"/>
      <c r="T1446" s="45"/>
      <c r="U1446" s="46"/>
      <c r="V1446" s="46"/>
      <c r="W1446" s="319"/>
      <c r="X1446" s="128"/>
    </row>
    <row r="1447" spans="1:24">
      <c r="A1447" s="93"/>
      <c r="B1447" s="94"/>
      <c r="C1447" s="94"/>
      <c r="D1447" s="94"/>
      <c r="E1447" s="94"/>
      <c r="F1447" s="94"/>
      <c r="G1447" s="94"/>
      <c r="H1447" s="94"/>
      <c r="I1447" s="94"/>
      <c r="J1447" s="94"/>
      <c r="K1447" s="311"/>
      <c r="L1447" s="63"/>
      <c r="M1447" s="63"/>
      <c r="N1447" s="63"/>
      <c r="O1447" s="46"/>
      <c r="P1447" s="46"/>
      <c r="Q1447" s="64"/>
      <c r="R1447" s="45"/>
      <c r="S1447" s="45"/>
      <c r="T1447" s="45"/>
      <c r="U1447" s="46"/>
      <c r="V1447" s="46"/>
      <c r="W1447" s="319"/>
      <c r="X1447" s="128"/>
    </row>
    <row r="1448" spans="1:24">
      <c r="A1448" s="93"/>
      <c r="B1448" s="94"/>
      <c r="C1448" s="94"/>
      <c r="D1448" s="94"/>
      <c r="E1448" s="94"/>
      <c r="F1448" s="94"/>
      <c r="G1448" s="94"/>
      <c r="H1448" s="94"/>
      <c r="I1448" s="94"/>
      <c r="J1448" s="94"/>
      <c r="K1448" s="311"/>
      <c r="L1448" s="63"/>
      <c r="M1448" s="63"/>
      <c r="N1448" s="63"/>
      <c r="O1448" s="46"/>
      <c r="P1448" s="46"/>
      <c r="Q1448" s="64"/>
      <c r="R1448" s="45"/>
      <c r="S1448" s="45"/>
      <c r="T1448" s="45"/>
      <c r="U1448" s="46"/>
      <c r="V1448" s="46"/>
      <c r="W1448" s="319"/>
      <c r="X1448" s="128"/>
    </row>
    <row r="1449" spans="1:24">
      <c r="A1449" s="93"/>
      <c r="B1449" s="94"/>
      <c r="C1449" s="94"/>
      <c r="D1449" s="94"/>
      <c r="E1449" s="94"/>
      <c r="F1449" s="94"/>
      <c r="G1449" s="94"/>
      <c r="H1449" s="94"/>
      <c r="I1449" s="94"/>
      <c r="J1449" s="94"/>
      <c r="K1449" s="311"/>
      <c r="L1449" s="63"/>
      <c r="M1449" s="63"/>
      <c r="N1449" s="63"/>
      <c r="O1449" s="46"/>
      <c r="P1449" s="46"/>
      <c r="Q1449" s="64"/>
      <c r="R1449" s="45"/>
      <c r="S1449" s="45"/>
      <c r="T1449" s="45"/>
      <c r="U1449" s="46"/>
      <c r="V1449" s="46"/>
      <c r="W1449" s="319"/>
      <c r="X1449" s="128"/>
    </row>
    <row r="1450" spans="1:24">
      <c r="A1450" s="93"/>
      <c r="B1450" s="94"/>
      <c r="C1450" s="94"/>
      <c r="D1450" s="94"/>
      <c r="E1450" s="94"/>
      <c r="F1450" s="94"/>
      <c r="G1450" s="94"/>
      <c r="H1450" s="94"/>
      <c r="I1450" s="94"/>
      <c r="J1450" s="94"/>
      <c r="K1450" s="311"/>
      <c r="L1450" s="63"/>
      <c r="M1450" s="63"/>
      <c r="N1450" s="63"/>
      <c r="O1450" s="46"/>
      <c r="P1450" s="46"/>
      <c r="Q1450" s="64"/>
      <c r="R1450" s="45"/>
      <c r="S1450" s="45"/>
      <c r="T1450" s="45"/>
      <c r="U1450" s="46"/>
      <c r="V1450" s="46"/>
      <c r="W1450" s="319"/>
      <c r="X1450" s="128"/>
    </row>
    <row r="1451" spans="1:24">
      <c r="A1451" s="93"/>
      <c r="B1451" s="94"/>
      <c r="C1451" s="94"/>
      <c r="D1451" s="94"/>
      <c r="E1451" s="94"/>
      <c r="F1451" s="94"/>
      <c r="G1451" s="94"/>
      <c r="H1451" s="94"/>
      <c r="I1451" s="94"/>
      <c r="J1451" s="94"/>
      <c r="K1451" s="311"/>
      <c r="L1451" s="63"/>
      <c r="M1451" s="63"/>
      <c r="N1451" s="63"/>
      <c r="O1451" s="46"/>
      <c r="P1451" s="46"/>
      <c r="Q1451" s="64"/>
      <c r="R1451" s="45"/>
      <c r="S1451" s="45"/>
      <c r="T1451" s="45"/>
      <c r="U1451" s="46"/>
      <c r="V1451" s="46"/>
      <c r="W1451" s="319"/>
      <c r="X1451" s="128"/>
    </row>
    <row r="1452" spans="1:24">
      <c r="A1452" s="93"/>
      <c r="B1452" s="94"/>
      <c r="C1452" s="94"/>
      <c r="D1452" s="94"/>
      <c r="E1452" s="94"/>
      <c r="F1452" s="94"/>
      <c r="G1452" s="94"/>
      <c r="H1452" s="94"/>
      <c r="I1452" s="94"/>
      <c r="J1452" s="94"/>
      <c r="K1452" s="311"/>
      <c r="L1452" s="63"/>
      <c r="M1452" s="63"/>
      <c r="N1452" s="63"/>
      <c r="O1452" s="46"/>
      <c r="P1452" s="46"/>
      <c r="Q1452" s="64"/>
      <c r="R1452" s="45"/>
      <c r="S1452" s="45"/>
      <c r="T1452" s="45"/>
      <c r="U1452" s="46"/>
      <c r="V1452" s="46"/>
      <c r="W1452" s="319"/>
      <c r="X1452" s="128"/>
    </row>
    <row r="1453" spans="1:24">
      <c r="A1453" s="93"/>
      <c r="B1453" s="94"/>
      <c r="C1453" s="94"/>
      <c r="D1453" s="94"/>
      <c r="E1453" s="94"/>
      <c r="F1453" s="94"/>
      <c r="G1453" s="94"/>
      <c r="H1453" s="94"/>
      <c r="I1453" s="94"/>
      <c r="J1453" s="94"/>
      <c r="K1453" s="311"/>
      <c r="L1453" s="63"/>
      <c r="M1453" s="63"/>
      <c r="N1453" s="63"/>
      <c r="O1453" s="46"/>
      <c r="P1453" s="46"/>
      <c r="Q1453" s="64"/>
      <c r="R1453" s="45"/>
      <c r="S1453" s="45"/>
      <c r="T1453" s="45"/>
      <c r="U1453" s="46"/>
      <c r="V1453" s="46"/>
      <c r="W1453" s="319"/>
      <c r="X1453" s="128"/>
    </row>
    <row r="1454" spans="1:24">
      <c r="A1454" s="93"/>
      <c r="B1454" s="94"/>
      <c r="C1454" s="94"/>
      <c r="D1454" s="94"/>
      <c r="E1454" s="94"/>
      <c r="F1454" s="94"/>
      <c r="G1454" s="94"/>
      <c r="H1454" s="94"/>
      <c r="I1454" s="94"/>
      <c r="J1454" s="94"/>
      <c r="K1454" s="311"/>
      <c r="L1454" s="63"/>
      <c r="M1454" s="63"/>
      <c r="N1454" s="63"/>
      <c r="O1454" s="46"/>
      <c r="P1454" s="46"/>
      <c r="Q1454" s="64"/>
      <c r="R1454" s="45"/>
      <c r="S1454" s="45"/>
      <c r="T1454" s="45"/>
      <c r="U1454" s="46"/>
      <c r="V1454" s="46"/>
      <c r="W1454" s="319"/>
      <c r="X1454" s="128"/>
    </row>
    <row r="1455" spans="1:24">
      <c r="A1455" s="93"/>
      <c r="B1455" s="94"/>
      <c r="C1455" s="94"/>
      <c r="D1455" s="94"/>
      <c r="E1455" s="94"/>
      <c r="F1455" s="94"/>
      <c r="G1455" s="94"/>
      <c r="H1455" s="94"/>
      <c r="I1455" s="94"/>
      <c r="J1455" s="94"/>
      <c r="K1455" s="311"/>
      <c r="L1455" s="63"/>
      <c r="M1455" s="63"/>
      <c r="N1455" s="63"/>
      <c r="O1455" s="46"/>
      <c r="P1455" s="46"/>
      <c r="Q1455" s="64"/>
      <c r="R1455" s="45"/>
      <c r="S1455" s="45"/>
      <c r="T1455" s="45"/>
      <c r="U1455" s="46"/>
      <c r="V1455" s="46"/>
      <c r="W1455" s="319"/>
      <c r="X1455" s="128"/>
    </row>
    <row r="1456" spans="1:24">
      <c r="A1456" s="93"/>
      <c r="B1456" s="94"/>
      <c r="C1456" s="94"/>
      <c r="D1456" s="94"/>
      <c r="E1456" s="94"/>
      <c r="F1456" s="94"/>
      <c r="G1456" s="94"/>
      <c r="H1456" s="94"/>
      <c r="I1456" s="94"/>
      <c r="J1456" s="94"/>
      <c r="K1456" s="311"/>
      <c r="L1456" s="63"/>
      <c r="M1456" s="63"/>
      <c r="N1456" s="63"/>
      <c r="O1456" s="46"/>
      <c r="P1456" s="46"/>
      <c r="Q1456" s="64"/>
      <c r="R1456" s="45"/>
      <c r="S1456" s="45"/>
      <c r="T1456" s="45"/>
      <c r="U1456" s="46"/>
      <c r="V1456" s="46"/>
      <c r="W1456" s="319"/>
      <c r="X1456" s="128"/>
    </row>
    <row r="1457" spans="1:24">
      <c r="A1457" s="93"/>
      <c r="B1457" s="94"/>
      <c r="C1457" s="94"/>
      <c r="D1457" s="94"/>
      <c r="E1457" s="94"/>
      <c r="F1457" s="94"/>
      <c r="G1457" s="94"/>
      <c r="H1457" s="94"/>
      <c r="I1457" s="94"/>
      <c r="J1457" s="94"/>
      <c r="K1457" s="311"/>
      <c r="L1457" s="63"/>
      <c r="M1457" s="63"/>
      <c r="N1457" s="63"/>
      <c r="O1457" s="46"/>
      <c r="P1457" s="46"/>
      <c r="Q1457" s="64"/>
      <c r="R1457" s="45"/>
      <c r="S1457" s="45"/>
      <c r="T1457" s="45"/>
      <c r="U1457" s="46"/>
      <c r="V1457" s="46"/>
      <c r="W1457" s="319"/>
      <c r="X1457" s="128"/>
    </row>
    <row r="1458" spans="1:24">
      <c r="A1458" s="93"/>
      <c r="B1458" s="94"/>
      <c r="C1458" s="94"/>
      <c r="D1458" s="94"/>
      <c r="E1458" s="94"/>
      <c r="F1458" s="94"/>
      <c r="G1458" s="94"/>
      <c r="H1458" s="94"/>
      <c r="I1458" s="94"/>
      <c r="J1458" s="94"/>
      <c r="K1458" s="311"/>
      <c r="L1458" s="63"/>
      <c r="M1458" s="63"/>
      <c r="N1458" s="63"/>
      <c r="O1458" s="46"/>
      <c r="P1458" s="46"/>
      <c r="Q1458" s="64"/>
      <c r="R1458" s="45"/>
      <c r="S1458" s="45"/>
      <c r="T1458" s="45"/>
      <c r="U1458" s="46"/>
      <c r="V1458" s="46"/>
      <c r="W1458" s="319"/>
      <c r="X1458" s="128"/>
    </row>
    <row r="1459" spans="1:24">
      <c r="A1459" s="93"/>
      <c r="B1459" s="94"/>
      <c r="C1459" s="94"/>
      <c r="D1459" s="94"/>
      <c r="E1459" s="94"/>
      <c r="F1459" s="94"/>
      <c r="G1459" s="94"/>
      <c r="H1459" s="94"/>
      <c r="I1459" s="94"/>
      <c r="J1459" s="94"/>
      <c r="K1459" s="311"/>
      <c r="L1459" s="63"/>
      <c r="M1459" s="63"/>
      <c r="N1459" s="63"/>
      <c r="O1459" s="46"/>
      <c r="P1459" s="46"/>
      <c r="Q1459" s="64"/>
      <c r="R1459" s="45"/>
      <c r="S1459" s="45"/>
      <c r="T1459" s="45"/>
      <c r="U1459" s="46"/>
      <c r="V1459" s="46"/>
      <c r="W1459" s="319"/>
      <c r="X1459" s="128"/>
    </row>
    <row r="1460" spans="1:24">
      <c r="A1460" s="93"/>
      <c r="B1460" s="94"/>
      <c r="C1460" s="94"/>
      <c r="D1460" s="94"/>
      <c r="E1460" s="94"/>
      <c r="F1460" s="94"/>
      <c r="G1460" s="94"/>
      <c r="H1460" s="94"/>
      <c r="I1460" s="94"/>
      <c r="J1460" s="94"/>
      <c r="K1460" s="311"/>
      <c r="L1460" s="63"/>
      <c r="M1460" s="63"/>
      <c r="N1460" s="63"/>
      <c r="O1460" s="46"/>
      <c r="P1460" s="46"/>
      <c r="Q1460" s="64"/>
      <c r="R1460" s="45"/>
      <c r="S1460" s="45"/>
      <c r="T1460" s="45"/>
      <c r="U1460" s="46"/>
      <c r="V1460" s="46"/>
      <c r="W1460" s="319"/>
      <c r="X1460" s="128"/>
    </row>
    <row r="1461" spans="1:24">
      <c r="A1461" s="93"/>
      <c r="B1461" s="94"/>
      <c r="C1461" s="94"/>
      <c r="D1461" s="94"/>
      <c r="E1461" s="94"/>
      <c r="F1461" s="94"/>
      <c r="G1461" s="94"/>
      <c r="H1461" s="94"/>
      <c r="I1461" s="94"/>
      <c r="J1461" s="94"/>
      <c r="K1461" s="311"/>
      <c r="L1461" s="63"/>
      <c r="M1461" s="63"/>
      <c r="N1461" s="63"/>
      <c r="O1461" s="46"/>
      <c r="P1461" s="46"/>
      <c r="Q1461" s="64"/>
      <c r="R1461" s="45"/>
      <c r="S1461" s="45"/>
      <c r="T1461" s="45"/>
      <c r="U1461" s="46"/>
      <c r="V1461" s="46"/>
      <c r="W1461" s="319"/>
      <c r="X1461" s="128"/>
    </row>
    <row r="1462" spans="1:24">
      <c r="A1462" s="93"/>
      <c r="B1462" s="94"/>
      <c r="C1462" s="94"/>
      <c r="D1462" s="94"/>
      <c r="E1462" s="94"/>
      <c r="F1462" s="94"/>
      <c r="G1462" s="94"/>
      <c r="H1462" s="94"/>
      <c r="I1462" s="94"/>
      <c r="J1462" s="94"/>
      <c r="K1462" s="311"/>
      <c r="L1462" s="63"/>
      <c r="M1462" s="63"/>
      <c r="N1462" s="63"/>
      <c r="O1462" s="46"/>
      <c r="P1462" s="46"/>
      <c r="Q1462" s="64"/>
      <c r="R1462" s="45"/>
      <c r="S1462" s="45"/>
      <c r="T1462" s="45"/>
      <c r="U1462" s="46"/>
      <c r="V1462" s="46"/>
      <c r="W1462" s="319"/>
      <c r="X1462" s="128"/>
    </row>
    <row r="1463" spans="1:24">
      <c r="A1463" s="93"/>
      <c r="B1463" s="94"/>
      <c r="C1463" s="94"/>
      <c r="D1463" s="94"/>
      <c r="E1463" s="94"/>
      <c r="F1463" s="94"/>
      <c r="G1463" s="94"/>
      <c r="H1463" s="94"/>
      <c r="I1463" s="94"/>
      <c r="J1463" s="94"/>
      <c r="K1463" s="311"/>
      <c r="L1463" s="63"/>
      <c r="M1463" s="63"/>
      <c r="N1463" s="63"/>
      <c r="O1463" s="46"/>
      <c r="P1463" s="46"/>
      <c r="Q1463" s="64"/>
      <c r="R1463" s="45"/>
      <c r="S1463" s="45"/>
      <c r="T1463" s="45"/>
      <c r="U1463" s="46"/>
      <c r="V1463" s="46"/>
      <c r="W1463" s="319"/>
      <c r="X1463" s="128"/>
    </row>
    <row r="1464" spans="1:24">
      <c r="A1464" s="93"/>
      <c r="B1464" s="94"/>
      <c r="C1464" s="94"/>
      <c r="D1464" s="94"/>
      <c r="E1464" s="94"/>
      <c r="F1464" s="94"/>
      <c r="G1464" s="94"/>
      <c r="H1464" s="94"/>
      <c r="I1464" s="94"/>
      <c r="J1464" s="94"/>
      <c r="K1464" s="311"/>
      <c r="L1464" s="63"/>
      <c r="M1464" s="63"/>
      <c r="N1464" s="63"/>
      <c r="O1464" s="46"/>
      <c r="P1464" s="46"/>
      <c r="Q1464" s="64"/>
      <c r="R1464" s="45"/>
      <c r="S1464" s="45"/>
      <c r="T1464" s="45"/>
      <c r="U1464" s="46"/>
      <c r="V1464" s="46"/>
      <c r="W1464" s="319"/>
      <c r="X1464" s="128"/>
    </row>
    <row r="1465" spans="1:24">
      <c r="A1465" s="93"/>
      <c r="B1465" s="94"/>
      <c r="C1465" s="94"/>
      <c r="D1465" s="94"/>
      <c r="E1465" s="94"/>
      <c r="F1465" s="94"/>
      <c r="G1465" s="94"/>
      <c r="H1465" s="94"/>
      <c r="I1465" s="94"/>
      <c r="J1465" s="94"/>
      <c r="K1465" s="311"/>
      <c r="L1465" s="63"/>
      <c r="M1465" s="63"/>
      <c r="N1465" s="63"/>
      <c r="O1465" s="46"/>
      <c r="P1465" s="46"/>
      <c r="Q1465" s="64"/>
      <c r="R1465" s="45"/>
      <c r="S1465" s="45"/>
      <c r="T1465" s="45"/>
      <c r="U1465" s="46"/>
      <c r="V1465" s="46"/>
      <c r="W1465" s="319"/>
      <c r="X1465" s="128"/>
    </row>
    <row r="1466" spans="1:24">
      <c r="A1466" s="93"/>
      <c r="B1466" s="94"/>
      <c r="C1466" s="94"/>
      <c r="D1466" s="94"/>
      <c r="E1466" s="94"/>
      <c r="F1466" s="94"/>
      <c r="G1466" s="94"/>
      <c r="H1466" s="94"/>
      <c r="I1466" s="94"/>
      <c r="J1466" s="94"/>
      <c r="K1466" s="311"/>
      <c r="L1466" s="63"/>
      <c r="M1466" s="63"/>
      <c r="N1466" s="63"/>
      <c r="O1466" s="46"/>
      <c r="P1466" s="46"/>
      <c r="Q1466" s="64"/>
      <c r="R1466" s="45"/>
      <c r="S1466" s="45"/>
      <c r="T1466" s="45"/>
      <c r="U1466" s="46"/>
      <c r="V1466" s="46"/>
      <c r="W1466" s="319"/>
      <c r="X1466" s="128"/>
    </row>
    <row r="1467" spans="1:24">
      <c r="A1467" s="93"/>
      <c r="B1467" s="94"/>
      <c r="C1467" s="94"/>
      <c r="D1467" s="94"/>
      <c r="E1467" s="94"/>
      <c r="F1467" s="94"/>
      <c r="G1467" s="94"/>
      <c r="H1467" s="94"/>
      <c r="I1467" s="94"/>
      <c r="J1467" s="94"/>
      <c r="K1467" s="311"/>
      <c r="L1467" s="63"/>
      <c r="M1467" s="63"/>
      <c r="N1467" s="63"/>
      <c r="O1467" s="46"/>
      <c r="P1467" s="46"/>
      <c r="Q1467" s="64"/>
      <c r="R1467" s="45"/>
      <c r="S1467" s="45"/>
      <c r="T1467" s="45"/>
      <c r="U1467" s="46"/>
      <c r="V1467" s="46"/>
      <c r="W1467" s="319"/>
      <c r="X1467" s="128"/>
    </row>
    <row r="1468" spans="1:24">
      <c r="A1468" s="93"/>
      <c r="B1468" s="94"/>
      <c r="C1468" s="94"/>
      <c r="D1468" s="94"/>
      <c r="E1468" s="94"/>
      <c r="F1468" s="94"/>
      <c r="G1468" s="94"/>
      <c r="H1468" s="94"/>
      <c r="I1468" s="94"/>
      <c r="J1468" s="94"/>
      <c r="K1468" s="311"/>
      <c r="L1468" s="63"/>
      <c r="M1468" s="63"/>
      <c r="N1468" s="63"/>
      <c r="O1468" s="46"/>
      <c r="P1468" s="46"/>
      <c r="Q1468" s="64"/>
      <c r="R1468" s="45"/>
      <c r="S1468" s="45"/>
      <c r="T1468" s="45"/>
      <c r="U1468" s="46"/>
      <c r="V1468" s="46"/>
      <c r="W1468" s="319"/>
      <c r="X1468" s="128"/>
    </row>
    <row r="1469" spans="1:24">
      <c r="A1469" s="93"/>
      <c r="B1469" s="94"/>
      <c r="C1469" s="94"/>
      <c r="D1469" s="94"/>
      <c r="E1469" s="94"/>
      <c r="F1469" s="94"/>
      <c r="G1469" s="94"/>
      <c r="H1469" s="94"/>
      <c r="I1469" s="94"/>
      <c r="J1469" s="94"/>
      <c r="K1469" s="311"/>
      <c r="L1469" s="63"/>
      <c r="M1469" s="63"/>
      <c r="N1469" s="63"/>
      <c r="O1469" s="46"/>
      <c r="P1469" s="46"/>
      <c r="Q1469" s="64"/>
      <c r="R1469" s="45"/>
      <c r="S1469" s="45"/>
      <c r="T1469" s="45"/>
      <c r="U1469" s="46"/>
      <c r="V1469" s="46"/>
      <c r="W1469" s="319"/>
      <c r="X1469" s="128"/>
    </row>
    <row r="1470" spans="1:24">
      <c r="A1470" s="93"/>
      <c r="B1470" s="94"/>
      <c r="C1470" s="94"/>
      <c r="D1470" s="94"/>
      <c r="E1470" s="94"/>
      <c r="F1470" s="94"/>
      <c r="G1470" s="94"/>
      <c r="H1470" s="94"/>
      <c r="I1470" s="94"/>
      <c r="J1470" s="94"/>
      <c r="K1470" s="311"/>
      <c r="L1470" s="63"/>
      <c r="M1470" s="63"/>
      <c r="N1470" s="63"/>
      <c r="O1470" s="46"/>
      <c r="P1470" s="46"/>
      <c r="Q1470" s="64"/>
      <c r="R1470" s="45"/>
      <c r="S1470" s="45"/>
      <c r="T1470" s="45"/>
      <c r="U1470" s="46"/>
      <c r="V1470" s="46"/>
      <c r="W1470" s="319"/>
      <c r="X1470" s="128"/>
    </row>
    <row r="1471" spans="1:24">
      <c r="A1471" s="93"/>
      <c r="B1471" s="94"/>
      <c r="C1471" s="94"/>
      <c r="D1471" s="94"/>
      <c r="E1471" s="94"/>
      <c r="F1471" s="94"/>
      <c r="G1471" s="94"/>
      <c r="H1471" s="94"/>
      <c r="I1471" s="94"/>
      <c r="J1471" s="94"/>
      <c r="K1471" s="311"/>
      <c r="L1471" s="63"/>
      <c r="M1471" s="63"/>
      <c r="N1471" s="63"/>
      <c r="O1471" s="46"/>
      <c r="P1471" s="46"/>
      <c r="Q1471" s="64"/>
      <c r="R1471" s="45"/>
      <c r="S1471" s="45"/>
      <c r="T1471" s="45"/>
      <c r="U1471" s="46"/>
      <c r="V1471" s="46"/>
      <c r="W1471" s="319"/>
      <c r="X1471" s="128"/>
    </row>
    <row r="1472" spans="1:24">
      <c r="A1472" s="93"/>
      <c r="B1472" s="94"/>
      <c r="C1472" s="94"/>
      <c r="D1472" s="94"/>
      <c r="E1472" s="94"/>
      <c r="F1472" s="94"/>
      <c r="G1472" s="94"/>
      <c r="H1472" s="94"/>
      <c r="I1472" s="94"/>
      <c r="J1472" s="94"/>
      <c r="K1472" s="311"/>
      <c r="L1472" s="63"/>
      <c r="M1472" s="63"/>
      <c r="N1472" s="63"/>
      <c r="O1472" s="46"/>
      <c r="P1472" s="46"/>
      <c r="Q1472" s="64"/>
      <c r="R1472" s="45"/>
      <c r="S1472" s="45"/>
      <c r="T1472" s="45"/>
      <c r="U1472" s="46"/>
      <c r="V1472" s="46"/>
      <c r="W1472" s="319"/>
      <c r="X1472" s="128"/>
    </row>
    <row r="1473" spans="1:24">
      <c r="A1473" s="93"/>
      <c r="B1473" s="94"/>
      <c r="C1473" s="94"/>
      <c r="D1473" s="94"/>
      <c r="E1473" s="94"/>
      <c r="F1473" s="94"/>
      <c r="G1473" s="94"/>
      <c r="H1473" s="94"/>
      <c r="I1473" s="94"/>
      <c r="J1473" s="94"/>
      <c r="K1473" s="311"/>
      <c r="L1473" s="63"/>
      <c r="M1473" s="63"/>
      <c r="N1473" s="63"/>
      <c r="O1473" s="46"/>
      <c r="P1473" s="46"/>
      <c r="Q1473" s="64"/>
      <c r="R1473" s="45"/>
      <c r="S1473" s="45"/>
      <c r="T1473" s="45"/>
      <c r="U1473" s="46"/>
      <c r="V1473" s="46"/>
      <c r="W1473" s="319"/>
      <c r="X1473" s="128"/>
    </row>
    <row r="1474" spans="1:24">
      <c r="A1474" s="93"/>
      <c r="B1474" s="94"/>
      <c r="C1474" s="94"/>
      <c r="D1474" s="94"/>
      <c r="E1474" s="94"/>
      <c r="F1474" s="94"/>
      <c r="G1474" s="94"/>
      <c r="H1474" s="94"/>
      <c r="I1474" s="94"/>
      <c r="J1474" s="94"/>
      <c r="K1474" s="311"/>
      <c r="L1474" s="63"/>
      <c r="M1474" s="63"/>
      <c r="N1474" s="63"/>
      <c r="O1474" s="46"/>
      <c r="P1474" s="46"/>
      <c r="Q1474" s="64"/>
      <c r="R1474" s="45"/>
      <c r="S1474" s="45"/>
      <c r="T1474" s="45"/>
      <c r="U1474" s="46"/>
      <c r="V1474" s="46"/>
      <c r="W1474" s="319"/>
      <c r="X1474" s="128"/>
    </row>
    <row r="1475" spans="1:24">
      <c r="A1475" s="93"/>
      <c r="B1475" s="94"/>
      <c r="C1475" s="94"/>
      <c r="D1475" s="94"/>
      <c r="E1475" s="94"/>
      <c r="F1475" s="94"/>
      <c r="G1475" s="94"/>
      <c r="H1475" s="94"/>
      <c r="I1475" s="94"/>
      <c r="J1475" s="94"/>
      <c r="K1475" s="311"/>
      <c r="L1475" s="63"/>
      <c r="M1475" s="63"/>
      <c r="N1475" s="63"/>
      <c r="O1475" s="46"/>
      <c r="P1475" s="46"/>
      <c r="Q1475" s="64"/>
      <c r="R1475" s="45"/>
      <c r="S1475" s="45"/>
      <c r="T1475" s="45"/>
      <c r="U1475" s="46"/>
      <c r="V1475" s="46"/>
      <c r="W1475" s="319"/>
      <c r="X1475" s="128"/>
    </row>
    <row r="1476" spans="1:24">
      <c r="A1476" s="93"/>
      <c r="B1476" s="94"/>
      <c r="C1476" s="94"/>
      <c r="D1476" s="94"/>
      <c r="E1476" s="94"/>
      <c r="F1476" s="94"/>
      <c r="G1476" s="94"/>
      <c r="H1476" s="94"/>
      <c r="I1476" s="94"/>
      <c r="J1476" s="94"/>
      <c r="K1476" s="311"/>
      <c r="L1476" s="63"/>
      <c r="M1476" s="63"/>
      <c r="N1476" s="63"/>
      <c r="O1476" s="46"/>
      <c r="P1476" s="46"/>
      <c r="Q1476" s="64"/>
      <c r="R1476" s="45"/>
      <c r="S1476" s="45"/>
      <c r="T1476" s="45"/>
      <c r="U1476" s="46"/>
      <c r="V1476" s="46"/>
      <c r="W1476" s="319"/>
      <c r="X1476" s="128"/>
    </row>
    <row r="1477" spans="1:24">
      <c r="A1477" s="93"/>
      <c r="B1477" s="94"/>
      <c r="C1477" s="94"/>
      <c r="D1477" s="94"/>
      <c r="E1477" s="94"/>
      <c r="F1477" s="94"/>
      <c r="G1477" s="94"/>
      <c r="H1477" s="94"/>
      <c r="I1477" s="94"/>
      <c r="J1477" s="94"/>
      <c r="K1477" s="311"/>
      <c r="L1477" s="63"/>
      <c r="M1477" s="63"/>
      <c r="N1477" s="63"/>
      <c r="O1477" s="46"/>
      <c r="P1477" s="46"/>
      <c r="Q1477" s="64"/>
      <c r="R1477" s="45"/>
      <c r="S1477" s="45"/>
      <c r="T1477" s="45"/>
      <c r="U1477" s="46"/>
      <c r="V1477" s="46"/>
      <c r="W1477" s="319"/>
      <c r="X1477" s="128"/>
    </row>
    <row r="1478" spans="1:24">
      <c r="A1478" s="93"/>
      <c r="B1478" s="94"/>
      <c r="C1478" s="94"/>
      <c r="D1478" s="94"/>
      <c r="E1478" s="94"/>
      <c r="F1478" s="94"/>
      <c r="G1478" s="94"/>
      <c r="H1478" s="94"/>
      <c r="I1478" s="94"/>
      <c r="J1478" s="94"/>
      <c r="K1478" s="311"/>
      <c r="L1478" s="63"/>
      <c r="M1478" s="63"/>
      <c r="N1478" s="63"/>
      <c r="O1478" s="46"/>
      <c r="P1478" s="46"/>
      <c r="Q1478" s="64"/>
      <c r="R1478" s="45"/>
      <c r="S1478" s="45"/>
      <c r="T1478" s="45"/>
      <c r="U1478" s="46"/>
      <c r="V1478" s="46"/>
      <c r="W1478" s="319"/>
      <c r="X1478" s="128"/>
    </row>
    <row r="1479" spans="1:24">
      <c r="A1479" s="93"/>
      <c r="B1479" s="94"/>
      <c r="C1479" s="94"/>
      <c r="D1479" s="94"/>
      <c r="E1479" s="94"/>
      <c r="F1479" s="94"/>
      <c r="G1479" s="94"/>
      <c r="H1479" s="94"/>
      <c r="I1479" s="94"/>
      <c r="J1479" s="94"/>
      <c r="K1479" s="311"/>
      <c r="L1479" s="63"/>
      <c r="M1479" s="63"/>
      <c r="N1479" s="63"/>
      <c r="O1479" s="46"/>
      <c r="P1479" s="46"/>
      <c r="Q1479" s="64"/>
      <c r="R1479" s="45"/>
      <c r="S1479" s="45"/>
      <c r="T1479" s="45"/>
      <c r="U1479" s="46"/>
      <c r="V1479" s="46"/>
      <c r="W1479" s="319"/>
      <c r="X1479" s="128"/>
    </row>
    <row r="1480" spans="1:24">
      <c r="A1480" s="93"/>
      <c r="B1480" s="94"/>
      <c r="C1480" s="94"/>
      <c r="D1480" s="94"/>
      <c r="E1480" s="94"/>
      <c r="F1480" s="94"/>
      <c r="G1480" s="94"/>
      <c r="H1480" s="94"/>
      <c r="I1480" s="94"/>
      <c r="J1480" s="94"/>
      <c r="K1480" s="311"/>
      <c r="L1480" s="63"/>
      <c r="M1480" s="63"/>
      <c r="N1480" s="63"/>
      <c r="O1480" s="46"/>
      <c r="P1480" s="46"/>
      <c r="Q1480" s="64"/>
      <c r="R1480" s="45"/>
      <c r="S1480" s="45"/>
      <c r="T1480" s="45"/>
      <c r="U1480" s="46"/>
      <c r="V1480" s="46"/>
      <c r="W1480" s="319"/>
      <c r="X1480" s="128"/>
    </row>
    <row r="1481" spans="1:24">
      <c r="A1481" s="93"/>
      <c r="B1481" s="94"/>
      <c r="C1481" s="94"/>
      <c r="D1481" s="94"/>
      <c r="E1481" s="94"/>
      <c r="F1481" s="94"/>
      <c r="G1481" s="94"/>
      <c r="H1481" s="94"/>
      <c r="I1481" s="94"/>
      <c r="J1481" s="94"/>
      <c r="K1481" s="311"/>
      <c r="L1481" s="63"/>
      <c r="M1481" s="63"/>
      <c r="N1481" s="63"/>
      <c r="O1481" s="46"/>
      <c r="P1481" s="46"/>
      <c r="Q1481" s="64"/>
      <c r="R1481" s="45"/>
      <c r="S1481" s="45"/>
      <c r="T1481" s="45"/>
      <c r="U1481" s="46"/>
      <c r="V1481" s="46"/>
      <c r="W1481" s="319"/>
      <c r="X1481" s="128"/>
    </row>
    <row r="1482" spans="1:24">
      <c r="A1482" s="93"/>
      <c r="B1482" s="94"/>
      <c r="C1482" s="94"/>
      <c r="D1482" s="94"/>
      <c r="E1482" s="94"/>
      <c r="F1482" s="94"/>
      <c r="G1482" s="94"/>
      <c r="H1482" s="94"/>
      <c r="I1482" s="94"/>
      <c r="J1482" s="94"/>
      <c r="K1482" s="311"/>
      <c r="L1482" s="63"/>
      <c r="M1482" s="63"/>
      <c r="N1482" s="63"/>
      <c r="O1482" s="46"/>
      <c r="P1482" s="46"/>
      <c r="Q1482" s="64"/>
      <c r="R1482" s="45"/>
      <c r="S1482" s="45"/>
      <c r="T1482" s="45"/>
      <c r="U1482" s="46"/>
      <c r="V1482" s="46"/>
      <c r="W1482" s="319"/>
      <c r="X1482" s="128"/>
    </row>
    <row r="1483" spans="1:24">
      <c r="A1483" s="93"/>
      <c r="B1483" s="94"/>
      <c r="C1483" s="94"/>
      <c r="D1483" s="94"/>
      <c r="E1483" s="94"/>
      <c r="F1483" s="94"/>
      <c r="G1483" s="94"/>
      <c r="H1483" s="94"/>
      <c r="I1483" s="94"/>
      <c r="J1483" s="94"/>
      <c r="K1483" s="311"/>
      <c r="L1483" s="63"/>
      <c r="M1483" s="63"/>
      <c r="N1483" s="63"/>
      <c r="O1483" s="46"/>
      <c r="P1483" s="46"/>
      <c r="Q1483" s="64"/>
      <c r="R1483" s="45"/>
      <c r="S1483" s="45"/>
      <c r="T1483" s="45"/>
      <c r="U1483" s="46"/>
      <c r="V1483" s="46"/>
      <c r="W1483" s="319"/>
      <c r="X1483" s="128"/>
    </row>
    <row r="1484" spans="1:24">
      <c r="A1484" s="93"/>
      <c r="B1484" s="94"/>
      <c r="C1484" s="94"/>
      <c r="D1484" s="94"/>
      <c r="E1484" s="94"/>
      <c r="F1484" s="94"/>
      <c r="G1484" s="94"/>
      <c r="H1484" s="94"/>
      <c r="I1484" s="94"/>
      <c r="J1484" s="94"/>
      <c r="K1484" s="311"/>
      <c r="L1484" s="63"/>
      <c r="M1484" s="63"/>
      <c r="N1484" s="63"/>
      <c r="O1484" s="46"/>
      <c r="P1484" s="46"/>
      <c r="Q1484" s="64"/>
      <c r="R1484" s="45"/>
      <c r="S1484" s="45"/>
      <c r="T1484" s="45"/>
      <c r="U1484" s="46"/>
      <c r="V1484" s="46"/>
      <c r="W1484" s="319"/>
      <c r="X1484" s="128"/>
    </row>
    <row r="1485" spans="1:24">
      <c r="A1485" s="93"/>
      <c r="B1485" s="94"/>
      <c r="C1485" s="94"/>
      <c r="D1485" s="94"/>
      <c r="E1485" s="94"/>
      <c r="F1485" s="94"/>
      <c r="G1485" s="94"/>
      <c r="H1485" s="94"/>
      <c r="I1485" s="94"/>
      <c r="J1485" s="94"/>
      <c r="K1485" s="311"/>
      <c r="L1485" s="63"/>
      <c r="M1485" s="63"/>
      <c r="N1485" s="63"/>
      <c r="O1485" s="46"/>
      <c r="P1485" s="46"/>
      <c r="Q1485" s="64"/>
      <c r="R1485" s="45"/>
      <c r="S1485" s="45"/>
      <c r="T1485" s="45"/>
      <c r="U1485" s="46"/>
      <c r="V1485" s="46"/>
      <c r="W1485" s="319"/>
      <c r="X1485" s="128"/>
    </row>
    <row r="1486" spans="1:24">
      <c r="A1486" s="93"/>
      <c r="B1486" s="94"/>
      <c r="C1486" s="94"/>
      <c r="D1486" s="94"/>
      <c r="E1486" s="94"/>
      <c r="F1486" s="94"/>
      <c r="G1486" s="94"/>
      <c r="H1486" s="94"/>
      <c r="I1486" s="94"/>
      <c r="J1486" s="94"/>
      <c r="K1486" s="311"/>
      <c r="L1486" s="63"/>
      <c r="M1486" s="63"/>
      <c r="N1486" s="63"/>
      <c r="O1486" s="46"/>
      <c r="P1486" s="46"/>
      <c r="Q1486" s="64"/>
      <c r="R1486" s="45"/>
      <c r="S1486" s="45"/>
      <c r="T1486" s="45"/>
      <c r="U1486" s="46"/>
      <c r="V1486" s="46"/>
      <c r="W1486" s="319"/>
      <c r="X1486" s="128"/>
    </row>
    <row r="1487" spans="1:24">
      <c r="A1487" s="93"/>
      <c r="B1487" s="94"/>
      <c r="C1487" s="94"/>
      <c r="D1487" s="94"/>
      <c r="E1487" s="94"/>
      <c r="F1487" s="94"/>
      <c r="G1487" s="94"/>
      <c r="H1487" s="94"/>
      <c r="I1487" s="94"/>
      <c r="J1487" s="94"/>
      <c r="K1487" s="311"/>
      <c r="L1487" s="63"/>
      <c r="M1487" s="63"/>
      <c r="N1487" s="63"/>
      <c r="O1487" s="46"/>
      <c r="P1487" s="46"/>
      <c r="Q1487" s="64"/>
      <c r="R1487" s="45"/>
      <c r="S1487" s="45"/>
      <c r="T1487" s="45"/>
      <c r="U1487" s="46"/>
      <c r="V1487" s="46"/>
      <c r="W1487" s="319"/>
      <c r="X1487" s="128"/>
    </row>
    <row r="1488" spans="1:24">
      <c r="A1488" s="93"/>
      <c r="B1488" s="94"/>
      <c r="C1488" s="94"/>
      <c r="D1488" s="94"/>
      <c r="E1488" s="94"/>
      <c r="F1488" s="94"/>
      <c r="G1488" s="94"/>
      <c r="H1488" s="94"/>
      <c r="I1488" s="94"/>
      <c r="J1488" s="94"/>
      <c r="K1488" s="311"/>
      <c r="L1488" s="63"/>
      <c r="M1488" s="63"/>
      <c r="N1488" s="63"/>
      <c r="O1488" s="46"/>
      <c r="P1488" s="46"/>
      <c r="Q1488" s="64"/>
      <c r="R1488" s="45"/>
      <c r="S1488" s="45"/>
      <c r="T1488" s="45"/>
      <c r="U1488" s="46"/>
      <c r="V1488" s="46"/>
      <c r="W1488" s="319"/>
      <c r="X1488" s="128"/>
    </row>
    <row r="1489" spans="1:24">
      <c r="A1489" s="93"/>
      <c r="B1489" s="94"/>
      <c r="C1489" s="94"/>
      <c r="D1489" s="94"/>
      <c r="E1489" s="94"/>
      <c r="F1489" s="94"/>
      <c r="G1489" s="94"/>
      <c r="H1489" s="94"/>
      <c r="I1489" s="94"/>
      <c r="J1489" s="94"/>
      <c r="K1489" s="311"/>
      <c r="L1489" s="63"/>
      <c r="M1489" s="63"/>
      <c r="N1489" s="63"/>
      <c r="O1489" s="46"/>
      <c r="P1489" s="46"/>
      <c r="Q1489" s="64"/>
      <c r="R1489" s="45"/>
      <c r="S1489" s="45"/>
      <c r="T1489" s="45"/>
      <c r="U1489" s="46"/>
      <c r="V1489" s="46"/>
      <c r="W1489" s="319"/>
      <c r="X1489" s="128"/>
    </row>
    <row r="1490" spans="1:24">
      <c r="A1490" s="93"/>
      <c r="B1490" s="94"/>
      <c r="C1490" s="94"/>
      <c r="D1490" s="94"/>
      <c r="E1490" s="94"/>
      <c r="F1490" s="94"/>
      <c r="G1490" s="94"/>
      <c r="H1490" s="94"/>
      <c r="I1490" s="94"/>
      <c r="J1490" s="94"/>
      <c r="K1490" s="311"/>
      <c r="L1490" s="63"/>
      <c r="M1490" s="63"/>
      <c r="N1490" s="63"/>
      <c r="O1490" s="46"/>
      <c r="P1490" s="46"/>
      <c r="Q1490" s="64"/>
      <c r="R1490" s="45"/>
      <c r="S1490" s="45"/>
      <c r="T1490" s="45"/>
      <c r="U1490" s="46"/>
      <c r="V1490" s="46"/>
      <c r="W1490" s="319"/>
      <c r="X1490" s="128"/>
    </row>
    <row r="1491" spans="1:24">
      <c r="A1491" s="93"/>
      <c r="B1491" s="94"/>
      <c r="C1491" s="94"/>
      <c r="D1491" s="94"/>
      <c r="E1491" s="94"/>
      <c r="F1491" s="94"/>
      <c r="G1491" s="94"/>
      <c r="H1491" s="94"/>
      <c r="I1491" s="94"/>
      <c r="J1491" s="94"/>
      <c r="K1491" s="311"/>
      <c r="L1491" s="63"/>
      <c r="M1491" s="63"/>
      <c r="N1491" s="63"/>
      <c r="O1491" s="46"/>
      <c r="P1491" s="46"/>
      <c r="Q1491" s="64"/>
      <c r="R1491" s="45"/>
      <c r="S1491" s="45"/>
      <c r="T1491" s="45"/>
      <c r="U1491" s="46"/>
      <c r="V1491" s="46"/>
      <c r="W1491" s="319"/>
      <c r="X1491" s="128"/>
    </row>
    <row r="1492" spans="1:24">
      <c r="A1492" s="93"/>
      <c r="B1492" s="94"/>
      <c r="C1492" s="94"/>
      <c r="D1492" s="94"/>
      <c r="E1492" s="94"/>
      <c r="F1492" s="94"/>
      <c r="G1492" s="94"/>
      <c r="H1492" s="94"/>
      <c r="I1492" s="94"/>
      <c r="J1492" s="94"/>
      <c r="K1492" s="311"/>
      <c r="L1492" s="63"/>
      <c r="M1492" s="63"/>
      <c r="N1492" s="63"/>
      <c r="O1492" s="46"/>
      <c r="P1492" s="46"/>
      <c r="Q1492" s="64"/>
      <c r="R1492" s="45"/>
      <c r="S1492" s="45"/>
      <c r="T1492" s="45"/>
      <c r="U1492" s="46"/>
      <c r="V1492" s="46"/>
      <c r="W1492" s="319"/>
      <c r="X1492" s="128"/>
    </row>
    <row r="1493" spans="1:24">
      <c r="A1493" s="93"/>
      <c r="B1493" s="94"/>
      <c r="C1493" s="94"/>
      <c r="D1493" s="94"/>
      <c r="E1493" s="94"/>
      <c r="F1493" s="94"/>
      <c r="G1493" s="94"/>
      <c r="H1493" s="94"/>
      <c r="I1493" s="94"/>
      <c r="J1493" s="94"/>
      <c r="K1493" s="311"/>
      <c r="L1493" s="63"/>
      <c r="M1493" s="63"/>
      <c r="N1493" s="63"/>
      <c r="O1493" s="46"/>
      <c r="P1493" s="46"/>
      <c r="Q1493" s="64"/>
      <c r="R1493" s="45"/>
      <c r="S1493" s="45"/>
      <c r="T1493" s="45"/>
      <c r="U1493" s="46"/>
      <c r="V1493" s="46"/>
      <c r="W1493" s="319"/>
      <c r="X1493" s="128"/>
    </row>
    <row r="1494" spans="1:24">
      <c r="A1494" s="93"/>
      <c r="B1494" s="94"/>
      <c r="C1494" s="94"/>
      <c r="D1494" s="94"/>
      <c r="E1494" s="94"/>
      <c r="F1494" s="94"/>
      <c r="G1494" s="94"/>
      <c r="H1494" s="94"/>
      <c r="I1494" s="94"/>
      <c r="J1494" s="94"/>
      <c r="K1494" s="311"/>
      <c r="L1494" s="63"/>
      <c r="M1494" s="63"/>
      <c r="N1494" s="63"/>
      <c r="O1494" s="46"/>
      <c r="P1494" s="46"/>
      <c r="Q1494" s="64"/>
      <c r="R1494" s="45"/>
      <c r="S1494" s="45"/>
      <c r="T1494" s="45"/>
      <c r="U1494" s="46"/>
      <c r="V1494" s="46"/>
      <c r="W1494" s="319"/>
      <c r="X1494" s="128"/>
    </row>
    <row r="1495" spans="1:24">
      <c r="A1495" s="93"/>
      <c r="B1495" s="94"/>
      <c r="C1495" s="94"/>
      <c r="D1495" s="94"/>
      <c r="E1495" s="94"/>
      <c r="F1495" s="94"/>
      <c r="G1495" s="94"/>
      <c r="H1495" s="94"/>
      <c r="I1495" s="94"/>
      <c r="J1495" s="94"/>
      <c r="K1495" s="311"/>
      <c r="L1495" s="63"/>
      <c r="M1495" s="63"/>
      <c r="N1495" s="63"/>
      <c r="O1495" s="46"/>
      <c r="P1495" s="46"/>
      <c r="Q1495" s="64"/>
      <c r="R1495" s="45"/>
      <c r="S1495" s="45"/>
      <c r="T1495" s="45"/>
      <c r="U1495" s="46"/>
      <c r="V1495" s="46"/>
      <c r="W1495" s="319"/>
      <c r="X1495" s="128"/>
    </row>
    <row r="1496" spans="1:24">
      <c r="A1496" s="93"/>
      <c r="B1496" s="94"/>
      <c r="C1496" s="94"/>
      <c r="D1496" s="94"/>
      <c r="E1496" s="94"/>
      <c r="F1496" s="94"/>
      <c r="G1496" s="94"/>
      <c r="H1496" s="94"/>
      <c r="I1496" s="94"/>
      <c r="J1496" s="94"/>
      <c r="K1496" s="311"/>
      <c r="L1496" s="63"/>
      <c r="M1496" s="63"/>
      <c r="N1496" s="63"/>
      <c r="O1496" s="46"/>
      <c r="P1496" s="46"/>
      <c r="Q1496" s="64"/>
      <c r="R1496" s="45"/>
      <c r="S1496" s="45"/>
      <c r="T1496" s="45"/>
      <c r="U1496" s="46"/>
      <c r="V1496" s="46"/>
      <c r="W1496" s="319"/>
      <c r="X1496" s="128"/>
    </row>
    <row r="1497" spans="1:24">
      <c r="A1497" s="93"/>
      <c r="B1497" s="94"/>
      <c r="C1497" s="94"/>
      <c r="D1497" s="94"/>
      <c r="E1497" s="94"/>
      <c r="F1497" s="94"/>
      <c r="G1497" s="94"/>
      <c r="H1497" s="94"/>
      <c r="I1497" s="94"/>
      <c r="J1497" s="94"/>
      <c r="K1497" s="311"/>
      <c r="L1497" s="63"/>
      <c r="M1497" s="63"/>
      <c r="N1497" s="63"/>
      <c r="O1497" s="46"/>
      <c r="P1497" s="46"/>
      <c r="Q1497" s="64"/>
      <c r="R1497" s="45"/>
      <c r="S1497" s="45"/>
      <c r="T1497" s="45"/>
      <c r="U1497" s="46"/>
      <c r="V1497" s="46"/>
      <c r="W1497" s="319"/>
      <c r="X1497" s="128"/>
    </row>
    <row r="1498" spans="1:24">
      <c r="A1498" s="93"/>
      <c r="B1498" s="94"/>
      <c r="C1498" s="94"/>
      <c r="D1498" s="94"/>
      <c r="E1498" s="94"/>
      <c r="F1498" s="94"/>
      <c r="G1498" s="94"/>
      <c r="H1498" s="94"/>
      <c r="I1498" s="94"/>
      <c r="J1498" s="94"/>
      <c r="K1498" s="311"/>
      <c r="L1498" s="63"/>
      <c r="M1498" s="63"/>
      <c r="N1498" s="63"/>
      <c r="O1498" s="46"/>
      <c r="P1498" s="46"/>
      <c r="Q1498" s="64"/>
      <c r="R1498" s="45"/>
      <c r="S1498" s="45"/>
      <c r="T1498" s="45"/>
      <c r="U1498" s="46"/>
      <c r="V1498" s="46"/>
      <c r="W1498" s="319"/>
      <c r="X1498" s="128"/>
    </row>
    <row r="1499" spans="1:24">
      <c r="A1499" s="93"/>
      <c r="B1499" s="94"/>
      <c r="C1499" s="94"/>
      <c r="D1499" s="94"/>
      <c r="E1499" s="94"/>
      <c r="F1499" s="94"/>
      <c r="G1499" s="94"/>
      <c r="H1499" s="94"/>
      <c r="I1499" s="94"/>
      <c r="J1499" s="94"/>
      <c r="K1499" s="311"/>
      <c r="L1499" s="63"/>
      <c r="M1499" s="63"/>
      <c r="N1499" s="63"/>
      <c r="O1499" s="46"/>
      <c r="P1499" s="46"/>
      <c r="Q1499" s="64"/>
      <c r="R1499" s="45"/>
      <c r="S1499" s="45"/>
      <c r="T1499" s="45"/>
      <c r="U1499" s="46"/>
      <c r="V1499" s="46"/>
      <c r="W1499" s="319"/>
      <c r="X1499" s="128"/>
    </row>
    <row r="1500" spans="1:24">
      <c r="A1500" s="93"/>
      <c r="B1500" s="94"/>
      <c r="C1500" s="94"/>
      <c r="D1500" s="94"/>
      <c r="E1500" s="94"/>
      <c r="F1500" s="94"/>
      <c r="G1500" s="94"/>
      <c r="H1500" s="94"/>
      <c r="I1500" s="94"/>
      <c r="J1500" s="94"/>
      <c r="K1500" s="311"/>
      <c r="L1500" s="63"/>
      <c r="M1500" s="63"/>
      <c r="N1500" s="63"/>
      <c r="O1500" s="46"/>
      <c r="P1500" s="46"/>
      <c r="Q1500" s="64"/>
      <c r="R1500" s="45"/>
      <c r="S1500" s="45"/>
      <c r="T1500" s="45"/>
      <c r="U1500" s="46"/>
      <c r="V1500" s="46"/>
      <c r="W1500" s="319"/>
      <c r="X1500" s="128"/>
    </row>
    <row r="1501" spans="1:24">
      <c r="A1501" s="93"/>
      <c r="B1501" s="94"/>
      <c r="C1501" s="94"/>
      <c r="D1501" s="94"/>
      <c r="E1501" s="94"/>
      <c r="F1501" s="94"/>
      <c r="G1501" s="94"/>
      <c r="H1501" s="94"/>
      <c r="I1501" s="94"/>
      <c r="J1501" s="94"/>
      <c r="K1501" s="311"/>
      <c r="L1501" s="63"/>
      <c r="M1501" s="63"/>
      <c r="N1501" s="63"/>
      <c r="O1501" s="46"/>
      <c r="P1501" s="46"/>
      <c r="Q1501" s="64"/>
      <c r="R1501" s="45"/>
      <c r="S1501" s="45"/>
      <c r="T1501" s="45"/>
      <c r="U1501" s="46"/>
      <c r="V1501" s="46"/>
      <c r="W1501" s="319"/>
      <c r="X1501" s="128"/>
    </row>
    <row r="1502" spans="1:24">
      <c r="A1502" s="93"/>
      <c r="B1502" s="94"/>
      <c r="C1502" s="94"/>
      <c r="D1502" s="94"/>
      <c r="E1502" s="94"/>
      <c r="F1502" s="94"/>
      <c r="G1502" s="94"/>
      <c r="H1502" s="94"/>
      <c r="I1502" s="94"/>
      <c r="J1502" s="94"/>
      <c r="K1502" s="311"/>
      <c r="L1502" s="63"/>
      <c r="M1502" s="63"/>
      <c r="N1502" s="63"/>
      <c r="O1502" s="46"/>
      <c r="P1502" s="46"/>
      <c r="Q1502" s="64"/>
      <c r="R1502" s="45"/>
      <c r="S1502" s="45"/>
      <c r="T1502" s="45"/>
      <c r="U1502" s="46"/>
      <c r="V1502" s="46"/>
      <c r="W1502" s="319"/>
      <c r="X1502" s="128"/>
    </row>
    <row r="1503" spans="1:24">
      <c r="A1503" s="93"/>
      <c r="B1503" s="94"/>
      <c r="C1503" s="94"/>
      <c r="D1503" s="94"/>
      <c r="E1503" s="94"/>
      <c r="F1503" s="94"/>
      <c r="G1503" s="94"/>
      <c r="H1503" s="94"/>
      <c r="I1503" s="94"/>
      <c r="J1503" s="94"/>
      <c r="K1503" s="311"/>
      <c r="L1503" s="63"/>
      <c r="M1503" s="63"/>
      <c r="N1503" s="63"/>
      <c r="O1503" s="46"/>
      <c r="P1503" s="46"/>
      <c r="Q1503" s="64"/>
      <c r="R1503" s="45"/>
      <c r="S1503" s="45"/>
      <c r="T1503" s="45"/>
      <c r="U1503" s="46"/>
      <c r="V1503" s="46"/>
      <c r="W1503" s="319"/>
      <c r="X1503" s="128"/>
    </row>
    <row r="1504" spans="1:24">
      <c r="A1504" s="93"/>
      <c r="B1504" s="94"/>
      <c r="C1504" s="94"/>
      <c r="D1504" s="94"/>
      <c r="E1504" s="94"/>
      <c r="F1504" s="94"/>
      <c r="G1504" s="94"/>
      <c r="H1504" s="94"/>
      <c r="I1504" s="94"/>
      <c r="J1504" s="94"/>
      <c r="K1504" s="311"/>
      <c r="L1504" s="63"/>
      <c r="M1504" s="63"/>
      <c r="N1504" s="63"/>
      <c r="O1504" s="46"/>
      <c r="P1504" s="46"/>
      <c r="Q1504" s="64"/>
      <c r="R1504" s="45"/>
      <c r="S1504" s="45"/>
      <c r="T1504" s="45"/>
      <c r="U1504" s="46"/>
      <c r="V1504" s="46"/>
      <c r="W1504" s="319"/>
      <c r="X1504" s="128"/>
    </row>
    <row r="1505" spans="1:24">
      <c r="A1505" s="93"/>
      <c r="B1505" s="94"/>
      <c r="C1505" s="94"/>
      <c r="D1505" s="94"/>
      <c r="E1505" s="94"/>
      <c r="F1505" s="94"/>
      <c r="G1505" s="94"/>
      <c r="H1505" s="94"/>
      <c r="I1505" s="94"/>
      <c r="J1505" s="94"/>
      <c r="K1505" s="311"/>
      <c r="L1505" s="63"/>
      <c r="M1505" s="63"/>
      <c r="N1505" s="63"/>
      <c r="O1505" s="46"/>
      <c r="P1505" s="46"/>
      <c r="Q1505" s="64"/>
      <c r="R1505" s="45"/>
      <c r="S1505" s="45"/>
      <c r="T1505" s="45"/>
      <c r="U1505" s="46"/>
      <c r="V1505" s="46"/>
      <c r="W1505" s="319"/>
      <c r="X1505" s="128"/>
    </row>
    <row r="1506" spans="1:24">
      <c r="A1506" s="93"/>
      <c r="B1506" s="94"/>
      <c r="C1506" s="94"/>
      <c r="D1506" s="94"/>
      <c r="E1506" s="94"/>
      <c r="F1506" s="94"/>
      <c r="G1506" s="94"/>
      <c r="H1506" s="94"/>
      <c r="I1506" s="94"/>
      <c r="J1506" s="94"/>
      <c r="K1506" s="311"/>
      <c r="L1506" s="63"/>
      <c r="M1506" s="63"/>
      <c r="N1506" s="63"/>
      <c r="O1506" s="46"/>
      <c r="P1506" s="46"/>
      <c r="Q1506" s="64"/>
      <c r="R1506" s="45"/>
      <c r="S1506" s="45"/>
      <c r="T1506" s="45"/>
      <c r="U1506" s="46"/>
      <c r="V1506" s="46"/>
      <c r="W1506" s="319"/>
      <c r="X1506" s="128"/>
    </row>
    <row r="1507" spans="1:24">
      <c r="A1507" s="93"/>
      <c r="B1507" s="94"/>
      <c r="C1507" s="94"/>
      <c r="D1507" s="94"/>
      <c r="E1507" s="94"/>
      <c r="F1507" s="94"/>
      <c r="G1507" s="94"/>
      <c r="H1507" s="94"/>
      <c r="I1507" s="94"/>
      <c r="J1507" s="94"/>
      <c r="K1507" s="311"/>
      <c r="L1507" s="63"/>
      <c r="M1507" s="63"/>
      <c r="N1507" s="63"/>
      <c r="O1507" s="46"/>
      <c r="P1507" s="46"/>
      <c r="Q1507" s="64"/>
      <c r="R1507" s="45"/>
      <c r="S1507" s="45"/>
      <c r="T1507" s="45"/>
      <c r="U1507" s="46"/>
      <c r="V1507" s="46"/>
      <c r="W1507" s="319"/>
      <c r="X1507" s="128"/>
    </row>
    <row r="1508" spans="1:24">
      <c r="A1508" s="93"/>
      <c r="B1508" s="94"/>
      <c r="C1508" s="94"/>
      <c r="D1508" s="94"/>
      <c r="E1508" s="94"/>
      <c r="F1508" s="94"/>
      <c r="G1508" s="94"/>
      <c r="H1508" s="94"/>
      <c r="I1508" s="94"/>
      <c r="J1508" s="94"/>
      <c r="K1508" s="311"/>
      <c r="L1508" s="63"/>
      <c r="M1508" s="63"/>
      <c r="N1508" s="63"/>
      <c r="O1508" s="46"/>
      <c r="P1508" s="46"/>
      <c r="Q1508" s="64"/>
      <c r="R1508" s="45"/>
      <c r="S1508" s="45"/>
      <c r="T1508" s="45"/>
      <c r="U1508" s="46"/>
      <c r="V1508" s="46"/>
      <c r="W1508" s="319"/>
      <c r="X1508" s="128"/>
    </row>
    <row r="1509" spans="1:24">
      <c r="A1509" s="93"/>
      <c r="B1509" s="94"/>
      <c r="C1509" s="94"/>
      <c r="D1509" s="94"/>
      <c r="E1509" s="94"/>
      <c r="F1509" s="94"/>
      <c r="G1509" s="94"/>
      <c r="H1509" s="94"/>
      <c r="I1509" s="94"/>
      <c r="J1509" s="94"/>
      <c r="K1509" s="311"/>
      <c r="L1509" s="63"/>
      <c r="M1509" s="63"/>
      <c r="N1509" s="63"/>
      <c r="O1509" s="46"/>
      <c r="P1509" s="46"/>
      <c r="Q1509" s="64"/>
      <c r="R1509" s="45"/>
      <c r="S1509" s="45"/>
      <c r="T1509" s="45"/>
      <c r="U1509" s="46"/>
      <c r="V1509" s="46"/>
      <c r="W1509" s="319"/>
      <c r="X1509" s="128"/>
    </row>
    <row r="1510" spans="1:24">
      <c r="A1510" s="93"/>
      <c r="B1510" s="94"/>
      <c r="C1510" s="94"/>
      <c r="D1510" s="94"/>
      <c r="E1510" s="94"/>
      <c r="F1510" s="94"/>
      <c r="G1510" s="94"/>
      <c r="H1510" s="94"/>
      <c r="I1510" s="94"/>
      <c r="J1510" s="94"/>
      <c r="K1510" s="311"/>
      <c r="L1510" s="63"/>
      <c r="M1510" s="63"/>
      <c r="N1510" s="63"/>
      <c r="O1510" s="46"/>
      <c r="P1510" s="46"/>
      <c r="Q1510" s="64"/>
      <c r="R1510" s="45"/>
      <c r="S1510" s="45"/>
      <c r="T1510" s="45"/>
      <c r="U1510" s="46"/>
      <c r="V1510" s="46"/>
      <c r="W1510" s="319"/>
      <c r="X1510" s="128"/>
    </row>
    <row r="1511" spans="1:24">
      <c r="A1511" s="93"/>
      <c r="B1511" s="94"/>
      <c r="C1511" s="94"/>
      <c r="D1511" s="94"/>
      <c r="E1511" s="94"/>
      <c r="F1511" s="94"/>
      <c r="G1511" s="94"/>
      <c r="H1511" s="94"/>
      <c r="I1511" s="94"/>
      <c r="J1511" s="94"/>
      <c r="K1511" s="311"/>
      <c r="L1511" s="63"/>
      <c r="M1511" s="63"/>
      <c r="N1511" s="63"/>
      <c r="O1511" s="46"/>
      <c r="P1511" s="46"/>
      <c r="Q1511" s="64"/>
      <c r="R1511" s="45"/>
      <c r="S1511" s="45"/>
      <c r="T1511" s="45"/>
      <c r="U1511" s="46"/>
      <c r="V1511" s="46"/>
      <c r="W1511" s="319"/>
      <c r="X1511" s="128"/>
    </row>
    <row r="1512" spans="1:24">
      <c r="A1512" s="93"/>
      <c r="B1512" s="94"/>
      <c r="C1512" s="94"/>
      <c r="D1512" s="94"/>
      <c r="E1512" s="94"/>
      <c r="F1512" s="94"/>
      <c r="G1512" s="94"/>
      <c r="H1512" s="94"/>
      <c r="I1512" s="94"/>
      <c r="J1512" s="94"/>
      <c r="K1512" s="311"/>
      <c r="L1512" s="63"/>
      <c r="M1512" s="63"/>
      <c r="N1512" s="63"/>
      <c r="O1512" s="46"/>
      <c r="P1512" s="46"/>
      <c r="Q1512" s="64"/>
      <c r="R1512" s="45"/>
      <c r="S1512" s="45"/>
      <c r="T1512" s="45"/>
      <c r="U1512" s="46"/>
      <c r="V1512" s="46"/>
      <c r="W1512" s="319"/>
      <c r="X1512" s="128"/>
    </row>
    <row r="1513" spans="1:24">
      <c r="A1513" s="93"/>
      <c r="B1513" s="94"/>
      <c r="C1513" s="94"/>
      <c r="D1513" s="94"/>
      <c r="E1513" s="94"/>
      <c r="F1513" s="94"/>
      <c r="G1513" s="94"/>
      <c r="H1513" s="94"/>
      <c r="I1513" s="94"/>
      <c r="J1513" s="94"/>
      <c r="K1513" s="311"/>
      <c r="L1513" s="63"/>
      <c r="M1513" s="63"/>
      <c r="N1513" s="63"/>
      <c r="O1513" s="46"/>
      <c r="P1513" s="46"/>
      <c r="Q1513" s="64"/>
      <c r="R1513" s="45"/>
      <c r="S1513" s="45"/>
      <c r="T1513" s="45"/>
      <c r="U1513" s="46"/>
      <c r="V1513" s="46"/>
      <c r="W1513" s="319"/>
      <c r="X1513" s="128"/>
    </row>
    <row r="1514" spans="1:24">
      <c r="A1514" s="93"/>
      <c r="B1514" s="94"/>
      <c r="C1514" s="94"/>
      <c r="D1514" s="94"/>
      <c r="E1514" s="94"/>
      <c r="F1514" s="94"/>
      <c r="G1514" s="94"/>
      <c r="H1514" s="94"/>
      <c r="I1514" s="94"/>
      <c r="J1514" s="94"/>
      <c r="K1514" s="311"/>
      <c r="L1514" s="63"/>
      <c r="M1514" s="63"/>
      <c r="N1514" s="63"/>
      <c r="O1514" s="46"/>
      <c r="P1514" s="46"/>
      <c r="Q1514" s="64"/>
      <c r="R1514" s="45"/>
      <c r="S1514" s="45"/>
      <c r="T1514" s="45"/>
      <c r="U1514" s="46"/>
      <c r="V1514" s="46"/>
      <c r="W1514" s="319"/>
      <c r="X1514" s="128"/>
    </row>
    <row r="1515" spans="1:24">
      <c r="A1515" s="93"/>
      <c r="B1515" s="94"/>
      <c r="C1515" s="94"/>
      <c r="D1515" s="94"/>
      <c r="E1515" s="94"/>
      <c r="F1515" s="94"/>
      <c r="G1515" s="94"/>
      <c r="H1515" s="94"/>
      <c r="I1515" s="94"/>
      <c r="J1515" s="94"/>
      <c r="K1515" s="311"/>
      <c r="L1515" s="63"/>
      <c r="M1515" s="63"/>
      <c r="N1515" s="63"/>
      <c r="O1515" s="46"/>
      <c r="P1515" s="46"/>
      <c r="Q1515" s="64"/>
      <c r="R1515" s="45"/>
      <c r="S1515" s="45"/>
      <c r="T1515" s="45"/>
      <c r="U1515" s="46"/>
      <c r="V1515" s="46"/>
      <c r="W1515" s="319"/>
      <c r="X1515" s="128"/>
    </row>
    <row r="1516" spans="1:24">
      <c r="A1516" s="93"/>
      <c r="B1516" s="94"/>
      <c r="C1516" s="94"/>
      <c r="D1516" s="94"/>
      <c r="E1516" s="94"/>
      <c r="F1516" s="94"/>
      <c r="G1516" s="94"/>
      <c r="H1516" s="94"/>
      <c r="I1516" s="94"/>
      <c r="J1516" s="94"/>
      <c r="K1516" s="311"/>
      <c r="L1516" s="63"/>
      <c r="M1516" s="63"/>
      <c r="N1516" s="63"/>
      <c r="O1516" s="46"/>
      <c r="P1516" s="46"/>
      <c r="Q1516" s="64"/>
      <c r="R1516" s="45"/>
      <c r="S1516" s="45"/>
      <c r="T1516" s="45"/>
      <c r="U1516" s="46"/>
      <c r="V1516" s="46"/>
      <c r="W1516" s="319"/>
      <c r="X1516" s="128"/>
    </row>
    <row r="1517" spans="1:24">
      <c r="A1517" s="93"/>
      <c r="B1517" s="94"/>
      <c r="C1517" s="94"/>
      <c r="D1517" s="94"/>
      <c r="E1517" s="94"/>
      <c r="F1517" s="94"/>
      <c r="G1517" s="94"/>
      <c r="H1517" s="94"/>
      <c r="I1517" s="94"/>
      <c r="J1517" s="94"/>
      <c r="K1517" s="311"/>
      <c r="L1517" s="63"/>
      <c r="M1517" s="63"/>
      <c r="N1517" s="63"/>
      <c r="O1517" s="46"/>
      <c r="P1517" s="46"/>
      <c r="Q1517" s="64"/>
      <c r="R1517" s="45"/>
      <c r="S1517" s="45"/>
      <c r="T1517" s="45"/>
      <c r="U1517" s="46"/>
      <c r="V1517" s="46"/>
      <c r="W1517" s="319"/>
      <c r="X1517" s="128"/>
    </row>
    <row r="1518" spans="1:24">
      <c r="A1518" s="93"/>
      <c r="B1518" s="94"/>
      <c r="C1518" s="94"/>
      <c r="D1518" s="94"/>
      <c r="E1518" s="94"/>
      <c r="F1518" s="94"/>
      <c r="G1518" s="94"/>
      <c r="H1518" s="94"/>
      <c r="I1518" s="94"/>
      <c r="J1518" s="94"/>
      <c r="K1518" s="311"/>
      <c r="L1518" s="63"/>
      <c r="M1518" s="63"/>
      <c r="N1518" s="63"/>
      <c r="O1518" s="46"/>
      <c r="P1518" s="46"/>
      <c r="Q1518" s="64"/>
      <c r="R1518" s="45"/>
      <c r="S1518" s="45"/>
      <c r="T1518" s="45"/>
      <c r="U1518" s="46"/>
      <c r="V1518" s="46"/>
      <c r="W1518" s="319"/>
      <c r="X1518" s="128"/>
    </row>
    <row r="1519" spans="1:24">
      <c r="A1519" s="93"/>
      <c r="B1519" s="94"/>
      <c r="C1519" s="94"/>
      <c r="D1519" s="94"/>
      <c r="E1519" s="94"/>
      <c r="F1519" s="94"/>
      <c r="G1519" s="94"/>
      <c r="H1519" s="94"/>
      <c r="I1519" s="94"/>
      <c r="J1519" s="94"/>
      <c r="K1519" s="311"/>
      <c r="L1519" s="63"/>
      <c r="M1519" s="63"/>
      <c r="N1519" s="63"/>
      <c r="O1519" s="46"/>
      <c r="P1519" s="46"/>
      <c r="Q1519" s="64"/>
      <c r="R1519" s="45"/>
      <c r="S1519" s="45"/>
      <c r="T1519" s="45"/>
      <c r="U1519" s="46"/>
      <c r="V1519" s="46"/>
      <c r="W1519" s="319"/>
      <c r="X1519" s="128"/>
    </row>
    <row r="1520" spans="1:24">
      <c r="A1520" s="93"/>
      <c r="B1520" s="94"/>
      <c r="C1520" s="94"/>
      <c r="D1520" s="94"/>
      <c r="E1520" s="94"/>
      <c r="F1520" s="94"/>
      <c r="G1520" s="94"/>
      <c r="H1520" s="94"/>
      <c r="I1520" s="94"/>
      <c r="J1520" s="94"/>
      <c r="K1520" s="311"/>
      <c r="L1520" s="63"/>
      <c r="M1520" s="63"/>
      <c r="N1520" s="63"/>
      <c r="O1520" s="46"/>
      <c r="P1520" s="46"/>
      <c r="Q1520" s="64"/>
      <c r="R1520" s="45"/>
      <c r="S1520" s="45"/>
      <c r="T1520" s="45"/>
      <c r="U1520" s="46"/>
      <c r="V1520" s="46"/>
      <c r="W1520" s="319"/>
      <c r="X1520" s="128"/>
    </row>
    <row r="1521" spans="1:24">
      <c r="A1521" s="93"/>
      <c r="B1521" s="94"/>
      <c r="C1521" s="94"/>
      <c r="D1521" s="94"/>
      <c r="E1521" s="94"/>
      <c r="F1521" s="94"/>
      <c r="G1521" s="94"/>
      <c r="H1521" s="94"/>
      <c r="I1521" s="94"/>
      <c r="J1521" s="94"/>
      <c r="K1521" s="311"/>
      <c r="L1521" s="63"/>
      <c r="M1521" s="63"/>
      <c r="N1521" s="63"/>
      <c r="O1521" s="46"/>
      <c r="P1521" s="46"/>
      <c r="Q1521" s="64"/>
      <c r="R1521" s="45"/>
      <c r="S1521" s="45"/>
      <c r="T1521" s="45"/>
      <c r="U1521" s="46"/>
      <c r="V1521" s="46"/>
      <c r="W1521" s="319"/>
      <c r="X1521" s="128"/>
    </row>
    <row r="1522" spans="1:24">
      <c r="A1522" s="93"/>
      <c r="B1522" s="94"/>
      <c r="C1522" s="94"/>
      <c r="D1522" s="94"/>
      <c r="E1522" s="94"/>
      <c r="F1522" s="94"/>
      <c r="G1522" s="94"/>
      <c r="H1522" s="94"/>
      <c r="I1522" s="94"/>
      <c r="J1522" s="94"/>
      <c r="K1522" s="311"/>
      <c r="L1522" s="63"/>
      <c r="M1522" s="63"/>
      <c r="N1522" s="63"/>
      <c r="O1522" s="46"/>
      <c r="P1522" s="46"/>
      <c r="Q1522" s="64"/>
      <c r="R1522" s="45"/>
      <c r="S1522" s="45"/>
      <c r="T1522" s="45"/>
      <c r="U1522" s="46"/>
      <c r="V1522" s="46"/>
      <c r="W1522" s="319"/>
      <c r="X1522" s="128"/>
    </row>
    <row r="1523" spans="1:24">
      <c r="A1523" s="93"/>
      <c r="B1523" s="94"/>
      <c r="C1523" s="94"/>
      <c r="D1523" s="94"/>
      <c r="E1523" s="94"/>
      <c r="F1523" s="94"/>
      <c r="G1523" s="94"/>
      <c r="H1523" s="94"/>
      <c r="I1523" s="94"/>
      <c r="J1523" s="94"/>
      <c r="K1523" s="311"/>
      <c r="L1523" s="63"/>
      <c r="M1523" s="63"/>
      <c r="N1523" s="63"/>
      <c r="O1523" s="46"/>
      <c r="P1523" s="46"/>
      <c r="Q1523" s="64"/>
      <c r="R1523" s="45"/>
      <c r="S1523" s="45"/>
      <c r="T1523" s="45"/>
      <c r="U1523" s="46"/>
      <c r="V1523" s="46"/>
      <c r="W1523" s="319"/>
      <c r="X1523" s="128"/>
    </row>
    <row r="1524" spans="1:24">
      <c r="A1524" s="93"/>
      <c r="B1524" s="94"/>
      <c r="C1524" s="94"/>
      <c r="D1524" s="94"/>
      <c r="E1524" s="94"/>
      <c r="F1524" s="94"/>
      <c r="G1524" s="94"/>
      <c r="H1524" s="94"/>
      <c r="I1524" s="94"/>
      <c r="J1524" s="94"/>
      <c r="K1524" s="311"/>
      <c r="L1524" s="63"/>
      <c r="M1524" s="63"/>
      <c r="N1524" s="63"/>
      <c r="O1524" s="46"/>
      <c r="P1524" s="46"/>
      <c r="Q1524" s="64"/>
      <c r="R1524" s="45"/>
      <c r="S1524" s="45"/>
      <c r="T1524" s="45"/>
      <c r="U1524" s="46"/>
      <c r="V1524" s="46"/>
      <c r="W1524" s="319"/>
      <c r="X1524" s="128"/>
    </row>
    <row r="1525" spans="1:24">
      <c r="A1525" s="93"/>
      <c r="B1525" s="94"/>
      <c r="C1525" s="94"/>
      <c r="D1525" s="94"/>
      <c r="E1525" s="94"/>
      <c r="F1525" s="94"/>
      <c r="G1525" s="94"/>
      <c r="H1525" s="94"/>
      <c r="I1525" s="94"/>
      <c r="J1525" s="94"/>
      <c r="K1525" s="311"/>
      <c r="L1525" s="63"/>
      <c r="M1525" s="63"/>
      <c r="N1525" s="63"/>
      <c r="O1525" s="46"/>
      <c r="P1525" s="46"/>
      <c r="Q1525" s="64"/>
      <c r="R1525" s="45"/>
      <c r="S1525" s="45"/>
      <c r="T1525" s="45"/>
      <c r="U1525" s="46"/>
      <c r="V1525" s="46"/>
      <c r="W1525" s="319"/>
      <c r="X1525" s="128"/>
    </row>
    <row r="1526" spans="1:24">
      <c r="A1526" s="93"/>
      <c r="B1526" s="94"/>
      <c r="C1526" s="94"/>
      <c r="D1526" s="94"/>
      <c r="E1526" s="94"/>
      <c r="F1526" s="94"/>
      <c r="G1526" s="94"/>
      <c r="H1526" s="94"/>
      <c r="I1526" s="94"/>
      <c r="J1526" s="94"/>
      <c r="K1526" s="311"/>
      <c r="L1526" s="63"/>
      <c r="M1526" s="63"/>
      <c r="N1526" s="63"/>
      <c r="O1526" s="46"/>
      <c r="P1526" s="46"/>
      <c r="Q1526" s="64"/>
      <c r="R1526" s="45"/>
      <c r="S1526" s="45"/>
      <c r="T1526" s="45"/>
      <c r="U1526" s="46"/>
      <c r="V1526" s="46"/>
      <c r="W1526" s="319"/>
      <c r="X1526" s="128"/>
    </row>
    <row r="1527" spans="1:24">
      <c r="A1527" s="93"/>
      <c r="B1527" s="94"/>
      <c r="C1527" s="94"/>
      <c r="D1527" s="94"/>
      <c r="E1527" s="94"/>
      <c r="F1527" s="94"/>
      <c r="G1527" s="94"/>
      <c r="H1527" s="94"/>
      <c r="I1527" s="94"/>
      <c r="J1527" s="94"/>
      <c r="K1527" s="311"/>
      <c r="L1527" s="63"/>
      <c r="M1527" s="63"/>
      <c r="N1527" s="63"/>
      <c r="O1527" s="46"/>
      <c r="P1527" s="46"/>
      <c r="Q1527" s="64"/>
      <c r="R1527" s="45"/>
      <c r="S1527" s="45"/>
      <c r="T1527" s="45"/>
      <c r="U1527" s="46"/>
      <c r="V1527" s="46"/>
      <c r="W1527" s="319"/>
      <c r="X1527" s="128"/>
    </row>
    <row r="1528" spans="1:24">
      <c r="A1528" s="93"/>
      <c r="B1528" s="94"/>
      <c r="C1528" s="94"/>
      <c r="D1528" s="94"/>
      <c r="E1528" s="94"/>
      <c r="F1528" s="94"/>
      <c r="G1528" s="94"/>
      <c r="H1528" s="94"/>
      <c r="I1528" s="94"/>
      <c r="J1528" s="94"/>
      <c r="K1528" s="311"/>
      <c r="L1528" s="63"/>
      <c r="M1528" s="63"/>
      <c r="N1528" s="63"/>
      <c r="O1528" s="46"/>
      <c r="P1528" s="46"/>
      <c r="Q1528" s="64"/>
      <c r="R1528" s="45"/>
      <c r="S1528" s="45"/>
      <c r="T1528" s="45"/>
      <c r="U1528" s="46"/>
      <c r="V1528" s="46"/>
      <c r="W1528" s="319"/>
      <c r="X1528" s="128"/>
    </row>
    <row r="1529" spans="1:24">
      <c r="A1529" s="93"/>
      <c r="B1529" s="94"/>
      <c r="C1529" s="94"/>
      <c r="D1529" s="94"/>
      <c r="E1529" s="94"/>
      <c r="F1529" s="94"/>
      <c r="G1529" s="94"/>
      <c r="H1529" s="94"/>
      <c r="I1529" s="94"/>
      <c r="J1529" s="94"/>
      <c r="K1529" s="311"/>
      <c r="L1529" s="63"/>
      <c r="M1529" s="63"/>
      <c r="N1529" s="63"/>
      <c r="O1529" s="46"/>
      <c r="P1529" s="46"/>
      <c r="Q1529" s="64"/>
      <c r="R1529" s="45"/>
      <c r="S1529" s="45"/>
      <c r="T1529" s="45"/>
      <c r="U1529" s="46"/>
      <c r="V1529" s="46"/>
      <c r="W1529" s="319"/>
      <c r="X1529" s="128"/>
    </row>
    <row r="1530" spans="1:24">
      <c r="A1530" s="93"/>
      <c r="B1530" s="94"/>
      <c r="C1530" s="94"/>
      <c r="D1530" s="94"/>
      <c r="E1530" s="94"/>
      <c r="F1530" s="94"/>
      <c r="G1530" s="94"/>
      <c r="H1530" s="94"/>
      <c r="I1530" s="94"/>
      <c r="J1530" s="94"/>
      <c r="K1530" s="311"/>
      <c r="L1530" s="63"/>
      <c r="M1530" s="63"/>
      <c r="N1530" s="63"/>
      <c r="O1530" s="46"/>
      <c r="P1530" s="46"/>
      <c r="Q1530" s="64"/>
      <c r="R1530" s="45"/>
      <c r="S1530" s="45"/>
      <c r="T1530" s="45"/>
      <c r="U1530" s="46"/>
      <c r="V1530" s="46"/>
      <c r="W1530" s="319"/>
      <c r="X1530" s="128"/>
    </row>
    <row r="1531" spans="1:24">
      <c r="A1531" s="93"/>
      <c r="B1531" s="94"/>
      <c r="C1531" s="94"/>
      <c r="D1531" s="94"/>
      <c r="E1531" s="94"/>
      <c r="F1531" s="94"/>
      <c r="G1531" s="94"/>
      <c r="H1531" s="94"/>
      <c r="I1531" s="94"/>
      <c r="J1531" s="94"/>
      <c r="K1531" s="311"/>
      <c r="L1531" s="63"/>
      <c r="M1531" s="63"/>
      <c r="N1531" s="63"/>
      <c r="O1531" s="46"/>
      <c r="P1531" s="46"/>
      <c r="Q1531" s="64"/>
      <c r="R1531" s="45"/>
      <c r="S1531" s="45"/>
      <c r="T1531" s="45"/>
      <c r="U1531" s="46"/>
      <c r="V1531" s="46"/>
      <c r="W1531" s="319"/>
      <c r="X1531" s="128"/>
    </row>
    <row r="1532" spans="1:24">
      <c r="A1532" s="93"/>
      <c r="B1532" s="94"/>
      <c r="C1532" s="94"/>
      <c r="D1532" s="94"/>
      <c r="E1532" s="94"/>
      <c r="F1532" s="94"/>
      <c r="G1532" s="94"/>
      <c r="H1532" s="94"/>
      <c r="I1532" s="94"/>
      <c r="J1532" s="94"/>
      <c r="K1532" s="311"/>
      <c r="L1532" s="63"/>
      <c r="M1532" s="63"/>
      <c r="N1532" s="63"/>
      <c r="O1532" s="46"/>
      <c r="P1532" s="46"/>
      <c r="Q1532" s="64"/>
      <c r="R1532" s="45"/>
      <c r="S1532" s="45"/>
      <c r="T1532" s="45"/>
      <c r="U1532" s="46"/>
      <c r="V1532" s="46"/>
      <c r="W1532" s="319"/>
      <c r="X1532" s="128"/>
    </row>
    <row r="1533" spans="1:24">
      <c r="A1533" s="93"/>
      <c r="B1533" s="94"/>
      <c r="C1533" s="94"/>
      <c r="D1533" s="94"/>
      <c r="E1533" s="94"/>
      <c r="F1533" s="94"/>
      <c r="G1533" s="94"/>
      <c r="H1533" s="94"/>
      <c r="I1533" s="94"/>
      <c r="J1533" s="94"/>
      <c r="K1533" s="311"/>
      <c r="L1533" s="63"/>
      <c r="M1533" s="63"/>
      <c r="N1533" s="63"/>
      <c r="O1533" s="46"/>
      <c r="P1533" s="46"/>
      <c r="Q1533" s="64"/>
      <c r="R1533" s="45"/>
      <c r="S1533" s="45"/>
      <c r="T1533" s="45"/>
      <c r="U1533" s="46"/>
      <c r="V1533" s="46"/>
      <c r="W1533" s="319"/>
      <c r="X1533" s="128"/>
    </row>
    <row r="1534" spans="1:24">
      <c r="A1534" s="93"/>
      <c r="B1534" s="94"/>
      <c r="C1534" s="94"/>
      <c r="D1534" s="94"/>
      <c r="E1534" s="94"/>
      <c r="F1534" s="94"/>
      <c r="G1534" s="94"/>
      <c r="H1534" s="94"/>
      <c r="I1534" s="94"/>
      <c r="J1534" s="94"/>
      <c r="K1534" s="311"/>
      <c r="L1534" s="63"/>
      <c r="M1534" s="63"/>
      <c r="N1534" s="63"/>
      <c r="O1534" s="46"/>
      <c r="P1534" s="46"/>
      <c r="Q1534" s="64"/>
      <c r="R1534" s="45"/>
      <c r="S1534" s="45"/>
      <c r="T1534" s="45"/>
      <c r="U1534" s="46"/>
      <c r="V1534" s="46"/>
      <c r="W1534" s="319"/>
      <c r="X1534" s="128"/>
    </row>
    <row r="1535" spans="1:24">
      <c r="A1535" s="93"/>
      <c r="B1535" s="94"/>
      <c r="C1535" s="94"/>
      <c r="D1535" s="94"/>
      <c r="E1535" s="94"/>
      <c r="F1535" s="94"/>
      <c r="G1535" s="94"/>
      <c r="H1535" s="94"/>
      <c r="I1535" s="94"/>
      <c r="J1535" s="94"/>
      <c r="K1535" s="311"/>
      <c r="L1535" s="63"/>
      <c r="M1535" s="63"/>
      <c r="N1535" s="63"/>
      <c r="O1535" s="46"/>
      <c r="P1535" s="46"/>
      <c r="Q1535" s="64"/>
      <c r="R1535" s="45"/>
      <c r="S1535" s="45"/>
      <c r="T1535" s="45"/>
      <c r="U1535" s="46"/>
      <c r="V1535" s="46"/>
      <c r="W1535" s="319"/>
      <c r="X1535" s="128"/>
    </row>
    <row r="1536" spans="1:24">
      <c r="A1536" s="93"/>
      <c r="B1536" s="94"/>
      <c r="C1536" s="94"/>
      <c r="D1536" s="94"/>
      <c r="E1536" s="94"/>
      <c r="F1536" s="94"/>
      <c r="G1536" s="94"/>
      <c r="H1536" s="94"/>
      <c r="I1536" s="94"/>
      <c r="J1536" s="94"/>
      <c r="K1536" s="311"/>
      <c r="L1536" s="63"/>
      <c r="M1536" s="63"/>
      <c r="N1536" s="63"/>
      <c r="O1536" s="46"/>
      <c r="P1536" s="46"/>
      <c r="Q1536" s="64"/>
      <c r="R1536" s="45"/>
      <c r="S1536" s="45"/>
      <c r="T1536" s="45"/>
      <c r="U1536" s="46"/>
      <c r="V1536" s="46"/>
      <c r="W1536" s="319"/>
      <c r="X1536" s="128"/>
    </row>
    <row r="1537" spans="1:24">
      <c r="A1537" s="93"/>
      <c r="B1537" s="94"/>
      <c r="C1537" s="94"/>
      <c r="D1537" s="94"/>
      <c r="E1537" s="94"/>
      <c r="F1537" s="94"/>
      <c r="G1537" s="94"/>
      <c r="H1537" s="94"/>
      <c r="I1537" s="94"/>
      <c r="J1537" s="94"/>
      <c r="K1537" s="311"/>
      <c r="L1537" s="63"/>
      <c r="M1537" s="63"/>
      <c r="N1537" s="63"/>
      <c r="O1537" s="46"/>
      <c r="P1537" s="46"/>
      <c r="Q1537" s="64"/>
      <c r="R1537" s="45"/>
      <c r="S1537" s="45"/>
      <c r="T1537" s="45"/>
      <c r="U1537" s="46"/>
      <c r="V1537" s="46"/>
      <c r="W1537" s="319"/>
      <c r="X1537" s="128"/>
    </row>
    <row r="1538" spans="1:24">
      <c r="A1538" s="93"/>
      <c r="B1538" s="94"/>
      <c r="C1538" s="94"/>
      <c r="D1538" s="94"/>
      <c r="E1538" s="94"/>
      <c r="F1538" s="94"/>
      <c r="G1538" s="94"/>
      <c r="H1538" s="94"/>
      <c r="I1538" s="94"/>
      <c r="J1538" s="94"/>
      <c r="O1538" s="46"/>
      <c r="P1538" s="46"/>
      <c r="Q1538" s="64"/>
      <c r="R1538" s="45"/>
      <c r="S1538" s="45"/>
      <c r="T1538" s="45"/>
      <c r="U1538" s="46"/>
      <c r="V1538" s="46"/>
      <c r="W1538" s="319"/>
      <c r="X1538" s="128"/>
    </row>
  </sheetData>
  <autoFilter ref="A3:AB1421">
    <filterColumn colId="23">
      <filters blank="1">
        <filter val="1040.0"/>
        <filter val="1122.8"/>
        <filter val="1131.4"/>
        <filter val="1140.0"/>
        <filter val="120.0"/>
        <filter val="1321.4"/>
        <filter val="1520.0"/>
        <filter val="196.0"/>
        <filter val="216.0"/>
        <filter val="217.7"/>
        <filter val="251.4"/>
        <filter val="341.4"/>
        <filter val="342.8"/>
        <filter val="351.4"/>
        <filter val="362.8"/>
        <filter val="371.4"/>
        <filter val="372.8"/>
        <filter val="381.4"/>
        <filter val="397.5"/>
        <filter val="418.0"/>
        <filter val="432.8"/>
        <filter val="450.0"/>
        <filter val="455.0"/>
        <filter val="492.3"/>
        <filter val="497.4"/>
        <filter val="507.8"/>
        <filter val="511.4"/>
        <filter val="516.4"/>
        <filter val="519.2"/>
        <filter val="520.0"/>
        <filter val="522.8"/>
        <filter val="525.0"/>
        <filter val="528.4"/>
        <filter val="531.4"/>
        <filter val="540.0"/>
        <filter val="551.4"/>
        <filter val="561.4"/>
        <filter val="570.0"/>
        <filter val="600.0"/>
        <filter val="621.4"/>
        <filter val="630.0"/>
        <filter val="650.0"/>
        <filter val="682.8"/>
        <filter val="691.4"/>
        <filter val="700.0"/>
        <filter val="702.0"/>
        <filter val="702.8"/>
        <filter val="731.4"/>
        <filter val="732.3"/>
        <filter val="735.0"/>
        <filter val="742.8"/>
        <filter val="751.4"/>
        <filter val="754.0"/>
        <filter val="760.0"/>
        <filter val="780.0"/>
        <filter val="789.4"/>
        <filter val="822.8"/>
        <filter val="831.4"/>
        <filter val="837.4"/>
        <filter val="866.4"/>
        <filter val="874.2"/>
        <filter val="875.0"/>
        <filter val="941.4"/>
        <filter val="950.0"/>
        <filter val="957.4"/>
        <filter val="997.4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29" activePane="bottomLeft" state="frozen"/>
      <selection pane="bottomLeft" activeCell="E44" sqref="E44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82" t="s">
        <v>519</v>
      </c>
      <c r="B1" s="482"/>
      <c r="C1" s="482"/>
      <c r="D1" s="482"/>
      <c r="E1" s="482"/>
      <c r="F1" s="482"/>
      <c r="G1" s="482"/>
      <c r="H1" s="482"/>
    </row>
    <row r="2" spans="1:8" ht="15.75" customHeight="1" thickBot="1">
      <c r="A2" s="482"/>
      <c r="B2" s="482"/>
      <c r="C2" s="482"/>
      <c r="D2" s="482"/>
      <c r="E2" s="482"/>
      <c r="F2" s="482"/>
      <c r="G2" s="482"/>
      <c r="H2" s="482"/>
    </row>
    <row r="3" spans="1:8">
      <c r="A3" s="483" t="s">
        <v>514</v>
      </c>
      <c r="B3" s="485" t="s">
        <v>515</v>
      </c>
      <c r="C3" s="487" t="s">
        <v>516</v>
      </c>
      <c r="D3" s="489" t="s">
        <v>3</v>
      </c>
      <c r="E3" s="489" t="s">
        <v>58</v>
      </c>
      <c r="F3" s="491" t="s">
        <v>517</v>
      </c>
      <c r="G3" s="492"/>
      <c r="H3" s="480" t="s">
        <v>518</v>
      </c>
    </row>
    <row r="4" spans="1:8" ht="15.75" thickBot="1">
      <c r="A4" s="484"/>
      <c r="B4" s="486"/>
      <c r="C4" s="488"/>
      <c r="D4" s="490"/>
      <c r="E4" s="490"/>
      <c r="F4" s="246" t="s">
        <v>3</v>
      </c>
      <c r="G4" s="247" t="s">
        <v>203</v>
      </c>
      <c r="H4" s="481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1425</v>
      </c>
      <c r="B33" s="267" t="s">
        <v>9</v>
      </c>
      <c r="C33" s="36" t="s">
        <v>1426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1427</v>
      </c>
      <c r="B34" s="269" t="s">
        <v>9</v>
      </c>
      <c r="C34" s="36" t="s">
        <v>1449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1450</v>
      </c>
      <c r="B35" s="264" t="s">
        <v>9</v>
      </c>
      <c r="C35" s="36" t="s">
        <v>1477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1450</v>
      </c>
      <c r="B36" s="269" t="s">
        <v>9</v>
      </c>
      <c r="C36" s="36" t="s">
        <v>1476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1479</v>
      </c>
      <c r="B37" s="269" t="s">
        <v>9</v>
      </c>
      <c r="C37" s="36" t="s">
        <v>1494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1495</v>
      </c>
      <c r="B38" s="269" t="s">
        <v>9</v>
      </c>
      <c r="C38" s="36" t="s">
        <v>1521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1522</v>
      </c>
      <c r="B39" s="269" t="s">
        <v>9</v>
      </c>
      <c r="C39" s="36" t="s">
        <v>1538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1539</v>
      </c>
      <c r="B40" s="269" t="s">
        <v>9</v>
      </c>
      <c r="C40" s="36" t="s">
        <v>1562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1569</v>
      </c>
      <c r="B41" s="269" t="s">
        <v>129</v>
      </c>
      <c r="C41" s="36" t="s">
        <v>1596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1585</v>
      </c>
      <c r="B42" s="269" t="s">
        <v>9</v>
      </c>
      <c r="C42" s="36" t="s">
        <v>1595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1611</v>
      </c>
      <c r="B43" s="269" t="s">
        <v>9</v>
      </c>
      <c r="C43" s="36" t="s">
        <v>1612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/>
      <c r="B47" s="19"/>
      <c r="C47" s="364"/>
      <c r="D47" s="20"/>
      <c r="E47" s="268"/>
      <c r="F47" s="130"/>
      <c r="G47" s="321"/>
      <c r="H47" s="261"/>
    </row>
    <row r="48" spans="1:8">
      <c r="A48" s="364"/>
      <c r="B48" s="19"/>
      <c r="C48" s="364"/>
      <c r="D48" s="20"/>
      <c r="E48" s="268"/>
      <c r="F48" s="130"/>
      <c r="G48" s="321"/>
      <c r="H48" s="261"/>
    </row>
    <row r="49" spans="1:8">
      <c r="A49" s="98"/>
      <c r="B49" s="269"/>
      <c r="C49" s="36"/>
      <c r="D49" s="19"/>
      <c r="E49" s="39"/>
      <c r="F49" s="131"/>
      <c r="G49" s="322"/>
      <c r="H49" s="265"/>
    </row>
    <row r="50" spans="1:8">
      <c r="A50" s="98"/>
      <c r="B50" s="269"/>
      <c r="C50" s="36"/>
      <c r="D50" s="19"/>
      <c r="E50" s="39"/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0</v>
      </c>
      <c r="E67" s="259">
        <f>SUM(E47:E66)</f>
        <v>0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76"/>
      <c r="B78" s="272"/>
      <c r="C78" s="478"/>
      <c r="D78" s="273"/>
      <c r="E78" s="274"/>
      <c r="F78" s="275"/>
      <c r="G78" s="324"/>
      <c r="H78" s="263"/>
    </row>
    <row r="79" spans="1:8">
      <c r="A79" s="477"/>
      <c r="B79" s="272"/>
      <c r="C79" s="479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4319</v>
      </c>
      <c r="E131" s="289">
        <f>E6+E14+E23+E32+E46+E67+E82+E92+E102+E109+E119+E130</f>
        <v>147266.5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AC-2020-21'!G1419</f>
        <v>156213.09999999998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-8946.5999999999767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14" activePane="bottomLeft" state="frozen"/>
      <selection pane="bottomLeft" activeCell="S25" sqref="S2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493" t="s">
        <v>494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3"/>
      <c r="Q1" s="139"/>
    </row>
    <row r="2" spans="1:20" s="189" customFormat="1" ht="15.75" customHeight="1">
      <c r="A2" s="494" t="s">
        <v>507</v>
      </c>
      <c r="B2" s="496" t="s">
        <v>486</v>
      </c>
      <c r="C2" s="496"/>
      <c r="D2" s="496"/>
      <c r="E2" s="497"/>
      <c r="F2" s="498" t="s">
        <v>487</v>
      </c>
      <c r="G2" s="499"/>
      <c r="H2" s="499"/>
      <c r="I2" s="499"/>
      <c r="J2" s="500" t="s">
        <v>488</v>
      </c>
      <c r="K2" s="501"/>
      <c r="L2" s="501"/>
      <c r="M2" s="502"/>
      <c r="N2" s="503" t="s">
        <v>489</v>
      </c>
      <c r="O2" s="504"/>
      <c r="P2" s="504"/>
      <c r="Q2" s="505"/>
    </row>
    <row r="3" spans="1:20" s="206" customFormat="1" ht="16.5" thickBot="1">
      <c r="A3" s="495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1383</v>
      </c>
      <c r="B4" s="398" t="s">
        <v>1382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1386</v>
      </c>
      <c r="B5" s="398" t="s">
        <v>1384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1387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1" t="s">
        <v>1382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1388</v>
      </c>
      <c r="B7" s="242"/>
      <c r="C7" s="232"/>
      <c r="D7" s="243"/>
      <c r="E7" s="237"/>
      <c r="F7" s="402" t="s">
        <v>1382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1391</v>
      </c>
      <c r="B8" s="398" t="s">
        <v>1389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3">
        <f>SUM(Q6:Q9)</f>
        <v>142.5</v>
      </c>
      <c r="R10"/>
      <c r="S10"/>
    </row>
    <row r="11" spans="1:20" ht="15.75">
      <c r="A11" s="360" t="s">
        <v>1392</v>
      </c>
      <c r="B11" s="398"/>
      <c r="C11" s="232"/>
      <c r="D11" s="243"/>
      <c r="E11" s="237"/>
      <c r="F11" s="240"/>
      <c r="G11" s="232"/>
      <c r="H11" s="233"/>
      <c r="I11" s="237"/>
      <c r="J11" s="402" t="s">
        <v>1382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1394</v>
      </c>
      <c r="B12" s="398" t="s">
        <v>1393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1408</v>
      </c>
      <c r="T12" s="293">
        <f>326076.1</f>
        <v>326076.09999999998</v>
      </c>
    </row>
    <row r="13" spans="1:20" ht="15.75">
      <c r="A13" s="360"/>
      <c r="B13" s="242"/>
      <c r="C13" s="232"/>
      <c r="D13" s="243"/>
      <c r="E13" s="237"/>
      <c r="F13" s="402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1409</v>
      </c>
      <c r="T13" s="293">
        <f>'VARGIN TEA AC-2020-21'!G1413</f>
        <v>187407.19999999943</v>
      </c>
    </row>
    <row r="14" spans="1:20">
      <c r="A14" s="178" t="s">
        <v>496</v>
      </c>
      <c r="B14" s="177"/>
      <c r="C14" s="151">
        <f>SUM(C11:C13)</f>
        <v>1065</v>
      </c>
      <c r="D14" s="404">
        <f>SUM(D11:D13)</f>
        <v>35224</v>
      </c>
      <c r="E14" s="405">
        <f>SUM(E11:E13)</f>
        <v>140.9</v>
      </c>
      <c r="F14" s="168"/>
      <c r="G14" s="151">
        <f>SUM(G11:G13)</f>
        <v>0</v>
      </c>
      <c r="H14" s="404">
        <f>SUM(H11:H13)</f>
        <v>0</v>
      </c>
      <c r="I14" s="404">
        <f>SUM(I11:I13)</f>
        <v>0</v>
      </c>
      <c r="J14" s="150"/>
      <c r="K14" s="151">
        <f>SUM(K11:K13)</f>
        <v>498</v>
      </c>
      <c r="L14" s="404">
        <f>SUM(L11:L13)</f>
        <v>16000.7</v>
      </c>
      <c r="M14" s="404">
        <f>SUM(M11:M13)</f>
        <v>64.002799999999993</v>
      </c>
      <c r="N14" s="168"/>
      <c r="O14" s="151">
        <f>SUM(O11:O13)</f>
        <v>0</v>
      </c>
      <c r="P14" s="404">
        <f>SUM(P11:P13)</f>
        <v>0</v>
      </c>
      <c r="Q14" s="403">
        <f>SUM(Q11:Q13)</f>
        <v>0</v>
      </c>
      <c r="S14" t="s">
        <v>1410</v>
      </c>
      <c r="T14" s="293">
        <f>D20+D24+D26+H22+P19+P23+P25+P29</f>
        <v>276709.5</v>
      </c>
    </row>
    <row r="15" spans="1:20" ht="15.75">
      <c r="A15" s="294" t="s">
        <v>1395</v>
      </c>
      <c r="B15" s="402"/>
      <c r="C15" s="412"/>
      <c r="D15" s="421"/>
      <c r="E15" s="422"/>
      <c r="F15" s="413"/>
      <c r="G15" s="414"/>
      <c r="H15" s="421"/>
      <c r="I15" s="422"/>
      <c r="J15" s="242"/>
      <c r="K15" s="414"/>
      <c r="L15" s="421"/>
      <c r="M15" s="422"/>
      <c r="N15" s="415" t="s">
        <v>1384</v>
      </c>
      <c r="O15" s="414">
        <v>1076</v>
      </c>
      <c r="P15" s="421">
        <v>35320</v>
      </c>
      <c r="Q15" s="423">
        <v>141.28</v>
      </c>
      <c r="T15" s="293"/>
    </row>
    <row r="16" spans="1:20" ht="15.75">
      <c r="A16" s="294" t="s">
        <v>1397</v>
      </c>
      <c r="B16" s="402" t="s">
        <v>1396</v>
      </c>
      <c r="C16" s="414">
        <v>1087</v>
      </c>
      <c r="D16" s="421">
        <v>37289.5</v>
      </c>
      <c r="E16" s="422">
        <v>149.15799999999999</v>
      </c>
      <c r="F16" s="415"/>
      <c r="G16" s="412"/>
      <c r="H16" s="421"/>
      <c r="I16" s="422"/>
      <c r="J16" s="242"/>
      <c r="K16" s="414"/>
      <c r="L16" s="421"/>
      <c r="M16" s="422"/>
      <c r="N16" s="415"/>
      <c r="O16" s="412"/>
      <c r="P16" s="414"/>
      <c r="Q16" s="423"/>
    </row>
    <row r="17" spans="1:20" ht="15.75">
      <c r="A17" s="230" t="s">
        <v>1399</v>
      </c>
      <c r="B17" s="416"/>
      <c r="C17" s="417"/>
      <c r="D17" s="419"/>
      <c r="E17" s="424"/>
      <c r="F17" s="418"/>
      <c r="G17" s="419"/>
      <c r="H17" s="425"/>
      <c r="I17" s="426"/>
      <c r="J17" s="420" t="s">
        <v>1384</v>
      </c>
      <c r="K17" s="417">
        <v>540</v>
      </c>
      <c r="L17" s="425">
        <v>18585</v>
      </c>
      <c r="M17" s="426">
        <v>74.34</v>
      </c>
      <c r="N17" s="415"/>
      <c r="O17" s="412"/>
      <c r="P17" s="414"/>
      <c r="Q17" s="427"/>
    </row>
    <row r="18" spans="1:20" ht="15.75">
      <c r="A18" s="230" t="s">
        <v>1400</v>
      </c>
      <c r="B18" s="416" t="s">
        <v>1398</v>
      </c>
      <c r="C18" s="417">
        <v>1080</v>
      </c>
      <c r="D18" s="419">
        <v>37533.699999999997</v>
      </c>
      <c r="E18" s="424">
        <v>150.13</v>
      </c>
      <c r="F18" s="418"/>
      <c r="G18" s="419"/>
      <c r="H18" s="425"/>
      <c r="I18" s="426"/>
      <c r="J18" s="420"/>
      <c r="K18" s="417"/>
      <c r="L18" s="425"/>
      <c r="M18" s="426"/>
      <c r="N18" s="415"/>
      <c r="O18" s="412"/>
      <c r="P18" s="414"/>
      <c r="Q18" s="427"/>
      <c r="S18" t="s">
        <v>1411</v>
      </c>
      <c r="T18" s="293">
        <f>T13+T14-T12</f>
        <v>138040.59999999945</v>
      </c>
    </row>
    <row r="19" spans="1:20" ht="15.75">
      <c r="A19" s="230"/>
      <c r="B19" s="416"/>
      <c r="C19" s="417"/>
      <c r="D19" s="419"/>
      <c r="E19" s="424"/>
      <c r="F19" s="418"/>
      <c r="G19" s="419"/>
      <c r="H19" s="425"/>
      <c r="I19" s="426"/>
      <c r="J19" s="420"/>
      <c r="K19" s="417"/>
      <c r="L19" s="425"/>
      <c r="M19" s="426"/>
      <c r="N19" s="415" t="s">
        <v>1389</v>
      </c>
      <c r="O19" s="412">
        <v>1062</v>
      </c>
      <c r="P19" s="414">
        <f>35881-28</f>
        <v>35853</v>
      </c>
      <c r="Q19" s="427">
        <v>147</v>
      </c>
    </row>
    <row r="20" spans="1:20" ht="15" customHeight="1">
      <c r="A20" s="230"/>
      <c r="B20" s="416" t="s">
        <v>1402</v>
      </c>
      <c r="C20" s="417">
        <v>1095</v>
      </c>
      <c r="D20" s="419">
        <v>37522.300000000003</v>
      </c>
      <c r="E20" s="424">
        <v>153.84</v>
      </c>
      <c r="F20" s="418"/>
      <c r="G20" s="419"/>
      <c r="H20" s="425"/>
      <c r="I20" s="426"/>
      <c r="J20" s="420"/>
      <c r="K20" s="417"/>
      <c r="L20" s="425"/>
      <c r="M20" s="426"/>
      <c r="N20" s="420"/>
      <c r="O20" s="417"/>
      <c r="P20" s="425"/>
      <c r="Q20" s="428"/>
    </row>
    <row r="21" spans="1:20" ht="15" customHeight="1">
      <c r="A21" s="178" t="s">
        <v>497</v>
      </c>
      <c r="B21" s="177"/>
      <c r="C21" s="151">
        <f>SUM(C15:C20)</f>
        <v>3262</v>
      </c>
      <c r="D21" s="404">
        <f>SUM(D15:D20)</f>
        <v>112345.5</v>
      </c>
      <c r="E21" s="405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4">
        <f>SUM(L17:L20)</f>
        <v>18585</v>
      </c>
      <c r="M21" s="404">
        <f>SUM(M17:M20)</f>
        <v>74.34</v>
      </c>
      <c r="N21" s="168"/>
      <c r="O21" s="151">
        <f>SUM(O15:O20)</f>
        <v>2138</v>
      </c>
      <c r="P21" s="404">
        <f>SUM(P15:P20)</f>
        <v>71173</v>
      </c>
      <c r="Q21" s="403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20" t="s">
        <v>1384</v>
      </c>
      <c r="G22" s="420">
        <v>528</v>
      </c>
      <c r="H22" s="420">
        <v>18143.8</v>
      </c>
      <c r="I22" s="420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20"/>
      <c r="G23" s="420"/>
      <c r="H23" s="420"/>
      <c r="I23" s="420"/>
      <c r="J23" s="148"/>
      <c r="K23" s="147"/>
      <c r="L23" s="112"/>
      <c r="M23" s="161"/>
      <c r="N23" s="140" t="s">
        <v>1393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1403</v>
      </c>
      <c r="C24" s="141">
        <v>1093</v>
      </c>
      <c r="D24" s="142">
        <v>37929.300000000003</v>
      </c>
      <c r="E24" s="170">
        <v>159.30000000000001</v>
      </c>
      <c r="F24" s="420"/>
      <c r="G24" s="420"/>
      <c r="H24" s="420"/>
      <c r="I24" s="420"/>
      <c r="J24" s="140" t="s">
        <v>1389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20"/>
      <c r="G25" s="420"/>
      <c r="H25" s="420"/>
      <c r="I25" s="420"/>
      <c r="J25" s="140"/>
      <c r="K25" s="141"/>
      <c r="L25" s="112"/>
      <c r="M25" s="161"/>
      <c r="N25" s="140" t="s">
        <v>1396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1406</v>
      </c>
      <c r="C26" s="141">
        <v>1090</v>
      </c>
      <c r="D26" s="142">
        <v>37658.300000000003</v>
      </c>
      <c r="E26" s="170"/>
      <c r="F26" s="420"/>
      <c r="G26" s="420"/>
      <c r="H26" s="420"/>
      <c r="I26" s="420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20"/>
      <c r="G27" s="420"/>
      <c r="H27" s="420"/>
      <c r="I27" s="420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4">
        <f>SUM(D22:D27)</f>
        <v>75587.600000000006</v>
      </c>
      <c r="E28" s="405">
        <f>SUM(E22:E27)</f>
        <v>159.30000000000001</v>
      </c>
      <c r="F28" s="168"/>
      <c r="G28" s="151">
        <f>SUM(G22:G27)</f>
        <v>528</v>
      </c>
      <c r="H28" s="404">
        <f>SUM(H22:H27)</f>
        <v>18143.8</v>
      </c>
      <c r="I28" s="404">
        <f>SUM(I22:I27)</f>
        <v>76.239999999999995</v>
      </c>
      <c r="J28" s="150"/>
      <c r="K28" s="151">
        <f>SUM(K22:K27)</f>
        <v>260</v>
      </c>
      <c r="L28" s="404">
        <f>SUM(L22:L27)</f>
        <v>9214.7999999999993</v>
      </c>
      <c r="M28" s="404">
        <f>SUM(M22:M27)</f>
        <v>0</v>
      </c>
      <c r="N28" s="168"/>
      <c r="O28" s="151">
        <f>SUM(O22:O27)</f>
        <v>2160</v>
      </c>
      <c r="P28" s="404">
        <f>SUM(P22:P27)</f>
        <v>73678</v>
      </c>
      <c r="Q28" s="403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1398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4">
        <f>SUM(D29:D34)</f>
        <v>0</v>
      </c>
      <c r="E35" s="405">
        <f>SUM(E29:E34)</f>
        <v>0</v>
      </c>
      <c r="F35" s="168"/>
      <c r="G35" s="151">
        <f>SUM(G29:G34)</f>
        <v>0</v>
      </c>
      <c r="H35" s="404">
        <f>SUM((H29:H34))</f>
        <v>0</v>
      </c>
      <c r="I35" s="404">
        <f>SUM(I29:I34)</f>
        <v>0</v>
      </c>
      <c r="J35" s="150"/>
      <c r="K35" s="151">
        <f>SUM(K29:K34)</f>
        <v>0</v>
      </c>
      <c r="L35" s="404">
        <f>SUM(L29:L34)</f>
        <v>0</v>
      </c>
      <c r="M35" s="404">
        <f>SUM(M29:M34)</f>
        <v>0</v>
      </c>
      <c r="N35" s="168"/>
      <c r="O35" s="151">
        <f>SUM(O29:O34)</f>
        <v>1066</v>
      </c>
      <c r="P35" s="404">
        <f>SUM(P29:P34)</f>
        <v>35924.800000000003</v>
      </c>
      <c r="Q35" s="403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4">
        <f>SUM(D36:D40)</f>
        <v>0</v>
      </c>
      <c r="E41" s="405">
        <f>SUM(E36:E40)</f>
        <v>0</v>
      </c>
      <c r="F41" s="168"/>
      <c r="G41" s="151">
        <f>SUM(G36:G40)</f>
        <v>0</v>
      </c>
      <c r="H41" s="404">
        <f>SUM(H36:H40)</f>
        <v>0</v>
      </c>
      <c r="I41" s="404">
        <f>SUM(I36:I40)</f>
        <v>0</v>
      </c>
      <c r="J41" s="150"/>
      <c r="K41" s="151">
        <f>SUM(K36:K40)</f>
        <v>0</v>
      </c>
      <c r="L41" s="404">
        <f>SUM(L36:L40)</f>
        <v>0</v>
      </c>
      <c r="M41" s="404">
        <f>SUM(M36:M40)</f>
        <v>0</v>
      </c>
      <c r="N41" s="168"/>
      <c r="O41" s="151">
        <f>SUM(O36:O40)</f>
        <v>0</v>
      </c>
      <c r="P41" s="404">
        <f>SUM(P36:P40)</f>
        <v>0</v>
      </c>
      <c r="Q41" s="403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4">
        <f>SUM(D42:D45)</f>
        <v>0</v>
      </c>
      <c r="E46" s="405">
        <f>SUM(E42:E45)</f>
        <v>0</v>
      </c>
      <c r="F46" s="168"/>
      <c r="G46" s="151">
        <f>SUM(G42:G45)</f>
        <v>0</v>
      </c>
      <c r="H46" s="404">
        <f>SUM(H42:H45)</f>
        <v>0</v>
      </c>
      <c r="I46" s="404">
        <f>SUM(I42:I45)</f>
        <v>0</v>
      </c>
      <c r="J46" s="150"/>
      <c r="K46" s="151">
        <f>SUM(K42:K45)</f>
        <v>0</v>
      </c>
      <c r="L46" s="404">
        <f>SUM(L42:L45)</f>
        <v>0</v>
      </c>
      <c r="M46" s="404">
        <f>SUM(M42:M45)</f>
        <v>0</v>
      </c>
      <c r="N46" s="168"/>
      <c r="O46" s="151">
        <f>SUM(O42:O45)</f>
        <v>0</v>
      </c>
      <c r="P46" s="404">
        <f>SUM(P42:P45)</f>
        <v>0</v>
      </c>
      <c r="Q46" s="403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4">
        <f>SUM(D47:D49)</f>
        <v>0</v>
      </c>
      <c r="E50" s="405">
        <f>SUM(E47:E49)</f>
        <v>0</v>
      </c>
      <c r="F50" s="168"/>
      <c r="G50" s="151">
        <f>SUM(G47:G49)</f>
        <v>0</v>
      </c>
      <c r="H50" s="404">
        <f>SUM(H47:H49)</f>
        <v>0</v>
      </c>
      <c r="I50" s="404">
        <f>SUM(I47:I49)</f>
        <v>0</v>
      </c>
      <c r="J50" s="150"/>
      <c r="K50" s="151">
        <f>SUM(K47:K49)</f>
        <v>0</v>
      </c>
      <c r="L50" s="404">
        <f>SUM(L47:L49)</f>
        <v>0</v>
      </c>
      <c r="M50" s="404">
        <f>SUM(M47:M49)</f>
        <v>0</v>
      </c>
      <c r="N50" s="168"/>
      <c r="O50" s="151">
        <f>SUM(O47:O49)</f>
        <v>0</v>
      </c>
      <c r="P50" s="404">
        <f>SUM(P47:P49)</f>
        <v>0</v>
      </c>
      <c r="Q50" s="403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4">
        <f>SUM(D51:D56)</f>
        <v>0</v>
      </c>
      <c r="E57" s="405">
        <f>SUM(E51:E56)</f>
        <v>0</v>
      </c>
      <c r="F57" s="168"/>
      <c r="G57" s="151">
        <f>SUM(G51:G56)</f>
        <v>0</v>
      </c>
      <c r="H57" s="404">
        <f>SUM(H51:H56)</f>
        <v>0</v>
      </c>
      <c r="I57" s="404">
        <f>SUM(I51:I56)</f>
        <v>0</v>
      </c>
      <c r="J57" s="150"/>
      <c r="K57" s="151">
        <f>SUM(K51:K56)</f>
        <v>0</v>
      </c>
      <c r="L57" s="406">
        <f>SUM(L51:L56)</f>
        <v>0</v>
      </c>
      <c r="M57" s="404">
        <f>SUM(M51:M56)</f>
        <v>0</v>
      </c>
      <c r="N57" s="150"/>
      <c r="O57" s="151">
        <f>SUM(O51:O56)</f>
        <v>0</v>
      </c>
      <c r="P57" s="404">
        <f>SUM(P51:P56)</f>
        <v>0</v>
      </c>
      <c r="Q57" s="403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4">
        <f>SUM(D58:D61)</f>
        <v>0</v>
      </c>
      <c r="E62" s="405">
        <f>SUM(E58:E61)</f>
        <v>0</v>
      </c>
      <c r="F62" s="168"/>
      <c r="G62" s="151">
        <f>SUM(G58:G61)</f>
        <v>0</v>
      </c>
      <c r="H62" s="404">
        <f>SUM(H58:H61)</f>
        <v>0</v>
      </c>
      <c r="I62" s="404">
        <f>SUM(I58:I61)</f>
        <v>0</v>
      </c>
      <c r="J62" s="150"/>
      <c r="K62" s="151">
        <f>SUM(K58:K61)</f>
        <v>0</v>
      </c>
      <c r="L62" s="404">
        <f>SUM(L58:L61)</f>
        <v>0</v>
      </c>
      <c r="M62" s="404">
        <f>SUM(M58:M61)</f>
        <v>0</v>
      </c>
      <c r="N62" s="150"/>
      <c r="O62" s="151">
        <f>SUM(O58:O61)</f>
        <v>0</v>
      </c>
      <c r="P62" s="404">
        <f>SUM(P58:P61)</f>
        <v>0</v>
      </c>
      <c r="Q62" s="403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4">
        <f>SUM(D63:D64)</f>
        <v>0</v>
      </c>
      <c r="E65" s="405">
        <f>SUM(E63:E64)</f>
        <v>0</v>
      </c>
      <c r="F65" s="168"/>
      <c r="G65" s="151">
        <f>SUM(G63:G64)</f>
        <v>0</v>
      </c>
      <c r="H65" s="404">
        <f>SUM(H63:H64)</f>
        <v>0</v>
      </c>
      <c r="I65" s="404">
        <f>SUM(I63:I64)</f>
        <v>0</v>
      </c>
      <c r="J65" s="150"/>
      <c r="K65" s="151">
        <f>SUM(K63:K64)</f>
        <v>0</v>
      </c>
      <c r="L65" s="404">
        <f>SUM(L63:L64)</f>
        <v>0</v>
      </c>
      <c r="M65" s="404">
        <f>SUM(M63:M64)</f>
        <v>0</v>
      </c>
      <c r="N65" s="150"/>
      <c r="O65" s="151">
        <f>SUM(O63:O64)</f>
        <v>0</v>
      </c>
      <c r="P65" s="404">
        <f>SUM(P63:P64)</f>
        <v>0</v>
      </c>
      <c r="Q65" s="403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7">
        <f>SUM(D66:D69)</f>
        <v>0</v>
      </c>
      <c r="E70" s="408">
        <f>SUM(E66:E69)</f>
        <v>0</v>
      </c>
      <c r="F70" s="349"/>
      <c r="G70" s="350">
        <f>SUM(G66:G69)</f>
        <v>0</v>
      </c>
      <c r="H70" s="409">
        <f>SUM(H66:H69)</f>
        <v>0</v>
      </c>
      <c r="I70" s="409">
        <f>SUM(I66:I69)</f>
        <v>0</v>
      </c>
      <c r="J70" s="351"/>
      <c r="K70" s="350">
        <f>SUM(K66:K69)</f>
        <v>0</v>
      </c>
      <c r="L70" s="350">
        <f>SUM(L66:L69)</f>
        <v>0</v>
      </c>
      <c r="M70" s="409">
        <f>SUM(M66:M69)</f>
        <v>0</v>
      </c>
      <c r="N70" s="351"/>
      <c r="O70" s="350">
        <f>SUM(O66:O69)</f>
        <v>0</v>
      </c>
      <c r="P70" s="409">
        <f>SUM(P66:P69)</f>
        <v>0</v>
      </c>
      <c r="Q70" s="410">
        <f>SUM(Q66:Q69)</f>
        <v>0</v>
      </c>
    </row>
    <row r="71" spans="1:17" ht="15.75" thickBot="1">
      <c r="A71" s="411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332333.90000000002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AC-2020-21'!P1415</f>
        <v>9716</v>
      </c>
      <c r="D72" s="207">
        <f>'VARGIN TEA AC-2020-21'!G1415</f>
        <v>332333.90000000043</v>
      </c>
      <c r="E72" s="216"/>
      <c r="F72" s="217"/>
      <c r="G72" s="215">
        <f>'VARGIN TEA AC-2020-21'!S1416</f>
        <v>983</v>
      </c>
      <c r="H72" s="208">
        <f>'VARGIN TEA AC-2020-21'!G1416</f>
        <v>33356.600000000006</v>
      </c>
      <c r="I72" s="218"/>
      <c r="J72" s="219"/>
      <c r="K72" s="215">
        <f>'VARGIN TEA AC-2020-21'!V1417</f>
        <v>1298</v>
      </c>
      <c r="L72" s="208">
        <f>'VARGIN TEA AC-2020-21'!G1417</f>
        <v>43800.500000000022</v>
      </c>
      <c r="M72" s="220"/>
      <c r="N72" s="221"/>
      <c r="O72" s="215">
        <f>'VARGIN TEA AC-2020-21'!M1414</f>
        <v>6434</v>
      </c>
      <c r="P72" s="208">
        <f>'VARGIN TEA AC-2020-21'!G1414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0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17" sqref="G17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06" t="s">
        <v>1412</v>
      </c>
      <c r="B1" s="507"/>
      <c r="C1" s="507"/>
      <c r="D1" s="507"/>
      <c r="E1" s="507"/>
      <c r="F1" s="507"/>
      <c r="G1" s="507"/>
      <c r="H1" s="507"/>
      <c r="I1" s="507"/>
      <c r="J1" s="507"/>
      <c r="K1" s="508"/>
    </row>
    <row r="2" spans="1:11" s="434" customFormat="1" ht="36.75" thickBot="1">
      <c r="A2" s="439" t="s">
        <v>45</v>
      </c>
      <c r="B2" s="440" t="s">
        <v>0</v>
      </c>
      <c r="C2" s="441" t="s">
        <v>46</v>
      </c>
      <c r="D2" s="440" t="s">
        <v>1</v>
      </c>
      <c r="E2" s="441" t="s">
        <v>47</v>
      </c>
      <c r="F2" s="441" t="s">
        <v>80</v>
      </c>
      <c r="G2" s="440" t="s">
        <v>81</v>
      </c>
      <c r="H2" s="440" t="s">
        <v>2</v>
      </c>
      <c r="I2" s="440" t="s">
        <v>3</v>
      </c>
      <c r="J2" s="440" t="s">
        <v>4</v>
      </c>
      <c r="K2" s="442" t="s">
        <v>43</v>
      </c>
    </row>
    <row r="3" spans="1:11">
      <c r="A3" s="435" t="s">
        <v>1381</v>
      </c>
      <c r="B3" s="436" t="s">
        <v>129</v>
      </c>
      <c r="C3" s="436">
        <v>36</v>
      </c>
      <c r="D3" s="436" t="s">
        <v>7</v>
      </c>
      <c r="E3" s="436">
        <v>5006</v>
      </c>
      <c r="F3" s="436" t="s">
        <v>763</v>
      </c>
      <c r="G3" s="436" t="s">
        <v>773</v>
      </c>
      <c r="H3" s="436" t="s">
        <v>190</v>
      </c>
      <c r="I3" s="436">
        <v>20</v>
      </c>
      <c r="J3" s="437" t="s">
        <v>551</v>
      </c>
      <c r="K3" s="438">
        <v>397.5</v>
      </c>
    </row>
    <row r="4" spans="1:11">
      <c r="A4" s="429" t="s">
        <v>1381</v>
      </c>
      <c r="B4" s="431" t="s">
        <v>129</v>
      </c>
      <c r="C4" s="431">
        <v>41</v>
      </c>
      <c r="D4" s="431" t="s">
        <v>7</v>
      </c>
      <c r="E4" s="430">
        <v>5026</v>
      </c>
      <c r="F4" s="431" t="s">
        <v>901</v>
      </c>
      <c r="G4" s="431" t="s">
        <v>774</v>
      </c>
      <c r="H4" s="430" t="s">
        <v>550</v>
      </c>
      <c r="I4" s="430">
        <v>10</v>
      </c>
      <c r="J4" s="432" t="s">
        <v>907</v>
      </c>
      <c r="K4" s="433">
        <v>216</v>
      </c>
    </row>
    <row r="5" spans="1:11">
      <c r="A5" s="429" t="s">
        <v>1381</v>
      </c>
      <c r="B5" s="431" t="s">
        <v>129</v>
      </c>
      <c r="C5" s="431">
        <v>41</v>
      </c>
      <c r="D5" s="431" t="s">
        <v>7</v>
      </c>
      <c r="E5" s="430">
        <v>5052</v>
      </c>
      <c r="F5" s="431" t="s">
        <v>902</v>
      </c>
      <c r="G5" s="431" t="s">
        <v>547</v>
      </c>
      <c r="H5" s="430" t="s">
        <v>549</v>
      </c>
      <c r="I5" s="430">
        <v>10</v>
      </c>
      <c r="J5" s="432" t="s">
        <v>908</v>
      </c>
      <c r="K5" s="433">
        <v>197.4</v>
      </c>
    </row>
    <row r="6" spans="1:11">
      <c r="A6" s="429" t="s">
        <v>1381</v>
      </c>
      <c r="B6" s="431" t="s">
        <v>129</v>
      </c>
      <c r="C6" s="431">
        <v>41</v>
      </c>
      <c r="D6" s="431" t="s">
        <v>7</v>
      </c>
      <c r="E6" s="430">
        <v>5064</v>
      </c>
      <c r="F6" s="431" t="s">
        <v>903</v>
      </c>
      <c r="G6" s="431" t="s">
        <v>547</v>
      </c>
      <c r="H6" s="430" t="s">
        <v>778</v>
      </c>
      <c r="I6" s="430">
        <v>20</v>
      </c>
      <c r="J6" s="432" t="s">
        <v>909</v>
      </c>
      <c r="K6" s="433">
        <v>497.4</v>
      </c>
    </row>
    <row r="7" spans="1:11">
      <c r="A7" s="429" t="s">
        <v>1381</v>
      </c>
      <c r="B7" s="431" t="s">
        <v>129</v>
      </c>
      <c r="C7" s="431">
        <v>41</v>
      </c>
      <c r="D7" s="431" t="s">
        <v>7</v>
      </c>
      <c r="E7" s="430">
        <v>5073</v>
      </c>
      <c r="F7" s="431" t="s">
        <v>904</v>
      </c>
      <c r="G7" s="431" t="s">
        <v>775</v>
      </c>
      <c r="H7" s="430" t="s">
        <v>778</v>
      </c>
      <c r="I7" s="430">
        <v>10</v>
      </c>
      <c r="J7" s="432" t="s">
        <v>910</v>
      </c>
      <c r="K7" s="433">
        <v>196</v>
      </c>
    </row>
    <row r="8" spans="1:11">
      <c r="A8" s="429" t="s">
        <v>1381</v>
      </c>
      <c r="B8" s="431" t="s">
        <v>6</v>
      </c>
      <c r="C8" s="431" t="s">
        <v>309</v>
      </c>
      <c r="D8" s="431"/>
      <c r="E8" s="430"/>
      <c r="F8" s="431" t="s">
        <v>1022</v>
      </c>
      <c r="G8" s="431" t="s">
        <v>374</v>
      </c>
      <c r="H8" s="430" t="s">
        <v>330</v>
      </c>
      <c r="I8" s="430">
        <v>15</v>
      </c>
      <c r="J8" s="432" t="s">
        <v>1037</v>
      </c>
      <c r="K8" s="433">
        <v>356.4</v>
      </c>
    </row>
    <row r="9" spans="1:11">
      <c r="A9" s="429" t="s">
        <v>1381</v>
      </c>
      <c r="B9" s="431" t="s">
        <v>6</v>
      </c>
      <c r="C9" s="431">
        <v>47</v>
      </c>
      <c r="D9" s="431" t="s">
        <v>83</v>
      </c>
      <c r="E9" s="431">
        <v>5339</v>
      </c>
      <c r="F9" s="431" t="s">
        <v>1051</v>
      </c>
      <c r="G9" s="431" t="s">
        <v>1064</v>
      </c>
      <c r="H9" s="431" t="s">
        <v>190</v>
      </c>
      <c r="I9" s="431">
        <v>0</v>
      </c>
      <c r="J9" s="432" t="s">
        <v>1073</v>
      </c>
      <c r="K9" s="433">
        <v>4.0999999999999996</v>
      </c>
    </row>
    <row r="10" spans="1:11" ht="15.75" thickBot="1">
      <c r="A10" s="443" t="s">
        <v>1381</v>
      </c>
      <c r="B10" s="444" t="s">
        <v>6</v>
      </c>
      <c r="C10" s="444">
        <v>47</v>
      </c>
      <c r="D10" s="444" t="s">
        <v>83</v>
      </c>
      <c r="E10" s="444">
        <v>6918</v>
      </c>
      <c r="F10" s="444" t="s">
        <v>1059</v>
      </c>
      <c r="G10" s="444" t="s">
        <v>546</v>
      </c>
      <c r="H10" s="444" t="s">
        <v>8</v>
      </c>
      <c r="I10" s="444">
        <v>0</v>
      </c>
      <c r="J10" s="445" t="s">
        <v>1080</v>
      </c>
      <c r="K10" s="446">
        <v>7</v>
      </c>
    </row>
    <row r="11" spans="1:11" ht="15.75" thickBot="1">
      <c r="A11" s="447" t="s">
        <v>53</v>
      </c>
      <c r="B11" s="448"/>
      <c r="C11" s="448"/>
      <c r="D11" s="448"/>
      <c r="E11" s="448"/>
      <c r="F11" s="448"/>
      <c r="G11" s="448"/>
      <c r="H11" s="448"/>
      <c r="I11" s="449">
        <f>SUM(I3:I10)</f>
        <v>85</v>
      </c>
      <c r="J11" s="448"/>
      <c r="K11" s="45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VARGIN TEA AC-2020-21</vt:lpstr>
      <vt:lpstr>ARRIVEL-2020-21</vt:lpstr>
      <vt:lpstr>BLEND PAPER USED-2020-21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2021-09-01T09:38:41Z</dcterms:modified>
</cp:coreProperties>
</file>