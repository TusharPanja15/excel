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-120" yWindow="-120" windowWidth="20730" windowHeight="11160" tabRatio="584" activeTab="1"/>
  </bookViews>
  <sheets>
    <sheet name="VARGIN TEA AC-2020-21" sheetId="1" r:id="rId1"/>
    <sheet name="ARRIVEL-2020-21" sheetId="2" r:id="rId2"/>
    <sheet name="BLEND PAPER USED-2020-21" sheetId="3" r:id="rId3"/>
    <sheet name="Sheet1" sheetId="4" r:id="rId4"/>
  </sheets>
  <definedNames>
    <definedName name="_xlnm._FilterDatabase" localSheetId="1" hidden="1">'ARRIVEL-2020-21'!$A$4:$J$123</definedName>
    <definedName name="_xlnm._FilterDatabase" localSheetId="2" hidden="1">'BLEND PAPER USED-2020-21'!$A$4:$R$69</definedName>
    <definedName name="_xlnm._FilterDatabase" localSheetId="0" hidden="1">'VARGIN TEA AC-2020-21'!$A$3:$AB$1489</definedName>
  </definedNames>
  <calcPr calcId="125725"/>
</workbook>
</file>

<file path=xl/calcChain.xml><?xml version="1.0" encoding="utf-8"?>
<calcChain xmlns="http://schemas.openxmlformats.org/spreadsheetml/2006/main">
  <c r="X1341" i="1"/>
  <c r="X1354"/>
  <c r="X1353"/>
  <c r="X1352"/>
  <c r="X1351"/>
  <c r="X1350"/>
  <c r="X1349"/>
  <c r="X1348"/>
  <c r="X1347"/>
  <c r="X1346"/>
  <c r="X1345"/>
  <c r="X1344"/>
  <c r="X1343"/>
  <c r="X1342"/>
  <c r="X1340"/>
  <c r="X1339"/>
  <c r="X1338"/>
  <c r="X1337"/>
  <c r="X1334"/>
  <c r="X1333"/>
  <c r="X1332"/>
  <c r="X1331"/>
  <c r="X1330"/>
  <c r="X1329"/>
  <c r="X1328"/>
  <c r="X1327"/>
  <c r="X1326"/>
  <c r="X1325"/>
  <c r="X1324"/>
  <c r="X1323"/>
  <c r="X1322"/>
  <c r="X1321"/>
  <c r="X1320"/>
  <c r="X1319"/>
  <c r="X1318"/>
  <c r="X1317"/>
  <c r="X1316"/>
  <c r="X1315"/>
  <c r="X1314"/>
  <c r="X1313"/>
  <c r="X1312"/>
  <c r="X1311"/>
  <c r="X1310"/>
  <c r="X1309"/>
  <c r="K1348"/>
  <c r="K1371"/>
  <c r="I1371"/>
  <c r="K1370"/>
  <c r="K1369"/>
  <c r="K1368"/>
  <c r="K1367"/>
  <c r="K1366"/>
  <c r="I1370"/>
  <c r="K1365"/>
  <c r="I1365"/>
  <c r="K1364"/>
  <c r="K1363"/>
  <c r="K1362"/>
  <c r="K1361"/>
  <c r="I1359"/>
  <c r="I1360" s="1"/>
  <c r="K1358"/>
  <c r="K1357"/>
  <c r="K1356"/>
  <c r="K1355"/>
  <c r="K1354"/>
  <c r="K1353"/>
  <c r="K1352"/>
  <c r="K1351"/>
  <c r="K1359" l="1"/>
  <c r="K1360" s="1"/>
  <c r="K1347"/>
  <c r="K1346"/>
  <c r="K1345"/>
  <c r="K1344"/>
  <c r="K1343"/>
  <c r="K1342"/>
  <c r="K1341"/>
  <c r="K1340"/>
  <c r="K1339"/>
  <c r="K1338"/>
  <c r="K1337"/>
  <c r="I1349"/>
  <c r="I1350" s="1"/>
  <c r="K1330"/>
  <c r="K1334"/>
  <c r="K1333"/>
  <c r="K1332"/>
  <c r="K1331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K1263"/>
  <c r="X1263" s="1"/>
  <c r="K1262"/>
  <c r="X1262" s="1"/>
  <c r="K1261"/>
  <c r="X1261" s="1"/>
  <c r="K1260"/>
  <c r="X1260" s="1"/>
  <c r="X1479"/>
  <c r="X1478"/>
  <c r="X1477"/>
  <c r="X1476"/>
  <c r="X1475"/>
  <c r="X1474"/>
  <c r="X1473"/>
  <c r="X1472"/>
  <c r="X1471"/>
  <c r="X1470"/>
  <c r="X1469"/>
  <c r="X1468"/>
  <c r="X1467"/>
  <c r="X1466"/>
  <c r="X1465"/>
  <c r="X1464"/>
  <c r="X1463"/>
  <c r="X1462"/>
  <c r="X1461"/>
  <c r="X1460"/>
  <c r="X1459"/>
  <c r="X1458"/>
  <c r="X1457"/>
  <c r="X1456"/>
  <c r="X1455"/>
  <c r="X1454"/>
  <c r="X1453"/>
  <c r="X1452"/>
  <c r="X1451"/>
  <c r="X1450"/>
  <c r="X1449"/>
  <c r="X1448"/>
  <c r="X1447"/>
  <c r="X1446"/>
  <c r="X1445"/>
  <c r="X1444"/>
  <c r="X1443"/>
  <c r="X1442"/>
  <c r="X1441"/>
  <c r="X1440"/>
  <c r="X1439"/>
  <c r="X1438"/>
  <c r="X1437"/>
  <c r="X1436"/>
  <c r="X1435"/>
  <c r="X1434"/>
  <c r="X1433"/>
  <c r="X1432"/>
  <c r="X1431"/>
  <c r="X1430"/>
  <c r="X1429"/>
  <c r="X1428"/>
  <c r="X1427"/>
  <c r="X1426"/>
  <c r="X1425"/>
  <c r="X1424"/>
  <c r="X1423"/>
  <c r="X1422"/>
  <c r="X1421"/>
  <c r="X1420"/>
  <c r="X1419"/>
  <c r="X1418"/>
  <c r="X1417"/>
  <c r="X1416"/>
  <c r="X1415"/>
  <c r="X1414"/>
  <c r="X1413"/>
  <c r="X1412"/>
  <c r="X1411"/>
  <c r="X1410"/>
  <c r="X1409"/>
  <c r="X1408"/>
  <c r="X1407"/>
  <c r="X1406"/>
  <c r="X1405"/>
  <c r="X1404"/>
  <c r="X1403"/>
  <c r="X1402"/>
  <c r="X1401"/>
  <c r="X1400"/>
  <c r="X1399"/>
  <c r="X1398"/>
  <c r="X1397"/>
  <c r="X1396"/>
  <c r="X1395"/>
  <c r="X1394"/>
  <c r="X1393"/>
  <c r="X1392"/>
  <c r="X1391"/>
  <c r="X1390"/>
  <c r="X1389"/>
  <c r="X1388"/>
  <c r="X1387"/>
  <c r="X1386"/>
  <c r="X1385"/>
  <c r="X1384"/>
  <c r="X1383"/>
  <c r="X1382"/>
  <c r="X1381"/>
  <c r="X1380"/>
  <c r="X1379"/>
  <c r="X1378"/>
  <c r="X1377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X1264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349" l="1"/>
  <c r="K1350" s="1"/>
  <c r="G1487" s="1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T14" i="3"/>
  <c r="I1376" i="1" l="1"/>
  <c r="I1308"/>
  <c r="K1376"/>
  <c r="K1308"/>
  <c r="K1139"/>
  <c r="K1071"/>
  <c r="K1168"/>
  <c r="K1220"/>
  <c r="K1259"/>
  <c r="K1277" s="1"/>
  <c r="K1278" s="1"/>
  <c r="I1078"/>
  <c r="K1068"/>
  <c r="T12" i="3"/>
  <c r="K1078" i="1" l="1"/>
  <c r="Q407"/>
  <c r="P407"/>
  <c r="M410"/>
  <c r="N240"/>
  <c r="P19" i="3"/>
  <c r="N23" i="1"/>
  <c r="M23"/>
  <c r="Q10" i="3" l="1"/>
  <c r="Q13" i="1" l="1"/>
  <c r="P13"/>
  <c r="Q28"/>
  <c r="P28"/>
  <c r="P19" l="1"/>
  <c r="Q19"/>
  <c r="X1198" l="1"/>
  <c r="X1480"/>
  <c r="M1482"/>
  <c r="N1482"/>
  <c r="G1482" s="1"/>
  <c r="P1483"/>
  <c r="Q1483"/>
  <c r="G1483" s="1"/>
  <c r="S1484"/>
  <c r="T1484"/>
  <c r="G1484" s="1"/>
  <c r="V1485"/>
  <c r="W1485"/>
  <c r="G1485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488" l="1"/>
  <c r="G1489" s="1"/>
  <c r="K1062"/>
  <c r="Q57" i="3" l="1"/>
  <c r="O57"/>
  <c r="M57"/>
  <c r="L57"/>
  <c r="K57"/>
  <c r="I57"/>
  <c r="H57"/>
  <c r="G57"/>
  <c r="E57"/>
  <c r="D57"/>
  <c r="C57"/>
  <c r="P57"/>
  <c r="E21" l="1"/>
  <c r="I21"/>
  <c r="H21"/>
  <c r="G21"/>
  <c r="Q21"/>
  <c r="P21"/>
  <c r="O21"/>
  <c r="C21"/>
  <c r="D21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4" i="3"/>
  <c r="P14"/>
  <c r="O14"/>
  <c r="M14"/>
  <c r="L14"/>
  <c r="K14"/>
  <c r="I14"/>
  <c r="H14"/>
  <c r="G14"/>
  <c r="E14"/>
  <c r="D14"/>
  <c r="C14"/>
  <c r="O72" l="1"/>
  <c r="X77" i="1"/>
  <c r="X78"/>
  <c r="X79"/>
  <c r="X80"/>
  <c r="X81"/>
  <c r="X75"/>
  <c r="Q65" i="3"/>
  <c r="M65"/>
  <c r="I65"/>
  <c r="E65"/>
  <c r="Q62"/>
  <c r="M62"/>
  <c r="I62"/>
  <c r="E62"/>
  <c r="Q70"/>
  <c r="M70"/>
  <c r="I70"/>
  <c r="E70"/>
  <c r="Q50"/>
  <c r="M50"/>
  <c r="I50"/>
  <c r="E50"/>
  <c r="Q46"/>
  <c r="M46"/>
  <c r="I46"/>
  <c r="E46"/>
  <c r="Q41"/>
  <c r="M41"/>
  <c r="I41"/>
  <c r="H41"/>
  <c r="E41"/>
  <c r="Q35"/>
  <c r="M35"/>
  <c r="I35"/>
  <c r="E35"/>
  <c r="Q28"/>
  <c r="M28"/>
  <c r="I28"/>
  <c r="E28"/>
  <c r="M21"/>
  <c r="Q71" l="1"/>
  <c r="I71"/>
  <c r="M71"/>
  <c r="E71"/>
  <c r="P70"/>
  <c r="O70"/>
  <c r="L70"/>
  <c r="K70"/>
  <c r="H70"/>
  <c r="G70"/>
  <c r="D70"/>
  <c r="C70"/>
  <c r="P65"/>
  <c r="O65"/>
  <c r="K65"/>
  <c r="H65"/>
  <c r="G65"/>
  <c r="D65"/>
  <c r="C65"/>
  <c r="L65"/>
  <c r="P62"/>
  <c r="O62"/>
  <c r="L62"/>
  <c r="K62"/>
  <c r="H62"/>
  <c r="G62"/>
  <c r="D62"/>
  <c r="C62"/>
  <c r="P50"/>
  <c r="O50"/>
  <c r="L50"/>
  <c r="K50"/>
  <c r="H50"/>
  <c r="G50"/>
  <c r="D50"/>
  <c r="C50"/>
  <c r="P46"/>
  <c r="O46"/>
  <c r="L46"/>
  <c r="K46"/>
  <c r="H46"/>
  <c r="G46"/>
  <c r="D46"/>
  <c r="C46"/>
  <c r="P41"/>
  <c r="O41"/>
  <c r="L41"/>
  <c r="K41"/>
  <c r="G41"/>
  <c r="D41"/>
  <c r="C41"/>
  <c r="P35"/>
  <c r="O35"/>
  <c r="L35"/>
  <c r="K35"/>
  <c r="H35"/>
  <c r="G35"/>
  <c r="D35"/>
  <c r="C35"/>
  <c r="P28"/>
  <c r="O28"/>
  <c r="L28"/>
  <c r="K28"/>
  <c r="H28"/>
  <c r="G28"/>
  <c r="D28"/>
  <c r="C28"/>
  <c r="L21"/>
  <c r="K21"/>
  <c r="G71" l="1"/>
  <c r="P71"/>
  <c r="H71"/>
  <c r="C71"/>
  <c r="L71"/>
  <c r="D71"/>
  <c r="O71"/>
  <c r="O73" s="1"/>
  <c r="K71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481" s="1"/>
  <c r="G1481" s="1"/>
  <c r="T13" i="3" s="1"/>
  <c r="T18" s="1"/>
  <c r="P72"/>
  <c r="P73" s="1"/>
  <c r="G1492" i="1" l="1"/>
  <c r="K72" i="3"/>
  <c r="K73" s="1"/>
  <c r="C72" l="1"/>
  <c r="C73" s="1"/>
  <c r="G72" l="1"/>
  <c r="G73" s="1"/>
  <c r="H72" l="1"/>
  <c r="H73" s="1"/>
  <c r="L72" l="1"/>
  <c r="L73" s="1"/>
  <c r="D72" l="1"/>
  <c r="D73" s="1"/>
</calcChain>
</file>

<file path=xl/sharedStrings.xml><?xml version="1.0" encoding="utf-8"?>
<sst xmlns="http://schemas.openxmlformats.org/spreadsheetml/2006/main" count="10518" uniqueCount="1664">
  <si>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</si>
  <si>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</si>
  <si>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</si>
  <si>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</si>
  <si>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</si>
  <si>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</si>
  <si>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</si>
  <si>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</si>
  <si>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</si>
  <si>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</si>
  <si>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</si>
  <si>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</si>
  <si>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</si>
  <si>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</si>
  <si>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</si>
  <si>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</si>
  <si>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</si>
  <si>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</si>
  <si>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</si>
  <si>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</si>
  <si>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</si>
  <si>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</si>
  <si>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</si>
  <si>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</si>
  <si>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</si>
  <si>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</si>
  <si>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</si>
  <si>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</si>
  <si>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</si>
  <si>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</si>
  <si>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</si>
  <si>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</si>
  <si>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</si>
  <si>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</si>
  <si>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</si>
  <si>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</si>
  <si>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</si>
  <si>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</si>
  <si>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</si>
  <si>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</si>
  <si>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</si>
  <si>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</si>
  <si>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</si>
  <si>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</si>
  <si>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</si>
  <si>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</si>
  <si>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</si>
  <si>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</si>
  <si>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</si>
  <si>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</si>
  <si>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</si>
  <si>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</si>
  <si>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</si>
  <si>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</si>
  <si>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</si>
  <si>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</si>
  <si>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</si>
  <si>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</si>
  <si>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</si>
  <si>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</si>
  <si>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</si>
  <si>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</si>
  <si>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</si>
  <si>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</si>
  <si>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</si>
  <si>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</si>
  <si>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</si>
  <si>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</si>
  <si>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</si>
  <si>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</si>
  <si>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</si>
  <si>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</si>
  <si>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</si>
  <si>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</si>
  <si>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</si>
  <si>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</si>
  <si>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</si>
  <si>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</si>
  <si>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</si>
  <si>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</si>
  <si>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</si>
  <si>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</si>
  <si>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</si>
  <si>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</si>
  <si>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</si>
  <si>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</si>
  <si>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</si>
  <si>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</si>
  <si>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</si>
  <si>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</si>
  <si>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</si>
  <si>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</si>
  <si>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</si>
  <si>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</si>
  <si>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</si>
  <si>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</si>
  <si>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</si>
  <si>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</si>
  <si>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</si>
  <si>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</si>
  <si>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</si>
  <si>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</si>
  <si>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</si>
  <si>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</si>
  <si>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</si>
  <si>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</si>
  <si>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</si>
  <si>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</si>
  <si>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</si>
  <si>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</si>
  <si>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</si>
  <si>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</si>
  <si>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</si>
  <si>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</si>
  <si>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</si>
  <si>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</si>
  <si>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</si>
  <si>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</si>
  <si>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</si>
  <si>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</si>
  <si>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</si>
  <si>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</si>
  <si>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</si>
  <si>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</si>
  <si>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</si>
  <si>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</si>
  <si>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</si>
  <si>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</si>
  <si>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</si>
  <si>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</si>
  <si>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</si>
  <si>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</si>
  <si>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</si>
  <si>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</si>
  <si>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</si>
  <si>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</si>
  <si>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</si>
  <si>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</si>
  <si>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</si>
  <si>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</si>
  <si>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</si>
  <si>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</si>
  <si>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</si>
  <si>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</si>
  <si>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</si>
  <si>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</si>
  <si>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</si>
  <si>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</si>
  <si>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</si>
  <si>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</si>
  <si>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</si>
  <si>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</si>
  <si>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</si>
  <si>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</si>
  <si>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</si>
  <si>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</si>
  <si>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</si>
  <si>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</si>
  <si>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</si>
  <si>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</si>
  <si>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</si>
  <si>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</si>
  <si>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</si>
  <si>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</si>
  <si>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</si>
  <si>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</si>
  <si>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</si>
  <si>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</si>
  <si>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</si>
  <si>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</si>
  <si>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</si>
  <si>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</si>
  <si>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</si>
  <si>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</si>
  <si>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</si>
  <si>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</si>
  <si>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</si>
  <si>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</si>
  <si>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</si>
  <si>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</si>
  <si>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</si>
  <si>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</si>
  <si>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</si>
  <si>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</si>
  <si>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</si>
  <si>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</si>
  <si>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</si>
  <si>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</si>
  <si>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</si>
  <si>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</si>
  <si>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</si>
  <si>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</si>
  <si>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</si>
  <si>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</si>
  <si>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</si>
  <si>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</si>
  <si>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</si>
  <si>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</si>
  <si>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</si>
  <si>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</si>
  <si>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</si>
  <si>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</si>
  <si>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</si>
  <si>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</si>
  <si>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</si>
  <si>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</si>
  <si>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</si>
  <si>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</si>
  <si>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</si>
  <si>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</si>
  <si>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</si>
  <si>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</si>
  <si>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</si>
  <si>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</si>
  <si>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</si>
  <si>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</si>
  <si>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</si>
  <si>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</si>
  <si>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</si>
  <si>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</si>
  <si>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</si>
  <si>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</si>
  <si>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</si>
  <si>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</si>
  <si>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</si>
  <si>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</si>
  <si>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</si>
  <si>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</si>
  <si>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</si>
  <si>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</si>
  <si>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</si>
  <si>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</si>
  <si>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</si>
  <si>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</si>
  <si>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</si>
  <si>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</si>
  <si>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</si>
  <si>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</si>
  <si>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</si>
  <si>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</si>
  <si>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</si>
  <si>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</si>
  <si>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</si>
  <si>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</si>
  <si>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</si>
  <si>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</si>
  <si>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</si>
  <si>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</si>
  <si>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</si>
  <si>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</si>
  <si>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</si>
  <si>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</si>
  <si>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</si>
  <si>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</si>
  <si>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</si>
  <si>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</si>
  <si>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</si>
  <si>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</si>
  <si>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</si>
  <si>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</si>
  <si>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</si>
  <si>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</si>
  <si>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</si>
  <si>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</si>
  <si>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</si>
  <si>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</si>
  <si>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</si>
  <si>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</si>
  <si>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</si>
  <si>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</si>
  <si>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</si>
  <si>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</si>
  <si>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</si>
  <si>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</si>
  <si>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</si>
  <si>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</si>
  <si>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</si>
  <si>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</si>
  <si>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</si>
  <si>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</si>
  <si>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</si>
  <si>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</si>
  <si>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</si>
  <si>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</si>
  <si>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</si>
  <si>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</si>
  <si>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</si>
  <si>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</si>
  <si>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</si>
  <si>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</si>
  <si>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</si>
  <si>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</si>
  <si>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</si>
  <si>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</si>
  <si>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</si>
  <si>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</si>
  <si>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</si>
  <si>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</si>
  <si>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</si>
  <si>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</si>
  <si>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</si>
  <si>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</si>
  <si>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</si>
  <si>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</si>
  <si>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</si>
  <si>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</si>
  <si>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</si>
  <si>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</si>
  <si>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</si>
  <si>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</si>
  <si>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</si>
  <si>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</si>
  <si>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</si>
  <si>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</si>
  <si>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</si>
  <si>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</si>
  <si>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</si>
  <si>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</si>
  <si>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</si>
  <si>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</si>
  <si>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</si>
  <si>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</si>
  <si>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</si>
  <si>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</si>
  <si>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</si>
  <si>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</si>
  <si>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</si>
  <si>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</si>
  <si>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</si>
  <si>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</si>
  <si>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</si>
  <si>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</si>
  <si>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</si>
  <si>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</si>
  <si>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</si>
  <si>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</si>
  <si>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</si>
  <si>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</si>
  <si>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</si>
  <si>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</si>
  <si>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</si>
  <si>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</si>
  <si>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</si>
  <si>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</si>
  <si>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</si>
  <si>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</si>
  <si>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</si>
  <si>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</si>
  <si>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</si>
  <si>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</si>
  <si>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</si>
  <si>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</si>
  <si>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</si>
  <si>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</si>
  <si>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</si>
  <si>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</si>
  <si>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</si>
  <si>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</si>
  <si>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</si>
  <si>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</si>
  <si>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</si>
  <si>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</si>
  <si>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</si>
  <si>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</si>
  <si>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</si>
  <si>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</si>
  <si>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</si>
  <si>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</si>
  <si>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</si>
  <si>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</si>
  <si>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</si>
  <si>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</si>
  <si>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</si>
  <si>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</si>
  <si>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</si>
  <si>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</si>
  <si>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</si>
  <si>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</si>
  <si>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</si>
  <si>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</si>
  <si>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</si>
  <si>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</si>
  <si>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</si>
  <si>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</si>
  <si>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</si>
  <si>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</si>
  <si>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</si>
  <si>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</si>
  <si>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</si>
  <si>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</si>
  <si>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</si>
  <si>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</si>
  <si>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</si>
  <si>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</si>
  <si>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</si>
  <si>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</si>
  <si>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</si>
  <si>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</si>
  <si>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</si>
  <si>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</si>
  <si>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</si>
  <si>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</si>
  <si>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</si>
  <si>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</si>
  <si>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</si>
  <si>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</si>
  <si>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</si>
  <si>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</si>
  <si>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</si>
  <si>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</si>
  <si>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</si>
  <si>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</si>
  <si>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</si>
  <si>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</si>
  <si>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</si>
  <si>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</si>
  <si>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</si>
  <si>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</si>
  <si>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</si>
  <si>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</si>
  <si>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</si>
  <si>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</si>
  <si>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</si>
  <si>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</si>
  <si>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</si>
  <si>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</si>
  <si>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</si>
  <si>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</si>
  <si>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</si>
  <si>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</si>
  <si>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</si>
  <si>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</si>
  <si>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</si>
  <si>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</si>
  <si>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</si>
  <si>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</si>
  <si>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</si>
  <si>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</si>
  <si>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</si>
  <si>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</si>
  <si>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</si>
  <si>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</si>
  <si>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</si>
  <si>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</si>
  <si>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</si>
  <si>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</si>
  <si>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</si>
  <si>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</si>
  <si>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</si>
  <si>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</si>
  <si>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</si>
  <si>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</si>
  <si>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</si>
  <si>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</si>
  <si>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</si>
  <si>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</si>
  <si>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</si>
  <si>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</si>
  <si>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</si>
  <si>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</si>
  <si>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</si>
  <si>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</si>
  <si>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</si>
  <si>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</si>
  <si>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</si>
  <si>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</si>
  <si>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</si>
  <si>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</si>
  <si>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</si>
  <si>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</si>
  <si>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</si>
  <si>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</si>
  <si>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</si>
  <si>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</si>
  <si>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</si>
  <si>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</si>
  <si>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</si>
  <si>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</si>
  <si>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</si>
  <si>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</si>
  <si>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</si>
  <si>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</si>
  <si>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</si>
  <si>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</si>
  <si>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</si>
  <si>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</si>
  <si>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</si>
  <si>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</si>
  <si>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</si>
  <si>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</si>
  <si>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</si>
  <si>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</si>
  <si>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</si>
  <si>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</si>
  <si>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</si>
  <si>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</si>
  <si>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</si>
  <si>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</si>
  <si>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</si>
  <si>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</si>
  <si>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</si>
  <si>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</si>
  <si>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</si>
  <si>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</si>
  <si>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</si>
  <si>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</si>
  <si>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</si>
  <si>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</si>
  <si>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</si>
  <si>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</si>
  <si>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</si>
  <si>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</si>
  <si>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</si>
  <si>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</si>
  <si>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</si>
  <si>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</si>
  <si>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</si>
  <si>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</si>
  <si>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</si>
  <si>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</si>
  <si>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</si>
  <si>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</si>
  <si>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</si>
  <si>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</si>
  <si>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</si>
  <si>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</si>
  <si>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</si>
  <si>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</si>
  <si>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</si>
  <si>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</si>
  <si>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</si>
  <si>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</si>
  <si>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</si>
  <si>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</si>
  <si>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</si>
  <si>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</si>
  <si>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</si>
  <si>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</si>
  <si>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</si>
  <si>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</si>
  <si>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</si>
  <si>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</si>
  <si>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</si>
  <si>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</si>
  <si>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</si>
  <si>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</si>
  <si>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</si>
  <si>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</si>
  <si>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</si>
  <si>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</si>
  <si>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</si>
  <si>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</si>
  <si>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</si>
  <si>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</si>
  <si>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</si>
  <si>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</si>
  <si>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</si>
  <si>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</si>
  <si>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</si>
  <si>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</si>
  <si>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</si>
  <si>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</si>
  <si>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</si>
  <si>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</si>
  <si>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</si>
  <si>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</si>
  <si>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</si>
  <si>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</si>
  <si>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</si>
  <si>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</si>
  <si>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</si>
  <si>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</si>
  <si>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</si>
  <si>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</si>
  <si>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</si>
  <si>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</si>
  <si>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</si>
  <si>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</si>
  <si>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</si>
  <si>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</si>
  <si>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</si>
  <si>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</si>
  <si>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</si>
  <si>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</si>
  <si>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</si>
  <si>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</si>
  <si>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</si>
  <si>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</si>
  <si>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</si>
  <si>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</si>
  <si>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</si>
  <si>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</si>
  <si>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</si>
  <si>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</si>
  <si>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</si>
  <si>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</si>
  <si>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</si>
  <si>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</si>
  <si>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</si>
  <si>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</si>
  <si>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</si>
  <si>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</si>
  <si>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</si>
  <si>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</si>
  <si>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</si>
  <si>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</si>
  <si>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</si>
  <si>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</si>
  <si>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</si>
  <si>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</si>
  <si>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</si>
  <si>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</si>
  <si>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</si>
  <si>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</si>
  <si>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</si>
  <si>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</si>
  <si>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</si>
  <si>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</si>
  <si>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</si>
  <si>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</si>
  <si>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</si>
  <si>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</si>
  <si>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</si>
  <si>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</si>
  <si>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</si>
  <si>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</si>
  <si>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</si>
  <si>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</si>
  <si>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</si>
  <si>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</si>
  <si>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</si>
  <si>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</si>
  <si>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</si>
  <si>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</si>
  <si>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</si>
  <si>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</si>
  <si>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</si>
  <si>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</si>
  <si>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</si>
  <si>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</si>
  <si>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</si>
  <si>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</si>
  <si>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</si>
  <si>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</si>
  <si>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</si>
  <si>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</si>
  <si>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</si>
  <si>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</si>
  <si>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</si>
  <si>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</si>
  <si>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</si>
  <si>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</si>
  <si>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</si>
  <si>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</si>
  <si>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</si>
  <si>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</si>
  <si>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</si>
  <si>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</si>
  <si>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</si>
  <si>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</si>
  <si>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</si>
  <si>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</si>
  <si>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</si>
  <si>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</si>
  <si>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</si>
  <si>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</si>
  <si>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</si>
  <si>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</si>
  <si>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</si>
  <si>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</si>
  <si>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</si>
  <si>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</si>
  <si>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</si>
  <si>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</si>
  <si>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</si>
  <si>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</si>
  <si>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</si>
  <si>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</si>
  <si>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</si>
  <si>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</si>
  <si>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</si>
  <si>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</si>
  <si>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</si>
  <si>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</si>
  <si>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</si>
  <si>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</si>
  <si>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</si>
  <si>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</si>
  <si>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</si>
  <si>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</si>
  <si>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</si>
  <si>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</si>
  <si>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</si>
  <si>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</si>
  <si>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</si>
  <si>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</si>
  <si>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</si>
  <si>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</si>
  <si>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</si>
  <si>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</si>
  <si>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</si>
  <si>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</si>
  <si>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</si>
  <si>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</si>
  <si>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</si>
  <si>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</si>
  <si>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</si>
  <si>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</si>
  <si>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</si>
  <si>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</si>
  <si>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</si>
  <si>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</si>
  <si>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</si>
  <si>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</si>
  <si>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</si>
  <si>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</si>
  <si>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</si>
  <si>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</si>
  <si>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</si>
  <si>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</si>
  <si>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</si>
  <si>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</si>
  <si>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</si>
  <si>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</si>
  <si>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</si>
  <si>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</si>
  <si>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</si>
  <si>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</si>
  <si>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</si>
  <si>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</si>
  <si>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</si>
  <si>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</si>
  <si>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</si>
  <si>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</si>
  <si>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</si>
  <si>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</si>
  <si>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</si>
  <si>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</si>
  <si>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</si>
  <si>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</si>
  <si>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</si>
  <si>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</si>
  <si>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</si>
  <si>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</si>
  <si>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</si>
  <si>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</si>
  <si>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</si>
  <si>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</si>
  <si>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</si>
  <si>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</si>
  <si>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</si>
  <si>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</si>
  <si>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</si>
  <si>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</si>
  <si>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</si>
  <si>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</si>
  <si>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</si>
  <si>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</si>
  <si>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</si>
  <si>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</si>
  <si>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</si>
  <si>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</si>
  <si>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</si>
  <si>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</si>
  <si>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</si>
  <si>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</si>
  <si>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</si>
  <si>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</si>
  <si>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</si>
  <si>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</si>
  <si>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</si>
  <si>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</si>
  <si>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</si>
  <si>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</si>
  <si>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</si>
  <si>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</si>
  <si>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</si>
  <si>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</si>
  <si>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</si>
  <si>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</si>
  <si>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</si>
  <si>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</si>
  <si>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</si>
  <si>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</si>
  <si>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</si>
  <si>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</si>
  <si>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</si>
  <si>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</si>
  <si>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</si>
  <si>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</si>
  <si>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</si>
  <si>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</si>
  <si>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</si>
  <si>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</si>
  <si>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</si>
  <si>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</si>
  <si>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</si>
  <si>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</si>
  <si>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</si>
  <si>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</si>
  <si>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</si>
  <si>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</si>
  <si>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</si>
  <si>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</si>
  <si>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</si>
  <si>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</si>
  <si>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</si>
  <si>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</si>
  <si>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</si>
  <si>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</si>
  <si>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</si>
  <si>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</si>
  <si>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</si>
  <si>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</si>
  <si>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</si>
  <si>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</si>
  <si>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</si>
  <si>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</si>
  <si>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</si>
  <si>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</si>
  <si>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</si>
  <si>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</si>
  <si>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</si>
  <si>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</si>
  <si>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</si>
  <si>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</si>
  <si>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</si>
  <si>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</si>
  <si>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</si>
  <si>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</si>
  <si>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</si>
  <si>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</si>
  <si>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</si>
  <si>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</si>
  <si>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</si>
  <si>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</si>
  <si>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</si>
  <si>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</si>
  <si>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</si>
  <si>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</si>
  <si>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</si>
  <si>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</si>
  <si>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</si>
  <si>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</si>
  <si>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</si>
  <si>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</si>
  <si>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</si>
  <si>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</si>
  <si>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</si>
  <si>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</si>
  <si>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</si>
  <si>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</si>
  <si>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</si>
  <si>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</si>
  <si>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</si>
  <si>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</si>
  <si>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</si>
  <si>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</si>
  <si>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</si>
  <si>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</si>
  <si>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</si>
  <si>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</si>
  <si>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</si>
  <si>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</si>
  <si>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</si>
  <si>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</si>
  <si>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</si>
  <si>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</si>
  <si>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</si>
  <si>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</si>
  <si>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</si>
  <si>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</si>
  <si>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</si>
  <si>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</si>
  <si>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</si>
  <si>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</si>
  <si>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</si>
  <si>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</si>
  <si>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</si>
  <si>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</si>
  <si>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</si>
  <si>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</si>
  <si>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</si>
  <si>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</si>
  <si>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</si>
  <si>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</si>
  <si>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</si>
  <si>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</si>
  <si>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</si>
  <si>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</si>
  <si>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</si>
  <si>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</si>
  <si>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</si>
  <si>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</si>
  <si>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</si>
  <si>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</si>
  <si>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</si>
  <si>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</si>
  <si>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</si>
  <si>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</si>
  <si>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</si>
  <si>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</si>
  <si>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</si>
  <si>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</si>
  <si>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</si>
  <si>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</si>
  <si>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</si>
  <si>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</si>
  <si>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</si>
  <si>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</si>
  <si>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</si>
  <si>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</si>
  <si>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</si>
  <si>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</si>
  <si>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</si>
  <si>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</si>
  <si>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</si>
  <si>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</si>
  <si>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</si>
  <si>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</si>
  <si>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</si>
  <si>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</si>
  <si>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</si>
  <si>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</si>
  <si>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</si>
  <si>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</si>
  <si>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</si>
  <si>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</si>
  <si>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</si>
  <si>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</si>
  <si>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</si>
  <si>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</si>
  <si>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</si>
  <si>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</si>
  <si>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</si>
  <si>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</si>
  <si>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</si>
  <si>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</si>
  <si>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</si>
  <si>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</si>
  <si>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</si>
  <si>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</si>
  <si>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</si>
  <si>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</si>
  <si>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</si>
  <si>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</si>
  <si>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</si>
  <si>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</si>
  <si>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</si>
  <si>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</si>
  <si>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</si>
  <si>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</si>
  <si>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</si>
  <si>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</si>
  <si>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</si>
  <si>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</si>
  <si>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</si>
  <si>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</si>
  <si>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</si>
  <si>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</si>
  <si>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</si>
  <si>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</si>
  <si>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</si>
  <si>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</si>
  <si>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</si>
  <si>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</si>
  <si>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</si>
  <si>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</si>
  <si>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</si>
  <si>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</si>
  <si>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</si>
  <si>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</si>
  <si>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</si>
  <si>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</si>
  <si>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</si>
  <si>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</si>
  <si>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</si>
  <si>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</si>
  <si>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</si>
  <si>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</si>
  <si>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</si>
  <si>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</si>
  <si>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</si>
  <si>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</si>
  <si>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</si>
  <si>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</si>
  <si>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</si>
  <si>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</si>
  <si>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</si>
  <si>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</si>
  <si>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</si>
  <si>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</si>
  <si>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</si>
  <si>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</si>
  <si>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</si>
  <si>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</si>
  <si>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</si>
  <si>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</si>
  <si>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</si>
  <si>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</si>
  <si>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</si>
  <si>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</si>
  <si>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</si>
  <si>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</si>
  <si>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</si>
  <si>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</si>
  <si>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</si>
  <si>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</si>
  <si>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</si>
  <si>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</si>
  <si>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</si>
  <si>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</si>
  <si>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</si>
  <si>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</si>
  <si>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</si>
  <si>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</si>
  <si>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</si>
  <si>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</si>
  <si>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</si>
  <si>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</si>
  <si>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</si>
  <si>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</si>
  <si>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</si>
  <si>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</si>
  <si>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</si>
  <si>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</si>
  <si>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</si>
  <si>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</si>
  <si>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</si>
  <si>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</si>
  <si>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</si>
  <si>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</si>
  <si>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</si>
  <si>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</si>
  <si>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</si>
  <si>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</si>
  <si>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</si>
  <si>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</si>
  <si>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</si>
  <si>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</si>
  <si>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</si>
  <si>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</si>
  <si>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</si>
  <si>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</si>
  <si>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</si>
  <si>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</si>
  <si>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</si>
  <si>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</si>
  <si>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</si>
  <si>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</si>
  <si>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</si>
  <si>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</si>
  <si>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</si>
  <si>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</si>
  <si>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</si>
  <si>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</si>
  <si>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</si>
  <si>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</si>
  <si>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</si>
  <si>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</si>
  <si>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</si>
  <si>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</si>
  <si>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</si>
  <si>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</si>
  <si>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</si>
  <si>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</si>
  <si>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</si>
  <si>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</si>
  <si>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</si>
  <si>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</si>
  <si>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</si>
  <si>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</si>
  <si>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</si>
  <si>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</si>
  <si>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</si>
  <si>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</si>
  <si>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</si>
  <si>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</si>
  <si>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</si>
  <si>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</si>
  <si>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</si>
  <si>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</si>
  <si>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</si>
  <si>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</si>
  <si>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</si>
  <si>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</si>
  <si>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</si>
  <si>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</si>
  <si>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</si>
  <si>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</si>
  <si>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</si>
  <si>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</si>
  <si>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</si>
  <si>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</si>
  <si>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</si>
  <si>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</si>
  <si>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</si>
  <si>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</si>
  <si>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</si>
  <si>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</si>
  <si>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</si>
  <si>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</si>
  <si>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</si>
  <si>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</si>
  <si>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</si>
  <si>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</si>
  <si>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</si>
  <si>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</si>
  <si>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</si>
  <si>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</si>
  <si>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</si>
  <si>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</si>
  <si>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</si>
  <si>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</si>
  <si>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</si>
  <si>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</si>
  <si>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</si>
  <si>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</si>
  <si>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</si>
  <si>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</si>
  <si>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</si>
  <si>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</si>
  <si>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</si>
  <si>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</si>
  <si>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</si>
  <si>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</si>
  <si>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</si>
  <si>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</si>
  <si>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</si>
  <si>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</si>
  <si>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</si>
  <si>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</si>
  <si>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</si>
  <si>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</si>
  <si>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</si>
  <si>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</si>
  <si>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</si>
  <si>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</si>
  <si>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</si>
  <si>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</si>
  <si>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</si>
  <si>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</si>
  <si>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</si>
  <si>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</si>
  <si>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</si>
  <si>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</si>
  <si>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</si>
  <si>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</si>
  <si>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</si>
  <si>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</si>
  <si>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</si>
  <si>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</si>
  <si>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</si>
  <si>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</si>
  <si>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</si>
  <si>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</si>
  <si>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</si>
  <si>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</si>
  <si>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</si>
  <si>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</si>
  <si>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</si>
  <si>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</si>
  <si>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</si>
  <si>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</si>
  <si>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</si>
  <si>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</si>
  <si>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</si>
  <si>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</si>
  <si>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</si>
  <si>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</si>
  <si>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</si>
  <si>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</si>
  <si>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</si>
  <si>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</si>
  <si>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</si>
  <si>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</si>
  <si>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</si>
  <si>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</si>
  <si>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</si>
  <si>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</si>
  <si>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</si>
  <si>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</si>
  <si>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</si>
  <si>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</si>
  <si>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</si>
  <si>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</si>
  <si>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</si>
  <si>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</si>
  <si>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</si>
  <si>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</si>
  <si>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</si>
  <si>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</si>
  <si>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</si>
  <si>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</si>
  <si>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</si>
  <si>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</si>
  <si>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</si>
  <si>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</si>
  <si>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</si>
  <si>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</si>
  <si>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</si>
  <si>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</si>
  <si>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</si>
  <si>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</si>
  <si>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</si>
  <si>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</si>
  <si>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</si>
  <si>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</si>
  <si>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</si>
  <si>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</si>
  <si>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</si>
  <si>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</si>
  <si>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</si>
  <si>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</si>
  <si>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</si>
  <si>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</si>
  <si>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</si>
  <si>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</si>
  <si>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</si>
  <si>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</si>
  <si>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</si>
  <si>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</si>
  <si>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</si>
  <si>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</si>
  <si>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</si>
  <si>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</si>
  <si>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</si>
  <si>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</si>
  <si>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</si>
  <si>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</si>
  <si>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</si>
  <si>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</si>
  <si>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</si>
  <si>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</si>
  <si>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</si>
  <si>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</si>
  <si>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</si>
  <si>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</si>
  <si>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</si>
  <si>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</si>
  <si>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</si>
  <si>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</si>
  <si>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</si>
  <si>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</si>
  <si>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</si>
  <si>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</si>
  <si>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</si>
  <si>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</si>
  <si>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</si>
  <si>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</si>
  <si>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</si>
  <si>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</si>
  <si>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</si>
  <si>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</si>
  <si>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</si>
  <si>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</si>
  <si>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</si>
  <si>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</si>
  <si>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</si>
  <si>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</si>
  <si>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</si>
  <si>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</si>
  <si>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</si>
  <si>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</si>
  <si>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</si>
  <si>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</si>
  <si>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</si>
  <si>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</si>
  <si>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</si>
  <si>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</si>
  <si>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</si>
  <si>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</si>
  <si>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</si>
  <si>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</si>
  <si>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</si>
  <si>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</si>
  <si>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</si>
  <si>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</si>
  <si>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</si>
  <si>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</si>
  <si>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</si>
  <si>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</si>
  <si>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</si>
  <si>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</si>
  <si>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</si>
  <si>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</si>
  <si>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</si>
  <si>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</si>
  <si>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</si>
  <si>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</si>
  <si>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</si>
  <si>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</si>
  <si>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</si>
  <si>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</si>
  <si>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</si>
  <si>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</si>
  <si>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</si>
  <si>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</si>
  <si>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</si>
  <si>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</si>
  <si>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</si>
  <si>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</si>
  <si>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</si>
  <si>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</si>
  <si>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</si>
  <si>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</si>
  <si>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</si>
  <si>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</si>
  <si>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</si>
  <si>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</si>
  <si>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</si>
  <si>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</si>
  <si>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</si>
  <si>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</si>
  <si>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</si>
  <si>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</si>
  <si>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</si>
  <si>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</si>
  <si>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</si>
  <si>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</si>
  <si>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</si>
  <si>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</si>
  <si>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</si>
  <si>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</si>
  <si>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</si>
  <si>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</si>
  <si>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</si>
  <si>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</si>
  <si>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</si>
  <si>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</si>
  <si>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</si>
  <si>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</si>
  <si>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</si>
  <si>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</si>
  <si>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</si>
  <si>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</si>
  <si>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</si>
  <si>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</si>
  <si>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</si>
  <si>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</si>
  <si>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</si>
  <si>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</si>
  <si>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</si>
  <si>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</si>
  <si>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</si>
  <si>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</si>
  <si>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</si>
  <si>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</si>
  <si>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</si>
  <si>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</si>
  <si>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</si>
  <si>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</si>
  <si>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</si>
  <si>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</si>
  <si>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</si>
  <si>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</si>
  <si>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</si>
  <si>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</si>
  <si>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</si>
  <si>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</si>
  <si>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</si>
  <si>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</si>
  <si>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</si>
  <si>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</si>
  <si>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</si>
  <si>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</si>
  <si>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</si>
  <si>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</si>
  <si>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</si>
  <si>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</si>
  <si>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</si>
  <si>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</si>
  <si>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</si>
  <si>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</si>
  <si>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</si>
  <si>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</si>
  <si>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</si>
  <si>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</si>
  <si>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</si>
  <si>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</si>
  <si>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</si>
  <si>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</si>
  <si>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</si>
  <si>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</si>
  <si>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</si>
  <si>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</si>
  <si>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</si>
  <si>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</si>
  <si>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</si>
  <si>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</si>
  <si>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</si>
  <si>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</si>
  <si>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</si>
  <si>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</si>
  <si>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</si>
  <si>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</si>
  <si>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</si>
  <si>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</si>
  <si>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</si>
  <si>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</si>
  <si>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</si>
  <si>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</si>
  <si>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</si>
  <si>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</si>
  <si>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</si>
  <si>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</si>
  <si>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</si>
  <si>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</si>
  <si>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</si>
  <si>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</si>
  <si>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</si>
  <si>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</si>
  <si>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</si>
  <si>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</si>
  <si>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</si>
  <si>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</si>
  <si>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</si>
  <si>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</si>
  <si>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</si>
  <si>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</si>
  <si>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</si>
  <si>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</si>
  <si>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</si>
  <si>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</si>
  <si>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</si>
  <si>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</si>
  <si>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</si>
  <si>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</si>
  <si>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</si>
  <si>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</si>
  <si>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</si>
  <si>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</si>
  <si>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</si>
  <si>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</si>
  <si>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</si>
  <si>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</si>
  <si>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</si>
  <si>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</si>
  <si>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</si>
  <si>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</si>
  <si>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</si>
  <si>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</si>
  <si>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</si>
  <si>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</si>
  <si>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</si>
  <si>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</si>
  <si>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</si>
  <si>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</si>
  <si>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</si>
  <si>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</si>
  <si>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</si>
  <si>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</si>
  <si>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</si>
  <si>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</si>
  <si>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</si>
  <si>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</si>
  <si>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</si>
  <si>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</si>
  <si>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</si>
  <si>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</si>
  <si>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</si>
  <si>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</si>
  <si>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</si>
  <si>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</si>
  <si>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</si>
  <si>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</si>
  <si>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</si>
  <si>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</si>
  <si>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</si>
  <si>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</si>
  <si>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</si>
  <si>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</si>
  <si>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</si>
  <si>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</si>
  <si>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</si>
  <si>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</si>
  <si>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</si>
  <si>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</si>
  <si>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</si>
  <si>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</si>
  <si>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</si>
  <si>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</si>
  <si>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</si>
  <si>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</si>
  <si>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</si>
  <si>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</si>
  <si>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</si>
  <si>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</si>
  <si>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</si>
  <si>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</si>
  <si>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</si>
  <si>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</si>
  <si>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</si>
  <si>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</si>
  <si>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</si>
  <si>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</si>
  <si>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</si>
  <si>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</si>
  <si>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</si>
  <si>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</si>
  <si>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</si>
  <si>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</si>
  <si>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</si>
  <si>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</si>
  <si>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</si>
  <si>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</si>
  <si>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</si>
  <si>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</si>
  <si>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</si>
  <si>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</si>
  <si>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</si>
  <si>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</si>
  <si>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</si>
  <si>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</si>
  <si>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</si>
  <si>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</si>
  <si>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</si>
  <si>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</si>
  <si>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</si>
  <si>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</si>
  <si>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</si>
  <si>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</si>
  <si>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</si>
  <si>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</si>
  <si>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</si>
  <si>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</si>
  <si>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</si>
  <si>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</si>
  <si>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</si>
  <si>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</si>
  <si>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</si>
  <si>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</si>
  <si>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</si>
  <si>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</si>
  <si>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</si>
  <si>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</si>
  <si>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</si>
  <si>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</si>
  <si>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</si>
  <si>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</si>
  <si>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</si>
  <si>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</si>
  <si>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</si>
  <si>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</si>
  <si>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</si>
  <si>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</si>
  <si>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</si>
  <si>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</si>
  <si>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</si>
  <si>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</si>
  <si>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</si>
  <si>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</si>
  <si>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</si>
  <si>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</si>
  <si>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</si>
  <si>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</si>
  <si>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</si>
  <si>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</si>
  <si>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</si>
  <si>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</si>
  <si>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</si>
  <si>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</si>
  <si>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</si>
  <si>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</si>
  <si>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</si>
  <si>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</si>
  <si>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</si>
  <si>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</si>
  <si>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</si>
  <si>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</si>
  <si>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</si>
  <si>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</si>
  <si>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</si>
  <si>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</si>
  <si>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</si>
  <si>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</si>
  <si>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</si>
  <si>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</si>
  <si>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</si>
  <si>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</si>
  <si>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</si>
  <si>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</si>
  <si>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</si>
  <si>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</si>
  <si>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</si>
  <si>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</si>
  <si>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</si>
  <si>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</si>
  <si>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</si>
  <si>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</si>
  <si>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</si>
  <si>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</si>
  <si>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</si>
  <si>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</si>
  <si>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</si>
  <si>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</si>
  <si>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</si>
  <si>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</si>
  <si>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</si>
  <si>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</si>
  <si>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</si>
  <si>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</si>
  <si>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</si>
  <si>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</si>
  <si>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</si>
  <si>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</si>
  <si>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</si>
  <si>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</si>
  <si>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</si>
  <si>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</si>
  <si>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</si>
  <si>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</si>
  <si>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</si>
  <si>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</si>
  <si>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</si>
  <si>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</si>
  <si>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</si>
  <si>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</si>
  <si>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</si>
  <si>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</si>
  <si>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</si>
  <si>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</si>
  <si>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</si>
  <si>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</si>
  <si>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</si>
  <si>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</si>
  <si>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</si>
  <si>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</si>
  <si>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</si>
  <si>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</si>
  <si>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</si>
  <si>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</si>
  <si>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</si>
  <si>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</si>
  <si>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</si>
  <si>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</si>
  <si>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</si>
  <si>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</si>
  <si>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</si>
  <si>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</si>
  <si>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</si>
  <si>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</si>
  <si>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</si>
  <si>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</si>
  <si>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</si>
  <si>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</si>
  <si>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</si>
  <si>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</si>
  <si>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</si>
  <si>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</si>
  <si>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</si>
  <si>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</si>
  <si>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</si>
  <si>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</si>
  <si>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</si>
  <si>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</si>
  <si>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</si>
  <si>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907/21</t>
  </si>
  <si>
    <t>909/21</t>
  </si>
  <si>
    <t>910/21</t>
  </si>
  <si>
    <t>915/21</t>
  </si>
  <si>
    <t>(35*26)</t>
  </si>
  <si>
    <t>Arrival No. 015</t>
  </si>
  <si>
    <t>015/GZB/2021-22</t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</si>
</sst>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0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B1606"/>
  <sheetViews>
    <sheetView zoomScaleNormal="100" workbookViewId="0">
      <pane ySplit="3" topLeftCell="A1334" activePane="bottomLeft" state="frozen"/>
      <selection pane="bottomLeft" activeCell="L1342" sqref="L1342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59" t="s">
        <v>510</v>
      </c>
      <c r="B1" s="460"/>
      <c r="C1" s="460"/>
      <c r="D1" s="460"/>
      <c r="E1" s="460"/>
      <c r="F1" s="460"/>
      <c r="G1" s="460"/>
      <c r="H1" s="460"/>
      <c r="I1" s="460"/>
      <c r="J1" s="460"/>
      <c r="K1" s="461"/>
      <c r="L1" s="474" t="s">
        <v>511</v>
      </c>
      <c r="M1" s="475"/>
      <c r="N1" s="475"/>
      <c r="O1" s="475"/>
      <c r="P1" s="475"/>
      <c r="Q1" s="475"/>
      <c r="R1" s="476"/>
      <c r="S1" s="476"/>
      <c r="T1" s="476"/>
      <c r="U1" s="476"/>
      <c r="V1" s="476"/>
      <c r="W1" s="476"/>
      <c r="X1" s="120"/>
      <c r="Y1" s="52"/>
      <c r="Z1" s="3"/>
      <c r="AB1" s="1"/>
    </row>
    <row r="2" spans="1:28" ht="15.75" thickBot="1">
      <c r="A2" s="459"/>
      <c r="B2" s="460"/>
      <c r="C2" s="460"/>
      <c r="D2" s="460"/>
      <c r="E2" s="460"/>
      <c r="F2" s="460"/>
      <c r="G2" s="460"/>
      <c r="H2" s="460"/>
      <c r="I2" s="460"/>
      <c r="J2" s="460"/>
      <c r="K2" s="461"/>
      <c r="L2" s="471" t="s">
        <v>229</v>
      </c>
      <c r="M2" s="472"/>
      <c r="N2" s="473"/>
      <c r="O2" s="462" t="s">
        <v>48</v>
      </c>
      <c r="P2" s="463"/>
      <c r="Q2" s="464"/>
      <c r="R2" s="465" t="s">
        <v>49</v>
      </c>
      <c r="S2" s="466"/>
      <c r="T2" s="467"/>
      <c r="U2" s="468" t="s">
        <v>50</v>
      </c>
      <c r="V2" s="469"/>
      <c r="W2" s="470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>
      <c r="A4" s="386" t="s">
        <v>1381</v>
      </c>
      <c r="B4" s="387" t="s">
        <v>129</v>
      </c>
      <c r="C4" s="387">
        <v>33</v>
      </c>
      <c r="D4" s="387" t="s">
        <v>56</v>
      </c>
      <c r="E4" s="387">
        <v>5266</v>
      </c>
      <c r="F4" s="387" t="s">
        <v>686</v>
      </c>
      <c r="G4" s="387" t="s">
        <v>688</v>
      </c>
      <c r="H4" s="387" t="s">
        <v>191</v>
      </c>
      <c r="I4" s="387">
        <v>20</v>
      </c>
      <c r="J4" s="388" t="s">
        <v>691</v>
      </c>
      <c r="K4" s="389">
        <f>(18*19)+(2*16.6)</f>
        <v>375.2</v>
      </c>
      <c r="L4" s="58"/>
      <c r="M4" s="58"/>
      <c r="N4" s="229"/>
      <c r="O4" s="186" t="s">
        <v>1382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>
      <c r="A5" s="390" t="s">
        <v>1381</v>
      </c>
      <c r="B5" s="391" t="s">
        <v>129</v>
      </c>
      <c r="C5" s="391">
        <v>33</v>
      </c>
      <c r="D5" s="391" t="s">
        <v>56</v>
      </c>
      <c r="E5" s="391">
        <v>5271</v>
      </c>
      <c r="F5" s="391" t="s">
        <v>687</v>
      </c>
      <c r="G5" s="391" t="s">
        <v>688</v>
      </c>
      <c r="H5" s="391" t="s">
        <v>8</v>
      </c>
      <c r="I5" s="391">
        <v>10</v>
      </c>
      <c r="J5" s="392" t="s">
        <v>690</v>
      </c>
      <c r="K5" s="393">
        <v>180</v>
      </c>
      <c r="L5" s="58"/>
      <c r="M5" s="58"/>
      <c r="N5" s="229"/>
      <c r="O5" s="186" t="s">
        <v>1382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>
      <c r="A6" s="390" t="s">
        <v>1381</v>
      </c>
      <c r="B6" s="391" t="s">
        <v>9</v>
      </c>
      <c r="C6" s="391">
        <v>36</v>
      </c>
      <c r="D6" s="391" t="s">
        <v>10</v>
      </c>
      <c r="E6" s="391">
        <v>221</v>
      </c>
      <c r="F6" s="391" t="s">
        <v>587</v>
      </c>
      <c r="G6" s="391" t="s">
        <v>623</v>
      </c>
      <c r="H6" s="391" t="s">
        <v>5</v>
      </c>
      <c r="I6" s="391">
        <v>20</v>
      </c>
      <c r="J6" s="392" t="s">
        <v>30</v>
      </c>
      <c r="K6" s="393">
        <f>(19*38)+(1*29.4)</f>
        <v>751.4</v>
      </c>
      <c r="L6" s="58"/>
      <c r="M6" s="58"/>
      <c r="N6" s="229"/>
      <c r="O6" s="186" t="s">
        <v>1384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>
      <c r="A7" s="390" t="s">
        <v>1381</v>
      </c>
      <c r="B7" s="391" t="s">
        <v>9</v>
      </c>
      <c r="C7" s="391">
        <v>36</v>
      </c>
      <c r="D7" s="391" t="s">
        <v>7</v>
      </c>
      <c r="E7" s="391">
        <v>299</v>
      </c>
      <c r="F7" s="391" t="s">
        <v>152</v>
      </c>
      <c r="G7" s="391" t="s">
        <v>604</v>
      </c>
      <c r="H7" s="391" t="s">
        <v>5</v>
      </c>
      <c r="I7" s="391">
        <v>10</v>
      </c>
      <c r="J7" s="392" t="s">
        <v>26</v>
      </c>
      <c r="K7" s="393">
        <f>(9*38)+(1*29.4)</f>
        <v>371.4</v>
      </c>
      <c r="L7" s="58"/>
      <c r="M7" s="58"/>
      <c r="N7" s="229"/>
      <c r="O7" s="186" t="s">
        <v>1384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>
      <c r="A8" s="390" t="s">
        <v>1381</v>
      </c>
      <c r="B8" s="391" t="s">
        <v>9</v>
      </c>
      <c r="C8" s="391">
        <v>36</v>
      </c>
      <c r="D8" s="391" t="s">
        <v>7</v>
      </c>
      <c r="E8" s="391">
        <v>527</v>
      </c>
      <c r="F8" s="391" t="s">
        <v>751</v>
      </c>
      <c r="G8" s="391" t="s">
        <v>329</v>
      </c>
      <c r="H8" s="391" t="s">
        <v>526</v>
      </c>
      <c r="I8" s="391">
        <v>15</v>
      </c>
      <c r="J8" s="392" t="s">
        <v>14</v>
      </c>
      <c r="K8" s="393">
        <f>(14*38)+(1*29.4)</f>
        <v>561.4</v>
      </c>
      <c r="L8" s="58"/>
      <c r="M8" s="58"/>
      <c r="N8" s="229"/>
      <c r="O8" s="186" t="s">
        <v>1384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>
      <c r="A9" s="390" t="s">
        <v>1381</v>
      </c>
      <c r="B9" s="391" t="s">
        <v>9</v>
      </c>
      <c r="C9" s="391">
        <v>36</v>
      </c>
      <c r="D9" s="391" t="s">
        <v>10</v>
      </c>
      <c r="E9" s="391">
        <v>57</v>
      </c>
      <c r="F9" s="391" t="s">
        <v>756</v>
      </c>
      <c r="G9" s="391" t="s">
        <v>294</v>
      </c>
      <c r="H9" s="391" t="s">
        <v>182</v>
      </c>
      <c r="I9" s="391">
        <v>20</v>
      </c>
      <c r="J9" s="392" t="s">
        <v>30</v>
      </c>
      <c r="K9" s="393">
        <f>(19*38)+(1*29.4)</f>
        <v>751.4</v>
      </c>
      <c r="L9" s="58"/>
      <c r="M9" s="58"/>
      <c r="N9" s="229"/>
      <c r="O9" s="186" t="s">
        <v>1384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>
      <c r="A10" s="390" t="s">
        <v>1381</v>
      </c>
      <c r="B10" s="391" t="s">
        <v>9</v>
      </c>
      <c r="C10" s="391">
        <v>36</v>
      </c>
      <c r="D10" s="391" t="s">
        <v>10</v>
      </c>
      <c r="E10" s="391">
        <v>111</v>
      </c>
      <c r="F10" s="391" t="s">
        <v>321</v>
      </c>
      <c r="G10" s="391" t="s">
        <v>757</v>
      </c>
      <c r="H10" s="391" t="s">
        <v>5</v>
      </c>
      <c r="I10" s="391">
        <v>20</v>
      </c>
      <c r="J10" s="392" t="s">
        <v>30</v>
      </c>
      <c r="K10" s="393">
        <f>(19*38)+(1*29.4)</f>
        <v>751.4</v>
      </c>
      <c r="L10" s="58"/>
      <c r="M10" s="58"/>
      <c r="N10" s="229"/>
      <c r="O10" s="186" t="s">
        <v>1384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>
      <c r="A11" s="390" t="s">
        <v>1381</v>
      </c>
      <c r="B11" s="391" t="s">
        <v>129</v>
      </c>
      <c r="C11" s="391">
        <v>36</v>
      </c>
      <c r="D11" s="391" t="s">
        <v>7</v>
      </c>
      <c r="E11" s="391">
        <v>5001</v>
      </c>
      <c r="F11" s="391" t="s">
        <v>759</v>
      </c>
      <c r="G11" s="391" t="s">
        <v>773</v>
      </c>
      <c r="H11" s="391" t="s">
        <v>8</v>
      </c>
      <c r="I11" s="391">
        <v>20</v>
      </c>
      <c r="J11" s="392" t="s">
        <v>783</v>
      </c>
      <c r="K11" s="393">
        <f>(19*23)+(1*20.5)</f>
        <v>457.5</v>
      </c>
      <c r="L11" s="228" t="s">
        <v>1384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>
      <c r="A12" s="390" t="s">
        <v>1381</v>
      </c>
      <c r="B12" s="391" t="s">
        <v>129</v>
      </c>
      <c r="C12" s="391">
        <v>36</v>
      </c>
      <c r="D12" s="391" t="s">
        <v>7</v>
      </c>
      <c r="E12" s="391">
        <v>5002</v>
      </c>
      <c r="F12" s="391" t="s">
        <v>760</v>
      </c>
      <c r="G12" s="391" t="s">
        <v>773</v>
      </c>
      <c r="H12" s="391" t="s">
        <v>8</v>
      </c>
      <c r="I12" s="391">
        <v>20</v>
      </c>
      <c r="J12" s="392" t="s">
        <v>783</v>
      </c>
      <c r="K12" s="393">
        <f>(19*23)+(1*20.5)</f>
        <v>457.5</v>
      </c>
      <c r="L12" s="228" t="s">
        <v>1382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>
      <c r="A13" s="390" t="s">
        <v>1381</v>
      </c>
      <c r="B13" s="391" t="s">
        <v>129</v>
      </c>
      <c r="C13" s="391">
        <v>36</v>
      </c>
      <c r="D13" s="391" t="s">
        <v>7</v>
      </c>
      <c r="E13" s="391">
        <v>5003</v>
      </c>
      <c r="F13" s="391" t="s">
        <v>761</v>
      </c>
      <c r="G13" s="391" t="s">
        <v>773</v>
      </c>
      <c r="H13" s="391" t="s">
        <v>8</v>
      </c>
      <c r="I13" s="391">
        <v>20</v>
      </c>
      <c r="J13" s="392" t="s">
        <v>783</v>
      </c>
      <c r="K13" s="393">
        <f>(19*23)+(1*20.5)</f>
        <v>457.5</v>
      </c>
      <c r="L13" s="58"/>
      <c r="M13" s="58"/>
      <c r="N13" s="229"/>
      <c r="O13" s="186" t="s">
        <v>1390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>
      <c r="A14" s="390" t="s">
        <v>1381</v>
      </c>
      <c r="B14" s="391" t="s">
        <v>129</v>
      </c>
      <c r="C14" s="391">
        <v>36</v>
      </c>
      <c r="D14" s="391" t="s">
        <v>7</v>
      </c>
      <c r="E14" s="391">
        <v>5005</v>
      </c>
      <c r="F14" s="391" t="s">
        <v>762</v>
      </c>
      <c r="G14" s="391" t="s">
        <v>773</v>
      </c>
      <c r="H14" s="391" t="s">
        <v>190</v>
      </c>
      <c r="I14" s="391">
        <v>10</v>
      </c>
      <c r="J14" s="392" t="s">
        <v>784</v>
      </c>
      <c r="K14" s="393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1382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>
      <c r="A15" s="356" t="s">
        <v>1381</v>
      </c>
      <c r="B15" s="358" t="s">
        <v>129</v>
      </c>
      <c r="C15" s="358">
        <v>36</v>
      </c>
      <c r="D15" s="358" t="s">
        <v>7</v>
      </c>
      <c r="E15" s="358">
        <v>5006</v>
      </c>
      <c r="F15" s="358" t="s">
        <v>763</v>
      </c>
      <c r="G15" s="358" t="s">
        <v>773</v>
      </c>
      <c r="H15" s="358" t="s">
        <v>190</v>
      </c>
      <c r="I15" s="358">
        <v>20</v>
      </c>
      <c r="J15" s="302" t="s">
        <v>551</v>
      </c>
      <c r="K15" s="359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>
      <c r="A16" s="390" t="s">
        <v>1381</v>
      </c>
      <c r="B16" s="391" t="s">
        <v>129</v>
      </c>
      <c r="C16" s="391">
        <v>36</v>
      </c>
      <c r="D16" s="391" t="s">
        <v>7</v>
      </c>
      <c r="E16" s="391">
        <v>5012</v>
      </c>
      <c r="F16" s="391" t="s">
        <v>764</v>
      </c>
      <c r="G16" s="391" t="s">
        <v>774</v>
      </c>
      <c r="H16" s="391" t="s">
        <v>191</v>
      </c>
      <c r="I16" s="391">
        <v>15</v>
      </c>
      <c r="J16" s="392" t="s">
        <v>785</v>
      </c>
      <c r="K16" s="393">
        <f>(15*20)</f>
        <v>300</v>
      </c>
      <c r="L16" s="228"/>
      <c r="M16" s="58"/>
      <c r="N16" s="229"/>
      <c r="O16" s="186" t="s">
        <v>1384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>
      <c r="A17" s="390" t="s">
        <v>1381</v>
      </c>
      <c r="B17" s="391" t="s">
        <v>129</v>
      </c>
      <c r="C17" s="391">
        <v>36</v>
      </c>
      <c r="D17" s="391" t="s">
        <v>7</v>
      </c>
      <c r="E17" s="391">
        <v>5032</v>
      </c>
      <c r="F17" s="391" t="s">
        <v>765</v>
      </c>
      <c r="G17" s="391" t="s">
        <v>774</v>
      </c>
      <c r="H17" s="391" t="s">
        <v>550</v>
      </c>
      <c r="I17" s="391">
        <v>15</v>
      </c>
      <c r="J17" s="392" t="s">
        <v>786</v>
      </c>
      <c r="K17" s="393">
        <f>(14*22)+(1*17.8)</f>
        <v>325.8</v>
      </c>
      <c r="L17" s="228"/>
      <c r="M17" s="58"/>
      <c r="N17" s="229"/>
      <c r="O17" s="186" t="s">
        <v>1382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>
      <c r="A18" s="390" t="s">
        <v>1381</v>
      </c>
      <c r="B18" s="391" t="s">
        <v>129</v>
      </c>
      <c r="C18" s="391">
        <v>36</v>
      </c>
      <c r="D18" s="391" t="s">
        <v>7</v>
      </c>
      <c r="E18" s="391">
        <v>5071</v>
      </c>
      <c r="F18" s="391" t="s">
        <v>766</v>
      </c>
      <c r="G18" s="391" t="s">
        <v>775</v>
      </c>
      <c r="H18" s="391" t="s">
        <v>8</v>
      </c>
      <c r="I18" s="391">
        <v>17</v>
      </c>
      <c r="J18" s="392" t="s">
        <v>787</v>
      </c>
      <c r="K18" s="393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1382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>
      <c r="A19" s="390" t="s">
        <v>1381</v>
      </c>
      <c r="B19" s="391" t="s">
        <v>129</v>
      </c>
      <c r="C19" s="391">
        <v>36</v>
      </c>
      <c r="D19" s="391" t="s">
        <v>7</v>
      </c>
      <c r="E19" s="391">
        <v>5073</v>
      </c>
      <c r="F19" s="391" t="s">
        <v>767</v>
      </c>
      <c r="G19" s="391" t="s">
        <v>775</v>
      </c>
      <c r="H19" s="391" t="s">
        <v>550</v>
      </c>
      <c r="I19" s="391">
        <v>10</v>
      </c>
      <c r="J19" s="392" t="s">
        <v>788</v>
      </c>
      <c r="K19" s="393">
        <f>(9*23)+(1*18.8)</f>
        <v>225.8</v>
      </c>
      <c r="L19" s="228"/>
      <c r="M19" s="58"/>
      <c r="N19" s="229"/>
      <c r="O19" s="186" t="s">
        <v>1385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>
      <c r="A20" s="390" t="s">
        <v>1381</v>
      </c>
      <c r="B20" s="391" t="s">
        <v>129</v>
      </c>
      <c r="C20" s="391">
        <v>36</v>
      </c>
      <c r="D20" s="391" t="s">
        <v>7</v>
      </c>
      <c r="E20" s="391">
        <v>5076</v>
      </c>
      <c r="F20" s="391" t="s">
        <v>768</v>
      </c>
      <c r="G20" s="391" t="s">
        <v>547</v>
      </c>
      <c r="H20" s="391" t="s">
        <v>8</v>
      </c>
      <c r="I20" s="391">
        <v>15</v>
      </c>
      <c r="J20" s="392" t="s">
        <v>789</v>
      </c>
      <c r="K20" s="393">
        <f>(14*18)+(1*15.5)</f>
        <v>267.5</v>
      </c>
      <c r="L20" s="228"/>
      <c r="M20" s="58"/>
      <c r="N20" s="229"/>
      <c r="O20" s="186" t="s">
        <v>1389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>
      <c r="A21" s="390" t="s">
        <v>1381</v>
      </c>
      <c r="B21" s="391" t="s">
        <v>129</v>
      </c>
      <c r="C21" s="391">
        <v>36</v>
      </c>
      <c r="D21" s="391" t="s">
        <v>7</v>
      </c>
      <c r="E21" s="391">
        <v>5099</v>
      </c>
      <c r="F21" s="391" t="s">
        <v>769</v>
      </c>
      <c r="G21" s="391" t="s">
        <v>776</v>
      </c>
      <c r="H21" s="391" t="s">
        <v>777</v>
      </c>
      <c r="I21" s="391">
        <v>10</v>
      </c>
      <c r="J21" s="392" t="s">
        <v>790</v>
      </c>
      <c r="K21" s="393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1382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>
      <c r="A22" s="390" t="s">
        <v>1381</v>
      </c>
      <c r="B22" s="391" t="s">
        <v>129</v>
      </c>
      <c r="C22" s="391">
        <v>36</v>
      </c>
      <c r="D22" s="391" t="s">
        <v>56</v>
      </c>
      <c r="E22" s="391">
        <v>5003</v>
      </c>
      <c r="F22" s="391" t="s">
        <v>770</v>
      </c>
      <c r="G22" s="391" t="s">
        <v>669</v>
      </c>
      <c r="H22" s="391" t="s">
        <v>548</v>
      </c>
      <c r="I22" s="391">
        <v>15</v>
      </c>
      <c r="J22" s="392" t="s">
        <v>791</v>
      </c>
      <c r="K22" s="393">
        <f>(12*17)+(3*14.6)</f>
        <v>247.8</v>
      </c>
      <c r="L22" s="228" t="s">
        <v>1382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>
      <c r="A23" s="390" t="s">
        <v>1381</v>
      </c>
      <c r="B23" s="391" t="s">
        <v>129</v>
      </c>
      <c r="C23" s="391">
        <v>36</v>
      </c>
      <c r="D23" s="391" t="s">
        <v>55</v>
      </c>
      <c r="E23" s="391">
        <v>5003</v>
      </c>
      <c r="F23" s="391" t="s">
        <v>771</v>
      </c>
      <c r="G23" s="391" t="s">
        <v>88</v>
      </c>
      <c r="H23" s="391" t="s">
        <v>191</v>
      </c>
      <c r="I23" s="391">
        <v>20</v>
      </c>
      <c r="J23" s="392" t="s">
        <v>792</v>
      </c>
      <c r="K23" s="393">
        <f>(17*18)+(1*15.6)+(2*15.8)</f>
        <v>353.20000000000005</v>
      </c>
      <c r="L23" s="228" t="s">
        <v>1385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>
      <c r="A24" s="390" t="s">
        <v>1381</v>
      </c>
      <c r="B24" s="391" t="s">
        <v>129</v>
      </c>
      <c r="C24" s="391">
        <v>36</v>
      </c>
      <c r="D24" s="391" t="s">
        <v>55</v>
      </c>
      <c r="E24" s="391">
        <v>5013</v>
      </c>
      <c r="F24" s="391" t="s">
        <v>772</v>
      </c>
      <c r="G24" s="391" t="s">
        <v>88</v>
      </c>
      <c r="H24" s="391" t="s">
        <v>778</v>
      </c>
      <c r="I24" s="391">
        <v>10</v>
      </c>
      <c r="J24" s="392" t="s">
        <v>793</v>
      </c>
      <c r="K24" s="393">
        <f>(7*51)+(1*48.6)+(2*48.8)</f>
        <v>503.20000000000005</v>
      </c>
      <c r="L24" s="228" t="s">
        <v>1398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>
      <c r="A25" s="390" t="s">
        <v>1381</v>
      </c>
      <c r="B25" s="391" t="s">
        <v>129</v>
      </c>
      <c r="C25" s="391">
        <v>36</v>
      </c>
      <c r="D25" s="391" t="s">
        <v>55</v>
      </c>
      <c r="E25" s="391">
        <v>5034</v>
      </c>
      <c r="F25" s="391" t="s">
        <v>648</v>
      </c>
      <c r="G25" s="391" t="s">
        <v>650</v>
      </c>
      <c r="H25" s="391" t="s">
        <v>548</v>
      </c>
      <c r="I25" s="391">
        <v>5</v>
      </c>
      <c r="J25" s="392" t="s">
        <v>794</v>
      </c>
      <c r="K25" s="393">
        <f>(2*43)+(1*40.6)+(2*40.8)</f>
        <v>208.2</v>
      </c>
      <c r="L25" s="228" t="s">
        <v>1382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>
      <c r="A26" s="390" t="s">
        <v>1381</v>
      </c>
      <c r="B26" s="391" t="s">
        <v>129</v>
      </c>
      <c r="C26" s="391">
        <v>36</v>
      </c>
      <c r="D26" s="391" t="s">
        <v>55</v>
      </c>
      <c r="E26" s="391">
        <v>5035</v>
      </c>
      <c r="F26" s="391" t="s">
        <v>779</v>
      </c>
      <c r="G26" s="391" t="s">
        <v>650</v>
      </c>
      <c r="H26" s="391" t="s">
        <v>548</v>
      </c>
      <c r="I26" s="391">
        <v>10</v>
      </c>
      <c r="J26" s="392" t="s">
        <v>795</v>
      </c>
      <c r="K26" s="393">
        <f>(7*43)+(1*40.6)+(2*40.8)</f>
        <v>423.20000000000005</v>
      </c>
      <c r="L26" s="228" t="s">
        <v>1384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>
      <c r="A27" s="390" t="s">
        <v>1381</v>
      </c>
      <c r="B27" s="391" t="s">
        <v>129</v>
      </c>
      <c r="C27" s="391">
        <v>36</v>
      </c>
      <c r="D27" s="391" t="s">
        <v>55</v>
      </c>
      <c r="E27" s="391">
        <v>5037</v>
      </c>
      <c r="F27" s="391" t="s">
        <v>780</v>
      </c>
      <c r="G27" s="391" t="s">
        <v>650</v>
      </c>
      <c r="H27" s="391" t="s">
        <v>778</v>
      </c>
      <c r="I27" s="391">
        <v>5</v>
      </c>
      <c r="J27" s="392" t="s">
        <v>796</v>
      </c>
      <c r="K27" s="393">
        <f>(2*45)+(1*42.6)+(2*42.8)</f>
        <v>218.2</v>
      </c>
      <c r="L27" s="228"/>
      <c r="M27" s="58"/>
      <c r="N27" s="229"/>
      <c r="O27" s="186" t="s">
        <v>1384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>
      <c r="A28" s="390" t="s">
        <v>1381</v>
      </c>
      <c r="B28" s="391" t="s">
        <v>129</v>
      </c>
      <c r="C28" s="391">
        <v>36</v>
      </c>
      <c r="D28" s="391" t="s">
        <v>55</v>
      </c>
      <c r="E28" s="391">
        <v>5039</v>
      </c>
      <c r="F28" s="391" t="s">
        <v>781</v>
      </c>
      <c r="G28" s="391" t="s">
        <v>650</v>
      </c>
      <c r="H28" s="391" t="s">
        <v>778</v>
      </c>
      <c r="I28" s="391">
        <v>15</v>
      </c>
      <c r="J28" s="392" t="s">
        <v>797</v>
      </c>
      <c r="K28" s="393">
        <f>(12*46)+(1*43.6)+(2*43.8)</f>
        <v>683.2</v>
      </c>
      <c r="L28" s="228"/>
      <c r="M28" s="58"/>
      <c r="N28" s="229"/>
      <c r="O28" s="186" t="s">
        <v>1390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>
      <c r="A29" s="390" t="s">
        <v>1381</v>
      </c>
      <c r="B29" s="391" t="s">
        <v>129</v>
      </c>
      <c r="C29" s="391">
        <v>36</v>
      </c>
      <c r="D29" s="391" t="s">
        <v>55</v>
      </c>
      <c r="E29" s="391">
        <v>5048</v>
      </c>
      <c r="F29" s="391" t="s">
        <v>782</v>
      </c>
      <c r="G29" s="391" t="s">
        <v>584</v>
      </c>
      <c r="H29" s="391" t="s">
        <v>550</v>
      </c>
      <c r="I29" s="391">
        <v>8</v>
      </c>
      <c r="J29" s="392" t="s">
        <v>798</v>
      </c>
      <c r="K29" s="393">
        <f>(7*19)+(1*16.8)</f>
        <v>149.80000000000001</v>
      </c>
      <c r="L29" s="228"/>
      <c r="M29" s="58"/>
      <c r="N29" s="229"/>
      <c r="O29" s="186" t="s">
        <v>1389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>
      <c r="A30" s="390" t="s">
        <v>1381</v>
      </c>
      <c r="B30" s="391" t="s">
        <v>9</v>
      </c>
      <c r="C30" s="391">
        <v>37</v>
      </c>
      <c r="D30" s="391" t="s">
        <v>7</v>
      </c>
      <c r="E30" s="391">
        <v>158</v>
      </c>
      <c r="F30" s="391" t="s">
        <v>562</v>
      </c>
      <c r="G30" s="391" t="s">
        <v>801</v>
      </c>
      <c r="H30" s="391" t="s">
        <v>5</v>
      </c>
      <c r="I30" s="391">
        <v>15</v>
      </c>
      <c r="J30" s="392" t="s">
        <v>37</v>
      </c>
      <c r="K30" s="393">
        <f>(13*38)+(2*29.4)</f>
        <v>552.79999999999995</v>
      </c>
      <c r="L30" s="228"/>
      <c r="M30" s="58"/>
      <c r="N30" s="229"/>
      <c r="O30" s="186" t="s">
        <v>1384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>
      <c r="A31" s="390" t="s">
        <v>1381</v>
      </c>
      <c r="B31" s="391" t="s">
        <v>9</v>
      </c>
      <c r="C31" s="391">
        <v>37</v>
      </c>
      <c r="D31" s="391" t="s">
        <v>7</v>
      </c>
      <c r="E31" s="391">
        <v>243</v>
      </c>
      <c r="F31" s="391" t="s">
        <v>800</v>
      </c>
      <c r="G31" s="391" t="s">
        <v>802</v>
      </c>
      <c r="H31" s="391" t="s">
        <v>182</v>
      </c>
      <c r="I31" s="391">
        <v>20</v>
      </c>
      <c r="J31" s="392" t="s">
        <v>30</v>
      </c>
      <c r="K31" s="393">
        <f>(19*38)+(1*29.4)</f>
        <v>751.4</v>
      </c>
      <c r="L31" s="228"/>
      <c r="M31" s="58"/>
      <c r="N31" s="229"/>
      <c r="O31" s="186" t="s">
        <v>1384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>
      <c r="A32" s="390" t="s">
        <v>1381</v>
      </c>
      <c r="B32" s="391" t="s">
        <v>9</v>
      </c>
      <c r="C32" s="391">
        <v>37</v>
      </c>
      <c r="D32" s="391" t="s">
        <v>16</v>
      </c>
      <c r="E32" s="391">
        <v>245</v>
      </c>
      <c r="F32" s="391" t="s">
        <v>283</v>
      </c>
      <c r="G32" s="391" t="s">
        <v>95</v>
      </c>
      <c r="H32" s="391" t="s">
        <v>15</v>
      </c>
      <c r="I32" s="391">
        <v>20</v>
      </c>
      <c r="J32" s="392" t="s">
        <v>17</v>
      </c>
      <c r="K32" s="393">
        <f>(19*35)+(1*26.4)</f>
        <v>691.4</v>
      </c>
      <c r="L32" s="228"/>
      <c r="M32" s="58"/>
      <c r="N32" s="229"/>
      <c r="O32" s="186" t="s">
        <v>1384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>
      <c r="A33" s="390" t="s">
        <v>1381</v>
      </c>
      <c r="B33" s="391" t="s">
        <v>9</v>
      </c>
      <c r="C33" s="391">
        <v>37</v>
      </c>
      <c r="D33" s="391" t="s">
        <v>174</v>
      </c>
      <c r="E33" s="391">
        <v>15</v>
      </c>
      <c r="F33" s="391" t="s">
        <v>78</v>
      </c>
      <c r="G33" s="391" t="s">
        <v>349</v>
      </c>
      <c r="H33" s="391" t="s">
        <v>15</v>
      </c>
      <c r="I33" s="391">
        <v>15</v>
      </c>
      <c r="J33" s="392" t="s">
        <v>14</v>
      </c>
      <c r="K33" s="393">
        <f>(14*38)+(1*29.4)</f>
        <v>561.4</v>
      </c>
      <c r="L33" s="228"/>
      <c r="M33" s="58"/>
      <c r="N33" s="229"/>
      <c r="O33" s="186" t="s">
        <v>1384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>
      <c r="A34" s="390" t="s">
        <v>1381</v>
      </c>
      <c r="B34" s="391" t="s">
        <v>9</v>
      </c>
      <c r="C34" s="391">
        <v>37</v>
      </c>
      <c r="D34" s="391" t="s">
        <v>10</v>
      </c>
      <c r="E34" s="391">
        <v>401</v>
      </c>
      <c r="F34" s="391" t="s">
        <v>633</v>
      </c>
      <c r="G34" s="391" t="s">
        <v>138</v>
      </c>
      <c r="H34" s="391" t="s">
        <v>5</v>
      </c>
      <c r="I34" s="391">
        <v>20</v>
      </c>
      <c r="J34" s="392" t="s">
        <v>17</v>
      </c>
      <c r="K34" s="393">
        <f>(19*35)+(1*26.4)</f>
        <v>691.4</v>
      </c>
      <c r="L34" s="228"/>
      <c r="M34" s="58"/>
      <c r="N34" s="229"/>
      <c r="O34" s="186" t="s">
        <v>1384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thickBot="1">
      <c r="A35" s="390" t="s">
        <v>1381</v>
      </c>
      <c r="B35" s="394" t="s">
        <v>9</v>
      </c>
      <c r="C35" s="394">
        <v>38</v>
      </c>
      <c r="D35" s="394" t="s">
        <v>16</v>
      </c>
      <c r="E35" s="394">
        <v>361</v>
      </c>
      <c r="F35" s="394" t="s">
        <v>824</v>
      </c>
      <c r="G35" s="394" t="s">
        <v>537</v>
      </c>
      <c r="H35" s="394" t="s">
        <v>15</v>
      </c>
      <c r="I35" s="394">
        <v>20</v>
      </c>
      <c r="J35" s="395" t="s">
        <v>17</v>
      </c>
      <c r="K35" s="396">
        <f>(19*35)+(1*26.4)</f>
        <v>691.4</v>
      </c>
      <c r="L35" s="228"/>
      <c r="M35" s="58"/>
      <c r="N35" s="229"/>
      <c r="O35" s="186" t="s">
        <v>1382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>
      <c r="A36" s="390" t="s">
        <v>1381</v>
      </c>
      <c r="B36" s="387" t="s">
        <v>9</v>
      </c>
      <c r="C36" s="387">
        <v>38</v>
      </c>
      <c r="D36" s="387" t="s">
        <v>16</v>
      </c>
      <c r="E36" s="387">
        <v>362</v>
      </c>
      <c r="F36" s="387" t="s">
        <v>825</v>
      </c>
      <c r="G36" s="387" t="s">
        <v>537</v>
      </c>
      <c r="H36" s="387" t="s">
        <v>15</v>
      </c>
      <c r="I36" s="387">
        <v>20</v>
      </c>
      <c r="J36" s="388" t="s">
        <v>17</v>
      </c>
      <c r="K36" s="389">
        <f>(19*35)+(1*26.4)</f>
        <v>691.4</v>
      </c>
      <c r="L36" s="228"/>
      <c r="M36" s="58"/>
      <c r="N36" s="229"/>
      <c r="O36" s="186" t="s">
        <v>1382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>
      <c r="A37" s="390" t="s">
        <v>1381</v>
      </c>
      <c r="B37" s="391" t="s">
        <v>9</v>
      </c>
      <c r="C37" s="391">
        <v>38</v>
      </c>
      <c r="D37" s="391" t="s">
        <v>16</v>
      </c>
      <c r="E37" s="391">
        <v>369</v>
      </c>
      <c r="F37" s="391" t="s">
        <v>183</v>
      </c>
      <c r="G37" s="391" t="s">
        <v>175</v>
      </c>
      <c r="H37" s="391" t="s">
        <v>5</v>
      </c>
      <c r="I37" s="391">
        <v>10</v>
      </c>
      <c r="J37" s="392" t="s">
        <v>11</v>
      </c>
      <c r="K37" s="393">
        <f>(9*35)+(1*26.4)</f>
        <v>341.4</v>
      </c>
      <c r="L37" s="228"/>
      <c r="M37" s="58"/>
      <c r="N37" s="229"/>
      <c r="O37" s="186" t="s">
        <v>1382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>
      <c r="A38" s="390" t="s">
        <v>1381</v>
      </c>
      <c r="B38" s="391" t="s">
        <v>9</v>
      </c>
      <c r="C38" s="391">
        <v>38</v>
      </c>
      <c r="D38" s="391" t="s">
        <v>16</v>
      </c>
      <c r="E38" s="391">
        <v>372</v>
      </c>
      <c r="F38" s="391" t="s">
        <v>637</v>
      </c>
      <c r="G38" s="391" t="s">
        <v>175</v>
      </c>
      <c r="H38" s="391" t="s">
        <v>15</v>
      </c>
      <c r="I38" s="391">
        <v>15</v>
      </c>
      <c r="J38" s="392" t="s">
        <v>13</v>
      </c>
      <c r="K38" s="393">
        <f>(14*35)+(1*26.4)</f>
        <v>516.4</v>
      </c>
      <c r="L38" s="228"/>
      <c r="M38" s="58"/>
      <c r="N38" s="229"/>
      <c r="O38" s="186" t="s">
        <v>1382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>
      <c r="A39" s="390" t="s">
        <v>1381</v>
      </c>
      <c r="B39" s="391" t="s">
        <v>9</v>
      </c>
      <c r="C39" s="391">
        <v>38</v>
      </c>
      <c r="D39" s="391" t="s">
        <v>16</v>
      </c>
      <c r="E39" s="391">
        <v>374</v>
      </c>
      <c r="F39" s="391" t="s">
        <v>826</v>
      </c>
      <c r="G39" s="391" t="s">
        <v>141</v>
      </c>
      <c r="H39" s="391" t="s">
        <v>5</v>
      </c>
      <c r="I39" s="391">
        <v>20</v>
      </c>
      <c r="J39" s="392" t="s">
        <v>17</v>
      </c>
      <c r="K39" s="393">
        <f>(19*35)+(1*26.4)</f>
        <v>691.4</v>
      </c>
      <c r="L39" s="228"/>
      <c r="M39" s="58"/>
      <c r="N39" s="229"/>
      <c r="O39" s="186" t="s">
        <v>1382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>
      <c r="A40" s="390" t="s">
        <v>1381</v>
      </c>
      <c r="B40" s="391" t="s">
        <v>9</v>
      </c>
      <c r="C40" s="391">
        <v>38</v>
      </c>
      <c r="D40" s="391" t="s">
        <v>16</v>
      </c>
      <c r="E40" s="391">
        <v>381</v>
      </c>
      <c r="F40" s="391" t="s">
        <v>730</v>
      </c>
      <c r="G40" s="391" t="s">
        <v>830</v>
      </c>
      <c r="H40" s="391" t="s">
        <v>15</v>
      </c>
      <c r="I40" s="391">
        <v>15</v>
      </c>
      <c r="J40" s="392" t="s">
        <v>13</v>
      </c>
      <c r="K40" s="393">
        <f>(14*35)+(1*26.4)</f>
        <v>516.4</v>
      </c>
      <c r="L40" s="228"/>
      <c r="M40" s="58"/>
      <c r="N40" s="229"/>
      <c r="O40" s="186" t="s">
        <v>1382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>
      <c r="A41" s="390" t="s">
        <v>1381</v>
      </c>
      <c r="B41" s="391" t="s">
        <v>9</v>
      </c>
      <c r="C41" s="391">
        <v>38</v>
      </c>
      <c r="D41" s="391" t="s">
        <v>16</v>
      </c>
      <c r="E41" s="391">
        <v>384</v>
      </c>
      <c r="F41" s="391" t="s">
        <v>827</v>
      </c>
      <c r="G41" s="391" t="s">
        <v>830</v>
      </c>
      <c r="H41" s="391" t="s">
        <v>15</v>
      </c>
      <c r="I41" s="391">
        <v>15</v>
      </c>
      <c r="J41" s="392" t="s">
        <v>137</v>
      </c>
      <c r="K41" s="393">
        <f>(15*35)</f>
        <v>525</v>
      </c>
      <c r="L41" s="228"/>
      <c r="M41" s="58"/>
      <c r="N41" s="229"/>
      <c r="O41" s="186" t="s">
        <v>1384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>
      <c r="A42" s="390" t="s">
        <v>1381</v>
      </c>
      <c r="B42" s="391" t="s">
        <v>9</v>
      </c>
      <c r="C42" s="391">
        <v>38</v>
      </c>
      <c r="D42" s="391" t="s">
        <v>16</v>
      </c>
      <c r="E42" s="391">
        <v>428</v>
      </c>
      <c r="F42" s="391" t="s">
        <v>621</v>
      </c>
      <c r="G42" s="391" t="s">
        <v>41</v>
      </c>
      <c r="H42" s="391" t="s">
        <v>5</v>
      </c>
      <c r="I42" s="391">
        <v>20</v>
      </c>
      <c r="J42" s="392" t="s">
        <v>833</v>
      </c>
      <c r="K42" s="393">
        <f>(18*37)+(2*28.4)</f>
        <v>722.8</v>
      </c>
      <c r="L42" s="228"/>
      <c r="M42" s="58"/>
      <c r="N42" s="229"/>
      <c r="O42" s="186" t="s">
        <v>1384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>
      <c r="A43" s="390" t="s">
        <v>1381</v>
      </c>
      <c r="B43" s="391" t="s">
        <v>9</v>
      </c>
      <c r="C43" s="391">
        <v>38</v>
      </c>
      <c r="D43" s="391" t="s">
        <v>16</v>
      </c>
      <c r="E43" s="391">
        <v>442</v>
      </c>
      <c r="F43" s="391" t="s">
        <v>828</v>
      </c>
      <c r="G43" s="391" t="s">
        <v>554</v>
      </c>
      <c r="H43" s="391" t="s">
        <v>15</v>
      </c>
      <c r="I43" s="391">
        <v>30</v>
      </c>
      <c r="J43" s="392" t="s">
        <v>24</v>
      </c>
      <c r="K43" s="393">
        <f>(29*38)+(1*29.4)</f>
        <v>1131.4000000000001</v>
      </c>
      <c r="L43" s="228"/>
      <c r="M43" s="58"/>
      <c r="N43" s="229"/>
      <c r="O43" s="186" t="s">
        <v>1384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>
      <c r="A44" s="390" t="s">
        <v>1381</v>
      </c>
      <c r="B44" s="391" t="s">
        <v>9</v>
      </c>
      <c r="C44" s="391">
        <v>38</v>
      </c>
      <c r="D44" s="391" t="s">
        <v>16</v>
      </c>
      <c r="E44" s="391">
        <v>444</v>
      </c>
      <c r="F44" s="391" t="s">
        <v>391</v>
      </c>
      <c r="G44" s="391" t="s">
        <v>554</v>
      </c>
      <c r="H44" s="391" t="s">
        <v>15</v>
      </c>
      <c r="I44" s="391">
        <v>30</v>
      </c>
      <c r="J44" s="392" t="s">
        <v>24</v>
      </c>
      <c r="K44" s="393">
        <f>(29*38)+(1*29.4)</f>
        <v>1131.4000000000001</v>
      </c>
      <c r="L44" s="228"/>
      <c r="M44" s="58"/>
      <c r="N44" s="229"/>
      <c r="O44" s="186" t="s">
        <v>1384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>
      <c r="A45" s="390" t="s">
        <v>1381</v>
      </c>
      <c r="B45" s="391" t="s">
        <v>9</v>
      </c>
      <c r="C45" s="391">
        <v>38</v>
      </c>
      <c r="D45" s="391" t="s">
        <v>16</v>
      </c>
      <c r="E45" s="391">
        <v>493</v>
      </c>
      <c r="F45" s="391" t="s">
        <v>813</v>
      </c>
      <c r="G45" s="391" t="s">
        <v>632</v>
      </c>
      <c r="H45" s="391" t="s">
        <v>15</v>
      </c>
      <c r="I45" s="391">
        <v>15</v>
      </c>
      <c r="J45" s="392" t="s">
        <v>13</v>
      </c>
      <c r="K45" s="393">
        <f>(14*35)+(1*26.4)</f>
        <v>516.4</v>
      </c>
      <c r="L45" s="228"/>
      <c r="M45" s="58"/>
      <c r="N45" s="229"/>
      <c r="O45" s="186" t="s">
        <v>1384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>
      <c r="A46" s="390" t="s">
        <v>1381</v>
      </c>
      <c r="B46" s="391" t="s">
        <v>9</v>
      </c>
      <c r="C46" s="391">
        <v>38</v>
      </c>
      <c r="D46" s="391" t="s">
        <v>16</v>
      </c>
      <c r="E46" s="391">
        <v>498</v>
      </c>
      <c r="F46" s="391" t="s">
        <v>829</v>
      </c>
      <c r="G46" s="391" t="s">
        <v>632</v>
      </c>
      <c r="H46" s="391" t="s">
        <v>15</v>
      </c>
      <c r="I46" s="391">
        <v>20</v>
      </c>
      <c r="J46" s="392" t="s">
        <v>17</v>
      </c>
      <c r="K46" s="393">
        <f>(19*35)+(1*26.4)</f>
        <v>691.4</v>
      </c>
      <c r="L46" s="228"/>
      <c r="M46" s="58"/>
      <c r="N46" s="229"/>
      <c r="O46" s="186" t="s">
        <v>1384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>
      <c r="A47" s="390" t="s">
        <v>1381</v>
      </c>
      <c r="B47" s="391" t="s">
        <v>9</v>
      </c>
      <c r="C47" s="391">
        <v>38</v>
      </c>
      <c r="D47" s="391" t="s">
        <v>25</v>
      </c>
      <c r="E47" s="391">
        <v>55</v>
      </c>
      <c r="F47" s="391" t="s">
        <v>613</v>
      </c>
      <c r="G47" s="391" t="s">
        <v>111</v>
      </c>
      <c r="H47" s="391" t="s">
        <v>5</v>
      </c>
      <c r="I47" s="391">
        <v>15</v>
      </c>
      <c r="J47" s="392" t="s">
        <v>100</v>
      </c>
      <c r="K47" s="393">
        <f>(14*33)+(1*24.4)</f>
        <v>486.4</v>
      </c>
      <c r="L47" s="228"/>
      <c r="M47" s="58"/>
      <c r="N47" s="229"/>
      <c r="O47" s="186" t="s">
        <v>1382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>
      <c r="A48" s="390" t="s">
        <v>1381</v>
      </c>
      <c r="B48" s="391" t="s">
        <v>9</v>
      </c>
      <c r="C48" s="391">
        <v>38</v>
      </c>
      <c r="D48" s="391" t="s">
        <v>25</v>
      </c>
      <c r="E48" s="391">
        <v>105</v>
      </c>
      <c r="F48" s="391" t="s">
        <v>712</v>
      </c>
      <c r="G48" s="391" t="s">
        <v>271</v>
      </c>
      <c r="H48" s="391" t="s">
        <v>5</v>
      </c>
      <c r="I48" s="391">
        <v>20</v>
      </c>
      <c r="J48" s="392" t="s">
        <v>30</v>
      </c>
      <c r="K48" s="393">
        <f>(19*38)+(1*29.4)</f>
        <v>751.4</v>
      </c>
      <c r="L48" s="58"/>
      <c r="M48" s="58"/>
      <c r="N48" s="229"/>
      <c r="O48" s="186" t="s">
        <v>1384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>
      <c r="A49" s="390" t="s">
        <v>1381</v>
      </c>
      <c r="B49" s="391" t="s">
        <v>9</v>
      </c>
      <c r="C49" s="391">
        <v>38</v>
      </c>
      <c r="D49" s="391" t="s">
        <v>25</v>
      </c>
      <c r="E49" s="391">
        <v>107</v>
      </c>
      <c r="F49" s="391" t="s">
        <v>429</v>
      </c>
      <c r="G49" s="391" t="s">
        <v>271</v>
      </c>
      <c r="H49" s="391" t="s">
        <v>15</v>
      </c>
      <c r="I49" s="391">
        <v>20</v>
      </c>
      <c r="J49" s="392" t="s">
        <v>30</v>
      </c>
      <c r="K49" s="393">
        <f>(19*38)+(1*29.4)</f>
        <v>751.4</v>
      </c>
      <c r="L49" s="58"/>
      <c r="M49" s="58"/>
      <c r="N49" s="229"/>
      <c r="O49" s="186" t="s">
        <v>1384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>
      <c r="A50" s="390" t="s">
        <v>1381</v>
      </c>
      <c r="B50" s="391" t="s">
        <v>9</v>
      </c>
      <c r="C50" s="391">
        <v>38</v>
      </c>
      <c r="D50" s="391" t="s">
        <v>32</v>
      </c>
      <c r="E50" s="391">
        <v>14</v>
      </c>
      <c r="F50" s="391" t="s">
        <v>834</v>
      </c>
      <c r="G50" s="391" t="s">
        <v>332</v>
      </c>
      <c r="H50" s="391" t="s">
        <v>5</v>
      </c>
      <c r="I50" s="391">
        <v>20</v>
      </c>
      <c r="J50" s="392" t="s">
        <v>17</v>
      </c>
      <c r="K50" s="393">
        <f>(19*35)+(1*26.4)</f>
        <v>691.4</v>
      </c>
      <c r="L50" s="58"/>
      <c r="M50" s="58"/>
      <c r="N50" s="229"/>
      <c r="O50" s="186" t="s">
        <v>1382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>
      <c r="A51" s="390" t="s">
        <v>1381</v>
      </c>
      <c r="B51" s="391" t="s">
        <v>9</v>
      </c>
      <c r="C51" s="391">
        <v>38</v>
      </c>
      <c r="D51" s="391" t="s">
        <v>7</v>
      </c>
      <c r="E51" s="391">
        <v>159</v>
      </c>
      <c r="F51" s="391" t="s">
        <v>837</v>
      </c>
      <c r="G51" s="391" t="s">
        <v>363</v>
      </c>
      <c r="H51" s="391" t="s">
        <v>5</v>
      </c>
      <c r="I51" s="391">
        <v>20</v>
      </c>
      <c r="J51" s="392" t="s">
        <v>17</v>
      </c>
      <c r="K51" s="393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1382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>
      <c r="A52" s="390" t="s">
        <v>1381</v>
      </c>
      <c r="B52" s="391" t="s">
        <v>9</v>
      </c>
      <c r="C52" s="391">
        <v>38</v>
      </c>
      <c r="D52" s="391" t="s">
        <v>7</v>
      </c>
      <c r="E52" s="391">
        <v>255</v>
      </c>
      <c r="F52" s="391" t="s">
        <v>317</v>
      </c>
      <c r="G52" s="391" t="s">
        <v>38</v>
      </c>
      <c r="H52" s="391" t="s">
        <v>15</v>
      </c>
      <c r="I52" s="391">
        <v>25</v>
      </c>
      <c r="J52" s="392" t="s">
        <v>196</v>
      </c>
      <c r="K52" s="393">
        <f>(25*35)</f>
        <v>875</v>
      </c>
      <c r="L52" s="58"/>
      <c r="M52" s="58"/>
      <c r="N52" s="229"/>
      <c r="O52" s="186" t="s">
        <v>1382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>
      <c r="A53" s="390" t="s">
        <v>1381</v>
      </c>
      <c r="B53" s="391" t="s">
        <v>9</v>
      </c>
      <c r="C53" s="391">
        <v>38</v>
      </c>
      <c r="D53" s="391" t="s">
        <v>7</v>
      </c>
      <c r="E53" s="391">
        <v>400</v>
      </c>
      <c r="F53" s="391" t="s">
        <v>812</v>
      </c>
      <c r="G53" s="391" t="s">
        <v>105</v>
      </c>
      <c r="H53" s="391" t="s">
        <v>15</v>
      </c>
      <c r="I53" s="391">
        <v>20</v>
      </c>
      <c r="J53" s="392" t="s">
        <v>33</v>
      </c>
      <c r="K53" s="393">
        <f>(19*26)+(1*17.4)</f>
        <v>511.4</v>
      </c>
      <c r="L53" s="58"/>
      <c r="M53" s="58"/>
      <c r="N53" s="229"/>
      <c r="O53" s="186" t="s">
        <v>1382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>
      <c r="A54" s="390" t="s">
        <v>1381</v>
      </c>
      <c r="B54" s="391" t="s">
        <v>9</v>
      </c>
      <c r="C54" s="391">
        <v>38</v>
      </c>
      <c r="D54" s="391" t="s">
        <v>7</v>
      </c>
      <c r="E54" s="391">
        <v>494</v>
      </c>
      <c r="F54" s="391" t="s">
        <v>838</v>
      </c>
      <c r="G54" s="391" t="s">
        <v>329</v>
      </c>
      <c r="H54" s="391" t="s">
        <v>5</v>
      </c>
      <c r="I54" s="391">
        <v>20</v>
      </c>
      <c r="J54" s="392" t="s">
        <v>30</v>
      </c>
      <c r="K54" s="393">
        <f>(19*38)+(1*29.4)</f>
        <v>751.4</v>
      </c>
      <c r="L54" s="228"/>
      <c r="M54" s="58"/>
      <c r="N54" s="229"/>
      <c r="O54" s="186" t="s">
        <v>1382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>
      <c r="A55" s="390" t="s">
        <v>1381</v>
      </c>
      <c r="B55" s="391" t="s">
        <v>9</v>
      </c>
      <c r="C55" s="391">
        <v>38</v>
      </c>
      <c r="D55" s="391" t="s">
        <v>7</v>
      </c>
      <c r="E55" s="391">
        <v>498</v>
      </c>
      <c r="F55" s="391" t="s">
        <v>840</v>
      </c>
      <c r="G55" s="391" t="s">
        <v>329</v>
      </c>
      <c r="H55" s="391" t="s">
        <v>15</v>
      </c>
      <c r="I55" s="391">
        <v>15</v>
      </c>
      <c r="J55" s="392" t="s">
        <v>93</v>
      </c>
      <c r="K55" s="393">
        <f>(15*38)</f>
        <v>570</v>
      </c>
      <c r="L55" s="228"/>
      <c r="M55" s="58"/>
      <c r="N55" s="229"/>
      <c r="O55" s="186" t="s">
        <v>1382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>
      <c r="A56" s="390" t="s">
        <v>1381</v>
      </c>
      <c r="B56" s="391" t="s">
        <v>9</v>
      </c>
      <c r="C56" s="391">
        <v>38</v>
      </c>
      <c r="D56" s="391" t="s">
        <v>7</v>
      </c>
      <c r="E56" s="391">
        <v>588</v>
      </c>
      <c r="F56" s="391" t="s">
        <v>606</v>
      </c>
      <c r="G56" s="391" t="s">
        <v>349</v>
      </c>
      <c r="H56" s="391" t="s">
        <v>15</v>
      </c>
      <c r="I56" s="391">
        <v>15</v>
      </c>
      <c r="J56" s="392" t="s">
        <v>14</v>
      </c>
      <c r="K56" s="393">
        <f>(14*38)+(1*29.4)</f>
        <v>561.4</v>
      </c>
      <c r="L56" s="228"/>
      <c r="M56" s="58"/>
      <c r="N56" s="229"/>
      <c r="O56" s="186" t="s">
        <v>1382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>
      <c r="A57" s="390" t="s">
        <v>1381</v>
      </c>
      <c r="B57" s="391" t="s">
        <v>9</v>
      </c>
      <c r="C57" s="391">
        <v>38</v>
      </c>
      <c r="D57" s="391" t="s">
        <v>7</v>
      </c>
      <c r="E57" s="391">
        <v>687</v>
      </c>
      <c r="F57" s="391" t="s">
        <v>658</v>
      </c>
      <c r="G57" s="391" t="s">
        <v>202</v>
      </c>
      <c r="H57" s="391" t="s">
        <v>15</v>
      </c>
      <c r="I57" s="391">
        <v>15</v>
      </c>
      <c r="J57" s="392" t="s">
        <v>14</v>
      </c>
      <c r="K57" s="393">
        <f>(14*35)+(1*26.4)</f>
        <v>516.4</v>
      </c>
      <c r="L57" s="228"/>
      <c r="M57" s="58"/>
      <c r="N57" s="229"/>
      <c r="O57" s="186" t="s">
        <v>1382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>
      <c r="A58" s="390" t="s">
        <v>1381</v>
      </c>
      <c r="B58" s="391" t="s">
        <v>9</v>
      </c>
      <c r="C58" s="391">
        <v>38</v>
      </c>
      <c r="D58" s="391" t="s">
        <v>7</v>
      </c>
      <c r="E58" s="391">
        <v>708</v>
      </c>
      <c r="F58" s="391" t="s">
        <v>451</v>
      </c>
      <c r="G58" s="391" t="s">
        <v>839</v>
      </c>
      <c r="H58" s="391" t="s">
        <v>5</v>
      </c>
      <c r="I58" s="391">
        <v>20</v>
      </c>
      <c r="J58" s="392" t="s">
        <v>30</v>
      </c>
      <c r="K58" s="393">
        <f>(19*38)+(1*29.4)</f>
        <v>751.4</v>
      </c>
      <c r="L58" s="228"/>
      <c r="M58" s="58"/>
      <c r="N58" s="229"/>
      <c r="O58" s="186" t="s">
        <v>1382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>
      <c r="A59" s="390" t="s">
        <v>1381</v>
      </c>
      <c r="B59" s="391" t="s">
        <v>9</v>
      </c>
      <c r="C59" s="391">
        <v>38</v>
      </c>
      <c r="D59" s="391" t="s">
        <v>7</v>
      </c>
      <c r="E59" s="391">
        <v>711</v>
      </c>
      <c r="F59" s="391" t="s">
        <v>723</v>
      </c>
      <c r="G59" s="391" t="s">
        <v>839</v>
      </c>
      <c r="H59" s="391" t="s">
        <v>15</v>
      </c>
      <c r="I59" s="391">
        <v>20</v>
      </c>
      <c r="J59" s="392" t="s">
        <v>30</v>
      </c>
      <c r="K59" s="393">
        <f>(19*38)+(1*29.4)</f>
        <v>751.4</v>
      </c>
      <c r="L59" s="228"/>
      <c r="M59" s="58"/>
      <c r="N59" s="229"/>
      <c r="O59" s="186" t="s">
        <v>1382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>
      <c r="A60" s="390" t="s">
        <v>1381</v>
      </c>
      <c r="B60" s="391" t="s">
        <v>9</v>
      </c>
      <c r="C60" s="391">
        <v>38</v>
      </c>
      <c r="D60" s="391" t="s">
        <v>7</v>
      </c>
      <c r="E60" s="391">
        <v>719</v>
      </c>
      <c r="F60" s="391" t="s">
        <v>600</v>
      </c>
      <c r="G60" s="391" t="s">
        <v>523</v>
      </c>
      <c r="H60" s="391" t="s">
        <v>15</v>
      </c>
      <c r="I60" s="391">
        <v>15</v>
      </c>
      <c r="J60" s="392" t="s">
        <v>135</v>
      </c>
      <c r="K60" s="393">
        <f>(15*26)</f>
        <v>390</v>
      </c>
      <c r="L60" s="228"/>
      <c r="M60" s="58"/>
      <c r="N60" s="229"/>
      <c r="O60" s="186" t="s">
        <v>1382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>
      <c r="A61" s="390" t="s">
        <v>1381</v>
      </c>
      <c r="B61" s="391" t="s">
        <v>9</v>
      </c>
      <c r="C61" s="391">
        <v>38</v>
      </c>
      <c r="D61" s="391" t="s">
        <v>7</v>
      </c>
      <c r="E61" s="391">
        <v>720</v>
      </c>
      <c r="F61" s="391" t="s">
        <v>424</v>
      </c>
      <c r="G61" s="391" t="s">
        <v>523</v>
      </c>
      <c r="H61" s="391" t="s">
        <v>15</v>
      </c>
      <c r="I61" s="391">
        <v>20</v>
      </c>
      <c r="J61" s="392" t="s">
        <v>33</v>
      </c>
      <c r="K61" s="393">
        <f>(19*26)+(1*17.4)</f>
        <v>511.4</v>
      </c>
      <c r="L61" s="228"/>
      <c r="M61" s="58"/>
      <c r="N61" s="229"/>
      <c r="O61" s="186" t="s">
        <v>1382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>
      <c r="A62" s="390" t="s">
        <v>1381</v>
      </c>
      <c r="B62" s="391" t="s">
        <v>9</v>
      </c>
      <c r="C62" s="391">
        <v>38</v>
      </c>
      <c r="D62" s="391" t="s">
        <v>10</v>
      </c>
      <c r="E62" s="391">
        <v>19</v>
      </c>
      <c r="F62" s="391" t="s">
        <v>316</v>
      </c>
      <c r="G62" s="391" t="s">
        <v>597</v>
      </c>
      <c r="H62" s="391" t="s">
        <v>5</v>
      </c>
      <c r="I62" s="391">
        <v>15</v>
      </c>
      <c r="J62" s="392" t="s">
        <v>14</v>
      </c>
      <c r="K62" s="393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1382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>
      <c r="A63" s="390" t="s">
        <v>1381</v>
      </c>
      <c r="B63" s="391" t="s">
        <v>9</v>
      </c>
      <c r="C63" s="391">
        <v>38</v>
      </c>
      <c r="D63" s="391" t="s">
        <v>10</v>
      </c>
      <c r="E63" s="391">
        <v>61</v>
      </c>
      <c r="F63" s="391" t="s">
        <v>842</v>
      </c>
      <c r="G63" s="391" t="s">
        <v>294</v>
      </c>
      <c r="H63" s="391" t="s">
        <v>5</v>
      </c>
      <c r="I63" s="391">
        <v>15</v>
      </c>
      <c r="J63" s="392" t="s">
        <v>14</v>
      </c>
      <c r="K63" s="393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1382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>
      <c r="A64" s="390" t="s">
        <v>1381</v>
      </c>
      <c r="B64" s="391" t="s">
        <v>9</v>
      </c>
      <c r="C64" s="391">
        <v>38</v>
      </c>
      <c r="D64" s="391" t="s">
        <v>10</v>
      </c>
      <c r="E64" s="391">
        <v>91</v>
      </c>
      <c r="F64" s="391" t="s">
        <v>675</v>
      </c>
      <c r="G64" s="391" t="s">
        <v>38</v>
      </c>
      <c r="H64" s="391" t="s">
        <v>15</v>
      </c>
      <c r="I64" s="391">
        <v>15</v>
      </c>
      <c r="J64" s="392" t="s">
        <v>13</v>
      </c>
      <c r="K64" s="393">
        <f>(14*35)+(1*26.4)</f>
        <v>516.4</v>
      </c>
      <c r="L64" s="228"/>
      <c r="M64" s="58"/>
      <c r="N64" s="229"/>
      <c r="O64" s="186" t="s">
        <v>1382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>
      <c r="A65" s="390" t="s">
        <v>1381</v>
      </c>
      <c r="B65" s="391" t="s">
        <v>9</v>
      </c>
      <c r="C65" s="391">
        <v>38</v>
      </c>
      <c r="D65" s="391" t="s">
        <v>10</v>
      </c>
      <c r="E65" s="391">
        <v>133</v>
      </c>
      <c r="F65" s="391" t="s">
        <v>843</v>
      </c>
      <c r="G65" s="391" t="s">
        <v>757</v>
      </c>
      <c r="H65" s="391" t="s">
        <v>15</v>
      </c>
      <c r="I65" s="391">
        <v>20</v>
      </c>
      <c r="J65" s="392" t="s">
        <v>136</v>
      </c>
      <c r="K65" s="393">
        <f>(20*38)</f>
        <v>760</v>
      </c>
      <c r="L65" s="228"/>
      <c r="M65" s="58"/>
      <c r="N65" s="229"/>
      <c r="O65" s="186" t="s">
        <v>1382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>
      <c r="A66" s="390" t="s">
        <v>1381</v>
      </c>
      <c r="B66" s="391" t="s">
        <v>9</v>
      </c>
      <c r="C66" s="391">
        <v>38</v>
      </c>
      <c r="D66" s="391" t="s">
        <v>10</v>
      </c>
      <c r="E66" s="391">
        <v>222</v>
      </c>
      <c r="F66" s="391" t="s">
        <v>263</v>
      </c>
      <c r="G66" s="391" t="s">
        <v>187</v>
      </c>
      <c r="H66" s="391" t="s">
        <v>15</v>
      </c>
      <c r="I66" s="391">
        <v>30</v>
      </c>
      <c r="J66" s="392" t="s">
        <v>12</v>
      </c>
      <c r="K66" s="393">
        <f>(29*35)+(1*26.4)</f>
        <v>1041.4000000000001</v>
      </c>
      <c r="L66" s="228"/>
      <c r="M66" s="58"/>
      <c r="N66" s="229"/>
      <c r="O66" s="186" t="s">
        <v>1382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>
      <c r="A67" s="390" t="s">
        <v>1381</v>
      </c>
      <c r="B67" s="391" t="s">
        <v>9</v>
      </c>
      <c r="C67" s="391">
        <v>38</v>
      </c>
      <c r="D67" s="391" t="s">
        <v>10</v>
      </c>
      <c r="E67" s="391">
        <v>258</v>
      </c>
      <c r="F67" s="391" t="s">
        <v>844</v>
      </c>
      <c r="G67" s="391" t="s">
        <v>458</v>
      </c>
      <c r="H67" s="391" t="s">
        <v>5</v>
      </c>
      <c r="I67" s="391">
        <v>15</v>
      </c>
      <c r="J67" s="392" t="s">
        <v>93</v>
      </c>
      <c r="K67" s="393">
        <f>(15*38)</f>
        <v>570</v>
      </c>
      <c r="L67" s="228"/>
      <c r="M67" s="58"/>
      <c r="N67" s="229"/>
      <c r="O67" s="186" t="s">
        <v>1382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>
      <c r="A68" s="390" t="s">
        <v>1381</v>
      </c>
      <c r="B68" s="391" t="s">
        <v>9</v>
      </c>
      <c r="C68" s="391">
        <v>38</v>
      </c>
      <c r="D68" s="391" t="s">
        <v>10</v>
      </c>
      <c r="E68" s="391">
        <v>286</v>
      </c>
      <c r="F68" s="391" t="s">
        <v>845</v>
      </c>
      <c r="G68" s="391" t="s">
        <v>99</v>
      </c>
      <c r="H68" s="391" t="s">
        <v>814</v>
      </c>
      <c r="I68" s="391">
        <v>20</v>
      </c>
      <c r="J68" s="392" t="s">
        <v>850</v>
      </c>
      <c r="K68" s="393">
        <f>(19*33)+(1*24.4)</f>
        <v>651.4</v>
      </c>
      <c r="L68" s="228"/>
      <c r="M68" s="58"/>
      <c r="N68" s="229"/>
      <c r="O68" s="186" t="s">
        <v>1382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>
      <c r="A69" s="390" t="s">
        <v>1381</v>
      </c>
      <c r="B69" s="391" t="s">
        <v>9</v>
      </c>
      <c r="C69" s="391">
        <v>38</v>
      </c>
      <c r="D69" s="391" t="s">
        <v>10</v>
      </c>
      <c r="E69" s="391">
        <v>292</v>
      </c>
      <c r="F69" s="391" t="s">
        <v>846</v>
      </c>
      <c r="G69" s="391" t="s">
        <v>306</v>
      </c>
      <c r="H69" s="391" t="s">
        <v>15</v>
      </c>
      <c r="I69" s="391">
        <v>15</v>
      </c>
      <c r="J69" s="392" t="s">
        <v>36</v>
      </c>
      <c r="K69" s="393">
        <f>(14*26)+(1*17.4)</f>
        <v>381.4</v>
      </c>
      <c r="L69" s="228"/>
      <c r="M69" s="58"/>
      <c r="N69" s="229"/>
      <c r="O69" s="186" t="s">
        <v>1382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>
      <c r="A70" s="390" t="s">
        <v>1381</v>
      </c>
      <c r="B70" s="391" t="s">
        <v>9</v>
      </c>
      <c r="C70" s="391">
        <v>38</v>
      </c>
      <c r="D70" s="391" t="s">
        <v>10</v>
      </c>
      <c r="E70" s="391">
        <v>296</v>
      </c>
      <c r="F70" s="391" t="s">
        <v>847</v>
      </c>
      <c r="G70" s="391" t="s">
        <v>306</v>
      </c>
      <c r="H70" s="391" t="s">
        <v>15</v>
      </c>
      <c r="I70" s="391">
        <v>15</v>
      </c>
      <c r="J70" s="392" t="s">
        <v>135</v>
      </c>
      <c r="K70" s="393">
        <f>(15*26)</f>
        <v>390</v>
      </c>
      <c r="L70" s="228"/>
      <c r="M70" s="58"/>
      <c r="N70" s="229"/>
      <c r="O70" s="186" t="s">
        <v>1382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>
      <c r="A71" s="390" t="s">
        <v>1381</v>
      </c>
      <c r="B71" s="391" t="s">
        <v>9</v>
      </c>
      <c r="C71" s="391">
        <v>38</v>
      </c>
      <c r="D71" s="391" t="s">
        <v>10</v>
      </c>
      <c r="E71" s="391">
        <v>382</v>
      </c>
      <c r="F71" s="391" t="s">
        <v>848</v>
      </c>
      <c r="G71" s="391" t="s">
        <v>138</v>
      </c>
      <c r="H71" s="391" t="s">
        <v>814</v>
      </c>
      <c r="I71" s="391">
        <v>20</v>
      </c>
      <c r="J71" s="392" t="s">
        <v>17</v>
      </c>
      <c r="K71" s="393">
        <f>(19*35)+(1*26.4)</f>
        <v>691.4</v>
      </c>
      <c r="L71" s="228"/>
      <c r="M71" s="58"/>
      <c r="N71" s="229"/>
      <c r="O71" s="186" t="s">
        <v>1382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thickBot="1">
      <c r="A72" s="390" t="s">
        <v>1381</v>
      </c>
      <c r="B72" s="394" t="s">
        <v>9</v>
      </c>
      <c r="C72" s="394">
        <v>38</v>
      </c>
      <c r="D72" s="394" t="s">
        <v>10</v>
      </c>
      <c r="E72" s="394">
        <v>390</v>
      </c>
      <c r="F72" s="394" t="s">
        <v>155</v>
      </c>
      <c r="G72" s="394" t="s">
        <v>151</v>
      </c>
      <c r="H72" s="394" t="s">
        <v>15</v>
      </c>
      <c r="I72" s="394">
        <v>15</v>
      </c>
      <c r="J72" s="395" t="s">
        <v>14</v>
      </c>
      <c r="K72" s="396">
        <f>(14*38)+(1*29.4)</f>
        <v>561.4</v>
      </c>
      <c r="L72" s="228"/>
      <c r="M72" s="58"/>
      <c r="N72" s="229"/>
      <c r="O72" s="186" t="s">
        <v>1382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>
      <c r="A73" s="390" t="s">
        <v>1381</v>
      </c>
      <c r="B73" s="387" t="s">
        <v>9</v>
      </c>
      <c r="C73" s="387">
        <v>38</v>
      </c>
      <c r="D73" s="387" t="s">
        <v>10</v>
      </c>
      <c r="E73" s="387">
        <v>402</v>
      </c>
      <c r="F73" s="387" t="s">
        <v>535</v>
      </c>
      <c r="G73" s="387" t="s">
        <v>297</v>
      </c>
      <c r="H73" s="387" t="s">
        <v>814</v>
      </c>
      <c r="I73" s="387">
        <v>10</v>
      </c>
      <c r="J73" s="388" t="s">
        <v>26</v>
      </c>
      <c r="K73" s="389">
        <f>(9*38)+(1*29.4)</f>
        <v>371.4</v>
      </c>
      <c r="L73" s="228"/>
      <c r="M73" s="58"/>
      <c r="N73" s="229"/>
      <c r="O73" s="186" t="s">
        <v>1382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>
      <c r="A74" s="390" t="s">
        <v>1381</v>
      </c>
      <c r="B74" s="391" t="s">
        <v>9</v>
      </c>
      <c r="C74" s="391">
        <v>38</v>
      </c>
      <c r="D74" s="391" t="s">
        <v>10</v>
      </c>
      <c r="E74" s="391">
        <v>437</v>
      </c>
      <c r="F74" s="391" t="s">
        <v>719</v>
      </c>
      <c r="G74" s="391" t="s">
        <v>554</v>
      </c>
      <c r="H74" s="391" t="s">
        <v>15</v>
      </c>
      <c r="I74" s="391">
        <v>10</v>
      </c>
      <c r="J74" s="392" t="s">
        <v>26</v>
      </c>
      <c r="K74" s="393">
        <f>(9*38)+(1*29.4)</f>
        <v>371.4</v>
      </c>
      <c r="L74" s="228"/>
      <c r="M74" s="58"/>
      <c r="N74" s="229"/>
      <c r="O74" s="186" t="s">
        <v>1382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>
      <c r="A75" s="390" t="s">
        <v>1381</v>
      </c>
      <c r="B75" s="391" t="s">
        <v>9</v>
      </c>
      <c r="C75" s="391">
        <v>38</v>
      </c>
      <c r="D75" s="391" t="s">
        <v>10</v>
      </c>
      <c r="E75" s="391">
        <v>457</v>
      </c>
      <c r="F75" s="391" t="s">
        <v>607</v>
      </c>
      <c r="G75" s="391" t="s">
        <v>349</v>
      </c>
      <c r="H75" s="391" t="s">
        <v>15</v>
      </c>
      <c r="I75" s="391">
        <v>20</v>
      </c>
      <c r="J75" s="392" t="s">
        <v>136</v>
      </c>
      <c r="K75" s="393">
        <f>(20*38)</f>
        <v>760</v>
      </c>
      <c r="L75" s="58"/>
      <c r="M75" s="58"/>
      <c r="N75" s="229"/>
      <c r="O75" s="186" t="s">
        <v>1382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>
      <c r="A76" s="390" t="s">
        <v>1381</v>
      </c>
      <c r="B76" s="391" t="s">
        <v>9</v>
      </c>
      <c r="C76" s="391">
        <v>38</v>
      </c>
      <c r="D76" s="391" t="s">
        <v>10</v>
      </c>
      <c r="E76" s="391">
        <v>569</v>
      </c>
      <c r="F76" s="391" t="s">
        <v>573</v>
      </c>
      <c r="G76" s="391" t="s">
        <v>35</v>
      </c>
      <c r="H76" s="391" t="s">
        <v>5</v>
      </c>
      <c r="I76" s="391">
        <v>20</v>
      </c>
      <c r="J76" s="392" t="s">
        <v>33</v>
      </c>
      <c r="K76" s="393">
        <f>(19*26)+(1*17.4)</f>
        <v>511.4</v>
      </c>
      <c r="L76" s="58"/>
      <c r="M76" s="58"/>
      <c r="N76" s="229"/>
      <c r="O76" s="186" t="s">
        <v>1382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>
      <c r="A77" s="390" t="s">
        <v>1381</v>
      </c>
      <c r="B77" s="391" t="s">
        <v>9</v>
      </c>
      <c r="C77" s="391">
        <v>38</v>
      </c>
      <c r="D77" s="391" t="s">
        <v>10</v>
      </c>
      <c r="E77" s="391">
        <v>627</v>
      </c>
      <c r="F77" s="391" t="s">
        <v>351</v>
      </c>
      <c r="G77" s="391" t="s">
        <v>823</v>
      </c>
      <c r="H77" s="391" t="s">
        <v>5</v>
      </c>
      <c r="I77" s="391">
        <v>20</v>
      </c>
      <c r="J77" s="392" t="s">
        <v>17</v>
      </c>
      <c r="K77" s="393">
        <f>(19*35)+(1*26.4)</f>
        <v>691.4</v>
      </c>
      <c r="L77" s="228"/>
      <c r="M77" s="58"/>
      <c r="N77" s="229"/>
      <c r="O77" s="186" t="s">
        <v>1382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>
      <c r="A78" s="390" t="s">
        <v>1381</v>
      </c>
      <c r="B78" s="391" t="s">
        <v>9</v>
      </c>
      <c r="C78" s="391">
        <v>39</v>
      </c>
      <c r="D78" s="391" t="s">
        <v>10</v>
      </c>
      <c r="E78" s="391">
        <v>431</v>
      </c>
      <c r="F78" s="391" t="s">
        <v>224</v>
      </c>
      <c r="G78" s="391" t="s">
        <v>349</v>
      </c>
      <c r="H78" s="391" t="s">
        <v>15</v>
      </c>
      <c r="I78" s="391">
        <v>30</v>
      </c>
      <c r="J78" s="392" t="s">
        <v>24</v>
      </c>
      <c r="K78" s="393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1382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>
      <c r="A79" s="390" t="s">
        <v>1381</v>
      </c>
      <c r="B79" s="391" t="s">
        <v>9</v>
      </c>
      <c r="C79" s="391">
        <v>39</v>
      </c>
      <c r="D79" s="391" t="s">
        <v>10</v>
      </c>
      <c r="E79" s="391">
        <v>432</v>
      </c>
      <c r="F79" s="391" t="s">
        <v>799</v>
      </c>
      <c r="G79" s="391" t="s">
        <v>349</v>
      </c>
      <c r="H79" s="391" t="s">
        <v>526</v>
      </c>
      <c r="I79" s="391">
        <v>20</v>
      </c>
      <c r="J79" s="392" t="s">
        <v>136</v>
      </c>
      <c r="K79" s="393">
        <f>(20*38)</f>
        <v>760</v>
      </c>
      <c r="L79" s="228"/>
      <c r="M79" s="58"/>
      <c r="N79" s="229"/>
      <c r="O79" s="186" t="s">
        <v>1389</v>
      </c>
      <c r="P79" s="21">
        <v>20</v>
      </c>
      <c r="Q79" s="187">
        <v>760</v>
      </c>
      <c r="R79" s="22"/>
      <c r="S79" s="22"/>
      <c r="T79" s="23"/>
      <c r="U79" s="24"/>
      <c r="V79" s="24"/>
      <c r="W79" s="315"/>
      <c r="X79" s="123">
        <f t="shared" si="4"/>
        <v>0</v>
      </c>
      <c r="Y79" s="52"/>
      <c r="Z79" s="3"/>
    </row>
    <row r="80" spans="1:26">
      <c r="A80" s="390" t="s">
        <v>1381</v>
      </c>
      <c r="B80" s="391" t="s">
        <v>9</v>
      </c>
      <c r="C80" s="391">
        <v>39</v>
      </c>
      <c r="D80" s="391" t="s">
        <v>10</v>
      </c>
      <c r="E80" s="391">
        <v>433</v>
      </c>
      <c r="F80" s="391" t="s">
        <v>692</v>
      </c>
      <c r="G80" s="391" t="s">
        <v>349</v>
      </c>
      <c r="H80" s="391" t="s">
        <v>15</v>
      </c>
      <c r="I80" s="391">
        <v>20</v>
      </c>
      <c r="J80" s="392" t="s">
        <v>136</v>
      </c>
      <c r="K80" s="393">
        <f>(20*38)</f>
        <v>760</v>
      </c>
      <c r="L80" s="228"/>
      <c r="M80" s="58"/>
      <c r="N80" s="229"/>
      <c r="O80" s="186" t="s">
        <v>1393</v>
      </c>
      <c r="P80" s="21">
        <v>20</v>
      </c>
      <c r="Q80" s="187">
        <v>760</v>
      </c>
      <c r="R80" s="22"/>
      <c r="S80" s="22"/>
      <c r="T80" s="23"/>
      <c r="U80" s="24"/>
      <c r="V80" s="24"/>
      <c r="W80" s="315"/>
      <c r="X80" s="123">
        <f t="shared" si="4"/>
        <v>0</v>
      </c>
      <c r="Y80" s="52"/>
      <c r="Z80" s="3"/>
    </row>
    <row r="81" spans="1:26">
      <c r="A81" s="390" t="s">
        <v>1381</v>
      </c>
      <c r="B81" s="391" t="s">
        <v>9</v>
      </c>
      <c r="C81" s="391">
        <v>39</v>
      </c>
      <c r="D81" s="391" t="s">
        <v>10</v>
      </c>
      <c r="E81" s="391">
        <v>453</v>
      </c>
      <c r="F81" s="391" t="s">
        <v>843</v>
      </c>
      <c r="G81" s="391" t="s">
        <v>523</v>
      </c>
      <c r="H81" s="391" t="s">
        <v>15</v>
      </c>
      <c r="I81" s="391">
        <v>20</v>
      </c>
      <c r="J81" s="392" t="s">
        <v>134</v>
      </c>
      <c r="K81" s="393">
        <f>(20*26)</f>
        <v>520</v>
      </c>
      <c r="L81" s="228"/>
      <c r="M81" s="58"/>
      <c r="N81" s="229"/>
      <c r="O81" s="186" t="s">
        <v>1389</v>
      </c>
      <c r="P81" s="21">
        <v>20</v>
      </c>
      <c r="Q81" s="187">
        <v>520</v>
      </c>
      <c r="R81" s="22"/>
      <c r="S81" s="22"/>
      <c r="T81" s="23"/>
      <c r="U81" s="24"/>
      <c r="V81" s="24"/>
      <c r="W81" s="315"/>
      <c r="X81" s="123">
        <f t="shared" si="4"/>
        <v>0</v>
      </c>
      <c r="Y81" s="52"/>
      <c r="Z81" s="3"/>
    </row>
    <row r="82" spans="1:26">
      <c r="A82" s="390" t="s">
        <v>1381</v>
      </c>
      <c r="B82" s="391" t="s">
        <v>9</v>
      </c>
      <c r="C82" s="391">
        <v>39</v>
      </c>
      <c r="D82" s="391" t="s">
        <v>10</v>
      </c>
      <c r="E82" s="391">
        <v>459</v>
      </c>
      <c r="F82" s="391" t="s">
        <v>233</v>
      </c>
      <c r="G82" s="391" t="s">
        <v>523</v>
      </c>
      <c r="H82" s="391" t="s">
        <v>15</v>
      </c>
      <c r="I82" s="391">
        <v>20</v>
      </c>
      <c r="J82" s="392" t="s">
        <v>33</v>
      </c>
      <c r="K82" s="393">
        <f>(19*26)+(1*17.4)</f>
        <v>511.4</v>
      </c>
      <c r="L82" s="228"/>
      <c r="M82" s="58"/>
      <c r="N82" s="229"/>
      <c r="O82" s="186" t="s">
        <v>1393</v>
      </c>
      <c r="P82" s="21">
        <v>20</v>
      </c>
      <c r="Q82" s="187">
        <v>511.4</v>
      </c>
      <c r="R82" s="22"/>
      <c r="S82" s="22"/>
      <c r="T82" s="23"/>
      <c r="U82" s="24"/>
      <c r="V82" s="24"/>
      <c r="W82" s="315"/>
      <c r="X82" s="123">
        <f t="shared" si="4"/>
        <v>0</v>
      </c>
      <c r="Y82" s="52"/>
      <c r="Z82" s="3"/>
    </row>
    <row r="83" spans="1:26">
      <c r="A83" s="390" t="s">
        <v>1381</v>
      </c>
      <c r="B83" s="391" t="s">
        <v>9</v>
      </c>
      <c r="C83" s="391">
        <v>39</v>
      </c>
      <c r="D83" s="391" t="s">
        <v>10</v>
      </c>
      <c r="E83" s="391">
        <v>460</v>
      </c>
      <c r="F83" s="391" t="s">
        <v>755</v>
      </c>
      <c r="G83" s="391" t="s">
        <v>523</v>
      </c>
      <c r="H83" s="391" t="s">
        <v>15</v>
      </c>
      <c r="I83" s="391">
        <v>15</v>
      </c>
      <c r="J83" s="392" t="s">
        <v>36</v>
      </c>
      <c r="K83" s="393">
        <f>(14*26)+(1*17.4)</f>
        <v>381.4</v>
      </c>
      <c r="L83" s="228"/>
      <c r="M83" s="58"/>
      <c r="N83" s="229"/>
      <c r="O83" s="186" t="s">
        <v>1396</v>
      </c>
      <c r="P83" s="21">
        <v>15</v>
      </c>
      <c r="Q83" s="187">
        <v>381.4</v>
      </c>
      <c r="R83" s="22"/>
      <c r="S83" s="22"/>
      <c r="T83" s="23"/>
      <c r="U83" s="24"/>
      <c r="V83" s="24"/>
      <c r="W83" s="315"/>
      <c r="X83" s="123">
        <f t="shared" si="4"/>
        <v>0</v>
      </c>
      <c r="Y83" s="52"/>
      <c r="Z83" s="3"/>
    </row>
    <row r="84" spans="1:26">
      <c r="A84" s="390" t="s">
        <v>1381</v>
      </c>
      <c r="B84" s="391" t="s">
        <v>9</v>
      </c>
      <c r="C84" s="391">
        <v>39</v>
      </c>
      <c r="D84" s="391" t="s">
        <v>10</v>
      </c>
      <c r="E84" s="391">
        <v>582</v>
      </c>
      <c r="F84" s="391" t="s">
        <v>425</v>
      </c>
      <c r="G84" s="391" t="s">
        <v>132</v>
      </c>
      <c r="H84" s="391" t="s">
        <v>15</v>
      </c>
      <c r="I84" s="391">
        <v>30</v>
      </c>
      <c r="J84" s="392" t="s">
        <v>12</v>
      </c>
      <c r="K84" s="393">
        <f>(29*35)+(1*26.4)</f>
        <v>1041.4000000000001</v>
      </c>
      <c r="L84" s="58"/>
      <c r="M84" s="58"/>
      <c r="N84" s="229"/>
      <c r="O84" s="186" t="s">
        <v>1389</v>
      </c>
      <c r="P84" s="21">
        <v>30</v>
      </c>
      <c r="Q84" s="187">
        <v>1041.4000000000001</v>
      </c>
      <c r="R84" s="22"/>
      <c r="S84" s="22"/>
      <c r="T84" s="23"/>
      <c r="U84" s="24"/>
      <c r="V84" s="24"/>
      <c r="W84" s="315"/>
      <c r="X84" s="123">
        <f t="shared" si="4"/>
        <v>0</v>
      </c>
      <c r="Y84" s="52"/>
      <c r="Z84" s="3"/>
    </row>
    <row r="85" spans="1:26">
      <c r="A85" s="390" t="s">
        <v>1381</v>
      </c>
      <c r="B85" s="391" t="s">
        <v>9</v>
      </c>
      <c r="C85" s="391">
        <v>39</v>
      </c>
      <c r="D85" s="391" t="s">
        <v>10</v>
      </c>
      <c r="E85" s="391">
        <v>584</v>
      </c>
      <c r="F85" s="391" t="s">
        <v>383</v>
      </c>
      <c r="G85" s="391" t="s">
        <v>132</v>
      </c>
      <c r="H85" s="391" t="s">
        <v>182</v>
      </c>
      <c r="I85" s="391">
        <v>15</v>
      </c>
      <c r="J85" s="392" t="s">
        <v>13</v>
      </c>
      <c r="K85" s="393">
        <f>(14*35)+(1*26.4)</f>
        <v>516.4</v>
      </c>
      <c r="L85" s="228"/>
      <c r="M85" s="58"/>
      <c r="N85" s="229"/>
      <c r="O85" s="186" t="s">
        <v>1389</v>
      </c>
      <c r="P85" s="21">
        <v>15</v>
      </c>
      <c r="Q85" s="187">
        <v>516.4</v>
      </c>
      <c r="R85" s="22"/>
      <c r="S85" s="22"/>
      <c r="T85" s="23"/>
      <c r="U85" s="24"/>
      <c r="V85" s="24"/>
      <c r="W85" s="315"/>
      <c r="X85" s="123">
        <f t="shared" si="4"/>
        <v>0</v>
      </c>
      <c r="Y85" s="52"/>
      <c r="Z85" s="3"/>
    </row>
    <row r="86" spans="1:26">
      <c r="A86" s="390" t="s">
        <v>1381</v>
      </c>
      <c r="B86" s="391" t="s">
        <v>9</v>
      </c>
      <c r="C86" s="391">
        <v>39</v>
      </c>
      <c r="D86" s="391" t="s">
        <v>10</v>
      </c>
      <c r="E86" s="391">
        <v>597</v>
      </c>
      <c r="F86" s="391" t="s">
        <v>748</v>
      </c>
      <c r="G86" s="391" t="s">
        <v>35</v>
      </c>
      <c r="H86" s="391" t="s">
        <v>15</v>
      </c>
      <c r="I86" s="391">
        <v>20</v>
      </c>
      <c r="J86" s="392" t="s">
        <v>33</v>
      </c>
      <c r="K86" s="393">
        <f>(19*26)+(1*17.4)</f>
        <v>511.4</v>
      </c>
      <c r="L86" s="58"/>
      <c r="M86" s="58"/>
      <c r="N86" s="229"/>
      <c r="O86" s="186"/>
      <c r="P86" s="21"/>
      <c r="Q86" s="187"/>
      <c r="R86" s="22"/>
      <c r="S86" s="22"/>
      <c r="T86" s="23"/>
      <c r="U86" s="108" t="s">
        <v>1382</v>
      </c>
      <c r="V86" s="24">
        <v>20</v>
      </c>
      <c r="W86" s="315">
        <v>511.4</v>
      </c>
      <c r="X86" s="123">
        <f t="shared" si="4"/>
        <v>0</v>
      </c>
      <c r="Y86" s="52"/>
      <c r="Z86" s="3"/>
    </row>
    <row r="87" spans="1:26">
      <c r="A87" s="390" t="s">
        <v>1381</v>
      </c>
      <c r="B87" s="391" t="s">
        <v>9</v>
      </c>
      <c r="C87" s="391">
        <v>39</v>
      </c>
      <c r="D87" s="391" t="s">
        <v>10</v>
      </c>
      <c r="E87" s="391">
        <v>655</v>
      </c>
      <c r="F87" s="391" t="s">
        <v>201</v>
      </c>
      <c r="G87" s="391" t="s">
        <v>823</v>
      </c>
      <c r="H87" s="391" t="s">
        <v>5</v>
      </c>
      <c r="I87" s="391">
        <v>20</v>
      </c>
      <c r="J87" s="392" t="s">
        <v>17</v>
      </c>
      <c r="K87" s="393">
        <f>(19*35)+(1*26.4)</f>
        <v>691.4</v>
      </c>
      <c r="L87" s="58"/>
      <c r="M87" s="58"/>
      <c r="N87" s="229"/>
      <c r="O87" s="186" t="s">
        <v>1389</v>
      </c>
      <c r="P87" s="21">
        <v>20</v>
      </c>
      <c r="Q87" s="187">
        <v>691.4</v>
      </c>
      <c r="R87" s="22"/>
      <c r="S87" s="22"/>
      <c r="T87" s="23"/>
      <c r="U87" s="24"/>
      <c r="V87" s="24"/>
      <c r="W87" s="315"/>
      <c r="X87" s="123">
        <f t="shared" si="4"/>
        <v>0</v>
      </c>
      <c r="Y87" s="52"/>
      <c r="Z87" s="3"/>
    </row>
    <row r="88" spans="1:26">
      <c r="A88" s="390" t="s">
        <v>1381</v>
      </c>
      <c r="B88" s="391" t="s">
        <v>9</v>
      </c>
      <c r="C88" s="391">
        <v>39</v>
      </c>
      <c r="D88" s="391" t="s">
        <v>10</v>
      </c>
      <c r="E88" s="391">
        <v>656</v>
      </c>
      <c r="F88" s="391" t="s">
        <v>539</v>
      </c>
      <c r="G88" s="391" t="s">
        <v>823</v>
      </c>
      <c r="H88" s="391" t="s">
        <v>5</v>
      </c>
      <c r="I88" s="391">
        <v>20</v>
      </c>
      <c r="J88" s="392" t="s">
        <v>17</v>
      </c>
      <c r="K88" s="393">
        <f>(19*35)+(1*26.4)</f>
        <v>691.4</v>
      </c>
      <c r="L88" s="58"/>
      <c r="M88" s="58"/>
      <c r="N88" s="229"/>
      <c r="O88" s="186" t="s">
        <v>1396</v>
      </c>
      <c r="P88" s="21">
        <v>20</v>
      </c>
      <c r="Q88" s="187">
        <v>691.4</v>
      </c>
      <c r="R88" s="22"/>
      <c r="S88" s="22"/>
      <c r="T88" s="23"/>
      <c r="U88" s="24"/>
      <c r="V88" s="24"/>
      <c r="W88" s="315"/>
      <c r="X88" s="123">
        <f t="shared" si="4"/>
        <v>0</v>
      </c>
      <c r="Y88" s="52"/>
      <c r="Z88" s="3"/>
    </row>
    <row r="89" spans="1:26">
      <c r="A89" s="390" t="s">
        <v>1381</v>
      </c>
      <c r="B89" s="391" t="s">
        <v>9</v>
      </c>
      <c r="C89" s="391">
        <v>39</v>
      </c>
      <c r="D89" s="391" t="s">
        <v>10</v>
      </c>
      <c r="E89" s="391">
        <v>658</v>
      </c>
      <c r="F89" s="391" t="s">
        <v>170</v>
      </c>
      <c r="G89" s="391" t="s">
        <v>823</v>
      </c>
      <c r="H89" s="391" t="s">
        <v>15</v>
      </c>
      <c r="I89" s="391">
        <v>20</v>
      </c>
      <c r="J89" s="392" t="s">
        <v>17</v>
      </c>
      <c r="K89" s="393">
        <f>(19*35)+(1*26.4)</f>
        <v>691.4</v>
      </c>
      <c r="L89" s="58"/>
      <c r="M89" s="58"/>
      <c r="N89" s="229"/>
      <c r="O89" s="186" t="s">
        <v>1389</v>
      </c>
      <c r="P89" s="21">
        <v>20</v>
      </c>
      <c r="Q89" s="187">
        <v>691.4</v>
      </c>
      <c r="R89" s="22"/>
      <c r="S89" s="22"/>
      <c r="T89" s="23"/>
      <c r="U89" s="24"/>
      <c r="V89" s="24"/>
      <c r="W89" s="315"/>
      <c r="X89" s="123">
        <f t="shared" si="4"/>
        <v>0</v>
      </c>
      <c r="Y89" s="52"/>
      <c r="Z89" s="3"/>
    </row>
    <row r="90" spans="1:26">
      <c r="A90" s="390" t="s">
        <v>1381</v>
      </c>
      <c r="B90" s="391" t="s">
        <v>9</v>
      </c>
      <c r="C90" s="391">
        <v>39</v>
      </c>
      <c r="D90" s="391" t="s">
        <v>10</v>
      </c>
      <c r="E90" s="391">
        <v>661</v>
      </c>
      <c r="F90" s="391" t="s">
        <v>642</v>
      </c>
      <c r="G90" s="391" t="s">
        <v>823</v>
      </c>
      <c r="H90" s="391" t="s">
        <v>15</v>
      </c>
      <c r="I90" s="391">
        <v>20</v>
      </c>
      <c r="J90" s="392" t="s">
        <v>17</v>
      </c>
      <c r="K90" s="393">
        <f>(19*35)+(1*26.4)</f>
        <v>691.4</v>
      </c>
      <c r="L90" s="228"/>
      <c r="M90" s="58"/>
      <c r="N90" s="229"/>
      <c r="O90" s="21"/>
      <c r="P90" s="21"/>
      <c r="Q90" s="187"/>
      <c r="R90" s="22"/>
      <c r="S90" s="22"/>
      <c r="T90" s="23"/>
      <c r="U90" s="108" t="s">
        <v>1382</v>
      </c>
      <c r="V90" s="24">
        <v>20</v>
      </c>
      <c r="W90" s="315">
        <v>691.4</v>
      </c>
      <c r="X90" s="123">
        <f t="shared" si="4"/>
        <v>0</v>
      </c>
      <c r="Y90" s="52"/>
      <c r="Z90" s="3"/>
    </row>
    <row r="91" spans="1:26">
      <c r="A91" s="390" t="s">
        <v>1381</v>
      </c>
      <c r="B91" s="391" t="s">
        <v>9</v>
      </c>
      <c r="C91" s="391">
        <v>38</v>
      </c>
      <c r="D91" s="391" t="s">
        <v>16</v>
      </c>
      <c r="E91" s="391">
        <v>49</v>
      </c>
      <c r="F91" s="391" t="s">
        <v>817</v>
      </c>
      <c r="G91" s="391" t="s">
        <v>27</v>
      </c>
      <c r="H91" s="391" t="s">
        <v>5</v>
      </c>
      <c r="I91" s="391">
        <v>15</v>
      </c>
      <c r="J91" s="392" t="s">
        <v>860</v>
      </c>
      <c r="K91" s="393">
        <f>(14*38)+(29.4)</f>
        <v>561.4</v>
      </c>
      <c r="L91" s="228"/>
      <c r="M91" s="58"/>
      <c r="N91" s="229"/>
      <c r="O91" s="21"/>
      <c r="P91" s="21"/>
      <c r="Q91" s="187"/>
      <c r="R91" s="22"/>
      <c r="S91" s="22"/>
      <c r="T91" s="23"/>
      <c r="U91" s="108" t="s">
        <v>1382</v>
      </c>
      <c r="V91" s="24">
        <v>15</v>
      </c>
      <c r="W91" s="315">
        <v>561.4</v>
      </c>
      <c r="X91" s="123">
        <f t="shared" si="4"/>
        <v>0</v>
      </c>
      <c r="Y91" s="52"/>
      <c r="Z91" s="3"/>
    </row>
    <row r="92" spans="1:26">
      <c r="A92" s="390" t="s">
        <v>1381</v>
      </c>
      <c r="B92" s="391" t="s">
        <v>9</v>
      </c>
      <c r="C92" s="391">
        <v>38</v>
      </c>
      <c r="D92" s="391" t="s">
        <v>16</v>
      </c>
      <c r="E92" s="391">
        <v>127</v>
      </c>
      <c r="F92" s="391" t="s">
        <v>806</v>
      </c>
      <c r="G92" s="391" t="s">
        <v>447</v>
      </c>
      <c r="H92" s="391" t="s">
        <v>182</v>
      </c>
      <c r="I92" s="391">
        <v>15</v>
      </c>
      <c r="J92" s="392" t="s">
        <v>14</v>
      </c>
      <c r="K92" s="393">
        <f>(14*38)+(1*29.4)</f>
        <v>561.4</v>
      </c>
      <c r="L92" s="228"/>
      <c r="M92" s="58"/>
      <c r="N92" s="229"/>
      <c r="O92" s="186" t="s">
        <v>1382</v>
      </c>
      <c r="P92" s="21">
        <v>15</v>
      </c>
      <c r="Q92" s="187">
        <v>561.4</v>
      </c>
      <c r="R92" s="22"/>
      <c r="S92" s="22"/>
      <c r="T92" s="23"/>
      <c r="U92" s="24"/>
      <c r="V92" s="24"/>
      <c r="W92" s="315"/>
      <c r="X92" s="123">
        <f t="shared" si="4"/>
        <v>0</v>
      </c>
      <c r="Y92" s="52"/>
      <c r="Z92" s="3"/>
    </row>
    <row r="93" spans="1:26">
      <c r="A93" s="390" t="s">
        <v>1381</v>
      </c>
      <c r="B93" s="391" t="s">
        <v>9</v>
      </c>
      <c r="C93" s="391">
        <v>38</v>
      </c>
      <c r="D93" s="391" t="s">
        <v>16</v>
      </c>
      <c r="E93" s="391">
        <v>143</v>
      </c>
      <c r="F93" s="391" t="s">
        <v>164</v>
      </c>
      <c r="G93" s="391" t="s">
        <v>298</v>
      </c>
      <c r="H93" s="391" t="s">
        <v>182</v>
      </c>
      <c r="I93" s="391">
        <v>20</v>
      </c>
      <c r="J93" s="392" t="s">
        <v>136</v>
      </c>
      <c r="K93" s="393">
        <f>(20*38)</f>
        <v>760</v>
      </c>
      <c r="L93" s="228"/>
      <c r="M93" s="58"/>
      <c r="N93" s="229"/>
      <c r="O93" s="186" t="s">
        <v>1382</v>
      </c>
      <c r="P93" s="21">
        <v>20</v>
      </c>
      <c r="Q93" s="187">
        <v>760</v>
      </c>
      <c r="R93" s="22"/>
      <c r="S93" s="22"/>
      <c r="T93" s="23"/>
      <c r="U93" s="24"/>
      <c r="V93" s="24"/>
      <c r="W93" s="315"/>
      <c r="X93" s="123">
        <f t="shared" si="4"/>
        <v>0</v>
      </c>
      <c r="Y93" s="52"/>
      <c r="Z93" s="3"/>
    </row>
    <row r="94" spans="1:26">
      <c r="A94" s="390" t="s">
        <v>1381</v>
      </c>
      <c r="B94" s="391" t="s">
        <v>9</v>
      </c>
      <c r="C94" s="391">
        <v>38</v>
      </c>
      <c r="D94" s="391" t="s">
        <v>16</v>
      </c>
      <c r="E94" s="391">
        <v>177</v>
      </c>
      <c r="F94" s="391" t="s">
        <v>736</v>
      </c>
      <c r="G94" s="391" t="s">
        <v>598</v>
      </c>
      <c r="H94" s="391" t="s">
        <v>5</v>
      </c>
      <c r="I94" s="391">
        <v>20</v>
      </c>
      <c r="J94" s="392" t="s">
        <v>30</v>
      </c>
      <c r="K94" s="393">
        <f>(19*38)+(1*29.4)</f>
        <v>751.4</v>
      </c>
      <c r="L94" s="228"/>
      <c r="M94" s="58"/>
      <c r="N94" s="229"/>
      <c r="O94" s="21"/>
      <c r="P94" s="21"/>
      <c r="Q94" s="187"/>
      <c r="R94" s="22"/>
      <c r="S94" s="22"/>
      <c r="T94" s="23"/>
      <c r="U94" s="108" t="s">
        <v>1382</v>
      </c>
      <c r="V94" s="24">
        <v>20</v>
      </c>
      <c r="W94" s="315">
        <v>751.4</v>
      </c>
      <c r="X94" s="123">
        <f t="shared" si="4"/>
        <v>0</v>
      </c>
      <c r="Y94" s="52"/>
      <c r="Z94" s="3"/>
    </row>
    <row r="95" spans="1:26">
      <c r="A95" s="390" t="s">
        <v>1381</v>
      </c>
      <c r="B95" s="391" t="s">
        <v>9</v>
      </c>
      <c r="C95" s="391">
        <v>38</v>
      </c>
      <c r="D95" s="391" t="s">
        <v>16</v>
      </c>
      <c r="E95" s="391">
        <v>227</v>
      </c>
      <c r="F95" s="391" t="s">
        <v>855</v>
      </c>
      <c r="G95" s="391" t="s">
        <v>858</v>
      </c>
      <c r="H95" s="391" t="s">
        <v>15</v>
      </c>
      <c r="I95" s="391">
        <v>20</v>
      </c>
      <c r="J95" s="392" t="s">
        <v>588</v>
      </c>
      <c r="K95" s="393">
        <f>(19*36)+(1*27.4)</f>
        <v>711.4</v>
      </c>
      <c r="L95" s="228"/>
      <c r="M95" s="58"/>
      <c r="N95" s="229"/>
      <c r="O95" s="186" t="s">
        <v>1382</v>
      </c>
      <c r="P95" s="21">
        <v>20</v>
      </c>
      <c r="Q95" s="187">
        <v>711.4</v>
      </c>
      <c r="R95" s="22"/>
      <c r="S95" s="22"/>
      <c r="T95" s="23"/>
      <c r="U95" s="24"/>
      <c r="V95" s="24"/>
      <c r="W95" s="315"/>
      <c r="X95" s="123">
        <f t="shared" si="4"/>
        <v>0</v>
      </c>
      <c r="Y95" s="52"/>
      <c r="Z95" s="3"/>
    </row>
    <row r="96" spans="1:26">
      <c r="A96" s="390" t="s">
        <v>1381</v>
      </c>
      <c r="B96" s="391" t="s">
        <v>9</v>
      </c>
      <c r="C96" s="391">
        <v>38</v>
      </c>
      <c r="D96" s="391" t="s">
        <v>16</v>
      </c>
      <c r="E96" s="391">
        <v>231</v>
      </c>
      <c r="F96" s="391" t="s">
        <v>698</v>
      </c>
      <c r="G96" s="391" t="s">
        <v>858</v>
      </c>
      <c r="H96" s="391" t="s">
        <v>15</v>
      </c>
      <c r="I96" s="391">
        <v>20</v>
      </c>
      <c r="J96" s="392" t="s">
        <v>588</v>
      </c>
      <c r="K96" s="393">
        <f>(19*36)+(1*27.4)</f>
        <v>711.4</v>
      </c>
      <c r="L96" s="228"/>
      <c r="M96" s="58"/>
      <c r="N96" s="229"/>
      <c r="O96" s="186" t="s">
        <v>1382</v>
      </c>
      <c r="P96" s="21">
        <v>20</v>
      </c>
      <c r="Q96" s="187">
        <v>711.4</v>
      </c>
      <c r="R96" s="22"/>
      <c r="S96" s="22"/>
      <c r="T96" s="23"/>
      <c r="U96" s="24"/>
      <c r="V96" s="24"/>
      <c r="W96" s="315"/>
      <c r="X96" s="123">
        <f t="shared" si="4"/>
        <v>0</v>
      </c>
      <c r="Y96" s="52"/>
      <c r="Z96" s="3"/>
    </row>
    <row r="97" spans="1:26">
      <c r="A97" s="390" t="s">
        <v>1381</v>
      </c>
      <c r="B97" s="391" t="s">
        <v>9</v>
      </c>
      <c r="C97" s="391">
        <v>38</v>
      </c>
      <c r="D97" s="391" t="s">
        <v>16</v>
      </c>
      <c r="E97" s="391">
        <v>268</v>
      </c>
      <c r="F97" s="391" t="s">
        <v>856</v>
      </c>
      <c r="G97" s="391" t="s">
        <v>859</v>
      </c>
      <c r="H97" s="391" t="s">
        <v>182</v>
      </c>
      <c r="I97" s="391">
        <v>15</v>
      </c>
      <c r="J97" s="392" t="s">
        <v>558</v>
      </c>
      <c r="K97" s="393">
        <f>(14*26)+(1*20.2)</f>
        <v>384.2</v>
      </c>
      <c r="L97" s="228"/>
      <c r="M97" s="58"/>
      <c r="N97" s="229"/>
      <c r="O97" s="186" t="s">
        <v>1382</v>
      </c>
      <c r="P97" s="21">
        <v>15</v>
      </c>
      <c r="Q97" s="187">
        <v>384.2</v>
      </c>
      <c r="R97" s="22"/>
      <c r="S97" s="22"/>
      <c r="T97" s="23"/>
      <c r="U97" s="24"/>
      <c r="V97" s="24"/>
      <c r="W97" s="315"/>
      <c r="X97" s="123">
        <f t="shared" si="4"/>
        <v>0</v>
      </c>
      <c r="Y97" s="52"/>
      <c r="Z97" s="3"/>
    </row>
    <row r="98" spans="1:26">
      <c r="A98" s="390" t="s">
        <v>1381</v>
      </c>
      <c r="B98" s="391" t="s">
        <v>9</v>
      </c>
      <c r="C98" s="391">
        <v>38</v>
      </c>
      <c r="D98" s="391" t="s">
        <v>16</v>
      </c>
      <c r="E98" s="391">
        <v>284</v>
      </c>
      <c r="F98" s="391" t="s">
        <v>857</v>
      </c>
      <c r="G98" s="391" t="s">
        <v>39</v>
      </c>
      <c r="H98" s="391" t="s">
        <v>182</v>
      </c>
      <c r="I98" s="391">
        <v>20</v>
      </c>
      <c r="J98" s="392" t="s">
        <v>30</v>
      </c>
      <c r="K98" s="393">
        <f>(19*38)+(1*29.4)</f>
        <v>751.4</v>
      </c>
      <c r="L98" s="228"/>
      <c r="M98" s="58"/>
      <c r="N98" s="229"/>
      <c r="O98" s="186" t="s">
        <v>1382</v>
      </c>
      <c r="P98" s="21">
        <v>20</v>
      </c>
      <c r="Q98" s="187">
        <v>751.4</v>
      </c>
      <c r="R98" s="22"/>
      <c r="S98" s="22"/>
      <c r="T98" s="23"/>
      <c r="U98" s="24"/>
      <c r="V98" s="24"/>
      <c r="W98" s="315"/>
      <c r="X98" s="123">
        <f t="shared" si="4"/>
        <v>0</v>
      </c>
      <c r="Y98" s="52"/>
      <c r="Z98" s="3"/>
    </row>
    <row r="99" spans="1:26">
      <c r="A99" s="390" t="s">
        <v>1381</v>
      </c>
      <c r="B99" s="391" t="s">
        <v>9</v>
      </c>
      <c r="C99" s="391">
        <v>38</v>
      </c>
      <c r="D99" s="391" t="s">
        <v>16</v>
      </c>
      <c r="E99" s="391">
        <v>291</v>
      </c>
      <c r="F99" s="391" t="s">
        <v>534</v>
      </c>
      <c r="G99" s="391" t="s">
        <v>280</v>
      </c>
      <c r="H99" s="391" t="s">
        <v>15</v>
      </c>
      <c r="I99" s="391">
        <v>20</v>
      </c>
      <c r="J99" s="392" t="s">
        <v>136</v>
      </c>
      <c r="K99" s="393">
        <f>(20*38)</f>
        <v>760</v>
      </c>
      <c r="L99" s="228"/>
      <c r="M99" s="58"/>
      <c r="N99" s="229"/>
      <c r="O99" s="186" t="s">
        <v>1382</v>
      </c>
      <c r="P99" s="21">
        <v>20</v>
      </c>
      <c r="Q99" s="187">
        <v>760</v>
      </c>
      <c r="R99" s="22"/>
      <c r="S99" s="22"/>
      <c r="T99" s="23"/>
      <c r="U99" s="24"/>
      <c r="V99" s="24"/>
      <c r="W99" s="315"/>
      <c r="X99" s="123">
        <f t="shared" si="4"/>
        <v>0</v>
      </c>
      <c r="Y99" s="52"/>
      <c r="Z99" s="3"/>
    </row>
    <row r="100" spans="1:26">
      <c r="A100" s="390" t="s">
        <v>1381</v>
      </c>
      <c r="B100" s="391" t="s">
        <v>9</v>
      </c>
      <c r="C100" s="391">
        <v>38</v>
      </c>
      <c r="D100" s="391" t="s">
        <v>16</v>
      </c>
      <c r="E100" s="391">
        <v>297</v>
      </c>
      <c r="F100" s="391" t="s">
        <v>595</v>
      </c>
      <c r="G100" s="391" t="s">
        <v>280</v>
      </c>
      <c r="H100" s="391" t="s">
        <v>15</v>
      </c>
      <c r="I100" s="391">
        <v>15</v>
      </c>
      <c r="J100" s="392" t="s">
        <v>14</v>
      </c>
      <c r="K100" s="393">
        <f>(14*38)+(1*29.4)</f>
        <v>561.4</v>
      </c>
      <c r="L100" s="228"/>
      <c r="M100" s="58"/>
      <c r="N100" s="229"/>
      <c r="O100" s="186" t="s">
        <v>1382</v>
      </c>
      <c r="P100" s="21">
        <v>15</v>
      </c>
      <c r="Q100" s="187">
        <v>561.4</v>
      </c>
      <c r="R100" s="22"/>
      <c r="S100" s="22"/>
      <c r="T100" s="23"/>
      <c r="U100" s="24"/>
      <c r="V100" s="24"/>
      <c r="W100" s="315"/>
      <c r="X100" s="123">
        <f t="shared" si="4"/>
        <v>0</v>
      </c>
      <c r="Y100" s="52"/>
      <c r="Z100" s="3"/>
    </row>
    <row r="101" spans="1:26">
      <c r="A101" s="390" t="s">
        <v>1381</v>
      </c>
      <c r="B101" s="391" t="s">
        <v>9</v>
      </c>
      <c r="C101" s="391">
        <v>39</v>
      </c>
      <c r="D101" s="391" t="s">
        <v>10</v>
      </c>
      <c r="E101" s="391">
        <v>74</v>
      </c>
      <c r="F101" s="391" t="s">
        <v>805</v>
      </c>
      <c r="G101" s="391" t="s">
        <v>38</v>
      </c>
      <c r="H101" s="391" t="s">
        <v>182</v>
      </c>
      <c r="I101" s="391">
        <v>20</v>
      </c>
      <c r="J101" s="392" t="s">
        <v>17</v>
      </c>
      <c r="K101" s="393">
        <f>(19*35)+(1*26.4)</f>
        <v>691.4</v>
      </c>
      <c r="L101" s="228"/>
      <c r="M101" s="58"/>
      <c r="N101" s="229"/>
      <c r="O101" s="186" t="s">
        <v>1384</v>
      </c>
      <c r="P101" s="21">
        <v>20</v>
      </c>
      <c r="Q101" s="187">
        <v>691.4</v>
      </c>
      <c r="R101" s="22"/>
      <c r="S101" s="22"/>
      <c r="T101" s="23"/>
      <c r="U101" s="24"/>
      <c r="V101" s="24"/>
      <c r="W101" s="315"/>
      <c r="X101" s="123">
        <f t="shared" si="4"/>
        <v>0</v>
      </c>
      <c r="Y101" s="52"/>
      <c r="Z101" s="3"/>
    </row>
    <row r="102" spans="1:26">
      <c r="A102" s="390" t="s">
        <v>1381</v>
      </c>
      <c r="B102" s="391" t="s">
        <v>9</v>
      </c>
      <c r="C102" s="391">
        <v>39</v>
      </c>
      <c r="D102" s="391" t="s">
        <v>10</v>
      </c>
      <c r="E102" s="391">
        <v>75</v>
      </c>
      <c r="F102" s="391" t="s">
        <v>721</v>
      </c>
      <c r="G102" s="391" t="s">
        <v>38</v>
      </c>
      <c r="H102" s="391" t="s">
        <v>182</v>
      </c>
      <c r="I102" s="391">
        <v>20</v>
      </c>
      <c r="J102" s="392" t="s">
        <v>17</v>
      </c>
      <c r="K102" s="393">
        <f>(19*35)+(1*26.4)</f>
        <v>691.4</v>
      </c>
      <c r="L102" s="228"/>
      <c r="M102" s="58"/>
      <c r="N102" s="229"/>
      <c r="O102" s="186" t="s">
        <v>1389</v>
      </c>
      <c r="P102" s="21">
        <v>20</v>
      </c>
      <c r="Q102" s="187">
        <v>691.4</v>
      </c>
      <c r="R102" s="22"/>
      <c r="S102" s="22"/>
      <c r="T102" s="23"/>
      <c r="U102" s="24"/>
      <c r="V102" s="24"/>
      <c r="W102" s="315"/>
      <c r="X102" s="123">
        <f t="shared" si="4"/>
        <v>0</v>
      </c>
      <c r="Y102" s="52"/>
      <c r="Z102" s="3"/>
    </row>
    <row r="103" spans="1:26">
      <c r="A103" s="390" t="s">
        <v>1381</v>
      </c>
      <c r="B103" s="391" t="s">
        <v>9</v>
      </c>
      <c r="C103" s="391">
        <v>39</v>
      </c>
      <c r="D103" s="391" t="s">
        <v>10</v>
      </c>
      <c r="E103" s="391">
        <v>87</v>
      </c>
      <c r="F103" s="391" t="s">
        <v>871</v>
      </c>
      <c r="G103" s="391" t="s">
        <v>27</v>
      </c>
      <c r="H103" s="391" t="s">
        <v>5</v>
      </c>
      <c r="I103" s="391">
        <v>20</v>
      </c>
      <c r="J103" s="392" t="s">
        <v>136</v>
      </c>
      <c r="K103" s="393">
        <f>(20*38)</f>
        <v>760</v>
      </c>
      <c r="L103" s="228"/>
      <c r="M103" s="58"/>
      <c r="N103" s="229"/>
      <c r="O103" s="186" t="s">
        <v>1389</v>
      </c>
      <c r="P103" s="21">
        <v>20</v>
      </c>
      <c r="Q103" s="187">
        <v>760</v>
      </c>
      <c r="R103" s="22"/>
      <c r="S103" s="22"/>
      <c r="T103" s="23"/>
      <c r="U103" s="24"/>
      <c r="V103" s="24"/>
      <c r="W103" s="315"/>
      <c r="X103" s="123">
        <f t="shared" si="4"/>
        <v>0</v>
      </c>
      <c r="Y103" s="52"/>
      <c r="Z103" s="3"/>
    </row>
    <row r="104" spans="1:26">
      <c r="A104" s="390" t="s">
        <v>1381</v>
      </c>
      <c r="B104" s="391" t="s">
        <v>9</v>
      </c>
      <c r="C104" s="391">
        <v>39</v>
      </c>
      <c r="D104" s="391" t="s">
        <v>10</v>
      </c>
      <c r="E104" s="391">
        <v>213</v>
      </c>
      <c r="F104" s="391" t="s">
        <v>872</v>
      </c>
      <c r="G104" s="391" t="s">
        <v>623</v>
      </c>
      <c r="H104" s="391" t="s">
        <v>15</v>
      </c>
      <c r="I104" s="391">
        <v>10</v>
      </c>
      <c r="J104" s="392" t="s">
        <v>26</v>
      </c>
      <c r="K104" s="393">
        <f>(9*38)+(1*29.4)</f>
        <v>371.4</v>
      </c>
      <c r="L104" s="228"/>
      <c r="M104" s="58"/>
      <c r="N104" s="229"/>
      <c r="O104" s="186" t="s">
        <v>1389</v>
      </c>
      <c r="P104" s="21">
        <v>10</v>
      </c>
      <c r="Q104" s="187">
        <v>371.4</v>
      </c>
      <c r="R104" s="22"/>
      <c r="S104" s="22"/>
      <c r="T104" s="23"/>
      <c r="U104" s="24"/>
      <c r="V104" s="24"/>
      <c r="W104" s="315"/>
      <c r="X104" s="123">
        <f t="shared" si="4"/>
        <v>0</v>
      </c>
      <c r="Y104" s="52"/>
      <c r="Z104" s="3"/>
    </row>
    <row r="105" spans="1:26">
      <c r="A105" s="390" t="s">
        <v>1381</v>
      </c>
      <c r="B105" s="391" t="s">
        <v>9</v>
      </c>
      <c r="C105" s="391">
        <v>39</v>
      </c>
      <c r="D105" s="391" t="s">
        <v>10</v>
      </c>
      <c r="E105" s="391">
        <v>222</v>
      </c>
      <c r="F105" s="391" t="s">
        <v>259</v>
      </c>
      <c r="G105" s="391" t="s">
        <v>565</v>
      </c>
      <c r="H105" s="391" t="s">
        <v>15</v>
      </c>
      <c r="I105" s="391">
        <v>20</v>
      </c>
      <c r="J105" s="392" t="s">
        <v>614</v>
      </c>
      <c r="K105" s="393">
        <f>(20*36)</f>
        <v>720</v>
      </c>
      <c r="L105" s="228"/>
      <c r="M105" s="58"/>
      <c r="N105" s="229"/>
      <c r="O105" s="186" t="s">
        <v>1384</v>
      </c>
      <c r="P105" s="21">
        <v>20</v>
      </c>
      <c r="Q105" s="187">
        <v>720</v>
      </c>
      <c r="R105" s="22"/>
      <c r="S105" s="22"/>
      <c r="T105" s="23"/>
      <c r="U105" s="24"/>
      <c r="V105" s="24"/>
      <c r="W105" s="315"/>
      <c r="X105" s="123">
        <f t="shared" si="4"/>
        <v>0</v>
      </c>
      <c r="Y105" s="52"/>
      <c r="Z105" s="3"/>
    </row>
    <row r="106" spans="1:26">
      <c r="A106" s="390" t="s">
        <v>1381</v>
      </c>
      <c r="B106" s="391" t="s">
        <v>9</v>
      </c>
      <c r="C106" s="391">
        <v>39</v>
      </c>
      <c r="D106" s="391" t="s">
        <v>10</v>
      </c>
      <c r="E106" s="391">
        <v>239</v>
      </c>
      <c r="F106" s="391" t="s">
        <v>288</v>
      </c>
      <c r="G106" s="391" t="s">
        <v>306</v>
      </c>
      <c r="H106" s="391" t="s">
        <v>15</v>
      </c>
      <c r="I106" s="391">
        <v>15</v>
      </c>
      <c r="J106" s="392" t="s">
        <v>36</v>
      </c>
      <c r="K106" s="393">
        <f>(14*26)+(1*17.4)</f>
        <v>381.4</v>
      </c>
      <c r="L106" s="58"/>
      <c r="M106" s="58"/>
      <c r="N106" s="229"/>
      <c r="O106" s="186" t="s">
        <v>1384</v>
      </c>
      <c r="P106" s="21">
        <v>15</v>
      </c>
      <c r="Q106" s="187">
        <v>381.4</v>
      </c>
      <c r="R106" s="22"/>
      <c r="S106" s="22"/>
      <c r="T106" s="23"/>
      <c r="U106" s="24"/>
      <c r="V106" s="24"/>
      <c r="W106" s="315"/>
      <c r="X106" s="123">
        <f t="shared" si="4"/>
        <v>0</v>
      </c>
      <c r="Y106" s="52"/>
      <c r="Z106" s="3"/>
    </row>
    <row r="107" spans="1:26">
      <c r="A107" s="390" t="s">
        <v>1381</v>
      </c>
      <c r="B107" s="391" t="s">
        <v>9</v>
      </c>
      <c r="C107" s="391">
        <v>39</v>
      </c>
      <c r="D107" s="391" t="s">
        <v>10</v>
      </c>
      <c r="E107" s="391">
        <v>243</v>
      </c>
      <c r="F107" s="391" t="s">
        <v>457</v>
      </c>
      <c r="G107" s="391" t="s">
        <v>306</v>
      </c>
      <c r="H107" s="391" t="s">
        <v>15</v>
      </c>
      <c r="I107" s="391">
        <v>13</v>
      </c>
      <c r="J107" s="392" t="s">
        <v>681</v>
      </c>
      <c r="K107" s="393">
        <f>(13*26)</f>
        <v>338</v>
      </c>
      <c r="L107" s="58"/>
      <c r="M107" s="58"/>
      <c r="N107" s="229"/>
      <c r="O107" s="186" t="s">
        <v>1389</v>
      </c>
      <c r="P107" s="21">
        <v>13</v>
      </c>
      <c r="Q107" s="187">
        <v>338</v>
      </c>
      <c r="R107" s="22"/>
      <c r="S107" s="22"/>
      <c r="T107" s="23"/>
      <c r="U107" s="24"/>
      <c r="V107" s="24"/>
      <c r="W107" s="315"/>
      <c r="X107" s="123">
        <f t="shared" si="4"/>
        <v>0</v>
      </c>
      <c r="Y107" s="52"/>
      <c r="Z107" s="3"/>
    </row>
    <row r="108" spans="1:26">
      <c r="A108" s="390" t="s">
        <v>1381</v>
      </c>
      <c r="B108" s="391" t="s">
        <v>9</v>
      </c>
      <c r="C108" s="391">
        <v>39</v>
      </c>
      <c r="D108" s="391" t="s">
        <v>10</v>
      </c>
      <c r="E108" s="391">
        <v>255</v>
      </c>
      <c r="F108" s="391" t="s">
        <v>873</v>
      </c>
      <c r="G108" s="391" t="s">
        <v>85</v>
      </c>
      <c r="H108" s="391" t="s">
        <v>15</v>
      </c>
      <c r="I108" s="391">
        <v>20</v>
      </c>
      <c r="J108" s="392" t="s">
        <v>33</v>
      </c>
      <c r="K108" s="393">
        <f>(19*26)+(1*17.4)</f>
        <v>511.4</v>
      </c>
      <c r="L108" s="58"/>
      <c r="M108" s="58"/>
      <c r="N108" s="229"/>
      <c r="O108" s="186" t="s">
        <v>1384</v>
      </c>
      <c r="P108" s="21">
        <v>20</v>
      </c>
      <c r="Q108" s="187">
        <v>511.4</v>
      </c>
      <c r="R108" s="22"/>
      <c r="S108" s="22"/>
      <c r="T108" s="23"/>
      <c r="U108" s="24"/>
      <c r="V108" s="24"/>
      <c r="W108" s="315"/>
      <c r="X108" s="123">
        <f t="shared" si="4"/>
        <v>0</v>
      </c>
      <c r="Y108" s="52"/>
      <c r="Z108" s="3"/>
    </row>
    <row r="109" spans="1:26">
      <c r="A109" s="390" t="s">
        <v>1381</v>
      </c>
      <c r="B109" s="391" t="s">
        <v>9</v>
      </c>
      <c r="C109" s="391">
        <v>39</v>
      </c>
      <c r="D109" s="391" t="s">
        <v>10</v>
      </c>
      <c r="E109" s="391">
        <v>256</v>
      </c>
      <c r="F109" s="391" t="s">
        <v>874</v>
      </c>
      <c r="G109" s="391" t="s">
        <v>85</v>
      </c>
      <c r="H109" s="391" t="s">
        <v>15</v>
      </c>
      <c r="I109" s="391">
        <v>20</v>
      </c>
      <c r="J109" s="392" t="s">
        <v>33</v>
      </c>
      <c r="K109" s="393">
        <f>(19*26)+(1*17.4)</f>
        <v>511.4</v>
      </c>
      <c r="L109" s="228"/>
      <c r="M109" s="58"/>
      <c r="N109" s="229"/>
      <c r="O109" s="186" t="s">
        <v>1389</v>
      </c>
      <c r="P109" s="21">
        <v>20</v>
      </c>
      <c r="Q109" s="187">
        <v>511.4</v>
      </c>
      <c r="R109" s="22"/>
      <c r="S109" s="22"/>
      <c r="T109" s="23"/>
      <c r="U109" s="24"/>
      <c r="V109" s="24"/>
      <c r="W109" s="315"/>
      <c r="X109" s="123">
        <f t="shared" si="4"/>
        <v>0</v>
      </c>
      <c r="Y109" s="52"/>
      <c r="Z109" s="3"/>
    </row>
    <row r="110" spans="1:26" ht="15.75" thickBot="1">
      <c r="A110" s="390" t="s">
        <v>1381</v>
      </c>
      <c r="B110" s="394" t="s">
        <v>9</v>
      </c>
      <c r="C110" s="394">
        <v>39</v>
      </c>
      <c r="D110" s="394" t="s">
        <v>10</v>
      </c>
      <c r="E110" s="394">
        <v>262</v>
      </c>
      <c r="F110" s="394" t="s">
        <v>875</v>
      </c>
      <c r="G110" s="394" t="s">
        <v>644</v>
      </c>
      <c r="H110" s="394" t="s">
        <v>15</v>
      </c>
      <c r="I110" s="394">
        <v>20</v>
      </c>
      <c r="J110" s="395" t="s">
        <v>17</v>
      </c>
      <c r="K110" s="396">
        <f>(19*35)+(1*26.4)</f>
        <v>691.4</v>
      </c>
      <c r="L110" s="58"/>
      <c r="M110" s="58"/>
      <c r="N110" s="229"/>
      <c r="O110" s="186" t="s">
        <v>1389</v>
      </c>
      <c r="P110" s="21">
        <v>20</v>
      </c>
      <c r="Q110" s="187">
        <v>691.4</v>
      </c>
      <c r="R110" s="22"/>
      <c r="S110" s="22"/>
      <c r="T110" s="23"/>
      <c r="U110" s="24"/>
      <c r="V110" s="24"/>
      <c r="W110" s="315"/>
      <c r="X110" s="123">
        <f t="shared" si="4"/>
        <v>0</v>
      </c>
      <c r="Y110" s="52"/>
      <c r="Z110" s="3"/>
    </row>
    <row r="111" spans="1:26">
      <c r="A111" s="390" t="s">
        <v>1381</v>
      </c>
      <c r="B111" s="387" t="s">
        <v>9</v>
      </c>
      <c r="C111" s="387">
        <v>39</v>
      </c>
      <c r="D111" s="387" t="s">
        <v>10</v>
      </c>
      <c r="E111" s="387">
        <v>267</v>
      </c>
      <c r="F111" s="387" t="s">
        <v>461</v>
      </c>
      <c r="G111" s="387" t="s">
        <v>644</v>
      </c>
      <c r="H111" s="387" t="s">
        <v>15</v>
      </c>
      <c r="I111" s="387">
        <v>20</v>
      </c>
      <c r="J111" s="388" t="s">
        <v>17</v>
      </c>
      <c r="K111" s="389">
        <f>(19*35)+(1*26.4)</f>
        <v>691.4</v>
      </c>
      <c r="L111" s="58"/>
      <c r="M111" s="58"/>
      <c r="N111" s="229"/>
      <c r="O111" s="186" t="s">
        <v>1389</v>
      </c>
      <c r="P111" s="21">
        <v>20</v>
      </c>
      <c r="Q111" s="187">
        <v>691.4</v>
      </c>
      <c r="R111" s="22"/>
      <c r="S111" s="22"/>
      <c r="T111" s="23"/>
      <c r="U111" s="24"/>
      <c r="V111" s="24"/>
      <c r="W111" s="315"/>
      <c r="X111" s="123">
        <f t="shared" si="4"/>
        <v>0</v>
      </c>
      <c r="Y111" s="52"/>
      <c r="Z111" s="3"/>
    </row>
    <row r="112" spans="1:26">
      <c r="A112" s="390" t="s">
        <v>1381</v>
      </c>
      <c r="B112" s="391" t="s">
        <v>9</v>
      </c>
      <c r="C112" s="391">
        <v>39</v>
      </c>
      <c r="D112" s="391" t="s">
        <v>10</v>
      </c>
      <c r="E112" s="391">
        <v>330</v>
      </c>
      <c r="F112" s="391" t="s">
        <v>876</v>
      </c>
      <c r="G112" s="391" t="s">
        <v>151</v>
      </c>
      <c r="H112" s="391" t="s">
        <v>15</v>
      </c>
      <c r="I112" s="391">
        <v>15</v>
      </c>
      <c r="J112" s="392" t="s">
        <v>14</v>
      </c>
      <c r="K112" s="393">
        <f>(14*38)+(1*29.4)</f>
        <v>561.4</v>
      </c>
      <c r="L112" s="58"/>
      <c r="M112" s="58"/>
      <c r="N112" s="229"/>
      <c r="O112" s="186" t="s">
        <v>1389</v>
      </c>
      <c r="P112" s="21">
        <v>15</v>
      </c>
      <c r="Q112" s="187">
        <v>561.4</v>
      </c>
      <c r="R112" s="22"/>
      <c r="S112" s="22"/>
      <c r="T112" s="23"/>
      <c r="U112" s="24"/>
      <c r="V112" s="24"/>
      <c r="W112" s="315"/>
      <c r="X112" s="123">
        <f t="shared" si="4"/>
        <v>0</v>
      </c>
      <c r="Y112" s="52"/>
      <c r="Z112" s="3"/>
    </row>
    <row r="113" spans="1:26">
      <c r="A113" s="390" t="s">
        <v>1381</v>
      </c>
      <c r="B113" s="391" t="s">
        <v>9</v>
      </c>
      <c r="C113" s="391">
        <v>39</v>
      </c>
      <c r="D113" s="391" t="s">
        <v>10</v>
      </c>
      <c r="E113" s="391">
        <v>332</v>
      </c>
      <c r="F113" s="391" t="s">
        <v>628</v>
      </c>
      <c r="G113" s="391" t="s">
        <v>151</v>
      </c>
      <c r="H113" s="391" t="s">
        <v>15</v>
      </c>
      <c r="I113" s="391">
        <v>15</v>
      </c>
      <c r="J113" s="392" t="s">
        <v>14</v>
      </c>
      <c r="K113" s="393">
        <f>(14*38)+(1*29.4)</f>
        <v>561.4</v>
      </c>
      <c r="L113" s="58"/>
      <c r="M113" s="58"/>
      <c r="N113" s="229"/>
      <c r="O113" s="186" t="s">
        <v>1384</v>
      </c>
      <c r="P113" s="21">
        <v>15</v>
      </c>
      <c r="Q113" s="187">
        <v>561.4</v>
      </c>
      <c r="R113" s="22"/>
      <c r="S113" s="22"/>
      <c r="T113" s="23"/>
      <c r="U113" s="24"/>
      <c r="V113" s="24"/>
      <c r="W113" s="315"/>
      <c r="X113" s="123">
        <f t="shared" si="4"/>
        <v>0</v>
      </c>
      <c r="Y113" s="52"/>
      <c r="Z113" s="3"/>
    </row>
    <row r="114" spans="1:26">
      <c r="A114" s="390" t="s">
        <v>1381</v>
      </c>
      <c r="B114" s="391" t="s">
        <v>9</v>
      </c>
      <c r="C114" s="391">
        <v>39</v>
      </c>
      <c r="D114" s="391" t="s">
        <v>10</v>
      </c>
      <c r="E114" s="391">
        <v>361</v>
      </c>
      <c r="F114" s="391" t="s">
        <v>462</v>
      </c>
      <c r="G114" s="391" t="s">
        <v>674</v>
      </c>
      <c r="H114" s="391" t="s">
        <v>15</v>
      </c>
      <c r="I114" s="391">
        <v>15</v>
      </c>
      <c r="J114" s="392" t="s">
        <v>36</v>
      </c>
      <c r="K114" s="393">
        <f>(14*26)+(1*17.4)</f>
        <v>381.4</v>
      </c>
      <c r="L114" s="58"/>
      <c r="M114" s="58"/>
      <c r="N114" s="229"/>
      <c r="O114" s="186"/>
      <c r="P114" s="21"/>
      <c r="Q114" s="187"/>
      <c r="R114" s="295"/>
      <c r="S114" s="22"/>
      <c r="T114" s="23"/>
      <c r="U114" s="108" t="s">
        <v>1382</v>
      </c>
      <c r="V114" s="24">
        <v>15</v>
      </c>
      <c r="W114" s="315">
        <v>381.4</v>
      </c>
      <c r="X114" s="123">
        <f t="shared" si="4"/>
        <v>0</v>
      </c>
      <c r="Y114" s="52"/>
      <c r="Z114" s="3"/>
    </row>
    <row r="115" spans="1:26">
      <c r="A115" s="390" t="s">
        <v>1381</v>
      </c>
      <c r="B115" s="391" t="s">
        <v>9</v>
      </c>
      <c r="C115" s="391">
        <v>39</v>
      </c>
      <c r="D115" s="391" t="s">
        <v>10</v>
      </c>
      <c r="E115" s="391">
        <v>362</v>
      </c>
      <c r="F115" s="391" t="s">
        <v>449</v>
      </c>
      <c r="G115" s="391" t="s">
        <v>674</v>
      </c>
      <c r="H115" s="391" t="s">
        <v>15</v>
      </c>
      <c r="I115" s="391">
        <v>20</v>
      </c>
      <c r="J115" s="392" t="s">
        <v>33</v>
      </c>
      <c r="K115" s="393">
        <f>(19*26)+(1*17.4)</f>
        <v>511.4</v>
      </c>
      <c r="L115" s="58"/>
      <c r="M115" s="58"/>
      <c r="N115" s="229"/>
      <c r="O115" s="186"/>
      <c r="P115" s="21"/>
      <c r="Q115" s="187"/>
      <c r="R115" s="295" t="s">
        <v>1382</v>
      </c>
      <c r="S115" s="22">
        <v>20</v>
      </c>
      <c r="T115" s="23">
        <v>511.4</v>
      </c>
      <c r="U115" s="24"/>
      <c r="V115" s="24"/>
      <c r="W115" s="315"/>
      <c r="X115" s="123">
        <f t="shared" si="4"/>
        <v>0</v>
      </c>
      <c r="Y115" s="52"/>
      <c r="Z115" s="3"/>
    </row>
    <row r="116" spans="1:26">
      <c r="A116" s="390" t="s">
        <v>1381</v>
      </c>
      <c r="B116" s="391" t="s">
        <v>9</v>
      </c>
      <c r="C116" s="391">
        <v>39</v>
      </c>
      <c r="D116" s="391" t="s">
        <v>10</v>
      </c>
      <c r="E116" s="391">
        <v>363</v>
      </c>
      <c r="F116" s="391" t="s">
        <v>877</v>
      </c>
      <c r="G116" s="391" t="s">
        <v>674</v>
      </c>
      <c r="H116" s="391" t="s">
        <v>15</v>
      </c>
      <c r="I116" s="391">
        <v>40</v>
      </c>
      <c r="J116" s="392" t="s">
        <v>733</v>
      </c>
      <c r="K116" s="393">
        <f>(39*26)+(1*17.4)</f>
        <v>1031.4000000000001</v>
      </c>
      <c r="L116" s="58"/>
      <c r="M116" s="58"/>
      <c r="N116" s="229"/>
      <c r="O116" s="186" t="s">
        <v>1389</v>
      </c>
      <c r="P116" s="21">
        <v>40</v>
      </c>
      <c r="Q116" s="187">
        <v>1031.4000000000001</v>
      </c>
      <c r="R116" s="22"/>
      <c r="S116" s="22"/>
      <c r="T116" s="23"/>
      <c r="U116" s="24"/>
      <c r="V116" s="24"/>
      <c r="W116" s="315"/>
      <c r="X116" s="123">
        <f t="shared" si="4"/>
        <v>0</v>
      </c>
      <c r="Y116" s="52"/>
      <c r="Z116" s="3"/>
    </row>
    <row r="117" spans="1:26">
      <c r="A117" s="390" t="s">
        <v>1381</v>
      </c>
      <c r="B117" s="391" t="s">
        <v>9</v>
      </c>
      <c r="C117" s="391">
        <v>39</v>
      </c>
      <c r="D117" s="391" t="s">
        <v>10</v>
      </c>
      <c r="E117" s="391">
        <v>427</v>
      </c>
      <c r="F117" s="391" t="s">
        <v>107</v>
      </c>
      <c r="G117" s="391" t="s">
        <v>555</v>
      </c>
      <c r="H117" s="391" t="s">
        <v>5</v>
      </c>
      <c r="I117" s="391">
        <v>20</v>
      </c>
      <c r="J117" s="392" t="s">
        <v>33</v>
      </c>
      <c r="K117" s="393">
        <f>(19*26)+(1*17.4)</f>
        <v>511.4</v>
      </c>
      <c r="L117" s="58"/>
      <c r="M117" s="58"/>
      <c r="N117" s="229"/>
      <c r="O117" s="186" t="s">
        <v>1393</v>
      </c>
      <c r="P117" s="21">
        <v>20</v>
      </c>
      <c r="Q117" s="187">
        <v>511.4</v>
      </c>
      <c r="R117" s="22"/>
      <c r="S117" s="22"/>
      <c r="T117" s="23"/>
      <c r="U117" s="24"/>
      <c r="V117" s="24"/>
      <c r="W117" s="315"/>
      <c r="X117" s="123">
        <f t="shared" si="4"/>
        <v>0</v>
      </c>
      <c r="Y117" s="52"/>
      <c r="Z117" s="3"/>
    </row>
    <row r="118" spans="1:26">
      <c r="A118" s="390" t="s">
        <v>1381</v>
      </c>
      <c r="B118" s="391" t="s">
        <v>9</v>
      </c>
      <c r="C118" s="391">
        <v>39</v>
      </c>
      <c r="D118" s="391" t="s">
        <v>10</v>
      </c>
      <c r="E118" s="391">
        <v>429</v>
      </c>
      <c r="F118" s="391" t="s">
        <v>208</v>
      </c>
      <c r="G118" s="391" t="s">
        <v>349</v>
      </c>
      <c r="H118" s="391" t="s">
        <v>5</v>
      </c>
      <c r="I118" s="391">
        <v>20</v>
      </c>
      <c r="J118" s="392" t="s">
        <v>136</v>
      </c>
      <c r="K118" s="393">
        <f>(20*38)</f>
        <v>760</v>
      </c>
      <c r="L118" s="58"/>
      <c r="M118" s="58"/>
      <c r="N118" s="229"/>
      <c r="O118" s="186" t="s">
        <v>1393</v>
      </c>
      <c r="P118" s="21">
        <v>20</v>
      </c>
      <c r="Q118" s="187">
        <v>760</v>
      </c>
      <c r="R118" s="22"/>
      <c r="S118" s="22"/>
      <c r="T118" s="23"/>
      <c r="U118" s="24"/>
      <c r="V118" s="24"/>
      <c r="W118" s="315"/>
      <c r="X118" s="123">
        <f t="shared" si="4"/>
        <v>0</v>
      </c>
      <c r="Y118" s="52"/>
      <c r="Z118" s="3"/>
    </row>
    <row r="119" spans="1:26">
      <c r="A119" s="390" t="s">
        <v>1381</v>
      </c>
      <c r="B119" s="391" t="s">
        <v>9</v>
      </c>
      <c r="C119" s="391">
        <v>39</v>
      </c>
      <c r="D119" s="391" t="s">
        <v>10</v>
      </c>
      <c r="E119" s="391">
        <v>485</v>
      </c>
      <c r="F119" s="391" t="s">
        <v>646</v>
      </c>
      <c r="G119" s="391" t="s">
        <v>878</v>
      </c>
      <c r="H119" s="391" t="s">
        <v>15</v>
      </c>
      <c r="I119" s="391">
        <v>15</v>
      </c>
      <c r="J119" s="392" t="s">
        <v>36</v>
      </c>
      <c r="K119" s="393">
        <f>(14*26)+(1*17.4)</f>
        <v>381.4</v>
      </c>
      <c r="L119" s="58"/>
      <c r="M119" s="58"/>
      <c r="N119" s="229"/>
      <c r="O119" s="186" t="s">
        <v>1393</v>
      </c>
      <c r="P119" s="21">
        <v>15</v>
      </c>
      <c r="Q119" s="187">
        <v>381.4</v>
      </c>
      <c r="R119" s="22"/>
      <c r="S119" s="22"/>
      <c r="T119" s="23"/>
      <c r="U119" s="24"/>
      <c r="V119" s="24"/>
      <c r="W119" s="315"/>
      <c r="X119" s="123">
        <f t="shared" si="4"/>
        <v>0</v>
      </c>
      <c r="Y119" s="52"/>
      <c r="Z119" s="3"/>
    </row>
    <row r="120" spans="1:26">
      <c r="A120" s="390" t="s">
        <v>1381</v>
      </c>
      <c r="B120" s="391" t="s">
        <v>9</v>
      </c>
      <c r="C120" s="391">
        <v>39</v>
      </c>
      <c r="D120" s="391" t="s">
        <v>7</v>
      </c>
      <c r="E120" s="391">
        <v>498</v>
      </c>
      <c r="F120" s="391" t="s">
        <v>481</v>
      </c>
      <c r="G120" s="391" t="s">
        <v>574</v>
      </c>
      <c r="H120" s="391" t="s">
        <v>15</v>
      </c>
      <c r="I120" s="391">
        <v>15</v>
      </c>
      <c r="J120" s="392" t="s">
        <v>13</v>
      </c>
      <c r="K120" s="393">
        <f>(14*35)+(1*26.4)</f>
        <v>516.4</v>
      </c>
      <c r="L120" s="58"/>
      <c r="M120" s="58"/>
      <c r="N120" s="229"/>
      <c r="O120" s="186" t="s">
        <v>1389</v>
      </c>
      <c r="P120" s="21">
        <v>15</v>
      </c>
      <c r="Q120" s="187">
        <v>516.4</v>
      </c>
      <c r="R120" s="22"/>
      <c r="S120" s="22"/>
      <c r="T120" s="23"/>
      <c r="U120" s="24"/>
      <c r="V120" s="24"/>
      <c r="W120" s="315"/>
      <c r="X120" s="123">
        <f t="shared" si="4"/>
        <v>0</v>
      </c>
      <c r="Y120" s="52"/>
      <c r="Z120" s="3"/>
    </row>
    <row r="121" spans="1:26">
      <c r="A121" s="390" t="s">
        <v>1381</v>
      </c>
      <c r="B121" s="391" t="s">
        <v>9</v>
      </c>
      <c r="C121" s="391">
        <v>39</v>
      </c>
      <c r="D121" s="391" t="s">
        <v>7</v>
      </c>
      <c r="E121" s="391">
        <v>499</v>
      </c>
      <c r="F121" s="391" t="s">
        <v>482</v>
      </c>
      <c r="G121" s="391" t="s">
        <v>574</v>
      </c>
      <c r="H121" s="391" t="s">
        <v>15</v>
      </c>
      <c r="I121" s="391">
        <v>30</v>
      </c>
      <c r="J121" s="392" t="s">
        <v>12</v>
      </c>
      <c r="K121" s="393">
        <f>(29*35)+(1*26.4)</f>
        <v>1041.4000000000001</v>
      </c>
      <c r="L121" s="58"/>
      <c r="M121" s="58"/>
      <c r="N121" s="229"/>
      <c r="O121" s="186" t="s">
        <v>1389</v>
      </c>
      <c r="P121" s="21">
        <v>30</v>
      </c>
      <c r="Q121" s="187">
        <v>1041.4000000000001</v>
      </c>
      <c r="R121" s="22"/>
      <c r="S121" s="22"/>
      <c r="T121" s="23"/>
      <c r="U121" s="24"/>
      <c r="V121" s="24"/>
      <c r="W121" s="315"/>
      <c r="X121" s="123">
        <f t="shared" si="4"/>
        <v>0</v>
      </c>
      <c r="Y121" s="52"/>
      <c r="Z121" s="3"/>
    </row>
    <row r="122" spans="1:26">
      <c r="A122" s="390" t="s">
        <v>1381</v>
      </c>
      <c r="B122" s="391" t="s">
        <v>9</v>
      </c>
      <c r="C122" s="391">
        <v>39</v>
      </c>
      <c r="D122" s="391" t="s">
        <v>7</v>
      </c>
      <c r="E122" s="391">
        <v>607</v>
      </c>
      <c r="F122" s="391" t="s">
        <v>86</v>
      </c>
      <c r="G122" s="391" t="s">
        <v>349</v>
      </c>
      <c r="H122" s="391" t="s">
        <v>5</v>
      </c>
      <c r="I122" s="391">
        <v>15</v>
      </c>
      <c r="J122" s="392" t="s">
        <v>14</v>
      </c>
      <c r="K122" s="393">
        <f>(14*38)+(1*29.4)</f>
        <v>561.4</v>
      </c>
      <c r="L122" s="58"/>
      <c r="M122" s="58"/>
      <c r="N122" s="229"/>
      <c r="O122" s="186" t="s">
        <v>1384</v>
      </c>
      <c r="P122" s="21">
        <v>15</v>
      </c>
      <c r="Q122" s="187">
        <v>561.4</v>
      </c>
      <c r="R122" s="22"/>
      <c r="S122" s="22"/>
      <c r="T122" s="23"/>
      <c r="U122" s="24"/>
      <c r="V122" s="24"/>
      <c r="W122" s="315"/>
      <c r="X122" s="123">
        <f t="shared" si="4"/>
        <v>0</v>
      </c>
      <c r="Y122" s="52"/>
      <c r="Z122" s="3"/>
    </row>
    <row r="123" spans="1:26">
      <c r="A123" s="390" t="s">
        <v>1381</v>
      </c>
      <c r="B123" s="391" t="s">
        <v>9</v>
      </c>
      <c r="C123" s="391">
        <v>39</v>
      </c>
      <c r="D123" s="391" t="s">
        <v>7</v>
      </c>
      <c r="E123" s="391">
        <v>609</v>
      </c>
      <c r="F123" s="391" t="s">
        <v>284</v>
      </c>
      <c r="G123" s="391" t="s">
        <v>349</v>
      </c>
      <c r="H123" s="391" t="s">
        <v>15</v>
      </c>
      <c r="I123" s="391">
        <v>15</v>
      </c>
      <c r="J123" s="392" t="s">
        <v>14</v>
      </c>
      <c r="K123" s="393">
        <f>(14*38)+(1*29.4)</f>
        <v>561.4</v>
      </c>
      <c r="L123" s="58"/>
      <c r="M123" s="58"/>
      <c r="N123" s="229"/>
      <c r="O123" s="186" t="s">
        <v>1384</v>
      </c>
      <c r="P123" s="21">
        <v>15</v>
      </c>
      <c r="Q123" s="187">
        <v>561.4</v>
      </c>
      <c r="R123" s="22"/>
      <c r="S123" s="22"/>
      <c r="T123" s="23"/>
      <c r="U123" s="24"/>
      <c r="V123" s="24"/>
      <c r="W123" s="315"/>
      <c r="X123" s="123">
        <f t="shared" si="4"/>
        <v>0</v>
      </c>
      <c r="Y123" s="52"/>
      <c r="Z123" s="3"/>
    </row>
    <row r="124" spans="1:26">
      <c r="A124" s="390" t="s">
        <v>1381</v>
      </c>
      <c r="B124" s="391" t="s">
        <v>9</v>
      </c>
      <c r="C124" s="391">
        <v>39</v>
      </c>
      <c r="D124" s="391" t="s">
        <v>7</v>
      </c>
      <c r="E124" s="391">
        <v>610</v>
      </c>
      <c r="F124" s="391" t="s">
        <v>205</v>
      </c>
      <c r="G124" s="391" t="s">
        <v>349</v>
      </c>
      <c r="H124" s="391" t="s">
        <v>15</v>
      </c>
      <c r="I124" s="391">
        <v>15</v>
      </c>
      <c r="J124" s="392" t="s">
        <v>14</v>
      </c>
      <c r="K124" s="393">
        <f>(14*38)+(1*29.4)</f>
        <v>561.4</v>
      </c>
      <c r="L124" s="58"/>
      <c r="M124" s="58"/>
      <c r="N124" s="229"/>
      <c r="O124" s="186" t="s">
        <v>1389</v>
      </c>
      <c r="P124" s="21">
        <v>15</v>
      </c>
      <c r="Q124" s="187">
        <v>561.4</v>
      </c>
      <c r="R124" s="22"/>
      <c r="S124" s="22"/>
      <c r="T124" s="23"/>
      <c r="U124" s="24"/>
      <c r="V124" s="24"/>
      <c r="W124" s="315"/>
      <c r="X124" s="123">
        <f t="shared" si="4"/>
        <v>0</v>
      </c>
      <c r="Y124" s="52"/>
      <c r="Z124" s="3"/>
    </row>
    <row r="125" spans="1:26">
      <c r="A125" s="390" t="s">
        <v>1381</v>
      </c>
      <c r="B125" s="391" t="s">
        <v>9</v>
      </c>
      <c r="C125" s="391">
        <v>39</v>
      </c>
      <c r="D125" s="391" t="s">
        <v>7</v>
      </c>
      <c r="E125" s="391">
        <v>611</v>
      </c>
      <c r="F125" s="391" t="s">
        <v>337</v>
      </c>
      <c r="G125" s="391" t="s">
        <v>349</v>
      </c>
      <c r="H125" s="391" t="s">
        <v>15</v>
      </c>
      <c r="I125" s="391">
        <v>15</v>
      </c>
      <c r="J125" s="392" t="s">
        <v>14</v>
      </c>
      <c r="K125" s="393">
        <f>(14*38)+(1*29.4)</f>
        <v>561.4</v>
      </c>
      <c r="L125" s="58"/>
      <c r="M125" s="58"/>
      <c r="N125" s="229"/>
      <c r="O125" s="186" t="s">
        <v>1389</v>
      </c>
      <c r="P125" s="21">
        <v>15</v>
      </c>
      <c r="Q125" s="187">
        <v>561.4</v>
      </c>
      <c r="R125" s="22"/>
      <c r="S125" s="22"/>
      <c r="T125" s="23"/>
      <c r="U125" s="24"/>
      <c r="V125" s="24"/>
      <c r="W125" s="315"/>
      <c r="X125" s="123">
        <f t="shared" si="4"/>
        <v>0</v>
      </c>
      <c r="Y125" s="52"/>
      <c r="Z125" s="3"/>
    </row>
    <row r="126" spans="1:26">
      <c r="A126" s="390" t="s">
        <v>1381</v>
      </c>
      <c r="B126" s="391" t="s">
        <v>9</v>
      </c>
      <c r="C126" s="391">
        <v>39</v>
      </c>
      <c r="D126" s="391" t="s">
        <v>7</v>
      </c>
      <c r="E126" s="391">
        <v>614</v>
      </c>
      <c r="F126" s="391" t="s">
        <v>803</v>
      </c>
      <c r="G126" s="391" t="s">
        <v>349</v>
      </c>
      <c r="H126" s="391" t="s">
        <v>814</v>
      </c>
      <c r="I126" s="391">
        <v>15</v>
      </c>
      <c r="J126" s="392" t="s">
        <v>14</v>
      </c>
      <c r="K126" s="393">
        <f>(14*38)+(1*29.4)</f>
        <v>561.4</v>
      </c>
      <c r="L126" s="58"/>
      <c r="M126" s="58"/>
      <c r="N126" s="229"/>
      <c r="O126" s="186" t="s">
        <v>1384</v>
      </c>
      <c r="P126" s="21">
        <v>15</v>
      </c>
      <c r="Q126" s="187">
        <v>561.4</v>
      </c>
      <c r="R126" s="22"/>
      <c r="S126" s="22"/>
      <c r="T126" s="23"/>
      <c r="U126" s="24"/>
      <c r="V126" s="24"/>
      <c r="W126" s="315"/>
      <c r="X126" s="123">
        <f t="shared" si="4"/>
        <v>0</v>
      </c>
      <c r="Y126" s="52"/>
      <c r="Z126" s="3"/>
    </row>
    <row r="127" spans="1:26">
      <c r="A127" s="390" t="s">
        <v>1381</v>
      </c>
      <c r="B127" s="391" t="s">
        <v>9</v>
      </c>
      <c r="C127" s="391">
        <v>39</v>
      </c>
      <c r="D127" s="391" t="s">
        <v>29</v>
      </c>
      <c r="E127" s="391">
        <v>20</v>
      </c>
      <c r="F127" s="391" t="s">
        <v>109</v>
      </c>
      <c r="G127" s="391" t="s">
        <v>127</v>
      </c>
      <c r="H127" s="391" t="s">
        <v>5</v>
      </c>
      <c r="I127" s="391">
        <v>24</v>
      </c>
      <c r="J127" s="392" t="s">
        <v>373</v>
      </c>
      <c r="K127" s="393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1382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>
      <c r="A128" s="390" t="s">
        <v>1381</v>
      </c>
      <c r="B128" s="391" t="s">
        <v>9</v>
      </c>
      <c r="C128" s="391">
        <v>39</v>
      </c>
      <c r="D128" s="391" t="s">
        <v>29</v>
      </c>
      <c r="E128" s="391">
        <v>21</v>
      </c>
      <c r="F128" s="391" t="s">
        <v>867</v>
      </c>
      <c r="G128" s="391" t="s">
        <v>127</v>
      </c>
      <c r="H128" s="391" t="s">
        <v>15</v>
      </c>
      <c r="I128" s="391">
        <v>20</v>
      </c>
      <c r="J128" s="392" t="s">
        <v>17</v>
      </c>
      <c r="K128" s="393">
        <f>(19*35)+(1*26.4)</f>
        <v>691.4</v>
      </c>
      <c r="L128" s="58"/>
      <c r="M128" s="58"/>
      <c r="N128" s="229"/>
      <c r="O128" s="186" t="s">
        <v>1389</v>
      </c>
      <c r="P128" s="21">
        <v>20</v>
      </c>
      <c r="Q128" s="187">
        <v>691.4</v>
      </c>
      <c r="R128" s="22"/>
      <c r="S128" s="22"/>
      <c r="T128" s="23"/>
      <c r="U128" s="24"/>
      <c r="V128" s="24"/>
      <c r="W128" s="315"/>
      <c r="X128" s="123">
        <f t="shared" si="4"/>
        <v>0</v>
      </c>
      <c r="Y128" s="52"/>
      <c r="Z128" s="3"/>
    </row>
    <row r="129" spans="1:26">
      <c r="A129" s="390" t="s">
        <v>1381</v>
      </c>
      <c r="B129" s="391" t="s">
        <v>9</v>
      </c>
      <c r="C129" s="391">
        <v>39</v>
      </c>
      <c r="D129" s="391" t="s">
        <v>29</v>
      </c>
      <c r="E129" s="391">
        <v>50</v>
      </c>
      <c r="F129" s="391" t="s">
        <v>752</v>
      </c>
      <c r="G129" s="391" t="s">
        <v>178</v>
      </c>
      <c r="H129" s="391" t="s">
        <v>15</v>
      </c>
      <c r="I129" s="391">
        <v>20</v>
      </c>
      <c r="J129" s="392" t="s">
        <v>17</v>
      </c>
      <c r="K129" s="393">
        <f>(19*35)+(1*26.4)</f>
        <v>691.4</v>
      </c>
      <c r="L129" s="58"/>
      <c r="M129" s="58"/>
      <c r="N129" s="229"/>
      <c r="O129" s="186"/>
      <c r="P129" s="21"/>
      <c r="Q129" s="187"/>
      <c r="R129" s="295" t="s">
        <v>1382</v>
      </c>
      <c r="S129" s="22">
        <v>20</v>
      </c>
      <c r="T129" s="23">
        <v>691.4</v>
      </c>
      <c r="U129" s="24"/>
      <c r="V129" s="24"/>
      <c r="W129" s="315"/>
      <c r="X129" s="123">
        <f t="shared" ref="X129:X192" si="5">SUM(K129-N129-Q129-T129-W129)</f>
        <v>0</v>
      </c>
      <c r="Y129" s="52"/>
      <c r="Z129" s="3"/>
    </row>
    <row r="130" spans="1:26">
      <c r="A130" s="390" t="s">
        <v>1381</v>
      </c>
      <c r="B130" s="391" t="s">
        <v>9</v>
      </c>
      <c r="C130" s="391">
        <v>39</v>
      </c>
      <c r="D130" s="391" t="s">
        <v>29</v>
      </c>
      <c r="E130" s="391">
        <v>78</v>
      </c>
      <c r="F130" s="391" t="s">
        <v>448</v>
      </c>
      <c r="G130" s="391" t="s">
        <v>141</v>
      </c>
      <c r="H130" s="391" t="s">
        <v>15</v>
      </c>
      <c r="I130" s="391">
        <v>15</v>
      </c>
      <c r="J130" s="392" t="s">
        <v>13</v>
      </c>
      <c r="K130" s="393">
        <f>(14*35)+(1*26.4)</f>
        <v>516.4</v>
      </c>
      <c r="L130" s="58"/>
      <c r="M130" s="58"/>
      <c r="N130" s="229"/>
      <c r="O130" s="186" t="s">
        <v>1393</v>
      </c>
      <c r="P130" s="21">
        <v>15</v>
      </c>
      <c r="Q130" s="187">
        <v>516.4</v>
      </c>
      <c r="R130" s="22"/>
      <c r="S130" s="22"/>
      <c r="T130" s="23"/>
      <c r="U130" s="24"/>
      <c r="V130" s="24"/>
      <c r="W130" s="315"/>
      <c r="X130" s="123">
        <f t="shared" si="5"/>
        <v>0</v>
      </c>
      <c r="Y130" s="52"/>
      <c r="Z130" s="3"/>
    </row>
    <row r="131" spans="1:26">
      <c r="A131" s="390" t="s">
        <v>1381</v>
      </c>
      <c r="B131" s="391" t="s">
        <v>9</v>
      </c>
      <c r="C131" s="391">
        <v>39</v>
      </c>
      <c r="D131" s="391" t="s">
        <v>29</v>
      </c>
      <c r="E131" s="391">
        <v>80</v>
      </c>
      <c r="F131" s="391" t="s">
        <v>879</v>
      </c>
      <c r="G131" s="391" t="s">
        <v>141</v>
      </c>
      <c r="H131" s="391" t="s">
        <v>15</v>
      </c>
      <c r="I131" s="391">
        <v>25</v>
      </c>
      <c r="J131" s="392" t="s">
        <v>103</v>
      </c>
      <c r="K131" s="393">
        <f>(24*35)+(1*26.4)</f>
        <v>866.4</v>
      </c>
      <c r="L131" s="58"/>
      <c r="M131" s="58"/>
      <c r="N131" s="229"/>
      <c r="O131" s="186" t="s">
        <v>1389</v>
      </c>
      <c r="P131" s="21">
        <v>25</v>
      </c>
      <c r="Q131" s="187">
        <v>866.4</v>
      </c>
      <c r="R131" s="22"/>
      <c r="S131" s="22"/>
      <c r="T131" s="23"/>
      <c r="U131" s="24"/>
      <c r="V131" s="24"/>
      <c r="W131" s="315"/>
      <c r="X131" s="123">
        <f t="shared" si="5"/>
        <v>0</v>
      </c>
      <c r="Y131" s="52"/>
      <c r="Z131" s="3"/>
    </row>
    <row r="132" spans="1:26">
      <c r="A132" s="390" t="s">
        <v>1381</v>
      </c>
      <c r="B132" s="391" t="s">
        <v>9</v>
      </c>
      <c r="C132" s="391">
        <v>39</v>
      </c>
      <c r="D132" s="391" t="s">
        <v>29</v>
      </c>
      <c r="E132" s="391">
        <v>92</v>
      </c>
      <c r="F132" s="391" t="s">
        <v>880</v>
      </c>
      <c r="G132" s="391" t="s">
        <v>561</v>
      </c>
      <c r="H132" s="391" t="s">
        <v>15</v>
      </c>
      <c r="I132" s="391">
        <v>30</v>
      </c>
      <c r="J132" s="392" t="s">
        <v>101</v>
      </c>
      <c r="K132" s="393">
        <f>(29*26)+(1*17.4)</f>
        <v>771.4</v>
      </c>
      <c r="L132" s="58"/>
      <c r="M132" s="58"/>
      <c r="N132" s="229"/>
      <c r="O132" s="186" t="s">
        <v>1393</v>
      </c>
      <c r="P132" s="21">
        <v>30</v>
      </c>
      <c r="Q132" s="187">
        <v>771.4</v>
      </c>
      <c r="R132" s="22"/>
      <c r="S132" s="22"/>
      <c r="T132" s="23"/>
      <c r="U132" s="24"/>
      <c r="V132" s="24"/>
      <c r="W132" s="315"/>
      <c r="X132" s="123">
        <f t="shared" si="5"/>
        <v>0</v>
      </c>
      <c r="Y132" s="52"/>
      <c r="Z132" s="3"/>
    </row>
    <row r="133" spans="1:26">
      <c r="A133" s="390" t="s">
        <v>1381</v>
      </c>
      <c r="B133" s="391" t="s">
        <v>9</v>
      </c>
      <c r="C133" s="391">
        <v>39</v>
      </c>
      <c r="D133" s="391" t="s">
        <v>29</v>
      </c>
      <c r="E133" s="391">
        <v>98</v>
      </c>
      <c r="F133" s="391" t="s">
        <v>881</v>
      </c>
      <c r="G133" s="391" t="s">
        <v>886</v>
      </c>
      <c r="H133" s="391" t="s">
        <v>15</v>
      </c>
      <c r="I133" s="391">
        <v>25</v>
      </c>
      <c r="J133" s="392" t="s">
        <v>148</v>
      </c>
      <c r="K133" s="393">
        <f>(25*26)</f>
        <v>650</v>
      </c>
      <c r="L133" s="228"/>
      <c r="M133" s="58"/>
      <c r="N133" s="229"/>
      <c r="O133" s="186" t="s">
        <v>1393</v>
      </c>
      <c r="P133" s="21">
        <v>25</v>
      </c>
      <c r="Q133" s="187">
        <v>650</v>
      </c>
      <c r="R133" s="22"/>
      <c r="S133" s="22"/>
      <c r="T133" s="23"/>
      <c r="U133" s="24"/>
      <c r="V133" s="24"/>
      <c r="W133" s="315"/>
      <c r="X133" s="123">
        <f t="shared" si="5"/>
        <v>0</v>
      </c>
      <c r="Y133" s="52"/>
      <c r="Z133" s="3"/>
    </row>
    <row r="134" spans="1:26">
      <c r="A134" s="390" t="s">
        <v>1381</v>
      </c>
      <c r="B134" s="391" t="s">
        <v>9</v>
      </c>
      <c r="C134" s="391">
        <v>39</v>
      </c>
      <c r="D134" s="391" t="s">
        <v>29</v>
      </c>
      <c r="E134" s="391">
        <v>100</v>
      </c>
      <c r="F134" s="391" t="s">
        <v>236</v>
      </c>
      <c r="G134" s="391" t="s">
        <v>886</v>
      </c>
      <c r="H134" s="391" t="s">
        <v>15</v>
      </c>
      <c r="I134" s="391">
        <v>20</v>
      </c>
      <c r="J134" s="392" t="s">
        <v>33</v>
      </c>
      <c r="K134" s="393">
        <f>(19*26)+(1*17.4)</f>
        <v>511.4</v>
      </c>
      <c r="L134" s="228"/>
      <c r="M134" s="58"/>
      <c r="N134" s="229"/>
      <c r="O134" s="186" t="s">
        <v>1396</v>
      </c>
      <c r="P134" s="21">
        <v>20</v>
      </c>
      <c r="Q134" s="187">
        <v>511.4</v>
      </c>
      <c r="R134" s="22"/>
      <c r="S134" s="22"/>
      <c r="T134" s="23"/>
      <c r="U134" s="24"/>
      <c r="V134" s="24"/>
      <c r="W134" s="315"/>
      <c r="X134" s="123">
        <f t="shared" si="5"/>
        <v>0</v>
      </c>
      <c r="Y134" s="52"/>
      <c r="Z134" s="3"/>
    </row>
    <row r="135" spans="1:26">
      <c r="A135" s="390" t="s">
        <v>1381</v>
      </c>
      <c r="B135" s="391" t="s">
        <v>9</v>
      </c>
      <c r="C135" s="391">
        <v>39</v>
      </c>
      <c r="D135" s="391" t="s">
        <v>29</v>
      </c>
      <c r="E135" s="391">
        <v>109</v>
      </c>
      <c r="F135" s="391" t="s">
        <v>248</v>
      </c>
      <c r="G135" s="391" t="s">
        <v>105</v>
      </c>
      <c r="H135" s="391" t="s">
        <v>15</v>
      </c>
      <c r="I135" s="391">
        <v>20</v>
      </c>
      <c r="J135" s="392" t="s">
        <v>33</v>
      </c>
      <c r="K135" s="393">
        <f>(19*26)+(1*17.4)</f>
        <v>511.4</v>
      </c>
      <c r="L135" s="58"/>
      <c r="M135" s="58"/>
      <c r="N135" s="229"/>
      <c r="O135" s="186" t="s">
        <v>1396</v>
      </c>
      <c r="P135" s="21">
        <v>20</v>
      </c>
      <c r="Q135" s="187">
        <v>511.4</v>
      </c>
      <c r="R135" s="22"/>
      <c r="S135" s="22"/>
      <c r="T135" s="23"/>
      <c r="U135" s="24"/>
      <c r="V135" s="24"/>
      <c r="W135" s="315"/>
      <c r="X135" s="123">
        <f t="shared" si="5"/>
        <v>0</v>
      </c>
      <c r="Y135" s="52"/>
      <c r="Z135" s="3"/>
    </row>
    <row r="136" spans="1:26">
      <c r="A136" s="390" t="s">
        <v>1381</v>
      </c>
      <c r="B136" s="391" t="s">
        <v>9</v>
      </c>
      <c r="C136" s="391">
        <v>39</v>
      </c>
      <c r="D136" s="391" t="s">
        <v>29</v>
      </c>
      <c r="E136" s="391">
        <v>110</v>
      </c>
      <c r="F136" s="391" t="s">
        <v>882</v>
      </c>
      <c r="G136" s="391" t="s">
        <v>105</v>
      </c>
      <c r="H136" s="391" t="s">
        <v>15</v>
      </c>
      <c r="I136" s="391">
        <v>15</v>
      </c>
      <c r="J136" s="392" t="s">
        <v>36</v>
      </c>
      <c r="K136" s="393">
        <f>(14*26)+(1*17.4)</f>
        <v>381.4</v>
      </c>
      <c r="L136" s="228"/>
      <c r="M136" s="58"/>
      <c r="N136" s="229"/>
      <c r="O136" s="186" t="s">
        <v>1396</v>
      </c>
      <c r="P136" s="21">
        <v>15</v>
      </c>
      <c r="Q136" s="187">
        <v>381.4</v>
      </c>
      <c r="R136" s="22"/>
      <c r="S136" s="22"/>
      <c r="T136" s="23"/>
      <c r="U136" s="24"/>
      <c r="V136" s="24"/>
      <c r="W136" s="315"/>
      <c r="X136" s="123">
        <f t="shared" si="5"/>
        <v>0</v>
      </c>
      <c r="Y136" s="52"/>
      <c r="Z136" s="3"/>
    </row>
    <row r="137" spans="1:26">
      <c r="A137" s="390" t="s">
        <v>1381</v>
      </c>
      <c r="B137" s="391" t="s">
        <v>9</v>
      </c>
      <c r="C137" s="391">
        <v>39</v>
      </c>
      <c r="D137" s="391" t="s">
        <v>29</v>
      </c>
      <c r="E137" s="391">
        <v>111</v>
      </c>
      <c r="F137" s="391" t="s">
        <v>734</v>
      </c>
      <c r="G137" s="391" t="s">
        <v>105</v>
      </c>
      <c r="H137" s="391" t="s">
        <v>15</v>
      </c>
      <c r="I137" s="391">
        <v>20</v>
      </c>
      <c r="J137" s="392" t="s">
        <v>33</v>
      </c>
      <c r="K137" s="393">
        <f>(19*26)+(1*17.4)</f>
        <v>511.4</v>
      </c>
      <c r="L137" s="228"/>
      <c r="M137" s="58"/>
      <c r="N137" s="229"/>
      <c r="O137" s="186" t="s">
        <v>1393</v>
      </c>
      <c r="P137" s="21">
        <v>20</v>
      </c>
      <c r="Q137" s="187">
        <v>511.4</v>
      </c>
      <c r="R137" s="22"/>
      <c r="S137" s="22"/>
      <c r="T137" s="23"/>
      <c r="U137" s="24"/>
      <c r="V137" s="24"/>
      <c r="W137" s="315"/>
      <c r="X137" s="123">
        <f t="shared" si="5"/>
        <v>0</v>
      </c>
      <c r="Y137" s="52"/>
      <c r="Z137" s="3"/>
    </row>
    <row r="138" spans="1:26">
      <c r="A138" s="390" t="s">
        <v>1381</v>
      </c>
      <c r="B138" s="391" t="s">
        <v>9</v>
      </c>
      <c r="C138" s="391">
        <v>39</v>
      </c>
      <c r="D138" s="391" t="s">
        <v>29</v>
      </c>
      <c r="E138" s="391">
        <v>143</v>
      </c>
      <c r="F138" s="391" t="s">
        <v>645</v>
      </c>
      <c r="G138" s="391" t="s">
        <v>105</v>
      </c>
      <c r="H138" s="391" t="s">
        <v>15</v>
      </c>
      <c r="I138" s="391">
        <v>15</v>
      </c>
      <c r="J138" s="392" t="s">
        <v>36</v>
      </c>
      <c r="K138" s="393">
        <f>(14*26)+(1*17.4)</f>
        <v>381.4</v>
      </c>
      <c r="L138" s="228"/>
      <c r="M138" s="58"/>
      <c r="N138" s="229"/>
      <c r="O138" s="186" t="s">
        <v>1393</v>
      </c>
      <c r="P138" s="21">
        <v>15</v>
      </c>
      <c r="Q138" s="187">
        <v>381.4</v>
      </c>
      <c r="R138" s="22"/>
      <c r="S138" s="22"/>
      <c r="T138" s="23"/>
      <c r="U138" s="24"/>
      <c r="V138" s="24"/>
      <c r="W138" s="315"/>
      <c r="X138" s="123">
        <f t="shared" si="5"/>
        <v>0</v>
      </c>
      <c r="Y138" s="52"/>
      <c r="Z138" s="3"/>
    </row>
    <row r="139" spans="1:26">
      <c r="A139" s="390" t="s">
        <v>1381</v>
      </c>
      <c r="B139" s="391" t="s">
        <v>9</v>
      </c>
      <c r="C139" s="391">
        <v>39</v>
      </c>
      <c r="D139" s="391" t="s">
        <v>29</v>
      </c>
      <c r="E139" s="391">
        <v>146</v>
      </c>
      <c r="F139" s="391" t="s">
        <v>670</v>
      </c>
      <c r="G139" s="391" t="s">
        <v>887</v>
      </c>
      <c r="H139" s="391" t="s">
        <v>15</v>
      </c>
      <c r="I139" s="391">
        <v>15</v>
      </c>
      <c r="J139" s="392" t="s">
        <v>36</v>
      </c>
      <c r="K139" s="393">
        <f>(14*26)+(1*17.4)</f>
        <v>381.4</v>
      </c>
      <c r="L139" s="228"/>
      <c r="M139" s="58"/>
      <c r="N139" s="229"/>
      <c r="O139" s="21"/>
      <c r="P139" s="21"/>
      <c r="Q139" s="187"/>
      <c r="R139" s="295" t="s">
        <v>1382</v>
      </c>
      <c r="S139" s="22">
        <v>15</v>
      </c>
      <c r="T139" s="23">
        <v>381.4</v>
      </c>
      <c r="U139" s="24"/>
      <c r="V139" s="24"/>
      <c r="W139" s="315"/>
      <c r="X139" s="123">
        <f t="shared" si="5"/>
        <v>0</v>
      </c>
      <c r="Y139" s="52"/>
      <c r="Z139" s="3"/>
    </row>
    <row r="140" spans="1:26">
      <c r="A140" s="390" t="s">
        <v>1381</v>
      </c>
      <c r="B140" s="391" t="s">
        <v>9</v>
      </c>
      <c r="C140" s="391">
        <v>39</v>
      </c>
      <c r="D140" s="391" t="s">
        <v>29</v>
      </c>
      <c r="E140" s="391">
        <v>147</v>
      </c>
      <c r="F140" s="391" t="s">
        <v>627</v>
      </c>
      <c r="G140" s="391" t="s">
        <v>887</v>
      </c>
      <c r="H140" s="391" t="s">
        <v>15</v>
      </c>
      <c r="I140" s="391">
        <v>15</v>
      </c>
      <c r="J140" s="392" t="s">
        <v>36</v>
      </c>
      <c r="K140" s="393">
        <f>(14*26)+(1*17.4)</f>
        <v>381.4</v>
      </c>
      <c r="L140" s="228"/>
      <c r="M140" s="58"/>
      <c r="N140" s="229"/>
      <c r="O140" s="21"/>
      <c r="P140" s="21"/>
      <c r="Q140" s="187"/>
      <c r="R140" s="295" t="s">
        <v>1382</v>
      </c>
      <c r="S140" s="22">
        <v>15</v>
      </c>
      <c r="T140" s="23">
        <v>381.4</v>
      </c>
      <c r="U140" s="24"/>
      <c r="V140" s="24"/>
      <c r="W140" s="315"/>
      <c r="X140" s="123">
        <f t="shared" si="5"/>
        <v>0</v>
      </c>
      <c r="Y140" s="52"/>
      <c r="Z140" s="3"/>
    </row>
    <row r="141" spans="1:26">
      <c r="A141" s="390" t="s">
        <v>1381</v>
      </c>
      <c r="B141" s="391" t="s">
        <v>9</v>
      </c>
      <c r="C141" s="391">
        <v>39</v>
      </c>
      <c r="D141" s="391" t="s">
        <v>29</v>
      </c>
      <c r="E141" s="391">
        <v>148</v>
      </c>
      <c r="F141" s="391" t="s">
        <v>883</v>
      </c>
      <c r="G141" s="391" t="s">
        <v>887</v>
      </c>
      <c r="H141" s="391" t="s">
        <v>15</v>
      </c>
      <c r="I141" s="391">
        <v>35</v>
      </c>
      <c r="J141" s="392" t="s">
        <v>567</v>
      </c>
      <c r="K141" s="393">
        <f>(34*26)+(1*17.4)</f>
        <v>901.4</v>
      </c>
      <c r="L141" s="228"/>
      <c r="M141" s="58"/>
      <c r="N141" s="229"/>
      <c r="O141" s="186" t="s">
        <v>1393</v>
      </c>
      <c r="P141" s="21">
        <v>35</v>
      </c>
      <c r="Q141" s="188">
        <v>901.4</v>
      </c>
      <c r="R141" s="22"/>
      <c r="S141" s="22"/>
      <c r="T141" s="23"/>
      <c r="U141" s="24"/>
      <c r="V141" s="24"/>
      <c r="W141" s="315"/>
      <c r="X141" s="123">
        <f t="shared" si="5"/>
        <v>0</v>
      </c>
      <c r="Y141" s="52"/>
      <c r="Z141" s="3"/>
    </row>
    <row r="142" spans="1:26">
      <c r="A142" s="390" t="s">
        <v>1381</v>
      </c>
      <c r="B142" s="391" t="s">
        <v>9</v>
      </c>
      <c r="C142" s="391" t="s">
        <v>309</v>
      </c>
      <c r="D142" s="391"/>
      <c r="E142" s="391"/>
      <c r="F142" s="391" t="s">
        <v>888</v>
      </c>
      <c r="G142" s="391" t="s">
        <v>859</v>
      </c>
      <c r="H142" s="391" t="s">
        <v>814</v>
      </c>
      <c r="I142" s="391">
        <v>18</v>
      </c>
      <c r="J142" s="392" t="s">
        <v>890</v>
      </c>
      <c r="K142" s="393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1382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>
      <c r="A143" s="390" t="s">
        <v>1381</v>
      </c>
      <c r="B143" s="391" t="s">
        <v>9</v>
      </c>
      <c r="C143" s="391" t="s">
        <v>309</v>
      </c>
      <c r="D143" s="391"/>
      <c r="E143" s="391"/>
      <c r="F143" s="391" t="s">
        <v>889</v>
      </c>
      <c r="G143" s="391" t="s">
        <v>859</v>
      </c>
      <c r="H143" s="391" t="s">
        <v>5</v>
      </c>
      <c r="I143" s="391">
        <v>20</v>
      </c>
      <c r="J143" s="392" t="s">
        <v>134</v>
      </c>
      <c r="K143" s="393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1382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>
      <c r="A144" s="390" t="s">
        <v>1381</v>
      </c>
      <c r="B144" s="391" t="s">
        <v>129</v>
      </c>
      <c r="C144" s="391">
        <v>43</v>
      </c>
      <c r="D144" s="391" t="s">
        <v>55</v>
      </c>
      <c r="E144" s="391">
        <v>406</v>
      </c>
      <c r="F144" s="391" t="s">
        <v>682</v>
      </c>
      <c r="G144" s="391" t="s">
        <v>311</v>
      </c>
      <c r="H144" s="391" t="s">
        <v>5</v>
      </c>
      <c r="I144" s="391">
        <v>30</v>
      </c>
      <c r="J144" s="392" t="s">
        <v>894</v>
      </c>
      <c r="K144" s="393">
        <f>(28*34)+(2*26.3)</f>
        <v>1004.6</v>
      </c>
      <c r="L144" s="58"/>
      <c r="M144" s="58"/>
      <c r="N144" s="229"/>
      <c r="O144" s="186" t="s">
        <v>1382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>
      <c r="A145" s="390" t="s">
        <v>1381</v>
      </c>
      <c r="B145" s="391" t="s">
        <v>129</v>
      </c>
      <c r="C145" s="391">
        <v>43</v>
      </c>
      <c r="D145" s="391" t="s">
        <v>55</v>
      </c>
      <c r="E145" s="391">
        <v>490</v>
      </c>
      <c r="F145" s="391" t="s">
        <v>531</v>
      </c>
      <c r="G145" s="391" t="s">
        <v>808</v>
      </c>
      <c r="H145" s="391" t="s">
        <v>15</v>
      </c>
      <c r="I145" s="391">
        <v>21</v>
      </c>
      <c r="J145" s="392" t="s">
        <v>895</v>
      </c>
      <c r="K145" s="393">
        <f>(19*36)+(2*28.3)</f>
        <v>740.6</v>
      </c>
      <c r="L145" s="58"/>
      <c r="M145" s="58"/>
      <c r="N145" s="229"/>
      <c r="O145" s="186" t="s">
        <v>1382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>
      <c r="A146" s="390" t="s">
        <v>1381</v>
      </c>
      <c r="B146" s="391" t="s">
        <v>129</v>
      </c>
      <c r="C146" s="391">
        <v>43</v>
      </c>
      <c r="D146" s="391" t="s">
        <v>55</v>
      </c>
      <c r="E146" s="391">
        <v>556</v>
      </c>
      <c r="F146" s="391" t="s">
        <v>123</v>
      </c>
      <c r="G146" s="391" t="s">
        <v>176</v>
      </c>
      <c r="H146" s="391" t="s">
        <v>5</v>
      </c>
      <c r="I146" s="391">
        <v>15</v>
      </c>
      <c r="J146" s="392" t="s">
        <v>353</v>
      </c>
      <c r="K146" s="393">
        <f>(14*34)+(1*26.3)</f>
        <v>502.3</v>
      </c>
      <c r="L146" s="228"/>
      <c r="M146" s="58"/>
      <c r="N146" s="229"/>
      <c r="O146" s="186" t="s">
        <v>1382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>
      <c r="A147" s="390" t="s">
        <v>1381</v>
      </c>
      <c r="B147" s="391" t="s">
        <v>129</v>
      </c>
      <c r="C147" s="391">
        <v>43</v>
      </c>
      <c r="D147" s="391" t="s">
        <v>55</v>
      </c>
      <c r="E147" s="391">
        <v>559</v>
      </c>
      <c r="F147" s="391" t="s">
        <v>672</v>
      </c>
      <c r="G147" s="391" t="s">
        <v>176</v>
      </c>
      <c r="H147" s="391" t="s">
        <v>15</v>
      </c>
      <c r="I147" s="391">
        <v>15</v>
      </c>
      <c r="J147" s="392" t="s">
        <v>137</v>
      </c>
      <c r="K147" s="393">
        <f>(15*35)</f>
        <v>525</v>
      </c>
      <c r="L147" s="228"/>
      <c r="M147" s="58"/>
      <c r="N147" s="229"/>
      <c r="O147" s="186" t="s">
        <v>1382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>
      <c r="A148" s="390" t="s">
        <v>1381</v>
      </c>
      <c r="B148" s="391" t="s">
        <v>129</v>
      </c>
      <c r="C148" s="391">
        <v>43</v>
      </c>
      <c r="D148" s="391" t="s">
        <v>55</v>
      </c>
      <c r="E148" s="391">
        <v>563</v>
      </c>
      <c r="F148" s="391" t="s">
        <v>472</v>
      </c>
      <c r="G148" s="391" t="s">
        <v>176</v>
      </c>
      <c r="H148" s="391" t="s">
        <v>15</v>
      </c>
      <c r="I148" s="391">
        <v>15</v>
      </c>
      <c r="J148" s="392" t="s">
        <v>137</v>
      </c>
      <c r="K148" s="393">
        <f>(15*35)</f>
        <v>525</v>
      </c>
      <c r="L148" s="228"/>
      <c r="M148" s="58"/>
      <c r="N148" s="229"/>
      <c r="O148" s="186" t="s">
        <v>1382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 ht="15.75" thickBot="1">
      <c r="A149" s="390" t="s">
        <v>1381</v>
      </c>
      <c r="B149" s="394" t="s">
        <v>129</v>
      </c>
      <c r="C149" s="394">
        <v>43</v>
      </c>
      <c r="D149" s="394" t="s">
        <v>55</v>
      </c>
      <c r="E149" s="394">
        <v>564</v>
      </c>
      <c r="F149" s="394" t="s">
        <v>334</v>
      </c>
      <c r="G149" s="394" t="s">
        <v>176</v>
      </c>
      <c r="H149" s="394" t="s">
        <v>15</v>
      </c>
      <c r="I149" s="394">
        <v>15</v>
      </c>
      <c r="J149" s="395" t="s">
        <v>137</v>
      </c>
      <c r="K149" s="396">
        <f>(15*35)</f>
        <v>525</v>
      </c>
      <c r="L149" s="58"/>
      <c r="M149" s="58"/>
      <c r="N149" s="229"/>
      <c r="O149" s="186" t="s">
        <v>1382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>
      <c r="A150" s="390" t="s">
        <v>1381</v>
      </c>
      <c r="B150" s="387" t="s">
        <v>129</v>
      </c>
      <c r="C150" s="387">
        <v>43</v>
      </c>
      <c r="D150" s="387" t="s">
        <v>55</v>
      </c>
      <c r="E150" s="387">
        <v>636</v>
      </c>
      <c r="F150" s="387" t="s">
        <v>692</v>
      </c>
      <c r="G150" s="387" t="s">
        <v>655</v>
      </c>
      <c r="H150" s="387" t="s">
        <v>5</v>
      </c>
      <c r="I150" s="387">
        <v>15</v>
      </c>
      <c r="J150" s="388" t="s">
        <v>93</v>
      </c>
      <c r="K150" s="389">
        <f>(15*38)</f>
        <v>570</v>
      </c>
      <c r="L150" s="58"/>
      <c r="M150" s="58"/>
      <c r="N150" s="229"/>
      <c r="O150" s="186" t="s">
        <v>1382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>
      <c r="A151" s="390" t="s">
        <v>1381</v>
      </c>
      <c r="B151" s="391" t="s">
        <v>129</v>
      </c>
      <c r="C151" s="391">
        <v>43</v>
      </c>
      <c r="D151" s="391" t="s">
        <v>55</v>
      </c>
      <c r="E151" s="391">
        <v>639</v>
      </c>
      <c r="F151" s="391" t="s">
        <v>892</v>
      </c>
      <c r="G151" s="391" t="s">
        <v>655</v>
      </c>
      <c r="H151" s="391" t="s">
        <v>15</v>
      </c>
      <c r="I151" s="391">
        <v>15</v>
      </c>
      <c r="J151" s="392" t="s">
        <v>666</v>
      </c>
      <c r="K151" s="393">
        <f>(14*40)+(1*32.3)</f>
        <v>592.29999999999995</v>
      </c>
      <c r="L151" s="58"/>
      <c r="M151" s="58"/>
      <c r="N151" s="229"/>
      <c r="O151" s="186" t="s">
        <v>1382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>
      <c r="A152" s="390" t="s">
        <v>1381</v>
      </c>
      <c r="B152" s="391" t="s">
        <v>129</v>
      </c>
      <c r="C152" s="391">
        <v>43</v>
      </c>
      <c r="D152" s="391" t="s">
        <v>55</v>
      </c>
      <c r="E152" s="391">
        <v>659</v>
      </c>
      <c r="F152" s="391" t="s">
        <v>893</v>
      </c>
      <c r="G152" s="391" t="s">
        <v>891</v>
      </c>
      <c r="H152" s="391" t="s">
        <v>15</v>
      </c>
      <c r="I152" s="391">
        <v>20</v>
      </c>
      <c r="J152" s="392" t="s">
        <v>437</v>
      </c>
      <c r="K152" s="393">
        <f>(19*32)+(1*27.7)</f>
        <v>635.70000000000005</v>
      </c>
      <c r="L152" s="58"/>
      <c r="M152" s="58"/>
      <c r="N152" s="229"/>
      <c r="O152" s="186" t="s">
        <v>1382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>
      <c r="A153" s="356" t="s">
        <v>1381</v>
      </c>
      <c r="B153" s="352" t="s">
        <v>129</v>
      </c>
      <c r="C153" s="352">
        <v>41</v>
      </c>
      <c r="D153" s="352" t="s">
        <v>7</v>
      </c>
      <c r="E153" s="358">
        <v>5026</v>
      </c>
      <c r="F153" s="352" t="s">
        <v>901</v>
      </c>
      <c r="G153" s="352" t="s">
        <v>774</v>
      </c>
      <c r="H153" s="358" t="s">
        <v>550</v>
      </c>
      <c r="I153" s="358">
        <v>10</v>
      </c>
      <c r="J153" s="353" t="s">
        <v>907</v>
      </c>
      <c r="K153" s="357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>
      <c r="A154" s="390" t="s">
        <v>1381</v>
      </c>
      <c r="B154" s="391" t="s">
        <v>129</v>
      </c>
      <c r="C154" s="391">
        <v>41</v>
      </c>
      <c r="D154" s="391" t="s">
        <v>7</v>
      </c>
      <c r="E154" s="391">
        <v>5052</v>
      </c>
      <c r="F154" s="391" t="s">
        <v>902</v>
      </c>
      <c r="G154" s="391" t="s">
        <v>547</v>
      </c>
      <c r="H154" s="391" t="s">
        <v>549</v>
      </c>
      <c r="I154" s="391">
        <v>10</v>
      </c>
      <c r="J154" s="392" t="s">
        <v>908</v>
      </c>
      <c r="K154" s="393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1389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>
      <c r="A155" s="356" t="s">
        <v>1381</v>
      </c>
      <c r="B155" s="352" t="s">
        <v>129</v>
      </c>
      <c r="C155" s="352">
        <v>41</v>
      </c>
      <c r="D155" s="352" t="s">
        <v>7</v>
      </c>
      <c r="E155" s="358">
        <v>5064</v>
      </c>
      <c r="F155" s="352" t="s">
        <v>903</v>
      </c>
      <c r="G155" s="352" t="s">
        <v>547</v>
      </c>
      <c r="H155" s="358" t="s">
        <v>778</v>
      </c>
      <c r="I155" s="358">
        <v>20</v>
      </c>
      <c r="J155" s="353" t="s">
        <v>909</v>
      </c>
      <c r="K155" s="357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>
      <c r="A156" s="356" t="s">
        <v>1381</v>
      </c>
      <c r="B156" s="352" t="s">
        <v>129</v>
      </c>
      <c r="C156" s="352">
        <v>41</v>
      </c>
      <c r="D156" s="352" t="s">
        <v>7</v>
      </c>
      <c r="E156" s="358">
        <v>5073</v>
      </c>
      <c r="F156" s="352" t="s">
        <v>904</v>
      </c>
      <c r="G156" s="352" t="s">
        <v>775</v>
      </c>
      <c r="H156" s="358" t="s">
        <v>778</v>
      </c>
      <c r="I156" s="358">
        <v>10</v>
      </c>
      <c r="J156" s="353" t="s">
        <v>910</v>
      </c>
      <c r="K156" s="357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>
      <c r="A157" s="390" t="s">
        <v>1381</v>
      </c>
      <c r="B157" s="391" t="s">
        <v>9</v>
      </c>
      <c r="C157" s="391">
        <v>39</v>
      </c>
      <c r="D157" s="391" t="s">
        <v>16</v>
      </c>
      <c r="E157" s="391">
        <v>202</v>
      </c>
      <c r="F157" s="391" t="s">
        <v>450</v>
      </c>
      <c r="G157" s="391" t="s">
        <v>94</v>
      </c>
      <c r="H157" s="391" t="s">
        <v>15</v>
      </c>
      <c r="I157" s="391">
        <v>20</v>
      </c>
      <c r="J157" s="392" t="s">
        <v>17</v>
      </c>
      <c r="K157" s="393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1382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>
      <c r="A158" s="390" t="s">
        <v>1381</v>
      </c>
      <c r="B158" s="391" t="s">
        <v>9</v>
      </c>
      <c r="C158" s="391">
        <v>39</v>
      </c>
      <c r="D158" s="391" t="s">
        <v>16</v>
      </c>
      <c r="E158" s="391">
        <v>203</v>
      </c>
      <c r="F158" s="391" t="s">
        <v>479</v>
      </c>
      <c r="G158" s="391" t="s">
        <v>94</v>
      </c>
      <c r="H158" s="391" t="s">
        <v>15</v>
      </c>
      <c r="I158" s="391">
        <v>20</v>
      </c>
      <c r="J158" s="392" t="s">
        <v>17</v>
      </c>
      <c r="K158" s="393">
        <f t="shared" si="6"/>
        <v>691.4</v>
      </c>
      <c r="L158" s="58"/>
      <c r="M158" s="58"/>
      <c r="N158" s="229"/>
      <c r="O158" s="186"/>
      <c r="P158" s="21"/>
      <c r="Q158" s="187"/>
      <c r="R158" s="295" t="s">
        <v>1382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>
      <c r="A159" s="390" t="s">
        <v>1381</v>
      </c>
      <c r="B159" s="391" t="s">
        <v>9</v>
      </c>
      <c r="C159" s="391">
        <v>39</v>
      </c>
      <c r="D159" s="391" t="s">
        <v>16</v>
      </c>
      <c r="E159" s="391">
        <v>206</v>
      </c>
      <c r="F159" s="391" t="s">
        <v>911</v>
      </c>
      <c r="G159" s="391" t="s">
        <v>94</v>
      </c>
      <c r="H159" s="391" t="s">
        <v>15</v>
      </c>
      <c r="I159" s="391">
        <v>20</v>
      </c>
      <c r="J159" s="392" t="s">
        <v>17</v>
      </c>
      <c r="K159" s="393">
        <f t="shared" si="6"/>
        <v>691.4</v>
      </c>
      <c r="L159" s="58"/>
      <c r="M159" s="58"/>
      <c r="N159" s="229"/>
      <c r="O159" s="186" t="s">
        <v>1396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>
      <c r="A160" s="390" t="s">
        <v>1381</v>
      </c>
      <c r="B160" s="391" t="s">
        <v>9</v>
      </c>
      <c r="C160" s="391">
        <v>39</v>
      </c>
      <c r="D160" s="391" t="s">
        <v>16</v>
      </c>
      <c r="E160" s="391">
        <v>207</v>
      </c>
      <c r="F160" s="391" t="s">
        <v>912</v>
      </c>
      <c r="G160" s="391" t="s">
        <v>94</v>
      </c>
      <c r="H160" s="391" t="s">
        <v>814</v>
      </c>
      <c r="I160" s="391">
        <v>20</v>
      </c>
      <c r="J160" s="392" t="s">
        <v>17</v>
      </c>
      <c r="K160" s="393">
        <f t="shared" si="6"/>
        <v>691.4</v>
      </c>
      <c r="L160" s="58"/>
      <c r="M160" s="58"/>
      <c r="N160" s="229"/>
      <c r="O160" s="186" t="s">
        <v>1393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>
      <c r="A161" s="390" t="s">
        <v>1381</v>
      </c>
      <c r="B161" s="391" t="s">
        <v>9</v>
      </c>
      <c r="C161" s="391">
        <v>39</v>
      </c>
      <c r="D161" s="391" t="s">
        <v>16</v>
      </c>
      <c r="E161" s="391">
        <v>208</v>
      </c>
      <c r="F161" s="391" t="s">
        <v>512</v>
      </c>
      <c r="G161" s="391" t="s">
        <v>94</v>
      </c>
      <c r="H161" s="391" t="s">
        <v>814</v>
      </c>
      <c r="I161" s="391">
        <v>20</v>
      </c>
      <c r="J161" s="392" t="s">
        <v>17</v>
      </c>
      <c r="K161" s="393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1382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>
      <c r="A162" s="390" t="s">
        <v>1381</v>
      </c>
      <c r="B162" s="391" t="s">
        <v>9</v>
      </c>
      <c r="C162" s="391">
        <v>39</v>
      </c>
      <c r="D162" s="391" t="s">
        <v>16</v>
      </c>
      <c r="E162" s="391">
        <v>209</v>
      </c>
      <c r="F162" s="391" t="s">
        <v>913</v>
      </c>
      <c r="G162" s="391" t="s">
        <v>94</v>
      </c>
      <c r="H162" s="391" t="s">
        <v>814</v>
      </c>
      <c r="I162" s="391">
        <v>20</v>
      </c>
      <c r="J162" s="392" t="s">
        <v>17</v>
      </c>
      <c r="K162" s="393">
        <f t="shared" si="6"/>
        <v>691.4</v>
      </c>
      <c r="L162" s="58"/>
      <c r="M162" s="58"/>
      <c r="N162" s="229"/>
      <c r="O162" s="186" t="s">
        <v>1396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>
      <c r="A163" s="390" t="s">
        <v>1381</v>
      </c>
      <c r="B163" s="391" t="s">
        <v>9</v>
      </c>
      <c r="C163" s="391">
        <v>39</v>
      </c>
      <c r="D163" s="391" t="s">
        <v>16</v>
      </c>
      <c r="E163" s="391">
        <v>248</v>
      </c>
      <c r="F163" s="391" t="s">
        <v>324</v>
      </c>
      <c r="G163" s="391" t="s">
        <v>106</v>
      </c>
      <c r="H163" s="391" t="s">
        <v>5</v>
      </c>
      <c r="I163" s="391">
        <v>20</v>
      </c>
      <c r="J163" s="392" t="s">
        <v>30</v>
      </c>
      <c r="K163" s="393">
        <f>+(19*38)+(1*29.4)</f>
        <v>751.4</v>
      </c>
      <c r="L163" s="58"/>
      <c r="M163" s="58"/>
      <c r="N163" s="229"/>
      <c r="O163" s="186" t="s">
        <v>1393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>
      <c r="A164" s="390" t="s">
        <v>1381</v>
      </c>
      <c r="B164" s="391" t="s">
        <v>9</v>
      </c>
      <c r="C164" s="391">
        <v>39</v>
      </c>
      <c r="D164" s="391" t="s">
        <v>16</v>
      </c>
      <c r="E164" s="391">
        <v>250</v>
      </c>
      <c r="F164" s="391" t="s">
        <v>541</v>
      </c>
      <c r="G164" s="391" t="s">
        <v>106</v>
      </c>
      <c r="H164" s="391" t="s">
        <v>15</v>
      </c>
      <c r="I164" s="391">
        <v>20</v>
      </c>
      <c r="J164" s="392" t="s">
        <v>30</v>
      </c>
      <c r="K164" s="393">
        <f>+(19*38)+(1*29.4)</f>
        <v>751.4</v>
      </c>
      <c r="L164" s="58"/>
      <c r="M164" s="58"/>
      <c r="N164" s="229"/>
      <c r="O164" s="186" t="s">
        <v>1393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>
      <c r="A165" s="390" t="s">
        <v>1381</v>
      </c>
      <c r="B165" s="391" t="s">
        <v>9</v>
      </c>
      <c r="C165" s="391">
        <v>39</v>
      </c>
      <c r="D165" s="391" t="s">
        <v>16</v>
      </c>
      <c r="E165" s="391">
        <v>254</v>
      </c>
      <c r="F165" s="391" t="s">
        <v>914</v>
      </c>
      <c r="G165" s="391" t="s">
        <v>106</v>
      </c>
      <c r="H165" s="391" t="s">
        <v>15</v>
      </c>
      <c r="I165" s="391">
        <v>20</v>
      </c>
      <c r="J165" s="392" t="s">
        <v>30</v>
      </c>
      <c r="K165" s="393">
        <f>+(19*38)+(1*29.4)</f>
        <v>751.4</v>
      </c>
      <c r="L165" s="58"/>
      <c r="M165" s="58"/>
      <c r="N165" s="229"/>
      <c r="O165" s="186" t="s">
        <v>1396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>
      <c r="A166" s="390" t="s">
        <v>1381</v>
      </c>
      <c r="B166" s="391" t="s">
        <v>9</v>
      </c>
      <c r="C166" s="391">
        <v>39</v>
      </c>
      <c r="D166" s="391" t="s">
        <v>16</v>
      </c>
      <c r="E166" s="391">
        <v>333</v>
      </c>
      <c r="F166" s="391" t="s">
        <v>621</v>
      </c>
      <c r="G166" s="391" t="s">
        <v>178</v>
      </c>
      <c r="H166" s="391" t="s">
        <v>15</v>
      </c>
      <c r="I166" s="391">
        <v>20</v>
      </c>
      <c r="J166" s="392" t="s">
        <v>17</v>
      </c>
      <c r="K166" s="393">
        <f>(19*35)+(1*26.4)</f>
        <v>691.4</v>
      </c>
      <c r="L166" s="58"/>
      <c r="M166" s="58"/>
      <c r="N166" s="229"/>
      <c r="O166" s="186"/>
      <c r="P166" s="21"/>
      <c r="Q166" s="187"/>
      <c r="R166" s="295" t="s">
        <v>1382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>
      <c r="A167" s="390" t="s">
        <v>1381</v>
      </c>
      <c r="B167" s="391" t="s">
        <v>9</v>
      </c>
      <c r="C167" s="391">
        <v>39</v>
      </c>
      <c r="D167" s="391" t="s">
        <v>16</v>
      </c>
      <c r="E167" s="391">
        <v>334</v>
      </c>
      <c r="F167" s="391" t="s">
        <v>750</v>
      </c>
      <c r="G167" s="391" t="s">
        <v>178</v>
      </c>
      <c r="H167" s="391" t="s">
        <v>15</v>
      </c>
      <c r="I167" s="391">
        <v>20</v>
      </c>
      <c r="J167" s="392" t="s">
        <v>17</v>
      </c>
      <c r="K167" s="393">
        <f>(19*35)+(1*26.4)</f>
        <v>691.4</v>
      </c>
      <c r="L167" s="58"/>
      <c r="M167" s="58"/>
      <c r="N167" s="229"/>
      <c r="O167" s="186" t="s">
        <v>1396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>
      <c r="A168" s="390" t="s">
        <v>1381</v>
      </c>
      <c r="B168" s="391" t="s">
        <v>9</v>
      </c>
      <c r="C168" s="391">
        <v>39</v>
      </c>
      <c r="D168" s="391" t="s">
        <v>16</v>
      </c>
      <c r="E168" s="391">
        <v>365</v>
      </c>
      <c r="F168" s="391" t="s">
        <v>414</v>
      </c>
      <c r="G168" s="391" t="s">
        <v>131</v>
      </c>
      <c r="H168" s="391" t="s">
        <v>15</v>
      </c>
      <c r="I168" s="391">
        <v>20</v>
      </c>
      <c r="J168" s="392" t="s">
        <v>30</v>
      </c>
      <c r="K168" s="393">
        <f>+(19*38)+(1*29.4)</f>
        <v>751.4</v>
      </c>
      <c r="L168" s="58"/>
      <c r="M168" s="58"/>
      <c r="N168" s="229"/>
      <c r="O168" s="186" t="s">
        <v>1393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>
      <c r="A169" s="390" t="s">
        <v>1381</v>
      </c>
      <c r="B169" s="391" t="s">
        <v>9</v>
      </c>
      <c r="C169" s="391">
        <v>39</v>
      </c>
      <c r="D169" s="391" t="s">
        <v>16</v>
      </c>
      <c r="E169" s="391">
        <v>367</v>
      </c>
      <c r="F169" s="391" t="s">
        <v>882</v>
      </c>
      <c r="G169" s="391" t="s">
        <v>131</v>
      </c>
      <c r="H169" s="391" t="s">
        <v>15</v>
      </c>
      <c r="I169" s="391">
        <v>20</v>
      </c>
      <c r="J169" s="392" t="s">
        <v>30</v>
      </c>
      <c r="K169" s="393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1382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>
      <c r="A170" s="390" t="s">
        <v>1381</v>
      </c>
      <c r="B170" s="391" t="s">
        <v>9</v>
      </c>
      <c r="C170" s="391">
        <v>39</v>
      </c>
      <c r="D170" s="391" t="s">
        <v>16</v>
      </c>
      <c r="E170" s="391">
        <v>400</v>
      </c>
      <c r="F170" s="391" t="s">
        <v>321</v>
      </c>
      <c r="G170" s="391" t="s">
        <v>916</v>
      </c>
      <c r="H170" s="391" t="s">
        <v>15</v>
      </c>
      <c r="I170" s="391">
        <v>25</v>
      </c>
      <c r="J170" s="392" t="s">
        <v>143</v>
      </c>
      <c r="K170" s="393">
        <f>(25*38)</f>
        <v>950</v>
      </c>
      <c r="L170" s="58"/>
      <c r="M170" s="58"/>
      <c r="N170" s="229"/>
      <c r="O170" s="186" t="s">
        <v>1396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>
      <c r="A171" s="390" t="s">
        <v>1381</v>
      </c>
      <c r="B171" s="391" t="s">
        <v>9</v>
      </c>
      <c r="C171" s="391">
        <v>39</v>
      </c>
      <c r="D171" s="391" t="s">
        <v>16</v>
      </c>
      <c r="E171" s="391">
        <v>404</v>
      </c>
      <c r="F171" s="391" t="s">
        <v>416</v>
      </c>
      <c r="G171" s="391" t="s">
        <v>916</v>
      </c>
      <c r="H171" s="391" t="s">
        <v>15</v>
      </c>
      <c r="I171" s="391">
        <v>20</v>
      </c>
      <c r="J171" s="392" t="s">
        <v>30</v>
      </c>
      <c r="K171" s="393">
        <f>+(19*38)+(1*29.4)</f>
        <v>751.4</v>
      </c>
      <c r="L171" s="58"/>
      <c r="M171" s="58"/>
      <c r="N171" s="229"/>
      <c r="O171" s="186" t="s">
        <v>1396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>
      <c r="A172" s="390" t="s">
        <v>1381</v>
      </c>
      <c r="B172" s="391" t="s">
        <v>9</v>
      </c>
      <c r="C172" s="391">
        <v>39</v>
      </c>
      <c r="D172" s="391" t="s">
        <v>16</v>
      </c>
      <c r="E172" s="391">
        <v>522</v>
      </c>
      <c r="F172" s="391" t="s">
        <v>336</v>
      </c>
      <c r="G172" s="391" t="s">
        <v>111</v>
      </c>
      <c r="H172" s="391" t="s">
        <v>15</v>
      </c>
      <c r="I172" s="391">
        <v>15</v>
      </c>
      <c r="J172" s="392" t="s">
        <v>116</v>
      </c>
      <c r="K172" s="393">
        <f>(14*34)+(1*25.4)</f>
        <v>501.4</v>
      </c>
      <c r="L172" s="58"/>
      <c r="M172" s="58"/>
      <c r="N172" s="229"/>
      <c r="O172" s="186"/>
      <c r="P172" s="21"/>
      <c r="Q172" s="187"/>
      <c r="R172" s="295" t="s">
        <v>1382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>
      <c r="A173" s="390" t="s">
        <v>1381</v>
      </c>
      <c r="B173" s="391" t="s">
        <v>9</v>
      </c>
      <c r="C173" s="391">
        <v>39</v>
      </c>
      <c r="D173" s="391" t="s">
        <v>16</v>
      </c>
      <c r="E173" s="391">
        <v>523</v>
      </c>
      <c r="F173" s="391" t="s">
        <v>915</v>
      </c>
      <c r="G173" s="391" t="s">
        <v>111</v>
      </c>
      <c r="H173" s="391" t="s">
        <v>15</v>
      </c>
      <c r="I173" s="391">
        <v>20</v>
      </c>
      <c r="J173" s="392" t="s">
        <v>133</v>
      </c>
      <c r="K173" s="393">
        <f>(20*34)</f>
        <v>680</v>
      </c>
      <c r="L173" s="228"/>
      <c r="M173" s="58"/>
      <c r="N173" s="229"/>
      <c r="O173" s="186" t="s">
        <v>1393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>
      <c r="A174" s="390" t="s">
        <v>1381</v>
      </c>
      <c r="B174" s="391" t="s">
        <v>9</v>
      </c>
      <c r="C174" s="391">
        <v>39</v>
      </c>
      <c r="D174" s="391" t="s">
        <v>16</v>
      </c>
      <c r="E174" s="391">
        <v>9</v>
      </c>
      <c r="F174" s="391" t="s">
        <v>207</v>
      </c>
      <c r="G174" s="391" t="s">
        <v>35</v>
      </c>
      <c r="H174" s="391" t="s">
        <v>5</v>
      </c>
      <c r="I174" s="391">
        <v>20</v>
      </c>
      <c r="J174" s="392" t="s">
        <v>33</v>
      </c>
      <c r="K174" s="393">
        <f>(19*26)+(1*17.4)</f>
        <v>511.4</v>
      </c>
      <c r="L174" s="58"/>
      <c r="M174" s="58"/>
      <c r="N174" s="229"/>
      <c r="O174" s="186" t="s">
        <v>1393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>
      <c r="A175" s="390" t="s">
        <v>1381</v>
      </c>
      <c r="B175" s="391" t="s">
        <v>9</v>
      </c>
      <c r="C175" s="391">
        <v>39</v>
      </c>
      <c r="D175" s="391" t="s">
        <v>16</v>
      </c>
      <c r="E175" s="391">
        <v>10</v>
      </c>
      <c r="F175" s="391" t="s">
        <v>414</v>
      </c>
      <c r="G175" s="391" t="s">
        <v>35</v>
      </c>
      <c r="H175" s="391" t="s">
        <v>5</v>
      </c>
      <c r="I175" s="391">
        <v>20</v>
      </c>
      <c r="J175" s="392" t="s">
        <v>33</v>
      </c>
      <c r="K175" s="393">
        <f>(19*26)+(1*17.4)</f>
        <v>511.4</v>
      </c>
      <c r="L175" s="58"/>
      <c r="M175" s="58"/>
      <c r="N175" s="229"/>
      <c r="O175" s="186" t="s">
        <v>1396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>
      <c r="A176" s="390" t="s">
        <v>1381</v>
      </c>
      <c r="B176" s="391" t="s">
        <v>9</v>
      </c>
      <c r="C176" s="391">
        <v>39</v>
      </c>
      <c r="D176" s="391" t="s">
        <v>16</v>
      </c>
      <c r="E176" s="391">
        <v>36</v>
      </c>
      <c r="F176" s="391" t="s">
        <v>312</v>
      </c>
      <c r="G176" s="391" t="s">
        <v>620</v>
      </c>
      <c r="H176" s="391" t="s">
        <v>5</v>
      </c>
      <c r="I176" s="391">
        <v>20</v>
      </c>
      <c r="J176" s="392" t="s">
        <v>30</v>
      </c>
      <c r="K176" s="393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1382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>
      <c r="A177" s="390" t="s">
        <v>1381</v>
      </c>
      <c r="B177" s="391" t="s">
        <v>9</v>
      </c>
      <c r="C177" s="391">
        <v>39</v>
      </c>
      <c r="D177" s="391" t="s">
        <v>16</v>
      </c>
      <c r="E177" s="391">
        <v>37</v>
      </c>
      <c r="F177" s="391" t="s">
        <v>917</v>
      </c>
      <c r="G177" s="391" t="s">
        <v>620</v>
      </c>
      <c r="H177" s="391" t="s">
        <v>5</v>
      </c>
      <c r="I177" s="391">
        <v>10</v>
      </c>
      <c r="J177" s="392" t="s">
        <v>26</v>
      </c>
      <c r="K177" s="393">
        <f>(9*38)+(1*29.4)</f>
        <v>371.4</v>
      </c>
      <c r="L177" s="58"/>
      <c r="M177" s="58"/>
      <c r="N177" s="229"/>
      <c r="O177" s="186"/>
      <c r="P177" s="21"/>
      <c r="Q177" s="187"/>
      <c r="R177" s="295" t="s">
        <v>1382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>
      <c r="A178" s="390" t="s">
        <v>1381</v>
      </c>
      <c r="B178" s="391" t="s">
        <v>9</v>
      </c>
      <c r="C178" s="391">
        <v>39</v>
      </c>
      <c r="D178" s="391" t="s">
        <v>16</v>
      </c>
      <c r="E178" s="391">
        <v>59</v>
      </c>
      <c r="F178" s="391" t="s">
        <v>625</v>
      </c>
      <c r="G178" s="391" t="s">
        <v>27</v>
      </c>
      <c r="H178" s="391" t="s">
        <v>5</v>
      </c>
      <c r="I178" s="391">
        <v>25</v>
      </c>
      <c r="J178" s="392" t="s">
        <v>143</v>
      </c>
      <c r="K178" s="393">
        <f>(25*38)</f>
        <v>950</v>
      </c>
      <c r="L178" s="58"/>
      <c r="M178" s="58"/>
      <c r="N178" s="229"/>
      <c r="O178" s="186" t="s">
        <v>1389</v>
      </c>
      <c r="P178" s="21">
        <v>25</v>
      </c>
      <c r="Q178" s="187">
        <v>950</v>
      </c>
      <c r="R178" s="295"/>
      <c r="S178" s="22"/>
      <c r="T178" s="23"/>
      <c r="U178" s="24"/>
      <c r="V178" s="24"/>
      <c r="W178" s="315"/>
      <c r="X178" s="123">
        <f t="shared" si="5"/>
        <v>0</v>
      </c>
      <c r="Y178" s="52"/>
      <c r="Z178" s="3"/>
    </row>
    <row r="179" spans="1:26">
      <c r="A179" s="390" t="s">
        <v>1381</v>
      </c>
      <c r="B179" s="391" t="s">
        <v>9</v>
      </c>
      <c r="C179" s="391">
        <v>39</v>
      </c>
      <c r="D179" s="391" t="s">
        <v>16</v>
      </c>
      <c r="E179" s="391">
        <v>61</v>
      </c>
      <c r="F179" s="391" t="s">
        <v>618</v>
      </c>
      <c r="G179" s="391" t="s">
        <v>27</v>
      </c>
      <c r="H179" s="391" t="s">
        <v>5</v>
      </c>
      <c r="I179" s="391">
        <v>25</v>
      </c>
      <c r="J179" s="392" t="s">
        <v>143</v>
      </c>
      <c r="K179" s="393">
        <f>(25*38)</f>
        <v>950</v>
      </c>
      <c r="L179" s="58"/>
      <c r="M179" s="58"/>
      <c r="N179" s="229"/>
      <c r="O179" s="21"/>
      <c r="P179" s="21"/>
      <c r="Q179" s="187"/>
      <c r="R179" s="295" t="s">
        <v>1382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>
      <c r="A180" s="390" t="s">
        <v>1381</v>
      </c>
      <c r="B180" s="391" t="s">
        <v>9</v>
      </c>
      <c r="C180" s="391">
        <v>39</v>
      </c>
      <c r="D180" s="391" t="s">
        <v>16</v>
      </c>
      <c r="E180" s="391">
        <v>72</v>
      </c>
      <c r="F180" s="391" t="s">
        <v>821</v>
      </c>
      <c r="G180" s="391" t="s">
        <v>27</v>
      </c>
      <c r="H180" s="391" t="s">
        <v>814</v>
      </c>
      <c r="I180" s="391">
        <v>15</v>
      </c>
      <c r="J180" s="392" t="s">
        <v>14</v>
      </c>
      <c r="K180" s="393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1382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>
      <c r="A181" s="390" t="s">
        <v>1381</v>
      </c>
      <c r="B181" s="391" t="s">
        <v>9</v>
      </c>
      <c r="C181" s="391">
        <v>39</v>
      </c>
      <c r="D181" s="391" t="s">
        <v>16</v>
      </c>
      <c r="E181" s="391">
        <v>96</v>
      </c>
      <c r="F181" s="391" t="s">
        <v>211</v>
      </c>
      <c r="G181" s="391" t="s">
        <v>113</v>
      </c>
      <c r="H181" s="391" t="s">
        <v>15</v>
      </c>
      <c r="I181" s="391">
        <v>15</v>
      </c>
      <c r="J181" s="392" t="s">
        <v>13</v>
      </c>
      <c r="K181" s="393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1382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>
      <c r="A182" s="390" t="s">
        <v>1381</v>
      </c>
      <c r="B182" s="391" t="s">
        <v>9</v>
      </c>
      <c r="C182" s="391">
        <v>39</v>
      </c>
      <c r="D182" s="391" t="s">
        <v>16</v>
      </c>
      <c r="E182" s="391">
        <v>108</v>
      </c>
      <c r="F182" s="391" t="s">
        <v>815</v>
      </c>
      <c r="G182" s="391" t="s">
        <v>292</v>
      </c>
      <c r="H182" s="391" t="s">
        <v>15</v>
      </c>
      <c r="I182" s="391">
        <v>20</v>
      </c>
      <c r="J182" s="392" t="s">
        <v>40</v>
      </c>
      <c r="K182" s="393">
        <f>(18*38)+(2*29.4)</f>
        <v>742.8</v>
      </c>
      <c r="L182" s="58"/>
      <c r="M182" s="58"/>
      <c r="N182" s="229"/>
      <c r="O182" s="186" t="s">
        <v>1389</v>
      </c>
      <c r="P182" s="21">
        <v>20</v>
      </c>
      <c r="Q182" s="187">
        <v>742.8</v>
      </c>
      <c r="R182" s="295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>
      <c r="A183" s="390" t="s">
        <v>1381</v>
      </c>
      <c r="B183" s="391" t="s">
        <v>9</v>
      </c>
      <c r="C183" s="391">
        <v>39</v>
      </c>
      <c r="D183" s="391" t="s">
        <v>16</v>
      </c>
      <c r="E183" s="391">
        <v>109</v>
      </c>
      <c r="F183" s="391" t="s">
        <v>145</v>
      </c>
      <c r="G183" s="391" t="s">
        <v>292</v>
      </c>
      <c r="H183" s="391" t="s">
        <v>15</v>
      </c>
      <c r="I183" s="391">
        <v>20</v>
      </c>
      <c r="J183" s="392" t="s">
        <v>40</v>
      </c>
      <c r="K183" s="393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108" t="s">
        <v>1382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>
      <c r="A184" s="390" t="s">
        <v>1381</v>
      </c>
      <c r="B184" s="391" t="s">
        <v>9</v>
      </c>
      <c r="C184" s="391">
        <v>39</v>
      </c>
      <c r="D184" s="391" t="s">
        <v>16</v>
      </c>
      <c r="E184" s="391">
        <v>110</v>
      </c>
      <c r="F184" s="391" t="s">
        <v>846</v>
      </c>
      <c r="G184" s="391" t="s">
        <v>292</v>
      </c>
      <c r="H184" s="391" t="s">
        <v>15</v>
      </c>
      <c r="I184" s="391">
        <v>20</v>
      </c>
      <c r="J184" s="392" t="s">
        <v>40</v>
      </c>
      <c r="K184" s="393">
        <f>(18*38)+(2*29.4)</f>
        <v>742.8</v>
      </c>
      <c r="L184" s="58"/>
      <c r="M184" s="58"/>
      <c r="N184" s="229"/>
      <c r="O184" s="21"/>
      <c r="P184" s="21"/>
      <c r="Q184" s="187"/>
      <c r="R184" s="295" t="s">
        <v>1382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>
      <c r="A185" s="390" t="s">
        <v>1381</v>
      </c>
      <c r="B185" s="391" t="s">
        <v>9</v>
      </c>
      <c r="C185" s="391">
        <v>39</v>
      </c>
      <c r="D185" s="391" t="s">
        <v>16</v>
      </c>
      <c r="E185" s="391">
        <v>119</v>
      </c>
      <c r="F185" s="391" t="s">
        <v>918</v>
      </c>
      <c r="G185" s="391" t="s">
        <v>447</v>
      </c>
      <c r="H185" s="391" t="s">
        <v>814</v>
      </c>
      <c r="I185" s="391">
        <v>25</v>
      </c>
      <c r="J185" s="392" t="s">
        <v>143</v>
      </c>
      <c r="K185" s="393">
        <f>(25*38)</f>
        <v>950</v>
      </c>
      <c r="L185" s="58"/>
      <c r="M185" s="58"/>
      <c r="N185" s="229"/>
      <c r="O185" s="186" t="s">
        <v>1389</v>
      </c>
      <c r="P185" s="21">
        <v>25</v>
      </c>
      <c r="Q185" s="187">
        <v>950</v>
      </c>
      <c r="R185" s="295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>
      <c r="A186" s="390" t="s">
        <v>1381</v>
      </c>
      <c r="B186" s="391" t="s">
        <v>9</v>
      </c>
      <c r="C186" s="391">
        <v>39</v>
      </c>
      <c r="D186" s="391" t="s">
        <v>16</v>
      </c>
      <c r="E186" s="391">
        <v>125</v>
      </c>
      <c r="F186" s="391" t="s">
        <v>919</v>
      </c>
      <c r="G186" s="391" t="s">
        <v>298</v>
      </c>
      <c r="H186" s="391" t="s">
        <v>814</v>
      </c>
      <c r="I186" s="391">
        <v>15</v>
      </c>
      <c r="J186" s="392" t="s">
        <v>14</v>
      </c>
      <c r="K186" s="393">
        <f>(14*38)+(1*29.4)</f>
        <v>561.4</v>
      </c>
      <c r="L186" s="58"/>
      <c r="M186" s="58"/>
      <c r="N186" s="229"/>
      <c r="O186" s="186" t="s">
        <v>1393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>
      <c r="A187" s="390" t="s">
        <v>1381</v>
      </c>
      <c r="B187" s="391" t="s">
        <v>9</v>
      </c>
      <c r="C187" s="391">
        <v>39</v>
      </c>
      <c r="D187" s="391" t="s">
        <v>16</v>
      </c>
      <c r="E187" s="391">
        <v>131</v>
      </c>
      <c r="F187" s="391" t="s">
        <v>920</v>
      </c>
      <c r="G187" s="391" t="s">
        <v>683</v>
      </c>
      <c r="H187" s="391" t="s">
        <v>15</v>
      </c>
      <c r="I187" s="391">
        <v>20</v>
      </c>
      <c r="J187" s="392" t="s">
        <v>136</v>
      </c>
      <c r="K187" s="393">
        <f>(20*38)</f>
        <v>760</v>
      </c>
      <c r="L187" s="58"/>
      <c r="M187" s="58"/>
      <c r="N187" s="229"/>
      <c r="O187" s="186" t="s">
        <v>1393</v>
      </c>
      <c r="P187" s="21">
        <v>20</v>
      </c>
      <c r="Q187" s="187">
        <v>760</v>
      </c>
      <c r="R187" s="22"/>
      <c r="S187" s="22"/>
      <c r="T187" s="23"/>
      <c r="U187" s="108"/>
      <c r="V187" s="24"/>
      <c r="W187" s="315"/>
      <c r="X187" s="123">
        <f t="shared" si="5"/>
        <v>0</v>
      </c>
      <c r="Y187" s="52"/>
      <c r="Z187" s="3"/>
    </row>
    <row r="188" spans="1:26" ht="15.75" thickBot="1">
      <c r="A188" s="390" t="s">
        <v>1381</v>
      </c>
      <c r="B188" s="394" t="s">
        <v>9</v>
      </c>
      <c r="C188" s="394">
        <v>39</v>
      </c>
      <c r="D188" s="394" t="s">
        <v>16</v>
      </c>
      <c r="E188" s="394">
        <v>154</v>
      </c>
      <c r="F188" s="394" t="s">
        <v>921</v>
      </c>
      <c r="G188" s="394" t="s">
        <v>598</v>
      </c>
      <c r="H188" s="394" t="s">
        <v>814</v>
      </c>
      <c r="I188" s="394">
        <v>20</v>
      </c>
      <c r="J188" s="395" t="s">
        <v>30</v>
      </c>
      <c r="K188" s="396">
        <f>(19*38)+(1*29.4)</f>
        <v>751.4</v>
      </c>
      <c r="L188" s="58"/>
      <c r="M188" s="58"/>
      <c r="N188" s="229"/>
      <c r="O188" s="186" t="s">
        <v>1389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>
      <c r="A189" s="390" t="s">
        <v>1381</v>
      </c>
      <c r="B189" s="387" t="s">
        <v>9</v>
      </c>
      <c r="C189" s="387">
        <v>39</v>
      </c>
      <c r="D189" s="387" t="s">
        <v>16</v>
      </c>
      <c r="E189" s="387">
        <v>164</v>
      </c>
      <c r="F189" s="387" t="s">
        <v>707</v>
      </c>
      <c r="G189" s="387" t="s">
        <v>458</v>
      </c>
      <c r="H189" s="387" t="s">
        <v>15</v>
      </c>
      <c r="I189" s="387">
        <v>15</v>
      </c>
      <c r="J189" s="388" t="s">
        <v>14</v>
      </c>
      <c r="K189" s="389">
        <f>(14*38)+(1*29.4)</f>
        <v>561.4</v>
      </c>
      <c r="L189" s="228"/>
      <c r="M189" s="58"/>
      <c r="N189" s="229"/>
      <c r="O189" s="186" t="s">
        <v>1396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>
      <c r="A190" s="390" t="s">
        <v>1381</v>
      </c>
      <c r="B190" s="391" t="s">
        <v>9</v>
      </c>
      <c r="C190" s="391">
        <v>39</v>
      </c>
      <c r="D190" s="391" t="s">
        <v>16</v>
      </c>
      <c r="E190" s="391">
        <v>165</v>
      </c>
      <c r="F190" s="391" t="s">
        <v>736</v>
      </c>
      <c r="G190" s="391" t="s">
        <v>458</v>
      </c>
      <c r="H190" s="391" t="s">
        <v>15</v>
      </c>
      <c r="I190" s="391">
        <v>20</v>
      </c>
      <c r="J190" s="392" t="s">
        <v>136</v>
      </c>
      <c r="K190" s="393">
        <f>(20*38)</f>
        <v>760</v>
      </c>
      <c r="L190" s="228"/>
      <c r="M190" s="58"/>
      <c r="N190" s="229"/>
      <c r="O190" s="21"/>
      <c r="P190" s="21"/>
      <c r="Q190" s="187"/>
      <c r="R190" s="295" t="s">
        <v>1382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>
      <c r="A191" s="390" t="s">
        <v>1381</v>
      </c>
      <c r="B191" s="391" t="s">
        <v>9</v>
      </c>
      <c r="C191" s="391">
        <v>39</v>
      </c>
      <c r="D191" s="391" t="s">
        <v>16</v>
      </c>
      <c r="E191" s="391">
        <v>185</v>
      </c>
      <c r="F191" s="391" t="s">
        <v>922</v>
      </c>
      <c r="G191" s="391" t="s">
        <v>94</v>
      </c>
      <c r="H191" s="391" t="s">
        <v>5</v>
      </c>
      <c r="I191" s="391">
        <v>20</v>
      </c>
      <c r="J191" s="392" t="s">
        <v>102</v>
      </c>
      <c r="K191" s="393">
        <f>(19*32)+(1*23.4)</f>
        <v>631.4</v>
      </c>
      <c r="L191" s="58"/>
      <c r="M191" s="58"/>
      <c r="N191" s="229"/>
      <c r="O191" s="186" t="s">
        <v>1396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>
      <c r="A192" s="390" t="s">
        <v>1381</v>
      </c>
      <c r="B192" s="391" t="s">
        <v>129</v>
      </c>
      <c r="C192" s="391">
        <v>44</v>
      </c>
      <c r="D192" s="391" t="s">
        <v>7</v>
      </c>
      <c r="E192" s="391">
        <v>660</v>
      </c>
      <c r="F192" s="391" t="s">
        <v>923</v>
      </c>
      <c r="G192" s="391" t="s">
        <v>863</v>
      </c>
      <c r="H192" s="391" t="s">
        <v>15</v>
      </c>
      <c r="I192" s="391">
        <v>20</v>
      </c>
      <c r="J192" s="392" t="s">
        <v>927</v>
      </c>
      <c r="K192" s="393">
        <f>(19*25)+(1*20.7)</f>
        <v>495.7</v>
      </c>
      <c r="L192" s="228" t="s">
        <v>1382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>
      <c r="A193" s="390" t="s">
        <v>1381</v>
      </c>
      <c r="B193" s="391" t="s">
        <v>129</v>
      </c>
      <c r="C193" s="391">
        <v>44</v>
      </c>
      <c r="D193" s="391" t="s">
        <v>7</v>
      </c>
      <c r="E193" s="391">
        <v>661</v>
      </c>
      <c r="F193" s="391" t="s">
        <v>924</v>
      </c>
      <c r="G193" s="391" t="s">
        <v>863</v>
      </c>
      <c r="H193" s="391" t="s">
        <v>15</v>
      </c>
      <c r="I193" s="391">
        <v>20</v>
      </c>
      <c r="J193" s="392" t="s">
        <v>134</v>
      </c>
      <c r="K193" s="393">
        <f>(20*26)</f>
        <v>520</v>
      </c>
      <c r="L193" s="228" t="s">
        <v>1384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>
      <c r="A194" s="390" t="s">
        <v>1381</v>
      </c>
      <c r="B194" s="391" t="s">
        <v>129</v>
      </c>
      <c r="C194" s="391">
        <v>44</v>
      </c>
      <c r="D194" s="391" t="s">
        <v>7</v>
      </c>
      <c r="E194" s="391">
        <v>726</v>
      </c>
      <c r="F194" s="391" t="s">
        <v>849</v>
      </c>
      <c r="G194" s="391" t="s">
        <v>925</v>
      </c>
      <c r="H194" s="391" t="s">
        <v>15</v>
      </c>
      <c r="I194" s="391">
        <v>30</v>
      </c>
      <c r="J194" s="392" t="s">
        <v>928</v>
      </c>
      <c r="K194" s="393">
        <f>(28*35)+(2*27.3)</f>
        <v>1034.5999999999999</v>
      </c>
      <c r="L194" s="228" t="s">
        <v>1382</v>
      </c>
      <c r="M194" s="58">
        <v>30</v>
      </c>
      <c r="N194" s="229">
        <v>1034.5999999999999</v>
      </c>
      <c r="O194" s="21"/>
      <c r="P194" s="21"/>
      <c r="Q194" s="187"/>
      <c r="R194" s="295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>
      <c r="A195" s="390" t="s">
        <v>1381</v>
      </c>
      <c r="B195" s="391" t="s">
        <v>129</v>
      </c>
      <c r="C195" s="391">
        <v>44</v>
      </c>
      <c r="D195" s="391" t="s">
        <v>7</v>
      </c>
      <c r="E195" s="391">
        <v>950</v>
      </c>
      <c r="F195" s="391" t="s">
        <v>705</v>
      </c>
      <c r="G195" s="391" t="s">
        <v>900</v>
      </c>
      <c r="H195" s="391" t="s">
        <v>5</v>
      </c>
      <c r="I195" s="391">
        <v>20</v>
      </c>
      <c r="J195" s="392" t="s">
        <v>134</v>
      </c>
      <c r="K195" s="393">
        <f>(20*26)</f>
        <v>520</v>
      </c>
      <c r="L195" s="228" t="s">
        <v>1382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>
      <c r="A196" s="390" t="s">
        <v>1381</v>
      </c>
      <c r="B196" s="391" t="s">
        <v>9</v>
      </c>
      <c r="C196" s="391">
        <v>39</v>
      </c>
      <c r="D196" s="391" t="s">
        <v>7</v>
      </c>
      <c r="E196" s="391">
        <v>264</v>
      </c>
      <c r="F196" s="391" t="s">
        <v>929</v>
      </c>
      <c r="G196" s="391" t="s">
        <v>38</v>
      </c>
      <c r="H196" s="391" t="s">
        <v>15</v>
      </c>
      <c r="I196" s="391">
        <v>15</v>
      </c>
      <c r="J196" s="392" t="s">
        <v>137</v>
      </c>
      <c r="K196" s="393">
        <f>(15*35)</f>
        <v>525</v>
      </c>
      <c r="L196" s="58"/>
      <c r="M196" s="58"/>
      <c r="N196" s="229"/>
      <c r="O196" s="186" t="s">
        <v>1384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>
      <c r="A197" s="390" t="s">
        <v>1381</v>
      </c>
      <c r="B197" s="391" t="s">
        <v>9</v>
      </c>
      <c r="C197" s="391">
        <v>39</v>
      </c>
      <c r="D197" s="391" t="s">
        <v>7</v>
      </c>
      <c r="E197" s="391">
        <v>267</v>
      </c>
      <c r="F197" s="391" t="s">
        <v>870</v>
      </c>
      <c r="G197" s="391" t="s">
        <v>38</v>
      </c>
      <c r="H197" s="391" t="s">
        <v>15</v>
      </c>
      <c r="I197" s="391">
        <v>20</v>
      </c>
      <c r="J197" s="392" t="s">
        <v>125</v>
      </c>
      <c r="K197" s="393">
        <f>(20*35)</f>
        <v>700</v>
      </c>
      <c r="L197" s="58"/>
      <c r="M197" s="58"/>
      <c r="N197" s="229"/>
      <c r="O197" s="186" t="s">
        <v>1384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>
      <c r="A198" s="390" t="s">
        <v>1381</v>
      </c>
      <c r="B198" s="391" t="s">
        <v>9</v>
      </c>
      <c r="C198" s="391">
        <v>39</v>
      </c>
      <c r="D198" s="391" t="s">
        <v>7</v>
      </c>
      <c r="E198" s="391">
        <v>268</v>
      </c>
      <c r="F198" s="391" t="s">
        <v>257</v>
      </c>
      <c r="G198" s="391" t="s">
        <v>38</v>
      </c>
      <c r="H198" s="391" t="s">
        <v>15</v>
      </c>
      <c r="I198" s="391">
        <v>15</v>
      </c>
      <c r="J198" s="392" t="s">
        <v>13</v>
      </c>
      <c r="K198" s="393">
        <f>(14*35)+(1*26.4)</f>
        <v>516.4</v>
      </c>
      <c r="L198" s="58"/>
      <c r="M198" s="58"/>
      <c r="N198" s="229"/>
      <c r="O198" s="186" t="s">
        <v>1389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>
      <c r="A199" s="390" t="s">
        <v>1381</v>
      </c>
      <c r="B199" s="391" t="s">
        <v>9</v>
      </c>
      <c r="C199" s="391">
        <v>39</v>
      </c>
      <c r="D199" s="391" t="s">
        <v>7</v>
      </c>
      <c r="E199" s="391">
        <v>269</v>
      </c>
      <c r="F199" s="391" t="s">
        <v>826</v>
      </c>
      <c r="G199" s="391" t="s">
        <v>38</v>
      </c>
      <c r="H199" s="391" t="s">
        <v>15</v>
      </c>
      <c r="I199" s="391">
        <v>15</v>
      </c>
      <c r="J199" s="392" t="s">
        <v>13</v>
      </c>
      <c r="K199" s="393">
        <f>(14*35)+(1*26.4)</f>
        <v>516.4</v>
      </c>
      <c r="L199" s="58"/>
      <c r="M199" s="58"/>
      <c r="N199" s="229"/>
      <c r="O199" s="186" t="s">
        <v>1389</v>
      </c>
      <c r="P199" s="21">
        <v>15</v>
      </c>
      <c r="Q199" s="187">
        <v>516.4</v>
      </c>
      <c r="R199" s="295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>
      <c r="A200" s="390" t="s">
        <v>1381</v>
      </c>
      <c r="B200" s="391" t="s">
        <v>9</v>
      </c>
      <c r="C200" s="391">
        <v>39</v>
      </c>
      <c r="D200" s="391" t="s">
        <v>7</v>
      </c>
      <c r="E200" s="391">
        <v>325</v>
      </c>
      <c r="F200" s="391" t="s">
        <v>339</v>
      </c>
      <c r="G200" s="391" t="s">
        <v>604</v>
      </c>
      <c r="H200" s="391" t="s">
        <v>15</v>
      </c>
      <c r="I200" s="391">
        <v>15</v>
      </c>
      <c r="J200" s="392" t="s">
        <v>93</v>
      </c>
      <c r="K200" s="393">
        <f>(15*38)</f>
        <v>570</v>
      </c>
      <c r="L200" s="228"/>
      <c r="M200" s="58"/>
      <c r="N200" s="229"/>
      <c r="O200" s="186" t="s">
        <v>1384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>
      <c r="A201" s="390" t="s">
        <v>1381</v>
      </c>
      <c r="B201" s="391" t="s">
        <v>9</v>
      </c>
      <c r="C201" s="391">
        <v>39</v>
      </c>
      <c r="D201" s="391" t="s">
        <v>7</v>
      </c>
      <c r="E201" s="391">
        <v>329</v>
      </c>
      <c r="F201" s="391" t="s">
        <v>240</v>
      </c>
      <c r="G201" s="391" t="s">
        <v>604</v>
      </c>
      <c r="H201" s="391" t="s">
        <v>15</v>
      </c>
      <c r="I201" s="391">
        <v>15</v>
      </c>
      <c r="J201" s="392" t="s">
        <v>93</v>
      </c>
      <c r="K201" s="393">
        <f>(15*38)</f>
        <v>570</v>
      </c>
      <c r="L201" s="228"/>
      <c r="M201" s="58"/>
      <c r="N201" s="229"/>
      <c r="O201" s="186" t="s">
        <v>1389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>
      <c r="A202" s="390" t="s">
        <v>1381</v>
      </c>
      <c r="B202" s="391" t="s">
        <v>9</v>
      </c>
      <c r="C202" s="391">
        <v>39</v>
      </c>
      <c r="D202" s="391" t="s">
        <v>7</v>
      </c>
      <c r="E202" s="391">
        <v>389</v>
      </c>
      <c r="F202" s="391" t="s">
        <v>405</v>
      </c>
      <c r="G202" s="391" t="s">
        <v>41</v>
      </c>
      <c r="H202" s="391" t="s">
        <v>15</v>
      </c>
      <c r="I202" s="391">
        <v>30</v>
      </c>
      <c r="J202" s="392" t="s">
        <v>24</v>
      </c>
      <c r="K202" s="393">
        <f>(29*38)+(1*29.4)</f>
        <v>1131.4000000000001</v>
      </c>
      <c r="L202" s="58"/>
      <c r="M202" s="58"/>
      <c r="N202" s="229"/>
      <c r="O202" s="186" t="s">
        <v>1384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>
      <c r="A203" s="390" t="s">
        <v>1381</v>
      </c>
      <c r="B203" s="391" t="s">
        <v>9</v>
      </c>
      <c r="C203" s="391">
        <v>39</v>
      </c>
      <c r="D203" s="391" t="s">
        <v>7</v>
      </c>
      <c r="E203" s="391">
        <v>390</v>
      </c>
      <c r="F203" s="391" t="s">
        <v>841</v>
      </c>
      <c r="G203" s="391" t="s">
        <v>41</v>
      </c>
      <c r="H203" s="391" t="s">
        <v>15</v>
      </c>
      <c r="I203" s="391">
        <v>15</v>
      </c>
      <c r="J203" s="392" t="s">
        <v>14</v>
      </c>
      <c r="K203" s="393">
        <f>(14*38)+(1*29.4)</f>
        <v>561.4</v>
      </c>
      <c r="L203" s="58"/>
      <c r="M203" s="58"/>
      <c r="N203" s="229"/>
      <c r="O203" s="186" t="s">
        <v>1389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>
      <c r="A204" s="390" t="s">
        <v>1381</v>
      </c>
      <c r="B204" s="391" t="s">
        <v>9</v>
      </c>
      <c r="C204" s="391">
        <v>39</v>
      </c>
      <c r="D204" s="391" t="s">
        <v>7</v>
      </c>
      <c r="E204" s="391">
        <v>391</v>
      </c>
      <c r="F204" s="391" t="s">
        <v>128</v>
      </c>
      <c r="G204" s="391" t="s">
        <v>41</v>
      </c>
      <c r="H204" s="391" t="s">
        <v>15</v>
      </c>
      <c r="I204" s="391">
        <v>15</v>
      </c>
      <c r="J204" s="392" t="s">
        <v>14</v>
      </c>
      <c r="K204" s="393">
        <f>(14*38)+(1*29.4)</f>
        <v>561.4</v>
      </c>
      <c r="L204" s="228"/>
      <c r="M204" s="58"/>
      <c r="N204" s="229"/>
      <c r="O204" s="186" t="s">
        <v>1384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>
      <c r="A205" s="390" t="s">
        <v>1381</v>
      </c>
      <c r="B205" s="391" t="s">
        <v>9</v>
      </c>
      <c r="C205" s="391">
        <v>39</v>
      </c>
      <c r="D205" s="391" t="s">
        <v>7</v>
      </c>
      <c r="E205" s="391">
        <v>392</v>
      </c>
      <c r="F205" s="391" t="s">
        <v>729</v>
      </c>
      <c r="G205" s="391" t="s">
        <v>41</v>
      </c>
      <c r="H205" s="391" t="s">
        <v>15</v>
      </c>
      <c r="I205" s="391">
        <v>20</v>
      </c>
      <c r="J205" s="392" t="s">
        <v>30</v>
      </c>
      <c r="K205" s="393">
        <f>(19*38)+(1*29.4)</f>
        <v>751.4</v>
      </c>
      <c r="L205" s="228"/>
      <c r="M205" s="58"/>
      <c r="N205" s="229"/>
      <c r="O205" s="186" t="s">
        <v>1389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>
      <c r="A206" s="390" t="s">
        <v>1381</v>
      </c>
      <c r="B206" s="391" t="s">
        <v>9</v>
      </c>
      <c r="C206" s="391">
        <v>39</v>
      </c>
      <c r="D206" s="391" t="s">
        <v>7</v>
      </c>
      <c r="E206" s="391">
        <v>393</v>
      </c>
      <c r="F206" s="391" t="s">
        <v>426</v>
      </c>
      <c r="G206" s="391" t="s">
        <v>41</v>
      </c>
      <c r="H206" s="391" t="s">
        <v>814</v>
      </c>
      <c r="I206" s="391">
        <v>15</v>
      </c>
      <c r="J206" s="392" t="s">
        <v>932</v>
      </c>
      <c r="K206" s="393">
        <f>(14*33)+(1*27.2)</f>
        <v>489.2</v>
      </c>
      <c r="L206" s="228"/>
      <c r="M206" s="58"/>
      <c r="N206" s="229"/>
      <c r="O206" s="186" t="s">
        <v>1384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>
      <c r="A207" s="390" t="s">
        <v>1381</v>
      </c>
      <c r="B207" s="391" t="s">
        <v>9</v>
      </c>
      <c r="C207" s="391">
        <v>39</v>
      </c>
      <c r="D207" s="391" t="s">
        <v>7</v>
      </c>
      <c r="E207" s="391">
        <v>401</v>
      </c>
      <c r="F207" s="391" t="s">
        <v>930</v>
      </c>
      <c r="G207" s="391" t="s">
        <v>85</v>
      </c>
      <c r="H207" s="391" t="s">
        <v>15</v>
      </c>
      <c r="I207" s="391">
        <v>20</v>
      </c>
      <c r="J207" s="392" t="s">
        <v>33</v>
      </c>
      <c r="K207" s="393">
        <f>(19*26)+(1*17.4)</f>
        <v>511.4</v>
      </c>
      <c r="L207" s="228"/>
      <c r="M207" s="58"/>
      <c r="N207" s="229"/>
      <c r="O207" s="186" t="s">
        <v>1389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>
      <c r="A208" s="390" t="s">
        <v>1381</v>
      </c>
      <c r="B208" s="391" t="s">
        <v>9</v>
      </c>
      <c r="C208" s="391">
        <v>39</v>
      </c>
      <c r="D208" s="391" t="s">
        <v>7</v>
      </c>
      <c r="E208" s="391">
        <v>417</v>
      </c>
      <c r="F208" s="391" t="s">
        <v>583</v>
      </c>
      <c r="G208" s="391" t="s">
        <v>282</v>
      </c>
      <c r="H208" s="391" t="s">
        <v>15</v>
      </c>
      <c r="I208" s="391">
        <v>15</v>
      </c>
      <c r="J208" s="392" t="s">
        <v>36</v>
      </c>
      <c r="K208" s="393">
        <f>(14*26)+(1*17.4)</f>
        <v>381.4</v>
      </c>
      <c r="L208" s="228"/>
      <c r="M208" s="58"/>
      <c r="N208" s="229"/>
      <c r="O208" s="186" t="s">
        <v>1384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>
      <c r="A209" s="390" t="s">
        <v>1381</v>
      </c>
      <c r="B209" s="391" t="s">
        <v>9</v>
      </c>
      <c r="C209" s="391">
        <v>39</v>
      </c>
      <c r="D209" s="391" t="s">
        <v>7</v>
      </c>
      <c r="E209" s="391">
        <v>452</v>
      </c>
      <c r="F209" s="391" t="s">
        <v>273</v>
      </c>
      <c r="G209" s="391" t="s">
        <v>178</v>
      </c>
      <c r="H209" s="391" t="s">
        <v>15</v>
      </c>
      <c r="I209" s="391">
        <v>20</v>
      </c>
      <c r="J209" s="392" t="s">
        <v>17</v>
      </c>
      <c r="K209" s="393">
        <f>(19*35)+(1*26.4)</f>
        <v>691.4</v>
      </c>
      <c r="L209" s="228"/>
      <c r="M209" s="58"/>
      <c r="N209" s="229"/>
      <c r="O209" s="186" t="s">
        <v>1384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>
      <c r="A210" s="390" t="s">
        <v>1381</v>
      </c>
      <c r="B210" s="391" t="s">
        <v>9</v>
      </c>
      <c r="C210" s="391">
        <v>39</v>
      </c>
      <c r="D210" s="391" t="s">
        <v>7</v>
      </c>
      <c r="E210" s="391">
        <v>476</v>
      </c>
      <c r="F210" s="391" t="s">
        <v>714</v>
      </c>
      <c r="G210" s="391" t="s">
        <v>138</v>
      </c>
      <c r="H210" s="391" t="s">
        <v>19</v>
      </c>
      <c r="I210" s="391">
        <v>20</v>
      </c>
      <c r="J210" s="392" t="s">
        <v>17</v>
      </c>
      <c r="K210" s="393">
        <f>(19*35)+(1*26.4)</f>
        <v>691.4</v>
      </c>
      <c r="L210" s="228"/>
      <c r="M210" s="58"/>
      <c r="N210" s="229"/>
      <c r="O210" s="186" t="s">
        <v>1389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>
      <c r="A211" s="390" t="s">
        <v>1381</v>
      </c>
      <c r="B211" s="391" t="s">
        <v>9</v>
      </c>
      <c r="C211" s="391">
        <v>39</v>
      </c>
      <c r="D211" s="391" t="s">
        <v>7</v>
      </c>
      <c r="E211" s="391">
        <v>477</v>
      </c>
      <c r="F211" s="391" t="s">
        <v>601</v>
      </c>
      <c r="G211" s="391" t="s">
        <v>138</v>
      </c>
      <c r="H211" s="391" t="s">
        <v>5</v>
      </c>
      <c r="I211" s="391">
        <v>10</v>
      </c>
      <c r="J211" s="392" t="s">
        <v>11</v>
      </c>
      <c r="K211" s="393">
        <f>(9*35)+(1*26.4)</f>
        <v>341.4</v>
      </c>
      <c r="L211" s="58"/>
      <c r="M211" s="58"/>
      <c r="N211" s="229"/>
      <c r="O211" s="186" t="s">
        <v>1384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>
      <c r="A212" s="390" t="s">
        <v>1381</v>
      </c>
      <c r="B212" s="391" t="s">
        <v>9</v>
      </c>
      <c r="C212" s="391">
        <v>39</v>
      </c>
      <c r="D212" s="391" t="s">
        <v>7</v>
      </c>
      <c r="E212" s="391">
        <v>495</v>
      </c>
      <c r="F212" s="391" t="s">
        <v>931</v>
      </c>
      <c r="G212" s="391" t="s">
        <v>299</v>
      </c>
      <c r="H212" s="391" t="s">
        <v>15</v>
      </c>
      <c r="I212" s="391">
        <v>15</v>
      </c>
      <c r="J212" s="392" t="s">
        <v>13</v>
      </c>
      <c r="K212" s="393">
        <f>(14*35)+(1*26.4)</f>
        <v>516.4</v>
      </c>
      <c r="L212" s="58"/>
      <c r="M212" s="58"/>
      <c r="N212" s="229"/>
      <c r="O212" s="186" t="s">
        <v>1384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>
      <c r="A213" s="390" t="s">
        <v>1381</v>
      </c>
      <c r="B213" s="391" t="s">
        <v>9</v>
      </c>
      <c r="C213" s="391">
        <v>39</v>
      </c>
      <c r="D213" s="391" t="s">
        <v>7</v>
      </c>
      <c r="E213" s="391">
        <v>580</v>
      </c>
      <c r="F213" s="391" t="s">
        <v>660</v>
      </c>
      <c r="G213" s="391" t="s">
        <v>596</v>
      </c>
      <c r="H213" s="391" t="s">
        <v>15</v>
      </c>
      <c r="I213" s="391">
        <v>30</v>
      </c>
      <c r="J213" s="392" t="s">
        <v>101</v>
      </c>
      <c r="K213" s="393">
        <f>(29*26)+(1*17.4)</f>
        <v>771.4</v>
      </c>
      <c r="L213" s="58"/>
      <c r="M213" s="58"/>
      <c r="N213" s="229"/>
      <c r="O213" s="186" t="s">
        <v>1384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>
      <c r="A214" s="390" t="s">
        <v>1381</v>
      </c>
      <c r="B214" s="391" t="s">
        <v>9</v>
      </c>
      <c r="C214" s="391" t="s">
        <v>309</v>
      </c>
      <c r="D214" s="391"/>
      <c r="E214" s="391"/>
      <c r="F214" s="391" t="s">
        <v>740</v>
      </c>
      <c r="G214" s="391" t="s">
        <v>823</v>
      </c>
      <c r="H214" s="391" t="s">
        <v>5</v>
      </c>
      <c r="I214" s="391">
        <v>20</v>
      </c>
      <c r="J214" s="392" t="s">
        <v>17</v>
      </c>
      <c r="K214" s="393">
        <f>(19*35)+(1*26.4)</f>
        <v>691.4</v>
      </c>
      <c r="L214" s="58"/>
      <c r="M214" s="58"/>
      <c r="N214" s="229"/>
      <c r="O214" s="186"/>
      <c r="P214" s="21"/>
      <c r="Q214" s="187"/>
      <c r="R214" s="295" t="s">
        <v>1382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>
      <c r="A215" s="390" t="s">
        <v>1381</v>
      </c>
      <c r="B215" s="391" t="s">
        <v>9</v>
      </c>
      <c r="C215" s="391" t="s">
        <v>309</v>
      </c>
      <c r="D215" s="391"/>
      <c r="E215" s="391"/>
      <c r="F215" s="391" t="s">
        <v>870</v>
      </c>
      <c r="G215" s="391" t="s">
        <v>823</v>
      </c>
      <c r="H215" s="391" t="s">
        <v>5</v>
      </c>
      <c r="I215" s="391">
        <v>20</v>
      </c>
      <c r="J215" s="392" t="s">
        <v>17</v>
      </c>
      <c r="K215" s="393">
        <f>(19*35)+(1*26.4)</f>
        <v>691.4</v>
      </c>
      <c r="L215" s="228"/>
      <c r="M215" s="58"/>
      <c r="N215" s="229"/>
      <c r="O215" s="21"/>
      <c r="P215" s="21"/>
      <c r="Q215" s="187"/>
      <c r="R215" s="295" t="s">
        <v>1382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>
      <c r="A216" s="390" t="s">
        <v>1381</v>
      </c>
      <c r="B216" s="391" t="s">
        <v>129</v>
      </c>
      <c r="C216" s="391">
        <v>44</v>
      </c>
      <c r="D216" s="391" t="s">
        <v>56</v>
      </c>
      <c r="E216" s="391">
        <v>791</v>
      </c>
      <c r="F216" s="391" t="s">
        <v>553</v>
      </c>
      <c r="G216" s="391" t="s">
        <v>947</v>
      </c>
      <c r="H216" s="391" t="s">
        <v>15</v>
      </c>
      <c r="I216" s="397">
        <v>20</v>
      </c>
      <c r="J216" s="392" t="s">
        <v>381</v>
      </c>
      <c r="K216" s="393">
        <f>(18*36)+(2*31.7)</f>
        <v>711.4</v>
      </c>
      <c r="L216" s="228"/>
      <c r="M216" s="58"/>
      <c r="N216" s="229"/>
      <c r="O216" s="186" t="s">
        <v>1382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>
      <c r="A217" s="390" t="s">
        <v>1381</v>
      </c>
      <c r="B217" s="391" t="s">
        <v>129</v>
      </c>
      <c r="C217" s="391">
        <v>44</v>
      </c>
      <c r="D217" s="391" t="s">
        <v>56</v>
      </c>
      <c r="E217" s="391">
        <v>825</v>
      </c>
      <c r="F217" s="391" t="s">
        <v>254</v>
      </c>
      <c r="G217" s="391" t="s">
        <v>400</v>
      </c>
      <c r="H217" s="391" t="s">
        <v>15</v>
      </c>
      <c r="I217" s="397">
        <v>15</v>
      </c>
      <c r="J217" s="392" t="s">
        <v>413</v>
      </c>
      <c r="K217" s="393">
        <f>(13*35)+(2*27.3)</f>
        <v>509.6</v>
      </c>
      <c r="L217" s="58"/>
      <c r="M217" s="58"/>
      <c r="N217" s="229"/>
      <c r="O217" s="186" t="s">
        <v>1382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>
      <c r="A218" s="390" t="s">
        <v>1381</v>
      </c>
      <c r="B218" s="391" t="s">
        <v>129</v>
      </c>
      <c r="C218" s="391">
        <v>44</v>
      </c>
      <c r="D218" s="391" t="s">
        <v>55</v>
      </c>
      <c r="E218" s="391">
        <v>223</v>
      </c>
      <c r="F218" s="391" t="s">
        <v>831</v>
      </c>
      <c r="G218" s="391" t="s">
        <v>948</v>
      </c>
      <c r="H218" s="391" t="s">
        <v>15</v>
      </c>
      <c r="I218" s="397">
        <v>20</v>
      </c>
      <c r="J218" s="392" t="s">
        <v>950</v>
      </c>
      <c r="K218" s="393">
        <f>(18*43)+(2*38.7)</f>
        <v>851.4</v>
      </c>
      <c r="L218" s="228"/>
      <c r="M218" s="58"/>
      <c r="N218" s="229"/>
      <c r="O218" s="186" t="s">
        <v>1382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>
      <c r="A219" s="390" t="s">
        <v>1381</v>
      </c>
      <c r="B219" s="391" t="s">
        <v>129</v>
      </c>
      <c r="C219" s="391">
        <v>44</v>
      </c>
      <c r="D219" s="391" t="s">
        <v>55</v>
      </c>
      <c r="E219" s="391">
        <v>284</v>
      </c>
      <c r="F219" s="391" t="s">
        <v>945</v>
      </c>
      <c r="G219" s="391" t="s">
        <v>87</v>
      </c>
      <c r="H219" s="391" t="s">
        <v>5</v>
      </c>
      <c r="I219" s="397">
        <v>20</v>
      </c>
      <c r="J219" s="392" t="s">
        <v>443</v>
      </c>
      <c r="K219" s="393">
        <f>(18*38)+(2*33.7)</f>
        <v>751.4</v>
      </c>
      <c r="L219" s="228" t="s">
        <v>1382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>
      <c r="A220" s="390" t="s">
        <v>1381</v>
      </c>
      <c r="B220" s="391" t="s">
        <v>129</v>
      </c>
      <c r="C220" s="391">
        <v>44</v>
      </c>
      <c r="D220" s="391" t="s">
        <v>55</v>
      </c>
      <c r="E220" s="391">
        <v>287</v>
      </c>
      <c r="F220" s="391" t="s">
        <v>943</v>
      </c>
      <c r="G220" s="391" t="s">
        <v>87</v>
      </c>
      <c r="H220" s="391" t="s">
        <v>5</v>
      </c>
      <c r="I220" s="397">
        <v>22</v>
      </c>
      <c r="J220" s="392" t="s">
        <v>951</v>
      </c>
      <c r="K220" s="393">
        <f>(20*38)+(2*30.3)</f>
        <v>820.6</v>
      </c>
      <c r="L220" s="228" t="s">
        <v>1384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>
      <c r="A221" s="390" t="s">
        <v>1381</v>
      </c>
      <c r="B221" s="391" t="s">
        <v>129</v>
      </c>
      <c r="C221" s="391">
        <v>44</v>
      </c>
      <c r="D221" s="391" t="s">
        <v>55</v>
      </c>
      <c r="E221" s="391">
        <v>499</v>
      </c>
      <c r="F221" s="391" t="s">
        <v>535</v>
      </c>
      <c r="G221" s="391" t="s">
        <v>340</v>
      </c>
      <c r="H221" s="391" t="s">
        <v>15</v>
      </c>
      <c r="I221" s="397">
        <v>20</v>
      </c>
      <c r="J221" s="392" t="s">
        <v>944</v>
      </c>
      <c r="K221" s="393">
        <f>(19*42)+(1*37.7)</f>
        <v>835.7</v>
      </c>
      <c r="L221" s="228" t="s">
        <v>1382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>
      <c r="A222" s="390" t="s">
        <v>1381</v>
      </c>
      <c r="B222" s="391" t="s">
        <v>129</v>
      </c>
      <c r="C222" s="391">
        <v>44</v>
      </c>
      <c r="D222" s="391" t="s">
        <v>55</v>
      </c>
      <c r="E222" s="391">
        <v>500</v>
      </c>
      <c r="F222" s="391" t="s">
        <v>591</v>
      </c>
      <c r="G222" s="391" t="s">
        <v>340</v>
      </c>
      <c r="H222" s="391" t="s">
        <v>15</v>
      </c>
      <c r="I222" s="397">
        <v>20</v>
      </c>
      <c r="J222" s="392" t="s">
        <v>944</v>
      </c>
      <c r="K222" s="393">
        <f>(19*42)+(1*37.7)</f>
        <v>835.7</v>
      </c>
      <c r="L222" s="228" t="s">
        <v>1384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>
      <c r="A223" s="390" t="s">
        <v>1381</v>
      </c>
      <c r="B223" s="391" t="s">
        <v>129</v>
      </c>
      <c r="C223" s="391">
        <v>44</v>
      </c>
      <c r="D223" s="391" t="s">
        <v>55</v>
      </c>
      <c r="E223" s="391">
        <v>501</v>
      </c>
      <c r="F223" s="391" t="s">
        <v>611</v>
      </c>
      <c r="G223" s="391" t="s">
        <v>340</v>
      </c>
      <c r="H223" s="391" t="s">
        <v>15</v>
      </c>
      <c r="I223" s="397">
        <v>20</v>
      </c>
      <c r="J223" s="392" t="s">
        <v>952</v>
      </c>
      <c r="K223" s="393">
        <f>(17*43)+(3*38.7)</f>
        <v>847.1</v>
      </c>
      <c r="L223" s="228" t="s">
        <v>1382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>
      <c r="A224" s="390" t="s">
        <v>1381</v>
      </c>
      <c r="B224" s="391" t="s">
        <v>129</v>
      </c>
      <c r="C224" s="391">
        <v>44</v>
      </c>
      <c r="D224" s="391" t="s">
        <v>55</v>
      </c>
      <c r="E224" s="391">
        <v>502</v>
      </c>
      <c r="F224" s="391" t="s">
        <v>544</v>
      </c>
      <c r="G224" s="391" t="s">
        <v>340</v>
      </c>
      <c r="H224" s="391" t="s">
        <v>15</v>
      </c>
      <c r="I224" s="397">
        <v>20</v>
      </c>
      <c r="J224" s="392" t="s">
        <v>950</v>
      </c>
      <c r="K224" s="393">
        <f>(18*43)+(2*38.7)</f>
        <v>851.4</v>
      </c>
      <c r="L224" s="228" t="s">
        <v>1384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>
      <c r="A225" s="390" t="s">
        <v>1381</v>
      </c>
      <c r="B225" s="391" t="s">
        <v>129</v>
      </c>
      <c r="C225" s="391">
        <v>44</v>
      </c>
      <c r="D225" s="391" t="s">
        <v>55</v>
      </c>
      <c r="E225" s="391">
        <v>519</v>
      </c>
      <c r="F225" s="391" t="s">
        <v>758</v>
      </c>
      <c r="G225" s="391" t="s">
        <v>745</v>
      </c>
      <c r="H225" s="391" t="s">
        <v>5</v>
      </c>
      <c r="I225" s="397">
        <v>30</v>
      </c>
      <c r="J225" s="392" t="s">
        <v>382</v>
      </c>
      <c r="K225" s="393">
        <f>(28*36)+(2*28.3)</f>
        <v>1064.5999999999999</v>
      </c>
      <c r="L225" s="228" t="s">
        <v>1382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>
      <c r="A226" s="390" t="s">
        <v>1381</v>
      </c>
      <c r="B226" s="391" t="s">
        <v>129</v>
      </c>
      <c r="C226" s="391">
        <v>44</v>
      </c>
      <c r="D226" s="391" t="s">
        <v>55</v>
      </c>
      <c r="E226" s="391">
        <v>521</v>
      </c>
      <c r="F226" s="391" t="s">
        <v>946</v>
      </c>
      <c r="G226" s="391" t="s">
        <v>745</v>
      </c>
      <c r="H226" s="391" t="s">
        <v>15</v>
      </c>
      <c r="I226" s="397">
        <v>15</v>
      </c>
      <c r="J226" s="392" t="s">
        <v>402</v>
      </c>
      <c r="K226" s="393">
        <f>(13*36)+(2*28.3)</f>
        <v>524.6</v>
      </c>
      <c r="L226" s="228" t="s">
        <v>1382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 ht="15.75" thickBot="1">
      <c r="A227" s="390" t="s">
        <v>1381</v>
      </c>
      <c r="B227" s="394" t="s">
        <v>129</v>
      </c>
      <c r="C227" s="394">
        <v>44</v>
      </c>
      <c r="D227" s="394" t="s">
        <v>55</v>
      </c>
      <c r="E227" s="394">
        <v>547</v>
      </c>
      <c r="F227" s="394" t="s">
        <v>198</v>
      </c>
      <c r="G227" s="394" t="s">
        <v>655</v>
      </c>
      <c r="H227" s="394" t="s">
        <v>5</v>
      </c>
      <c r="I227" s="399">
        <v>15</v>
      </c>
      <c r="J227" s="395" t="s">
        <v>355</v>
      </c>
      <c r="K227" s="396">
        <f>(14*38)+(1*30.3)</f>
        <v>562.29999999999995</v>
      </c>
      <c r="L227" s="228" t="s">
        <v>1382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>
      <c r="A228" s="390" t="s">
        <v>1381</v>
      </c>
      <c r="B228" s="387" t="s">
        <v>129</v>
      </c>
      <c r="C228" s="387">
        <v>44</v>
      </c>
      <c r="D228" s="387" t="s">
        <v>55</v>
      </c>
      <c r="E228" s="387">
        <v>549</v>
      </c>
      <c r="F228" s="387" t="s">
        <v>804</v>
      </c>
      <c r="G228" s="387" t="s">
        <v>655</v>
      </c>
      <c r="H228" s="387" t="s">
        <v>5</v>
      </c>
      <c r="I228" s="400">
        <v>15</v>
      </c>
      <c r="J228" s="388" t="s">
        <v>355</v>
      </c>
      <c r="K228" s="389">
        <f>(14*38)+(1*30.3)</f>
        <v>562.29999999999995</v>
      </c>
      <c r="L228" s="228" t="s">
        <v>1382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>
      <c r="A229" s="390" t="s">
        <v>1381</v>
      </c>
      <c r="B229" s="391" t="s">
        <v>129</v>
      </c>
      <c r="C229" s="391">
        <v>44</v>
      </c>
      <c r="D229" s="391" t="s">
        <v>55</v>
      </c>
      <c r="E229" s="391">
        <v>550</v>
      </c>
      <c r="F229" s="391" t="s">
        <v>393</v>
      </c>
      <c r="G229" s="391" t="s">
        <v>655</v>
      </c>
      <c r="H229" s="391" t="s">
        <v>5</v>
      </c>
      <c r="I229" s="397">
        <v>15</v>
      </c>
      <c r="J229" s="392" t="s">
        <v>953</v>
      </c>
      <c r="K229" s="393">
        <f>(12*38)+(3*30.3)</f>
        <v>546.9</v>
      </c>
      <c r="L229" s="228" t="s">
        <v>1384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>
      <c r="A230" s="390" t="s">
        <v>1381</v>
      </c>
      <c r="B230" s="391" t="s">
        <v>129</v>
      </c>
      <c r="C230" s="391">
        <v>44</v>
      </c>
      <c r="D230" s="391" t="s">
        <v>55</v>
      </c>
      <c r="E230" s="391">
        <v>551</v>
      </c>
      <c r="F230" s="391" t="s">
        <v>214</v>
      </c>
      <c r="G230" s="391" t="s">
        <v>655</v>
      </c>
      <c r="H230" s="391" t="s">
        <v>5</v>
      </c>
      <c r="I230" s="397">
        <v>30</v>
      </c>
      <c r="J230" s="392" t="s">
        <v>954</v>
      </c>
      <c r="K230" s="393">
        <f>(28*38)+(2*30.3)</f>
        <v>1124.5999999999999</v>
      </c>
      <c r="L230" s="228" t="s">
        <v>1384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>
      <c r="A231" s="390" t="s">
        <v>1381</v>
      </c>
      <c r="B231" s="391" t="s">
        <v>129</v>
      </c>
      <c r="C231" s="391">
        <v>44</v>
      </c>
      <c r="D231" s="391" t="s">
        <v>55</v>
      </c>
      <c r="E231" s="391">
        <v>552</v>
      </c>
      <c r="F231" s="391" t="s">
        <v>250</v>
      </c>
      <c r="G231" s="391" t="s">
        <v>655</v>
      </c>
      <c r="H231" s="391" t="s">
        <v>15</v>
      </c>
      <c r="I231" s="397">
        <v>30</v>
      </c>
      <c r="J231" s="392" t="s">
        <v>810</v>
      </c>
      <c r="K231" s="393">
        <f>(29*40)+(1*32.3)</f>
        <v>1192.3</v>
      </c>
      <c r="L231" s="228" t="s">
        <v>1382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>
      <c r="A232" s="390" t="s">
        <v>1381</v>
      </c>
      <c r="B232" s="391" t="s">
        <v>129</v>
      </c>
      <c r="C232" s="391">
        <v>44</v>
      </c>
      <c r="D232" s="391" t="s">
        <v>57</v>
      </c>
      <c r="E232" s="391">
        <v>157</v>
      </c>
      <c r="F232" s="391" t="s">
        <v>631</v>
      </c>
      <c r="G232" s="391" t="s">
        <v>949</v>
      </c>
      <c r="H232" s="391" t="s">
        <v>15</v>
      </c>
      <c r="I232" s="397">
        <v>20</v>
      </c>
      <c r="J232" s="392" t="s">
        <v>381</v>
      </c>
      <c r="K232" s="393">
        <f>(18*36)+(2*31.7)</f>
        <v>711.4</v>
      </c>
      <c r="L232" s="58"/>
      <c r="M232" s="58"/>
      <c r="N232" s="229"/>
      <c r="O232" s="186" t="s">
        <v>1382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>
      <c r="A233" s="390" t="s">
        <v>1381</v>
      </c>
      <c r="B233" s="391" t="s">
        <v>9</v>
      </c>
      <c r="C233" s="391">
        <v>44</v>
      </c>
      <c r="D233" s="391" t="s">
        <v>16</v>
      </c>
      <c r="E233" s="391">
        <v>83</v>
      </c>
      <c r="F233" s="391" t="s">
        <v>128</v>
      </c>
      <c r="G233" s="391" t="s">
        <v>620</v>
      </c>
      <c r="H233" s="391" t="s">
        <v>814</v>
      </c>
      <c r="I233" s="391">
        <v>15</v>
      </c>
      <c r="J233" s="392" t="s">
        <v>93</v>
      </c>
      <c r="K233" s="393">
        <f>(15*38)</f>
        <v>570</v>
      </c>
      <c r="L233" s="228" t="s">
        <v>1389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>
      <c r="A234" s="390" t="s">
        <v>1381</v>
      </c>
      <c r="B234" s="391" t="s">
        <v>9</v>
      </c>
      <c r="C234" s="391">
        <v>44</v>
      </c>
      <c r="D234" s="391" t="s">
        <v>16</v>
      </c>
      <c r="E234" s="391">
        <v>178</v>
      </c>
      <c r="F234" s="391" t="s">
        <v>933</v>
      </c>
      <c r="G234" s="391" t="s">
        <v>292</v>
      </c>
      <c r="H234" s="391" t="s">
        <v>15</v>
      </c>
      <c r="I234" s="391">
        <v>20</v>
      </c>
      <c r="J234" s="392" t="s">
        <v>30</v>
      </c>
      <c r="K234" s="393">
        <f>(19*38)+(1*29.4)</f>
        <v>751.4</v>
      </c>
      <c r="L234" s="228" t="s">
        <v>1389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>
      <c r="A235" s="390" t="s">
        <v>1381</v>
      </c>
      <c r="B235" s="391" t="s">
        <v>9</v>
      </c>
      <c r="C235" s="391">
        <v>44</v>
      </c>
      <c r="D235" s="391" t="s">
        <v>16</v>
      </c>
      <c r="E235" s="391">
        <v>456</v>
      </c>
      <c r="F235" s="391" t="s">
        <v>934</v>
      </c>
      <c r="G235" s="391" t="s">
        <v>302</v>
      </c>
      <c r="H235" s="391" t="s">
        <v>15</v>
      </c>
      <c r="I235" s="391">
        <v>15</v>
      </c>
      <c r="J235" s="392" t="s">
        <v>13</v>
      </c>
      <c r="K235" s="393">
        <f>(14*35)+(1*26.4)</f>
        <v>516.4</v>
      </c>
      <c r="L235" s="228" t="s">
        <v>1389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>
      <c r="A236" s="390" t="s">
        <v>1381</v>
      </c>
      <c r="B236" s="391" t="s">
        <v>9</v>
      </c>
      <c r="C236" s="391">
        <v>44</v>
      </c>
      <c r="D236" s="391" t="s">
        <v>16</v>
      </c>
      <c r="E236" s="391">
        <v>457</v>
      </c>
      <c r="F236" s="391" t="s">
        <v>935</v>
      </c>
      <c r="G236" s="391" t="s">
        <v>302</v>
      </c>
      <c r="H236" s="391" t="s">
        <v>15</v>
      </c>
      <c r="I236" s="391">
        <v>15</v>
      </c>
      <c r="J236" s="392" t="s">
        <v>13</v>
      </c>
      <c r="K236" s="393">
        <f>(14*35)+(1*26.4)</f>
        <v>516.4</v>
      </c>
      <c r="L236" s="228" t="s">
        <v>1389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>
      <c r="A237" s="390" t="s">
        <v>1381</v>
      </c>
      <c r="B237" s="391" t="s">
        <v>9</v>
      </c>
      <c r="C237" s="391">
        <v>44</v>
      </c>
      <c r="D237" s="391" t="s">
        <v>16</v>
      </c>
      <c r="E237" s="391">
        <v>508</v>
      </c>
      <c r="F237" s="391" t="s">
        <v>384</v>
      </c>
      <c r="G237" s="391" t="s">
        <v>141</v>
      </c>
      <c r="H237" s="391" t="s">
        <v>15</v>
      </c>
      <c r="I237" s="391">
        <v>15</v>
      </c>
      <c r="J237" s="392" t="s">
        <v>13</v>
      </c>
      <c r="K237" s="393">
        <f>(14*35)+(1*26.4)</f>
        <v>516.4</v>
      </c>
      <c r="L237" s="228" t="s">
        <v>1389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>
      <c r="A238" s="390" t="s">
        <v>1381</v>
      </c>
      <c r="B238" s="391" t="s">
        <v>9</v>
      </c>
      <c r="C238" s="391">
        <v>44</v>
      </c>
      <c r="D238" s="391" t="s">
        <v>25</v>
      </c>
      <c r="E238" s="391">
        <v>32</v>
      </c>
      <c r="F238" s="391" t="s">
        <v>348</v>
      </c>
      <c r="G238" s="391" t="s">
        <v>696</v>
      </c>
      <c r="H238" s="391" t="s">
        <v>5</v>
      </c>
      <c r="I238" s="391">
        <v>20</v>
      </c>
      <c r="J238" s="392" t="s">
        <v>104</v>
      </c>
      <c r="K238" s="393">
        <f>(19*28)+(1*19.4)</f>
        <v>551.4</v>
      </c>
      <c r="L238" s="228" t="s">
        <v>1389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>
      <c r="A239" s="390" t="s">
        <v>1381</v>
      </c>
      <c r="B239" s="391" t="s">
        <v>9</v>
      </c>
      <c r="C239" s="391">
        <v>44</v>
      </c>
      <c r="D239" s="391" t="s">
        <v>25</v>
      </c>
      <c r="E239" s="391">
        <v>37</v>
      </c>
      <c r="F239" s="391" t="s">
        <v>872</v>
      </c>
      <c r="G239" s="391" t="s">
        <v>696</v>
      </c>
      <c r="H239" s="391" t="s">
        <v>15</v>
      </c>
      <c r="I239" s="391">
        <v>10</v>
      </c>
      <c r="J239" s="392" t="s">
        <v>938</v>
      </c>
      <c r="K239" s="393">
        <f>(8*28)+(2*19.4)</f>
        <v>262.8</v>
      </c>
      <c r="L239" s="228" t="s">
        <v>1389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>
      <c r="A240" s="390" t="s">
        <v>1381</v>
      </c>
      <c r="B240" s="391" t="s">
        <v>9</v>
      </c>
      <c r="C240" s="391">
        <v>44</v>
      </c>
      <c r="D240" s="391" t="s">
        <v>25</v>
      </c>
      <c r="E240" s="391">
        <v>38</v>
      </c>
      <c r="F240" s="391" t="s">
        <v>524</v>
      </c>
      <c r="G240" s="391" t="s">
        <v>696</v>
      </c>
      <c r="H240" s="391" t="s">
        <v>15</v>
      </c>
      <c r="I240" s="391">
        <v>9</v>
      </c>
      <c r="J240" s="392" t="s">
        <v>939</v>
      </c>
      <c r="K240" s="393">
        <f>(8*28)+(1*19.4)</f>
        <v>243.4</v>
      </c>
      <c r="L240" s="228" t="s">
        <v>1389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>
      <c r="A241" s="390" t="s">
        <v>1381</v>
      </c>
      <c r="B241" s="391" t="s">
        <v>9</v>
      </c>
      <c r="C241" s="391">
        <v>44</v>
      </c>
      <c r="D241" s="391" t="s">
        <v>25</v>
      </c>
      <c r="E241" s="391">
        <v>39</v>
      </c>
      <c r="F241" s="391" t="s">
        <v>348</v>
      </c>
      <c r="G241" s="391" t="s">
        <v>696</v>
      </c>
      <c r="H241" s="391" t="s">
        <v>15</v>
      </c>
      <c r="I241" s="391">
        <v>10</v>
      </c>
      <c r="J241" s="392" t="s">
        <v>308</v>
      </c>
      <c r="K241" s="393">
        <f>(9*28)+(1*19.4)</f>
        <v>271.39999999999998</v>
      </c>
      <c r="L241" s="228" t="s">
        <v>1389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>
      <c r="A242" s="390" t="s">
        <v>1381</v>
      </c>
      <c r="B242" s="391" t="s">
        <v>9</v>
      </c>
      <c r="C242" s="391">
        <v>44</v>
      </c>
      <c r="D242" s="391" t="s">
        <v>7</v>
      </c>
      <c r="E242" s="391">
        <v>367</v>
      </c>
      <c r="F242" s="391" t="s">
        <v>743</v>
      </c>
      <c r="G242" s="391" t="s">
        <v>38</v>
      </c>
      <c r="H242" s="391" t="s">
        <v>15</v>
      </c>
      <c r="I242" s="391">
        <v>15</v>
      </c>
      <c r="J242" s="392" t="s">
        <v>34</v>
      </c>
      <c r="K242" s="393">
        <f>(13*35)+(2*26.4)</f>
        <v>507.8</v>
      </c>
      <c r="L242" s="228" t="s">
        <v>1389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>
      <c r="A243" s="390" t="s">
        <v>1381</v>
      </c>
      <c r="B243" s="391" t="s">
        <v>9</v>
      </c>
      <c r="C243" s="391">
        <v>44</v>
      </c>
      <c r="D243" s="391" t="s">
        <v>7</v>
      </c>
      <c r="E243" s="391">
        <v>370</v>
      </c>
      <c r="F243" s="391" t="s">
        <v>331</v>
      </c>
      <c r="G243" s="391" t="s">
        <v>38</v>
      </c>
      <c r="H243" s="391" t="s">
        <v>15</v>
      </c>
      <c r="I243" s="391">
        <v>15</v>
      </c>
      <c r="J243" s="392" t="s">
        <v>137</v>
      </c>
      <c r="K243" s="393">
        <f>(15*35)</f>
        <v>525</v>
      </c>
      <c r="L243" s="228" t="s">
        <v>1389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>
      <c r="A244" s="390" t="s">
        <v>1381</v>
      </c>
      <c r="B244" s="391" t="s">
        <v>9</v>
      </c>
      <c r="C244" s="391">
        <v>44</v>
      </c>
      <c r="D244" s="391" t="s">
        <v>7</v>
      </c>
      <c r="E244" s="391">
        <v>515</v>
      </c>
      <c r="F244" s="391" t="s">
        <v>167</v>
      </c>
      <c r="G244" s="391" t="s">
        <v>99</v>
      </c>
      <c r="H244" s="391" t="s">
        <v>15</v>
      </c>
      <c r="I244" s="391">
        <v>15</v>
      </c>
      <c r="J244" s="392" t="s">
        <v>147</v>
      </c>
      <c r="K244" s="393">
        <f>(14*36)+(1*27.4)</f>
        <v>531.4</v>
      </c>
      <c r="L244" s="228" t="s">
        <v>1389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>
      <c r="A245" s="390" t="s">
        <v>1381</v>
      </c>
      <c r="B245" s="391" t="s">
        <v>9</v>
      </c>
      <c r="C245" s="391">
        <v>44</v>
      </c>
      <c r="D245" s="391" t="s">
        <v>7</v>
      </c>
      <c r="E245" s="391">
        <v>516</v>
      </c>
      <c r="F245" s="391" t="s">
        <v>276</v>
      </c>
      <c r="G245" s="391" t="s">
        <v>99</v>
      </c>
      <c r="H245" s="391" t="s">
        <v>15</v>
      </c>
      <c r="I245" s="391">
        <v>15</v>
      </c>
      <c r="J245" s="392" t="s">
        <v>147</v>
      </c>
      <c r="K245" s="393">
        <f>(14*36)+(1*27.4)</f>
        <v>531.4</v>
      </c>
      <c r="L245" s="228" t="s">
        <v>1389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>
      <c r="A246" s="390" t="s">
        <v>1381</v>
      </c>
      <c r="B246" s="391" t="s">
        <v>9</v>
      </c>
      <c r="C246" s="391">
        <v>44</v>
      </c>
      <c r="D246" s="391" t="s">
        <v>10</v>
      </c>
      <c r="E246" s="391">
        <v>147</v>
      </c>
      <c r="F246" s="391" t="s">
        <v>112</v>
      </c>
      <c r="G246" s="391" t="s">
        <v>38</v>
      </c>
      <c r="H246" s="391" t="s">
        <v>15</v>
      </c>
      <c r="I246" s="391">
        <v>20</v>
      </c>
      <c r="J246" s="392" t="s">
        <v>17</v>
      </c>
      <c r="K246" s="393">
        <f>(19*35)+(1*26.4)</f>
        <v>691.4</v>
      </c>
      <c r="L246" s="228" t="s">
        <v>1389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>
      <c r="A247" s="390" t="s">
        <v>1381</v>
      </c>
      <c r="B247" s="391" t="s">
        <v>9</v>
      </c>
      <c r="C247" s="391">
        <v>44</v>
      </c>
      <c r="D247" s="391" t="s">
        <v>10</v>
      </c>
      <c r="E247" s="391">
        <v>150</v>
      </c>
      <c r="F247" s="391" t="s">
        <v>739</v>
      </c>
      <c r="G247" s="391" t="s">
        <v>38</v>
      </c>
      <c r="H247" s="391" t="s">
        <v>15</v>
      </c>
      <c r="I247" s="391">
        <v>30</v>
      </c>
      <c r="J247" s="392" t="s">
        <v>12</v>
      </c>
      <c r="K247" s="393">
        <f>(29*35)+(1*26.4)</f>
        <v>1041.4000000000001</v>
      </c>
      <c r="L247" s="228" t="s">
        <v>1389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>
      <c r="A248" s="390" t="s">
        <v>1381</v>
      </c>
      <c r="B248" s="391" t="s">
        <v>9</v>
      </c>
      <c r="C248" s="391">
        <v>44</v>
      </c>
      <c r="D248" s="391" t="s">
        <v>10</v>
      </c>
      <c r="E248" s="391">
        <v>153</v>
      </c>
      <c r="F248" s="391" t="s">
        <v>249</v>
      </c>
      <c r="G248" s="391" t="s">
        <v>38</v>
      </c>
      <c r="H248" s="391" t="s">
        <v>15</v>
      </c>
      <c r="I248" s="391">
        <v>20</v>
      </c>
      <c r="J248" s="392" t="s">
        <v>17</v>
      </c>
      <c r="K248" s="393">
        <f>(19*35)+(1*26.4)</f>
        <v>691.4</v>
      </c>
      <c r="L248" s="228" t="s">
        <v>1389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>
      <c r="A249" s="390" t="s">
        <v>1381</v>
      </c>
      <c r="B249" s="391" t="s">
        <v>9</v>
      </c>
      <c r="C249" s="391">
        <v>44</v>
      </c>
      <c r="D249" s="391" t="s">
        <v>10</v>
      </c>
      <c r="E249" s="391">
        <v>154</v>
      </c>
      <c r="F249" s="391" t="s">
        <v>852</v>
      </c>
      <c r="G249" s="391" t="s">
        <v>38</v>
      </c>
      <c r="H249" s="391" t="s">
        <v>15</v>
      </c>
      <c r="I249" s="391">
        <v>20</v>
      </c>
      <c r="J249" s="392" t="s">
        <v>125</v>
      </c>
      <c r="K249" s="393">
        <f>(20*35)</f>
        <v>700</v>
      </c>
      <c r="L249" s="228" t="s">
        <v>1389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>
      <c r="A250" s="390" t="s">
        <v>1381</v>
      </c>
      <c r="B250" s="391" t="s">
        <v>9</v>
      </c>
      <c r="C250" s="391">
        <v>44</v>
      </c>
      <c r="D250" s="391" t="s">
        <v>10</v>
      </c>
      <c r="E250" s="391">
        <v>578</v>
      </c>
      <c r="F250" s="391" t="s">
        <v>575</v>
      </c>
      <c r="G250" s="391" t="s">
        <v>297</v>
      </c>
      <c r="H250" s="391" t="s">
        <v>15</v>
      </c>
      <c r="I250" s="391">
        <v>15</v>
      </c>
      <c r="J250" s="392" t="s">
        <v>940</v>
      </c>
      <c r="K250" s="393">
        <f>(14*38)++(1*29.4)</f>
        <v>561.4</v>
      </c>
      <c r="L250" s="228" t="s">
        <v>1389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>
      <c r="A251" s="390" t="s">
        <v>1381</v>
      </c>
      <c r="B251" s="391" t="s">
        <v>9</v>
      </c>
      <c r="C251" s="391">
        <v>44</v>
      </c>
      <c r="D251" s="391" t="s">
        <v>10</v>
      </c>
      <c r="E251" s="391">
        <v>579</v>
      </c>
      <c r="F251" s="391" t="s">
        <v>576</v>
      </c>
      <c r="G251" s="391" t="s">
        <v>297</v>
      </c>
      <c r="H251" s="391" t="s">
        <v>15</v>
      </c>
      <c r="I251" s="391">
        <v>15</v>
      </c>
      <c r="J251" s="392" t="s">
        <v>940</v>
      </c>
      <c r="K251" s="393">
        <f>(14*38)++(1*29.4)</f>
        <v>561.4</v>
      </c>
      <c r="L251" s="228" t="s">
        <v>1389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>
      <c r="A252" s="390" t="s">
        <v>1381</v>
      </c>
      <c r="B252" s="391" t="s">
        <v>9</v>
      </c>
      <c r="C252" s="391">
        <v>44</v>
      </c>
      <c r="D252" s="391" t="s">
        <v>10</v>
      </c>
      <c r="E252" s="391">
        <v>619</v>
      </c>
      <c r="F252" s="391" t="s">
        <v>936</v>
      </c>
      <c r="G252" s="391" t="s">
        <v>554</v>
      </c>
      <c r="H252" s="391" t="s">
        <v>15</v>
      </c>
      <c r="I252" s="391">
        <v>15</v>
      </c>
      <c r="J252" s="392" t="s">
        <v>37</v>
      </c>
      <c r="K252" s="393">
        <f>(13*38)+(2*29.4)</f>
        <v>552.79999999999995</v>
      </c>
      <c r="L252" s="228" t="s">
        <v>1389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>
      <c r="A253" s="390" t="s">
        <v>1381</v>
      </c>
      <c r="B253" s="391" t="s">
        <v>9</v>
      </c>
      <c r="C253" s="391">
        <v>44</v>
      </c>
      <c r="D253" s="391" t="s">
        <v>10</v>
      </c>
      <c r="E253" s="391">
        <v>621</v>
      </c>
      <c r="F253" s="391" t="s">
        <v>700</v>
      </c>
      <c r="G253" s="391" t="s">
        <v>554</v>
      </c>
      <c r="H253" s="391" t="s">
        <v>15</v>
      </c>
      <c r="I253" s="391">
        <v>30</v>
      </c>
      <c r="J253" s="392" t="s">
        <v>816</v>
      </c>
      <c r="K253" s="393">
        <f>(28*38)+(2*29.4)</f>
        <v>1122.8</v>
      </c>
      <c r="L253" s="228" t="s">
        <v>1389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>
      <c r="A254" s="390" t="s">
        <v>1381</v>
      </c>
      <c r="B254" s="391" t="s">
        <v>9</v>
      </c>
      <c r="C254" s="391">
        <v>44</v>
      </c>
      <c r="D254" s="391" t="s">
        <v>10</v>
      </c>
      <c r="E254" s="391">
        <v>652</v>
      </c>
      <c r="F254" s="391" t="s">
        <v>806</v>
      </c>
      <c r="G254" s="391" t="s">
        <v>161</v>
      </c>
      <c r="H254" s="391" t="s">
        <v>5</v>
      </c>
      <c r="I254" s="391">
        <v>20</v>
      </c>
      <c r="J254" s="392" t="s">
        <v>30</v>
      </c>
      <c r="K254" s="393">
        <f>(19*38)+(1*29.4)</f>
        <v>751.4</v>
      </c>
      <c r="L254" s="228" t="s">
        <v>1389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>
      <c r="A255" s="390" t="s">
        <v>1381</v>
      </c>
      <c r="B255" s="391" t="s">
        <v>9</v>
      </c>
      <c r="C255" s="391">
        <v>44</v>
      </c>
      <c r="D255" s="391" t="s">
        <v>10</v>
      </c>
      <c r="E255" s="391">
        <v>653</v>
      </c>
      <c r="F255" s="391" t="s">
        <v>619</v>
      </c>
      <c r="G255" s="391" t="s">
        <v>161</v>
      </c>
      <c r="H255" s="391" t="s">
        <v>5</v>
      </c>
      <c r="I255" s="391">
        <v>20</v>
      </c>
      <c r="J255" s="392" t="s">
        <v>40</v>
      </c>
      <c r="K255" s="393">
        <f>(18*38)+(2*29.4)</f>
        <v>742.8</v>
      </c>
      <c r="L255" s="228" t="s">
        <v>1389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>
      <c r="A256" s="390" t="s">
        <v>1381</v>
      </c>
      <c r="B256" s="391" t="s">
        <v>9</v>
      </c>
      <c r="C256" s="391">
        <v>44</v>
      </c>
      <c r="D256" s="391" t="s">
        <v>10</v>
      </c>
      <c r="E256" s="391">
        <v>656</v>
      </c>
      <c r="F256" s="391" t="s">
        <v>179</v>
      </c>
      <c r="G256" s="391" t="s">
        <v>161</v>
      </c>
      <c r="H256" s="391" t="s">
        <v>15</v>
      </c>
      <c r="I256" s="391">
        <v>20</v>
      </c>
      <c r="J256" s="392" t="s">
        <v>30</v>
      </c>
      <c r="K256" s="393">
        <f>(19*38)+(1*29.4)</f>
        <v>751.4</v>
      </c>
      <c r="L256" s="228" t="s">
        <v>1389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>
      <c r="A257" s="390" t="s">
        <v>1381</v>
      </c>
      <c r="B257" s="391" t="s">
        <v>9</v>
      </c>
      <c r="C257" s="391">
        <v>44</v>
      </c>
      <c r="D257" s="391" t="s">
        <v>10</v>
      </c>
      <c r="E257" s="391">
        <v>665</v>
      </c>
      <c r="F257" s="391" t="s">
        <v>265</v>
      </c>
      <c r="G257" s="391" t="s">
        <v>349</v>
      </c>
      <c r="H257" s="391" t="s">
        <v>15</v>
      </c>
      <c r="I257" s="391">
        <v>20</v>
      </c>
      <c r="J257" s="392" t="s">
        <v>136</v>
      </c>
      <c r="K257" s="393">
        <f>(20*38)</f>
        <v>760</v>
      </c>
      <c r="L257" s="228" t="s">
        <v>1389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>
      <c r="A258" s="390" t="s">
        <v>1381</v>
      </c>
      <c r="B258" s="391" t="s">
        <v>9</v>
      </c>
      <c r="C258" s="391">
        <v>44</v>
      </c>
      <c r="D258" s="391" t="s">
        <v>10</v>
      </c>
      <c r="E258" s="391">
        <v>666</v>
      </c>
      <c r="F258" s="391" t="s">
        <v>635</v>
      </c>
      <c r="G258" s="391" t="s">
        <v>349</v>
      </c>
      <c r="H258" s="391" t="s">
        <v>15</v>
      </c>
      <c r="I258" s="391">
        <v>15</v>
      </c>
      <c r="J258" s="392" t="s">
        <v>37</v>
      </c>
      <c r="K258" s="393">
        <f>(13*38)+(2*29.4)</f>
        <v>552.79999999999995</v>
      </c>
      <c r="L258" s="228" t="s">
        <v>1389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>
      <c r="A259" s="390" t="s">
        <v>1381</v>
      </c>
      <c r="B259" s="391" t="s">
        <v>9</v>
      </c>
      <c r="C259" s="391">
        <v>44</v>
      </c>
      <c r="D259" s="391" t="s">
        <v>10</v>
      </c>
      <c r="E259" s="391">
        <v>1062</v>
      </c>
      <c r="F259" s="391" t="s">
        <v>682</v>
      </c>
      <c r="G259" s="391" t="s">
        <v>54</v>
      </c>
      <c r="H259" s="391" t="s">
        <v>15</v>
      </c>
      <c r="I259" s="391">
        <v>20</v>
      </c>
      <c r="J259" s="392" t="s">
        <v>941</v>
      </c>
      <c r="K259" s="393">
        <f>(18*30)+(2*21.4)</f>
        <v>582.79999999999995</v>
      </c>
      <c r="L259" s="228" t="s">
        <v>1389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>
      <c r="A260" s="390" t="s">
        <v>1381</v>
      </c>
      <c r="B260" s="391" t="s">
        <v>9</v>
      </c>
      <c r="C260" s="391">
        <v>44</v>
      </c>
      <c r="D260" s="391" t="s">
        <v>10</v>
      </c>
      <c r="E260" s="391">
        <v>1067</v>
      </c>
      <c r="F260" s="391" t="s">
        <v>937</v>
      </c>
      <c r="G260" s="391" t="s">
        <v>678</v>
      </c>
      <c r="H260" s="391" t="s">
        <v>15</v>
      </c>
      <c r="I260" s="391">
        <v>20</v>
      </c>
      <c r="J260" s="392" t="s">
        <v>17</v>
      </c>
      <c r="K260" s="393">
        <f>(19*35)+(1*26.4)</f>
        <v>691.4</v>
      </c>
      <c r="L260" s="228" t="s">
        <v>1389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>
      <c r="A261" s="390" t="s">
        <v>1381</v>
      </c>
      <c r="B261" s="391" t="s">
        <v>129</v>
      </c>
      <c r="C261" s="391">
        <v>44</v>
      </c>
      <c r="D261" s="391" t="s">
        <v>7</v>
      </c>
      <c r="E261" s="391">
        <v>722</v>
      </c>
      <c r="F261" s="391" t="s">
        <v>427</v>
      </c>
      <c r="G261" s="391" t="s">
        <v>868</v>
      </c>
      <c r="H261" s="391" t="s">
        <v>15</v>
      </c>
      <c r="I261" s="391">
        <v>20</v>
      </c>
      <c r="J261" s="392" t="s">
        <v>125</v>
      </c>
      <c r="K261" s="393">
        <f>(20*35)</f>
        <v>700</v>
      </c>
      <c r="L261" s="228" t="s">
        <v>1384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>
      <c r="A262" s="390" t="s">
        <v>1381</v>
      </c>
      <c r="B262" s="391" t="s">
        <v>129</v>
      </c>
      <c r="C262" s="391">
        <v>44</v>
      </c>
      <c r="D262" s="391" t="s">
        <v>7</v>
      </c>
      <c r="E262" s="391">
        <v>952</v>
      </c>
      <c r="F262" s="391" t="s">
        <v>463</v>
      </c>
      <c r="G262" s="391" t="s">
        <v>900</v>
      </c>
      <c r="H262" s="391" t="s">
        <v>5</v>
      </c>
      <c r="I262" s="391">
        <v>15</v>
      </c>
      <c r="J262" s="392" t="s">
        <v>444</v>
      </c>
      <c r="K262" s="393">
        <f>(14*26)+(1*18.3)</f>
        <v>382.3</v>
      </c>
      <c r="L262" s="228" t="s">
        <v>1384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>
      <c r="A263" s="390" t="s">
        <v>1381</v>
      </c>
      <c r="B263" s="391" t="s">
        <v>129</v>
      </c>
      <c r="C263" s="391">
        <v>44</v>
      </c>
      <c r="D263" s="391" t="s">
        <v>7</v>
      </c>
      <c r="E263" s="391">
        <v>958</v>
      </c>
      <c r="F263" s="391" t="s">
        <v>881</v>
      </c>
      <c r="G263" s="391" t="s">
        <v>900</v>
      </c>
      <c r="H263" s="391" t="s">
        <v>5</v>
      </c>
      <c r="I263" s="391">
        <v>20</v>
      </c>
      <c r="J263" s="392" t="s">
        <v>963</v>
      </c>
      <c r="K263" s="393">
        <f>(18*24)+(2*19.7)</f>
        <v>471.4</v>
      </c>
      <c r="L263" s="228" t="s">
        <v>1382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>
      <c r="A264" s="390" t="s">
        <v>1381</v>
      </c>
      <c r="B264" s="391" t="s">
        <v>129</v>
      </c>
      <c r="C264" s="391">
        <v>44</v>
      </c>
      <c r="D264" s="391" t="s">
        <v>7</v>
      </c>
      <c r="E264" s="391">
        <v>1133</v>
      </c>
      <c r="F264" s="391" t="s">
        <v>726</v>
      </c>
      <c r="G264" s="391" t="s">
        <v>958</v>
      </c>
      <c r="H264" s="391" t="s">
        <v>15</v>
      </c>
      <c r="I264" s="391">
        <v>20</v>
      </c>
      <c r="J264" s="392" t="s">
        <v>662</v>
      </c>
      <c r="K264" s="393">
        <f>(19*31)+(1*26.7)</f>
        <v>615.70000000000005</v>
      </c>
      <c r="L264" s="228" t="s">
        <v>1382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>
      <c r="A265" s="390" t="s">
        <v>1381</v>
      </c>
      <c r="B265" s="391" t="s">
        <v>129</v>
      </c>
      <c r="C265" s="391">
        <v>44</v>
      </c>
      <c r="D265" s="391" t="s">
        <v>7</v>
      </c>
      <c r="E265" s="391">
        <v>1142</v>
      </c>
      <c r="F265" s="391" t="s">
        <v>956</v>
      </c>
      <c r="G265" s="391" t="s">
        <v>851</v>
      </c>
      <c r="H265" s="391" t="s">
        <v>15</v>
      </c>
      <c r="I265" s="391">
        <v>20</v>
      </c>
      <c r="J265" s="392" t="s">
        <v>809</v>
      </c>
      <c r="K265" s="393">
        <f>(19*28)+(1*23.7)</f>
        <v>555.70000000000005</v>
      </c>
      <c r="L265" s="228" t="s">
        <v>1382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thickBot="1">
      <c r="A266" s="390" t="s">
        <v>1381</v>
      </c>
      <c r="B266" s="394" t="s">
        <v>129</v>
      </c>
      <c r="C266" s="394">
        <v>44</v>
      </c>
      <c r="D266" s="394" t="s">
        <v>7</v>
      </c>
      <c r="E266" s="394">
        <v>1143</v>
      </c>
      <c r="F266" s="394" t="s">
        <v>957</v>
      </c>
      <c r="G266" s="394" t="s">
        <v>851</v>
      </c>
      <c r="H266" s="394" t="s">
        <v>15</v>
      </c>
      <c r="I266" s="394">
        <v>20</v>
      </c>
      <c r="J266" s="395" t="s">
        <v>809</v>
      </c>
      <c r="K266" s="396">
        <f>(19*28)+(1*23.7)</f>
        <v>555.70000000000005</v>
      </c>
      <c r="L266" s="228" t="s">
        <v>1384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>
      <c r="A267" s="390" t="s">
        <v>1381</v>
      </c>
      <c r="B267" s="387" t="s">
        <v>129</v>
      </c>
      <c r="C267" s="387">
        <v>44</v>
      </c>
      <c r="D267" s="387" t="s">
        <v>7</v>
      </c>
      <c r="E267" s="387">
        <v>1463</v>
      </c>
      <c r="F267" s="387" t="s">
        <v>539</v>
      </c>
      <c r="G267" s="387" t="s">
        <v>959</v>
      </c>
      <c r="H267" s="387" t="s">
        <v>15</v>
      </c>
      <c r="I267" s="387">
        <v>12</v>
      </c>
      <c r="J267" s="388" t="s">
        <v>689</v>
      </c>
      <c r="K267" s="389">
        <f>(11*36)+(1*28.3)</f>
        <v>424.3</v>
      </c>
      <c r="L267" s="58"/>
      <c r="M267" s="58"/>
      <c r="N267" s="229"/>
      <c r="O267" s="186" t="s">
        <v>1382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>
      <c r="A268" s="390" t="s">
        <v>1381</v>
      </c>
      <c r="B268" s="391" t="s">
        <v>129</v>
      </c>
      <c r="C268" s="391">
        <v>44</v>
      </c>
      <c r="D268" s="391" t="s">
        <v>56</v>
      </c>
      <c r="E268" s="391">
        <v>231</v>
      </c>
      <c r="F268" s="391" t="s">
        <v>671</v>
      </c>
      <c r="G268" s="391" t="s">
        <v>400</v>
      </c>
      <c r="H268" s="391" t="s">
        <v>15</v>
      </c>
      <c r="I268" s="391">
        <v>15</v>
      </c>
      <c r="J268" s="392" t="s">
        <v>137</v>
      </c>
      <c r="K268" s="393">
        <f>(15*35)</f>
        <v>525</v>
      </c>
      <c r="L268" s="58"/>
      <c r="M268" s="58"/>
      <c r="N268" s="229"/>
      <c r="O268" s="186" t="s">
        <v>1382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>
      <c r="A269" s="390" t="s">
        <v>1381</v>
      </c>
      <c r="B269" s="391" t="s">
        <v>129</v>
      </c>
      <c r="C269" s="391">
        <v>44</v>
      </c>
      <c r="D269" s="391" t="s">
        <v>56</v>
      </c>
      <c r="E269" s="391">
        <v>701</v>
      </c>
      <c r="F269" s="391" t="s">
        <v>961</v>
      </c>
      <c r="G269" s="391" t="s">
        <v>962</v>
      </c>
      <c r="H269" s="391" t="s">
        <v>15</v>
      </c>
      <c r="I269" s="391">
        <v>20</v>
      </c>
      <c r="J269" s="392" t="s">
        <v>455</v>
      </c>
      <c r="K269" s="393">
        <f>(18*28)+(2*23.7)</f>
        <v>551.4</v>
      </c>
      <c r="L269" s="228"/>
      <c r="M269" s="58"/>
      <c r="N269" s="229"/>
      <c r="O269" s="186" t="s">
        <v>1382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>
      <c r="A270" s="390" t="s">
        <v>1381</v>
      </c>
      <c r="B270" s="391" t="s">
        <v>129</v>
      </c>
      <c r="C270" s="391">
        <v>44</v>
      </c>
      <c r="D270" s="391" t="s">
        <v>55</v>
      </c>
      <c r="E270" s="391">
        <v>157</v>
      </c>
      <c r="F270" s="391" t="s">
        <v>738</v>
      </c>
      <c r="G270" s="391" t="s">
        <v>71</v>
      </c>
      <c r="H270" s="391" t="s">
        <v>15</v>
      </c>
      <c r="I270" s="391">
        <v>13</v>
      </c>
      <c r="J270" s="392" t="s">
        <v>965</v>
      </c>
      <c r="K270" s="393">
        <f>(11*30)+(2*22.3)</f>
        <v>374.6</v>
      </c>
      <c r="L270" s="58"/>
      <c r="M270" s="58"/>
      <c r="N270" s="229"/>
      <c r="O270" s="186" t="s">
        <v>1382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>
      <c r="A271" s="390" t="s">
        <v>1381</v>
      </c>
      <c r="B271" s="391" t="s">
        <v>129</v>
      </c>
      <c r="C271" s="391">
        <v>44</v>
      </c>
      <c r="D271" s="391" t="s">
        <v>55</v>
      </c>
      <c r="E271" s="391">
        <v>228</v>
      </c>
      <c r="F271" s="391" t="s">
        <v>677</v>
      </c>
      <c r="G271" s="391" t="s">
        <v>234</v>
      </c>
      <c r="H271" s="391" t="s">
        <v>15</v>
      </c>
      <c r="I271" s="391">
        <v>15</v>
      </c>
      <c r="J271" s="392" t="s">
        <v>93</v>
      </c>
      <c r="K271" s="393">
        <f>(15*38)</f>
        <v>570</v>
      </c>
      <c r="L271" s="58"/>
      <c r="M271" s="58"/>
      <c r="N271" s="229"/>
      <c r="O271" s="186" t="s">
        <v>1382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>
      <c r="A272" s="390" t="s">
        <v>1381</v>
      </c>
      <c r="B272" s="391" t="s">
        <v>9</v>
      </c>
      <c r="C272" s="391">
        <v>40</v>
      </c>
      <c r="D272" s="391" t="s">
        <v>7</v>
      </c>
      <c r="E272" s="391">
        <v>43</v>
      </c>
      <c r="F272" s="391" t="s">
        <v>966</v>
      </c>
      <c r="G272" s="391" t="s">
        <v>294</v>
      </c>
      <c r="H272" s="391" t="s">
        <v>182</v>
      </c>
      <c r="I272" s="391">
        <v>20</v>
      </c>
      <c r="J272" s="392" t="s">
        <v>30</v>
      </c>
      <c r="K272" s="393">
        <f>(19*38)+(1*29.4)</f>
        <v>751.4</v>
      </c>
      <c r="L272" s="228" t="s">
        <v>1382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>
      <c r="A273" s="390" t="s">
        <v>1381</v>
      </c>
      <c r="B273" s="391" t="s">
        <v>9</v>
      </c>
      <c r="C273" s="391">
        <v>40</v>
      </c>
      <c r="D273" s="391" t="s">
        <v>7</v>
      </c>
      <c r="E273" s="391">
        <v>82</v>
      </c>
      <c r="F273" s="391" t="s">
        <v>418</v>
      </c>
      <c r="G273" s="391" t="s">
        <v>419</v>
      </c>
      <c r="H273" s="391" t="s">
        <v>5</v>
      </c>
      <c r="I273" s="391">
        <v>20</v>
      </c>
      <c r="J273" s="392" t="s">
        <v>30</v>
      </c>
      <c r="K273" s="393">
        <f>(19*38)+(1*29.4)</f>
        <v>751.4</v>
      </c>
      <c r="L273" s="58"/>
      <c r="M273" s="58"/>
      <c r="N273" s="229"/>
      <c r="O273" s="186" t="s">
        <v>1393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>
      <c r="A274" s="390" t="s">
        <v>1381</v>
      </c>
      <c r="B274" s="391" t="s">
        <v>9</v>
      </c>
      <c r="C274" s="391">
        <v>40</v>
      </c>
      <c r="D274" s="391" t="s">
        <v>7</v>
      </c>
      <c r="E274" s="391">
        <v>83</v>
      </c>
      <c r="F274" s="391" t="s">
        <v>220</v>
      </c>
      <c r="G274" s="391" t="s">
        <v>419</v>
      </c>
      <c r="H274" s="391" t="s">
        <v>5</v>
      </c>
      <c r="I274" s="391">
        <v>10</v>
      </c>
      <c r="J274" s="392" t="s">
        <v>973</v>
      </c>
      <c r="K274" s="393">
        <f>(9*38)+(1*29.4)</f>
        <v>371.4</v>
      </c>
      <c r="L274" s="58"/>
      <c r="M274" s="58"/>
      <c r="N274" s="229"/>
      <c r="O274" s="186" t="s">
        <v>1396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>
      <c r="A275" s="390" t="s">
        <v>1381</v>
      </c>
      <c r="B275" s="391" t="s">
        <v>9</v>
      </c>
      <c r="C275" s="391">
        <v>40</v>
      </c>
      <c r="D275" s="391" t="s">
        <v>7</v>
      </c>
      <c r="E275" s="391">
        <v>122</v>
      </c>
      <c r="F275" s="391" t="s">
        <v>967</v>
      </c>
      <c r="G275" s="391" t="s">
        <v>708</v>
      </c>
      <c r="H275" s="391" t="s">
        <v>5</v>
      </c>
      <c r="I275" s="391">
        <v>20</v>
      </c>
      <c r="J275" s="392" t="s">
        <v>974</v>
      </c>
      <c r="K275" s="393">
        <f>(19*40)+(1*31.4)</f>
        <v>791.4</v>
      </c>
      <c r="L275" s="58"/>
      <c r="M275" s="58"/>
      <c r="N275" s="229"/>
      <c r="O275" s="186" t="s">
        <v>1396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>
      <c r="A276" s="390" t="s">
        <v>1381</v>
      </c>
      <c r="B276" s="391" t="s">
        <v>9</v>
      </c>
      <c r="C276" s="391">
        <v>40</v>
      </c>
      <c r="D276" s="391" t="s">
        <v>7</v>
      </c>
      <c r="E276" s="391">
        <v>124</v>
      </c>
      <c r="F276" s="391" t="s">
        <v>968</v>
      </c>
      <c r="G276" s="391" t="s">
        <v>708</v>
      </c>
      <c r="H276" s="391" t="s">
        <v>5</v>
      </c>
      <c r="I276" s="391">
        <v>20</v>
      </c>
      <c r="J276" s="392" t="s">
        <v>974</v>
      </c>
      <c r="K276" s="393">
        <f>(19*40)+(1*31.4)</f>
        <v>791.4</v>
      </c>
      <c r="L276" s="58"/>
      <c r="M276" s="58"/>
      <c r="N276" s="229"/>
      <c r="O276" s="186" t="s">
        <v>1398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>
      <c r="A277" s="390" t="s">
        <v>1381</v>
      </c>
      <c r="B277" s="391" t="s">
        <v>9</v>
      </c>
      <c r="C277" s="391">
        <v>40</v>
      </c>
      <c r="D277" s="391" t="s">
        <v>7</v>
      </c>
      <c r="E277" s="391">
        <v>267</v>
      </c>
      <c r="F277" s="391" t="s">
        <v>327</v>
      </c>
      <c r="G277" s="391" t="s">
        <v>38</v>
      </c>
      <c r="H277" s="391" t="s">
        <v>182</v>
      </c>
      <c r="I277" s="391">
        <v>20</v>
      </c>
      <c r="J277" s="392" t="s">
        <v>17</v>
      </c>
      <c r="K277" s="393">
        <f>(19*35)+(1*26.4)</f>
        <v>691.4</v>
      </c>
      <c r="L277" s="228" t="s">
        <v>1384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>
      <c r="A278" s="390" t="s">
        <v>1381</v>
      </c>
      <c r="B278" s="391" t="s">
        <v>9</v>
      </c>
      <c r="C278" s="391">
        <v>40</v>
      </c>
      <c r="D278" s="391" t="s">
        <v>7</v>
      </c>
      <c r="E278" s="391">
        <v>270</v>
      </c>
      <c r="F278" s="391" t="s">
        <v>621</v>
      </c>
      <c r="G278" s="391" t="s">
        <v>38</v>
      </c>
      <c r="H278" s="391" t="s">
        <v>182</v>
      </c>
      <c r="I278" s="391">
        <v>20</v>
      </c>
      <c r="J278" s="392" t="s">
        <v>17</v>
      </c>
      <c r="K278" s="393">
        <f>(19*35)+(1*26.4)</f>
        <v>691.4</v>
      </c>
      <c r="L278" s="228" t="s">
        <v>1382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>
      <c r="A279" s="390" t="s">
        <v>1381</v>
      </c>
      <c r="B279" s="391" t="s">
        <v>9</v>
      </c>
      <c r="C279" s="391">
        <v>40</v>
      </c>
      <c r="D279" s="391" t="s">
        <v>7</v>
      </c>
      <c r="E279" s="391">
        <v>271</v>
      </c>
      <c r="F279" s="391" t="s">
        <v>350</v>
      </c>
      <c r="G279" s="391" t="s">
        <v>38</v>
      </c>
      <c r="H279" s="391" t="s">
        <v>182</v>
      </c>
      <c r="I279" s="391">
        <v>20</v>
      </c>
      <c r="J279" s="392" t="s">
        <v>17</v>
      </c>
      <c r="K279" s="393">
        <f>(19*35)+(1*26.4)</f>
        <v>691.4</v>
      </c>
      <c r="L279" s="228" t="s">
        <v>1384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>
      <c r="A280" s="390" t="s">
        <v>1381</v>
      </c>
      <c r="B280" s="391" t="s">
        <v>9</v>
      </c>
      <c r="C280" s="391">
        <v>40</v>
      </c>
      <c r="D280" s="391" t="s">
        <v>7</v>
      </c>
      <c r="E280" s="391">
        <v>322</v>
      </c>
      <c r="F280" s="391" t="s">
        <v>651</v>
      </c>
      <c r="G280" s="391" t="s">
        <v>604</v>
      </c>
      <c r="H280" s="391" t="s">
        <v>15</v>
      </c>
      <c r="I280" s="391">
        <v>15</v>
      </c>
      <c r="J280" s="392" t="s">
        <v>14</v>
      </c>
      <c r="K280" s="393">
        <f>(14*38)+(1*29.4)</f>
        <v>561.4</v>
      </c>
      <c r="L280" s="58"/>
      <c r="M280" s="58"/>
      <c r="N280" s="229"/>
      <c r="O280" s="186" t="s">
        <v>1393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>
      <c r="A281" s="390" t="s">
        <v>1381</v>
      </c>
      <c r="B281" s="391" t="s">
        <v>9</v>
      </c>
      <c r="C281" s="391">
        <v>40</v>
      </c>
      <c r="D281" s="391" t="s">
        <v>7</v>
      </c>
      <c r="E281" s="391">
        <v>327</v>
      </c>
      <c r="F281" s="391" t="s">
        <v>243</v>
      </c>
      <c r="G281" s="391" t="s">
        <v>604</v>
      </c>
      <c r="H281" s="391" t="s">
        <v>15</v>
      </c>
      <c r="I281" s="391">
        <v>15</v>
      </c>
      <c r="J281" s="392" t="s">
        <v>93</v>
      </c>
      <c r="K281" s="393">
        <f>(15*38)</f>
        <v>570</v>
      </c>
      <c r="L281" s="58"/>
      <c r="M281" s="58"/>
      <c r="N281" s="229"/>
      <c r="O281" s="186" t="s">
        <v>1398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>
      <c r="A282" s="390" t="s">
        <v>1381</v>
      </c>
      <c r="B282" s="391" t="s">
        <v>9</v>
      </c>
      <c r="C282" s="391">
        <v>40</v>
      </c>
      <c r="D282" s="391" t="s">
        <v>7</v>
      </c>
      <c r="E282" s="391">
        <v>382</v>
      </c>
      <c r="F282" s="391" t="s">
        <v>244</v>
      </c>
      <c r="G282" s="391" t="s">
        <v>18</v>
      </c>
      <c r="H282" s="391" t="s">
        <v>15</v>
      </c>
      <c r="I282" s="391">
        <v>20</v>
      </c>
      <c r="J282" s="392" t="s">
        <v>136</v>
      </c>
      <c r="K282" s="393">
        <f>(20*38)</f>
        <v>760</v>
      </c>
      <c r="L282" s="58"/>
      <c r="M282" s="58"/>
      <c r="N282" s="229"/>
      <c r="O282" s="186" t="s">
        <v>1393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>
      <c r="A283" s="390" t="s">
        <v>1381</v>
      </c>
      <c r="B283" s="391" t="s">
        <v>9</v>
      </c>
      <c r="C283" s="391">
        <v>40</v>
      </c>
      <c r="D283" s="391" t="s">
        <v>7</v>
      </c>
      <c r="E283" s="391">
        <v>383</v>
      </c>
      <c r="F283" s="391" t="s">
        <v>240</v>
      </c>
      <c r="G283" s="391" t="s">
        <v>18</v>
      </c>
      <c r="H283" s="391" t="s">
        <v>15</v>
      </c>
      <c r="I283" s="391">
        <v>30</v>
      </c>
      <c r="J283" s="392" t="s">
        <v>24</v>
      </c>
      <c r="K283" s="393">
        <f>(29*38)+(1*29.4)</f>
        <v>1131.4000000000001</v>
      </c>
      <c r="L283" s="58"/>
      <c r="M283" s="58"/>
      <c r="N283" s="229"/>
      <c r="O283" s="186" t="s">
        <v>1396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>
      <c r="A284" s="390" t="s">
        <v>1381</v>
      </c>
      <c r="B284" s="391" t="s">
        <v>9</v>
      </c>
      <c r="C284" s="391">
        <v>40</v>
      </c>
      <c r="D284" s="391" t="s">
        <v>7</v>
      </c>
      <c r="E284" s="391">
        <v>385</v>
      </c>
      <c r="F284" s="391" t="s">
        <v>969</v>
      </c>
      <c r="G284" s="391" t="s">
        <v>99</v>
      </c>
      <c r="H284" s="391" t="s">
        <v>5</v>
      </c>
      <c r="I284" s="391">
        <v>15</v>
      </c>
      <c r="J284" s="392" t="s">
        <v>137</v>
      </c>
      <c r="K284" s="393">
        <f>(15*35)</f>
        <v>525</v>
      </c>
      <c r="L284" s="58"/>
      <c r="M284" s="58"/>
      <c r="N284" s="229"/>
      <c r="O284" s="186" t="s">
        <v>1393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>
      <c r="A285" s="390" t="s">
        <v>1381</v>
      </c>
      <c r="B285" s="391" t="s">
        <v>9</v>
      </c>
      <c r="C285" s="391">
        <v>40</v>
      </c>
      <c r="D285" s="391" t="s">
        <v>7</v>
      </c>
      <c r="E285" s="391">
        <v>386</v>
      </c>
      <c r="F285" s="391" t="s">
        <v>118</v>
      </c>
      <c r="G285" s="391" t="s">
        <v>99</v>
      </c>
      <c r="H285" s="391" t="s">
        <v>5</v>
      </c>
      <c r="I285" s="391">
        <v>15</v>
      </c>
      <c r="J285" s="392" t="s">
        <v>137</v>
      </c>
      <c r="K285" s="393">
        <f>(15*35)</f>
        <v>525</v>
      </c>
      <c r="L285" s="58"/>
      <c r="M285" s="58"/>
      <c r="N285" s="229"/>
      <c r="O285" s="186" t="s">
        <v>1396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>
      <c r="A286" s="390" t="s">
        <v>1381</v>
      </c>
      <c r="B286" s="391" t="s">
        <v>9</v>
      </c>
      <c r="C286" s="391">
        <v>40</v>
      </c>
      <c r="D286" s="391" t="s">
        <v>7</v>
      </c>
      <c r="E286" s="391">
        <v>524</v>
      </c>
      <c r="F286" s="391" t="s">
        <v>970</v>
      </c>
      <c r="G286" s="391" t="s">
        <v>299</v>
      </c>
      <c r="H286" s="391" t="s">
        <v>15</v>
      </c>
      <c r="I286" s="391">
        <v>20</v>
      </c>
      <c r="J286" s="392" t="s">
        <v>22</v>
      </c>
      <c r="K286" s="393">
        <f>(18*35)+(2*26.4)</f>
        <v>682.8</v>
      </c>
      <c r="L286" s="58"/>
      <c r="M286" s="58"/>
      <c r="N286" s="229"/>
      <c r="O286" s="186" t="s">
        <v>1393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>
      <c r="A287" s="390" t="s">
        <v>1381</v>
      </c>
      <c r="B287" s="391" t="s">
        <v>9</v>
      </c>
      <c r="C287" s="391">
        <v>40</v>
      </c>
      <c r="D287" s="391" t="s">
        <v>7</v>
      </c>
      <c r="E287" s="391">
        <v>590</v>
      </c>
      <c r="F287" s="391" t="s">
        <v>876</v>
      </c>
      <c r="G287" s="391" t="s">
        <v>131</v>
      </c>
      <c r="H287" s="391" t="s">
        <v>15</v>
      </c>
      <c r="I287" s="391">
        <v>20</v>
      </c>
      <c r="J287" s="392" t="s">
        <v>30</v>
      </c>
      <c r="K287" s="393">
        <f>(19*38)+(1*29.4)</f>
        <v>751.4</v>
      </c>
      <c r="L287" s="228" t="s">
        <v>1382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>
      <c r="A288" s="390" t="s">
        <v>1381</v>
      </c>
      <c r="B288" s="391" t="s">
        <v>9</v>
      </c>
      <c r="C288" s="391">
        <v>40</v>
      </c>
      <c r="D288" s="391" t="s">
        <v>7</v>
      </c>
      <c r="E288" s="391">
        <v>591</v>
      </c>
      <c r="F288" s="391" t="s">
        <v>200</v>
      </c>
      <c r="G288" s="391" t="s">
        <v>131</v>
      </c>
      <c r="H288" s="391" t="s">
        <v>15</v>
      </c>
      <c r="I288" s="391">
        <v>20</v>
      </c>
      <c r="J288" s="392" t="s">
        <v>30</v>
      </c>
      <c r="K288" s="393">
        <f>(19*38)+(1*29.4)</f>
        <v>751.4</v>
      </c>
      <c r="L288" s="58"/>
      <c r="M288" s="58"/>
      <c r="N288" s="229"/>
      <c r="O288" s="186" t="s">
        <v>1393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>
      <c r="A289" s="390" t="s">
        <v>1381</v>
      </c>
      <c r="B289" s="391" t="s">
        <v>9</v>
      </c>
      <c r="C289" s="391">
        <v>40</v>
      </c>
      <c r="D289" s="391" t="s">
        <v>7</v>
      </c>
      <c r="E289" s="391">
        <v>600</v>
      </c>
      <c r="F289" s="391" t="s">
        <v>971</v>
      </c>
      <c r="G289" s="391" t="s">
        <v>132</v>
      </c>
      <c r="H289" s="391" t="s">
        <v>5</v>
      </c>
      <c r="I289" s="391">
        <v>20</v>
      </c>
      <c r="J289" s="392" t="s">
        <v>17</v>
      </c>
      <c r="K289" s="393">
        <f>(19*35)+(1*26.4)</f>
        <v>691.4</v>
      </c>
      <c r="L289" s="58"/>
      <c r="M289" s="58"/>
      <c r="N289" s="229"/>
      <c r="O289" s="186" t="s">
        <v>1396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>
      <c r="A290" s="390" t="s">
        <v>1381</v>
      </c>
      <c r="B290" s="391" t="s">
        <v>9</v>
      </c>
      <c r="C290" s="391">
        <v>40</v>
      </c>
      <c r="D290" s="391" t="s">
        <v>7</v>
      </c>
      <c r="E290" s="391">
        <v>603</v>
      </c>
      <c r="F290" s="391" t="s">
        <v>396</v>
      </c>
      <c r="G290" s="391" t="s">
        <v>132</v>
      </c>
      <c r="H290" s="391" t="s">
        <v>15</v>
      </c>
      <c r="I290" s="391">
        <v>20</v>
      </c>
      <c r="J290" s="392" t="s">
        <v>22</v>
      </c>
      <c r="K290" s="393">
        <f>(18*35)+(2*26.4)</f>
        <v>682.8</v>
      </c>
      <c r="L290" s="228"/>
      <c r="M290" s="58"/>
      <c r="N290" s="229"/>
      <c r="O290" s="186" t="s">
        <v>1393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>
      <c r="A291" s="390" t="s">
        <v>1381</v>
      </c>
      <c r="B291" s="391" t="s">
        <v>9</v>
      </c>
      <c r="C291" s="391">
        <v>40</v>
      </c>
      <c r="D291" s="391" t="s">
        <v>7</v>
      </c>
      <c r="E291" s="391">
        <v>681</v>
      </c>
      <c r="F291" s="391" t="s">
        <v>162</v>
      </c>
      <c r="G291" s="391" t="s">
        <v>545</v>
      </c>
      <c r="H291" s="391" t="s">
        <v>5</v>
      </c>
      <c r="I291" s="391">
        <v>15</v>
      </c>
      <c r="J291" s="392" t="s">
        <v>137</v>
      </c>
      <c r="K291" s="393">
        <f>(15*35)</f>
        <v>525</v>
      </c>
      <c r="L291" s="228" t="s">
        <v>1382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>
      <c r="A292" s="390" t="s">
        <v>1381</v>
      </c>
      <c r="B292" s="391" t="s">
        <v>9</v>
      </c>
      <c r="C292" s="391">
        <v>40</v>
      </c>
      <c r="D292" s="391" t="s">
        <v>7</v>
      </c>
      <c r="E292" s="391">
        <v>723</v>
      </c>
      <c r="F292" s="391" t="s">
        <v>713</v>
      </c>
      <c r="G292" s="391" t="s">
        <v>156</v>
      </c>
      <c r="H292" s="391" t="s">
        <v>15</v>
      </c>
      <c r="I292" s="391">
        <v>20</v>
      </c>
      <c r="J292" s="392" t="s">
        <v>134</v>
      </c>
      <c r="K292" s="393">
        <f>(20*26)</f>
        <v>520</v>
      </c>
      <c r="L292" s="228" t="s">
        <v>1384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>
      <c r="A293" s="390" t="s">
        <v>1381</v>
      </c>
      <c r="B293" s="391" t="s">
        <v>9</v>
      </c>
      <c r="C293" s="391">
        <v>40</v>
      </c>
      <c r="D293" s="391" t="s">
        <v>7</v>
      </c>
      <c r="E293" s="391">
        <v>725</v>
      </c>
      <c r="F293" s="391" t="s">
        <v>347</v>
      </c>
      <c r="G293" s="391" t="s">
        <v>156</v>
      </c>
      <c r="H293" s="391" t="s">
        <v>15</v>
      </c>
      <c r="I293" s="391">
        <v>20</v>
      </c>
      <c r="J293" s="392" t="s">
        <v>33</v>
      </c>
      <c r="K293" s="393">
        <f>(19*26)+(1*17.4)</f>
        <v>511.4</v>
      </c>
      <c r="L293" s="228" t="s">
        <v>1382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>
      <c r="A294" s="390" t="s">
        <v>1381</v>
      </c>
      <c r="B294" s="391" t="s">
        <v>9</v>
      </c>
      <c r="C294" s="391">
        <v>40</v>
      </c>
      <c r="D294" s="391" t="s">
        <v>7</v>
      </c>
      <c r="E294" s="391">
        <v>738</v>
      </c>
      <c r="F294" s="391" t="s">
        <v>621</v>
      </c>
      <c r="G294" s="391" t="s">
        <v>188</v>
      </c>
      <c r="H294" s="391" t="s">
        <v>5</v>
      </c>
      <c r="I294" s="391">
        <v>20</v>
      </c>
      <c r="J294" s="392" t="s">
        <v>17</v>
      </c>
      <c r="K294" s="393">
        <f>(19*35)+(1*26.4)</f>
        <v>691.4</v>
      </c>
      <c r="L294" s="228" t="s">
        <v>1382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>
      <c r="A295" s="390" t="s">
        <v>1381</v>
      </c>
      <c r="B295" s="391" t="s">
        <v>9</v>
      </c>
      <c r="C295" s="391">
        <v>40</v>
      </c>
      <c r="D295" s="391" t="s">
        <v>7</v>
      </c>
      <c r="E295" s="391">
        <v>742</v>
      </c>
      <c r="F295" s="391" t="s">
        <v>743</v>
      </c>
      <c r="G295" s="391" t="s">
        <v>188</v>
      </c>
      <c r="H295" s="391" t="s">
        <v>15</v>
      </c>
      <c r="I295" s="391">
        <v>20</v>
      </c>
      <c r="J295" s="392" t="s">
        <v>17</v>
      </c>
      <c r="K295" s="393">
        <f>(19*35)+(1*26.4)</f>
        <v>691.4</v>
      </c>
      <c r="L295" s="228" t="s">
        <v>1382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>
      <c r="A296" s="390" t="s">
        <v>1381</v>
      </c>
      <c r="B296" s="391" t="s">
        <v>9</v>
      </c>
      <c r="C296" s="391">
        <v>40</v>
      </c>
      <c r="D296" s="391" t="s">
        <v>7</v>
      </c>
      <c r="E296" s="391">
        <v>768</v>
      </c>
      <c r="F296" s="391" t="s">
        <v>675</v>
      </c>
      <c r="G296" s="391" t="s">
        <v>186</v>
      </c>
      <c r="H296" s="391" t="s">
        <v>15</v>
      </c>
      <c r="I296" s="391">
        <v>25</v>
      </c>
      <c r="J296" s="392" t="s">
        <v>103</v>
      </c>
      <c r="K296" s="393">
        <f>(24*35)+(1*26.4)</f>
        <v>866.4</v>
      </c>
      <c r="L296" s="228" t="s">
        <v>1384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>
      <c r="A297" s="390" t="s">
        <v>1381</v>
      </c>
      <c r="B297" s="391" t="s">
        <v>9</v>
      </c>
      <c r="C297" s="391">
        <v>40</v>
      </c>
      <c r="D297" s="391" t="s">
        <v>7</v>
      </c>
      <c r="E297" s="391">
        <v>769</v>
      </c>
      <c r="F297" s="391" t="s">
        <v>317</v>
      </c>
      <c r="G297" s="391" t="s">
        <v>186</v>
      </c>
      <c r="H297" s="391" t="s">
        <v>15</v>
      </c>
      <c r="I297" s="391">
        <v>20</v>
      </c>
      <c r="J297" s="392" t="s">
        <v>125</v>
      </c>
      <c r="K297" s="393">
        <f>(20*35)</f>
        <v>700</v>
      </c>
      <c r="L297" s="228" t="s">
        <v>1382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>
      <c r="A298" s="390" t="s">
        <v>1381</v>
      </c>
      <c r="B298" s="391" t="s">
        <v>9</v>
      </c>
      <c r="C298" s="391">
        <v>40</v>
      </c>
      <c r="D298" s="391" t="s">
        <v>7</v>
      </c>
      <c r="E298" s="391">
        <v>841</v>
      </c>
      <c r="F298" s="391" t="s">
        <v>342</v>
      </c>
      <c r="G298" s="391" t="s">
        <v>111</v>
      </c>
      <c r="H298" s="391" t="s">
        <v>5</v>
      </c>
      <c r="I298" s="391">
        <v>15</v>
      </c>
      <c r="J298" s="392" t="s">
        <v>100</v>
      </c>
      <c r="K298" s="393">
        <f>(14*33)+(1*24.4)</f>
        <v>486.4</v>
      </c>
      <c r="L298" s="228" t="s">
        <v>1382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>
      <c r="A299" s="390" t="s">
        <v>1381</v>
      </c>
      <c r="B299" s="391" t="s">
        <v>9</v>
      </c>
      <c r="C299" s="391">
        <v>40</v>
      </c>
      <c r="D299" s="391" t="s">
        <v>7</v>
      </c>
      <c r="E299" s="391">
        <v>844</v>
      </c>
      <c r="F299" s="391" t="s">
        <v>643</v>
      </c>
      <c r="G299" s="391" t="s">
        <v>111</v>
      </c>
      <c r="H299" s="391" t="s">
        <v>15</v>
      </c>
      <c r="I299" s="391">
        <v>15</v>
      </c>
      <c r="J299" s="392" t="s">
        <v>116</v>
      </c>
      <c r="K299" s="393">
        <f>(14*34)+(1*25.4)</f>
        <v>501.4</v>
      </c>
      <c r="L299" s="228" t="s">
        <v>1382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>
      <c r="A300" s="390" t="s">
        <v>1381</v>
      </c>
      <c r="B300" s="391" t="s">
        <v>9</v>
      </c>
      <c r="C300" s="391">
        <v>40</v>
      </c>
      <c r="D300" s="391" t="s">
        <v>7</v>
      </c>
      <c r="E300" s="391">
        <v>848</v>
      </c>
      <c r="F300" s="391" t="s">
        <v>269</v>
      </c>
      <c r="G300" s="391" t="s">
        <v>972</v>
      </c>
      <c r="H300" s="391" t="s">
        <v>5</v>
      </c>
      <c r="I300" s="391">
        <v>23</v>
      </c>
      <c r="J300" s="392" t="s">
        <v>975</v>
      </c>
      <c r="K300" s="393">
        <f>(22*35)+(1*26.4)</f>
        <v>796.4</v>
      </c>
      <c r="L300" s="228" t="s">
        <v>1382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>
      <c r="A301" s="390" t="s">
        <v>1381</v>
      </c>
      <c r="B301" s="391" t="s">
        <v>9</v>
      </c>
      <c r="C301" s="391">
        <v>40</v>
      </c>
      <c r="D301" s="391" t="s">
        <v>7</v>
      </c>
      <c r="E301" s="391">
        <v>867</v>
      </c>
      <c r="F301" s="391" t="s">
        <v>185</v>
      </c>
      <c r="G301" s="391" t="s">
        <v>54</v>
      </c>
      <c r="H301" s="391" t="s">
        <v>5</v>
      </c>
      <c r="I301" s="391">
        <v>25</v>
      </c>
      <c r="J301" s="392" t="s">
        <v>616</v>
      </c>
      <c r="K301" s="393">
        <f>(24*30)+(1*21.4)</f>
        <v>741.4</v>
      </c>
      <c r="L301" s="228" t="s">
        <v>1384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>
      <c r="A302" s="390" t="s">
        <v>1381</v>
      </c>
      <c r="B302" s="391" t="s">
        <v>9</v>
      </c>
      <c r="C302" s="391">
        <v>42</v>
      </c>
      <c r="D302" s="391" t="s">
        <v>16</v>
      </c>
      <c r="E302" s="391">
        <v>328</v>
      </c>
      <c r="F302" s="391" t="s">
        <v>563</v>
      </c>
      <c r="G302" s="391" t="s">
        <v>522</v>
      </c>
      <c r="H302" s="391" t="s">
        <v>5</v>
      </c>
      <c r="I302" s="391">
        <v>20</v>
      </c>
      <c r="J302" s="392" t="s">
        <v>30</v>
      </c>
      <c r="K302" s="393">
        <f>(19*38)+(1*29.4)</f>
        <v>751.4</v>
      </c>
      <c r="L302" s="228" t="s">
        <v>1384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>
      <c r="A303" s="390" t="s">
        <v>1381</v>
      </c>
      <c r="B303" s="391" t="s">
        <v>9</v>
      </c>
      <c r="C303" s="391">
        <v>42</v>
      </c>
      <c r="D303" s="391" t="s">
        <v>16</v>
      </c>
      <c r="E303" s="391">
        <v>389</v>
      </c>
      <c r="F303" s="391" t="s">
        <v>737</v>
      </c>
      <c r="G303" s="391" t="s">
        <v>144</v>
      </c>
      <c r="H303" s="391" t="s">
        <v>15</v>
      </c>
      <c r="I303" s="391">
        <v>15</v>
      </c>
      <c r="J303" s="392" t="s">
        <v>34</v>
      </c>
      <c r="K303" s="393">
        <f>(13*35)+(2*26.4)</f>
        <v>507.8</v>
      </c>
      <c r="L303" s="228" t="s">
        <v>1384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>
      <c r="A304" s="390" t="s">
        <v>1381</v>
      </c>
      <c r="B304" s="391" t="s">
        <v>9</v>
      </c>
      <c r="C304" s="391">
        <v>42</v>
      </c>
      <c r="D304" s="391" t="s">
        <v>16</v>
      </c>
      <c r="E304" s="391">
        <v>454</v>
      </c>
      <c r="F304" s="391" t="s">
        <v>426</v>
      </c>
      <c r="G304" s="391" t="s">
        <v>131</v>
      </c>
      <c r="H304" s="391" t="s">
        <v>5</v>
      </c>
      <c r="I304" s="391">
        <v>15</v>
      </c>
      <c r="J304" s="392" t="s">
        <v>93</v>
      </c>
      <c r="K304" s="393">
        <f>(15*38)</f>
        <v>570</v>
      </c>
      <c r="L304" s="228" t="s">
        <v>1384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thickBot="1">
      <c r="A305" s="390" t="s">
        <v>1381</v>
      </c>
      <c r="B305" s="394" t="s">
        <v>9</v>
      </c>
      <c r="C305" s="394">
        <v>42</v>
      </c>
      <c r="D305" s="394" t="s">
        <v>16</v>
      </c>
      <c r="E305" s="394">
        <v>537</v>
      </c>
      <c r="F305" s="394" t="s">
        <v>976</v>
      </c>
      <c r="G305" s="394" t="s">
        <v>202</v>
      </c>
      <c r="H305" s="394" t="s">
        <v>15</v>
      </c>
      <c r="I305" s="394">
        <v>15</v>
      </c>
      <c r="J305" s="395" t="s">
        <v>13</v>
      </c>
      <c r="K305" s="396">
        <f>(14*35)+(1*26.4)</f>
        <v>516.4</v>
      </c>
      <c r="L305" s="228" t="s">
        <v>1389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>
      <c r="A306" s="390" t="s">
        <v>1381</v>
      </c>
      <c r="B306" s="387" t="s">
        <v>9</v>
      </c>
      <c r="C306" s="387">
        <v>42</v>
      </c>
      <c r="D306" s="387" t="s">
        <v>16</v>
      </c>
      <c r="E306" s="387">
        <v>538</v>
      </c>
      <c r="F306" s="387" t="s">
        <v>977</v>
      </c>
      <c r="G306" s="387" t="s">
        <v>202</v>
      </c>
      <c r="H306" s="387" t="s">
        <v>15</v>
      </c>
      <c r="I306" s="387">
        <v>20</v>
      </c>
      <c r="J306" s="388" t="s">
        <v>125</v>
      </c>
      <c r="K306" s="389">
        <f>(20*35)</f>
        <v>700</v>
      </c>
      <c r="L306" s="228" t="s">
        <v>1384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>
      <c r="A307" s="390" t="s">
        <v>1381</v>
      </c>
      <c r="B307" s="391" t="s">
        <v>9</v>
      </c>
      <c r="C307" s="391">
        <v>42</v>
      </c>
      <c r="D307" s="391" t="s">
        <v>25</v>
      </c>
      <c r="E307" s="391">
        <v>16</v>
      </c>
      <c r="F307" s="391" t="s">
        <v>471</v>
      </c>
      <c r="G307" s="391" t="s">
        <v>35</v>
      </c>
      <c r="H307" s="391" t="s">
        <v>15</v>
      </c>
      <c r="I307" s="391">
        <v>20</v>
      </c>
      <c r="J307" s="392" t="s">
        <v>84</v>
      </c>
      <c r="K307" s="393">
        <f>(18*26)+(2*17.4)</f>
        <v>502.8</v>
      </c>
      <c r="L307" s="228" t="s">
        <v>1389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>
      <c r="A308" s="390" t="s">
        <v>1381</v>
      </c>
      <c r="B308" s="391" t="s">
        <v>9</v>
      </c>
      <c r="C308" s="391">
        <v>42</v>
      </c>
      <c r="D308" s="391" t="s">
        <v>25</v>
      </c>
      <c r="E308" s="391">
        <v>18</v>
      </c>
      <c r="F308" s="391" t="s">
        <v>652</v>
      </c>
      <c r="G308" s="391" t="s">
        <v>35</v>
      </c>
      <c r="H308" s="391" t="s">
        <v>15</v>
      </c>
      <c r="I308" s="391">
        <v>20</v>
      </c>
      <c r="J308" s="392" t="s">
        <v>84</v>
      </c>
      <c r="K308" s="393">
        <f>(18*26)+(2*17.4)</f>
        <v>502.8</v>
      </c>
      <c r="L308" s="228" t="s">
        <v>1384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>
      <c r="A309" s="390" t="s">
        <v>1381</v>
      </c>
      <c r="B309" s="391" t="s">
        <v>9</v>
      </c>
      <c r="C309" s="391">
        <v>42</v>
      </c>
      <c r="D309" s="391" t="s">
        <v>25</v>
      </c>
      <c r="E309" s="391">
        <v>35</v>
      </c>
      <c r="F309" s="391" t="s">
        <v>641</v>
      </c>
      <c r="G309" s="391" t="s">
        <v>35</v>
      </c>
      <c r="H309" s="391" t="s">
        <v>526</v>
      </c>
      <c r="I309" s="391">
        <v>20</v>
      </c>
      <c r="J309" s="392" t="s">
        <v>84</v>
      </c>
      <c r="K309" s="393">
        <f>(18*26)+(2*17.4)</f>
        <v>502.8</v>
      </c>
      <c r="L309" s="228" t="s">
        <v>1384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>
      <c r="A310" s="390" t="s">
        <v>1381</v>
      </c>
      <c r="B310" s="391" t="s">
        <v>9</v>
      </c>
      <c r="C310" s="391">
        <v>42</v>
      </c>
      <c r="D310" s="391" t="s">
        <v>25</v>
      </c>
      <c r="E310" s="391">
        <v>38</v>
      </c>
      <c r="F310" s="391" t="s">
        <v>978</v>
      </c>
      <c r="G310" s="391" t="s">
        <v>35</v>
      </c>
      <c r="H310" s="391" t="s">
        <v>526</v>
      </c>
      <c r="I310" s="391">
        <v>20</v>
      </c>
      <c r="J310" s="392" t="s">
        <v>33</v>
      </c>
      <c r="K310" s="393">
        <f>(19*26)+(1*17.4)</f>
        <v>511.4</v>
      </c>
      <c r="L310" s="228" t="s">
        <v>1389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>
      <c r="A311" s="390" t="s">
        <v>1381</v>
      </c>
      <c r="B311" s="391" t="s">
        <v>9</v>
      </c>
      <c r="C311" s="391">
        <v>42</v>
      </c>
      <c r="D311" s="391" t="s">
        <v>25</v>
      </c>
      <c r="E311" s="391">
        <v>41</v>
      </c>
      <c r="F311" s="391" t="s">
        <v>831</v>
      </c>
      <c r="G311" s="391" t="s">
        <v>35</v>
      </c>
      <c r="H311" s="391" t="s">
        <v>526</v>
      </c>
      <c r="I311" s="391">
        <v>20</v>
      </c>
      <c r="J311" s="392" t="s">
        <v>33</v>
      </c>
      <c r="K311" s="393">
        <f>(19*26)+(1*17.4)</f>
        <v>511.4</v>
      </c>
      <c r="L311" s="228" t="s">
        <v>1389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>
      <c r="A312" s="390" t="s">
        <v>1381</v>
      </c>
      <c r="B312" s="391" t="s">
        <v>9</v>
      </c>
      <c r="C312" s="391">
        <v>42</v>
      </c>
      <c r="D312" s="391" t="s">
        <v>25</v>
      </c>
      <c r="E312" s="391">
        <v>46</v>
      </c>
      <c r="F312" s="391" t="s">
        <v>525</v>
      </c>
      <c r="G312" s="391" t="s">
        <v>696</v>
      </c>
      <c r="H312" s="391" t="s">
        <v>5</v>
      </c>
      <c r="I312" s="391">
        <v>18</v>
      </c>
      <c r="J312" s="392" t="s">
        <v>982</v>
      </c>
      <c r="K312" s="393">
        <f>(17*28)+(1*19.4)</f>
        <v>495.4</v>
      </c>
      <c r="L312" s="228" t="s">
        <v>1389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>
      <c r="A313" s="390" t="s">
        <v>1381</v>
      </c>
      <c r="B313" s="391" t="s">
        <v>9</v>
      </c>
      <c r="C313" s="391">
        <v>42</v>
      </c>
      <c r="D313" s="391" t="s">
        <v>25</v>
      </c>
      <c r="E313" s="391">
        <v>78</v>
      </c>
      <c r="F313" s="391" t="s">
        <v>867</v>
      </c>
      <c r="G313" s="391" t="s">
        <v>111</v>
      </c>
      <c r="H313" s="391" t="s">
        <v>5</v>
      </c>
      <c r="I313" s="391">
        <v>30</v>
      </c>
      <c r="J313" s="392" t="s">
        <v>983</v>
      </c>
      <c r="K313" s="393">
        <f>(29*33)+(1*24.4)</f>
        <v>981.4</v>
      </c>
      <c r="L313" s="228" t="s">
        <v>1384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>
      <c r="A314" s="390" t="s">
        <v>1381</v>
      </c>
      <c r="B314" s="391" t="s">
        <v>9</v>
      </c>
      <c r="C314" s="391">
        <v>42</v>
      </c>
      <c r="D314" s="391" t="s">
        <v>25</v>
      </c>
      <c r="E314" s="391">
        <v>79</v>
      </c>
      <c r="F314" s="391" t="s">
        <v>573</v>
      </c>
      <c r="G314" s="391" t="s">
        <v>111</v>
      </c>
      <c r="H314" s="391" t="s">
        <v>15</v>
      </c>
      <c r="I314" s="391">
        <v>15</v>
      </c>
      <c r="J314" s="392" t="s">
        <v>116</v>
      </c>
      <c r="K314" s="393">
        <f>(14*34)+(1*25.4)</f>
        <v>501.4</v>
      </c>
      <c r="L314" s="228" t="s">
        <v>1384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>
      <c r="A315" s="390" t="s">
        <v>1381</v>
      </c>
      <c r="B315" s="391" t="s">
        <v>9</v>
      </c>
      <c r="C315" s="391">
        <v>42</v>
      </c>
      <c r="D315" s="391" t="s">
        <v>25</v>
      </c>
      <c r="E315" s="391">
        <v>80</v>
      </c>
      <c r="F315" s="391" t="s">
        <v>448</v>
      </c>
      <c r="G315" s="391" t="s">
        <v>111</v>
      </c>
      <c r="H315" s="391" t="s">
        <v>15</v>
      </c>
      <c r="I315" s="391">
        <v>15</v>
      </c>
      <c r="J315" s="392" t="s">
        <v>116</v>
      </c>
      <c r="K315" s="393">
        <f>(14*34)+(1*25.4)</f>
        <v>501.4</v>
      </c>
      <c r="L315" s="228" t="s">
        <v>1389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>
      <c r="A316" s="390" t="s">
        <v>1381</v>
      </c>
      <c r="B316" s="391" t="s">
        <v>9</v>
      </c>
      <c r="C316" s="391">
        <v>42</v>
      </c>
      <c r="D316" s="391" t="s">
        <v>25</v>
      </c>
      <c r="E316" s="391">
        <v>149</v>
      </c>
      <c r="F316" s="391" t="s">
        <v>153</v>
      </c>
      <c r="G316" s="391" t="s">
        <v>202</v>
      </c>
      <c r="H316" s="391" t="s">
        <v>15</v>
      </c>
      <c r="I316" s="391">
        <v>15</v>
      </c>
      <c r="J316" s="392" t="s">
        <v>137</v>
      </c>
      <c r="K316" s="393">
        <f>(15*35)</f>
        <v>525</v>
      </c>
      <c r="L316" s="228" t="s">
        <v>1384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>
      <c r="A317" s="390" t="s">
        <v>1381</v>
      </c>
      <c r="B317" s="391" t="s">
        <v>9</v>
      </c>
      <c r="C317" s="391">
        <v>42</v>
      </c>
      <c r="D317" s="391" t="s">
        <v>29</v>
      </c>
      <c r="E317" s="391">
        <v>215</v>
      </c>
      <c r="F317" s="391" t="s">
        <v>120</v>
      </c>
      <c r="G317" s="391" t="s">
        <v>114</v>
      </c>
      <c r="H317" s="391" t="s">
        <v>5</v>
      </c>
      <c r="I317" s="391">
        <v>10</v>
      </c>
      <c r="J317" s="392" t="s">
        <v>11</v>
      </c>
      <c r="K317" s="393">
        <f>(9*35)+(1*26.4)</f>
        <v>341.4</v>
      </c>
      <c r="L317" s="228" t="s">
        <v>1384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>
      <c r="A318" s="390" t="s">
        <v>1381</v>
      </c>
      <c r="B318" s="391" t="s">
        <v>9</v>
      </c>
      <c r="C318" s="391">
        <v>42</v>
      </c>
      <c r="D318" s="391" t="s">
        <v>29</v>
      </c>
      <c r="E318" s="391">
        <v>216</v>
      </c>
      <c r="F318" s="391" t="s">
        <v>871</v>
      </c>
      <c r="G318" s="391" t="s">
        <v>114</v>
      </c>
      <c r="H318" s="391" t="s">
        <v>5</v>
      </c>
      <c r="I318" s="391">
        <v>15</v>
      </c>
      <c r="J318" s="392" t="s">
        <v>13</v>
      </c>
      <c r="K318" s="393">
        <f>(14*35)+(1*26.4)</f>
        <v>516.4</v>
      </c>
      <c r="L318" s="228" t="s">
        <v>1384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>
      <c r="A319" s="390" t="s">
        <v>1381</v>
      </c>
      <c r="B319" s="391" t="s">
        <v>9</v>
      </c>
      <c r="C319" s="391">
        <v>42</v>
      </c>
      <c r="D319" s="391" t="s">
        <v>29</v>
      </c>
      <c r="E319" s="391">
        <v>221</v>
      </c>
      <c r="F319" s="391" t="s">
        <v>714</v>
      </c>
      <c r="G319" s="391" t="s">
        <v>114</v>
      </c>
      <c r="H319" s="391" t="s">
        <v>15</v>
      </c>
      <c r="I319" s="391">
        <v>15</v>
      </c>
      <c r="J319" s="392" t="s">
        <v>13</v>
      </c>
      <c r="K319" s="393">
        <f>(14*35)+(1*26.4)</f>
        <v>516.4</v>
      </c>
      <c r="L319" s="228" t="s">
        <v>1389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>
      <c r="A320" s="390" t="s">
        <v>1381</v>
      </c>
      <c r="B320" s="391" t="s">
        <v>9</v>
      </c>
      <c r="C320" s="391">
        <v>42</v>
      </c>
      <c r="D320" s="391" t="s">
        <v>29</v>
      </c>
      <c r="E320" s="391">
        <v>553</v>
      </c>
      <c r="F320" s="391" t="s">
        <v>979</v>
      </c>
      <c r="G320" s="391" t="s">
        <v>981</v>
      </c>
      <c r="H320" s="391" t="s">
        <v>15</v>
      </c>
      <c r="I320" s="391">
        <v>20</v>
      </c>
      <c r="J320" s="392" t="s">
        <v>136</v>
      </c>
      <c r="K320" s="393">
        <f>(20*38)</f>
        <v>760</v>
      </c>
      <c r="L320" s="228" t="s">
        <v>1384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>
      <c r="A321" s="390" t="s">
        <v>1381</v>
      </c>
      <c r="B321" s="391" t="s">
        <v>9</v>
      </c>
      <c r="C321" s="391">
        <v>42</v>
      </c>
      <c r="D321" s="391" t="s">
        <v>10</v>
      </c>
      <c r="E321" s="391">
        <v>114</v>
      </c>
      <c r="F321" s="391" t="s">
        <v>812</v>
      </c>
      <c r="G321" s="391" t="s">
        <v>38</v>
      </c>
      <c r="H321" s="391" t="s">
        <v>15</v>
      </c>
      <c r="I321" s="391">
        <v>15</v>
      </c>
      <c r="J321" s="392" t="s">
        <v>13</v>
      </c>
      <c r="K321" s="393">
        <f>(14*35)+(1*26.4)</f>
        <v>516.4</v>
      </c>
      <c r="L321" s="228" t="s">
        <v>1384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>
      <c r="A322" s="390" t="s">
        <v>1381</v>
      </c>
      <c r="B322" s="391" t="s">
        <v>9</v>
      </c>
      <c r="C322" s="391">
        <v>42</v>
      </c>
      <c r="D322" s="391" t="s">
        <v>10</v>
      </c>
      <c r="E322" s="391">
        <v>116</v>
      </c>
      <c r="F322" s="391" t="s">
        <v>338</v>
      </c>
      <c r="G322" s="391" t="s">
        <v>38</v>
      </c>
      <c r="H322" s="391" t="s">
        <v>15</v>
      </c>
      <c r="I322" s="391">
        <v>15</v>
      </c>
      <c r="J322" s="392" t="s">
        <v>13</v>
      </c>
      <c r="K322" s="393">
        <f>(14*35)+(1*26.4)</f>
        <v>516.4</v>
      </c>
      <c r="L322" s="228" t="s">
        <v>1389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>
      <c r="A323" s="390" t="s">
        <v>1381</v>
      </c>
      <c r="B323" s="391" t="s">
        <v>9</v>
      </c>
      <c r="C323" s="391">
        <v>42</v>
      </c>
      <c r="D323" s="391" t="s">
        <v>10</v>
      </c>
      <c r="E323" s="391">
        <v>240</v>
      </c>
      <c r="F323" s="391" t="s">
        <v>396</v>
      </c>
      <c r="G323" s="391" t="s">
        <v>177</v>
      </c>
      <c r="H323" s="391" t="s">
        <v>182</v>
      </c>
      <c r="I323" s="391">
        <v>20</v>
      </c>
      <c r="J323" s="392" t="s">
        <v>17</v>
      </c>
      <c r="K323" s="393">
        <f>(19*35)+(1*26.4)</f>
        <v>691.4</v>
      </c>
      <c r="L323" s="228" t="s">
        <v>1384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>
      <c r="A324" s="390" t="s">
        <v>1381</v>
      </c>
      <c r="B324" s="391" t="s">
        <v>9</v>
      </c>
      <c r="C324" s="391">
        <v>42</v>
      </c>
      <c r="D324" s="391" t="s">
        <v>10</v>
      </c>
      <c r="E324" s="391">
        <v>281</v>
      </c>
      <c r="F324" s="391" t="s">
        <v>594</v>
      </c>
      <c r="G324" s="391" t="s">
        <v>623</v>
      </c>
      <c r="H324" s="391" t="s">
        <v>15</v>
      </c>
      <c r="I324" s="391">
        <v>20</v>
      </c>
      <c r="J324" s="392" t="s">
        <v>30</v>
      </c>
      <c r="K324" s="393">
        <f>(19*38)+(1*29.4)</f>
        <v>751.4</v>
      </c>
      <c r="L324" s="228" t="s">
        <v>1389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>
      <c r="A325" s="390" t="s">
        <v>1381</v>
      </c>
      <c r="B325" s="391" t="s">
        <v>9</v>
      </c>
      <c r="C325" s="391">
        <v>42</v>
      </c>
      <c r="D325" s="391" t="s">
        <v>10</v>
      </c>
      <c r="E325" s="391">
        <v>466</v>
      </c>
      <c r="F325" s="391" t="s">
        <v>980</v>
      </c>
      <c r="G325" s="391" t="s">
        <v>674</v>
      </c>
      <c r="H325" s="391" t="s">
        <v>5</v>
      </c>
      <c r="I325" s="391">
        <v>10</v>
      </c>
      <c r="J325" s="392" t="s">
        <v>115</v>
      </c>
      <c r="K325" s="393">
        <f>(9*26)+(1*17.4)</f>
        <v>251.4</v>
      </c>
      <c r="L325" s="228" t="s">
        <v>1389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>
      <c r="A326" s="390" t="s">
        <v>1381</v>
      </c>
      <c r="B326" s="391" t="s">
        <v>9</v>
      </c>
      <c r="C326" s="391">
        <v>42</v>
      </c>
      <c r="D326" s="391" t="s">
        <v>10</v>
      </c>
      <c r="E326" s="391">
        <v>468</v>
      </c>
      <c r="F326" s="391" t="s">
        <v>467</v>
      </c>
      <c r="G326" s="391" t="s">
        <v>674</v>
      </c>
      <c r="H326" s="391" t="s">
        <v>5</v>
      </c>
      <c r="I326" s="391">
        <v>25</v>
      </c>
      <c r="J326" s="392" t="s">
        <v>148</v>
      </c>
      <c r="K326" s="393">
        <f>(25*26)</f>
        <v>650</v>
      </c>
      <c r="L326" s="228" t="s">
        <v>1384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>
      <c r="A327" s="390" t="s">
        <v>1381</v>
      </c>
      <c r="B327" s="391" t="s">
        <v>9</v>
      </c>
      <c r="C327" s="391">
        <v>42</v>
      </c>
      <c r="D327" s="391" t="s">
        <v>10</v>
      </c>
      <c r="E327" s="391">
        <v>501</v>
      </c>
      <c r="F327" s="391" t="s">
        <v>634</v>
      </c>
      <c r="G327" s="391" t="s">
        <v>141</v>
      </c>
      <c r="H327" s="391" t="s">
        <v>5</v>
      </c>
      <c r="I327" s="391">
        <v>25</v>
      </c>
      <c r="J327" s="392" t="s">
        <v>103</v>
      </c>
      <c r="K327" s="393">
        <f>(24*35)+(1*26.4)</f>
        <v>866.4</v>
      </c>
      <c r="L327" s="228" t="s">
        <v>1389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>
      <c r="A328" s="390" t="s">
        <v>1381</v>
      </c>
      <c r="B328" s="391" t="s">
        <v>9</v>
      </c>
      <c r="C328" s="391">
        <v>42</v>
      </c>
      <c r="D328" s="391" t="s">
        <v>10</v>
      </c>
      <c r="E328" s="391">
        <v>560</v>
      </c>
      <c r="F328" s="391" t="s">
        <v>885</v>
      </c>
      <c r="G328" s="391" t="s">
        <v>349</v>
      </c>
      <c r="H328" s="391" t="s">
        <v>15</v>
      </c>
      <c r="I328" s="391">
        <v>15</v>
      </c>
      <c r="J328" s="392" t="s">
        <v>14</v>
      </c>
      <c r="K328" s="393">
        <f>(14*38)+(1*29.4)</f>
        <v>561.4</v>
      </c>
      <c r="L328" s="228" t="s">
        <v>1389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>
      <c r="A329" s="390" t="s">
        <v>1381</v>
      </c>
      <c r="B329" s="391" t="s">
        <v>9</v>
      </c>
      <c r="C329" s="391">
        <v>42</v>
      </c>
      <c r="D329" s="391" t="s">
        <v>10</v>
      </c>
      <c r="E329" s="391">
        <v>687</v>
      </c>
      <c r="F329" s="391" t="s">
        <v>120</v>
      </c>
      <c r="G329" s="391" t="s">
        <v>35</v>
      </c>
      <c r="H329" s="391" t="s">
        <v>5</v>
      </c>
      <c r="I329" s="391">
        <v>20</v>
      </c>
      <c r="J329" s="392" t="s">
        <v>33</v>
      </c>
      <c r="K329" s="393">
        <f>(19*26)+(1*17.4)</f>
        <v>511.4</v>
      </c>
      <c r="L329" s="228" t="s">
        <v>1389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>
      <c r="A330" s="390" t="s">
        <v>1381</v>
      </c>
      <c r="B330" s="391" t="s">
        <v>9</v>
      </c>
      <c r="C330" s="391">
        <v>42</v>
      </c>
      <c r="D330" s="391" t="s">
        <v>10</v>
      </c>
      <c r="E330" s="391">
        <v>689</v>
      </c>
      <c r="F330" s="391" t="s">
        <v>124</v>
      </c>
      <c r="G330" s="391" t="s">
        <v>35</v>
      </c>
      <c r="H330" s="391" t="s">
        <v>15</v>
      </c>
      <c r="I330" s="391">
        <v>20</v>
      </c>
      <c r="J330" s="392" t="s">
        <v>33</v>
      </c>
      <c r="K330" s="393">
        <f>(19*26)+(1*17.4)</f>
        <v>511.4</v>
      </c>
      <c r="L330" s="228" t="s">
        <v>1384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>
      <c r="A331" s="390" t="s">
        <v>1381</v>
      </c>
      <c r="B331" s="391" t="s">
        <v>9</v>
      </c>
      <c r="C331" s="391">
        <v>40</v>
      </c>
      <c r="D331" s="391" t="s">
        <v>16</v>
      </c>
      <c r="E331" s="391">
        <v>391</v>
      </c>
      <c r="F331" s="391" t="s">
        <v>984</v>
      </c>
      <c r="G331" s="391" t="s">
        <v>175</v>
      </c>
      <c r="H331" s="391" t="s">
        <v>15</v>
      </c>
      <c r="I331" s="391">
        <v>30</v>
      </c>
      <c r="J331" s="392" t="s">
        <v>12</v>
      </c>
      <c r="K331" s="393">
        <f>(29*35)+(1*26.4)</f>
        <v>1041.4000000000001</v>
      </c>
      <c r="L331" s="228" t="s">
        <v>1382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>
      <c r="A332" s="390" t="s">
        <v>1381</v>
      </c>
      <c r="B332" s="391" t="s">
        <v>9</v>
      </c>
      <c r="C332" s="391">
        <v>40</v>
      </c>
      <c r="D332" s="391" t="s">
        <v>16</v>
      </c>
      <c r="E332" s="391">
        <v>392</v>
      </c>
      <c r="F332" s="391" t="s">
        <v>624</v>
      </c>
      <c r="G332" s="391" t="s">
        <v>175</v>
      </c>
      <c r="H332" s="391" t="s">
        <v>15</v>
      </c>
      <c r="I332" s="391">
        <v>20</v>
      </c>
      <c r="J332" s="392" t="s">
        <v>17</v>
      </c>
      <c r="K332" s="393">
        <f>(19*35)+(1*26.4)</f>
        <v>691.4</v>
      </c>
      <c r="L332" s="228" t="s">
        <v>1384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>
      <c r="A333" s="390" t="s">
        <v>1381</v>
      </c>
      <c r="B333" s="391" t="s">
        <v>9</v>
      </c>
      <c r="C333" s="391">
        <v>40</v>
      </c>
      <c r="D333" s="391" t="s">
        <v>16</v>
      </c>
      <c r="E333" s="391">
        <v>451</v>
      </c>
      <c r="F333" s="391" t="s">
        <v>719</v>
      </c>
      <c r="G333" s="391" t="s">
        <v>290</v>
      </c>
      <c r="H333" s="391" t="s">
        <v>5</v>
      </c>
      <c r="I333" s="391">
        <v>20</v>
      </c>
      <c r="J333" s="392" t="s">
        <v>136</v>
      </c>
      <c r="K333" s="393">
        <f>(20*38)</f>
        <v>760</v>
      </c>
      <c r="L333" s="228" t="s">
        <v>1382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>
      <c r="A334" s="390" t="s">
        <v>1381</v>
      </c>
      <c r="B334" s="391" t="s">
        <v>9</v>
      </c>
      <c r="C334" s="391">
        <v>40</v>
      </c>
      <c r="D334" s="391" t="s">
        <v>16</v>
      </c>
      <c r="E334" s="391">
        <v>453</v>
      </c>
      <c r="F334" s="391" t="s">
        <v>985</v>
      </c>
      <c r="G334" s="391" t="s">
        <v>290</v>
      </c>
      <c r="H334" s="391" t="s">
        <v>15</v>
      </c>
      <c r="I334" s="391">
        <v>15</v>
      </c>
      <c r="J334" s="392" t="s">
        <v>93</v>
      </c>
      <c r="K334" s="393">
        <f>(15*38)</f>
        <v>570</v>
      </c>
      <c r="L334" s="228" t="s">
        <v>1384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>
      <c r="A335" s="390" t="s">
        <v>1381</v>
      </c>
      <c r="B335" s="391" t="s">
        <v>9</v>
      </c>
      <c r="C335" s="391">
        <v>40</v>
      </c>
      <c r="D335" s="391" t="s">
        <v>25</v>
      </c>
      <c r="E335" s="391">
        <v>70</v>
      </c>
      <c r="F335" s="391" t="s">
        <v>832</v>
      </c>
      <c r="G335" s="391" t="s">
        <v>111</v>
      </c>
      <c r="H335" s="391" t="s">
        <v>15</v>
      </c>
      <c r="I335" s="391">
        <v>15</v>
      </c>
      <c r="J335" s="392" t="s">
        <v>116</v>
      </c>
      <c r="K335" s="393">
        <f>(14*34)+(1*25.4)</f>
        <v>501.4</v>
      </c>
      <c r="L335" s="58"/>
      <c r="M335" s="58"/>
      <c r="N335" s="229"/>
      <c r="O335" s="186" t="s">
        <v>1398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>
      <c r="A336" s="390" t="s">
        <v>1381</v>
      </c>
      <c r="B336" s="391" t="s">
        <v>9</v>
      </c>
      <c r="C336" s="391">
        <v>40</v>
      </c>
      <c r="D336" s="391" t="s">
        <v>25</v>
      </c>
      <c r="E336" s="391">
        <v>71</v>
      </c>
      <c r="F336" s="391" t="s">
        <v>255</v>
      </c>
      <c r="G336" s="391" t="s">
        <v>111</v>
      </c>
      <c r="H336" s="391" t="s">
        <v>15</v>
      </c>
      <c r="I336" s="391">
        <v>20</v>
      </c>
      <c r="J336" s="392" t="s">
        <v>133</v>
      </c>
      <c r="K336" s="393">
        <f>(20*34)</f>
        <v>680</v>
      </c>
      <c r="L336" s="58"/>
      <c r="M336" s="58"/>
      <c r="N336" s="229"/>
      <c r="O336" s="186" t="s">
        <v>1396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>
      <c r="A337" s="390" t="s">
        <v>1381</v>
      </c>
      <c r="B337" s="391" t="s">
        <v>9</v>
      </c>
      <c r="C337" s="391">
        <v>40</v>
      </c>
      <c r="D337" s="391" t="s">
        <v>25</v>
      </c>
      <c r="E337" s="391">
        <v>144</v>
      </c>
      <c r="F337" s="391" t="s">
        <v>853</v>
      </c>
      <c r="G337" s="391" t="s">
        <v>202</v>
      </c>
      <c r="H337" s="391" t="s">
        <v>15</v>
      </c>
      <c r="I337" s="391">
        <v>20</v>
      </c>
      <c r="J337" s="392" t="s">
        <v>125</v>
      </c>
      <c r="K337" s="393">
        <f>(20*35)</f>
        <v>700</v>
      </c>
      <c r="L337" s="228" t="s">
        <v>1382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>
      <c r="A338" s="390" t="s">
        <v>1381</v>
      </c>
      <c r="B338" s="391" t="s">
        <v>9</v>
      </c>
      <c r="C338" s="391">
        <v>40</v>
      </c>
      <c r="D338" s="391" t="s">
        <v>7</v>
      </c>
      <c r="E338" s="391">
        <v>1058</v>
      </c>
      <c r="F338" s="391" t="s">
        <v>372</v>
      </c>
      <c r="G338" s="391" t="s">
        <v>673</v>
      </c>
      <c r="H338" s="391" t="s">
        <v>5</v>
      </c>
      <c r="I338" s="391">
        <v>20</v>
      </c>
      <c r="J338" s="392" t="s">
        <v>17</v>
      </c>
      <c r="K338" s="393">
        <f>(19*35)+(1*26.4)</f>
        <v>691.4</v>
      </c>
      <c r="L338" s="228" t="s">
        <v>1384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>
      <c r="A339" s="390" t="s">
        <v>1381</v>
      </c>
      <c r="B339" s="391" t="s">
        <v>9</v>
      </c>
      <c r="C339" s="391">
        <v>40</v>
      </c>
      <c r="D339" s="391" t="s">
        <v>7</v>
      </c>
      <c r="E339" s="391">
        <v>1059</v>
      </c>
      <c r="F339" s="391" t="s">
        <v>986</v>
      </c>
      <c r="G339" s="391" t="s">
        <v>673</v>
      </c>
      <c r="H339" s="391" t="s">
        <v>5</v>
      </c>
      <c r="I339" s="391">
        <v>20</v>
      </c>
      <c r="J339" s="392" t="s">
        <v>17</v>
      </c>
      <c r="K339" s="393">
        <f>(19*35)+(1*26.4)</f>
        <v>691.4</v>
      </c>
      <c r="L339" s="228" t="s">
        <v>1382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>
      <c r="A340" s="390" t="s">
        <v>1381</v>
      </c>
      <c r="B340" s="391" t="s">
        <v>9</v>
      </c>
      <c r="C340" s="391">
        <v>40</v>
      </c>
      <c r="D340" s="391" t="s">
        <v>7</v>
      </c>
      <c r="E340" s="391">
        <v>1064</v>
      </c>
      <c r="F340" s="391" t="s">
        <v>214</v>
      </c>
      <c r="G340" s="391" t="s">
        <v>673</v>
      </c>
      <c r="H340" s="391" t="s">
        <v>15</v>
      </c>
      <c r="I340" s="391">
        <v>15</v>
      </c>
      <c r="J340" s="392" t="s">
        <v>13</v>
      </c>
      <c r="K340" s="393">
        <f>(14*35)+(1*26.4)</f>
        <v>516.4</v>
      </c>
      <c r="L340" s="228" t="s">
        <v>1382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>
      <c r="A341" s="390" t="s">
        <v>1381</v>
      </c>
      <c r="B341" s="391" t="s">
        <v>9</v>
      </c>
      <c r="C341" s="391">
        <v>40</v>
      </c>
      <c r="D341" s="391" t="s">
        <v>7</v>
      </c>
      <c r="E341" s="391">
        <v>1065</v>
      </c>
      <c r="F341" s="391" t="s">
        <v>826</v>
      </c>
      <c r="G341" s="391" t="s">
        <v>673</v>
      </c>
      <c r="H341" s="391" t="s">
        <v>15</v>
      </c>
      <c r="I341" s="391">
        <v>15</v>
      </c>
      <c r="J341" s="392" t="s">
        <v>137</v>
      </c>
      <c r="K341" s="393">
        <f>(15*35)</f>
        <v>525</v>
      </c>
      <c r="L341" s="228" t="s">
        <v>1384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>
      <c r="A342" s="390" t="s">
        <v>1381</v>
      </c>
      <c r="B342" s="391" t="s">
        <v>9</v>
      </c>
      <c r="C342" s="391">
        <v>40</v>
      </c>
      <c r="D342" s="391" t="s">
        <v>7</v>
      </c>
      <c r="E342" s="391">
        <v>1068</v>
      </c>
      <c r="F342" s="391" t="s">
        <v>197</v>
      </c>
      <c r="G342" s="391" t="s">
        <v>673</v>
      </c>
      <c r="H342" s="391" t="s">
        <v>15</v>
      </c>
      <c r="I342" s="391">
        <v>15</v>
      </c>
      <c r="J342" s="392" t="s">
        <v>13</v>
      </c>
      <c r="K342" s="393">
        <f>(14*35)+(1*26.4)</f>
        <v>516.4</v>
      </c>
      <c r="L342" s="228" t="s">
        <v>1384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>
      <c r="A343" s="390" t="s">
        <v>1381</v>
      </c>
      <c r="B343" s="391" t="s">
        <v>9</v>
      </c>
      <c r="C343" s="391">
        <v>40</v>
      </c>
      <c r="D343" s="391" t="s">
        <v>7</v>
      </c>
      <c r="E343" s="391">
        <v>1071</v>
      </c>
      <c r="F343" s="391" t="s">
        <v>165</v>
      </c>
      <c r="G343" s="391" t="s">
        <v>673</v>
      </c>
      <c r="H343" s="391" t="s">
        <v>182</v>
      </c>
      <c r="I343" s="391">
        <v>15</v>
      </c>
      <c r="J343" s="392" t="s">
        <v>529</v>
      </c>
      <c r="K343" s="393">
        <f>(14*35)+(1*29.2)</f>
        <v>519.20000000000005</v>
      </c>
      <c r="L343" s="228" t="s">
        <v>1382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thickBot="1">
      <c r="A344" s="390" t="s">
        <v>1381</v>
      </c>
      <c r="B344" s="394" t="s">
        <v>9</v>
      </c>
      <c r="C344" s="394">
        <v>40</v>
      </c>
      <c r="D344" s="394" t="s">
        <v>29</v>
      </c>
      <c r="E344" s="394">
        <v>122</v>
      </c>
      <c r="F344" s="394" t="s">
        <v>262</v>
      </c>
      <c r="G344" s="394" t="s">
        <v>304</v>
      </c>
      <c r="H344" s="394" t="s">
        <v>5</v>
      </c>
      <c r="I344" s="394">
        <v>20</v>
      </c>
      <c r="J344" s="395" t="s">
        <v>134</v>
      </c>
      <c r="K344" s="396">
        <f>(20*26)</f>
        <v>520</v>
      </c>
      <c r="L344" s="228" t="s">
        <v>1384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>
      <c r="A345" s="390" t="s">
        <v>1381</v>
      </c>
      <c r="B345" s="387" t="s">
        <v>9</v>
      </c>
      <c r="C345" s="387">
        <v>40</v>
      </c>
      <c r="D345" s="387" t="s">
        <v>29</v>
      </c>
      <c r="E345" s="387">
        <v>133</v>
      </c>
      <c r="F345" s="387" t="s">
        <v>955</v>
      </c>
      <c r="G345" s="387" t="s">
        <v>878</v>
      </c>
      <c r="H345" s="387" t="s">
        <v>15</v>
      </c>
      <c r="I345" s="387">
        <v>25</v>
      </c>
      <c r="J345" s="388" t="s">
        <v>148</v>
      </c>
      <c r="K345" s="389">
        <f>(25*26)</f>
        <v>650</v>
      </c>
      <c r="L345" s="228" t="s">
        <v>1382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>
      <c r="A346" s="390" t="s">
        <v>1381</v>
      </c>
      <c r="B346" s="391" t="s">
        <v>9</v>
      </c>
      <c r="C346" s="391">
        <v>40</v>
      </c>
      <c r="D346" s="391" t="s">
        <v>29</v>
      </c>
      <c r="E346" s="391">
        <v>134</v>
      </c>
      <c r="F346" s="391" t="s">
        <v>320</v>
      </c>
      <c r="G346" s="391" t="s">
        <v>878</v>
      </c>
      <c r="H346" s="391" t="s">
        <v>15</v>
      </c>
      <c r="I346" s="391">
        <v>15</v>
      </c>
      <c r="J346" s="392" t="s">
        <v>36</v>
      </c>
      <c r="K346" s="393">
        <f>(14*26)+(1*17.4)</f>
        <v>381.4</v>
      </c>
      <c r="L346" s="228" t="s">
        <v>1382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>
      <c r="A347" s="390" t="s">
        <v>1381</v>
      </c>
      <c r="B347" s="391" t="s">
        <v>9</v>
      </c>
      <c r="C347" s="391">
        <v>40</v>
      </c>
      <c r="D347" s="391" t="s">
        <v>29</v>
      </c>
      <c r="E347" s="391">
        <v>153</v>
      </c>
      <c r="F347" s="391" t="s">
        <v>987</v>
      </c>
      <c r="G347" s="391" t="s">
        <v>674</v>
      </c>
      <c r="H347" s="391" t="s">
        <v>5</v>
      </c>
      <c r="I347" s="391">
        <v>15</v>
      </c>
      <c r="J347" s="392" t="s">
        <v>36</v>
      </c>
      <c r="K347" s="393">
        <f>(14*26)+(1*17.4)</f>
        <v>381.4</v>
      </c>
      <c r="L347" s="228"/>
      <c r="M347" s="58"/>
      <c r="N347" s="229"/>
      <c r="O347" s="186" t="s">
        <v>1396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>
      <c r="A348" s="390" t="s">
        <v>1381</v>
      </c>
      <c r="B348" s="391" t="s">
        <v>9</v>
      </c>
      <c r="C348" s="391">
        <v>40</v>
      </c>
      <c r="D348" s="391" t="s">
        <v>29</v>
      </c>
      <c r="E348" s="391">
        <v>157</v>
      </c>
      <c r="F348" s="391" t="s">
        <v>988</v>
      </c>
      <c r="G348" s="391" t="s">
        <v>674</v>
      </c>
      <c r="H348" s="391" t="s">
        <v>15</v>
      </c>
      <c r="I348" s="391">
        <v>20</v>
      </c>
      <c r="J348" s="392" t="s">
        <v>33</v>
      </c>
      <c r="K348" s="393">
        <f>(19*26)+(1*17.4)</f>
        <v>511.4</v>
      </c>
      <c r="L348" s="228" t="s">
        <v>1382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>
      <c r="A349" s="390" t="s">
        <v>1381</v>
      </c>
      <c r="B349" s="391" t="s">
        <v>9</v>
      </c>
      <c r="C349" s="391">
        <v>40</v>
      </c>
      <c r="D349" s="391" t="s">
        <v>29</v>
      </c>
      <c r="E349" s="391">
        <v>173</v>
      </c>
      <c r="F349" s="391" t="s">
        <v>318</v>
      </c>
      <c r="G349" s="391" t="s">
        <v>754</v>
      </c>
      <c r="H349" s="391" t="s">
        <v>15</v>
      </c>
      <c r="I349" s="391">
        <v>20</v>
      </c>
      <c r="J349" s="392" t="s">
        <v>22</v>
      </c>
      <c r="K349" s="393">
        <f>(18*35)+(2*26.4)</f>
        <v>682.8</v>
      </c>
      <c r="L349" s="228" t="s">
        <v>1382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>
      <c r="A350" s="390" t="s">
        <v>1381</v>
      </c>
      <c r="B350" s="391" t="s">
        <v>9</v>
      </c>
      <c r="C350" s="391">
        <v>40</v>
      </c>
      <c r="D350" s="391" t="s">
        <v>29</v>
      </c>
      <c r="E350" s="391">
        <v>175</v>
      </c>
      <c r="F350" s="391" t="s">
        <v>726</v>
      </c>
      <c r="G350" s="391" t="s">
        <v>754</v>
      </c>
      <c r="H350" s="391" t="s">
        <v>15</v>
      </c>
      <c r="I350" s="391">
        <v>25</v>
      </c>
      <c r="J350" s="392" t="s">
        <v>103</v>
      </c>
      <c r="K350" s="393">
        <f>(24*35)+(1*26.4)</f>
        <v>866.4</v>
      </c>
      <c r="L350" s="228" t="s">
        <v>1382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>
      <c r="A351" s="390" t="s">
        <v>1381</v>
      </c>
      <c r="B351" s="391" t="s">
        <v>9</v>
      </c>
      <c r="C351" s="391">
        <v>40</v>
      </c>
      <c r="D351" s="391" t="s">
        <v>29</v>
      </c>
      <c r="E351" s="391">
        <v>216</v>
      </c>
      <c r="F351" s="391" t="s">
        <v>989</v>
      </c>
      <c r="G351" s="391" t="s">
        <v>218</v>
      </c>
      <c r="H351" s="391" t="s">
        <v>15</v>
      </c>
      <c r="I351" s="391">
        <v>20</v>
      </c>
      <c r="J351" s="392" t="s">
        <v>33</v>
      </c>
      <c r="K351" s="393">
        <f>(19*26)+(1*17.4)</f>
        <v>511.4</v>
      </c>
      <c r="L351" s="228" t="s">
        <v>1384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>
      <c r="A352" s="390" t="s">
        <v>1381</v>
      </c>
      <c r="B352" s="391" t="s">
        <v>9</v>
      </c>
      <c r="C352" s="391">
        <v>40</v>
      </c>
      <c r="D352" s="391" t="s">
        <v>29</v>
      </c>
      <c r="E352" s="391">
        <v>220</v>
      </c>
      <c r="F352" s="391" t="s">
        <v>582</v>
      </c>
      <c r="G352" s="391" t="s">
        <v>218</v>
      </c>
      <c r="H352" s="391" t="s">
        <v>15</v>
      </c>
      <c r="I352" s="391">
        <v>20</v>
      </c>
      <c r="J352" s="392" t="s">
        <v>33</v>
      </c>
      <c r="K352" s="393">
        <f>(19*26)+(1*17.4)</f>
        <v>511.4</v>
      </c>
      <c r="L352" s="228" t="s">
        <v>1382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>
      <c r="A353" s="390" t="s">
        <v>1381</v>
      </c>
      <c r="B353" s="391" t="s">
        <v>9</v>
      </c>
      <c r="C353" s="391">
        <v>40</v>
      </c>
      <c r="D353" s="391" t="s">
        <v>29</v>
      </c>
      <c r="E353" s="391">
        <v>255</v>
      </c>
      <c r="F353" s="391" t="s">
        <v>96</v>
      </c>
      <c r="G353" s="391" t="s">
        <v>194</v>
      </c>
      <c r="H353" s="391" t="s">
        <v>15</v>
      </c>
      <c r="I353" s="391">
        <v>15</v>
      </c>
      <c r="J353" s="392" t="s">
        <v>135</v>
      </c>
      <c r="K353" s="393">
        <f>(15*26)</f>
        <v>390</v>
      </c>
      <c r="L353" s="228" t="s">
        <v>1384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>
      <c r="A354" s="390" t="s">
        <v>1381</v>
      </c>
      <c r="B354" s="391" t="s">
        <v>9</v>
      </c>
      <c r="C354" s="391">
        <v>40</v>
      </c>
      <c r="D354" s="391" t="s">
        <v>29</v>
      </c>
      <c r="E354" s="391">
        <v>339</v>
      </c>
      <c r="F354" s="391" t="s">
        <v>990</v>
      </c>
      <c r="G354" s="391" t="s">
        <v>727</v>
      </c>
      <c r="H354" s="391" t="s">
        <v>15</v>
      </c>
      <c r="I354" s="391">
        <v>30</v>
      </c>
      <c r="J354" s="392" t="s">
        <v>24</v>
      </c>
      <c r="K354" s="393">
        <f>(29*38)+(1*29.4)</f>
        <v>1131.4000000000001</v>
      </c>
      <c r="L354" s="228" t="s">
        <v>1382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>
      <c r="A355" s="390" t="s">
        <v>1381</v>
      </c>
      <c r="B355" s="391" t="s">
        <v>129</v>
      </c>
      <c r="C355" s="391">
        <v>45</v>
      </c>
      <c r="D355" s="391" t="s">
        <v>7</v>
      </c>
      <c r="E355" s="391">
        <v>525</v>
      </c>
      <c r="F355" s="391" t="s">
        <v>172</v>
      </c>
      <c r="G355" s="391" t="s">
        <v>258</v>
      </c>
      <c r="H355" s="391" t="s">
        <v>15</v>
      </c>
      <c r="I355" s="391">
        <v>20</v>
      </c>
      <c r="J355" s="392" t="s">
        <v>1024</v>
      </c>
      <c r="K355" s="393">
        <f>(20*37)</f>
        <v>740</v>
      </c>
      <c r="L355" s="228" t="s">
        <v>1384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>
      <c r="A356" s="390" t="s">
        <v>1381</v>
      </c>
      <c r="B356" s="391" t="s">
        <v>129</v>
      </c>
      <c r="C356" s="391">
        <v>45</v>
      </c>
      <c r="D356" s="391" t="s">
        <v>7</v>
      </c>
      <c r="E356" s="391">
        <v>526</v>
      </c>
      <c r="F356" s="391" t="s">
        <v>991</v>
      </c>
      <c r="G356" s="391" t="s">
        <v>258</v>
      </c>
      <c r="H356" s="391" t="s">
        <v>15</v>
      </c>
      <c r="I356" s="391">
        <v>20</v>
      </c>
      <c r="J356" s="392" t="s">
        <v>1025</v>
      </c>
      <c r="K356" s="393">
        <f>(19*37)+(1*29.3)</f>
        <v>732.3</v>
      </c>
      <c r="L356" s="58"/>
      <c r="M356" s="58"/>
      <c r="N356" s="229"/>
      <c r="O356" s="186" t="s">
        <v>1384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>
      <c r="A357" s="390" t="s">
        <v>1381</v>
      </c>
      <c r="B357" s="391" t="s">
        <v>129</v>
      </c>
      <c r="C357" s="391">
        <v>45</v>
      </c>
      <c r="D357" s="391" t="s">
        <v>7</v>
      </c>
      <c r="E357" s="391">
        <v>661</v>
      </c>
      <c r="F357" s="391" t="s">
        <v>992</v>
      </c>
      <c r="G357" s="391" t="s">
        <v>863</v>
      </c>
      <c r="H357" s="391" t="s">
        <v>15</v>
      </c>
      <c r="I357" s="391">
        <v>20</v>
      </c>
      <c r="J357" s="392" t="s">
        <v>1026</v>
      </c>
      <c r="K357" s="393">
        <f>(18*26)+(1*10.6)+(1*18.3)</f>
        <v>496.90000000000003</v>
      </c>
      <c r="L357" s="228" t="s">
        <v>1384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>
      <c r="A358" s="390" t="s">
        <v>1381</v>
      </c>
      <c r="B358" s="391" t="s">
        <v>129</v>
      </c>
      <c r="C358" s="391">
        <v>45</v>
      </c>
      <c r="D358" s="391" t="s">
        <v>7</v>
      </c>
      <c r="E358" s="391">
        <v>770</v>
      </c>
      <c r="F358" s="391" t="s">
        <v>993</v>
      </c>
      <c r="G358" s="391" t="s">
        <v>669</v>
      </c>
      <c r="H358" s="391" t="s">
        <v>15</v>
      </c>
      <c r="I358" s="391">
        <v>20</v>
      </c>
      <c r="J358" s="392" t="s">
        <v>1027</v>
      </c>
      <c r="K358" s="393">
        <f>(18*33)+(1*24.4)+(1*28.7)</f>
        <v>647.1</v>
      </c>
      <c r="L358" s="228"/>
      <c r="M358" s="58"/>
      <c r="N358" s="229"/>
      <c r="O358" s="186" t="s">
        <v>1384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>
      <c r="A359" s="390" t="s">
        <v>1381</v>
      </c>
      <c r="B359" s="391" t="s">
        <v>129</v>
      </c>
      <c r="C359" s="391">
        <v>45</v>
      </c>
      <c r="D359" s="391" t="s">
        <v>7</v>
      </c>
      <c r="E359" s="391">
        <v>1021</v>
      </c>
      <c r="F359" s="391" t="s">
        <v>994</v>
      </c>
      <c r="G359" s="391" t="s">
        <v>900</v>
      </c>
      <c r="H359" s="391" t="s">
        <v>15</v>
      </c>
      <c r="I359" s="391">
        <v>20</v>
      </c>
      <c r="J359" s="392" t="s">
        <v>809</v>
      </c>
      <c r="K359" s="393">
        <f>(19*28)+(1*23.7)</f>
        <v>555.70000000000005</v>
      </c>
      <c r="L359" s="228" t="s">
        <v>1384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>
      <c r="A360" s="390" t="s">
        <v>1381</v>
      </c>
      <c r="B360" s="391" t="s">
        <v>129</v>
      </c>
      <c r="C360" s="391">
        <v>45</v>
      </c>
      <c r="D360" s="391" t="s">
        <v>7</v>
      </c>
      <c r="E360" s="391">
        <v>1022</v>
      </c>
      <c r="F360" s="391" t="s">
        <v>274</v>
      </c>
      <c r="G360" s="391" t="s">
        <v>900</v>
      </c>
      <c r="H360" s="391" t="s">
        <v>15</v>
      </c>
      <c r="I360" s="391">
        <v>20</v>
      </c>
      <c r="J360" s="392" t="s">
        <v>809</v>
      </c>
      <c r="K360" s="393">
        <f>(19*28)+(1*23.7)</f>
        <v>555.70000000000005</v>
      </c>
      <c r="L360" s="58"/>
      <c r="M360" s="58"/>
      <c r="N360" s="229"/>
      <c r="O360" s="186" t="s">
        <v>1389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>
      <c r="A361" s="390" t="s">
        <v>1381</v>
      </c>
      <c r="B361" s="391" t="s">
        <v>129</v>
      </c>
      <c r="C361" s="391">
        <v>45</v>
      </c>
      <c r="D361" s="391" t="s">
        <v>7</v>
      </c>
      <c r="E361" s="391">
        <v>1056</v>
      </c>
      <c r="F361" s="391" t="s">
        <v>995</v>
      </c>
      <c r="G361" s="391" t="s">
        <v>864</v>
      </c>
      <c r="H361" s="391" t="s">
        <v>15</v>
      </c>
      <c r="I361" s="391">
        <v>20</v>
      </c>
      <c r="J361" s="392" t="s">
        <v>370</v>
      </c>
      <c r="K361" s="393">
        <f>(19*34)+(1*29.7)</f>
        <v>675.7</v>
      </c>
      <c r="L361" s="228" t="s">
        <v>1384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>
      <c r="A362" s="390" t="s">
        <v>1381</v>
      </c>
      <c r="B362" s="391" t="s">
        <v>129</v>
      </c>
      <c r="C362" s="391">
        <v>45</v>
      </c>
      <c r="D362" s="391" t="s">
        <v>7</v>
      </c>
      <c r="E362" s="391">
        <v>1057</v>
      </c>
      <c r="F362" s="391" t="s">
        <v>1023</v>
      </c>
      <c r="G362" s="391" t="s">
        <v>864</v>
      </c>
      <c r="H362" s="391" t="s">
        <v>15</v>
      </c>
      <c r="I362" s="391">
        <v>20</v>
      </c>
      <c r="J362" s="392" t="s">
        <v>370</v>
      </c>
      <c r="K362" s="393">
        <f>(19*34)+(1*29.7)</f>
        <v>675.7</v>
      </c>
      <c r="L362" s="58"/>
      <c r="M362" s="58"/>
      <c r="N362" s="229"/>
      <c r="O362" s="186" t="s">
        <v>1389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>
      <c r="A363" s="390" t="s">
        <v>1381</v>
      </c>
      <c r="B363" s="391" t="s">
        <v>129</v>
      </c>
      <c r="C363" s="391">
        <v>45</v>
      </c>
      <c r="D363" s="391" t="s">
        <v>7</v>
      </c>
      <c r="E363" s="391">
        <v>1465</v>
      </c>
      <c r="F363" s="391" t="s">
        <v>720</v>
      </c>
      <c r="G363" s="391" t="s">
        <v>900</v>
      </c>
      <c r="H363" s="391" t="s">
        <v>5</v>
      </c>
      <c r="I363" s="391">
        <v>20</v>
      </c>
      <c r="J363" s="392" t="s">
        <v>437</v>
      </c>
      <c r="K363" s="393">
        <f>(19*32)+(1*27.7)</f>
        <v>635.70000000000005</v>
      </c>
      <c r="L363" s="228" t="s">
        <v>1384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>
      <c r="A364" s="390" t="s">
        <v>1381</v>
      </c>
      <c r="B364" s="391" t="s">
        <v>129</v>
      </c>
      <c r="C364" s="391">
        <v>45</v>
      </c>
      <c r="D364" s="391" t="s">
        <v>7</v>
      </c>
      <c r="E364" s="391">
        <v>1470</v>
      </c>
      <c r="F364" s="391" t="s">
        <v>470</v>
      </c>
      <c r="G364" s="391" t="s">
        <v>900</v>
      </c>
      <c r="H364" s="391" t="s">
        <v>15</v>
      </c>
      <c r="I364" s="391">
        <v>20</v>
      </c>
      <c r="J364" s="392" t="s">
        <v>370</v>
      </c>
      <c r="K364" s="393">
        <f>(19*34)+(1*29.7)</f>
        <v>675.7</v>
      </c>
      <c r="L364" s="58"/>
      <c r="M364" s="58"/>
      <c r="N364" s="229"/>
      <c r="O364" s="186" t="s">
        <v>1389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>
      <c r="A365" s="390" t="s">
        <v>1381</v>
      </c>
      <c r="B365" s="391" t="s">
        <v>129</v>
      </c>
      <c r="C365" s="391">
        <v>45</v>
      </c>
      <c r="D365" s="391" t="s">
        <v>7</v>
      </c>
      <c r="E365" s="391">
        <v>1512</v>
      </c>
      <c r="F365" s="391" t="s">
        <v>996</v>
      </c>
      <c r="G365" s="391" t="s">
        <v>1000</v>
      </c>
      <c r="H365" s="391" t="s">
        <v>15</v>
      </c>
      <c r="I365" s="391">
        <v>20</v>
      </c>
      <c r="J365" s="392" t="s">
        <v>1028</v>
      </c>
      <c r="K365" s="393">
        <f>(17*26)+(3*18.3)</f>
        <v>496.9</v>
      </c>
      <c r="L365" s="58"/>
      <c r="M365" s="58"/>
      <c r="N365" s="229"/>
      <c r="O365" s="186" t="s">
        <v>1389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>
      <c r="A366" s="390" t="s">
        <v>1381</v>
      </c>
      <c r="B366" s="391" t="s">
        <v>129</v>
      </c>
      <c r="C366" s="391">
        <v>45</v>
      </c>
      <c r="D366" s="391" t="s">
        <v>7</v>
      </c>
      <c r="E366" s="391">
        <v>1558</v>
      </c>
      <c r="F366" s="391" t="s">
        <v>997</v>
      </c>
      <c r="G366" s="391" t="s">
        <v>352</v>
      </c>
      <c r="H366" s="391" t="s">
        <v>15</v>
      </c>
      <c r="I366" s="391">
        <v>30</v>
      </c>
      <c r="J366" s="392" t="s">
        <v>1029</v>
      </c>
      <c r="K366" s="393">
        <f>(30*40)</f>
        <v>1200</v>
      </c>
      <c r="L366" s="228" t="s">
        <v>1384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>
      <c r="A367" s="390" t="s">
        <v>1381</v>
      </c>
      <c r="B367" s="391" t="s">
        <v>129</v>
      </c>
      <c r="C367" s="391">
        <v>45</v>
      </c>
      <c r="D367" s="391" t="s">
        <v>7</v>
      </c>
      <c r="E367" s="391">
        <v>1559</v>
      </c>
      <c r="F367" s="391" t="s">
        <v>998</v>
      </c>
      <c r="G367" s="391" t="s">
        <v>352</v>
      </c>
      <c r="H367" s="391" t="s">
        <v>15</v>
      </c>
      <c r="I367" s="391">
        <v>30</v>
      </c>
      <c r="J367" s="392" t="s">
        <v>1029</v>
      </c>
      <c r="K367" s="393">
        <f>(30*40)</f>
        <v>1200</v>
      </c>
      <c r="L367" s="58"/>
      <c r="M367" s="58"/>
      <c r="N367" s="229"/>
      <c r="O367" s="186" t="s">
        <v>1384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>
      <c r="A368" s="390" t="s">
        <v>1381</v>
      </c>
      <c r="B368" s="391" t="s">
        <v>129</v>
      </c>
      <c r="C368" s="391">
        <v>45</v>
      </c>
      <c r="D368" s="391" t="s">
        <v>56</v>
      </c>
      <c r="E368" s="391">
        <v>340</v>
      </c>
      <c r="F368" s="391" t="s">
        <v>996</v>
      </c>
      <c r="G368" s="391" t="s">
        <v>685</v>
      </c>
      <c r="H368" s="391" t="s">
        <v>15</v>
      </c>
      <c r="I368" s="391">
        <v>20</v>
      </c>
      <c r="J368" s="392" t="s">
        <v>1030</v>
      </c>
      <c r="K368" s="393">
        <f>(19*38)+(1*30.3)</f>
        <v>752.3</v>
      </c>
      <c r="L368" s="58"/>
      <c r="M368" s="58"/>
      <c r="N368" s="229"/>
      <c r="O368" s="186" t="s">
        <v>1389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>
      <c r="A369" s="390" t="s">
        <v>1381</v>
      </c>
      <c r="B369" s="391" t="s">
        <v>129</v>
      </c>
      <c r="C369" s="391">
        <v>45</v>
      </c>
      <c r="D369" s="391" t="s">
        <v>56</v>
      </c>
      <c r="E369" s="391">
        <v>362</v>
      </c>
      <c r="F369" s="391" t="s">
        <v>999</v>
      </c>
      <c r="G369" s="391" t="s">
        <v>649</v>
      </c>
      <c r="H369" s="391" t="s">
        <v>15</v>
      </c>
      <c r="I369" s="391">
        <v>20</v>
      </c>
      <c r="J369" s="392" t="s">
        <v>1031</v>
      </c>
      <c r="K369" s="393">
        <f>(19*24)+(1*19.7)</f>
        <v>475.7</v>
      </c>
      <c r="L369" s="58"/>
      <c r="M369" s="58"/>
      <c r="N369" s="229"/>
      <c r="O369" s="186" t="s">
        <v>1389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>
      <c r="A370" s="390" t="s">
        <v>1381</v>
      </c>
      <c r="B370" s="391" t="s">
        <v>129</v>
      </c>
      <c r="C370" s="391">
        <v>45</v>
      </c>
      <c r="D370" s="391" t="s">
        <v>56</v>
      </c>
      <c r="E370" s="391">
        <v>483</v>
      </c>
      <c r="F370" s="391" t="s">
        <v>608</v>
      </c>
      <c r="G370" s="391" t="s">
        <v>399</v>
      </c>
      <c r="H370" s="391" t="s">
        <v>15</v>
      </c>
      <c r="I370" s="391">
        <v>20</v>
      </c>
      <c r="J370" s="392" t="s">
        <v>356</v>
      </c>
      <c r="K370" s="393">
        <f>(19*35)+(1*30.7)</f>
        <v>695.7</v>
      </c>
      <c r="L370" s="228" t="s">
        <v>1384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>
      <c r="A371" s="390" t="s">
        <v>1381</v>
      </c>
      <c r="B371" s="391" t="s">
        <v>129</v>
      </c>
      <c r="C371" s="391">
        <v>45</v>
      </c>
      <c r="D371" s="391" t="s">
        <v>56</v>
      </c>
      <c r="E371" s="391">
        <v>637</v>
      </c>
      <c r="F371" s="391" t="s">
        <v>334</v>
      </c>
      <c r="G371" s="391" t="s">
        <v>1001</v>
      </c>
      <c r="H371" s="391" t="s">
        <v>15</v>
      </c>
      <c r="I371" s="391">
        <v>15</v>
      </c>
      <c r="J371" s="392" t="s">
        <v>368</v>
      </c>
      <c r="K371" s="393">
        <f>(14*33)+(1*25.3)</f>
        <v>487.3</v>
      </c>
      <c r="L371" s="228"/>
      <c r="M371" s="58"/>
      <c r="N371" s="229"/>
      <c r="O371" s="186" t="s">
        <v>1389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>
      <c r="A372" s="390" t="s">
        <v>1381</v>
      </c>
      <c r="B372" s="391" t="s">
        <v>129</v>
      </c>
      <c r="C372" s="391">
        <v>45</v>
      </c>
      <c r="D372" s="391" t="s">
        <v>56</v>
      </c>
      <c r="E372" s="391">
        <v>270</v>
      </c>
      <c r="F372" s="391" t="s">
        <v>1002</v>
      </c>
      <c r="G372" s="391" t="s">
        <v>87</v>
      </c>
      <c r="H372" s="391" t="s">
        <v>5</v>
      </c>
      <c r="I372" s="391">
        <v>15</v>
      </c>
      <c r="J372" s="392" t="s">
        <v>142</v>
      </c>
      <c r="K372" s="393">
        <f>(15*36)</f>
        <v>540</v>
      </c>
      <c r="L372" s="228" t="s">
        <v>1384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>
      <c r="A373" s="390" t="s">
        <v>1381</v>
      </c>
      <c r="B373" s="391" t="s">
        <v>129</v>
      </c>
      <c r="C373" s="391">
        <v>45</v>
      </c>
      <c r="D373" s="391" t="s">
        <v>56</v>
      </c>
      <c r="E373" s="391">
        <v>274</v>
      </c>
      <c r="F373" s="391" t="s">
        <v>1003</v>
      </c>
      <c r="G373" s="391" t="s">
        <v>87</v>
      </c>
      <c r="H373" s="391" t="s">
        <v>5</v>
      </c>
      <c r="I373" s="391">
        <v>12</v>
      </c>
      <c r="J373" s="392" t="s">
        <v>1032</v>
      </c>
      <c r="K373" s="393">
        <f>(10*38)+(2*30.3)</f>
        <v>440.6</v>
      </c>
      <c r="L373" s="58"/>
      <c r="M373" s="58"/>
      <c r="N373" s="229"/>
      <c r="O373" s="186" t="s">
        <v>1389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>
      <c r="A374" s="390" t="s">
        <v>1381</v>
      </c>
      <c r="B374" s="391" t="s">
        <v>129</v>
      </c>
      <c r="C374" s="391">
        <v>45</v>
      </c>
      <c r="D374" s="391" t="s">
        <v>56</v>
      </c>
      <c r="E374" s="391">
        <v>276</v>
      </c>
      <c r="F374" s="391" t="s">
        <v>1004</v>
      </c>
      <c r="G374" s="391" t="s">
        <v>87</v>
      </c>
      <c r="H374" s="391" t="s">
        <v>15</v>
      </c>
      <c r="I374" s="391">
        <v>15</v>
      </c>
      <c r="J374" s="392" t="s">
        <v>140</v>
      </c>
      <c r="K374" s="393">
        <f>(15*37)</f>
        <v>555</v>
      </c>
      <c r="L374" s="58"/>
      <c r="M374" s="58"/>
      <c r="N374" s="229"/>
      <c r="O374" s="186" t="s">
        <v>1389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>
      <c r="A375" s="390" t="s">
        <v>1381</v>
      </c>
      <c r="B375" s="391" t="s">
        <v>129</v>
      </c>
      <c r="C375" s="391">
        <v>45</v>
      </c>
      <c r="D375" s="391" t="s">
        <v>56</v>
      </c>
      <c r="E375" s="391">
        <v>278</v>
      </c>
      <c r="F375" s="391" t="s">
        <v>1005</v>
      </c>
      <c r="G375" s="391" t="s">
        <v>87</v>
      </c>
      <c r="H375" s="391" t="s">
        <v>15</v>
      </c>
      <c r="I375" s="391">
        <v>20</v>
      </c>
      <c r="J375" s="392" t="s">
        <v>1033</v>
      </c>
      <c r="K375" s="393">
        <f>(19*39)+(1*30.4)</f>
        <v>771.4</v>
      </c>
      <c r="L375" s="228"/>
      <c r="M375" s="58"/>
      <c r="N375" s="229"/>
      <c r="O375" s="186" t="s">
        <v>1389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>
      <c r="A376" s="390" t="s">
        <v>1381</v>
      </c>
      <c r="B376" s="391" t="s">
        <v>129</v>
      </c>
      <c r="C376" s="391">
        <v>45</v>
      </c>
      <c r="D376" s="391" t="s">
        <v>56</v>
      </c>
      <c r="E376" s="391">
        <v>368</v>
      </c>
      <c r="F376" s="391" t="s">
        <v>314</v>
      </c>
      <c r="G376" s="391" t="s">
        <v>866</v>
      </c>
      <c r="H376" s="391" t="s">
        <v>15</v>
      </c>
      <c r="I376" s="391">
        <v>15</v>
      </c>
      <c r="J376" s="392" t="s">
        <v>137</v>
      </c>
      <c r="K376" s="393">
        <f>(15*35)</f>
        <v>525</v>
      </c>
      <c r="L376" s="228"/>
      <c r="M376" s="58"/>
      <c r="N376" s="229"/>
      <c r="O376" s="186" t="s">
        <v>1389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>
      <c r="A377" s="390" t="s">
        <v>1381</v>
      </c>
      <c r="B377" s="391" t="s">
        <v>129</v>
      </c>
      <c r="C377" s="391">
        <v>45</v>
      </c>
      <c r="D377" s="391" t="s">
        <v>56</v>
      </c>
      <c r="E377" s="391">
        <v>392</v>
      </c>
      <c r="F377" s="391" t="s">
        <v>313</v>
      </c>
      <c r="G377" s="391" t="s">
        <v>1006</v>
      </c>
      <c r="H377" s="391" t="s">
        <v>15</v>
      </c>
      <c r="I377" s="391">
        <v>6</v>
      </c>
      <c r="J377" s="392" t="s">
        <v>1034</v>
      </c>
      <c r="K377" s="393">
        <f>(5*34)+(1*29.7)</f>
        <v>199.7</v>
      </c>
      <c r="L377" s="228" t="s">
        <v>1384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>
      <c r="A378" s="390" t="s">
        <v>1381</v>
      </c>
      <c r="B378" s="391" t="s">
        <v>129</v>
      </c>
      <c r="C378" s="391">
        <v>45</v>
      </c>
      <c r="D378" s="391" t="s">
        <v>56</v>
      </c>
      <c r="E378" s="391">
        <v>395</v>
      </c>
      <c r="F378" s="391" t="s">
        <v>579</v>
      </c>
      <c r="G378" s="391" t="s">
        <v>1006</v>
      </c>
      <c r="H378" s="391" t="s">
        <v>15</v>
      </c>
      <c r="I378" s="391">
        <v>13</v>
      </c>
      <c r="J378" s="392" t="s">
        <v>1035</v>
      </c>
      <c r="K378" s="393">
        <f>(12*34)+(1*29.7)</f>
        <v>437.7</v>
      </c>
      <c r="L378" s="228" t="s">
        <v>1384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>
      <c r="A379" s="390" t="s">
        <v>1381</v>
      </c>
      <c r="B379" s="391" t="s">
        <v>129</v>
      </c>
      <c r="C379" s="391">
        <v>45</v>
      </c>
      <c r="D379" s="391" t="s">
        <v>56</v>
      </c>
      <c r="E379" s="391">
        <v>465</v>
      </c>
      <c r="F379" s="391" t="s">
        <v>732</v>
      </c>
      <c r="G379" s="391" t="s">
        <v>108</v>
      </c>
      <c r="H379" s="391" t="s">
        <v>5</v>
      </c>
      <c r="I379" s="391">
        <v>20</v>
      </c>
      <c r="J379" s="392" t="s">
        <v>443</v>
      </c>
      <c r="K379" s="393">
        <f>(18*38)+(2*33.7)</f>
        <v>751.4</v>
      </c>
      <c r="L379" s="58"/>
      <c r="M379" s="58"/>
      <c r="N379" s="229"/>
      <c r="O379" s="186" t="s">
        <v>1389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>
      <c r="A380" s="390" t="s">
        <v>1381</v>
      </c>
      <c r="B380" s="391" t="s">
        <v>129</v>
      </c>
      <c r="C380" s="391">
        <v>45</v>
      </c>
      <c r="D380" s="391" t="s">
        <v>56</v>
      </c>
      <c r="E380" s="391">
        <v>473</v>
      </c>
      <c r="F380" s="391" t="s">
        <v>845</v>
      </c>
      <c r="G380" s="391" t="s">
        <v>176</v>
      </c>
      <c r="H380" s="391" t="s">
        <v>5</v>
      </c>
      <c r="I380" s="391">
        <v>15</v>
      </c>
      <c r="J380" s="392" t="s">
        <v>353</v>
      </c>
      <c r="K380" s="393">
        <f>(14*34)+(1*26.3)</f>
        <v>502.3</v>
      </c>
      <c r="L380" s="58"/>
      <c r="M380" s="58"/>
      <c r="N380" s="229"/>
      <c r="O380" s="186" t="s">
        <v>1389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>
      <c r="A381" s="390" t="s">
        <v>1381</v>
      </c>
      <c r="B381" s="391" t="s">
        <v>129</v>
      </c>
      <c r="C381" s="391">
        <v>45</v>
      </c>
      <c r="D381" s="391" t="s">
        <v>56</v>
      </c>
      <c r="E381" s="391">
        <v>474</v>
      </c>
      <c r="F381" s="391" t="s">
        <v>146</v>
      </c>
      <c r="G381" s="391" t="s">
        <v>176</v>
      </c>
      <c r="H381" s="391" t="s">
        <v>15</v>
      </c>
      <c r="I381" s="391">
        <v>15</v>
      </c>
      <c r="J381" s="392" t="s">
        <v>137</v>
      </c>
      <c r="K381" s="393">
        <f>(15*35)</f>
        <v>525</v>
      </c>
      <c r="L381" s="58"/>
      <c r="M381" s="58"/>
      <c r="N381" s="229"/>
      <c r="O381" s="186" t="s">
        <v>1389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>
      <c r="A382" s="390" t="s">
        <v>1381</v>
      </c>
      <c r="B382" s="391" t="s">
        <v>129</v>
      </c>
      <c r="C382" s="391">
        <v>45</v>
      </c>
      <c r="D382" s="391" t="s">
        <v>56</v>
      </c>
      <c r="E382" s="391">
        <v>487</v>
      </c>
      <c r="F382" s="391" t="s">
        <v>622</v>
      </c>
      <c r="G382" s="391" t="s">
        <v>340</v>
      </c>
      <c r="H382" s="391" t="s">
        <v>5</v>
      </c>
      <c r="I382" s="391">
        <v>20</v>
      </c>
      <c r="J382" s="392" t="s">
        <v>667</v>
      </c>
      <c r="K382" s="393">
        <f>(18*40)+(2*35.7)</f>
        <v>791.4</v>
      </c>
      <c r="L382" s="58"/>
      <c r="M382" s="58"/>
      <c r="N382" s="229"/>
      <c r="O382" s="186" t="s">
        <v>1389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thickBot="1">
      <c r="A383" s="390" t="s">
        <v>1381</v>
      </c>
      <c r="B383" s="394" t="s">
        <v>129</v>
      </c>
      <c r="C383" s="394">
        <v>45</v>
      </c>
      <c r="D383" s="394" t="s">
        <v>56</v>
      </c>
      <c r="E383" s="394">
        <v>489</v>
      </c>
      <c r="F383" s="394" t="s">
        <v>579</v>
      </c>
      <c r="G383" s="394" t="s">
        <v>340</v>
      </c>
      <c r="H383" s="394" t="s">
        <v>15</v>
      </c>
      <c r="I383" s="394">
        <v>20</v>
      </c>
      <c r="J383" s="395" t="s">
        <v>1036</v>
      </c>
      <c r="K383" s="396">
        <f>(18*42)+(2*37.7)</f>
        <v>831.4</v>
      </c>
      <c r="L383" s="58"/>
      <c r="M383" s="58"/>
      <c r="N383" s="229"/>
      <c r="O383" s="186" t="s">
        <v>1389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>
      <c r="A384" s="390" t="s">
        <v>1381</v>
      </c>
      <c r="B384" s="387" t="s">
        <v>6</v>
      </c>
      <c r="C384" s="387" t="s">
        <v>309</v>
      </c>
      <c r="D384" s="387"/>
      <c r="E384" s="387"/>
      <c r="F384" s="387" t="s">
        <v>1007</v>
      </c>
      <c r="G384" s="387" t="s">
        <v>374</v>
      </c>
      <c r="H384" s="387" t="s">
        <v>330</v>
      </c>
      <c r="I384" s="387">
        <v>15</v>
      </c>
      <c r="J384" s="388" t="s">
        <v>1037</v>
      </c>
      <c r="K384" s="389">
        <f>(14*24)+(1*20.4)</f>
        <v>356.4</v>
      </c>
      <c r="L384" s="58"/>
      <c r="M384" s="58"/>
      <c r="N384" s="229"/>
      <c r="O384" s="186" t="s">
        <v>1398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>
      <c r="A385" s="390" t="s">
        <v>1381</v>
      </c>
      <c r="B385" s="391" t="s">
        <v>6</v>
      </c>
      <c r="C385" s="391" t="s">
        <v>309</v>
      </c>
      <c r="D385" s="391"/>
      <c r="E385" s="391"/>
      <c r="F385" s="391" t="s">
        <v>1008</v>
      </c>
      <c r="G385" s="391" t="s">
        <v>374</v>
      </c>
      <c r="H385" s="391" t="s">
        <v>330</v>
      </c>
      <c r="I385" s="391">
        <v>10</v>
      </c>
      <c r="J385" s="392" t="s">
        <v>1038</v>
      </c>
      <c r="K385" s="393">
        <f>(9*24)+(1*20.4)</f>
        <v>236.4</v>
      </c>
      <c r="L385" s="58"/>
      <c r="M385" s="58"/>
      <c r="N385" s="229"/>
      <c r="O385" s="186" t="s">
        <v>1398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>
      <c r="A386" s="390" t="s">
        <v>1381</v>
      </c>
      <c r="B386" s="391" t="s">
        <v>6</v>
      </c>
      <c r="C386" s="391" t="s">
        <v>309</v>
      </c>
      <c r="D386" s="391"/>
      <c r="E386" s="391"/>
      <c r="F386" s="391" t="s">
        <v>1022</v>
      </c>
      <c r="G386" s="391" t="s">
        <v>374</v>
      </c>
      <c r="H386" s="391" t="s">
        <v>330</v>
      </c>
      <c r="I386" s="391">
        <v>15</v>
      </c>
      <c r="J386" s="392" t="s">
        <v>1037</v>
      </c>
      <c r="K386" s="393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1389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>
      <c r="A387" s="390" t="s">
        <v>1381</v>
      </c>
      <c r="B387" s="391" t="s">
        <v>6</v>
      </c>
      <c r="C387" s="391" t="s">
        <v>309</v>
      </c>
      <c r="D387" s="391"/>
      <c r="E387" s="391"/>
      <c r="F387" s="391" t="s">
        <v>1009</v>
      </c>
      <c r="G387" s="391" t="s">
        <v>374</v>
      </c>
      <c r="H387" s="391" t="s">
        <v>330</v>
      </c>
      <c r="I387" s="391">
        <v>10</v>
      </c>
      <c r="J387" s="392" t="s">
        <v>1038</v>
      </c>
      <c r="K387" s="393">
        <f>(9*24)+(1*20.4)</f>
        <v>236.4</v>
      </c>
      <c r="L387" s="58"/>
      <c r="M387" s="58"/>
      <c r="N387" s="229"/>
      <c r="O387" s="186" t="s">
        <v>1406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>
      <c r="A388" s="390" t="s">
        <v>1381</v>
      </c>
      <c r="B388" s="391" t="s">
        <v>6</v>
      </c>
      <c r="C388" s="391" t="s">
        <v>309</v>
      </c>
      <c r="D388" s="391"/>
      <c r="E388" s="391"/>
      <c r="F388" s="391" t="s">
        <v>1010</v>
      </c>
      <c r="G388" s="391" t="s">
        <v>374</v>
      </c>
      <c r="H388" s="391" t="s">
        <v>330</v>
      </c>
      <c r="I388" s="391">
        <v>15</v>
      </c>
      <c r="J388" s="392" t="s">
        <v>1037</v>
      </c>
      <c r="K388" s="393">
        <f>(14*24)+(1*20.4)</f>
        <v>356.4</v>
      </c>
      <c r="L388" s="228"/>
      <c r="M388" s="58"/>
      <c r="N388" s="229"/>
      <c r="O388" s="186" t="s">
        <v>1403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>
      <c r="A389" s="390" t="s">
        <v>1381</v>
      </c>
      <c r="B389" s="391" t="s">
        <v>6</v>
      </c>
      <c r="C389" s="391" t="s">
        <v>309</v>
      </c>
      <c r="D389" s="391"/>
      <c r="E389" s="391"/>
      <c r="F389" s="391" t="s">
        <v>1021</v>
      </c>
      <c r="G389" s="391" t="s">
        <v>374</v>
      </c>
      <c r="H389" s="391" t="s">
        <v>330</v>
      </c>
      <c r="I389" s="391">
        <v>10</v>
      </c>
      <c r="J389" s="392" t="s">
        <v>1038</v>
      </c>
      <c r="K389" s="393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1384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>
      <c r="A390" s="390" t="s">
        <v>1381</v>
      </c>
      <c r="B390" s="391" t="s">
        <v>6</v>
      </c>
      <c r="C390" s="391" t="s">
        <v>309</v>
      </c>
      <c r="D390" s="391"/>
      <c r="E390" s="391"/>
      <c r="F390" s="391" t="s">
        <v>1011</v>
      </c>
      <c r="G390" s="391" t="s">
        <v>374</v>
      </c>
      <c r="H390" s="391" t="s">
        <v>330</v>
      </c>
      <c r="I390" s="391">
        <v>15</v>
      </c>
      <c r="J390" s="392" t="s">
        <v>1037</v>
      </c>
      <c r="K390" s="393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1384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>
      <c r="A391" s="390" t="s">
        <v>1381</v>
      </c>
      <c r="B391" s="391" t="s">
        <v>6</v>
      </c>
      <c r="C391" s="391" t="s">
        <v>309</v>
      </c>
      <c r="D391" s="391"/>
      <c r="E391" s="391"/>
      <c r="F391" s="391" t="s">
        <v>1012</v>
      </c>
      <c r="G391" s="391" t="s">
        <v>374</v>
      </c>
      <c r="H391" s="391" t="s">
        <v>330</v>
      </c>
      <c r="I391" s="391">
        <v>10</v>
      </c>
      <c r="J391" s="392" t="s">
        <v>1038</v>
      </c>
      <c r="K391" s="393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1384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>
      <c r="A392" s="390" t="s">
        <v>1381</v>
      </c>
      <c r="B392" s="391" t="s">
        <v>6</v>
      </c>
      <c r="C392" s="391" t="s">
        <v>309</v>
      </c>
      <c r="D392" s="391"/>
      <c r="E392" s="391"/>
      <c r="F392" s="391" t="s">
        <v>1013</v>
      </c>
      <c r="G392" s="391" t="s">
        <v>374</v>
      </c>
      <c r="H392" s="391" t="s">
        <v>330</v>
      </c>
      <c r="I392" s="391">
        <v>10</v>
      </c>
      <c r="J392" s="392" t="s">
        <v>1039</v>
      </c>
      <c r="K392" s="393">
        <f>(9*21)+(1*17.4)</f>
        <v>206.4</v>
      </c>
      <c r="L392" s="58"/>
      <c r="M392" s="58"/>
      <c r="N392" s="229"/>
      <c r="O392" s="186" t="s">
        <v>1393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>
      <c r="A393" s="390" t="s">
        <v>1381</v>
      </c>
      <c r="B393" s="391" t="s">
        <v>6</v>
      </c>
      <c r="C393" s="391" t="s">
        <v>309</v>
      </c>
      <c r="D393" s="391"/>
      <c r="E393" s="391"/>
      <c r="F393" s="391" t="s">
        <v>1014</v>
      </c>
      <c r="G393" s="391" t="s">
        <v>374</v>
      </c>
      <c r="H393" s="391" t="s">
        <v>330</v>
      </c>
      <c r="I393" s="391">
        <v>10</v>
      </c>
      <c r="J393" s="392" t="s">
        <v>1039</v>
      </c>
      <c r="K393" s="393">
        <f t="shared" ref="K393:K399" si="11">(9*21)+(1*17.4)</f>
        <v>206.4</v>
      </c>
      <c r="L393" s="58"/>
      <c r="M393" s="58"/>
      <c r="N393" s="229"/>
      <c r="O393" s="186" t="s">
        <v>1393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>
      <c r="A394" s="390" t="s">
        <v>1381</v>
      </c>
      <c r="B394" s="391" t="s">
        <v>6</v>
      </c>
      <c r="C394" s="391" t="s">
        <v>309</v>
      </c>
      <c r="D394" s="391"/>
      <c r="E394" s="391"/>
      <c r="F394" s="391" t="s">
        <v>1015</v>
      </c>
      <c r="G394" s="391" t="s">
        <v>374</v>
      </c>
      <c r="H394" s="391" t="s">
        <v>330</v>
      </c>
      <c r="I394" s="391">
        <v>10</v>
      </c>
      <c r="J394" s="392" t="s">
        <v>1039</v>
      </c>
      <c r="K394" s="393">
        <f t="shared" si="11"/>
        <v>206.4</v>
      </c>
      <c r="L394" s="58"/>
      <c r="M394" s="58"/>
      <c r="N394" s="229"/>
      <c r="O394" s="186" t="s">
        <v>1393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>
      <c r="A395" s="390" t="s">
        <v>1381</v>
      </c>
      <c r="B395" s="391" t="s">
        <v>6</v>
      </c>
      <c r="C395" s="391" t="s">
        <v>309</v>
      </c>
      <c r="D395" s="391"/>
      <c r="E395" s="391"/>
      <c r="F395" s="391" t="s">
        <v>1016</v>
      </c>
      <c r="G395" s="391" t="s">
        <v>374</v>
      </c>
      <c r="H395" s="391" t="s">
        <v>330</v>
      </c>
      <c r="I395" s="391">
        <v>10</v>
      </c>
      <c r="J395" s="392" t="s">
        <v>1039</v>
      </c>
      <c r="K395" s="393">
        <f t="shared" si="11"/>
        <v>206.4</v>
      </c>
      <c r="L395" s="58"/>
      <c r="M395" s="58"/>
      <c r="N395" s="229"/>
      <c r="O395" s="186" t="s">
        <v>1396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>
      <c r="A396" s="390" t="s">
        <v>1381</v>
      </c>
      <c r="B396" s="391" t="s">
        <v>6</v>
      </c>
      <c r="C396" s="391" t="s">
        <v>309</v>
      </c>
      <c r="D396" s="391"/>
      <c r="E396" s="391"/>
      <c r="F396" s="391" t="s">
        <v>1017</v>
      </c>
      <c r="G396" s="391" t="s">
        <v>374</v>
      </c>
      <c r="H396" s="391" t="s">
        <v>330</v>
      </c>
      <c r="I396" s="391">
        <v>10</v>
      </c>
      <c r="J396" s="392" t="s">
        <v>1039</v>
      </c>
      <c r="K396" s="393">
        <f t="shared" si="11"/>
        <v>206.4</v>
      </c>
      <c r="L396" s="228"/>
      <c r="M396" s="58"/>
      <c r="N396" s="229"/>
      <c r="O396" s="186" t="s">
        <v>1396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>
      <c r="A397" s="390" t="s">
        <v>1381</v>
      </c>
      <c r="B397" s="391" t="s">
        <v>6</v>
      </c>
      <c r="C397" s="391" t="s">
        <v>309</v>
      </c>
      <c r="D397" s="391"/>
      <c r="E397" s="391"/>
      <c r="F397" s="391" t="s">
        <v>1018</v>
      </c>
      <c r="G397" s="391" t="s">
        <v>374</v>
      </c>
      <c r="H397" s="391" t="s">
        <v>330</v>
      </c>
      <c r="I397" s="391">
        <v>10</v>
      </c>
      <c r="J397" s="392" t="s">
        <v>1039</v>
      </c>
      <c r="K397" s="393">
        <f t="shared" si="11"/>
        <v>206.4</v>
      </c>
      <c r="L397" s="228"/>
      <c r="M397" s="58"/>
      <c r="N397" s="229"/>
      <c r="O397" s="186" t="s">
        <v>1396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>
      <c r="A398" s="390" t="s">
        <v>1381</v>
      </c>
      <c r="B398" s="391" t="s">
        <v>6</v>
      </c>
      <c r="C398" s="391" t="s">
        <v>309</v>
      </c>
      <c r="D398" s="391"/>
      <c r="E398" s="391"/>
      <c r="F398" s="391" t="s">
        <v>1019</v>
      </c>
      <c r="G398" s="391" t="s">
        <v>374</v>
      </c>
      <c r="H398" s="391" t="s">
        <v>330</v>
      </c>
      <c r="I398" s="391">
        <v>10</v>
      </c>
      <c r="J398" s="392" t="s">
        <v>1039</v>
      </c>
      <c r="K398" s="393">
        <f t="shared" si="11"/>
        <v>206.4</v>
      </c>
      <c r="L398" s="228"/>
      <c r="M398" s="58"/>
      <c r="N398" s="229"/>
      <c r="O398" s="186" t="s">
        <v>1396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>
      <c r="A399" s="390" t="s">
        <v>1381</v>
      </c>
      <c r="B399" s="391" t="s">
        <v>6</v>
      </c>
      <c r="C399" s="391" t="s">
        <v>309</v>
      </c>
      <c r="D399" s="391"/>
      <c r="E399" s="391"/>
      <c r="F399" s="391" t="s">
        <v>1020</v>
      </c>
      <c r="G399" s="391" t="s">
        <v>374</v>
      </c>
      <c r="H399" s="391" t="s">
        <v>330</v>
      </c>
      <c r="I399" s="391">
        <v>10</v>
      </c>
      <c r="J399" s="392" t="s">
        <v>1039</v>
      </c>
      <c r="K399" s="393">
        <f t="shared" si="11"/>
        <v>206.4</v>
      </c>
      <c r="L399" s="228"/>
      <c r="M399" s="58"/>
      <c r="N399" s="229"/>
      <c r="O399" s="186" t="s">
        <v>1402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>
      <c r="A400" s="390" t="s">
        <v>1381</v>
      </c>
      <c r="B400" s="391" t="s">
        <v>6</v>
      </c>
      <c r="C400" s="391">
        <v>47</v>
      </c>
      <c r="D400" s="391" t="s">
        <v>1040</v>
      </c>
      <c r="E400" s="391">
        <v>5013</v>
      </c>
      <c r="F400" s="391" t="s">
        <v>1041</v>
      </c>
      <c r="G400" s="391" t="s">
        <v>1060</v>
      </c>
      <c r="H400" s="391" t="s">
        <v>905</v>
      </c>
      <c r="I400" s="391">
        <v>10</v>
      </c>
      <c r="J400" s="392" t="s">
        <v>1070</v>
      </c>
      <c r="K400" s="393">
        <f>(9*47)+(1*42.9)</f>
        <v>465.9</v>
      </c>
      <c r="L400" s="228"/>
      <c r="M400" s="58"/>
      <c r="N400" s="229"/>
      <c r="O400" s="186" t="s">
        <v>1393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>
      <c r="A401" s="390" t="s">
        <v>1381</v>
      </c>
      <c r="B401" s="391" t="s">
        <v>6</v>
      </c>
      <c r="C401" s="391">
        <v>47</v>
      </c>
      <c r="D401" s="391" t="s">
        <v>83</v>
      </c>
      <c r="E401" s="391">
        <v>5071</v>
      </c>
      <c r="F401" s="391" t="s">
        <v>1042</v>
      </c>
      <c r="G401" s="391" t="s">
        <v>1061</v>
      </c>
      <c r="H401" s="391" t="s">
        <v>905</v>
      </c>
      <c r="I401" s="391">
        <v>20</v>
      </c>
      <c r="J401" s="392" t="s">
        <v>192</v>
      </c>
      <c r="K401" s="393">
        <f>(19*19)+(1*12)</f>
        <v>373</v>
      </c>
      <c r="L401" s="228"/>
      <c r="M401" s="58"/>
      <c r="N401" s="229"/>
      <c r="O401" s="186" t="s">
        <v>1402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>
      <c r="A402" s="390" t="s">
        <v>1381</v>
      </c>
      <c r="B402" s="391" t="s">
        <v>6</v>
      </c>
      <c r="C402" s="391">
        <v>47</v>
      </c>
      <c r="D402" s="391" t="s">
        <v>83</v>
      </c>
      <c r="E402" s="391">
        <v>5091</v>
      </c>
      <c r="F402" s="391" t="s">
        <v>1043</v>
      </c>
      <c r="G402" s="391" t="s">
        <v>300</v>
      </c>
      <c r="H402" s="391" t="s">
        <v>905</v>
      </c>
      <c r="I402" s="391">
        <v>20</v>
      </c>
      <c r="J402" s="392" t="s">
        <v>192</v>
      </c>
      <c r="K402" s="393">
        <f>(19*19)+(1*12)</f>
        <v>373</v>
      </c>
      <c r="L402" s="58"/>
      <c r="M402" s="58"/>
      <c r="N402" s="229"/>
      <c r="O402" s="186" t="s">
        <v>1402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>
      <c r="A403" s="390" t="s">
        <v>1381</v>
      </c>
      <c r="B403" s="391" t="s">
        <v>6</v>
      </c>
      <c r="C403" s="391">
        <v>47</v>
      </c>
      <c r="D403" s="391" t="s">
        <v>83</v>
      </c>
      <c r="E403" s="391">
        <v>5122</v>
      </c>
      <c r="F403" s="391" t="s">
        <v>1044</v>
      </c>
      <c r="G403" s="391" t="s">
        <v>245</v>
      </c>
      <c r="H403" s="391" t="s">
        <v>905</v>
      </c>
      <c r="I403" s="391">
        <v>20</v>
      </c>
      <c r="J403" s="392" t="s">
        <v>192</v>
      </c>
      <c r="K403" s="393">
        <f>(19*19)+(1*12)</f>
        <v>373</v>
      </c>
      <c r="L403" s="228" t="s">
        <v>1393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>
      <c r="A404" s="390" t="s">
        <v>1381</v>
      </c>
      <c r="B404" s="391" t="s">
        <v>6</v>
      </c>
      <c r="C404" s="391">
        <v>47</v>
      </c>
      <c r="D404" s="391" t="s">
        <v>83</v>
      </c>
      <c r="E404" s="391">
        <v>5126</v>
      </c>
      <c r="F404" s="391" t="s">
        <v>1045</v>
      </c>
      <c r="G404" s="391" t="s">
        <v>245</v>
      </c>
      <c r="H404" s="391" t="s">
        <v>8</v>
      </c>
      <c r="I404" s="391">
        <v>10</v>
      </c>
      <c r="J404" s="392" t="s">
        <v>1071</v>
      </c>
      <c r="K404" s="393">
        <f>(9*42)+(1*37.9)</f>
        <v>415.9</v>
      </c>
      <c r="L404" s="58"/>
      <c r="M404" s="58"/>
      <c r="N404" s="229"/>
      <c r="O404" s="186" t="s">
        <v>1396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>
      <c r="A405" s="390" t="s">
        <v>1381</v>
      </c>
      <c r="B405" s="391" t="s">
        <v>6</v>
      </c>
      <c r="C405" s="391">
        <v>47</v>
      </c>
      <c r="D405" s="391" t="s">
        <v>83</v>
      </c>
      <c r="E405" s="391">
        <v>5161</v>
      </c>
      <c r="F405" s="391" t="s">
        <v>1046</v>
      </c>
      <c r="G405" s="391" t="s">
        <v>1062</v>
      </c>
      <c r="H405" s="391" t="s">
        <v>905</v>
      </c>
      <c r="I405" s="391">
        <v>20</v>
      </c>
      <c r="J405" s="392" t="s">
        <v>117</v>
      </c>
      <c r="K405" s="393">
        <f>(19*17)+(1*10)</f>
        <v>333</v>
      </c>
      <c r="L405" s="228"/>
      <c r="M405" s="58"/>
      <c r="N405" s="229"/>
      <c r="O405" s="186" t="s">
        <v>1403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>
      <c r="A406" s="390" t="s">
        <v>1381</v>
      </c>
      <c r="B406" s="391" t="s">
        <v>6</v>
      </c>
      <c r="C406" s="391">
        <v>47</v>
      </c>
      <c r="D406" s="391" t="s">
        <v>83</v>
      </c>
      <c r="E406" s="391">
        <v>5266</v>
      </c>
      <c r="F406" s="391" t="s">
        <v>1047</v>
      </c>
      <c r="G406" s="391" t="s">
        <v>407</v>
      </c>
      <c r="H406" s="391" t="s">
        <v>905</v>
      </c>
      <c r="I406" s="391">
        <v>15</v>
      </c>
      <c r="J406" s="392" t="s">
        <v>1072</v>
      </c>
      <c r="K406" s="393">
        <f>(14*19)+(1*14.9)</f>
        <v>280.89999999999998</v>
      </c>
      <c r="L406" s="58"/>
      <c r="M406" s="58"/>
      <c r="N406" s="229"/>
      <c r="O406" s="186" t="s">
        <v>1403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>
      <c r="A407" s="390" t="s">
        <v>1381</v>
      </c>
      <c r="B407" s="391" t="s">
        <v>6</v>
      </c>
      <c r="C407" s="391">
        <v>47</v>
      </c>
      <c r="D407" s="391" t="s">
        <v>83</v>
      </c>
      <c r="E407" s="391">
        <v>5306</v>
      </c>
      <c r="F407" s="391" t="s">
        <v>1048</v>
      </c>
      <c r="G407" s="391" t="s">
        <v>1063</v>
      </c>
      <c r="H407" s="391" t="s">
        <v>905</v>
      </c>
      <c r="I407" s="391">
        <v>20</v>
      </c>
      <c r="J407" s="392" t="s">
        <v>192</v>
      </c>
      <c r="K407" s="393">
        <f>(19*19)+(1*12)</f>
        <v>373</v>
      </c>
      <c r="L407" s="58"/>
      <c r="M407" s="58"/>
      <c r="N407" s="229"/>
      <c r="O407" s="186" t="s">
        <v>1405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>
      <c r="A408" s="390" t="s">
        <v>1381</v>
      </c>
      <c r="B408" s="391" t="s">
        <v>6</v>
      </c>
      <c r="C408" s="391">
        <v>47</v>
      </c>
      <c r="D408" s="391" t="s">
        <v>83</v>
      </c>
      <c r="E408" s="391">
        <v>5309</v>
      </c>
      <c r="F408" s="391" t="s">
        <v>1049</v>
      </c>
      <c r="G408" s="391" t="s">
        <v>1063</v>
      </c>
      <c r="H408" s="391" t="s">
        <v>905</v>
      </c>
      <c r="I408" s="391">
        <v>20</v>
      </c>
      <c r="J408" s="392" t="s">
        <v>192</v>
      </c>
      <c r="K408" s="393">
        <f>(19*19)+(1*12)</f>
        <v>373</v>
      </c>
      <c r="L408" s="228" t="s">
        <v>1393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>
      <c r="A409" s="390" t="s">
        <v>1381</v>
      </c>
      <c r="B409" s="391" t="s">
        <v>6</v>
      </c>
      <c r="C409" s="391">
        <v>47</v>
      </c>
      <c r="D409" s="391" t="s">
        <v>83</v>
      </c>
      <c r="E409" s="391">
        <v>5338</v>
      </c>
      <c r="F409" s="391" t="s">
        <v>1050</v>
      </c>
      <c r="G409" s="391" t="s">
        <v>1064</v>
      </c>
      <c r="H409" s="391" t="s">
        <v>905</v>
      </c>
      <c r="I409" s="391">
        <v>20</v>
      </c>
      <c r="J409" s="392" t="s">
        <v>192</v>
      </c>
      <c r="K409" s="393">
        <f>(19*19)+(1*12)</f>
        <v>373</v>
      </c>
      <c r="L409" s="228" t="s">
        <v>1393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>
      <c r="A410" s="356" t="s">
        <v>1381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1051</v>
      </c>
      <c r="G410" s="352" t="s">
        <v>1064</v>
      </c>
      <c r="H410" s="352" t="s">
        <v>190</v>
      </c>
      <c r="I410" s="352">
        <v>10</v>
      </c>
      <c r="J410" s="353" t="s">
        <v>1073</v>
      </c>
      <c r="K410" s="357">
        <f>(9*37)+(1*32.9)</f>
        <v>365.9</v>
      </c>
      <c r="L410" s="228" t="s">
        <v>1401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>
      <c r="A411" s="390" t="s">
        <v>1381</v>
      </c>
      <c r="B411" s="391" t="s">
        <v>6</v>
      </c>
      <c r="C411" s="391">
        <v>47</v>
      </c>
      <c r="D411" s="391" t="s">
        <v>83</v>
      </c>
      <c r="E411" s="391">
        <v>5359</v>
      </c>
      <c r="F411" s="391" t="s">
        <v>1052</v>
      </c>
      <c r="G411" s="391" t="s">
        <v>406</v>
      </c>
      <c r="H411" s="391" t="s">
        <v>8</v>
      </c>
      <c r="I411" s="391">
        <v>20</v>
      </c>
      <c r="J411" s="392" t="s">
        <v>1074</v>
      </c>
      <c r="K411" s="393">
        <f>(19*42)+(1*35)</f>
        <v>833</v>
      </c>
      <c r="L411" s="228" t="s">
        <v>1396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>
      <c r="A412" s="390" t="s">
        <v>1381</v>
      </c>
      <c r="B412" s="391" t="s">
        <v>6</v>
      </c>
      <c r="C412" s="391">
        <v>47</v>
      </c>
      <c r="D412" s="391" t="s">
        <v>83</v>
      </c>
      <c r="E412" s="391">
        <v>5394</v>
      </c>
      <c r="F412" s="391" t="s">
        <v>1053</v>
      </c>
      <c r="G412" s="391" t="s">
        <v>1065</v>
      </c>
      <c r="H412" s="391" t="s">
        <v>905</v>
      </c>
      <c r="I412" s="391">
        <v>10</v>
      </c>
      <c r="J412" s="392" t="s">
        <v>1075</v>
      </c>
      <c r="K412" s="393">
        <f>(9*19)+(1*14.9)</f>
        <v>185.9</v>
      </c>
      <c r="L412" s="228" t="s">
        <v>1389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>
      <c r="A413" s="390" t="s">
        <v>1381</v>
      </c>
      <c r="B413" s="391" t="s">
        <v>6</v>
      </c>
      <c r="C413" s="391">
        <v>47</v>
      </c>
      <c r="D413" s="391" t="s">
        <v>83</v>
      </c>
      <c r="E413" s="391">
        <v>5505</v>
      </c>
      <c r="F413" s="391" t="s">
        <v>1054</v>
      </c>
      <c r="G413" s="391" t="s">
        <v>1066</v>
      </c>
      <c r="H413" s="391" t="s">
        <v>8</v>
      </c>
      <c r="I413" s="391">
        <v>20</v>
      </c>
      <c r="J413" s="392" t="s">
        <v>192</v>
      </c>
      <c r="K413" s="393">
        <f>(19*19)+(1*12)</f>
        <v>373</v>
      </c>
      <c r="L413" s="58"/>
      <c r="M413" s="58"/>
      <c r="N413" s="229"/>
      <c r="O413" s="186" t="s">
        <v>1406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>
      <c r="A414" s="390" t="s">
        <v>1381</v>
      </c>
      <c r="B414" s="391" t="s">
        <v>6</v>
      </c>
      <c r="C414" s="391">
        <v>47</v>
      </c>
      <c r="D414" s="391" t="s">
        <v>83</v>
      </c>
      <c r="E414" s="391">
        <v>5579</v>
      </c>
      <c r="F414" s="391" t="s">
        <v>1055</v>
      </c>
      <c r="G414" s="391" t="s">
        <v>1067</v>
      </c>
      <c r="H414" s="391" t="s">
        <v>8</v>
      </c>
      <c r="I414" s="391">
        <v>20</v>
      </c>
      <c r="J414" s="392" t="s">
        <v>1076</v>
      </c>
      <c r="K414" s="393">
        <f>(19*18)+(1*11)</f>
        <v>353</v>
      </c>
      <c r="L414" s="58"/>
      <c r="M414" s="58"/>
      <c r="N414" s="229"/>
      <c r="O414" s="186" t="s">
        <v>1406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>
      <c r="A415" s="390" t="s">
        <v>1381</v>
      </c>
      <c r="B415" s="391" t="s">
        <v>6</v>
      </c>
      <c r="C415" s="391">
        <v>47</v>
      </c>
      <c r="D415" s="391" t="s">
        <v>83</v>
      </c>
      <c r="E415" s="391">
        <v>6713</v>
      </c>
      <c r="F415" s="391" t="s">
        <v>1056</v>
      </c>
      <c r="G415" s="391" t="s">
        <v>1068</v>
      </c>
      <c r="H415" s="391" t="s">
        <v>905</v>
      </c>
      <c r="I415" s="391">
        <v>20</v>
      </c>
      <c r="J415" s="392" t="s">
        <v>1077</v>
      </c>
      <c r="K415" s="393">
        <f>(18*21)+(2*14)</f>
        <v>406</v>
      </c>
      <c r="L415" s="228"/>
      <c r="M415" s="58"/>
      <c r="N415" s="229"/>
      <c r="O415" s="186" t="s">
        <v>1398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>
      <c r="A416" s="390" t="s">
        <v>1381</v>
      </c>
      <c r="B416" s="391" t="s">
        <v>6</v>
      </c>
      <c r="C416" s="391">
        <v>47</v>
      </c>
      <c r="D416" s="391" t="s">
        <v>83</v>
      </c>
      <c r="E416" s="391">
        <v>6770</v>
      </c>
      <c r="F416" s="391" t="s">
        <v>1057</v>
      </c>
      <c r="G416" s="391" t="s">
        <v>1069</v>
      </c>
      <c r="H416" s="391" t="s">
        <v>905</v>
      </c>
      <c r="I416" s="391">
        <v>20</v>
      </c>
      <c r="J416" s="392" t="s">
        <v>1078</v>
      </c>
      <c r="K416" s="393">
        <f>(19*45)+(1*38)</f>
        <v>893</v>
      </c>
      <c r="L416" s="228" t="s">
        <v>1389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>
      <c r="A417" s="390" t="s">
        <v>1381</v>
      </c>
      <c r="B417" s="391" t="s">
        <v>6</v>
      </c>
      <c r="C417" s="391">
        <v>47</v>
      </c>
      <c r="D417" s="391" t="s">
        <v>83</v>
      </c>
      <c r="E417" s="391">
        <v>6916</v>
      </c>
      <c r="F417" s="391" t="s">
        <v>1058</v>
      </c>
      <c r="G417" s="391" t="s">
        <v>546</v>
      </c>
      <c r="H417" s="391" t="s">
        <v>905</v>
      </c>
      <c r="I417" s="391">
        <v>15</v>
      </c>
      <c r="J417" s="392" t="s">
        <v>1079</v>
      </c>
      <c r="K417" s="393">
        <f>(14*22)+(1*15)</f>
        <v>323</v>
      </c>
      <c r="L417" s="228" t="s">
        <v>1398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>
      <c r="A418" s="356" t="s">
        <v>1381</v>
      </c>
      <c r="B418" s="352" t="s">
        <v>6</v>
      </c>
      <c r="C418" s="352">
        <v>47</v>
      </c>
      <c r="D418" s="352" t="s">
        <v>83</v>
      </c>
      <c r="E418" s="352">
        <v>6918</v>
      </c>
      <c r="F418" s="352" t="s">
        <v>1059</v>
      </c>
      <c r="G418" s="352" t="s">
        <v>546</v>
      </c>
      <c r="H418" s="352" t="s">
        <v>8</v>
      </c>
      <c r="I418" s="352">
        <v>15</v>
      </c>
      <c r="J418" s="353" t="s">
        <v>1080</v>
      </c>
      <c r="K418" s="357">
        <f>(14*20)+(1*13)</f>
        <v>293</v>
      </c>
      <c r="L418" s="228" t="s">
        <v>1398</v>
      </c>
      <c r="M418" s="58">
        <v>5</v>
      </c>
      <c r="N418" s="229">
        <v>100</v>
      </c>
      <c r="O418" s="186" t="s">
        <v>1406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>
      <c r="A419" s="390" t="s">
        <v>1381</v>
      </c>
      <c r="B419" s="391" t="s">
        <v>9</v>
      </c>
      <c r="C419" s="391">
        <v>40</v>
      </c>
      <c r="D419" s="391" t="s">
        <v>16</v>
      </c>
      <c r="E419" s="391">
        <v>42</v>
      </c>
      <c r="F419" s="391" t="s">
        <v>397</v>
      </c>
      <c r="G419" s="391" t="s">
        <v>620</v>
      </c>
      <c r="H419" s="391" t="s">
        <v>5</v>
      </c>
      <c r="I419" s="391">
        <v>10</v>
      </c>
      <c r="J419" s="392" t="s">
        <v>26</v>
      </c>
      <c r="K419" s="393">
        <f>(9*38)+(1*29.4)</f>
        <v>371.4</v>
      </c>
      <c r="L419" s="58"/>
      <c r="M419" s="58"/>
      <c r="N419" s="229"/>
      <c r="O419" s="186" t="s">
        <v>1393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>
      <c r="A420" s="390" t="s">
        <v>1381</v>
      </c>
      <c r="B420" s="391" t="s">
        <v>9</v>
      </c>
      <c r="C420" s="391">
        <v>40</v>
      </c>
      <c r="D420" s="391" t="s">
        <v>16</v>
      </c>
      <c r="E420" s="391">
        <v>43</v>
      </c>
      <c r="F420" s="391" t="s">
        <v>1081</v>
      </c>
      <c r="G420" s="391" t="s">
        <v>620</v>
      </c>
      <c r="H420" s="391" t="s">
        <v>5</v>
      </c>
      <c r="I420" s="391">
        <v>20</v>
      </c>
      <c r="J420" s="392" t="s">
        <v>30</v>
      </c>
      <c r="K420" s="393">
        <f>(19*38)+(1*29.4)</f>
        <v>751.4</v>
      </c>
      <c r="L420" s="228"/>
      <c r="M420" s="58"/>
      <c r="N420" s="229"/>
      <c r="O420" s="186" t="s">
        <v>1393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>
      <c r="A421" s="390" t="s">
        <v>1381</v>
      </c>
      <c r="B421" s="391" t="s">
        <v>9</v>
      </c>
      <c r="C421" s="391">
        <v>40</v>
      </c>
      <c r="D421" s="391" t="s">
        <v>16</v>
      </c>
      <c r="E421" s="391">
        <v>44</v>
      </c>
      <c r="F421" s="391" t="s">
        <v>434</v>
      </c>
      <c r="G421" s="391" t="s">
        <v>620</v>
      </c>
      <c r="H421" s="391" t="s">
        <v>5</v>
      </c>
      <c r="I421" s="391">
        <v>15</v>
      </c>
      <c r="J421" s="392" t="s">
        <v>93</v>
      </c>
      <c r="K421" s="393">
        <f>(15*38)</f>
        <v>570</v>
      </c>
      <c r="L421" s="58"/>
      <c r="M421" s="58"/>
      <c r="N421" s="229"/>
      <c r="O421" s="186" t="s">
        <v>1396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thickBot="1">
      <c r="A422" s="390" t="s">
        <v>1381</v>
      </c>
      <c r="B422" s="394" t="s">
        <v>9</v>
      </c>
      <c r="C422" s="394">
        <v>40</v>
      </c>
      <c r="D422" s="394" t="s">
        <v>16</v>
      </c>
      <c r="E422" s="394">
        <v>104</v>
      </c>
      <c r="F422" s="394" t="s">
        <v>310</v>
      </c>
      <c r="G422" s="394" t="s">
        <v>113</v>
      </c>
      <c r="H422" s="394" t="s">
        <v>5</v>
      </c>
      <c r="I422" s="394">
        <v>20</v>
      </c>
      <c r="J422" s="395" t="s">
        <v>17</v>
      </c>
      <c r="K422" s="396">
        <f>(19*35)+(1*26.4)</f>
        <v>691.4</v>
      </c>
      <c r="L422" s="58"/>
      <c r="M422" s="58"/>
      <c r="N422" s="229"/>
      <c r="O422" s="186" t="s">
        <v>1396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>
      <c r="A423" s="390" t="s">
        <v>1381</v>
      </c>
      <c r="B423" s="387" t="s">
        <v>9</v>
      </c>
      <c r="C423" s="387">
        <v>40</v>
      </c>
      <c r="D423" s="387" t="s">
        <v>16</v>
      </c>
      <c r="E423" s="387">
        <v>105</v>
      </c>
      <c r="F423" s="387" t="s">
        <v>86</v>
      </c>
      <c r="G423" s="387" t="s">
        <v>113</v>
      </c>
      <c r="H423" s="387" t="s">
        <v>5</v>
      </c>
      <c r="I423" s="387">
        <v>25</v>
      </c>
      <c r="J423" s="388" t="s">
        <v>103</v>
      </c>
      <c r="K423" s="389">
        <f>(24*35)+(1*26.4)</f>
        <v>866.4</v>
      </c>
      <c r="L423" s="58"/>
      <c r="M423" s="58"/>
      <c r="N423" s="229"/>
      <c r="O423" s="186" t="s">
        <v>1396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>
      <c r="A424" s="390" t="s">
        <v>1381</v>
      </c>
      <c r="B424" s="391" t="s">
        <v>9</v>
      </c>
      <c r="C424" s="391">
        <v>40</v>
      </c>
      <c r="D424" s="391" t="s">
        <v>16</v>
      </c>
      <c r="E424" s="391">
        <v>227</v>
      </c>
      <c r="F424" s="391" t="s">
        <v>1082</v>
      </c>
      <c r="G424" s="391" t="s">
        <v>94</v>
      </c>
      <c r="H424" s="391" t="s">
        <v>5</v>
      </c>
      <c r="I424" s="391">
        <v>20</v>
      </c>
      <c r="J424" s="392" t="s">
        <v>102</v>
      </c>
      <c r="K424" s="393">
        <f>(19*32)+(1*23.4)</f>
        <v>631.4</v>
      </c>
      <c r="L424" s="58"/>
      <c r="M424" s="58"/>
      <c r="N424" s="229"/>
      <c r="O424" s="186" t="s">
        <v>1393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>
      <c r="A425" s="390" t="s">
        <v>1381</v>
      </c>
      <c r="B425" s="391" t="s">
        <v>9</v>
      </c>
      <c r="C425" s="391">
        <v>40</v>
      </c>
      <c r="D425" s="391" t="s">
        <v>16</v>
      </c>
      <c r="E425" s="391">
        <v>228</v>
      </c>
      <c r="F425" s="391" t="s">
        <v>1083</v>
      </c>
      <c r="G425" s="391" t="s">
        <v>94</v>
      </c>
      <c r="H425" s="391" t="s">
        <v>5</v>
      </c>
      <c r="I425" s="391">
        <v>20</v>
      </c>
      <c r="J425" s="392" t="s">
        <v>17</v>
      </c>
      <c r="K425" s="393">
        <f>(19*35)+(1*26.4)</f>
        <v>691.4</v>
      </c>
      <c r="L425" s="58"/>
      <c r="M425" s="58"/>
      <c r="N425" s="229"/>
      <c r="O425" s="186" t="s">
        <v>1398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>
      <c r="A426" s="390" t="s">
        <v>1381</v>
      </c>
      <c r="B426" s="391" t="s">
        <v>9</v>
      </c>
      <c r="C426" s="391">
        <v>40</v>
      </c>
      <c r="D426" s="391" t="s">
        <v>16</v>
      </c>
      <c r="E426" s="391">
        <v>229</v>
      </c>
      <c r="F426" s="391" t="s">
        <v>1084</v>
      </c>
      <c r="G426" s="391" t="s">
        <v>94</v>
      </c>
      <c r="H426" s="391" t="s">
        <v>5</v>
      </c>
      <c r="I426" s="391">
        <v>20</v>
      </c>
      <c r="J426" s="392" t="s">
        <v>17</v>
      </c>
      <c r="K426" s="393">
        <f t="shared" ref="K426:K431" si="12">(19*35)+(1*26.4)</f>
        <v>691.4</v>
      </c>
      <c r="L426" s="58"/>
      <c r="M426" s="58"/>
      <c r="N426" s="229"/>
      <c r="O426" s="186" t="s">
        <v>1398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>
      <c r="A427" s="390" t="s">
        <v>1381</v>
      </c>
      <c r="B427" s="391" t="s">
        <v>9</v>
      </c>
      <c r="C427" s="391">
        <v>40</v>
      </c>
      <c r="D427" s="391" t="s">
        <v>16</v>
      </c>
      <c r="E427" s="391">
        <v>230</v>
      </c>
      <c r="F427" s="391" t="s">
        <v>480</v>
      </c>
      <c r="G427" s="391" t="s">
        <v>94</v>
      </c>
      <c r="H427" s="391" t="s">
        <v>5</v>
      </c>
      <c r="I427" s="391">
        <v>20</v>
      </c>
      <c r="J427" s="392" t="s">
        <v>17</v>
      </c>
      <c r="K427" s="393">
        <f t="shared" si="12"/>
        <v>691.4</v>
      </c>
      <c r="L427" s="58"/>
      <c r="M427" s="58"/>
      <c r="N427" s="229"/>
      <c r="O427" s="186" t="s">
        <v>1396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>
      <c r="A428" s="390" t="s">
        <v>1381</v>
      </c>
      <c r="B428" s="391" t="s">
        <v>9</v>
      </c>
      <c r="C428" s="391">
        <v>40</v>
      </c>
      <c r="D428" s="391" t="s">
        <v>16</v>
      </c>
      <c r="E428" s="391">
        <v>231</v>
      </c>
      <c r="F428" s="391" t="s">
        <v>1085</v>
      </c>
      <c r="G428" s="391" t="s">
        <v>94</v>
      </c>
      <c r="H428" s="391" t="s">
        <v>5</v>
      </c>
      <c r="I428" s="391">
        <v>20</v>
      </c>
      <c r="J428" s="392" t="s">
        <v>17</v>
      </c>
      <c r="K428" s="393">
        <f t="shared" si="12"/>
        <v>691.4</v>
      </c>
      <c r="L428" s="58"/>
      <c r="M428" s="58"/>
      <c r="N428" s="229"/>
      <c r="O428" s="186" t="s">
        <v>1396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>
      <c r="A429" s="390" t="s">
        <v>1381</v>
      </c>
      <c r="B429" s="391" t="s">
        <v>9</v>
      </c>
      <c r="C429" s="391">
        <v>40</v>
      </c>
      <c r="D429" s="391" t="s">
        <v>16</v>
      </c>
      <c r="E429" s="391">
        <v>250</v>
      </c>
      <c r="F429" s="391" t="s">
        <v>1086</v>
      </c>
      <c r="G429" s="391" t="s">
        <v>94</v>
      </c>
      <c r="H429" s="391" t="s">
        <v>15</v>
      </c>
      <c r="I429" s="391">
        <v>20</v>
      </c>
      <c r="J429" s="392" t="s">
        <v>17</v>
      </c>
      <c r="K429" s="393">
        <f t="shared" si="12"/>
        <v>691.4</v>
      </c>
      <c r="L429" s="58"/>
      <c r="M429" s="58"/>
      <c r="N429" s="229"/>
      <c r="O429" s="186" t="s">
        <v>1398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>
      <c r="A430" s="390" t="s">
        <v>1381</v>
      </c>
      <c r="B430" s="391" t="s">
        <v>9</v>
      </c>
      <c r="C430" s="391">
        <v>40</v>
      </c>
      <c r="D430" s="391" t="s">
        <v>16</v>
      </c>
      <c r="E430" s="391">
        <v>251</v>
      </c>
      <c r="F430" s="391" t="s">
        <v>1087</v>
      </c>
      <c r="G430" s="391" t="s">
        <v>94</v>
      </c>
      <c r="H430" s="391" t="s">
        <v>15</v>
      </c>
      <c r="I430" s="391">
        <v>20</v>
      </c>
      <c r="J430" s="392" t="s">
        <v>17</v>
      </c>
      <c r="K430" s="393">
        <f t="shared" si="12"/>
        <v>691.4</v>
      </c>
      <c r="L430" s="228"/>
      <c r="M430" s="58"/>
      <c r="N430" s="229"/>
      <c r="O430" s="186" t="s">
        <v>1393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>
      <c r="A431" s="390" t="s">
        <v>1381</v>
      </c>
      <c r="B431" s="391" t="s">
        <v>9</v>
      </c>
      <c r="C431" s="391">
        <v>40</v>
      </c>
      <c r="D431" s="391" t="s">
        <v>16</v>
      </c>
      <c r="E431" s="391">
        <v>252</v>
      </c>
      <c r="F431" s="391" t="s">
        <v>484</v>
      </c>
      <c r="G431" s="391" t="s">
        <v>94</v>
      </c>
      <c r="H431" s="391" t="s">
        <v>15</v>
      </c>
      <c r="I431" s="391">
        <v>20</v>
      </c>
      <c r="J431" s="392" t="s">
        <v>17</v>
      </c>
      <c r="K431" s="393">
        <f t="shared" si="12"/>
        <v>691.4</v>
      </c>
      <c r="L431" s="58"/>
      <c r="M431" s="58"/>
      <c r="N431" s="229"/>
      <c r="O431" s="186" t="s">
        <v>1398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>
      <c r="A432" s="390" t="s">
        <v>1381</v>
      </c>
      <c r="B432" s="391" t="s">
        <v>9</v>
      </c>
      <c r="C432" s="391">
        <v>40</v>
      </c>
      <c r="D432" s="391" t="s">
        <v>16</v>
      </c>
      <c r="E432" s="391">
        <v>313</v>
      </c>
      <c r="F432" s="391" t="s">
        <v>1088</v>
      </c>
      <c r="G432" s="391" t="s">
        <v>39</v>
      </c>
      <c r="H432" s="391" t="s">
        <v>182</v>
      </c>
      <c r="I432" s="391">
        <v>10</v>
      </c>
      <c r="J432" s="392" t="s">
        <v>577</v>
      </c>
      <c r="K432" s="393">
        <f>(9*38)+(1*32.2)</f>
        <v>374.2</v>
      </c>
      <c r="L432" s="58"/>
      <c r="M432" s="58"/>
      <c r="N432" s="229"/>
      <c r="O432" s="186" t="s">
        <v>1398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>
      <c r="A433" s="390" t="s">
        <v>1381</v>
      </c>
      <c r="B433" s="391" t="s">
        <v>9</v>
      </c>
      <c r="C433" s="391">
        <v>40</v>
      </c>
      <c r="D433" s="391" t="s">
        <v>16</v>
      </c>
      <c r="E433" s="391">
        <v>314</v>
      </c>
      <c r="F433" s="391" t="s">
        <v>1089</v>
      </c>
      <c r="G433" s="391" t="s">
        <v>39</v>
      </c>
      <c r="H433" s="391" t="s">
        <v>182</v>
      </c>
      <c r="I433" s="391">
        <v>20</v>
      </c>
      <c r="J433" s="392" t="s">
        <v>30</v>
      </c>
      <c r="K433" s="393">
        <f>(19*38)+(1*29.4)</f>
        <v>751.4</v>
      </c>
      <c r="L433" s="58"/>
      <c r="M433" s="58"/>
      <c r="N433" s="229"/>
      <c r="O433" s="186" t="s">
        <v>1396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>
      <c r="A434" s="390" t="s">
        <v>1381</v>
      </c>
      <c r="B434" s="391" t="s">
        <v>9</v>
      </c>
      <c r="C434" s="391">
        <v>40</v>
      </c>
      <c r="D434" s="391" t="s">
        <v>16</v>
      </c>
      <c r="E434" s="391">
        <v>333</v>
      </c>
      <c r="F434" s="391" t="s">
        <v>589</v>
      </c>
      <c r="G434" s="391" t="s">
        <v>280</v>
      </c>
      <c r="H434" s="391" t="s">
        <v>15</v>
      </c>
      <c r="I434" s="391">
        <v>30</v>
      </c>
      <c r="J434" s="392" t="s">
        <v>24</v>
      </c>
      <c r="K434" s="393">
        <f>(29*38)+(1*29.4)</f>
        <v>1131.4000000000001</v>
      </c>
      <c r="L434" s="58"/>
      <c r="M434" s="58"/>
      <c r="N434" s="229"/>
      <c r="O434" s="186" t="s">
        <v>1393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>
      <c r="A435" s="390" t="s">
        <v>1381</v>
      </c>
      <c r="B435" s="391" t="s">
        <v>9</v>
      </c>
      <c r="C435" s="391">
        <v>40</v>
      </c>
      <c r="D435" s="391" t="s">
        <v>16</v>
      </c>
      <c r="E435" s="391">
        <v>334</v>
      </c>
      <c r="F435" s="391" t="s">
        <v>530</v>
      </c>
      <c r="G435" s="391" t="s">
        <v>280</v>
      </c>
      <c r="H435" s="391" t="s">
        <v>15</v>
      </c>
      <c r="I435" s="391">
        <v>30</v>
      </c>
      <c r="J435" s="392" t="s">
        <v>24</v>
      </c>
      <c r="K435" s="393">
        <f>(29*38)+(1*29.4)</f>
        <v>1131.4000000000001</v>
      </c>
      <c r="L435" s="228"/>
      <c r="M435" s="58"/>
      <c r="N435" s="229"/>
      <c r="O435" s="186" t="s">
        <v>1396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>
      <c r="A436" s="390" t="s">
        <v>1381</v>
      </c>
      <c r="B436" s="391" t="s">
        <v>9</v>
      </c>
      <c r="C436" s="391">
        <v>40</v>
      </c>
      <c r="D436" s="391" t="s">
        <v>16</v>
      </c>
      <c r="E436" s="391">
        <v>336</v>
      </c>
      <c r="F436" s="391" t="s">
        <v>590</v>
      </c>
      <c r="G436" s="391" t="s">
        <v>280</v>
      </c>
      <c r="H436" s="391" t="s">
        <v>15</v>
      </c>
      <c r="I436" s="391">
        <v>20</v>
      </c>
      <c r="J436" s="392" t="s">
        <v>136</v>
      </c>
      <c r="K436" s="393">
        <f>(20*38)</f>
        <v>760</v>
      </c>
      <c r="L436" s="228"/>
      <c r="M436" s="58"/>
      <c r="N436" s="229"/>
      <c r="O436" s="186" t="s">
        <v>1398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>
      <c r="A437" s="390" t="s">
        <v>1381</v>
      </c>
      <c r="B437" s="391" t="s">
        <v>9</v>
      </c>
      <c r="C437" s="391">
        <v>40</v>
      </c>
      <c r="D437" s="391" t="s">
        <v>16</v>
      </c>
      <c r="E437" s="391">
        <v>418</v>
      </c>
      <c r="F437" s="391" t="s">
        <v>253</v>
      </c>
      <c r="G437" s="391" t="s">
        <v>141</v>
      </c>
      <c r="H437" s="391" t="s">
        <v>5</v>
      </c>
      <c r="I437" s="391">
        <v>30</v>
      </c>
      <c r="J437" s="392" t="s">
        <v>12</v>
      </c>
      <c r="K437" s="393">
        <f>(29*35)+(1*26.4)</f>
        <v>1041.4000000000001</v>
      </c>
      <c r="L437" s="228"/>
      <c r="M437" s="58"/>
      <c r="N437" s="229"/>
      <c r="O437" s="186" t="s">
        <v>1393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>
      <c r="A438" s="390" t="s">
        <v>1381</v>
      </c>
      <c r="B438" s="391" t="s">
        <v>9</v>
      </c>
      <c r="C438" s="391">
        <v>40</v>
      </c>
      <c r="D438" s="391" t="s">
        <v>16</v>
      </c>
      <c r="E438" s="391">
        <v>419</v>
      </c>
      <c r="F438" s="391" t="s">
        <v>638</v>
      </c>
      <c r="G438" s="391" t="s">
        <v>141</v>
      </c>
      <c r="H438" s="391" t="s">
        <v>15</v>
      </c>
      <c r="I438" s="391">
        <v>20</v>
      </c>
      <c r="J438" s="392" t="s">
        <v>125</v>
      </c>
      <c r="K438" s="393">
        <f>(20*35)</f>
        <v>700</v>
      </c>
      <c r="L438" s="228"/>
      <c r="M438" s="58"/>
      <c r="N438" s="229"/>
      <c r="O438" s="186" t="s">
        <v>1396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>
      <c r="A439" s="390" t="s">
        <v>1381</v>
      </c>
      <c r="B439" s="391" t="s">
        <v>9</v>
      </c>
      <c r="C439" s="391">
        <v>40</v>
      </c>
      <c r="D439" s="391" t="s">
        <v>16</v>
      </c>
      <c r="E439" s="391">
        <v>435</v>
      </c>
      <c r="F439" s="391" t="s">
        <v>641</v>
      </c>
      <c r="G439" s="391" t="s">
        <v>131</v>
      </c>
      <c r="H439" s="391" t="s">
        <v>15</v>
      </c>
      <c r="I439" s="391">
        <v>20</v>
      </c>
      <c r="J439" s="392" t="s">
        <v>30</v>
      </c>
      <c r="K439" s="393">
        <f>(19*38)+(1*29.4)</f>
        <v>751.4</v>
      </c>
      <c r="L439" s="228"/>
      <c r="M439" s="58"/>
      <c r="N439" s="229"/>
      <c r="O439" s="186" t="s">
        <v>1396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>
      <c r="A440" s="390" t="s">
        <v>1381</v>
      </c>
      <c r="B440" s="391" t="s">
        <v>9</v>
      </c>
      <c r="C440" s="391">
        <v>40</v>
      </c>
      <c r="D440" s="391" t="s">
        <v>16</v>
      </c>
      <c r="E440" s="391">
        <v>436</v>
      </c>
      <c r="F440" s="391" t="s">
        <v>343</v>
      </c>
      <c r="G440" s="391" t="s">
        <v>131</v>
      </c>
      <c r="H440" s="391" t="s">
        <v>15</v>
      </c>
      <c r="I440" s="391">
        <v>10</v>
      </c>
      <c r="J440" s="392" t="s">
        <v>26</v>
      </c>
      <c r="K440" s="393">
        <f>(9*38)+(1*29.4)</f>
        <v>371.4</v>
      </c>
      <c r="L440" s="58"/>
      <c r="M440" s="58"/>
      <c r="N440" s="229"/>
      <c r="O440" s="186" t="s">
        <v>1398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>
      <c r="A441" s="390" t="s">
        <v>1381</v>
      </c>
      <c r="B441" s="391" t="s">
        <v>9</v>
      </c>
      <c r="C441" s="391">
        <v>40</v>
      </c>
      <c r="D441" s="391" t="s">
        <v>16</v>
      </c>
      <c r="E441" s="391">
        <v>450</v>
      </c>
      <c r="F441" s="391" t="s">
        <v>394</v>
      </c>
      <c r="G441" s="391" t="s">
        <v>290</v>
      </c>
      <c r="H441" s="391" t="s">
        <v>5</v>
      </c>
      <c r="I441" s="391">
        <v>15</v>
      </c>
      <c r="J441" s="392" t="s">
        <v>14</v>
      </c>
      <c r="K441" s="393">
        <f>(14*38)+(1*29.4)</f>
        <v>561.4</v>
      </c>
      <c r="L441" s="228" t="s">
        <v>1382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>
      <c r="A442" s="390" t="s">
        <v>1381</v>
      </c>
      <c r="B442" s="391" t="s">
        <v>9</v>
      </c>
      <c r="C442" s="391">
        <v>40</v>
      </c>
      <c r="D442" s="391" t="s">
        <v>16</v>
      </c>
      <c r="E442" s="391">
        <v>604</v>
      </c>
      <c r="F442" s="391" t="s">
        <v>731</v>
      </c>
      <c r="G442" s="391" t="s">
        <v>111</v>
      </c>
      <c r="H442" s="391" t="s">
        <v>5</v>
      </c>
      <c r="I442" s="391">
        <v>30</v>
      </c>
      <c r="J442" s="392" t="s">
        <v>983</v>
      </c>
      <c r="K442" s="393">
        <f>(29*33)+(1*24.4)</f>
        <v>981.4</v>
      </c>
      <c r="L442" s="58"/>
      <c r="M442" s="58"/>
      <c r="N442" s="229"/>
      <c r="O442" s="186" t="s">
        <v>1396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>
      <c r="A443" s="390" t="s">
        <v>1381</v>
      </c>
      <c r="B443" s="391" t="s">
        <v>9</v>
      </c>
      <c r="C443" s="391">
        <v>40</v>
      </c>
      <c r="D443" s="391" t="s">
        <v>16</v>
      </c>
      <c r="E443" s="391">
        <v>605</v>
      </c>
      <c r="F443" s="391" t="s">
        <v>556</v>
      </c>
      <c r="G443" s="391" t="s">
        <v>111</v>
      </c>
      <c r="H443" s="391" t="s">
        <v>5</v>
      </c>
      <c r="I443" s="391">
        <v>30</v>
      </c>
      <c r="J443" s="392" t="s">
        <v>983</v>
      </c>
      <c r="K443" s="393">
        <f>(29*33)+(1*24.4)</f>
        <v>981.4</v>
      </c>
      <c r="L443" s="228"/>
      <c r="M443" s="58"/>
      <c r="N443" s="229"/>
      <c r="O443" s="186" t="s">
        <v>1398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>
      <c r="A444" s="390" t="s">
        <v>1381</v>
      </c>
      <c r="B444" s="391" t="s">
        <v>9</v>
      </c>
      <c r="C444" s="391">
        <v>40</v>
      </c>
      <c r="D444" s="391" t="s">
        <v>16</v>
      </c>
      <c r="E444" s="391">
        <v>607</v>
      </c>
      <c r="F444" s="391" t="s">
        <v>630</v>
      </c>
      <c r="G444" s="391" t="s">
        <v>111</v>
      </c>
      <c r="H444" s="391" t="s">
        <v>15</v>
      </c>
      <c r="I444" s="391">
        <v>15</v>
      </c>
      <c r="J444" s="392" t="s">
        <v>116</v>
      </c>
      <c r="K444" s="393">
        <f>(14*34)+(1*25.4)</f>
        <v>501.4</v>
      </c>
      <c r="L444" s="228"/>
      <c r="M444" s="58"/>
      <c r="N444" s="229"/>
      <c r="O444" s="186" t="s">
        <v>1396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>
      <c r="A445" s="390" t="s">
        <v>1381</v>
      </c>
      <c r="B445" s="391" t="s">
        <v>9</v>
      </c>
      <c r="C445" s="391">
        <v>40</v>
      </c>
      <c r="D445" s="391" t="s">
        <v>16</v>
      </c>
      <c r="E445" s="391">
        <v>608</v>
      </c>
      <c r="F445" s="391" t="s">
        <v>805</v>
      </c>
      <c r="G445" s="391" t="s">
        <v>111</v>
      </c>
      <c r="H445" s="391" t="s">
        <v>15</v>
      </c>
      <c r="I445" s="391">
        <v>15</v>
      </c>
      <c r="J445" s="392" t="s">
        <v>116</v>
      </c>
      <c r="K445" s="393">
        <f>(14*34)+(1*25.4)</f>
        <v>501.4</v>
      </c>
      <c r="L445" s="58"/>
      <c r="M445" s="58"/>
      <c r="N445" s="229"/>
      <c r="O445" s="186" t="s">
        <v>1398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>
      <c r="A446" s="390" t="s">
        <v>1381</v>
      </c>
      <c r="B446" s="391" t="s">
        <v>9</v>
      </c>
      <c r="C446" s="391">
        <v>40</v>
      </c>
      <c r="D446" s="391" t="s">
        <v>16</v>
      </c>
      <c r="E446" s="391">
        <v>625</v>
      </c>
      <c r="F446" s="391" t="s">
        <v>624</v>
      </c>
      <c r="G446" s="391" t="s">
        <v>1090</v>
      </c>
      <c r="H446" s="391" t="s">
        <v>5</v>
      </c>
      <c r="I446" s="391">
        <v>20</v>
      </c>
      <c r="J446" s="392" t="s">
        <v>30</v>
      </c>
      <c r="K446" s="393">
        <f>(19*38)+(1*29.4)</f>
        <v>751.4</v>
      </c>
      <c r="L446" s="58"/>
      <c r="M446" s="58"/>
      <c r="N446" s="229"/>
      <c r="O446" s="186" t="s">
        <v>1396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>
      <c r="A447" s="390" t="s">
        <v>1381</v>
      </c>
      <c r="B447" s="391" t="s">
        <v>9</v>
      </c>
      <c r="C447" s="391">
        <v>40</v>
      </c>
      <c r="D447" s="391" t="s">
        <v>32</v>
      </c>
      <c r="E447" s="391">
        <v>73</v>
      </c>
      <c r="F447" s="391" t="s">
        <v>672</v>
      </c>
      <c r="G447" s="391" t="s">
        <v>114</v>
      </c>
      <c r="H447" s="391" t="s">
        <v>15</v>
      </c>
      <c r="I447" s="391">
        <v>15</v>
      </c>
      <c r="J447" s="392" t="s">
        <v>13</v>
      </c>
      <c r="K447" s="393">
        <f>(14*35)+(1*26.4)</f>
        <v>516.4</v>
      </c>
      <c r="L447" s="228" t="s">
        <v>1382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>
      <c r="A448" s="390" t="s">
        <v>1381</v>
      </c>
      <c r="B448" s="391" t="s">
        <v>9</v>
      </c>
      <c r="C448" s="391">
        <v>40</v>
      </c>
      <c r="D448" s="391" t="s">
        <v>10</v>
      </c>
      <c r="E448" s="391">
        <v>70</v>
      </c>
      <c r="F448" s="391" t="s">
        <v>465</v>
      </c>
      <c r="G448" s="391" t="s">
        <v>294</v>
      </c>
      <c r="H448" s="391" t="s">
        <v>5</v>
      </c>
      <c r="I448" s="391">
        <v>30</v>
      </c>
      <c r="J448" s="392" t="s">
        <v>24</v>
      </c>
      <c r="K448" s="393">
        <f>(29*38)+(1*29.4)</f>
        <v>1131.4000000000001</v>
      </c>
      <c r="L448" s="228"/>
      <c r="M448" s="58"/>
      <c r="N448" s="229"/>
      <c r="O448" s="186" t="s">
        <v>1398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>
      <c r="A449" s="390" t="s">
        <v>1381</v>
      </c>
      <c r="B449" s="391" t="s">
        <v>9</v>
      </c>
      <c r="C449" s="391">
        <v>40</v>
      </c>
      <c r="D449" s="391" t="s">
        <v>10</v>
      </c>
      <c r="E449" s="391">
        <v>72</v>
      </c>
      <c r="F449" s="391" t="s">
        <v>1091</v>
      </c>
      <c r="G449" s="391" t="s">
        <v>294</v>
      </c>
      <c r="H449" s="391" t="s">
        <v>5</v>
      </c>
      <c r="I449" s="391">
        <v>15</v>
      </c>
      <c r="J449" s="392" t="s">
        <v>14</v>
      </c>
      <c r="K449" s="393">
        <f>(14*38)+(1*29.4)</f>
        <v>561.4</v>
      </c>
      <c r="L449" s="228"/>
      <c r="M449" s="58"/>
      <c r="N449" s="229"/>
      <c r="O449" s="186" t="s">
        <v>1396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>
      <c r="A450" s="390" t="s">
        <v>1381</v>
      </c>
      <c r="B450" s="391" t="s">
        <v>9</v>
      </c>
      <c r="C450" s="391">
        <v>40</v>
      </c>
      <c r="D450" s="391" t="s">
        <v>10</v>
      </c>
      <c r="E450" s="391">
        <v>81</v>
      </c>
      <c r="F450" s="391" t="s">
        <v>163</v>
      </c>
      <c r="G450" s="391" t="s">
        <v>294</v>
      </c>
      <c r="H450" s="391" t="s">
        <v>182</v>
      </c>
      <c r="I450" s="391">
        <v>20</v>
      </c>
      <c r="J450" s="392" t="s">
        <v>30</v>
      </c>
      <c r="K450" s="393">
        <f>(19*38)+(1*29.4)</f>
        <v>751.4</v>
      </c>
      <c r="L450" s="228"/>
      <c r="M450" s="58"/>
      <c r="N450" s="229"/>
      <c r="O450" s="186" t="s">
        <v>1393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>
      <c r="A451" s="390" t="s">
        <v>1381</v>
      </c>
      <c r="B451" s="391" t="s">
        <v>9</v>
      </c>
      <c r="C451" s="391">
        <v>40</v>
      </c>
      <c r="D451" s="391" t="s">
        <v>10</v>
      </c>
      <c r="E451" s="391">
        <v>84</v>
      </c>
      <c r="F451" s="391" t="s">
        <v>875</v>
      </c>
      <c r="G451" s="391" t="s">
        <v>294</v>
      </c>
      <c r="H451" s="391" t="s">
        <v>182</v>
      </c>
      <c r="I451" s="391">
        <v>20</v>
      </c>
      <c r="J451" s="392" t="s">
        <v>30</v>
      </c>
      <c r="K451" s="393">
        <f>(19*38)+(1*29.4)</f>
        <v>751.4</v>
      </c>
      <c r="L451" s="228"/>
      <c r="M451" s="58"/>
      <c r="N451" s="229"/>
      <c r="O451" s="186" t="s">
        <v>1396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>
      <c r="A452" s="390" t="s">
        <v>1381</v>
      </c>
      <c r="B452" s="391" t="s">
        <v>9</v>
      </c>
      <c r="C452" s="391">
        <v>40</v>
      </c>
      <c r="D452" s="391" t="s">
        <v>10</v>
      </c>
      <c r="E452" s="391">
        <v>98</v>
      </c>
      <c r="F452" s="391" t="s">
        <v>749</v>
      </c>
      <c r="G452" s="391" t="s">
        <v>38</v>
      </c>
      <c r="H452" s="391" t="s">
        <v>15</v>
      </c>
      <c r="I452" s="391">
        <v>15</v>
      </c>
      <c r="J452" s="392" t="s">
        <v>13</v>
      </c>
      <c r="K452" s="393">
        <f>(14*35)+(1*26.4)</f>
        <v>516.4</v>
      </c>
      <c r="L452" s="228"/>
      <c r="M452" s="58"/>
      <c r="N452" s="229"/>
      <c r="O452" s="186" t="s">
        <v>1396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>
      <c r="A453" s="390" t="s">
        <v>1381</v>
      </c>
      <c r="B453" s="391" t="s">
        <v>9</v>
      </c>
      <c r="C453" s="391">
        <v>40</v>
      </c>
      <c r="D453" s="391" t="s">
        <v>10</v>
      </c>
      <c r="E453" s="391">
        <v>101</v>
      </c>
      <c r="F453" s="391" t="s">
        <v>606</v>
      </c>
      <c r="G453" s="391" t="s">
        <v>38</v>
      </c>
      <c r="H453" s="391" t="s">
        <v>15</v>
      </c>
      <c r="I453" s="391">
        <v>15</v>
      </c>
      <c r="J453" s="392" t="s">
        <v>13</v>
      </c>
      <c r="K453" s="393">
        <f>(14*35)+(1*26.4)</f>
        <v>516.4</v>
      </c>
      <c r="L453" s="228"/>
      <c r="M453" s="58"/>
      <c r="N453" s="229"/>
      <c r="O453" s="186" t="s">
        <v>1393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>
      <c r="A454" s="390" t="s">
        <v>1381</v>
      </c>
      <c r="B454" s="391" t="s">
        <v>9</v>
      </c>
      <c r="C454" s="391">
        <v>40</v>
      </c>
      <c r="D454" s="391" t="s">
        <v>10</v>
      </c>
      <c r="E454" s="391">
        <v>105</v>
      </c>
      <c r="F454" s="391" t="s">
        <v>749</v>
      </c>
      <c r="G454" s="391" t="s">
        <v>38</v>
      </c>
      <c r="H454" s="391" t="s">
        <v>182</v>
      </c>
      <c r="I454" s="391">
        <v>20</v>
      </c>
      <c r="J454" s="392" t="s">
        <v>17</v>
      </c>
      <c r="K454" s="393">
        <f>(19*35)+(1*26.4)</f>
        <v>691.4</v>
      </c>
      <c r="L454" s="228" t="s">
        <v>1382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>
      <c r="A455" s="390" t="s">
        <v>1381</v>
      </c>
      <c r="B455" s="391" t="s">
        <v>9</v>
      </c>
      <c r="C455" s="391">
        <v>40</v>
      </c>
      <c r="D455" s="391" t="s">
        <v>10</v>
      </c>
      <c r="E455" s="391">
        <v>115</v>
      </c>
      <c r="F455" s="391" t="s">
        <v>1092</v>
      </c>
      <c r="G455" s="391" t="s">
        <v>27</v>
      </c>
      <c r="H455" s="391" t="s">
        <v>5</v>
      </c>
      <c r="I455" s="391">
        <v>15</v>
      </c>
      <c r="J455" s="392" t="s">
        <v>14</v>
      </c>
      <c r="K455" s="393">
        <f>(14*38)+(1*29.4)</f>
        <v>561.4</v>
      </c>
      <c r="L455" s="58"/>
      <c r="M455" s="58"/>
      <c r="N455" s="229"/>
      <c r="O455" s="186" t="s">
        <v>1393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>
      <c r="A456" s="390" t="s">
        <v>1381</v>
      </c>
      <c r="B456" s="391" t="s">
        <v>9</v>
      </c>
      <c r="C456" s="391">
        <v>40</v>
      </c>
      <c r="D456" s="391" t="s">
        <v>10</v>
      </c>
      <c r="E456" s="391">
        <v>116</v>
      </c>
      <c r="F456" s="391" t="s">
        <v>1093</v>
      </c>
      <c r="G456" s="391" t="s">
        <v>27</v>
      </c>
      <c r="H456" s="391" t="s">
        <v>5</v>
      </c>
      <c r="I456" s="391">
        <v>15</v>
      </c>
      <c r="J456" s="392" t="s">
        <v>93</v>
      </c>
      <c r="K456" s="393">
        <f>(15*38)</f>
        <v>570</v>
      </c>
      <c r="L456" s="58"/>
      <c r="M456" s="58"/>
      <c r="N456" s="229"/>
      <c r="O456" s="186" t="s">
        <v>1398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>
      <c r="A457" s="390" t="s">
        <v>1381</v>
      </c>
      <c r="B457" s="391" t="s">
        <v>9</v>
      </c>
      <c r="C457" s="391">
        <v>40</v>
      </c>
      <c r="D457" s="391" t="s">
        <v>10</v>
      </c>
      <c r="E457" s="391">
        <v>201</v>
      </c>
      <c r="F457" s="391" t="s">
        <v>469</v>
      </c>
      <c r="G457" s="391" t="s">
        <v>39</v>
      </c>
      <c r="H457" s="391" t="s">
        <v>182</v>
      </c>
      <c r="I457" s="391">
        <v>20</v>
      </c>
      <c r="J457" s="392" t="s">
        <v>30</v>
      </c>
      <c r="K457" s="393">
        <f>(19*38)+(1*29.4)</f>
        <v>751.4</v>
      </c>
      <c r="L457" s="58"/>
      <c r="M457" s="58"/>
      <c r="N457" s="229"/>
      <c r="O457" s="186" t="s">
        <v>1393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>
      <c r="A458" s="390" t="s">
        <v>1381</v>
      </c>
      <c r="B458" s="391" t="s">
        <v>9</v>
      </c>
      <c r="C458" s="391">
        <v>40</v>
      </c>
      <c r="D458" s="391" t="s">
        <v>10</v>
      </c>
      <c r="E458" s="391">
        <v>254</v>
      </c>
      <c r="F458" s="391" t="s">
        <v>206</v>
      </c>
      <c r="G458" s="391" t="s">
        <v>458</v>
      </c>
      <c r="H458" s="391" t="s">
        <v>5</v>
      </c>
      <c r="I458" s="391">
        <v>20</v>
      </c>
      <c r="J458" s="392" t="s">
        <v>30</v>
      </c>
      <c r="K458" s="393">
        <f>(19*38)+(1*29.4)</f>
        <v>751.4</v>
      </c>
      <c r="L458" s="228"/>
      <c r="M458" s="58"/>
      <c r="N458" s="229"/>
      <c r="O458" s="186" t="s">
        <v>1396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>
      <c r="A459" s="390" t="s">
        <v>1381</v>
      </c>
      <c r="B459" s="391" t="s">
        <v>9</v>
      </c>
      <c r="C459" s="391">
        <v>40</v>
      </c>
      <c r="D459" s="391" t="s">
        <v>10</v>
      </c>
      <c r="E459" s="391">
        <v>280</v>
      </c>
      <c r="F459" s="391" t="s">
        <v>256</v>
      </c>
      <c r="G459" s="391" t="s">
        <v>99</v>
      </c>
      <c r="H459" s="391" t="s">
        <v>5</v>
      </c>
      <c r="I459" s="391">
        <v>20</v>
      </c>
      <c r="J459" s="392" t="s">
        <v>125</v>
      </c>
      <c r="K459" s="393">
        <f>(20*35)</f>
        <v>700</v>
      </c>
      <c r="L459" s="58"/>
      <c r="M459" s="58"/>
      <c r="N459" s="229"/>
      <c r="O459" s="186" t="s">
        <v>1398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>
      <c r="A460" s="390" t="s">
        <v>1381</v>
      </c>
      <c r="B460" s="391" t="s">
        <v>9</v>
      </c>
      <c r="C460" s="391">
        <v>40</v>
      </c>
      <c r="D460" s="391" t="s">
        <v>10</v>
      </c>
      <c r="E460" s="391">
        <v>370</v>
      </c>
      <c r="F460" s="391" t="s">
        <v>169</v>
      </c>
      <c r="G460" s="391" t="s">
        <v>127</v>
      </c>
      <c r="H460" s="391" t="s">
        <v>15</v>
      </c>
      <c r="I460" s="391">
        <v>20</v>
      </c>
      <c r="J460" s="392" t="s">
        <v>17</v>
      </c>
      <c r="K460" s="393">
        <f>(19*35)+(1*26.4)</f>
        <v>691.4</v>
      </c>
      <c r="L460" s="228" t="s">
        <v>1382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thickBot="1">
      <c r="A461" s="390" t="s">
        <v>1381</v>
      </c>
      <c r="B461" s="394" t="s">
        <v>9</v>
      </c>
      <c r="C461" s="394">
        <v>40</v>
      </c>
      <c r="D461" s="394" t="s">
        <v>10</v>
      </c>
      <c r="E461" s="394">
        <v>396</v>
      </c>
      <c r="F461" s="394" t="s">
        <v>72</v>
      </c>
      <c r="G461" s="394" t="s">
        <v>674</v>
      </c>
      <c r="H461" s="394" t="s">
        <v>15</v>
      </c>
      <c r="I461" s="394">
        <v>15</v>
      </c>
      <c r="J461" s="395" t="s">
        <v>36</v>
      </c>
      <c r="K461" s="396">
        <f>(14*26)+(1*17.4)</f>
        <v>381.4</v>
      </c>
      <c r="L461" s="228" t="s">
        <v>1382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>
      <c r="A462" s="390" t="s">
        <v>1381</v>
      </c>
      <c r="B462" s="387" t="s">
        <v>9</v>
      </c>
      <c r="C462" s="387">
        <v>40</v>
      </c>
      <c r="D462" s="387" t="s">
        <v>10</v>
      </c>
      <c r="E462" s="387">
        <v>458</v>
      </c>
      <c r="F462" s="387" t="s">
        <v>471</v>
      </c>
      <c r="G462" s="387" t="s">
        <v>349</v>
      </c>
      <c r="H462" s="387" t="s">
        <v>182</v>
      </c>
      <c r="I462" s="387">
        <v>15</v>
      </c>
      <c r="J462" s="388" t="s">
        <v>14</v>
      </c>
      <c r="K462" s="389">
        <f>(14*38)+(1*29.4)</f>
        <v>561.4</v>
      </c>
      <c r="L462" s="228" t="s">
        <v>1382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>
      <c r="A463" s="390" t="s">
        <v>1381</v>
      </c>
      <c r="B463" s="391" t="s">
        <v>9</v>
      </c>
      <c r="C463" s="391">
        <v>40</v>
      </c>
      <c r="D463" s="391" t="s">
        <v>10</v>
      </c>
      <c r="E463" s="391">
        <v>492</v>
      </c>
      <c r="F463" s="391" t="s">
        <v>212</v>
      </c>
      <c r="G463" s="391" t="s">
        <v>156</v>
      </c>
      <c r="H463" s="391" t="s">
        <v>15</v>
      </c>
      <c r="I463" s="391">
        <v>25</v>
      </c>
      <c r="J463" s="392" t="s">
        <v>148</v>
      </c>
      <c r="K463" s="393">
        <f>(25*26)</f>
        <v>650</v>
      </c>
      <c r="L463" s="228" t="s">
        <v>1384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>
      <c r="A464" s="390" t="s">
        <v>1381</v>
      </c>
      <c r="B464" s="391" t="s">
        <v>9</v>
      </c>
      <c r="C464" s="391">
        <v>40</v>
      </c>
      <c r="D464" s="391" t="s">
        <v>10</v>
      </c>
      <c r="E464" s="391">
        <v>834</v>
      </c>
      <c r="F464" s="391" t="s">
        <v>180</v>
      </c>
      <c r="G464" s="391" t="s">
        <v>557</v>
      </c>
      <c r="H464" s="391" t="s">
        <v>5</v>
      </c>
      <c r="I464" s="391">
        <v>15</v>
      </c>
      <c r="J464" s="392" t="s">
        <v>137</v>
      </c>
      <c r="K464" s="393">
        <f>(15*35)</f>
        <v>525</v>
      </c>
      <c r="L464" s="228" t="s">
        <v>1382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>
      <c r="A465" s="390" t="s">
        <v>1381</v>
      </c>
      <c r="B465" s="391" t="s">
        <v>9</v>
      </c>
      <c r="C465" s="391">
        <v>40</v>
      </c>
      <c r="D465" s="391" t="s">
        <v>10</v>
      </c>
      <c r="E465" s="391">
        <v>941</v>
      </c>
      <c r="F465" s="391" t="s">
        <v>741</v>
      </c>
      <c r="G465" s="391" t="s">
        <v>421</v>
      </c>
      <c r="H465" s="391" t="s">
        <v>15</v>
      </c>
      <c r="I465" s="391">
        <v>20</v>
      </c>
      <c r="J465" s="392" t="s">
        <v>33</v>
      </c>
      <c r="K465" s="393">
        <f>(19*26)+(1*17.4)</f>
        <v>511.4</v>
      </c>
      <c r="L465" s="228" t="s">
        <v>1382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>
      <c r="A466" s="390" t="s">
        <v>1381</v>
      </c>
      <c r="B466" s="391" t="s">
        <v>9</v>
      </c>
      <c r="C466" s="391">
        <v>40</v>
      </c>
      <c r="D466" s="391" t="s">
        <v>10</v>
      </c>
      <c r="E466" s="391">
        <v>996</v>
      </c>
      <c r="F466" s="391" t="s">
        <v>1094</v>
      </c>
      <c r="G466" s="391" t="s">
        <v>727</v>
      </c>
      <c r="H466" s="391" t="s">
        <v>5</v>
      </c>
      <c r="I466" s="391">
        <v>25</v>
      </c>
      <c r="J466" s="392" t="s">
        <v>281</v>
      </c>
      <c r="K466" s="393">
        <f>(24*38)+(1*29.4)</f>
        <v>941.4</v>
      </c>
      <c r="L466" s="228" t="s">
        <v>1382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>
      <c r="A467" s="390" t="s">
        <v>1381</v>
      </c>
      <c r="B467" s="391" t="s">
        <v>9</v>
      </c>
      <c r="C467" s="391">
        <v>40</v>
      </c>
      <c r="D467" s="391" t="s">
        <v>10</v>
      </c>
      <c r="E467" s="391">
        <v>998</v>
      </c>
      <c r="F467" s="391" t="s">
        <v>1095</v>
      </c>
      <c r="G467" s="391" t="s">
        <v>727</v>
      </c>
      <c r="H467" s="391" t="s">
        <v>182</v>
      </c>
      <c r="I467" s="391">
        <v>22</v>
      </c>
      <c r="J467" s="392" t="s">
        <v>1104</v>
      </c>
      <c r="K467" s="393">
        <f>(21*38)+(1*29.4)</f>
        <v>827.4</v>
      </c>
      <c r="L467" s="228" t="s">
        <v>1382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>
      <c r="A468" s="390" t="s">
        <v>1381</v>
      </c>
      <c r="B468" s="391" t="s">
        <v>9</v>
      </c>
      <c r="C468" s="391">
        <v>40</v>
      </c>
      <c r="D468" s="391" t="s">
        <v>10</v>
      </c>
      <c r="E468" s="391">
        <v>999</v>
      </c>
      <c r="F468" s="391" t="s">
        <v>1096</v>
      </c>
      <c r="G468" s="391" t="s">
        <v>727</v>
      </c>
      <c r="H468" s="391" t="s">
        <v>15</v>
      </c>
      <c r="I468" s="391">
        <v>25</v>
      </c>
      <c r="J468" s="392" t="s">
        <v>281</v>
      </c>
      <c r="K468" s="393">
        <f>(24*38)+(1*29.4)</f>
        <v>941.4</v>
      </c>
      <c r="L468" s="228" t="s">
        <v>1384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>
      <c r="A469" s="390" t="s">
        <v>1381</v>
      </c>
      <c r="B469" s="391" t="s">
        <v>9</v>
      </c>
      <c r="C469" s="391">
        <v>40</v>
      </c>
      <c r="D469" s="391" t="s">
        <v>10</v>
      </c>
      <c r="E469" s="391">
        <v>1001</v>
      </c>
      <c r="F469" s="391" t="s">
        <v>1097</v>
      </c>
      <c r="G469" s="391" t="s">
        <v>727</v>
      </c>
      <c r="H469" s="391" t="s">
        <v>15</v>
      </c>
      <c r="I469" s="391">
        <v>15</v>
      </c>
      <c r="J469" s="392" t="s">
        <v>456</v>
      </c>
      <c r="K469" s="393">
        <f>(15*29)</f>
        <v>435</v>
      </c>
      <c r="L469" s="228" t="s">
        <v>1384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>
      <c r="A470" s="390" t="s">
        <v>1381</v>
      </c>
      <c r="B470" s="391" t="s">
        <v>9</v>
      </c>
      <c r="C470" s="391">
        <v>40</v>
      </c>
      <c r="D470" s="391" t="s">
        <v>174</v>
      </c>
      <c r="E470" s="391">
        <v>30</v>
      </c>
      <c r="F470" s="391" t="s">
        <v>1098</v>
      </c>
      <c r="G470" s="391" t="s">
        <v>290</v>
      </c>
      <c r="H470" s="391" t="s">
        <v>5</v>
      </c>
      <c r="I470" s="391">
        <v>30</v>
      </c>
      <c r="J470" s="392" t="s">
        <v>24</v>
      </c>
      <c r="K470" s="393">
        <f>(29*38)+(1*29.4)</f>
        <v>1131.4000000000001</v>
      </c>
      <c r="L470" s="228" t="s">
        <v>1382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>
      <c r="A471" s="390" t="s">
        <v>1381</v>
      </c>
      <c r="B471" s="391" t="s">
        <v>9</v>
      </c>
      <c r="C471" s="391">
        <v>40</v>
      </c>
      <c r="D471" s="391" t="s">
        <v>174</v>
      </c>
      <c r="E471" s="391">
        <v>31</v>
      </c>
      <c r="F471" s="391" t="s">
        <v>1099</v>
      </c>
      <c r="G471" s="391" t="s">
        <v>290</v>
      </c>
      <c r="H471" s="391" t="s">
        <v>5</v>
      </c>
      <c r="I471" s="391">
        <v>15</v>
      </c>
      <c r="J471" s="392" t="s">
        <v>93</v>
      </c>
      <c r="K471" s="393">
        <f>(15*38)</f>
        <v>570</v>
      </c>
      <c r="L471" s="228" t="s">
        <v>1382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>
      <c r="A472" s="390" t="s">
        <v>1381</v>
      </c>
      <c r="B472" s="391" t="s">
        <v>9</v>
      </c>
      <c r="C472" s="391">
        <v>40</v>
      </c>
      <c r="D472" s="391" t="s">
        <v>174</v>
      </c>
      <c r="E472" s="391">
        <v>32</v>
      </c>
      <c r="F472" s="391" t="s">
        <v>1100</v>
      </c>
      <c r="G472" s="391" t="s">
        <v>290</v>
      </c>
      <c r="H472" s="391" t="s">
        <v>5</v>
      </c>
      <c r="I472" s="391">
        <v>15</v>
      </c>
      <c r="J472" s="392" t="s">
        <v>14</v>
      </c>
      <c r="K472" s="393">
        <f>(14*38)+(1*29.4)</f>
        <v>561.4</v>
      </c>
      <c r="L472" s="228" t="s">
        <v>1384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>
      <c r="A473" s="390" t="s">
        <v>1381</v>
      </c>
      <c r="B473" s="391" t="s">
        <v>9</v>
      </c>
      <c r="C473" s="391">
        <v>40</v>
      </c>
      <c r="D473" s="391" t="s">
        <v>174</v>
      </c>
      <c r="E473" s="391">
        <v>33</v>
      </c>
      <c r="F473" s="391" t="s">
        <v>695</v>
      </c>
      <c r="G473" s="391" t="s">
        <v>290</v>
      </c>
      <c r="H473" s="391" t="s">
        <v>5</v>
      </c>
      <c r="I473" s="391">
        <v>15</v>
      </c>
      <c r="J473" s="392" t="s">
        <v>93</v>
      </c>
      <c r="K473" s="393">
        <f>(15*38)</f>
        <v>570</v>
      </c>
      <c r="L473" s="228" t="s">
        <v>1384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>
      <c r="A474" s="390" t="s">
        <v>1381</v>
      </c>
      <c r="B474" s="391" t="s">
        <v>9</v>
      </c>
      <c r="C474" s="391">
        <v>40</v>
      </c>
      <c r="D474" s="391" t="s">
        <v>174</v>
      </c>
      <c r="E474" s="391">
        <v>34</v>
      </c>
      <c r="F474" s="391" t="s">
        <v>1101</v>
      </c>
      <c r="G474" s="391" t="s">
        <v>290</v>
      </c>
      <c r="H474" s="391" t="s">
        <v>5</v>
      </c>
      <c r="I474" s="391">
        <v>15</v>
      </c>
      <c r="J474" s="392" t="s">
        <v>14</v>
      </c>
      <c r="K474" s="393">
        <f>(14*38)+(1*29.4)</f>
        <v>561.4</v>
      </c>
      <c r="L474" s="228" t="s">
        <v>1384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>
      <c r="A475" s="390" t="s">
        <v>1381</v>
      </c>
      <c r="B475" s="391" t="s">
        <v>9</v>
      </c>
      <c r="C475" s="391">
        <v>40</v>
      </c>
      <c r="D475" s="391" t="s">
        <v>174</v>
      </c>
      <c r="E475" s="391">
        <v>40</v>
      </c>
      <c r="F475" s="391" t="s">
        <v>1102</v>
      </c>
      <c r="G475" s="391" t="s">
        <v>290</v>
      </c>
      <c r="H475" s="391" t="s">
        <v>15</v>
      </c>
      <c r="I475" s="391">
        <v>15</v>
      </c>
      <c r="J475" s="392" t="s">
        <v>14</v>
      </c>
      <c r="K475" s="393">
        <f>(14*38)+(1*29.4)</f>
        <v>561.4</v>
      </c>
      <c r="L475" s="228" t="s">
        <v>1382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>
      <c r="A476" s="390" t="s">
        <v>1381</v>
      </c>
      <c r="B476" s="391" t="s">
        <v>9</v>
      </c>
      <c r="C476" s="391">
        <v>40</v>
      </c>
      <c r="D476" s="391" t="s">
        <v>174</v>
      </c>
      <c r="E476" s="391">
        <v>41</v>
      </c>
      <c r="F476" s="391" t="s">
        <v>1103</v>
      </c>
      <c r="G476" s="391" t="s">
        <v>290</v>
      </c>
      <c r="H476" s="391" t="s">
        <v>15</v>
      </c>
      <c r="I476" s="391">
        <v>15</v>
      </c>
      <c r="J476" s="392" t="s">
        <v>93</v>
      </c>
      <c r="K476" s="393">
        <f>(15*38)</f>
        <v>570</v>
      </c>
      <c r="L476" s="228" t="s">
        <v>1384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>
      <c r="A477" s="390" t="s">
        <v>1381</v>
      </c>
      <c r="B477" s="391" t="s">
        <v>129</v>
      </c>
      <c r="C477" s="391">
        <v>49</v>
      </c>
      <c r="D477" s="391" t="s">
        <v>7</v>
      </c>
      <c r="E477" s="391">
        <v>634</v>
      </c>
      <c r="F477" s="391" t="s">
        <v>818</v>
      </c>
      <c r="G477" s="391" t="s">
        <v>1113</v>
      </c>
      <c r="H477" s="391" t="s">
        <v>15</v>
      </c>
      <c r="I477" s="391">
        <v>15</v>
      </c>
      <c r="J477" s="392" t="s">
        <v>1124</v>
      </c>
      <c r="K477" s="393">
        <f>(11*36)+(4*28.3)</f>
        <v>509.2</v>
      </c>
      <c r="L477" s="58"/>
      <c r="M477" s="58"/>
      <c r="N477" s="229"/>
      <c r="O477" s="186" t="s">
        <v>1402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>
      <c r="A478" s="390" t="s">
        <v>1381</v>
      </c>
      <c r="B478" s="391" t="s">
        <v>129</v>
      </c>
      <c r="C478" s="391">
        <v>49</v>
      </c>
      <c r="D478" s="391" t="s">
        <v>7</v>
      </c>
      <c r="E478" s="391">
        <v>783</v>
      </c>
      <c r="F478" s="391" t="s">
        <v>1105</v>
      </c>
      <c r="G478" s="391" t="s">
        <v>1114</v>
      </c>
      <c r="H478" s="391" t="s">
        <v>15</v>
      </c>
      <c r="I478" s="391">
        <v>15</v>
      </c>
      <c r="J478" s="392" t="s">
        <v>1125</v>
      </c>
      <c r="K478" s="393">
        <f>(15*25)</f>
        <v>375</v>
      </c>
      <c r="L478" s="228" t="s">
        <v>1396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>
      <c r="A479" s="390" t="s">
        <v>1381</v>
      </c>
      <c r="B479" s="391" t="s">
        <v>129</v>
      </c>
      <c r="C479" s="391">
        <v>49</v>
      </c>
      <c r="D479" s="391" t="s">
        <v>7</v>
      </c>
      <c r="E479" s="391">
        <v>784</v>
      </c>
      <c r="F479" s="391" t="s">
        <v>475</v>
      </c>
      <c r="G479" s="391" t="s">
        <v>1114</v>
      </c>
      <c r="H479" s="391" t="s">
        <v>15</v>
      </c>
      <c r="I479" s="391">
        <v>15</v>
      </c>
      <c r="J479" s="392" t="s">
        <v>1125</v>
      </c>
      <c r="K479" s="393">
        <f>(15*25)</f>
        <v>375</v>
      </c>
      <c r="L479" s="228" t="s">
        <v>1396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>
      <c r="A480" s="390" t="s">
        <v>1381</v>
      </c>
      <c r="B480" s="391" t="s">
        <v>129</v>
      </c>
      <c r="C480" s="391">
        <v>49</v>
      </c>
      <c r="D480" s="391" t="s">
        <v>7</v>
      </c>
      <c r="E480" s="391">
        <v>785</v>
      </c>
      <c r="F480" s="391" t="s">
        <v>1106</v>
      </c>
      <c r="G480" s="391" t="s">
        <v>1114</v>
      </c>
      <c r="H480" s="391" t="s">
        <v>15</v>
      </c>
      <c r="I480" s="391">
        <v>15</v>
      </c>
      <c r="J480" s="392" t="s">
        <v>1125</v>
      </c>
      <c r="K480" s="393">
        <f>(15*25)</f>
        <v>375</v>
      </c>
      <c r="L480" s="228" t="s">
        <v>1396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>
      <c r="A481" s="390" t="s">
        <v>1381</v>
      </c>
      <c r="B481" s="391" t="s">
        <v>129</v>
      </c>
      <c r="C481" s="391">
        <v>49</v>
      </c>
      <c r="D481" s="391" t="s">
        <v>7</v>
      </c>
      <c r="E481" s="391">
        <v>786</v>
      </c>
      <c r="F481" s="391" t="s">
        <v>1107</v>
      </c>
      <c r="G481" s="391" t="s">
        <v>1114</v>
      </c>
      <c r="H481" s="391" t="s">
        <v>15</v>
      </c>
      <c r="I481" s="391">
        <v>15</v>
      </c>
      <c r="J481" s="392" t="s">
        <v>1126</v>
      </c>
      <c r="K481" s="393">
        <f>(12*25)+(3*17.3)</f>
        <v>351.9</v>
      </c>
      <c r="L481" s="228" t="s">
        <v>1398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>
      <c r="A482" s="390" t="s">
        <v>1381</v>
      </c>
      <c r="B482" s="391" t="s">
        <v>129</v>
      </c>
      <c r="C482" s="391">
        <v>49</v>
      </c>
      <c r="D482" s="391" t="s">
        <v>7</v>
      </c>
      <c r="E482" s="391">
        <v>945</v>
      </c>
      <c r="F482" s="391" t="s">
        <v>1108</v>
      </c>
      <c r="G482" s="391" t="s">
        <v>442</v>
      </c>
      <c r="H482" s="391" t="s">
        <v>15</v>
      </c>
      <c r="I482" s="391">
        <v>30</v>
      </c>
      <c r="J482" s="392" t="s">
        <v>1127</v>
      </c>
      <c r="K482" s="393">
        <f>(29*25)+(1*17.3)</f>
        <v>742.3</v>
      </c>
      <c r="L482" s="58"/>
      <c r="M482" s="58"/>
      <c r="N482" s="229"/>
      <c r="O482" s="21"/>
      <c r="P482" s="21"/>
      <c r="Q482" s="187"/>
      <c r="R482" s="295" t="s">
        <v>1382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>
      <c r="A483" s="390" t="s">
        <v>1381</v>
      </c>
      <c r="B483" s="391" t="s">
        <v>129</v>
      </c>
      <c r="C483" s="391">
        <v>49</v>
      </c>
      <c r="D483" s="391" t="s">
        <v>7</v>
      </c>
      <c r="E483" s="391">
        <v>1472</v>
      </c>
      <c r="F483" s="391" t="s">
        <v>121</v>
      </c>
      <c r="G483" s="391" t="s">
        <v>227</v>
      </c>
      <c r="H483" s="391" t="s">
        <v>5</v>
      </c>
      <c r="I483" s="391">
        <v>15</v>
      </c>
      <c r="J483" s="392" t="s">
        <v>401</v>
      </c>
      <c r="K483" s="393">
        <f>(14*32)+(1*24.3)</f>
        <v>472.3</v>
      </c>
      <c r="L483" s="228" t="s">
        <v>1396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>
      <c r="A484" s="390" t="s">
        <v>1381</v>
      </c>
      <c r="B484" s="391" t="s">
        <v>129</v>
      </c>
      <c r="C484" s="391">
        <v>49</v>
      </c>
      <c r="D484" s="391" t="s">
        <v>7</v>
      </c>
      <c r="E484" s="391">
        <v>1797</v>
      </c>
      <c r="F484" s="391" t="s">
        <v>747</v>
      </c>
      <c r="G484" s="391" t="s">
        <v>176</v>
      </c>
      <c r="H484" s="391" t="s">
        <v>15</v>
      </c>
      <c r="I484" s="391">
        <v>30</v>
      </c>
      <c r="J484" s="392" t="s">
        <v>403</v>
      </c>
      <c r="K484" s="393">
        <f>(29*35)+(1*27.3)</f>
        <v>1042.3</v>
      </c>
      <c r="L484" s="228" t="s">
        <v>1396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>
      <c r="A485" s="390" t="s">
        <v>1381</v>
      </c>
      <c r="B485" s="391" t="s">
        <v>129</v>
      </c>
      <c r="C485" s="391">
        <v>49</v>
      </c>
      <c r="D485" s="391" t="s">
        <v>7</v>
      </c>
      <c r="E485" s="391">
        <v>1798</v>
      </c>
      <c r="F485" s="391" t="s">
        <v>1109</v>
      </c>
      <c r="G485" s="391" t="s">
        <v>176</v>
      </c>
      <c r="H485" s="391" t="s">
        <v>15</v>
      </c>
      <c r="I485" s="391">
        <v>30</v>
      </c>
      <c r="J485" s="392" t="s">
        <v>403</v>
      </c>
      <c r="K485" s="393">
        <f>(29*35)+(1*27.3)</f>
        <v>1042.3</v>
      </c>
      <c r="L485" s="228" t="s">
        <v>1396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>
      <c r="A486" s="390" t="s">
        <v>1381</v>
      </c>
      <c r="B486" s="391" t="s">
        <v>129</v>
      </c>
      <c r="C486" s="391">
        <v>49</v>
      </c>
      <c r="D486" s="391" t="s">
        <v>56</v>
      </c>
      <c r="E486" s="391">
        <v>25</v>
      </c>
      <c r="F486" s="391" t="s">
        <v>1110</v>
      </c>
      <c r="G486" s="391" t="s">
        <v>962</v>
      </c>
      <c r="H486" s="391" t="s">
        <v>5</v>
      </c>
      <c r="I486" s="391">
        <v>20</v>
      </c>
      <c r="J486" s="392" t="s">
        <v>1128</v>
      </c>
      <c r="K486" s="393">
        <f>(16*25)+(4*20.7)</f>
        <v>482.8</v>
      </c>
      <c r="L486" s="58"/>
      <c r="M486" s="58"/>
      <c r="N486" s="229"/>
      <c r="O486" s="186" t="s">
        <v>1402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>
      <c r="A487" s="390" t="s">
        <v>1381</v>
      </c>
      <c r="B487" s="391" t="s">
        <v>129</v>
      </c>
      <c r="C487" s="391">
        <v>49</v>
      </c>
      <c r="D487" s="391" t="s">
        <v>56</v>
      </c>
      <c r="E487" s="391">
        <v>32</v>
      </c>
      <c r="F487" s="391" t="s">
        <v>1111</v>
      </c>
      <c r="G487" s="391" t="s">
        <v>962</v>
      </c>
      <c r="H487" s="391" t="s">
        <v>15</v>
      </c>
      <c r="I487" s="391">
        <v>20</v>
      </c>
      <c r="J487" s="392" t="s">
        <v>1129</v>
      </c>
      <c r="K487" s="393">
        <f>(18*29)+(2*24.7)</f>
        <v>571.4</v>
      </c>
      <c r="L487" s="58"/>
      <c r="M487" s="58"/>
      <c r="N487" s="229"/>
      <c r="O487" s="186"/>
      <c r="P487" s="21"/>
      <c r="Q487" s="187"/>
      <c r="R487" s="295" t="s">
        <v>1384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>
      <c r="A488" s="390" t="s">
        <v>1381</v>
      </c>
      <c r="B488" s="391" t="s">
        <v>129</v>
      </c>
      <c r="C488" s="391">
        <v>49</v>
      </c>
      <c r="D488" s="391" t="s">
        <v>56</v>
      </c>
      <c r="E488" s="391">
        <v>55</v>
      </c>
      <c r="F488" s="391" t="s">
        <v>158</v>
      </c>
      <c r="G488" s="391" t="s">
        <v>1115</v>
      </c>
      <c r="H488" s="391" t="s">
        <v>15</v>
      </c>
      <c r="I488" s="391">
        <v>20</v>
      </c>
      <c r="J488" s="392" t="s">
        <v>809</v>
      </c>
      <c r="K488" s="393">
        <f>(19*28)+(1*23.7)</f>
        <v>555.70000000000005</v>
      </c>
      <c r="L488" s="58"/>
      <c r="M488" s="58"/>
      <c r="N488" s="229"/>
      <c r="O488" s="186" t="s">
        <v>1402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>
      <c r="A489" s="390" t="s">
        <v>1381</v>
      </c>
      <c r="B489" s="391" t="s">
        <v>129</v>
      </c>
      <c r="C489" s="391">
        <v>49</v>
      </c>
      <c r="D489" s="391" t="s">
        <v>56</v>
      </c>
      <c r="E489" s="391">
        <v>72</v>
      </c>
      <c r="F489" s="391" t="s">
        <v>536</v>
      </c>
      <c r="G489" s="391" t="s">
        <v>1116</v>
      </c>
      <c r="H489" s="391" t="s">
        <v>15</v>
      </c>
      <c r="I489" s="391">
        <v>20</v>
      </c>
      <c r="J489" s="392" t="s">
        <v>443</v>
      </c>
      <c r="K489" s="393">
        <f>(18*38)+(2*33.7)</f>
        <v>751.4</v>
      </c>
      <c r="L489" s="58"/>
      <c r="M489" s="58"/>
      <c r="N489" s="229"/>
      <c r="O489" s="21"/>
      <c r="P489" s="21"/>
      <c r="Q489" s="187"/>
      <c r="R489" s="295" t="s">
        <v>1382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>
      <c r="A490" s="390" t="s">
        <v>1381</v>
      </c>
      <c r="B490" s="391" t="s">
        <v>129</v>
      </c>
      <c r="C490" s="391">
        <v>49</v>
      </c>
      <c r="D490" s="391" t="s">
        <v>56</v>
      </c>
      <c r="E490" s="391">
        <v>73</v>
      </c>
      <c r="F490" s="391" t="s">
        <v>540</v>
      </c>
      <c r="G490" s="391" t="s">
        <v>1116</v>
      </c>
      <c r="H490" s="391" t="s">
        <v>15</v>
      </c>
      <c r="I490" s="391">
        <v>10</v>
      </c>
      <c r="J490" s="392" t="s">
        <v>1130</v>
      </c>
      <c r="K490" s="393">
        <f>(8*38)+(2*33.7)</f>
        <v>371.4</v>
      </c>
      <c r="L490" s="58"/>
      <c r="M490" s="58"/>
      <c r="N490" s="229"/>
      <c r="O490" s="186" t="s">
        <v>1402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>
      <c r="A491" s="390" t="s">
        <v>1381</v>
      </c>
      <c r="B491" s="391" t="s">
        <v>129</v>
      </c>
      <c r="C491" s="391">
        <v>49</v>
      </c>
      <c r="D491" s="391" t="s">
        <v>56</v>
      </c>
      <c r="E491" s="391">
        <v>106</v>
      </c>
      <c r="F491" s="391" t="s">
        <v>544</v>
      </c>
      <c r="G491" s="391" t="s">
        <v>1116</v>
      </c>
      <c r="H491" s="391" t="s">
        <v>15</v>
      </c>
      <c r="I491" s="391">
        <v>20</v>
      </c>
      <c r="J491" s="392" t="s">
        <v>361</v>
      </c>
      <c r="K491" s="393">
        <f>(19*36)+(1*31.7)</f>
        <v>715.7</v>
      </c>
      <c r="L491" s="58"/>
      <c r="M491" s="58"/>
      <c r="N491" s="229"/>
      <c r="O491" s="186"/>
      <c r="P491" s="21"/>
      <c r="Q491" s="187"/>
      <c r="R491" s="295" t="s">
        <v>1382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>
      <c r="A492" s="390" t="s">
        <v>1381</v>
      </c>
      <c r="B492" s="391" t="s">
        <v>129</v>
      </c>
      <c r="C492" s="391">
        <v>49</v>
      </c>
      <c r="D492" s="391" t="s">
        <v>56</v>
      </c>
      <c r="E492" s="391">
        <v>133</v>
      </c>
      <c r="F492" s="391" t="s">
        <v>703</v>
      </c>
      <c r="G492" s="391" t="s">
        <v>1117</v>
      </c>
      <c r="H492" s="391" t="s">
        <v>5</v>
      </c>
      <c r="I492" s="391">
        <v>15</v>
      </c>
      <c r="J492" s="392" t="s">
        <v>444</v>
      </c>
      <c r="K492" s="393">
        <f>(14*26)+(1*18.3)</f>
        <v>382.3</v>
      </c>
      <c r="L492" s="58"/>
      <c r="M492" s="58"/>
      <c r="N492" s="229"/>
      <c r="O492" s="186" t="s">
        <v>1403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>
      <c r="A493" s="390" t="s">
        <v>1381</v>
      </c>
      <c r="B493" s="391" t="s">
        <v>129</v>
      </c>
      <c r="C493" s="391">
        <v>49</v>
      </c>
      <c r="D493" s="391" t="s">
        <v>56</v>
      </c>
      <c r="E493" s="391">
        <v>137</v>
      </c>
      <c r="F493" s="391" t="s">
        <v>825</v>
      </c>
      <c r="G493" s="391" t="s">
        <v>1117</v>
      </c>
      <c r="H493" s="391" t="s">
        <v>15</v>
      </c>
      <c r="I493" s="391">
        <v>15</v>
      </c>
      <c r="J493" s="392" t="s">
        <v>1131</v>
      </c>
      <c r="K493" s="393">
        <f>(12*28)+(3*20.3)</f>
        <v>396.9</v>
      </c>
      <c r="L493" s="58"/>
      <c r="M493" s="58"/>
      <c r="N493" s="229"/>
      <c r="O493" s="186" t="s">
        <v>1402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>
      <c r="A494" s="390" t="s">
        <v>1381</v>
      </c>
      <c r="B494" s="391" t="s">
        <v>129</v>
      </c>
      <c r="C494" s="391">
        <v>49</v>
      </c>
      <c r="D494" s="391" t="s">
        <v>56</v>
      </c>
      <c r="E494" s="391">
        <v>140</v>
      </c>
      <c r="F494" s="391" t="s">
        <v>1112</v>
      </c>
      <c r="G494" s="391" t="s">
        <v>1117</v>
      </c>
      <c r="H494" s="391" t="s">
        <v>15</v>
      </c>
      <c r="I494" s="391">
        <v>15</v>
      </c>
      <c r="J494" s="392" t="s">
        <v>173</v>
      </c>
      <c r="K494" s="393">
        <f>(15*28)</f>
        <v>420</v>
      </c>
      <c r="L494" s="58"/>
      <c r="M494" s="58"/>
      <c r="N494" s="229"/>
      <c r="O494" s="186" t="s">
        <v>1403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>
      <c r="A495" s="390" t="s">
        <v>1381</v>
      </c>
      <c r="B495" s="391" t="s">
        <v>129</v>
      </c>
      <c r="C495" s="391">
        <v>49</v>
      </c>
      <c r="D495" s="391" t="s">
        <v>56</v>
      </c>
      <c r="E495" s="391">
        <v>159</v>
      </c>
      <c r="F495" s="391" t="s">
        <v>428</v>
      </c>
      <c r="G495" s="391" t="s">
        <v>400</v>
      </c>
      <c r="H495" s="391" t="s">
        <v>15</v>
      </c>
      <c r="I495" s="391">
        <v>15</v>
      </c>
      <c r="J495" s="392" t="s">
        <v>413</v>
      </c>
      <c r="K495" s="393">
        <f>(13*35)+(2*27.3)</f>
        <v>509.6</v>
      </c>
      <c r="L495" s="228"/>
      <c r="M495" s="58"/>
      <c r="N495" s="229"/>
      <c r="O495" s="186" t="s">
        <v>1402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>
      <c r="A496" s="390" t="s">
        <v>1381</v>
      </c>
      <c r="B496" s="391" t="s">
        <v>129</v>
      </c>
      <c r="C496" s="391">
        <v>49</v>
      </c>
      <c r="D496" s="391" t="s">
        <v>56</v>
      </c>
      <c r="E496" s="391">
        <v>160</v>
      </c>
      <c r="F496" s="391" t="s">
        <v>723</v>
      </c>
      <c r="G496" s="391" t="s">
        <v>400</v>
      </c>
      <c r="H496" s="391" t="s">
        <v>15</v>
      </c>
      <c r="I496" s="391">
        <v>15</v>
      </c>
      <c r="J496" s="392" t="s">
        <v>413</v>
      </c>
      <c r="K496" s="393">
        <f>(13*35)+(2*27.3)</f>
        <v>509.6</v>
      </c>
      <c r="L496" s="58"/>
      <c r="M496" s="58"/>
      <c r="N496" s="229"/>
      <c r="O496" s="186" t="s">
        <v>1402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>
      <c r="A497" s="390" t="s">
        <v>1381</v>
      </c>
      <c r="B497" s="391" t="s">
        <v>129</v>
      </c>
      <c r="C497" s="391" t="s">
        <v>1404</v>
      </c>
      <c r="D497" s="391" t="s">
        <v>56</v>
      </c>
      <c r="E497" s="391">
        <v>163</v>
      </c>
      <c r="F497" s="391" t="s">
        <v>375</v>
      </c>
      <c r="G497" s="391" t="s">
        <v>400</v>
      </c>
      <c r="H497" s="391" t="s">
        <v>15</v>
      </c>
      <c r="I497" s="391">
        <v>15</v>
      </c>
      <c r="J497" s="392" t="s">
        <v>357</v>
      </c>
      <c r="K497" s="393">
        <f>(14*35)+(1*27.3)</f>
        <v>517.29999999999995</v>
      </c>
      <c r="L497" s="58"/>
      <c r="M497" s="58"/>
      <c r="N497" s="229"/>
      <c r="O497" s="186" t="s">
        <v>1402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>
      <c r="A498" s="390" t="s">
        <v>1381</v>
      </c>
      <c r="B498" s="391" t="s">
        <v>129</v>
      </c>
      <c r="C498" s="391">
        <v>49</v>
      </c>
      <c r="D498" s="391" t="s">
        <v>56</v>
      </c>
      <c r="E498" s="391">
        <v>185</v>
      </c>
      <c r="F498" s="391" t="s">
        <v>820</v>
      </c>
      <c r="G498" s="391" t="s">
        <v>246</v>
      </c>
      <c r="H498" s="391" t="s">
        <v>15</v>
      </c>
      <c r="I498" s="391">
        <v>20</v>
      </c>
      <c r="J498" s="392" t="s">
        <v>356</v>
      </c>
      <c r="K498" s="393">
        <f>(19*35)+(1*30.7)</f>
        <v>695.7</v>
      </c>
      <c r="L498" s="228" t="s">
        <v>1396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>
      <c r="A499" s="390" t="s">
        <v>1381</v>
      </c>
      <c r="B499" s="391" t="s">
        <v>129</v>
      </c>
      <c r="C499" s="391">
        <v>49</v>
      </c>
      <c r="D499" s="391" t="s">
        <v>56</v>
      </c>
      <c r="E499" s="391">
        <v>312</v>
      </c>
      <c r="F499" s="391" t="s">
        <v>705</v>
      </c>
      <c r="G499" s="391" t="s">
        <v>1119</v>
      </c>
      <c r="H499" s="391" t="s">
        <v>15</v>
      </c>
      <c r="I499" s="391">
        <v>20</v>
      </c>
      <c r="J499" s="392" t="s">
        <v>1132</v>
      </c>
      <c r="K499" s="393">
        <f>(17*26)+(3*21.7)</f>
        <v>507.1</v>
      </c>
      <c r="L499" s="228"/>
      <c r="M499" s="58"/>
      <c r="N499" s="229"/>
      <c r="O499" s="21"/>
      <c r="P499" s="21"/>
      <c r="Q499" s="187"/>
      <c r="R499" s="295" t="s">
        <v>1384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thickBot="1">
      <c r="A500" s="390" t="s">
        <v>1381</v>
      </c>
      <c r="B500" s="394" t="s">
        <v>129</v>
      </c>
      <c r="C500" s="394">
        <v>49</v>
      </c>
      <c r="D500" s="394" t="s">
        <v>55</v>
      </c>
      <c r="E500" s="394">
        <v>45</v>
      </c>
      <c r="F500" s="394" t="s">
        <v>166</v>
      </c>
      <c r="G500" s="394" t="s">
        <v>1120</v>
      </c>
      <c r="H500" s="394" t="s">
        <v>5</v>
      </c>
      <c r="I500" s="394">
        <v>20</v>
      </c>
      <c r="J500" s="395" t="s">
        <v>189</v>
      </c>
      <c r="K500" s="396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1382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>
      <c r="A501" s="390" t="s">
        <v>1381</v>
      </c>
      <c r="B501" s="387" t="s">
        <v>129</v>
      </c>
      <c r="C501" s="387">
        <v>49</v>
      </c>
      <c r="D501" s="387" t="s">
        <v>55</v>
      </c>
      <c r="E501" s="387">
        <v>48</v>
      </c>
      <c r="F501" s="387" t="s">
        <v>252</v>
      </c>
      <c r="G501" s="387" t="s">
        <v>1120</v>
      </c>
      <c r="H501" s="387" t="s">
        <v>5</v>
      </c>
      <c r="I501" s="387">
        <v>15</v>
      </c>
      <c r="J501" s="388" t="s">
        <v>445</v>
      </c>
      <c r="K501" s="389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1382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>
      <c r="A502" s="390" t="s">
        <v>1381</v>
      </c>
      <c r="B502" s="391" t="s">
        <v>129</v>
      </c>
      <c r="C502" s="391">
        <v>49</v>
      </c>
      <c r="D502" s="391" t="s">
        <v>55</v>
      </c>
      <c r="E502" s="391">
        <v>93</v>
      </c>
      <c r="F502" s="391" t="s">
        <v>613</v>
      </c>
      <c r="G502" s="391" t="s">
        <v>1121</v>
      </c>
      <c r="H502" s="391" t="s">
        <v>5</v>
      </c>
      <c r="I502" s="391">
        <v>25</v>
      </c>
      <c r="J502" s="392" t="s">
        <v>1133</v>
      </c>
      <c r="K502" s="393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1384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>
      <c r="A503" s="390" t="s">
        <v>1381</v>
      </c>
      <c r="B503" s="391" t="s">
        <v>129</v>
      </c>
      <c r="C503" s="391">
        <v>49</v>
      </c>
      <c r="D503" s="391" t="s">
        <v>55</v>
      </c>
      <c r="E503" s="391">
        <v>278</v>
      </c>
      <c r="F503" s="391" t="s">
        <v>1118</v>
      </c>
      <c r="G503" s="391" t="s">
        <v>1006</v>
      </c>
      <c r="H503" s="391" t="s">
        <v>15</v>
      </c>
      <c r="I503" s="391">
        <v>20</v>
      </c>
      <c r="J503" s="392" t="s">
        <v>370</v>
      </c>
      <c r="K503" s="393">
        <f>(19*34)+(1*29.7)</f>
        <v>675.7</v>
      </c>
      <c r="L503" s="228" t="s">
        <v>1396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>
      <c r="A504" s="390" t="s">
        <v>1381</v>
      </c>
      <c r="B504" s="391" t="s">
        <v>129</v>
      </c>
      <c r="C504" s="391">
        <v>49</v>
      </c>
      <c r="D504" s="391" t="s">
        <v>55</v>
      </c>
      <c r="E504" s="391">
        <v>310</v>
      </c>
      <c r="F504" s="391" t="s">
        <v>336</v>
      </c>
      <c r="G504" s="391" t="s">
        <v>1122</v>
      </c>
      <c r="H504" s="391" t="s">
        <v>15</v>
      </c>
      <c r="I504" s="391">
        <v>25</v>
      </c>
      <c r="J504" s="392" t="s">
        <v>615</v>
      </c>
      <c r="K504" s="393">
        <f>(25*36)</f>
        <v>900</v>
      </c>
      <c r="L504" s="58"/>
      <c r="M504" s="58"/>
      <c r="N504" s="229"/>
      <c r="O504" s="186" t="s">
        <v>1403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>
      <c r="A505" s="390" t="s">
        <v>1381</v>
      </c>
      <c r="B505" s="391" t="s">
        <v>129</v>
      </c>
      <c r="C505" s="391">
        <v>49</v>
      </c>
      <c r="D505" s="391" t="s">
        <v>55</v>
      </c>
      <c r="E505" s="391">
        <v>313</v>
      </c>
      <c r="F505" s="391" t="s">
        <v>955</v>
      </c>
      <c r="G505" s="391" t="s">
        <v>1123</v>
      </c>
      <c r="H505" s="391" t="s">
        <v>15</v>
      </c>
      <c r="I505" s="391">
        <v>15</v>
      </c>
      <c r="J505" s="392" t="s">
        <v>445</v>
      </c>
      <c r="K505" s="393">
        <f>(14*30)+(1*22.3)</f>
        <v>442.3</v>
      </c>
      <c r="L505" s="228" t="s">
        <v>1396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>
      <c r="A506" s="390" t="s">
        <v>1381</v>
      </c>
      <c r="B506" s="391" t="s">
        <v>129</v>
      </c>
      <c r="C506" s="391">
        <v>49</v>
      </c>
      <c r="D506" s="391" t="s">
        <v>55</v>
      </c>
      <c r="E506" s="391">
        <v>314</v>
      </c>
      <c r="F506" s="391" t="s">
        <v>320</v>
      </c>
      <c r="G506" s="391" t="s">
        <v>1123</v>
      </c>
      <c r="H506" s="391" t="s">
        <v>15</v>
      </c>
      <c r="I506" s="391">
        <v>15</v>
      </c>
      <c r="J506" s="392" t="s">
        <v>445</v>
      </c>
      <c r="K506" s="393">
        <f>(14*30)+(1*22.3)</f>
        <v>442.3</v>
      </c>
      <c r="L506" s="228" t="s">
        <v>1396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>
      <c r="A507" s="390" t="s">
        <v>1381</v>
      </c>
      <c r="B507" s="391" t="s">
        <v>129</v>
      </c>
      <c r="C507" s="391">
        <v>49</v>
      </c>
      <c r="D507" s="391" t="s">
        <v>55</v>
      </c>
      <c r="E507" s="391">
        <v>318</v>
      </c>
      <c r="F507" s="391" t="s">
        <v>351</v>
      </c>
      <c r="G507" s="391" t="s">
        <v>1123</v>
      </c>
      <c r="H507" s="391" t="s">
        <v>15</v>
      </c>
      <c r="I507" s="391">
        <v>15</v>
      </c>
      <c r="J507" s="392" t="s">
        <v>173</v>
      </c>
      <c r="K507" s="393">
        <f>(15*28)</f>
        <v>420</v>
      </c>
      <c r="L507" s="228" t="s">
        <v>1398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>
      <c r="A508" s="390" t="s">
        <v>1381</v>
      </c>
      <c r="B508" s="391" t="s">
        <v>9</v>
      </c>
      <c r="C508" s="391">
        <v>45</v>
      </c>
      <c r="D508" s="391" t="s">
        <v>10</v>
      </c>
      <c r="E508" s="391">
        <v>164</v>
      </c>
      <c r="F508" s="391" t="s">
        <v>835</v>
      </c>
      <c r="G508" s="391" t="s">
        <v>27</v>
      </c>
      <c r="H508" s="391" t="s">
        <v>15</v>
      </c>
      <c r="I508" s="391">
        <v>15</v>
      </c>
      <c r="J508" s="392" t="s">
        <v>93</v>
      </c>
      <c r="K508" s="393">
        <f>(15*38)</f>
        <v>570</v>
      </c>
      <c r="L508" s="228"/>
      <c r="M508" s="58"/>
      <c r="N508" s="229"/>
      <c r="O508" s="186" t="s">
        <v>1398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>
      <c r="A509" s="390" t="s">
        <v>1381</v>
      </c>
      <c r="B509" s="391" t="s">
        <v>9</v>
      </c>
      <c r="C509" s="391">
        <v>45</v>
      </c>
      <c r="D509" s="391" t="s">
        <v>10</v>
      </c>
      <c r="E509" s="391">
        <v>166</v>
      </c>
      <c r="F509" s="391" t="s">
        <v>1102</v>
      </c>
      <c r="G509" s="391" t="s">
        <v>27</v>
      </c>
      <c r="H509" s="391" t="s">
        <v>15</v>
      </c>
      <c r="I509" s="391">
        <v>15</v>
      </c>
      <c r="J509" s="392" t="s">
        <v>93</v>
      </c>
      <c r="K509" s="393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1384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>
      <c r="A510" s="390" t="s">
        <v>1381</v>
      </c>
      <c r="B510" s="391" t="s">
        <v>9</v>
      </c>
      <c r="C510" s="391">
        <v>45</v>
      </c>
      <c r="D510" s="391" t="s">
        <v>10</v>
      </c>
      <c r="E510" s="391">
        <v>192</v>
      </c>
      <c r="F510" s="391" t="s">
        <v>746</v>
      </c>
      <c r="G510" s="391" t="s">
        <v>757</v>
      </c>
      <c r="H510" s="391" t="s">
        <v>15</v>
      </c>
      <c r="I510" s="391">
        <v>15</v>
      </c>
      <c r="J510" s="392" t="s">
        <v>37</v>
      </c>
      <c r="K510" s="393">
        <f>(13*38)+(2*29.4)</f>
        <v>552.79999999999995</v>
      </c>
      <c r="L510" s="58"/>
      <c r="M510" s="58"/>
      <c r="N510" s="229"/>
      <c r="O510" s="186" t="s">
        <v>1398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>
      <c r="A511" s="390" t="s">
        <v>1381</v>
      </c>
      <c r="B511" s="391" t="s">
        <v>9</v>
      </c>
      <c r="C511" s="391">
        <v>45</v>
      </c>
      <c r="D511" s="391" t="s">
        <v>10</v>
      </c>
      <c r="E511" s="391">
        <v>193</v>
      </c>
      <c r="F511" s="391" t="s">
        <v>991</v>
      </c>
      <c r="G511" s="391" t="s">
        <v>757</v>
      </c>
      <c r="H511" s="391" t="s">
        <v>15</v>
      </c>
      <c r="I511" s="391">
        <v>15</v>
      </c>
      <c r="J511" s="392" t="s">
        <v>37</v>
      </c>
      <c r="K511" s="393">
        <f>(13*38)+(2*29.4)</f>
        <v>552.79999999999995</v>
      </c>
      <c r="L511" s="58"/>
      <c r="M511" s="58"/>
      <c r="N511" s="229"/>
      <c r="O511" s="186" t="s">
        <v>1398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>
      <c r="A512" s="390" t="s">
        <v>1381</v>
      </c>
      <c r="B512" s="391" t="s">
        <v>9</v>
      </c>
      <c r="C512" s="391">
        <v>45</v>
      </c>
      <c r="D512" s="391" t="s">
        <v>10</v>
      </c>
      <c r="E512" s="391">
        <v>195</v>
      </c>
      <c r="F512" s="391" t="s">
        <v>1134</v>
      </c>
      <c r="G512" s="391" t="s">
        <v>757</v>
      </c>
      <c r="H512" s="391" t="s">
        <v>15</v>
      </c>
      <c r="I512" s="391">
        <v>30</v>
      </c>
      <c r="J512" s="392" t="s">
        <v>816</v>
      </c>
      <c r="K512" s="393">
        <f>(28*38)+(2*29.4)</f>
        <v>1122.8</v>
      </c>
      <c r="L512" s="228"/>
      <c r="M512" s="58"/>
      <c r="N512" s="229"/>
      <c r="O512" s="186" t="s">
        <v>1402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>
      <c r="A513" s="390" t="s">
        <v>1381</v>
      </c>
      <c r="B513" s="391" t="s">
        <v>9</v>
      </c>
      <c r="C513" s="391">
        <v>45</v>
      </c>
      <c r="D513" s="391" t="s">
        <v>10</v>
      </c>
      <c r="E513" s="391">
        <v>255</v>
      </c>
      <c r="F513" s="391" t="s">
        <v>1135</v>
      </c>
      <c r="G513" s="391" t="s">
        <v>39</v>
      </c>
      <c r="H513" s="391" t="s">
        <v>15</v>
      </c>
      <c r="I513" s="391">
        <v>15</v>
      </c>
      <c r="J513" s="392" t="s">
        <v>14</v>
      </c>
      <c r="K513" s="393">
        <f>(14*38)+(1*29.4)</f>
        <v>561.4</v>
      </c>
      <c r="L513" s="58"/>
      <c r="M513" s="58"/>
      <c r="N513" s="229"/>
      <c r="O513" s="186" t="s">
        <v>1398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>
      <c r="A514" s="390" t="s">
        <v>1381</v>
      </c>
      <c r="B514" s="391" t="s">
        <v>9</v>
      </c>
      <c r="C514" s="391">
        <v>45</v>
      </c>
      <c r="D514" s="391" t="s">
        <v>10</v>
      </c>
      <c r="E514" s="391">
        <v>256</v>
      </c>
      <c r="F514" s="391" t="s">
        <v>1136</v>
      </c>
      <c r="G514" s="391" t="s">
        <v>39</v>
      </c>
      <c r="H514" s="391" t="s">
        <v>15</v>
      </c>
      <c r="I514" s="391">
        <v>15</v>
      </c>
      <c r="J514" s="392" t="s">
        <v>14</v>
      </c>
      <c r="K514" s="393">
        <f>(14*38)+(1*29.4)</f>
        <v>561.4</v>
      </c>
      <c r="L514" s="58"/>
      <c r="M514" s="58"/>
      <c r="N514" s="229"/>
      <c r="O514" s="186" t="s">
        <v>1403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>
      <c r="A515" s="390" t="s">
        <v>1381</v>
      </c>
      <c r="B515" s="391" t="s">
        <v>9</v>
      </c>
      <c r="C515" s="391">
        <v>45</v>
      </c>
      <c r="D515" s="391" t="s">
        <v>10</v>
      </c>
      <c r="E515" s="391">
        <v>264</v>
      </c>
      <c r="F515" s="391" t="s">
        <v>636</v>
      </c>
      <c r="G515" s="391" t="s">
        <v>20</v>
      </c>
      <c r="H515" s="391" t="s">
        <v>5</v>
      </c>
      <c r="I515" s="391">
        <v>15</v>
      </c>
      <c r="J515" s="392" t="s">
        <v>1139</v>
      </c>
      <c r="K515" s="393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1384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>
      <c r="A516" s="390" t="s">
        <v>1381</v>
      </c>
      <c r="B516" s="391" t="s">
        <v>9</v>
      </c>
      <c r="C516" s="391">
        <v>45</v>
      </c>
      <c r="D516" s="391" t="s">
        <v>10</v>
      </c>
      <c r="E516" s="391">
        <v>501</v>
      </c>
      <c r="F516" s="391" t="s">
        <v>609</v>
      </c>
      <c r="G516" s="391" t="s">
        <v>297</v>
      </c>
      <c r="H516" s="391" t="s">
        <v>5</v>
      </c>
      <c r="I516" s="391">
        <v>10</v>
      </c>
      <c r="J516" s="392" t="s">
        <v>26</v>
      </c>
      <c r="K516" s="393">
        <f>(9*38)+(1*29.4)</f>
        <v>371.4</v>
      </c>
      <c r="L516" s="58"/>
      <c r="M516" s="58"/>
      <c r="N516" s="229"/>
      <c r="O516" s="186" t="s">
        <v>1398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>
      <c r="A517" s="390" t="s">
        <v>1381</v>
      </c>
      <c r="B517" s="391" t="s">
        <v>9</v>
      </c>
      <c r="C517" s="391">
        <v>45</v>
      </c>
      <c r="D517" s="391" t="s">
        <v>10</v>
      </c>
      <c r="E517" s="391">
        <v>502</v>
      </c>
      <c r="F517" s="391" t="s">
        <v>592</v>
      </c>
      <c r="G517" s="391" t="s">
        <v>297</v>
      </c>
      <c r="H517" s="391" t="s">
        <v>5</v>
      </c>
      <c r="I517" s="391">
        <v>25</v>
      </c>
      <c r="J517" s="392" t="s">
        <v>281</v>
      </c>
      <c r="K517" s="393">
        <f>(24*38)+(1*29.4)</f>
        <v>941.4</v>
      </c>
      <c r="L517" s="228"/>
      <c r="M517" s="58"/>
      <c r="N517" s="229"/>
      <c r="O517" s="186" t="s">
        <v>1398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>
      <c r="A518" s="390" t="s">
        <v>1381</v>
      </c>
      <c r="B518" s="391" t="s">
        <v>9</v>
      </c>
      <c r="C518" s="391">
        <v>45</v>
      </c>
      <c r="D518" s="391" t="s">
        <v>10</v>
      </c>
      <c r="E518" s="391">
        <v>504</v>
      </c>
      <c r="F518" s="391" t="s">
        <v>158</v>
      </c>
      <c r="G518" s="391" t="s">
        <v>297</v>
      </c>
      <c r="H518" s="391" t="s">
        <v>5</v>
      </c>
      <c r="I518" s="391">
        <v>25</v>
      </c>
      <c r="J518" s="392" t="s">
        <v>281</v>
      </c>
      <c r="K518" s="393">
        <f>(24*38)+(1*29.4)</f>
        <v>941.4</v>
      </c>
      <c r="L518" s="58"/>
      <c r="M518" s="58"/>
      <c r="N518" s="229"/>
      <c r="O518" s="186"/>
      <c r="P518" s="21"/>
      <c r="Q518" s="187"/>
      <c r="R518" s="295" t="s">
        <v>1384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>
      <c r="A519" s="390" t="s">
        <v>1381</v>
      </c>
      <c r="B519" s="391" t="s">
        <v>9</v>
      </c>
      <c r="C519" s="391">
        <v>45</v>
      </c>
      <c r="D519" s="391" t="s">
        <v>10</v>
      </c>
      <c r="E519" s="391">
        <v>506</v>
      </c>
      <c r="F519" s="391" t="s">
        <v>609</v>
      </c>
      <c r="G519" s="391" t="s">
        <v>297</v>
      </c>
      <c r="H519" s="391" t="s">
        <v>15</v>
      </c>
      <c r="I519" s="391">
        <v>10</v>
      </c>
      <c r="J519" s="392" t="s">
        <v>26</v>
      </c>
      <c r="K519" s="393">
        <f>(9*38)+(1*29.4)</f>
        <v>371.4</v>
      </c>
      <c r="L519" s="58"/>
      <c r="M519" s="58"/>
      <c r="N519" s="229"/>
      <c r="O519" s="186"/>
      <c r="P519" s="21"/>
      <c r="Q519" s="187"/>
      <c r="R519" s="295" t="s">
        <v>1384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>
      <c r="A520" s="390" t="s">
        <v>1381</v>
      </c>
      <c r="B520" s="391" t="s">
        <v>9</v>
      </c>
      <c r="C520" s="391">
        <v>45</v>
      </c>
      <c r="D520" s="391" t="s">
        <v>10</v>
      </c>
      <c r="E520" s="391">
        <v>513</v>
      </c>
      <c r="F520" s="391" t="s">
        <v>525</v>
      </c>
      <c r="G520" s="391" t="s">
        <v>297</v>
      </c>
      <c r="H520" s="391" t="s">
        <v>15</v>
      </c>
      <c r="I520" s="391">
        <v>15</v>
      </c>
      <c r="J520" s="392" t="s">
        <v>37</v>
      </c>
      <c r="K520" s="393">
        <f>(13*38)+(2*29.4)</f>
        <v>552.79999999999995</v>
      </c>
      <c r="L520" s="58"/>
      <c r="M520" s="58"/>
      <c r="N520" s="229"/>
      <c r="O520" s="186" t="s">
        <v>1398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>
      <c r="A521" s="390" t="s">
        <v>1381</v>
      </c>
      <c r="B521" s="391" t="s">
        <v>9</v>
      </c>
      <c r="C521" s="391">
        <v>45</v>
      </c>
      <c r="D521" s="391" t="s">
        <v>10</v>
      </c>
      <c r="E521" s="391">
        <v>514</v>
      </c>
      <c r="F521" s="391" t="s">
        <v>989</v>
      </c>
      <c r="G521" s="391" t="s">
        <v>297</v>
      </c>
      <c r="H521" s="391" t="s">
        <v>15</v>
      </c>
      <c r="I521" s="391">
        <v>10</v>
      </c>
      <c r="J521" s="392" t="s">
        <v>626</v>
      </c>
      <c r="K521" s="393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1384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>
      <c r="A522" s="390" t="s">
        <v>1381</v>
      </c>
      <c r="B522" s="391" t="s">
        <v>9</v>
      </c>
      <c r="C522" s="391">
        <v>45</v>
      </c>
      <c r="D522" s="391" t="s">
        <v>10</v>
      </c>
      <c r="E522" s="391">
        <v>515</v>
      </c>
      <c r="F522" s="391" t="s">
        <v>307</v>
      </c>
      <c r="G522" s="391" t="s">
        <v>297</v>
      </c>
      <c r="H522" s="391" t="s">
        <v>15</v>
      </c>
      <c r="I522" s="391">
        <v>10</v>
      </c>
      <c r="J522" s="392" t="s">
        <v>626</v>
      </c>
      <c r="K522" s="393">
        <f>(8*38)+(2*29.4)</f>
        <v>362.8</v>
      </c>
      <c r="L522" s="228"/>
      <c r="M522" s="58"/>
      <c r="N522" s="229"/>
      <c r="O522" s="186" t="s">
        <v>1402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>
      <c r="A523" s="390" t="s">
        <v>1381</v>
      </c>
      <c r="B523" s="391" t="s">
        <v>9</v>
      </c>
      <c r="C523" s="391">
        <v>45</v>
      </c>
      <c r="D523" s="391" t="s">
        <v>16</v>
      </c>
      <c r="E523" s="391">
        <v>25</v>
      </c>
      <c r="F523" s="391" t="s">
        <v>702</v>
      </c>
      <c r="G523" s="391" t="s">
        <v>620</v>
      </c>
      <c r="H523" s="391" t="s">
        <v>5</v>
      </c>
      <c r="I523" s="391">
        <v>20</v>
      </c>
      <c r="J523" s="392" t="s">
        <v>30</v>
      </c>
      <c r="K523" s="393">
        <f>(19*38)+(1*29.4)</f>
        <v>751.4</v>
      </c>
      <c r="L523" s="228"/>
      <c r="M523" s="58"/>
      <c r="N523" s="229"/>
      <c r="O523" s="186" t="s">
        <v>1398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>
      <c r="A524" s="390" t="s">
        <v>1381</v>
      </c>
      <c r="B524" s="391" t="s">
        <v>9</v>
      </c>
      <c r="C524" s="391">
        <v>45</v>
      </c>
      <c r="D524" s="391" t="s">
        <v>16</v>
      </c>
      <c r="E524" s="391">
        <v>43</v>
      </c>
      <c r="F524" s="391" t="s">
        <v>695</v>
      </c>
      <c r="G524" s="391" t="s">
        <v>27</v>
      </c>
      <c r="H524" s="391" t="s">
        <v>5</v>
      </c>
      <c r="I524" s="391">
        <v>20</v>
      </c>
      <c r="J524" s="392" t="s">
        <v>136</v>
      </c>
      <c r="K524" s="393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1384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>
      <c r="A525" s="390" t="s">
        <v>1381</v>
      </c>
      <c r="B525" s="391" t="s">
        <v>9</v>
      </c>
      <c r="C525" s="391">
        <v>45</v>
      </c>
      <c r="D525" s="391" t="s">
        <v>16</v>
      </c>
      <c r="E525" s="391">
        <v>50</v>
      </c>
      <c r="F525" s="391" t="s">
        <v>1137</v>
      </c>
      <c r="G525" s="391" t="s">
        <v>27</v>
      </c>
      <c r="H525" s="391" t="s">
        <v>182</v>
      </c>
      <c r="I525" s="391">
        <v>15</v>
      </c>
      <c r="J525" s="392" t="s">
        <v>14</v>
      </c>
      <c r="K525" s="393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1384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>
      <c r="A526" s="390" t="s">
        <v>1381</v>
      </c>
      <c r="B526" s="391" t="s">
        <v>9</v>
      </c>
      <c r="C526" s="391">
        <v>45</v>
      </c>
      <c r="D526" s="391" t="s">
        <v>16</v>
      </c>
      <c r="E526" s="391">
        <v>62</v>
      </c>
      <c r="F526" s="391" t="s">
        <v>422</v>
      </c>
      <c r="G526" s="391" t="s">
        <v>757</v>
      </c>
      <c r="H526" s="391" t="s">
        <v>15</v>
      </c>
      <c r="I526" s="391">
        <v>15</v>
      </c>
      <c r="J526" s="392" t="s">
        <v>37</v>
      </c>
      <c r="K526" s="393">
        <f>(13*38)+(2*29.4)</f>
        <v>552.79999999999995</v>
      </c>
      <c r="L526" s="228"/>
      <c r="M526" s="58"/>
      <c r="N526" s="229"/>
      <c r="O526" s="186" t="s">
        <v>1402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>
      <c r="A527" s="390" t="s">
        <v>1381</v>
      </c>
      <c r="B527" s="391" t="s">
        <v>9</v>
      </c>
      <c r="C527" s="391">
        <v>45</v>
      </c>
      <c r="D527" s="391" t="s">
        <v>16</v>
      </c>
      <c r="E527" s="391">
        <v>63</v>
      </c>
      <c r="F527" s="391" t="s">
        <v>747</v>
      </c>
      <c r="G527" s="391" t="s">
        <v>757</v>
      </c>
      <c r="H527" s="391" t="s">
        <v>15</v>
      </c>
      <c r="I527" s="391">
        <v>15</v>
      </c>
      <c r="J527" s="392" t="s">
        <v>37</v>
      </c>
      <c r="K527" s="393">
        <f>(13*38)+(2*29.4)</f>
        <v>552.79999999999995</v>
      </c>
      <c r="L527" s="58"/>
      <c r="M527" s="58"/>
      <c r="N527" s="229"/>
      <c r="O527" s="186" t="s">
        <v>1398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>
      <c r="A528" s="390" t="s">
        <v>1381</v>
      </c>
      <c r="B528" s="391" t="s">
        <v>9</v>
      </c>
      <c r="C528" s="391">
        <v>45</v>
      </c>
      <c r="D528" s="391" t="s">
        <v>16</v>
      </c>
      <c r="E528" s="391">
        <v>64</v>
      </c>
      <c r="F528" s="391" t="s">
        <v>836</v>
      </c>
      <c r="G528" s="391" t="s">
        <v>757</v>
      </c>
      <c r="H528" s="391" t="s">
        <v>15</v>
      </c>
      <c r="I528" s="391">
        <v>15</v>
      </c>
      <c r="J528" s="392" t="s">
        <v>37</v>
      </c>
      <c r="K528" s="393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1384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>
      <c r="A529" s="390" t="s">
        <v>1381</v>
      </c>
      <c r="B529" s="391" t="s">
        <v>9</v>
      </c>
      <c r="C529" s="391">
        <v>45</v>
      </c>
      <c r="D529" s="391" t="s">
        <v>16</v>
      </c>
      <c r="E529" s="391">
        <v>65</v>
      </c>
      <c r="F529" s="391" t="s">
        <v>267</v>
      </c>
      <c r="G529" s="391" t="s">
        <v>757</v>
      </c>
      <c r="H529" s="391" t="s">
        <v>15</v>
      </c>
      <c r="I529" s="391">
        <v>15</v>
      </c>
      <c r="J529" s="392" t="s">
        <v>1140</v>
      </c>
      <c r="K529" s="393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1384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>
      <c r="A530" s="390" t="s">
        <v>1381</v>
      </c>
      <c r="B530" s="391" t="s">
        <v>9</v>
      </c>
      <c r="C530" s="391">
        <v>45</v>
      </c>
      <c r="D530" s="391" t="s">
        <v>16</v>
      </c>
      <c r="E530" s="391">
        <v>69</v>
      </c>
      <c r="F530" s="391" t="s">
        <v>756</v>
      </c>
      <c r="G530" s="391" t="s">
        <v>757</v>
      </c>
      <c r="H530" s="391" t="s">
        <v>182</v>
      </c>
      <c r="I530" s="391">
        <v>15</v>
      </c>
      <c r="J530" s="392" t="s">
        <v>37</v>
      </c>
      <c r="K530" s="393">
        <f>(13*38)+(2*29.4)</f>
        <v>552.79999999999995</v>
      </c>
      <c r="L530" s="58"/>
      <c r="M530" s="58"/>
      <c r="N530" s="229"/>
      <c r="O530" s="186" t="s">
        <v>1398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>
      <c r="A531" s="390" t="s">
        <v>1381</v>
      </c>
      <c r="B531" s="391" t="s">
        <v>9</v>
      </c>
      <c r="C531" s="391">
        <v>45</v>
      </c>
      <c r="D531" s="391" t="s">
        <v>16</v>
      </c>
      <c r="E531" s="391">
        <v>72</v>
      </c>
      <c r="F531" s="391" t="s">
        <v>633</v>
      </c>
      <c r="G531" s="391" t="s">
        <v>113</v>
      </c>
      <c r="H531" s="391" t="s">
        <v>15</v>
      </c>
      <c r="I531" s="391">
        <v>10</v>
      </c>
      <c r="J531" s="392" t="s">
        <v>11</v>
      </c>
      <c r="K531" s="393">
        <f>(9*35)+(1*26.4)</f>
        <v>341.4</v>
      </c>
      <c r="L531" s="58"/>
      <c r="M531" s="58"/>
      <c r="N531" s="229"/>
      <c r="O531" s="186" t="s">
        <v>1403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>
      <c r="A532" s="390" t="s">
        <v>1381</v>
      </c>
      <c r="B532" s="391" t="s">
        <v>9</v>
      </c>
      <c r="C532" s="391">
        <v>45</v>
      </c>
      <c r="D532" s="391" t="s">
        <v>16</v>
      </c>
      <c r="E532" s="391">
        <v>73</v>
      </c>
      <c r="F532" s="391" t="s">
        <v>984</v>
      </c>
      <c r="G532" s="391" t="s">
        <v>113</v>
      </c>
      <c r="H532" s="391" t="s">
        <v>15</v>
      </c>
      <c r="I532" s="391">
        <v>25</v>
      </c>
      <c r="J532" s="392" t="s">
        <v>196</v>
      </c>
      <c r="K532" s="393">
        <f>(25*35)</f>
        <v>875</v>
      </c>
      <c r="L532" s="228"/>
      <c r="M532" s="58"/>
      <c r="N532" s="229"/>
      <c r="O532" s="21"/>
      <c r="P532" s="21"/>
      <c r="Q532" s="187"/>
      <c r="R532" s="295" t="s">
        <v>1384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>
      <c r="A533" s="390" t="s">
        <v>1381</v>
      </c>
      <c r="B533" s="391" t="s">
        <v>9</v>
      </c>
      <c r="C533" s="391">
        <v>45</v>
      </c>
      <c r="D533" s="391" t="s">
        <v>16</v>
      </c>
      <c r="E533" s="391">
        <v>74</v>
      </c>
      <c r="F533" s="391" t="s">
        <v>634</v>
      </c>
      <c r="G533" s="391" t="s">
        <v>113</v>
      </c>
      <c r="H533" s="391" t="s">
        <v>15</v>
      </c>
      <c r="I533" s="391">
        <v>15</v>
      </c>
      <c r="J533" s="392" t="s">
        <v>13</v>
      </c>
      <c r="K533" s="393">
        <f>(14*35)+(1*26.4)</f>
        <v>516.4</v>
      </c>
      <c r="L533" s="58"/>
      <c r="M533" s="58"/>
      <c r="N533" s="229"/>
      <c r="O533" s="186" t="s">
        <v>1398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>
      <c r="A534" s="390" t="s">
        <v>1381</v>
      </c>
      <c r="B534" s="391" t="s">
        <v>9</v>
      </c>
      <c r="C534" s="391">
        <v>45</v>
      </c>
      <c r="D534" s="391" t="s">
        <v>16</v>
      </c>
      <c r="E534" s="391">
        <v>75</v>
      </c>
      <c r="F534" s="391" t="s">
        <v>624</v>
      </c>
      <c r="G534" s="391" t="s">
        <v>113</v>
      </c>
      <c r="H534" s="391" t="s">
        <v>15</v>
      </c>
      <c r="I534" s="391">
        <v>15</v>
      </c>
      <c r="J534" s="392" t="s">
        <v>13</v>
      </c>
      <c r="K534" s="393">
        <f>(14*35)+(1*26.4)</f>
        <v>516.4</v>
      </c>
      <c r="L534" s="228"/>
      <c r="M534" s="58"/>
      <c r="N534" s="229"/>
      <c r="O534" s="186" t="s">
        <v>1402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>
      <c r="A535" s="390" t="s">
        <v>1381</v>
      </c>
      <c r="B535" s="391" t="s">
        <v>9</v>
      </c>
      <c r="C535" s="391">
        <v>45</v>
      </c>
      <c r="D535" s="391" t="s">
        <v>16</v>
      </c>
      <c r="E535" s="391">
        <v>93</v>
      </c>
      <c r="F535" s="391" t="s">
        <v>89</v>
      </c>
      <c r="G535" s="391" t="s">
        <v>82</v>
      </c>
      <c r="H535" s="391" t="s">
        <v>5</v>
      </c>
      <c r="I535" s="391">
        <v>20</v>
      </c>
      <c r="J535" s="392" t="s">
        <v>30</v>
      </c>
      <c r="K535" s="393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1384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>
      <c r="A536" s="390" t="s">
        <v>1381</v>
      </c>
      <c r="B536" s="391" t="s">
        <v>9</v>
      </c>
      <c r="C536" s="391">
        <v>45</v>
      </c>
      <c r="D536" s="391" t="s">
        <v>16</v>
      </c>
      <c r="E536" s="391">
        <v>108</v>
      </c>
      <c r="F536" s="391" t="s">
        <v>478</v>
      </c>
      <c r="G536" s="391" t="s">
        <v>292</v>
      </c>
      <c r="H536" s="391" t="s">
        <v>15</v>
      </c>
      <c r="I536" s="391">
        <v>20</v>
      </c>
      <c r="J536" s="392" t="s">
        <v>30</v>
      </c>
      <c r="K536" s="393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1384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>
      <c r="A537" s="390" t="s">
        <v>1381</v>
      </c>
      <c r="B537" s="391" t="s">
        <v>9</v>
      </c>
      <c r="C537" s="391">
        <v>45</v>
      </c>
      <c r="D537" s="391" t="s">
        <v>16</v>
      </c>
      <c r="E537" s="391">
        <v>109</v>
      </c>
      <c r="F537" s="391" t="s">
        <v>464</v>
      </c>
      <c r="G537" s="391" t="s">
        <v>292</v>
      </c>
      <c r="H537" s="391" t="s">
        <v>15</v>
      </c>
      <c r="I537" s="391">
        <v>20</v>
      </c>
      <c r="J537" s="392" t="s">
        <v>30</v>
      </c>
      <c r="K537" s="393">
        <f>(19*38)+(1*29.4)</f>
        <v>751.4</v>
      </c>
      <c r="L537" s="228"/>
      <c r="M537" s="58"/>
      <c r="N537" s="229"/>
      <c r="O537" s="21"/>
      <c r="P537" s="21"/>
      <c r="Q537" s="187"/>
      <c r="R537" s="295" t="s">
        <v>1384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>
      <c r="A538" s="390" t="s">
        <v>1381</v>
      </c>
      <c r="B538" s="391" t="s">
        <v>9</v>
      </c>
      <c r="C538" s="391">
        <v>45</v>
      </c>
      <c r="D538" s="391" t="s">
        <v>16</v>
      </c>
      <c r="E538" s="391">
        <v>200</v>
      </c>
      <c r="F538" s="391" t="s">
        <v>1138</v>
      </c>
      <c r="G538" s="391" t="s">
        <v>39</v>
      </c>
      <c r="H538" s="391" t="s">
        <v>15</v>
      </c>
      <c r="I538" s="391">
        <v>15</v>
      </c>
      <c r="J538" s="392" t="s">
        <v>93</v>
      </c>
      <c r="K538" s="393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1384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thickBot="1">
      <c r="A539" s="390" t="s">
        <v>1381</v>
      </c>
      <c r="B539" s="394" t="s">
        <v>9</v>
      </c>
      <c r="C539" s="394">
        <v>45</v>
      </c>
      <c r="D539" s="394" t="s">
        <v>16</v>
      </c>
      <c r="E539" s="394">
        <v>201</v>
      </c>
      <c r="F539" s="394" t="s">
        <v>912</v>
      </c>
      <c r="G539" s="394" t="s">
        <v>39</v>
      </c>
      <c r="H539" s="394" t="s">
        <v>15</v>
      </c>
      <c r="I539" s="394">
        <v>15</v>
      </c>
      <c r="J539" s="395" t="s">
        <v>93</v>
      </c>
      <c r="K539" s="396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1384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>
      <c r="A540" s="390" t="s">
        <v>1381</v>
      </c>
      <c r="B540" s="387" t="s">
        <v>9</v>
      </c>
      <c r="C540" s="387">
        <v>45</v>
      </c>
      <c r="D540" s="387" t="s">
        <v>16</v>
      </c>
      <c r="E540" s="387">
        <v>205</v>
      </c>
      <c r="F540" s="387" t="s">
        <v>345</v>
      </c>
      <c r="G540" s="387" t="s">
        <v>39</v>
      </c>
      <c r="H540" s="387" t="s">
        <v>15</v>
      </c>
      <c r="I540" s="387">
        <v>15</v>
      </c>
      <c r="J540" s="388" t="s">
        <v>93</v>
      </c>
      <c r="K540" s="389">
        <f>(15*38)</f>
        <v>570</v>
      </c>
      <c r="L540" s="228"/>
      <c r="M540" s="58"/>
      <c r="N540" s="229"/>
      <c r="O540" s="21"/>
      <c r="P540" s="21"/>
      <c r="Q540" s="187"/>
      <c r="R540" s="295" t="s">
        <v>1384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>
      <c r="A541" s="390" t="s">
        <v>1381</v>
      </c>
      <c r="B541" s="391" t="s">
        <v>9</v>
      </c>
      <c r="C541" s="391">
        <v>45</v>
      </c>
      <c r="D541" s="391" t="s">
        <v>7</v>
      </c>
      <c r="E541" s="391">
        <v>40</v>
      </c>
      <c r="F541" s="391" t="s">
        <v>815</v>
      </c>
      <c r="G541" s="391" t="s">
        <v>23</v>
      </c>
      <c r="H541" s="391" t="s">
        <v>5</v>
      </c>
      <c r="I541" s="391">
        <v>20</v>
      </c>
      <c r="J541" s="392" t="s">
        <v>30</v>
      </c>
      <c r="K541" s="393">
        <f>(19*38)+(1*29.4)</f>
        <v>751.4</v>
      </c>
      <c r="L541" s="228"/>
      <c r="M541" s="58"/>
      <c r="N541" s="229"/>
      <c r="O541" s="186" t="s">
        <v>1398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>
      <c r="A542" s="390" t="s">
        <v>1381</v>
      </c>
      <c r="B542" s="391" t="s">
        <v>9</v>
      </c>
      <c r="C542" s="391">
        <v>45</v>
      </c>
      <c r="D542" s="391" t="s">
        <v>7</v>
      </c>
      <c r="E542" s="391">
        <v>41</v>
      </c>
      <c r="F542" s="391" t="s">
        <v>77</v>
      </c>
      <c r="G542" s="391" t="s">
        <v>23</v>
      </c>
      <c r="H542" s="391" t="s">
        <v>5</v>
      </c>
      <c r="I542" s="391">
        <v>20</v>
      </c>
      <c r="J542" s="392" t="s">
        <v>30</v>
      </c>
      <c r="K542" s="393">
        <f>(19*38)+(1*29.4)</f>
        <v>751.4</v>
      </c>
      <c r="L542" s="58"/>
      <c r="M542" s="58"/>
      <c r="N542" s="229"/>
      <c r="O542" s="186"/>
      <c r="P542" s="21"/>
      <c r="Q542" s="187"/>
      <c r="R542" s="295" t="s">
        <v>1384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>
      <c r="A543" s="390" t="s">
        <v>1381</v>
      </c>
      <c r="B543" s="391" t="s">
        <v>9</v>
      </c>
      <c r="C543" s="391">
        <v>45</v>
      </c>
      <c r="D543" s="391" t="s">
        <v>7</v>
      </c>
      <c r="E543" s="391">
        <v>88</v>
      </c>
      <c r="F543" s="391" t="s">
        <v>426</v>
      </c>
      <c r="G543" s="391" t="s">
        <v>599</v>
      </c>
      <c r="H543" s="391" t="s">
        <v>15</v>
      </c>
      <c r="I543" s="391">
        <v>25</v>
      </c>
      <c r="J543" s="392" t="s">
        <v>281</v>
      </c>
      <c r="K543" s="393">
        <f>(24*38)+(1*29.4)</f>
        <v>941.4</v>
      </c>
      <c r="L543" s="58"/>
      <c r="M543" s="58"/>
      <c r="N543" s="229"/>
      <c r="O543" s="186" t="s">
        <v>1398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>
      <c r="A544" s="390" t="s">
        <v>1381</v>
      </c>
      <c r="B544" s="391" t="s">
        <v>9</v>
      </c>
      <c r="C544" s="391">
        <v>45</v>
      </c>
      <c r="D544" s="391" t="s">
        <v>7</v>
      </c>
      <c r="E544" s="391">
        <v>90</v>
      </c>
      <c r="F544" s="391" t="s">
        <v>123</v>
      </c>
      <c r="G544" s="391" t="s">
        <v>599</v>
      </c>
      <c r="H544" s="391" t="s">
        <v>15</v>
      </c>
      <c r="I544" s="391">
        <v>10</v>
      </c>
      <c r="J544" s="392" t="s">
        <v>26</v>
      </c>
      <c r="K544" s="393">
        <f>(9*38)+(1*29.4)</f>
        <v>371.4</v>
      </c>
      <c r="L544" s="228"/>
      <c r="M544" s="58"/>
      <c r="N544" s="229"/>
      <c r="O544" s="186" t="s">
        <v>1398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>
      <c r="A545" s="390" t="s">
        <v>1381</v>
      </c>
      <c r="B545" s="391" t="s">
        <v>9</v>
      </c>
      <c r="C545" s="391">
        <v>45</v>
      </c>
      <c r="D545" s="391" t="s">
        <v>7</v>
      </c>
      <c r="E545" s="391">
        <v>91</v>
      </c>
      <c r="F545" s="391" t="s">
        <v>162</v>
      </c>
      <c r="G545" s="391" t="s">
        <v>599</v>
      </c>
      <c r="H545" s="391" t="s">
        <v>15</v>
      </c>
      <c r="I545" s="391">
        <v>25</v>
      </c>
      <c r="J545" s="392" t="s">
        <v>143</v>
      </c>
      <c r="K545" s="393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1384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>
      <c r="A546" s="390" t="s">
        <v>1381</v>
      </c>
      <c r="B546" s="391" t="s">
        <v>9</v>
      </c>
      <c r="C546" s="391">
        <v>45</v>
      </c>
      <c r="D546" s="391" t="s">
        <v>7</v>
      </c>
      <c r="E546" s="391">
        <v>139</v>
      </c>
      <c r="F546" s="391" t="s">
        <v>1141</v>
      </c>
      <c r="G546" s="391" t="s">
        <v>292</v>
      </c>
      <c r="H546" s="391" t="s">
        <v>15</v>
      </c>
      <c r="I546" s="391">
        <v>20</v>
      </c>
      <c r="J546" s="392" t="s">
        <v>30</v>
      </c>
      <c r="K546" s="393">
        <f>(19*38)+(1*29.4)</f>
        <v>751.4</v>
      </c>
      <c r="L546" s="58"/>
      <c r="M546" s="58"/>
      <c r="N546" s="229"/>
      <c r="O546" s="186" t="s">
        <v>1398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>
      <c r="A547" s="390" t="s">
        <v>1381</v>
      </c>
      <c r="B547" s="391" t="s">
        <v>9</v>
      </c>
      <c r="C547" s="391">
        <v>45</v>
      </c>
      <c r="D547" s="391" t="s">
        <v>7</v>
      </c>
      <c r="E547" s="391">
        <v>140</v>
      </c>
      <c r="F547" s="391" t="s">
        <v>459</v>
      </c>
      <c r="G547" s="391" t="s">
        <v>292</v>
      </c>
      <c r="H547" s="391" t="s">
        <v>15</v>
      </c>
      <c r="I547" s="391">
        <v>20</v>
      </c>
      <c r="J547" s="392" t="s">
        <v>30</v>
      </c>
      <c r="K547" s="393">
        <f>(19*38)+(1*29.4)</f>
        <v>751.4</v>
      </c>
      <c r="L547" s="228"/>
      <c r="M547" s="58"/>
      <c r="N547" s="229"/>
      <c r="O547" s="186" t="s">
        <v>1398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>
      <c r="A548" s="390" t="s">
        <v>1381</v>
      </c>
      <c r="B548" s="391" t="s">
        <v>9</v>
      </c>
      <c r="C548" s="391">
        <v>45</v>
      </c>
      <c r="D548" s="391" t="s">
        <v>7</v>
      </c>
      <c r="E548" s="391">
        <v>142</v>
      </c>
      <c r="F548" s="391" t="s">
        <v>1142</v>
      </c>
      <c r="G548" s="391" t="s">
        <v>292</v>
      </c>
      <c r="H548" s="391" t="s">
        <v>15</v>
      </c>
      <c r="I548" s="391">
        <v>20</v>
      </c>
      <c r="J548" s="392" t="s">
        <v>30</v>
      </c>
      <c r="K548" s="393">
        <f>(19*38)+(1*29.4)</f>
        <v>751.4</v>
      </c>
      <c r="L548" s="228"/>
      <c r="M548" s="58"/>
      <c r="N548" s="229"/>
      <c r="O548" s="186" t="s">
        <v>1402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>
      <c r="A549" s="390" t="s">
        <v>1381</v>
      </c>
      <c r="B549" s="391" t="s">
        <v>9</v>
      </c>
      <c r="C549" s="391">
        <v>45</v>
      </c>
      <c r="D549" s="391" t="s">
        <v>7</v>
      </c>
      <c r="E549" s="391">
        <v>163</v>
      </c>
      <c r="F549" s="391" t="s">
        <v>601</v>
      </c>
      <c r="G549" s="391" t="s">
        <v>315</v>
      </c>
      <c r="H549" s="391" t="s">
        <v>15</v>
      </c>
      <c r="I549" s="391">
        <v>20</v>
      </c>
      <c r="J549" s="392" t="s">
        <v>17</v>
      </c>
      <c r="K549" s="393">
        <f>(19*35)+(1*26.4)</f>
        <v>691.4</v>
      </c>
      <c r="L549" s="228"/>
      <c r="M549" s="58"/>
      <c r="N549" s="229"/>
      <c r="O549" s="186" t="s">
        <v>1398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>
      <c r="A550" s="390" t="s">
        <v>1381</v>
      </c>
      <c r="B550" s="391" t="s">
        <v>9</v>
      </c>
      <c r="C550" s="391">
        <v>45</v>
      </c>
      <c r="D550" s="391" t="s">
        <v>7</v>
      </c>
      <c r="E550" s="391">
        <v>205</v>
      </c>
      <c r="F550" s="391" t="s">
        <v>385</v>
      </c>
      <c r="G550" s="391" t="s">
        <v>1143</v>
      </c>
      <c r="H550" s="391" t="s">
        <v>15</v>
      </c>
      <c r="I550" s="391">
        <v>30</v>
      </c>
      <c r="J550" s="392" t="s">
        <v>816</v>
      </c>
      <c r="K550" s="393">
        <f>(28*38)+(2*29.4)</f>
        <v>1122.8</v>
      </c>
      <c r="L550" s="228"/>
      <c r="M550" s="58"/>
      <c r="N550" s="229"/>
      <c r="O550" s="186" t="s">
        <v>1398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>
      <c r="A551" s="390" t="s">
        <v>1381</v>
      </c>
      <c r="B551" s="391" t="s">
        <v>9</v>
      </c>
      <c r="C551" s="391">
        <v>45</v>
      </c>
      <c r="D551" s="391" t="s">
        <v>7</v>
      </c>
      <c r="E551" s="391">
        <v>206</v>
      </c>
      <c r="F551" s="391" t="s">
        <v>371</v>
      </c>
      <c r="G551" s="391" t="s">
        <v>1143</v>
      </c>
      <c r="H551" s="391" t="s">
        <v>15</v>
      </c>
      <c r="I551" s="391">
        <v>30</v>
      </c>
      <c r="J551" s="392" t="s">
        <v>816</v>
      </c>
      <c r="K551" s="393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1384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>
      <c r="A552" s="390" t="s">
        <v>1381</v>
      </c>
      <c r="B552" s="391" t="s">
        <v>9</v>
      </c>
      <c r="C552" s="391">
        <v>45</v>
      </c>
      <c r="D552" s="391" t="s">
        <v>7</v>
      </c>
      <c r="E552" s="391">
        <v>222</v>
      </c>
      <c r="F552" s="391" t="s">
        <v>638</v>
      </c>
      <c r="G552" s="391" t="s">
        <v>1144</v>
      </c>
      <c r="H552" s="391" t="s">
        <v>15</v>
      </c>
      <c r="I552" s="391">
        <v>20</v>
      </c>
      <c r="J552" s="392" t="s">
        <v>30</v>
      </c>
      <c r="K552" s="393">
        <f>(19*38)+(1*29.4)</f>
        <v>751.4</v>
      </c>
      <c r="L552" s="228"/>
      <c r="M552" s="58"/>
      <c r="N552" s="229"/>
      <c r="O552" s="186" t="s">
        <v>1398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>
      <c r="A553" s="390" t="s">
        <v>1381</v>
      </c>
      <c r="B553" s="391" t="s">
        <v>9</v>
      </c>
      <c r="C553" s="391">
        <v>45</v>
      </c>
      <c r="D553" s="391" t="s">
        <v>7</v>
      </c>
      <c r="E553" s="391">
        <v>223</v>
      </c>
      <c r="F553" s="391" t="s">
        <v>337</v>
      </c>
      <c r="G553" s="391" t="s">
        <v>1144</v>
      </c>
      <c r="H553" s="391" t="s">
        <v>15</v>
      </c>
      <c r="I553" s="391">
        <v>15</v>
      </c>
      <c r="J553" s="392" t="s">
        <v>14</v>
      </c>
      <c r="K553" s="393">
        <f>(14*38)+(1*29.4)</f>
        <v>561.4</v>
      </c>
      <c r="L553" s="58"/>
      <c r="M553" s="58"/>
      <c r="N553" s="229"/>
      <c r="O553" s="186" t="s">
        <v>1398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>
      <c r="A554" s="390" t="s">
        <v>1381</v>
      </c>
      <c r="B554" s="391" t="s">
        <v>9</v>
      </c>
      <c r="C554" s="391">
        <v>45</v>
      </c>
      <c r="D554" s="391" t="s">
        <v>7</v>
      </c>
      <c r="E554" s="391">
        <v>224</v>
      </c>
      <c r="F554" s="391" t="s">
        <v>803</v>
      </c>
      <c r="G554" s="391" t="s">
        <v>1144</v>
      </c>
      <c r="H554" s="391" t="s">
        <v>15</v>
      </c>
      <c r="I554" s="391">
        <v>15</v>
      </c>
      <c r="J554" s="392" t="s">
        <v>14</v>
      </c>
      <c r="K554" s="393">
        <f>(14*38)+(1*29.4)</f>
        <v>561.4</v>
      </c>
      <c r="L554" s="58"/>
      <c r="M554" s="58"/>
      <c r="N554" s="229"/>
      <c r="O554" s="186" t="s">
        <v>1402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>
      <c r="A555" s="390" t="s">
        <v>1381</v>
      </c>
      <c r="B555" s="391" t="s">
        <v>9</v>
      </c>
      <c r="C555" s="391">
        <v>45</v>
      </c>
      <c r="D555" s="391" t="s">
        <v>7</v>
      </c>
      <c r="E555" s="391">
        <v>228</v>
      </c>
      <c r="F555" s="391" t="s">
        <v>892</v>
      </c>
      <c r="G555" s="391" t="s">
        <v>1144</v>
      </c>
      <c r="H555" s="391" t="s">
        <v>15</v>
      </c>
      <c r="I555" s="391">
        <v>20</v>
      </c>
      <c r="J555" s="392" t="s">
        <v>30</v>
      </c>
      <c r="K555" s="393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1384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>
      <c r="A556" s="390" t="s">
        <v>1381</v>
      </c>
      <c r="B556" s="391" t="s">
        <v>9</v>
      </c>
      <c r="C556" s="391">
        <v>45</v>
      </c>
      <c r="D556" s="391" t="s">
        <v>7</v>
      </c>
      <c r="E556" s="391">
        <v>232</v>
      </c>
      <c r="F556" s="391" t="s">
        <v>862</v>
      </c>
      <c r="G556" s="391" t="s">
        <v>1144</v>
      </c>
      <c r="H556" s="391" t="s">
        <v>15</v>
      </c>
      <c r="I556" s="391">
        <v>10</v>
      </c>
      <c r="J556" s="392" t="s">
        <v>626</v>
      </c>
      <c r="K556" s="393">
        <f>(8*38)+(2*29.4)</f>
        <v>362.8</v>
      </c>
      <c r="L556" s="228"/>
      <c r="M556" s="58"/>
      <c r="N556" s="229"/>
      <c r="O556" s="186" t="s">
        <v>1398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>
      <c r="A557" s="390" t="s">
        <v>1381</v>
      </c>
      <c r="B557" s="391" t="s">
        <v>9</v>
      </c>
      <c r="C557" s="391">
        <v>45</v>
      </c>
      <c r="D557" s="391" t="s">
        <v>7</v>
      </c>
      <c r="E557" s="391">
        <v>268</v>
      </c>
      <c r="F557" s="391" t="s">
        <v>709</v>
      </c>
      <c r="G557" s="391" t="s">
        <v>113</v>
      </c>
      <c r="H557" s="391" t="s">
        <v>15</v>
      </c>
      <c r="I557" s="391">
        <v>20</v>
      </c>
      <c r="J557" s="392" t="s">
        <v>17</v>
      </c>
      <c r="K557" s="393">
        <f>(19*35)+(1*26.4)</f>
        <v>691.4</v>
      </c>
      <c r="L557" s="58"/>
      <c r="M557" s="58"/>
      <c r="N557" s="229"/>
      <c r="O557" s="186"/>
      <c r="P557" s="21"/>
      <c r="Q557" s="187"/>
      <c r="R557" s="295" t="s">
        <v>1384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>
      <c r="A558" s="390" t="s">
        <v>1381</v>
      </c>
      <c r="B558" s="391" t="s">
        <v>9</v>
      </c>
      <c r="C558" s="391">
        <v>45</v>
      </c>
      <c r="D558" s="391" t="s">
        <v>7</v>
      </c>
      <c r="E558" s="391">
        <v>269</v>
      </c>
      <c r="F558" s="391" t="s">
        <v>235</v>
      </c>
      <c r="G558" s="391" t="s">
        <v>113</v>
      </c>
      <c r="H558" s="391" t="s">
        <v>15</v>
      </c>
      <c r="I558" s="391">
        <v>15</v>
      </c>
      <c r="J558" s="392" t="s">
        <v>13</v>
      </c>
      <c r="K558" s="393">
        <f>(14*35)+(1*26.4)</f>
        <v>516.4</v>
      </c>
      <c r="L558" s="58"/>
      <c r="M558" s="58"/>
      <c r="N558" s="229"/>
      <c r="O558" s="186" t="s">
        <v>1402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>
      <c r="A559" s="390" t="s">
        <v>1381</v>
      </c>
      <c r="B559" s="391" t="s">
        <v>9</v>
      </c>
      <c r="C559" s="391">
        <v>45</v>
      </c>
      <c r="D559" s="391" t="s">
        <v>10</v>
      </c>
      <c r="E559" s="391">
        <v>33</v>
      </c>
      <c r="F559" s="391" t="s">
        <v>231</v>
      </c>
      <c r="G559" s="391" t="s">
        <v>485</v>
      </c>
      <c r="H559" s="391" t="s">
        <v>5</v>
      </c>
      <c r="I559" s="391">
        <v>10</v>
      </c>
      <c r="J559" s="392" t="s">
        <v>460</v>
      </c>
      <c r="K559" s="393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1384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>
      <c r="A560" s="390" t="s">
        <v>1381</v>
      </c>
      <c r="B560" s="391" t="s">
        <v>9</v>
      </c>
      <c r="C560" s="391">
        <v>45</v>
      </c>
      <c r="D560" s="391" t="s">
        <v>10</v>
      </c>
      <c r="E560" s="391">
        <v>36</v>
      </c>
      <c r="F560" s="391" t="s">
        <v>542</v>
      </c>
      <c r="G560" s="391" t="s">
        <v>485</v>
      </c>
      <c r="H560" s="391" t="s">
        <v>5</v>
      </c>
      <c r="I560" s="391">
        <v>20</v>
      </c>
      <c r="J560" s="392" t="s">
        <v>647</v>
      </c>
      <c r="K560" s="393">
        <f>(18*36)+(2*27.4)</f>
        <v>702.8</v>
      </c>
      <c r="L560" s="58"/>
      <c r="M560" s="58"/>
      <c r="N560" s="229"/>
      <c r="O560" s="186" t="s">
        <v>1398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>
      <c r="A561" s="390" t="s">
        <v>1381</v>
      </c>
      <c r="B561" s="391" t="s">
        <v>9</v>
      </c>
      <c r="C561" s="391">
        <v>45</v>
      </c>
      <c r="D561" s="391" t="s">
        <v>10</v>
      </c>
      <c r="E561" s="391">
        <v>61</v>
      </c>
      <c r="F561" s="391" t="s">
        <v>325</v>
      </c>
      <c r="G561" s="391" t="s">
        <v>1145</v>
      </c>
      <c r="H561" s="391" t="s">
        <v>5</v>
      </c>
      <c r="I561" s="391">
        <v>10</v>
      </c>
      <c r="J561" s="392" t="s">
        <v>11</v>
      </c>
      <c r="K561" s="393">
        <f>(9*35)+(1*26.4)</f>
        <v>341.4</v>
      </c>
      <c r="L561" s="228"/>
      <c r="M561" s="58"/>
      <c r="N561" s="229"/>
      <c r="O561" s="186" t="s">
        <v>1402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>
      <c r="A562" s="390" t="s">
        <v>1381</v>
      </c>
      <c r="B562" s="391" t="s">
        <v>9</v>
      </c>
      <c r="C562" s="391">
        <v>45</v>
      </c>
      <c r="D562" s="391" t="s">
        <v>10</v>
      </c>
      <c r="E562" s="391">
        <v>62</v>
      </c>
      <c r="F562" s="391" t="s">
        <v>605</v>
      </c>
      <c r="G562" s="391" t="s">
        <v>1145</v>
      </c>
      <c r="H562" s="391" t="s">
        <v>5</v>
      </c>
      <c r="I562" s="391">
        <v>25</v>
      </c>
      <c r="J562" s="392" t="s">
        <v>103</v>
      </c>
      <c r="K562" s="393">
        <f>(24*35)+(1*26.4)</f>
        <v>866.4</v>
      </c>
      <c r="L562" s="228"/>
      <c r="M562" s="58"/>
      <c r="N562" s="229"/>
      <c r="O562" s="21"/>
      <c r="P562" s="21"/>
      <c r="Q562" s="187"/>
      <c r="R562" s="295" t="s">
        <v>1384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>
      <c r="A563" s="390" t="s">
        <v>1381</v>
      </c>
      <c r="B563" s="391" t="s">
        <v>9</v>
      </c>
      <c r="C563" s="391">
        <v>45</v>
      </c>
      <c r="D563" s="391" t="s">
        <v>10</v>
      </c>
      <c r="E563" s="391">
        <v>63</v>
      </c>
      <c r="F563" s="391" t="s">
        <v>165</v>
      </c>
      <c r="G563" s="391" t="s">
        <v>1145</v>
      </c>
      <c r="H563" s="391" t="s">
        <v>5</v>
      </c>
      <c r="I563" s="391">
        <v>25</v>
      </c>
      <c r="J563" s="392" t="s">
        <v>103</v>
      </c>
      <c r="K563" s="393">
        <f>(24*35)+(1*26.4)</f>
        <v>866.4</v>
      </c>
      <c r="L563" s="228"/>
      <c r="M563" s="58"/>
      <c r="N563" s="229"/>
      <c r="O563" s="186" t="s">
        <v>1398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>
      <c r="A564" s="390" t="s">
        <v>1381</v>
      </c>
      <c r="B564" s="391" t="s">
        <v>9</v>
      </c>
      <c r="C564" s="391">
        <v>45</v>
      </c>
      <c r="D564" s="391" t="s">
        <v>10</v>
      </c>
      <c r="E564" s="391">
        <v>65</v>
      </c>
      <c r="F564" s="391" t="s">
        <v>607</v>
      </c>
      <c r="G564" s="391" t="s">
        <v>1145</v>
      </c>
      <c r="H564" s="391" t="s">
        <v>5</v>
      </c>
      <c r="I564" s="391">
        <v>15</v>
      </c>
      <c r="J564" s="392" t="s">
        <v>13</v>
      </c>
      <c r="K564" s="393">
        <f>(14*35)+(1*26.4)</f>
        <v>516.4</v>
      </c>
      <c r="L564" s="228"/>
      <c r="M564" s="58"/>
      <c r="N564" s="229"/>
      <c r="O564" s="186" t="s">
        <v>1403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>
      <c r="A565" s="390" t="s">
        <v>1381</v>
      </c>
      <c r="B565" s="391" t="s">
        <v>9</v>
      </c>
      <c r="C565" s="391">
        <v>45</v>
      </c>
      <c r="D565" s="391" t="s">
        <v>10</v>
      </c>
      <c r="E565" s="391">
        <v>67</v>
      </c>
      <c r="F565" s="391" t="s">
        <v>570</v>
      </c>
      <c r="G565" s="391" t="s">
        <v>1145</v>
      </c>
      <c r="H565" s="391" t="s">
        <v>5</v>
      </c>
      <c r="I565" s="391">
        <v>30</v>
      </c>
      <c r="J565" s="392" t="s">
        <v>1146</v>
      </c>
      <c r="K565" s="393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1384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>
      <c r="A566" s="390" t="s">
        <v>1381</v>
      </c>
      <c r="B566" s="391" t="s">
        <v>9</v>
      </c>
      <c r="C566" s="391">
        <v>45</v>
      </c>
      <c r="D566" s="391" t="s">
        <v>10</v>
      </c>
      <c r="E566" s="391">
        <v>68</v>
      </c>
      <c r="F566" s="391" t="s">
        <v>639</v>
      </c>
      <c r="G566" s="391" t="s">
        <v>1145</v>
      </c>
      <c r="H566" s="391" t="s">
        <v>5</v>
      </c>
      <c r="I566" s="391">
        <v>25</v>
      </c>
      <c r="J566" s="392" t="s">
        <v>1147</v>
      </c>
      <c r="K566" s="393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1384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>
      <c r="A567" s="390" t="s">
        <v>1381</v>
      </c>
      <c r="B567" s="391" t="s">
        <v>9</v>
      </c>
      <c r="C567" s="391">
        <v>45</v>
      </c>
      <c r="D567" s="391" t="s">
        <v>10</v>
      </c>
      <c r="E567" s="391">
        <v>69</v>
      </c>
      <c r="F567" s="391" t="s">
        <v>725</v>
      </c>
      <c r="G567" s="391" t="s">
        <v>1145</v>
      </c>
      <c r="H567" s="391" t="s">
        <v>5</v>
      </c>
      <c r="I567" s="391">
        <v>15</v>
      </c>
      <c r="J567" s="392" t="s">
        <v>34</v>
      </c>
      <c r="K567" s="393">
        <f>(13*35)+(2*26.4)</f>
        <v>507.8</v>
      </c>
      <c r="L567" s="58"/>
      <c r="M567" s="58"/>
      <c r="N567" s="229"/>
      <c r="O567" s="186" t="s">
        <v>1398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>
      <c r="A568" s="390" t="s">
        <v>1381</v>
      </c>
      <c r="B568" s="391" t="s">
        <v>9</v>
      </c>
      <c r="C568" s="391">
        <v>45</v>
      </c>
      <c r="D568" s="391" t="s">
        <v>10</v>
      </c>
      <c r="E568" s="391">
        <v>70</v>
      </c>
      <c r="F568" s="391" t="s">
        <v>571</v>
      </c>
      <c r="G568" s="391" t="s">
        <v>1145</v>
      </c>
      <c r="H568" s="391" t="s">
        <v>5</v>
      </c>
      <c r="I568" s="391">
        <v>15</v>
      </c>
      <c r="J568" s="392" t="s">
        <v>137</v>
      </c>
      <c r="K568" s="393">
        <f>(15*35)</f>
        <v>525</v>
      </c>
      <c r="L568" s="228"/>
      <c r="M568" s="58"/>
      <c r="N568" s="229"/>
      <c r="O568" s="186" t="s">
        <v>1402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>
      <c r="A569" s="390" t="s">
        <v>1381</v>
      </c>
      <c r="B569" s="391" t="s">
        <v>9</v>
      </c>
      <c r="C569" s="391">
        <v>46</v>
      </c>
      <c r="D569" s="391" t="s">
        <v>16</v>
      </c>
      <c r="E569" s="391">
        <v>116</v>
      </c>
      <c r="F569" s="391" t="s">
        <v>717</v>
      </c>
      <c r="G569" s="391" t="s">
        <v>447</v>
      </c>
      <c r="H569" s="391" t="s">
        <v>15</v>
      </c>
      <c r="I569" s="391">
        <v>15</v>
      </c>
      <c r="J569" s="392" t="s">
        <v>14</v>
      </c>
      <c r="K569" s="393">
        <f>(14*38)+(1*29.4)</f>
        <v>561.4</v>
      </c>
      <c r="L569" s="228"/>
      <c r="M569" s="58"/>
      <c r="N569" s="229"/>
      <c r="O569" s="21"/>
      <c r="P569" s="21"/>
      <c r="Q569" s="187"/>
      <c r="R569" s="295" t="s">
        <v>1384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>
      <c r="A570" s="390" t="s">
        <v>1381</v>
      </c>
      <c r="B570" s="391" t="s">
        <v>9</v>
      </c>
      <c r="C570" s="391">
        <v>46</v>
      </c>
      <c r="D570" s="391" t="s">
        <v>16</v>
      </c>
      <c r="E570" s="391">
        <v>118</v>
      </c>
      <c r="F570" s="391" t="s">
        <v>532</v>
      </c>
      <c r="G570" s="391" t="s">
        <v>447</v>
      </c>
      <c r="H570" s="391" t="s">
        <v>15</v>
      </c>
      <c r="I570" s="391">
        <v>25</v>
      </c>
      <c r="J570" s="392" t="s">
        <v>143</v>
      </c>
      <c r="K570" s="393">
        <f>(25*38)</f>
        <v>950</v>
      </c>
      <c r="L570" s="228"/>
      <c r="M570" s="58"/>
      <c r="N570" s="229"/>
      <c r="O570" s="21"/>
      <c r="P570" s="21"/>
      <c r="Q570" s="187"/>
      <c r="R570" s="295" t="s">
        <v>1384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>
      <c r="A571" s="390" t="s">
        <v>1381</v>
      </c>
      <c r="B571" s="391" t="s">
        <v>9</v>
      </c>
      <c r="C571" s="391">
        <v>46</v>
      </c>
      <c r="D571" s="391" t="s">
        <v>16</v>
      </c>
      <c r="E571" s="391">
        <v>129</v>
      </c>
      <c r="F571" s="391" t="s">
        <v>28</v>
      </c>
      <c r="G571" s="391" t="s">
        <v>298</v>
      </c>
      <c r="H571" s="391" t="s">
        <v>15</v>
      </c>
      <c r="I571" s="391">
        <v>20</v>
      </c>
      <c r="J571" s="392" t="s">
        <v>30</v>
      </c>
      <c r="K571" s="393">
        <f>(19*38)+(1*29.4)</f>
        <v>751.4</v>
      </c>
      <c r="L571" s="58"/>
      <c r="M571" s="58"/>
      <c r="N571" s="229"/>
      <c r="O571" s="186" t="s">
        <v>1402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>
      <c r="A572" s="390" t="s">
        <v>1381</v>
      </c>
      <c r="B572" s="391" t="s">
        <v>9</v>
      </c>
      <c r="C572" s="391">
        <v>46</v>
      </c>
      <c r="D572" s="391" t="s">
        <v>16</v>
      </c>
      <c r="E572" s="391">
        <v>138</v>
      </c>
      <c r="F572" s="391" t="s">
        <v>448</v>
      </c>
      <c r="G572" s="391" t="s">
        <v>298</v>
      </c>
      <c r="H572" s="391" t="s">
        <v>15</v>
      </c>
      <c r="I572" s="391">
        <v>25</v>
      </c>
      <c r="J572" s="392" t="s">
        <v>143</v>
      </c>
      <c r="K572" s="393">
        <f>(25*38)</f>
        <v>950</v>
      </c>
      <c r="L572" s="228"/>
      <c r="M572" s="58"/>
      <c r="N572" s="229"/>
      <c r="O572" s="21"/>
      <c r="P572" s="21"/>
      <c r="Q572" s="187"/>
      <c r="R572" s="295" t="s">
        <v>1384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>
      <c r="A573" s="390" t="s">
        <v>1381</v>
      </c>
      <c r="B573" s="391" t="s">
        <v>9</v>
      </c>
      <c r="C573" s="391">
        <v>46</v>
      </c>
      <c r="D573" s="391" t="s">
        <v>7</v>
      </c>
      <c r="E573" s="391">
        <v>29</v>
      </c>
      <c r="F573" s="391" t="s">
        <v>92</v>
      </c>
      <c r="G573" s="391" t="s">
        <v>23</v>
      </c>
      <c r="H573" s="391" t="s">
        <v>15</v>
      </c>
      <c r="I573" s="391">
        <v>10</v>
      </c>
      <c r="J573" s="392" t="s">
        <v>26</v>
      </c>
      <c r="K573" s="393">
        <f>(9*38)+(1*29.4)</f>
        <v>371.4</v>
      </c>
      <c r="L573" s="228" t="s">
        <v>1393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>
      <c r="A574" s="390" t="s">
        <v>1381</v>
      </c>
      <c r="B574" s="391" t="s">
        <v>9</v>
      </c>
      <c r="C574" s="391">
        <v>46</v>
      </c>
      <c r="D574" s="391" t="s">
        <v>7</v>
      </c>
      <c r="E574" s="391">
        <v>30</v>
      </c>
      <c r="F574" s="391" t="s">
        <v>149</v>
      </c>
      <c r="G574" s="391" t="s">
        <v>23</v>
      </c>
      <c r="H574" s="391" t="s">
        <v>15</v>
      </c>
      <c r="I574" s="391">
        <v>10</v>
      </c>
      <c r="J574" s="392" t="s">
        <v>26</v>
      </c>
      <c r="K574" s="393">
        <f>(9*38)+(1*29.4)</f>
        <v>371.4</v>
      </c>
      <c r="L574" s="228" t="s">
        <v>1393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>
      <c r="A575" s="390" t="s">
        <v>1381</v>
      </c>
      <c r="B575" s="391" t="s">
        <v>9</v>
      </c>
      <c r="C575" s="391">
        <v>46</v>
      </c>
      <c r="D575" s="391" t="s">
        <v>7</v>
      </c>
      <c r="E575" s="391">
        <v>66</v>
      </c>
      <c r="F575" s="391" t="s">
        <v>397</v>
      </c>
      <c r="G575" s="391" t="s">
        <v>295</v>
      </c>
      <c r="H575" s="391" t="s">
        <v>5</v>
      </c>
      <c r="I575" s="391">
        <v>20</v>
      </c>
      <c r="J575" s="392" t="s">
        <v>30</v>
      </c>
      <c r="K575" s="393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1384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>
      <c r="A576" s="390" t="s">
        <v>1381</v>
      </c>
      <c r="B576" s="391" t="s">
        <v>9</v>
      </c>
      <c r="C576" s="391">
        <v>46</v>
      </c>
      <c r="D576" s="391" t="s">
        <v>7</v>
      </c>
      <c r="E576" s="391">
        <v>67</v>
      </c>
      <c r="F576" s="391" t="s">
        <v>630</v>
      </c>
      <c r="G576" s="391" t="s">
        <v>295</v>
      </c>
      <c r="H576" s="391" t="s">
        <v>5</v>
      </c>
      <c r="I576" s="391">
        <v>20</v>
      </c>
      <c r="J576" s="392" t="s">
        <v>40</v>
      </c>
      <c r="K576" s="393">
        <f>(18*38)+(2*29.4)</f>
        <v>742.8</v>
      </c>
      <c r="L576" s="58"/>
      <c r="M576" s="58"/>
      <c r="N576" s="229"/>
      <c r="O576" s="21"/>
      <c r="P576" s="21"/>
      <c r="Q576" s="187"/>
      <c r="R576" s="295" t="s">
        <v>1384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>
      <c r="A577" s="390" t="s">
        <v>1381</v>
      </c>
      <c r="B577" s="391" t="s">
        <v>9</v>
      </c>
      <c r="C577" s="391">
        <v>46</v>
      </c>
      <c r="D577" s="391" t="s">
        <v>7</v>
      </c>
      <c r="E577" s="391">
        <v>74</v>
      </c>
      <c r="F577" s="391" t="s">
        <v>90</v>
      </c>
      <c r="G577" s="391" t="s">
        <v>295</v>
      </c>
      <c r="H577" s="391" t="s">
        <v>182</v>
      </c>
      <c r="I577" s="391">
        <v>15</v>
      </c>
      <c r="J577" s="392" t="s">
        <v>527</v>
      </c>
      <c r="K577" s="393">
        <f>(14*38)+(1*32.2)</f>
        <v>564.20000000000005</v>
      </c>
      <c r="L577" s="228" t="s">
        <v>1393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thickBot="1">
      <c r="A578" s="390" t="s">
        <v>1381</v>
      </c>
      <c r="B578" s="394" t="s">
        <v>9</v>
      </c>
      <c r="C578" s="394">
        <v>46</v>
      </c>
      <c r="D578" s="394" t="s">
        <v>7</v>
      </c>
      <c r="E578" s="394">
        <v>83</v>
      </c>
      <c r="F578" s="394" t="s">
        <v>978</v>
      </c>
      <c r="G578" s="394" t="s">
        <v>599</v>
      </c>
      <c r="H578" s="394" t="s">
        <v>15</v>
      </c>
      <c r="I578" s="394">
        <v>10</v>
      </c>
      <c r="J578" s="395" t="s">
        <v>26</v>
      </c>
      <c r="K578" s="396">
        <f>(9*38)+(1*29.4)</f>
        <v>371.4</v>
      </c>
      <c r="L578" s="228" t="s">
        <v>1393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>
      <c r="A579" s="390" t="s">
        <v>1381</v>
      </c>
      <c r="B579" s="387" t="s">
        <v>9</v>
      </c>
      <c r="C579" s="387">
        <v>46</v>
      </c>
      <c r="D579" s="387" t="s">
        <v>7</v>
      </c>
      <c r="E579" s="387">
        <v>84</v>
      </c>
      <c r="F579" s="387" t="s">
        <v>157</v>
      </c>
      <c r="G579" s="387" t="s">
        <v>599</v>
      </c>
      <c r="H579" s="387" t="s">
        <v>15</v>
      </c>
      <c r="I579" s="387">
        <v>15</v>
      </c>
      <c r="J579" s="388" t="s">
        <v>93</v>
      </c>
      <c r="K579" s="389">
        <f>(15*38)</f>
        <v>570</v>
      </c>
      <c r="L579" s="58"/>
      <c r="M579" s="58"/>
      <c r="N579" s="229"/>
      <c r="O579" s="186" t="s">
        <v>1403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>
      <c r="A580" s="390" t="s">
        <v>1381</v>
      </c>
      <c r="B580" s="391" t="s">
        <v>9</v>
      </c>
      <c r="C580" s="391">
        <v>46</v>
      </c>
      <c r="D580" s="391" t="s">
        <v>7</v>
      </c>
      <c r="E580" s="391">
        <v>85</v>
      </c>
      <c r="F580" s="391" t="s">
        <v>270</v>
      </c>
      <c r="G580" s="391" t="s">
        <v>599</v>
      </c>
      <c r="H580" s="391" t="s">
        <v>15</v>
      </c>
      <c r="I580" s="391">
        <v>20</v>
      </c>
      <c r="J580" s="392" t="s">
        <v>136</v>
      </c>
      <c r="K580" s="393">
        <f>(20*38)</f>
        <v>760</v>
      </c>
      <c r="L580" s="228" t="s">
        <v>1393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>
      <c r="A581" s="390" t="s">
        <v>1381</v>
      </c>
      <c r="B581" s="391" t="s">
        <v>9</v>
      </c>
      <c r="C581" s="391">
        <v>46</v>
      </c>
      <c r="D581" s="391" t="s">
        <v>7</v>
      </c>
      <c r="E581" s="391">
        <v>91</v>
      </c>
      <c r="F581" s="391" t="s">
        <v>396</v>
      </c>
      <c r="G581" s="391" t="s">
        <v>599</v>
      </c>
      <c r="H581" s="391" t="s">
        <v>15</v>
      </c>
      <c r="I581" s="391">
        <v>15</v>
      </c>
      <c r="J581" s="392" t="s">
        <v>37</v>
      </c>
      <c r="K581" s="393">
        <f>(13*38)+(2*29.4)</f>
        <v>552.79999999999995</v>
      </c>
      <c r="L581" s="228" t="s">
        <v>1393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>
      <c r="A582" s="390" t="s">
        <v>1381</v>
      </c>
      <c r="B582" s="391" t="s">
        <v>9</v>
      </c>
      <c r="C582" s="391">
        <v>46</v>
      </c>
      <c r="D582" s="391" t="s">
        <v>7</v>
      </c>
      <c r="E582" s="391">
        <v>145</v>
      </c>
      <c r="F582" s="391" t="s">
        <v>1148</v>
      </c>
      <c r="G582" s="391" t="s">
        <v>294</v>
      </c>
      <c r="H582" s="391" t="s">
        <v>15</v>
      </c>
      <c r="I582" s="391">
        <v>15</v>
      </c>
      <c r="J582" s="392" t="s">
        <v>1140</v>
      </c>
      <c r="K582" s="393">
        <f>(12*38)+(3*29.4)</f>
        <v>544.20000000000005</v>
      </c>
      <c r="L582" s="228" t="s">
        <v>1393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>
      <c r="A583" s="390" t="s">
        <v>1381</v>
      </c>
      <c r="B583" s="391" t="s">
        <v>9</v>
      </c>
      <c r="C583" s="391">
        <v>46</v>
      </c>
      <c r="D583" s="391" t="s">
        <v>7</v>
      </c>
      <c r="E583" s="391">
        <v>146</v>
      </c>
      <c r="F583" s="391" t="s">
        <v>466</v>
      </c>
      <c r="G583" s="391" t="s">
        <v>294</v>
      </c>
      <c r="H583" s="391" t="s">
        <v>15</v>
      </c>
      <c r="I583" s="391">
        <v>15</v>
      </c>
      <c r="J583" s="392" t="s">
        <v>1140</v>
      </c>
      <c r="K583" s="393">
        <f>(12*38)+(3*29.4)</f>
        <v>544.20000000000005</v>
      </c>
      <c r="L583" s="58"/>
      <c r="M583" s="58"/>
      <c r="N583" s="229"/>
      <c r="O583" s="186" t="s">
        <v>1403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>
      <c r="A584" s="390" t="s">
        <v>1381</v>
      </c>
      <c r="B584" s="391" t="s">
        <v>9</v>
      </c>
      <c r="C584" s="391">
        <v>46</v>
      </c>
      <c r="D584" s="391" t="s">
        <v>7</v>
      </c>
      <c r="E584" s="391">
        <v>152</v>
      </c>
      <c r="F584" s="391" t="s">
        <v>1149</v>
      </c>
      <c r="G584" s="391" t="s">
        <v>292</v>
      </c>
      <c r="H584" s="391" t="s">
        <v>15</v>
      </c>
      <c r="I584" s="391">
        <v>20</v>
      </c>
      <c r="J584" s="392" t="s">
        <v>30</v>
      </c>
      <c r="K584" s="393">
        <f>(19*38)+(1*29.4)</f>
        <v>751.4</v>
      </c>
      <c r="L584" s="228" t="s">
        <v>1393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>
      <c r="A585" s="390" t="s">
        <v>1381</v>
      </c>
      <c r="B585" s="391" t="s">
        <v>9</v>
      </c>
      <c r="C585" s="391">
        <v>46</v>
      </c>
      <c r="D585" s="391" t="s">
        <v>7</v>
      </c>
      <c r="E585" s="391">
        <v>153</v>
      </c>
      <c r="F585" s="391" t="s">
        <v>1150</v>
      </c>
      <c r="G585" s="391" t="s">
        <v>292</v>
      </c>
      <c r="H585" s="391" t="s">
        <v>15</v>
      </c>
      <c r="I585" s="391">
        <v>20</v>
      </c>
      <c r="J585" s="392" t="s">
        <v>30</v>
      </c>
      <c r="K585" s="393">
        <f>(19*38)+(1*29.4)</f>
        <v>751.4</v>
      </c>
      <c r="L585" s="228" t="s">
        <v>1393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>
      <c r="A586" s="390" t="s">
        <v>1381</v>
      </c>
      <c r="B586" s="391" t="s">
        <v>9</v>
      </c>
      <c r="C586" s="391">
        <v>46</v>
      </c>
      <c r="D586" s="391" t="s">
        <v>7</v>
      </c>
      <c r="E586" s="391">
        <v>154</v>
      </c>
      <c r="F586" s="391" t="s">
        <v>1151</v>
      </c>
      <c r="G586" s="391" t="s">
        <v>292</v>
      </c>
      <c r="H586" s="391" t="s">
        <v>15</v>
      </c>
      <c r="I586" s="391">
        <v>20</v>
      </c>
      <c r="J586" s="392" t="s">
        <v>30</v>
      </c>
      <c r="K586" s="393">
        <f>(19*38)+(1*29.4)</f>
        <v>751.4</v>
      </c>
      <c r="L586" s="228"/>
      <c r="M586" s="58"/>
      <c r="N586" s="229"/>
      <c r="O586" s="186" t="s">
        <v>1403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>
      <c r="A587" s="390" t="s">
        <v>1381</v>
      </c>
      <c r="B587" s="391" t="s">
        <v>9</v>
      </c>
      <c r="C587" s="391">
        <v>46</v>
      </c>
      <c r="D587" s="391" t="s">
        <v>7</v>
      </c>
      <c r="E587" s="391">
        <v>608</v>
      </c>
      <c r="F587" s="391" t="s">
        <v>1152</v>
      </c>
      <c r="G587" s="391" t="s">
        <v>299</v>
      </c>
      <c r="H587" s="391" t="s">
        <v>15</v>
      </c>
      <c r="I587" s="391">
        <v>30</v>
      </c>
      <c r="J587" s="392" t="s">
        <v>12</v>
      </c>
      <c r="K587" s="393">
        <f>(29*35)+(1*26.4)</f>
        <v>1041.4000000000001</v>
      </c>
      <c r="L587" s="58"/>
      <c r="M587" s="58"/>
      <c r="N587" s="229"/>
      <c r="O587" s="186" t="s">
        <v>1403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>
      <c r="A588" s="390" t="s">
        <v>1381</v>
      </c>
      <c r="B588" s="391" t="s">
        <v>9</v>
      </c>
      <c r="C588" s="391">
        <v>46</v>
      </c>
      <c r="D588" s="391" t="s">
        <v>7</v>
      </c>
      <c r="E588" s="391">
        <v>609</v>
      </c>
      <c r="F588" s="391" t="s">
        <v>1153</v>
      </c>
      <c r="G588" s="391" t="s">
        <v>299</v>
      </c>
      <c r="H588" s="391" t="s">
        <v>15</v>
      </c>
      <c r="I588" s="391">
        <v>20</v>
      </c>
      <c r="J588" s="392" t="s">
        <v>125</v>
      </c>
      <c r="K588" s="393">
        <f>(20*35)</f>
        <v>700</v>
      </c>
      <c r="L588" s="58"/>
      <c r="M588" s="58"/>
      <c r="N588" s="229"/>
      <c r="O588" s="186" t="s">
        <v>1403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>
      <c r="A589" s="390" t="s">
        <v>1381</v>
      </c>
      <c r="B589" s="391" t="s">
        <v>9</v>
      </c>
      <c r="C589" s="391">
        <v>46</v>
      </c>
      <c r="D589" s="391" t="s">
        <v>7</v>
      </c>
      <c r="E589" s="391">
        <v>691</v>
      </c>
      <c r="F589" s="391" t="s">
        <v>408</v>
      </c>
      <c r="G589" s="391" t="s">
        <v>1156</v>
      </c>
      <c r="H589" s="391" t="s">
        <v>5</v>
      </c>
      <c r="I589" s="391">
        <v>20</v>
      </c>
      <c r="J589" s="392" t="s">
        <v>30</v>
      </c>
      <c r="K589" s="393">
        <f>(19*38)+(1*29.4)</f>
        <v>751.4</v>
      </c>
      <c r="L589" s="228" t="s">
        <v>1393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>
      <c r="A590" s="390" t="s">
        <v>1381</v>
      </c>
      <c r="B590" s="391" t="s">
        <v>9</v>
      </c>
      <c r="C590" s="391">
        <v>46</v>
      </c>
      <c r="D590" s="391" t="s">
        <v>7</v>
      </c>
      <c r="E590" s="391">
        <v>692</v>
      </c>
      <c r="F590" s="391" t="s">
        <v>375</v>
      </c>
      <c r="G590" s="391" t="s">
        <v>1156</v>
      </c>
      <c r="H590" s="391" t="s">
        <v>5</v>
      </c>
      <c r="I590" s="391">
        <v>20</v>
      </c>
      <c r="J590" s="392" t="s">
        <v>30</v>
      </c>
      <c r="K590" s="393">
        <f>(19*38)+(1*29.4)</f>
        <v>751.4</v>
      </c>
      <c r="L590" s="228" t="s">
        <v>1393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>
      <c r="A591" s="390" t="s">
        <v>1381</v>
      </c>
      <c r="B591" s="391" t="s">
        <v>9</v>
      </c>
      <c r="C591" s="391">
        <v>46</v>
      </c>
      <c r="D591" s="391" t="s">
        <v>7</v>
      </c>
      <c r="E591" s="391">
        <v>693</v>
      </c>
      <c r="F591" s="391" t="s">
        <v>392</v>
      </c>
      <c r="G591" s="391" t="s">
        <v>1156</v>
      </c>
      <c r="H591" s="391" t="s">
        <v>15</v>
      </c>
      <c r="I591" s="391">
        <v>15</v>
      </c>
      <c r="J591" s="392" t="s">
        <v>14</v>
      </c>
      <c r="K591" s="393">
        <f>(14*38)+(1*29.4)</f>
        <v>561.4</v>
      </c>
      <c r="L591" s="228" t="s">
        <v>1393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>
      <c r="A592" s="390" t="s">
        <v>1381</v>
      </c>
      <c r="B592" s="391" t="s">
        <v>9</v>
      </c>
      <c r="C592" s="391">
        <v>46</v>
      </c>
      <c r="D592" s="391" t="s">
        <v>7</v>
      </c>
      <c r="E592" s="391">
        <v>694</v>
      </c>
      <c r="F592" s="391" t="s">
        <v>375</v>
      </c>
      <c r="G592" s="391" t="s">
        <v>1156</v>
      </c>
      <c r="H592" s="391" t="s">
        <v>15</v>
      </c>
      <c r="I592" s="391">
        <v>10</v>
      </c>
      <c r="J592" s="392" t="s">
        <v>26</v>
      </c>
      <c r="K592" s="393">
        <f>(9*38)+(1*29.4)</f>
        <v>371.4</v>
      </c>
      <c r="L592" s="228" t="s">
        <v>1393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>
      <c r="A593" s="390" t="s">
        <v>1381</v>
      </c>
      <c r="B593" s="391" t="s">
        <v>9</v>
      </c>
      <c r="C593" s="391">
        <v>46</v>
      </c>
      <c r="D593" s="391" t="s">
        <v>7</v>
      </c>
      <c r="E593" s="391">
        <v>710</v>
      </c>
      <c r="F593" s="391" t="s">
        <v>1154</v>
      </c>
      <c r="G593" s="391" t="s">
        <v>1157</v>
      </c>
      <c r="H593" s="391" t="s">
        <v>15</v>
      </c>
      <c r="I593" s="391">
        <v>15</v>
      </c>
      <c r="J593" s="392" t="s">
        <v>137</v>
      </c>
      <c r="K593" s="393">
        <f>(15*35)</f>
        <v>525</v>
      </c>
      <c r="L593" s="228" t="s">
        <v>1393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>
      <c r="A594" s="390" t="s">
        <v>1381</v>
      </c>
      <c r="B594" s="391" t="s">
        <v>9</v>
      </c>
      <c r="C594" s="391">
        <v>46</v>
      </c>
      <c r="D594" s="391" t="s">
        <v>7</v>
      </c>
      <c r="E594" s="391">
        <v>712</v>
      </c>
      <c r="F594" s="391" t="s">
        <v>91</v>
      </c>
      <c r="G594" s="391" t="s">
        <v>1157</v>
      </c>
      <c r="H594" s="391" t="s">
        <v>15</v>
      </c>
      <c r="I594" s="391">
        <v>15</v>
      </c>
      <c r="J594" s="392" t="s">
        <v>137</v>
      </c>
      <c r="K594" s="393">
        <f>(15*35)</f>
        <v>525</v>
      </c>
      <c r="L594" s="228" t="s">
        <v>1393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>
      <c r="A595" s="390" t="s">
        <v>1381</v>
      </c>
      <c r="B595" s="391" t="s">
        <v>9</v>
      </c>
      <c r="C595" s="391">
        <v>46</v>
      </c>
      <c r="D595" s="391" t="s">
        <v>7</v>
      </c>
      <c r="E595" s="391">
        <v>919</v>
      </c>
      <c r="F595" s="391" t="s">
        <v>390</v>
      </c>
      <c r="G595" s="391" t="s">
        <v>188</v>
      </c>
      <c r="H595" s="391" t="s">
        <v>15</v>
      </c>
      <c r="I595" s="391">
        <v>20</v>
      </c>
      <c r="J595" s="392" t="s">
        <v>17</v>
      </c>
      <c r="K595" s="393">
        <f>(19*35)+(1*26.4)</f>
        <v>691.4</v>
      </c>
      <c r="L595" s="228" t="s">
        <v>1393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>
      <c r="A596" s="390" t="s">
        <v>1381</v>
      </c>
      <c r="B596" s="391" t="s">
        <v>9</v>
      </c>
      <c r="C596" s="391">
        <v>46</v>
      </c>
      <c r="D596" s="391" t="s">
        <v>7</v>
      </c>
      <c r="E596" s="391">
        <v>921</v>
      </c>
      <c r="F596" s="391" t="s">
        <v>641</v>
      </c>
      <c r="G596" s="391" t="s">
        <v>188</v>
      </c>
      <c r="H596" s="391" t="s">
        <v>15</v>
      </c>
      <c r="I596" s="391">
        <v>15</v>
      </c>
      <c r="J596" s="392" t="s">
        <v>13</v>
      </c>
      <c r="K596" s="393">
        <f>(14*35)+(1*26.4)</f>
        <v>516.4</v>
      </c>
      <c r="L596" s="228" t="s">
        <v>1393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>
      <c r="A597" s="390" t="s">
        <v>1381</v>
      </c>
      <c r="B597" s="391" t="s">
        <v>9</v>
      </c>
      <c r="C597" s="391">
        <v>46</v>
      </c>
      <c r="D597" s="391" t="s">
        <v>10</v>
      </c>
      <c r="E597" s="391">
        <v>7</v>
      </c>
      <c r="F597" s="391" t="s">
        <v>1155</v>
      </c>
      <c r="G597" s="391" t="s">
        <v>1158</v>
      </c>
      <c r="H597" s="391" t="s">
        <v>15</v>
      </c>
      <c r="I597" s="391">
        <v>15</v>
      </c>
      <c r="J597" s="392" t="s">
        <v>14</v>
      </c>
      <c r="K597" s="393">
        <f>(14*38)+(1*29.4)</f>
        <v>561.4</v>
      </c>
      <c r="L597" s="228" t="s">
        <v>1393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>
      <c r="A598" s="390" t="s">
        <v>1381</v>
      </c>
      <c r="B598" s="391" t="s">
        <v>9</v>
      </c>
      <c r="C598" s="391">
        <v>46</v>
      </c>
      <c r="D598" s="391" t="s">
        <v>10</v>
      </c>
      <c r="E598" s="391">
        <v>46</v>
      </c>
      <c r="F598" s="391" t="s">
        <v>378</v>
      </c>
      <c r="G598" s="391" t="s">
        <v>1159</v>
      </c>
      <c r="H598" s="391" t="s">
        <v>5</v>
      </c>
      <c r="I598" s="391">
        <v>25</v>
      </c>
      <c r="J598" s="392" t="s">
        <v>103</v>
      </c>
      <c r="K598" s="393">
        <f>(24*35)+(1*26.4)</f>
        <v>866.4</v>
      </c>
      <c r="L598" s="228" t="s">
        <v>1393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>
      <c r="A599" s="390" t="s">
        <v>1381</v>
      </c>
      <c r="B599" s="391" t="s">
        <v>9</v>
      </c>
      <c r="C599" s="391">
        <v>46</v>
      </c>
      <c r="D599" s="391" t="s">
        <v>10</v>
      </c>
      <c r="E599" s="391">
        <v>69</v>
      </c>
      <c r="F599" s="391" t="s">
        <v>397</v>
      </c>
      <c r="G599" s="391" t="s">
        <v>1159</v>
      </c>
      <c r="H599" s="391" t="s">
        <v>182</v>
      </c>
      <c r="I599" s="391">
        <v>15</v>
      </c>
      <c r="J599" s="392" t="s">
        <v>13</v>
      </c>
      <c r="K599" s="393">
        <f>(14*35)+(1*26.4)</f>
        <v>516.4</v>
      </c>
      <c r="L599" s="228" t="s">
        <v>1393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>
      <c r="A600" s="390" t="s">
        <v>1381</v>
      </c>
      <c r="B600" s="391" t="s">
        <v>9</v>
      </c>
      <c r="C600" s="391">
        <v>46</v>
      </c>
      <c r="D600" s="391" t="s">
        <v>16</v>
      </c>
      <c r="E600" s="391">
        <v>6</v>
      </c>
      <c r="F600" s="391" t="s">
        <v>1160</v>
      </c>
      <c r="G600" s="391" t="s">
        <v>20</v>
      </c>
      <c r="H600" s="391" t="s">
        <v>5</v>
      </c>
      <c r="I600" s="391">
        <v>15</v>
      </c>
      <c r="J600" s="392" t="s">
        <v>21</v>
      </c>
      <c r="K600" s="393">
        <f>(14*37)+(1*28.4)</f>
        <v>546.4</v>
      </c>
      <c r="L600" s="228"/>
      <c r="M600" s="58"/>
      <c r="N600" s="229"/>
      <c r="O600" s="186" t="s">
        <v>1402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>
      <c r="A601" s="390" t="s">
        <v>1381</v>
      </c>
      <c r="B601" s="391" t="s">
        <v>9</v>
      </c>
      <c r="C601" s="391">
        <v>46</v>
      </c>
      <c r="D601" s="391" t="s">
        <v>16</v>
      </c>
      <c r="E601" s="391">
        <v>9</v>
      </c>
      <c r="F601" s="391" t="s">
        <v>1161</v>
      </c>
      <c r="G601" s="391" t="s">
        <v>20</v>
      </c>
      <c r="H601" s="391" t="s">
        <v>5</v>
      </c>
      <c r="I601" s="391">
        <v>25</v>
      </c>
      <c r="J601" s="392" t="s">
        <v>699</v>
      </c>
      <c r="K601" s="393">
        <f>(24*37)+(1*28.4)</f>
        <v>916.4</v>
      </c>
      <c r="L601" s="58"/>
      <c r="M601" s="58"/>
      <c r="N601" s="229"/>
      <c r="O601" s="186"/>
      <c r="P601" s="21"/>
      <c r="Q601" s="187"/>
      <c r="R601" s="295" t="s">
        <v>1384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>
      <c r="A602" s="390" t="s">
        <v>1381</v>
      </c>
      <c r="B602" s="391" t="s">
        <v>9</v>
      </c>
      <c r="C602" s="391">
        <v>46</v>
      </c>
      <c r="D602" s="391" t="s">
        <v>16</v>
      </c>
      <c r="E602" s="391">
        <v>30</v>
      </c>
      <c r="F602" s="391" t="s">
        <v>347</v>
      </c>
      <c r="G602" s="391" t="s">
        <v>620</v>
      </c>
      <c r="H602" s="391" t="s">
        <v>5</v>
      </c>
      <c r="I602" s="391">
        <v>15</v>
      </c>
      <c r="J602" s="392" t="s">
        <v>37</v>
      </c>
      <c r="K602" s="393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1384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>
      <c r="A603" s="390" t="s">
        <v>1381</v>
      </c>
      <c r="B603" s="391" t="s">
        <v>9</v>
      </c>
      <c r="C603" s="391">
        <v>46</v>
      </c>
      <c r="D603" s="391" t="s">
        <v>16</v>
      </c>
      <c r="E603" s="391">
        <v>33</v>
      </c>
      <c r="F603" s="391" t="s">
        <v>1162</v>
      </c>
      <c r="G603" s="391" t="s">
        <v>620</v>
      </c>
      <c r="H603" s="391" t="s">
        <v>15</v>
      </c>
      <c r="I603" s="391">
        <v>20</v>
      </c>
      <c r="J603" s="392" t="s">
        <v>30</v>
      </c>
      <c r="K603" s="393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1384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>
      <c r="A604" s="390" t="s">
        <v>1381</v>
      </c>
      <c r="B604" s="391" t="s">
        <v>9</v>
      </c>
      <c r="C604" s="391">
        <v>46</v>
      </c>
      <c r="D604" s="391" t="s">
        <v>16</v>
      </c>
      <c r="E604" s="391">
        <v>34</v>
      </c>
      <c r="F604" s="391" t="s">
        <v>1092</v>
      </c>
      <c r="G604" s="391" t="s">
        <v>620</v>
      </c>
      <c r="H604" s="391" t="s">
        <v>15</v>
      </c>
      <c r="I604" s="391">
        <v>20</v>
      </c>
      <c r="J604" s="392" t="s">
        <v>30</v>
      </c>
      <c r="K604" s="393">
        <f>(19*38)+(1*29.4)</f>
        <v>751.4</v>
      </c>
      <c r="L604" s="58"/>
      <c r="M604" s="58"/>
      <c r="N604" s="229"/>
      <c r="O604" s="186" t="s">
        <v>1402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>
      <c r="A605" s="390" t="s">
        <v>1381</v>
      </c>
      <c r="B605" s="391" t="s">
        <v>9</v>
      </c>
      <c r="C605" s="391">
        <v>46</v>
      </c>
      <c r="D605" s="391" t="s">
        <v>16</v>
      </c>
      <c r="E605" s="391">
        <v>71</v>
      </c>
      <c r="F605" s="391" t="s">
        <v>1163</v>
      </c>
      <c r="G605" s="391" t="s">
        <v>301</v>
      </c>
      <c r="H605" s="391" t="s">
        <v>15</v>
      </c>
      <c r="I605" s="391">
        <v>30</v>
      </c>
      <c r="J605" s="392" t="s">
        <v>24</v>
      </c>
      <c r="K605" s="393">
        <f>(29*38)+(1*29.4)</f>
        <v>1131.4000000000001</v>
      </c>
      <c r="L605" s="228" t="s">
        <v>1393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>
      <c r="A606" s="390" t="s">
        <v>1381</v>
      </c>
      <c r="B606" s="391" t="s">
        <v>9</v>
      </c>
      <c r="C606" s="391">
        <v>46</v>
      </c>
      <c r="D606" s="391" t="s">
        <v>16</v>
      </c>
      <c r="E606" s="391">
        <v>72</v>
      </c>
      <c r="F606" s="391" t="s">
        <v>168</v>
      </c>
      <c r="G606" s="391" t="s">
        <v>301</v>
      </c>
      <c r="H606" s="391" t="s">
        <v>15</v>
      </c>
      <c r="I606" s="391">
        <v>23</v>
      </c>
      <c r="J606" s="392" t="s">
        <v>1172</v>
      </c>
      <c r="K606" s="393">
        <f>(23*38)</f>
        <v>874</v>
      </c>
      <c r="L606" s="228" t="s">
        <v>1393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>
      <c r="A607" s="390" t="s">
        <v>1381</v>
      </c>
      <c r="B607" s="391" t="s">
        <v>9</v>
      </c>
      <c r="C607" s="391">
        <v>46</v>
      </c>
      <c r="D607" s="391" t="s">
        <v>16</v>
      </c>
      <c r="E607" s="391">
        <v>82</v>
      </c>
      <c r="F607" s="391" t="s">
        <v>1164</v>
      </c>
      <c r="G607" s="391" t="s">
        <v>113</v>
      </c>
      <c r="H607" s="391" t="s">
        <v>15</v>
      </c>
      <c r="I607" s="391">
        <v>20</v>
      </c>
      <c r="J607" s="392" t="s">
        <v>17</v>
      </c>
      <c r="K607" s="393">
        <f>(19*35)+(1*26.4)</f>
        <v>691.4</v>
      </c>
      <c r="L607" s="228" t="s">
        <v>1393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>
      <c r="A608" s="390" t="s">
        <v>1381</v>
      </c>
      <c r="B608" s="391" t="s">
        <v>9</v>
      </c>
      <c r="C608" s="391">
        <v>46</v>
      </c>
      <c r="D608" s="391" t="s">
        <v>16</v>
      </c>
      <c r="E608" s="391">
        <v>84</v>
      </c>
      <c r="F608" s="391" t="s">
        <v>712</v>
      </c>
      <c r="G608" s="391" t="s">
        <v>113</v>
      </c>
      <c r="H608" s="391" t="s">
        <v>15</v>
      </c>
      <c r="I608" s="391">
        <v>15</v>
      </c>
      <c r="J608" s="392" t="s">
        <v>137</v>
      </c>
      <c r="K608" s="393">
        <f>(15*35)</f>
        <v>525</v>
      </c>
      <c r="L608" s="228" t="s">
        <v>1393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>
      <c r="A609" s="390" t="s">
        <v>1381</v>
      </c>
      <c r="B609" s="391" t="s">
        <v>9</v>
      </c>
      <c r="C609" s="391">
        <v>46</v>
      </c>
      <c r="D609" s="391" t="s">
        <v>16</v>
      </c>
      <c r="E609" s="391">
        <v>92</v>
      </c>
      <c r="F609" s="391" t="s">
        <v>474</v>
      </c>
      <c r="G609" s="391" t="s">
        <v>82</v>
      </c>
      <c r="H609" s="391" t="s">
        <v>5</v>
      </c>
      <c r="I609" s="391">
        <v>20</v>
      </c>
      <c r="J609" s="392" t="s">
        <v>30</v>
      </c>
      <c r="K609" s="393">
        <f>(19*38)+(1*29.4)</f>
        <v>751.4</v>
      </c>
      <c r="L609" s="228"/>
      <c r="M609" s="58"/>
      <c r="N609" s="229"/>
      <c r="O609" s="21"/>
      <c r="P609" s="21"/>
      <c r="Q609" s="187"/>
      <c r="R609" s="295" t="s">
        <v>1384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>
      <c r="A610" s="390" t="s">
        <v>1381</v>
      </c>
      <c r="B610" s="391" t="s">
        <v>9</v>
      </c>
      <c r="C610" s="391">
        <v>46</v>
      </c>
      <c r="D610" s="391" t="s">
        <v>16</v>
      </c>
      <c r="E610" s="391">
        <v>93</v>
      </c>
      <c r="F610" s="391" t="s">
        <v>1165</v>
      </c>
      <c r="G610" s="391" t="s">
        <v>82</v>
      </c>
      <c r="H610" s="391" t="s">
        <v>5</v>
      </c>
      <c r="I610" s="391">
        <v>20</v>
      </c>
      <c r="J610" s="392" t="s">
        <v>30</v>
      </c>
      <c r="K610" s="393">
        <f>(19*38)+(1*29.4)</f>
        <v>751.4</v>
      </c>
      <c r="L610" s="58"/>
      <c r="M610" s="58"/>
      <c r="N610" s="229"/>
      <c r="O610" s="186" t="s">
        <v>1402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>
      <c r="A611" s="390" t="s">
        <v>1381</v>
      </c>
      <c r="B611" s="391" t="s">
        <v>9</v>
      </c>
      <c r="C611" s="391">
        <v>46</v>
      </c>
      <c r="D611" s="391" t="s">
        <v>16</v>
      </c>
      <c r="E611" s="391">
        <v>94</v>
      </c>
      <c r="F611" s="391" t="s">
        <v>457</v>
      </c>
      <c r="G611" s="391" t="s">
        <v>82</v>
      </c>
      <c r="H611" s="391" t="s">
        <v>5</v>
      </c>
      <c r="I611" s="391">
        <v>20</v>
      </c>
      <c r="J611" s="392" t="s">
        <v>40</v>
      </c>
      <c r="K611" s="393">
        <f>(18*38)+(2*29.4)</f>
        <v>742.8</v>
      </c>
      <c r="L611" s="58"/>
      <c r="M611" s="58"/>
      <c r="N611" s="229"/>
      <c r="O611" s="186" t="s">
        <v>1403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>
      <c r="A612" s="390" t="s">
        <v>1381</v>
      </c>
      <c r="B612" s="391" t="s">
        <v>9</v>
      </c>
      <c r="C612" s="391">
        <v>46</v>
      </c>
      <c r="D612" s="391" t="s">
        <v>16</v>
      </c>
      <c r="E612" s="391">
        <v>99</v>
      </c>
      <c r="F612" s="391" t="s">
        <v>1148</v>
      </c>
      <c r="G612" s="391" t="s">
        <v>82</v>
      </c>
      <c r="H612" s="391" t="s">
        <v>15</v>
      </c>
      <c r="I612" s="391">
        <v>20</v>
      </c>
      <c r="J612" s="392" t="s">
        <v>30</v>
      </c>
      <c r="K612" s="393">
        <f>(19*38)+(1*29.4)</f>
        <v>751.4</v>
      </c>
      <c r="L612" s="58"/>
      <c r="M612" s="58"/>
      <c r="N612" s="229"/>
      <c r="O612" s="186"/>
      <c r="P612" s="21"/>
      <c r="Q612" s="187"/>
      <c r="R612" s="295" t="s">
        <v>1384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>
      <c r="A613" s="390" t="s">
        <v>1381</v>
      </c>
      <c r="B613" s="391" t="s">
        <v>9</v>
      </c>
      <c r="C613" s="391">
        <v>46</v>
      </c>
      <c r="D613" s="391" t="s">
        <v>16</v>
      </c>
      <c r="E613" s="391">
        <v>100</v>
      </c>
      <c r="F613" s="391" t="s">
        <v>261</v>
      </c>
      <c r="G613" s="391" t="s">
        <v>82</v>
      </c>
      <c r="H613" s="391" t="s">
        <v>15</v>
      </c>
      <c r="I613" s="391">
        <v>20</v>
      </c>
      <c r="J613" s="392" t="s">
        <v>40</v>
      </c>
      <c r="K613" s="393">
        <f>(18*38)+(2*29.4)</f>
        <v>742.8</v>
      </c>
      <c r="L613" s="228"/>
      <c r="M613" s="58"/>
      <c r="N613" s="229"/>
      <c r="O613" s="186" t="s">
        <v>1403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>
      <c r="A614" s="390" t="s">
        <v>1381</v>
      </c>
      <c r="B614" s="391" t="s">
        <v>9</v>
      </c>
      <c r="C614" s="391">
        <v>46</v>
      </c>
      <c r="D614" s="391" t="s">
        <v>16</v>
      </c>
      <c r="E614" s="391">
        <v>110</v>
      </c>
      <c r="F614" s="391" t="s">
        <v>362</v>
      </c>
      <c r="G614" s="391" t="s">
        <v>447</v>
      </c>
      <c r="H614" s="391" t="s">
        <v>5</v>
      </c>
      <c r="I614" s="391">
        <v>15</v>
      </c>
      <c r="J614" s="392" t="s">
        <v>14</v>
      </c>
      <c r="K614" s="393">
        <f>(14*38)+(1*29.4)</f>
        <v>561.4</v>
      </c>
      <c r="L614" s="228"/>
      <c r="M614" s="58"/>
      <c r="N614" s="229"/>
      <c r="O614" s="186" t="s">
        <v>1403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>
      <c r="A615" s="390" t="s">
        <v>1381</v>
      </c>
      <c r="B615" s="391" t="s">
        <v>9</v>
      </c>
      <c r="C615" s="391">
        <v>46</v>
      </c>
      <c r="D615" s="391" t="s">
        <v>16</v>
      </c>
      <c r="E615" s="391">
        <v>157</v>
      </c>
      <c r="F615" s="391" t="s">
        <v>110</v>
      </c>
      <c r="G615" s="391" t="s">
        <v>683</v>
      </c>
      <c r="H615" s="391" t="s">
        <v>15</v>
      </c>
      <c r="I615" s="391">
        <v>10</v>
      </c>
      <c r="J615" s="392" t="s">
        <v>26</v>
      </c>
      <c r="K615" s="393">
        <f>(9*38)+(1*29.4)</f>
        <v>371.4</v>
      </c>
      <c r="L615" s="228"/>
      <c r="M615" s="58"/>
      <c r="N615" s="229"/>
      <c r="O615" s="186" t="s">
        <v>1403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>
      <c r="A616" s="390" t="s">
        <v>1381</v>
      </c>
      <c r="B616" s="391" t="s">
        <v>9</v>
      </c>
      <c r="C616" s="391">
        <v>46</v>
      </c>
      <c r="D616" s="391" t="s">
        <v>16</v>
      </c>
      <c r="E616" s="391">
        <v>158</v>
      </c>
      <c r="F616" s="391" t="s">
        <v>633</v>
      </c>
      <c r="G616" s="391" t="s">
        <v>683</v>
      </c>
      <c r="H616" s="391" t="s">
        <v>15</v>
      </c>
      <c r="I616" s="391">
        <v>25</v>
      </c>
      <c r="J616" s="392" t="s">
        <v>143</v>
      </c>
      <c r="K616" s="393">
        <f>(25*38)</f>
        <v>950</v>
      </c>
      <c r="L616" s="228" t="s">
        <v>1393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thickBot="1">
      <c r="A617" s="390" t="s">
        <v>1381</v>
      </c>
      <c r="B617" s="394" t="s">
        <v>9</v>
      </c>
      <c r="C617" s="394">
        <v>46</v>
      </c>
      <c r="D617" s="394" t="s">
        <v>16</v>
      </c>
      <c r="E617" s="394">
        <v>159</v>
      </c>
      <c r="F617" s="394" t="s">
        <v>876</v>
      </c>
      <c r="G617" s="394" t="s">
        <v>683</v>
      </c>
      <c r="H617" s="394" t="s">
        <v>15</v>
      </c>
      <c r="I617" s="394">
        <v>15</v>
      </c>
      <c r="J617" s="395" t="s">
        <v>14</v>
      </c>
      <c r="K617" s="396">
        <f>(14*38)+(1*29.4)</f>
        <v>561.4</v>
      </c>
      <c r="L617" s="228" t="s">
        <v>1393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>
      <c r="A618" s="390" t="s">
        <v>1381</v>
      </c>
      <c r="B618" s="387" t="s">
        <v>9</v>
      </c>
      <c r="C618" s="387">
        <v>46</v>
      </c>
      <c r="D618" s="387" t="s">
        <v>16</v>
      </c>
      <c r="E618" s="387">
        <v>160</v>
      </c>
      <c r="F618" s="387" t="s">
        <v>848</v>
      </c>
      <c r="G618" s="387" t="s">
        <v>683</v>
      </c>
      <c r="H618" s="387" t="s">
        <v>15</v>
      </c>
      <c r="I618" s="387">
        <v>15</v>
      </c>
      <c r="J618" s="388" t="s">
        <v>93</v>
      </c>
      <c r="K618" s="389">
        <f>(15*38)</f>
        <v>570</v>
      </c>
      <c r="L618" s="228"/>
      <c r="M618" s="58"/>
      <c r="N618" s="229"/>
      <c r="O618" s="186" t="s">
        <v>1403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>
      <c r="A619" s="390" t="s">
        <v>1381</v>
      </c>
      <c r="B619" s="391" t="s">
        <v>9</v>
      </c>
      <c r="C619" s="391">
        <v>46</v>
      </c>
      <c r="D619" s="391" t="s">
        <v>16</v>
      </c>
      <c r="E619" s="391">
        <v>161</v>
      </c>
      <c r="F619" s="391" t="s">
        <v>709</v>
      </c>
      <c r="G619" s="391" t="s">
        <v>683</v>
      </c>
      <c r="H619" s="391" t="s">
        <v>15</v>
      </c>
      <c r="I619" s="391">
        <v>10</v>
      </c>
      <c r="J619" s="392" t="s">
        <v>26</v>
      </c>
      <c r="K619" s="393">
        <f>(9*38)+(1*29.4)</f>
        <v>371.4</v>
      </c>
      <c r="L619" s="228" t="s">
        <v>1393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>
      <c r="A620" s="390" t="s">
        <v>1381</v>
      </c>
      <c r="B620" s="391" t="s">
        <v>9</v>
      </c>
      <c r="C620" s="391">
        <v>46</v>
      </c>
      <c r="D620" s="391" t="s">
        <v>16</v>
      </c>
      <c r="E620" s="391">
        <v>185</v>
      </c>
      <c r="F620" s="391" t="s">
        <v>145</v>
      </c>
      <c r="G620" s="391" t="s">
        <v>23</v>
      </c>
      <c r="H620" s="391" t="s">
        <v>15</v>
      </c>
      <c r="I620" s="391">
        <v>15</v>
      </c>
      <c r="J620" s="392" t="s">
        <v>14</v>
      </c>
      <c r="K620" s="393">
        <f>(14*38)+(1*29.4)</f>
        <v>561.4</v>
      </c>
      <c r="L620" s="228" t="s">
        <v>1393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>
      <c r="A621" s="390" t="s">
        <v>1381</v>
      </c>
      <c r="B621" s="391" t="s">
        <v>9</v>
      </c>
      <c r="C621" s="391">
        <v>46</v>
      </c>
      <c r="D621" s="391" t="s">
        <v>16</v>
      </c>
      <c r="E621" s="391">
        <v>198</v>
      </c>
      <c r="F621" s="391" t="s">
        <v>152</v>
      </c>
      <c r="G621" s="391" t="s">
        <v>458</v>
      </c>
      <c r="H621" s="391" t="s">
        <v>15</v>
      </c>
      <c r="I621" s="391">
        <v>15</v>
      </c>
      <c r="J621" s="392" t="s">
        <v>14</v>
      </c>
      <c r="K621" s="393">
        <f>(14*38)+(1*29.4)</f>
        <v>561.4</v>
      </c>
      <c r="L621" s="228" t="s">
        <v>1393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>
      <c r="A622" s="390" t="s">
        <v>1381</v>
      </c>
      <c r="B622" s="391" t="s">
        <v>9</v>
      </c>
      <c r="C622" s="391">
        <v>46</v>
      </c>
      <c r="D622" s="391" t="s">
        <v>16</v>
      </c>
      <c r="E622" s="391">
        <v>199</v>
      </c>
      <c r="F622" s="391" t="s">
        <v>193</v>
      </c>
      <c r="G622" s="391" t="s">
        <v>458</v>
      </c>
      <c r="H622" s="391" t="s">
        <v>15</v>
      </c>
      <c r="I622" s="391">
        <v>25</v>
      </c>
      <c r="J622" s="392" t="s">
        <v>143</v>
      </c>
      <c r="K622" s="393">
        <f>(25*38)</f>
        <v>950</v>
      </c>
      <c r="L622" s="228" t="s">
        <v>1393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>
      <c r="A623" s="390" t="s">
        <v>1381</v>
      </c>
      <c r="B623" s="391" t="s">
        <v>9</v>
      </c>
      <c r="C623" s="391">
        <v>46</v>
      </c>
      <c r="D623" s="391" t="s">
        <v>16</v>
      </c>
      <c r="E623" s="391">
        <v>200</v>
      </c>
      <c r="F623" s="391" t="s">
        <v>1166</v>
      </c>
      <c r="G623" s="391" t="s">
        <v>458</v>
      </c>
      <c r="H623" s="391" t="s">
        <v>15</v>
      </c>
      <c r="I623" s="391">
        <v>20</v>
      </c>
      <c r="J623" s="392" t="s">
        <v>136</v>
      </c>
      <c r="K623" s="393">
        <f>(20*38)</f>
        <v>760</v>
      </c>
      <c r="L623" s="228"/>
      <c r="M623" s="58"/>
      <c r="N623" s="229"/>
      <c r="O623" s="186" t="s">
        <v>1403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>
      <c r="A624" s="390" t="s">
        <v>1381</v>
      </c>
      <c r="B624" s="391" t="s">
        <v>9</v>
      </c>
      <c r="C624" s="391">
        <v>46</v>
      </c>
      <c r="D624" s="391" t="s">
        <v>16</v>
      </c>
      <c r="E624" s="391">
        <v>234</v>
      </c>
      <c r="F624" s="391" t="s">
        <v>1167</v>
      </c>
      <c r="G624" s="391" t="s">
        <v>94</v>
      </c>
      <c r="H624" s="391" t="s">
        <v>15</v>
      </c>
      <c r="I624" s="391">
        <v>20</v>
      </c>
      <c r="J624" s="392" t="s">
        <v>17</v>
      </c>
      <c r="K624" s="393">
        <f>(19*35)+(1*26.4)</f>
        <v>691.4</v>
      </c>
      <c r="L624" s="228" t="s">
        <v>1393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>
      <c r="A625" s="390" t="s">
        <v>1381</v>
      </c>
      <c r="B625" s="391" t="s">
        <v>9</v>
      </c>
      <c r="C625" s="391">
        <v>46</v>
      </c>
      <c r="D625" s="391" t="s">
        <v>16</v>
      </c>
      <c r="E625" s="391">
        <v>235</v>
      </c>
      <c r="F625" s="391" t="s">
        <v>1168</v>
      </c>
      <c r="G625" s="391" t="s">
        <v>94</v>
      </c>
      <c r="H625" s="391" t="s">
        <v>15</v>
      </c>
      <c r="I625" s="391">
        <v>20</v>
      </c>
      <c r="J625" s="392" t="s">
        <v>17</v>
      </c>
      <c r="K625" s="393">
        <f>(19*35)+(1*26.4)</f>
        <v>691.4</v>
      </c>
      <c r="L625" s="228" t="s">
        <v>1393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>
      <c r="A626" s="390" t="s">
        <v>1381</v>
      </c>
      <c r="B626" s="391" t="s">
        <v>9</v>
      </c>
      <c r="C626" s="391">
        <v>46</v>
      </c>
      <c r="D626" s="391" t="s">
        <v>16</v>
      </c>
      <c r="E626" s="391">
        <v>237</v>
      </c>
      <c r="F626" s="391" t="s">
        <v>1169</v>
      </c>
      <c r="G626" s="391" t="s">
        <v>94</v>
      </c>
      <c r="H626" s="391" t="s">
        <v>15</v>
      </c>
      <c r="I626" s="391">
        <v>20</v>
      </c>
      <c r="J626" s="392" t="s">
        <v>17</v>
      </c>
      <c r="K626" s="393">
        <f>(19*35)+(1*26.4)</f>
        <v>691.4</v>
      </c>
      <c r="L626" s="58"/>
      <c r="M626" s="58"/>
      <c r="N626" s="229"/>
      <c r="O626" s="186" t="s">
        <v>1403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>
      <c r="A627" s="390" t="s">
        <v>1381</v>
      </c>
      <c r="B627" s="391" t="s">
        <v>9</v>
      </c>
      <c r="C627" s="391">
        <v>46</v>
      </c>
      <c r="D627" s="391" t="s">
        <v>16</v>
      </c>
      <c r="E627" s="391">
        <v>238</v>
      </c>
      <c r="F627" s="391" t="s">
        <v>1170</v>
      </c>
      <c r="G627" s="391" t="s">
        <v>94</v>
      </c>
      <c r="H627" s="391" t="s">
        <v>15</v>
      </c>
      <c r="I627" s="391">
        <v>20</v>
      </c>
      <c r="J627" s="392" t="s">
        <v>17</v>
      </c>
      <c r="K627" s="393">
        <f>(19*35)+(1*26.4)</f>
        <v>691.4</v>
      </c>
      <c r="L627" s="228" t="s">
        <v>1393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>
      <c r="A628" s="390" t="s">
        <v>1381</v>
      </c>
      <c r="B628" s="391" t="s">
        <v>9</v>
      </c>
      <c r="C628" s="391">
        <v>46</v>
      </c>
      <c r="D628" s="391" t="s">
        <v>16</v>
      </c>
      <c r="E628" s="391">
        <v>353</v>
      </c>
      <c r="F628" s="391" t="s">
        <v>706</v>
      </c>
      <c r="G628" s="391" t="s">
        <v>1171</v>
      </c>
      <c r="H628" s="391" t="s">
        <v>15</v>
      </c>
      <c r="I628" s="391">
        <v>20</v>
      </c>
      <c r="J628" s="392" t="s">
        <v>17</v>
      </c>
      <c r="K628" s="393">
        <f>(19*35)+(1*26.4)</f>
        <v>691.4</v>
      </c>
      <c r="L628" s="228" t="s">
        <v>1393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>
      <c r="A629" s="390" t="s">
        <v>1381</v>
      </c>
      <c r="B629" s="391" t="s">
        <v>9</v>
      </c>
      <c r="C629" s="391">
        <v>46</v>
      </c>
      <c r="D629" s="391" t="s">
        <v>10</v>
      </c>
      <c r="E629" s="391">
        <v>11</v>
      </c>
      <c r="F629" s="391" t="s">
        <v>79</v>
      </c>
      <c r="G629" s="391" t="s">
        <v>485</v>
      </c>
      <c r="H629" s="391" t="s">
        <v>5</v>
      </c>
      <c r="I629" s="391">
        <v>20</v>
      </c>
      <c r="J629" s="392" t="s">
        <v>614</v>
      </c>
      <c r="K629" s="393">
        <f>(20*36)</f>
        <v>720</v>
      </c>
      <c r="L629" s="58"/>
      <c r="M629" s="58"/>
      <c r="N629" s="229"/>
      <c r="O629" s="186" t="s">
        <v>1403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>
      <c r="A630" s="390" t="s">
        <v>1381</v>
      </c>
      <c r="B630" s="391" t="s">
        <v>9</v>
      </c>
      <c r="C630" s="391">
        <v>46</v>
      </c>
      <c r="D630" s="391" t="s">
        <v>10</v>
      </c>
      <c r="E630" s="391">
        <v>47</v>
      </c>
      <c r="F630" s="391" t="s">
        <v>418</v>
      </c>
      <c r="G630" s="391" t="s">
        <v>296</v>
      </c>
      <c r="H630" s="391" t="s">
        <v>5</v>
      </c>
      <c r="I630" s="391">
        <v>10</v>
      </c>
      <c r="J630" s="392" t="s">
        <v>11</v>
      </c>
      <c r="K630" s="393">
        <f>(9*35)+(1*26.4)</f>
        <v>341.4</v>
      </c>
      <c r="L630" s="228"/>
      <c r="M630" s="58"/>
      <c r="N630" s="229"/>
      <c r="O630" s="186" t="s">
        <v>1403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>
      <c r="A631" s="390" t="s">
        <v>1381</v>
      </c>
      <c r="B631" s="391" t="s">
        <v>9</v>
      </c>
      <c r="C631" s="391">
        <v>46</v>
      </c>
      <c r="D631" s="391" t="s">
        <v>10</v>
      </c>
      <c r="E631" s="391">
        <v>48</v>
      </c>
      <c r="F631" s="391" t="s">
        <v>379</v>
      </c>
      <c r="G631" s="391" t="s">
        <v>296</v>
      </c>
      <c r="H631" s="391" t="s">
        <v>5</v>
      </c>
      <c r="I631" s="391">
        <v>10</v>
      </c>
      <c r="J631" s="392" t="s">
        <v>578</v>
      </c>
      <c r="K631" s="393">
        <f>(10*35)</f>
        <v>350</v>
      </c>
      <c r="L631" s="228"/>
      <c r="M631" s="58"/>
      <c r="N631" s="229"/>
      <c r="O631" s="186" t="s">
        <v>1403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>
      <c r="A632" s="390" t="s">
        <v>1381</v>
      </c>
      <c r="B632" s="391" t="s">
        <v>9</v>
      </c>
      <c r="C632" s="391">
        <v>46</v>
      </c>
      <c r="D632" s="391" t="s">
        <v>10</v>
      </c>
      <c r="E632" s="391">
        <v>50</v>
      </c>
      <c r="F632" s="391" t="s">
        <v>289</v>
      </c>
      <c r="G632" s="391" t="s">
        <v>296</v>
      </c>
      <c r="H632" s="391" t="s">
        <v>5</v>
      </c>
      <c r="I632" s="391">
        <v>20</v>
      </c>
      <c r="J632" s="392" t="s">
        <v>125</v>
      </c>
      <c r="K632" s="393">
        <f>(20*35)</f>
        <v>700</v>
      </c>
      <c r="L632" s="58"/>
      <c r="M632" s="58"/>
      <c r="N632" s="229"/>
      <c r="O632" s="186"/>
      <c r="P632" s="21"/>
      <c r="Q632" s="187"/>
      <c r="R632" s="295" t="s">
        <v>1384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>
      <c r="A633" s="390" t="s">
        <v>1381</v>
      </c>
      <c r="B633" s="391" t="s">
        <v>9</v>
      </c>
      <c r="C633" s="391">
        <v>46</v>
      </c>
      <c r="D633" s="391" t="s">
        <v>10</v>
      </c>
      <c r="E633" s="391">
        <v>51</v>
      </c>
      <c r="F633" s="391" t="s">
        <v>220</v>
      </c>
      <c r="G633" s="391" t="s">
        <v>296</v>
      </c>
      <c r="H633" s="391" t="s">
        <v>5</v>
      </c>
      <c r="I633" s="391">
        <v>15</v>
      </c>
      <c r="J633" s="392" t="s">
        <v>137</v>
      </c>
      <c r="K633" s="393">
        <f>(15*35)</f>
        <v>525</v>
      </c>
      <c r="L633" s="58"/>
      <c r="M633" s="58"/>
      <c r="N633" s="229"/>
      <c r="O633" s="186" t="s">
        <v>1402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>
      <c r="A634" s="390" t="s">
        <v>1381</v>
      </c>
      <c r="B634" s="391" t="s">
        <v>9</v>
      </c>
      <c r="C634" s="391">
        <v>46</v>
      </c>
      <c r="D634" s="391" t="s">
        <v>10</v>
      </c>
      <c r="E634" s="391">
        <v>67</v>
      </c>
      <c r="F634" s="391" t="s">
        <v>208</v>
      </c>
      <c r="G634" s="391" t="s">
        <v>296</v>
      </c>
      <c r="H634" s="391" t="s">
        <v>15</v>
      </c>
      <c r="I634" s="391">
        <v>15</v>
      </c>
      <c r="J634" s="392" t="s">
        <v>93</v>
      </c>
      <c r="K634" s="393">
        <f>(15*38)</f>
        <v>570</v>
      </c>
      <c r="L634" s="58"/>
      <c r="M634" s="58"/>
      <c r="N634" s="229"/>
      <c r="O634" s="186" t="s">
        <v>1403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>
      <c r="A635" s="390" t="s">
        <v>1381</v>
      </c>
      <c r="B635" s="391" t="s">
        <v>9</v>
      </c>
      <c r="C635" s="391">
        <v>46</v>
      </c>
      <c r="D635" s="391" t="s">
        <v>10</v>
      </c>
      <c r="E635" s="391">
        <v>123</v>
      </c>
      <c r="F635" s="391" t="s">
        <v>1173</v>
      </c>
      <c r="G635" s="391" t="s">
        <v>468</v>
      </c>
      <c r="H635" s="391" t="s">
        <v>5</v>
      </c>
      <c r="I635" s="391">
        <v>30</v>
      </c>
      <c r="J635" s="392" t="s">
        <v>326</v>
      </c>
      <c r="K635" s="393">
        <f>(30*34)</f>
        <v>1020</v>
      </c>
      <c r="L635" s="228" t="s">
        <v>1393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>
      <c r="A636" s="390" t="s">
        <v>1381</v>
      </c>
      <c r="B636" s="391" t="s">
        <v>9</v>
      </c>
      <c r="C636" s="391">
        <v>46</v>
      </c>
      <c r="D636" s="391" t="s">
        <v>10</v>
      </c>
      <c r="E636" s="391">
        <v>129</v>
      </c>
      <c r="F636" s="391" t="s">
        <v>1173</v>
      </c>
      <c r="G636" s="391" t="s">
        <v>468</v>
      </c>
      <c r="H636" s="391" t="s">
        <v>182</v>
      </c>
      <c r="I636" s="391">
        <v>15</v>
      </c>
      <c r="J636" s="392" t="s">
        <v>116</v>
      </c>
      <c r="K636" s="393">
        <f>(14*34)+(1*25.4)</f>
        <v>501.4</v>
      </c>
      <c r="L636" s="228" t="s">
        <v>1393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>
      <c r="A637" s="390" t="s">
        <v>1381</v>
      </c>
      <c r="B637" s="391" t="s">
        <v>9</v>
      </c>
      <c r="C637" s="391">
        <v>46</v>
      </c>
      <c r="D637" s="391" t="s">
        <v>10</v>
      </c>
      <c r="E637" s="391">
        <v>138</v>
      </c>
      <c r="F637" s="391" t="s">
        <v>72</v>
      </c>
      <c r="G637" s="391" t="s">
        <v>27</v>
      </c>
      <c r="H637" s="391" t="s">
        <v>15</v>
      </c>
      <c r="I637" s="391">
        <v>20</v>
      </c>
      <c r="J637" s="392" t="s">
        <v>136</v>
      </c>
      <c r="K637" s="393">
        <f>(20*38)</f>
        <v>760</v>
      </c>
      <c r="L637" s="228"/>
      <c r="M637" s="58"/>
      <c r="N637" s="229"/>
      <c r="O637" s="21"/>
      <c r="P637" s="21"/>
      <c r="Q637" s="187"/>
      <c r="R637" s="295" t="s">
        <v>1384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>
      <c r="A638" s="390" t="s">
        <v>1381</v>
      </c>
      <c r="B638" s="391" t="s">
        <v>9</v>
      </c>
      <c r="C638" s="391">
        <v>46</v>
      </c>
      <c r="D638" s="391" t="s">
        <v>10</v>
      </c>
      <c r="E638" s="391">
        <v>139</v>
      </c>
      <c r="F638" s="391" t="s">
        <v>391</v>
      </c>
      <c r="G638" s="391" t="s">
        <v>27</v>
      </c>
      <c r="H638" s="391" t="s">
        <v>15</v>
      </c>
      <c r="I638" s="391">
        <v>15</v>
      </c>
      <c r="J638" s="392" t="s">
        <v>14</v>
      </c>
      <c r="K638" s="393">
        <f>(14*38)+(1*29.4)</f>
        <v>561.4</v>
      </c>
      <c r="L638" s="58"/>
      <c r="M638" s="58"/>
      <c r="N638" s="229"/>
      <c r="O638" s="186" t="s">
        <v>1403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>
      <c r="A639" s="390" t="s">
        <v>1381</v>
      </c>
      <c r="B639" s="391" t="s">
        <v>9</v>
      </c>
      <c r="C639" s="391">
        <v>46</v>
      </c>
      <c r="D639" s="391" t="s">
        <v>10</v>
      </c>
      <c r="E639" s="391">
        <v>189</v>
      </c>
      <c r="F639" s="391" t="s">
        <v>346</v>
      </c>
      <c r="G639" s="391" t="s">
        <v>39</v>
      </c>
      <c r="H639" s="391" t="s">
        <v>15</v>
      </c>
      <c r="I639" s="391">
        <v>30</v>
      </c>
      <c r="J639" s="392" t="s">
        <v>24</v>
      </c>
      <c r="K639" s="393">
        <f>(29*38)+(1*29.4)</f>
        <v>1131.4000000000001</v>
      </c>
      <c r="L639" s="228"/>
      <c r="M639" s="58"/>
      <c r="N639" s="229"/>
      <c r="O639" s="186" t="s">
        <v>1402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>
      <c r="A640" s="390" t="s">
        <v>1381</v>
      </c>
      <c r="B640" s="391" t="s">
        <v>9</v>
      </c>
      <c r="C640" s="391">
        <v>46</v>
      </c>
      <c r="D640" s="391" t="s">
        <v>10</v>
      </c>
      <c r="E640" s="391">
        <v>190</v>
      </c>
      <c r="F640" s="391" t="s">
        <v>1174</v>
      </c>
      <c r="G640" s="391" t="s">
        <v>39</v>
      </c>
      <c r="H640" s="391" t="s">
        <v>15</v>
      </c>
      <c r="I640" s="391">
        <v>30</v>
      </c>
      <c r="J640" s="392" t="s">
        <v>24</v>
      </c>
      <c r="K640" s="393">
        <f>(29*38)+(1*29.4)</f>
        <v>1131.4000000000001</v>
      </c>
      <c r="L640" s="58"/>
      <c r="M640" s="58"/>
      <c r="N640" s="229"/>
      <c r="O640" s="186" t="s">
        <v>1403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>
      <c r="A641" s="390" t="s">
        <v>1381</v>
      </c>
      <c r="B641" s="391" t="s">
        <v>9</v>
      </c>
      <c r="C641" s="391">
        <v>46</v>
      </c>
      <c r="D641" s="391" t="s">
        <v>10</v>
      </c>
      <c r="E641" s="391">
        <v>191</v>
      </c>
      <c r="F641" s="391" t="s">
        <v>1175</v>
      </c>
      <c r="G641" s="391" t="s">
        <v>39</v>
      </c>
      <c r="H641" s="391" t="s">
        <v>15</v>
      </c>
      <c r="I641" s="391">
        <v>30</v>
      </c>
      <c r="J641" s="392" t="s">
        <v>24</v>
      </c>
      <c r="K641" s="393">
        <f>(29*38)+(1*29.4)</f>
        <v>1131.4000000000001</v>
      </c>
      <c r="L641" s="58"/>
      <c r="M641" s="58"/>
      <c r="N641" s="229"/>
      <c r="O641" s="186" t="s">
        <v>1403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>
      <c r="A642" s="390" t="s">
        <v>1381</v>
      </c>
      <c r="B642" s="391" t="s">
        <v>9</v>
      </c>
      <c r="C642" s="391">
        <v>46</v>
      </c>
      <c r="D642" s="391" t="s">
        <v>10</v>
      </c>
      <c r="E642" s="391">
        <v>201</v>
      </c>
      <c r="F642" s="391" t="s">
        <v>420</v>
      </c>
      <c r="G642" s="391" t="s">
        <v>20</v>
      </c>
      <c r="H642" s="391" t="s">
        <v>5</v>
      </c>
      <c r="I642" s="391">
        <v>20</v>
      </c>
      <c r="J642" s="392" t="s">
        <v>1024</v>
      </c>
      <c r="K642" s="393">
        <f>(20*37)</f>
        <v>740</v>
      </c>
      <c r="L642" s="58"/>
      <c r="M642" s="58"/>
      <c r="N642" s="229"/>
      <c r="O642" s="186" t="s">
        <v>1402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>
      <c r="A643" s="390" t="s">
        <v>1381</v>
      </c>
      <c r="B643" s="391" t="s">
        <v>9</v>
      </c>
      <c r="C643" s="391">
        <v>46</v>
      </c>
      <c r="D643" s="391" t="s">
        <v>10</v>
      </c>
      <c r="E643" s="391">
        <v>362</v>
      </c>
      <c r="F643" s="391" t="s">
        <v>279</v>
      </c>
      <c r="G643" s="391" t="s">
        <v>644</v>
      </c>
      <c r="H643" s="391" t="s">
        <v>15</v>
      </c>
      <c r="I643" s="391">
        <v>20</v>
      </c>
      <c r="J643" s="392" t="s">
        <v>17</v>
      </c>
      <c r="K643" s="393">
        <f>(19*35)+(1*26.4)</f>
        <v>691.4</v>
      </c>
      <c r="L643" s="228"/>
      <c r="M643" s="58"/>
      <c r="N643" s="229"/>
      <c r="O643" s="186" t="s">
        <v>1403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>
      <c r="A644" s="390" t="s">
        <v>1381</v>
      </c>
      <c r="B644" s="391" t="s">
        <v>9</v>
      </c>
      <c r="C644" s="391">
        <v>46</v>
      </c>
      <c r="D644" s="391" t="s">
        <v>10</v>
      </c>
      <c r="E644" s="391">
        <v>363</v>
      </c>
      <c r="F644" s="391" t="s">
        <v>171</v>
      </c>
      <c r="G644" s="391" t="s">
        <v>644</v>
      </c>
      <c r="H644" s="391" t="s">
        <v>15</v>
      </c>
      <c r="I644" s="391">
        <v>20</v>
      </c>
      <c r="J644" s="392" t="s">
        <v>17</v>
      </c>
      <c r="K644" s="393">
        <f>(19*35)+(1*26.4)</f>
        <v>691.4</v>
      </c>
      <c r="L644" s="228" t="s">
        <v>1393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>
      <c r="A645" s="390" t="s">
        <v>1381</v>
      </c>
      <c r="B645" s="391" t="s">
        <v>9</v>
      </c>
      <c r="C645" s="391">
        <v>46</v>
      </c>
      <c r="D645" s="391" t="s">
        <v>10</v>
      </c>
      <c r="E645" s="391">
        <v>364</v>
      </c>
      <c r="F645" s="391" t="s">
        <v>285</v>
      </c>
      <c r="G645" s="391" t="s">
        <v>644</v>
      </c>
      <c r="H645" s="391" t="s">
        <v>15</v>
      </c>
      <c r="I645" s="391">
        <v>20</v>
      </c>
      <c r="J645" s="392" t="s">
        <v>17</v>
      </c>
      <c r="K645" s="393">
        <f>(19*35)+(1*26.4)</f>
        <v>691.4</v>
      </c>
      <c r="L645" s="228" t="s">
        <v>1393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>
      <c r="A646" s="390" t="s">
        <v>1381</v>
      </c>
      <c r="B646" s="391" t="s">
        <v>9</v>
      </c>
      <c r="C646" s="391">
        <v>46</v>
      </c>
      <c r="D646" s="391" t="s">
        <v>10</v>
      </c>
      <c r="E646" s="391">
        <v>365</v>
      </c>
      <c r="F646" s="391" t="s">
        <v>1176</v>
      </c>
      <c r="G646" s="391" t="s">
        <v>644</v>
      </c>
      <c r="H646" s="391" t="s">
        <v>15</v>
      </c>
      <c r="I646" s="391">
        <v>20</v>
      </c>
      <c r="J646" s="392" t="s">
        <v>17</v>
      </c>
      <c r="K646" s="393">
        <f>(19*35)+(1*26.4)</f>
        <v>691.4</v>
      </c>
      <c r="L646" s="228" t="s">
        <v>1393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>
      <c r="A647" s="390" t="s">
        <v>1381</v>
      </c>
      <c r="B647" s="391" t="s">
        <v>9</v>
      </c>
      <c r="C647" s="391">
        <v>46</v>
      </c>
      <c r="D647" s="391" t="s">
        <v>10</v>
      </c>
      <c r="E647" s="391">
        <v>403</v>
      </c>
      <c r="F647" s="391" t="s">
        <v>277</v>
      </c>
      <c r="G647" s="391" t="s">
        <v>138</v>
      </c>
      <c r="H647" s="391" t="s">
        <v>5</v>
      </c>
      <c r="I647" s="391">
        <v>20</v>
      </c>
      <c r="J647" s="392" t="s">
        <v>17</v>
      </c>
      <c r="K647" s="393">
        <f>(19*35)+(1*26.4)</f>
        <v>691.4</v>
      </c>
      <c r="L647" s="228" t="s">
        <v>1393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>
      <c r="A648" s="390" t="s">
        <v>1381</v>
      </c>
      <c r="B648" s="391" t="s">
        <v>9</v>
      </c>
      <c r="C648" s="391">
        <v>47</v>
      </c>
      <c r="D648" s="391" t="s">
        <v>10</v>
      </c>
      <c r="E648" s="391">
        <v>67</v>
      </c>
      <c r="F648" s="391" t="s">
        <v>1177</v>
      </c>
      <c r="G648" s="391" t="s">
        <v>294</v>
      </c>
      <c r="H648" s="391" t="s">
        <v>5</v>
      </c>
      <c r="I648" s="391">
        <v>23</v>
      </c>
      <c r="J648" s="392" t="s">
        <v>1172</v>
      </c>
      <c r="K648" s="393">
        <f>(23*38)</f>
        <v>874</v>
      </c>
      <c r="L648" s="228"/>
      <c r="M648" s="58"/>
      <c r="N648" s="229"/>
      <c r="O648" s="186" t="s">
        <v>1406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>
      <c r="A649" s="390" t="s">
        <v>1381</v>
      </c>
      <c r="B649" s="391" t="s">
        <v>9</v>
      </c>
      <c r="C649" s="391">
        <v>47</v>
      </c>
      <c r="D649" s="391" t="s">
        <v>10</v>
      </c>
      <c r="E649" s="391">
        <v>68</v>
      </c>
      <c r="F649" s="391" t="s">
        <v>1178</v>
      </c>
      <c r="G649" s="391" t="s">
        <v>294</v>
      </c>
      <c r="H649" s="391" t="s">
        <v>5</v>
      </c>
      <c r="I649" s="391">
        <v>15</v>
      </c>
      <c r="J649" s="392" t="s">
        <v>37</v>
      </c>
      <c r="K649" s="393">
        <f>(13*38)+(2*29.4)</f>
        <v>552.79999999999995</v>
      </c>
      <c r="L649" s="228" t="s">
        <v>1396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>
      <c r="A650" s="390" t="s">
        <v>1381</v>
      </c>
      <c r="B650" s="391" t="s">
        <v>9</v>
      </c>
      <c r="C650" s="391">
        <v>47</v>
      </c>
      <c r="D650" s="391" t="s">
        <v>10</v>
      </c>
      <c r="E650" s="391">
        <v>69</v>
      </c>
      <c r="F650" s="391" t="s">
        <v>1179</v>
      </c>
      <c r="G650" s="391" t="s">
        <v>294</v>
      </c>
      <c r="H650" s="391" t="s">
        <v>15</v>
      </c>
      <c r="I650" s="391">
        <v>15</v>
      </c>
      <c r="J650" s="392" t="s">
        <v>14</v>
      </c>
      <c r="K650" s="393">
        <f>(14*38)+(1*29.4)</f>
        <v>561.4</v>
      </c>
      <c r="L650" s="228"/>
      <c r="M650" s="58"/>
      <c r="N650" s="229"/>
      <c r="O650" s="186" t="s">
        <v>1406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>
      <c r="A651" s="390" t="s">
        <v>1381</v>
      </c>
      <c r="B651" s="391" t="s">
        <v>9</v>
      </c>
      <c r="C651" s="391">
        <v>47</v>
      </c>
      <c r="D651" s="391" t="s">
        <v>10</v>
      </c>
      <c r="E651" s="391">
        <v>73</v>
      </c>
      <c r="F651" s="391" t="s">
        <v>1180</v>
      </c>
      <c r="G651" s="391" t="s">
        <v>294</v>
      </c>
      <c r="H651" s="391" t="s">
        <v>15</v>
      </c>
      <c r="I651" s="391">
        <v>15</v>
      </c>
      <c r="J651" s="392" t="s">
        <v>14</v>
      </c>
      <c r="K651" s="393">
        <f>(14*38)+(1*29.4)</f>
        <v>561.4</v>
      </c>
      <c r="L651" s="228" t="s">
        <v>1396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>
      <c r="A652" s="390" t="s">
        <v>1381</v>
      </c>
      <c r="B652" s="391" t="s">
        <v>9</v>
      </c>
      <c r="C652" s="391">
        <v>47</v>
      </c>
      <c r="D652" s="391" t="s">
        <v>10</v>
      </c>
      <c r="E652" s="391">
        <v>74</v>
      </c>
      <c r="F652" s="391" t="s">
        <v>237</v>
      </c>
      <c r="G652" s="391" t="s">
        <v>294</v>
      </c>
      <c r="H652" s="391" t="s">
        <v>15</v>
      </c>
      <c r="I652" s="391">
        <v>15</v>
      </c>
      <c r="J652" s="392" t="s">
        <v>37</v>
      </c>
      <c r="K652" s="393">
        <f>(13*38)+(2*29.4)</f>
        <v>552.79999999999995</v>
      </c>
      <c r="L652" s="228" t="s">
        <v>1396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>
      <c r="A653" s="390" t="s">
        <v>1381</v>
      </c>
      <c r="B653" s="391" t="s">
        <v>9</v>
      </c>
      <c r="C653" s="391">
        <v>47</v>
      </c>
      <c r="D653" s="391" t="s">
        <v>10</v>
      </c>
      <c r="E653" s="391">
        <v>310</v>
      </c>
      <c r="F653" s="391" t="s">
        <v>257</v>
      </c>
      <c r="G653" s="391" t="s">
        <v>458</v>
      </c>
      <c r="H653" s="391" t="s">
        <v>15</v>
      </c>
      <c r="I653" s="391">
        <v>20</v>
      </c>
      <c r="J653" s="392" t="s">
        <v>136</v>
      </c>
      <c r="K653" s="393">
        <f>(20*38)</f>
        <v>760</v>
      </c>
      <c r="L653" s="228" t="s">
        <v>1396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>
      <c r="A654" s="390" t="s">
        <v>1381</v>
      </c>
      <c r="B654" s="391" t="s">
        <v>9</v>
      </c>
      <c r="C654" s="391">
        <v>47</v>
      </c>
      <c r="D654" s="391" t="s">
        <v>10</v>
      </c>
      <c r="E654" s="391">
        <v>461</v>
      </c>
      <c r="F654" s="391" t="s">
        <v>1181</v>
      </c>
      <c r="G654" s="391" t="s">
        <v>138</v>
      </c>
      <c r="H654" s="391" t="s">
        <v>5</v>
      </c>
      <c r="I654" s="391">
        <v>20</v>
      </c>
      <c r="J654" s="392" t="s">
        <v>17</v>
      </c>
      <c r="K654" s="393">
        <f>(19*35)+(1*26.4)</f>
        <v>691.4</v>
      </c>
      <c r="L654" s="228" t="s">
        <v>1396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>
      <c r="A655" s="390" t="s">
        <v>1381</v>
      </c>
      <c r="B655" s="391" t="s">
        <v>9</v>
      </c>
      <c r="C655" s="391">
        <v>47</v>
      </c>
      <c r="D655" s="391" t="s">
        <v>10</v>
      </c>
      <c r="E655" s="391">
        <v>495</v>
      </c>
      <c r="F655" s="391" t="s">
        <v>552</v>
      </c>
      <c r="G655" s="391" t="s">
        <v>297</v>
      </c>
      <c r="H655" s="391" t="s">
        <v>5</v>
      </c>
      <c r="I655" s="391">
        <v>15</v>
      </c>
      <c r="J655" s="392" t="s">
        <v>14</v>
      </c>
      <c r="K655" s="393">
        <f>(14*38)+(1*29.4)</f>
        <v>561.4</v>
      </c>
      <c r="L655" s="228" t="s">
        <v>1398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thickBot="1">
      <c r="A656" s="390" t="s">
        <v>1381</v>
      </c>
      <c r="B656" s="394" t="s">
        <v>9</v>
      </c>
      <c r="C656" s="394">
        <v>47</v>
      </c>
      <c r="D656" s="394" t="s">
        <v>10</v>
      </c>
      <c r="E656" s="394">
        <v>496</v>
      </c>
      <c r="F656" s="394" t="s">
        <v>800</v>
      </c>
      <c r="G656" s="394" t="s">
        <v>297</v>
      </c>
      <c r="H656" s="394" t="s">
        <v>5</v>
      </c>
      <c r="I656" s="394">
        <v>15</v>
      </c>
      <c r="J656" s="395" t="s">
        <v>93</v>
      </c>
      <c r="K656" s="396">
        <f>(15*38)</f>
        <v>570</v>
      </c>
      <c r="L656" s="228"/>
      <c r="M656" s="58"/>
      <c r="N656" s="229"/>
      <c r="O656" s="186" t="s">
        <v>1406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>
      <c r="A657" s="390" t="s">
        <v>1381</v>
      </c>
      <c r="B657" s="387" t="s">
        <v>9</v>
      </c>
      <c r="C657" s="387">
        <v>47</v>
      </c>
      <c r="D657" s="387" t="s">
        <v>10</v>
      </c>
      <c r="E657" s="387">
        <v>500</v>
      </c>
      <c r="F657" s="387" t="s">
        <v>800</v>
      </c>
      <c r="G657" s="387" t="s">
        <v>297</v>
      </c>
      <c r="H657" s="387" t="s">
        <v>15</v>
      </c>
      <c r="I657" s="387">
        <v>20</v>
      </c>
      <c r="J657" s="388" t="s">
        <v>136</v>
      </c>
      <c r="K657" s="389">
        <f>(20*38)</f>
        <v>760</v>
      </c>
      <c r="L657" s="228" t="s">
        <v>1396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>
      <c r="A658" s="390" t="s">
        <v>1381</v>
      </c>
      <c r="B658" s="391" t="s">
        <v>9</v>
      </c>
      <c r="C658" s="391">
        <v>47</v>
      </c>
      <c r="D658" s="391" t="s">
        <v>10</v>
      </c>
      <c r="E658" s="391">
        <v>504</v>
      </c>
      <c r="F658" s="391" t="s">
        <v>585</v>
      </c>
      <c r="G658" s="391" t="s">
        <v>297</v>
      </c>
      <c r="H658" s="391" t="s">
        <v>15</v>
      </c>
      <c r="I658" s="391">
        <v>15</v>
      </c>
      <c r="J658" s="392" t="s">
        <v>93</v>
      </c>
      <c r="K658" s="393">
        <f>(15*38)</f>
        <v>570</v>
      </c>
      <c r="L658" s="228" t="s">
        <v>1396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>
      <c r="A659" s="390" t="s">
        <v>1381</v>
      </c>
      <c r="B659" s="391" t="s">
        <v>9</v>
      </c>
      <c r="C659" s="391">
        <v>47</v>
      </c>
      <c r="D659" s="391" t="s">
        <v>10</v>
      </c>
      <c r="E659" s="391">
        <v>566</v>
      </c>
      <c r="F659" s="391" t="s">
        <v>222</v>
      </c>
      <c r="G659" s="391" t="s">
        <v>141</v>
      </c>
      <c r="H659" s="391" t="s">
        <v>5</v>
      </c>
      <c r="I659" s="391">
        <v>15</v>
      </c>
      <c r="J659" s="392" t="s">
        <v>13</v>
      </c>
      <c r="K659" s="393">
        <f>(14*35)+(1*26.4)</f>
        <v>516.4</v>
      </c>
      <c r="L659" s="58"/>
      <c r="M659" s="58"/>
      <c r="N659" s="229"/>
      <c r="O659" s="186" t="s">
        <v>1406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>
      <c r="A660" s="390" t="s">
        <v>1381</v>
      </c>
      <c r="B660" s="391" t="s">
        <v>129</v>
      </c>
      <c r="C660" s="391">
        <v>50</v>
      </c>
      <c r="D660" s="391" t="s">
        <v>7</v>
      </c>
      <c r="E660" s="391">
        <v>670</v>
      </c>
      <c r="F660" s="391" t="s">
        <v>1182</v>
      </c>
      <c r="G660" s="391" t="s">
        <v>1191</v>
      </c>
      <c r="H660" s="391" t="s">
        <v>15</v>
      </c>
      <c r="I660" s="391">
        <v>30</v>
      </c>
      <c r="J660" s="392" t="s">
        <v>1196</v>
      </c>
      <c r="K660" s="393">
        <f>(30*25)</f>
        <v>750</v>
      </c>
      <c r="L660" s="228"/>
      <c r="M660" s="58"/>
      <c r="N660" s="229"/>
      <c r="O660" s="186" t="s">
        <v>1403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>
      <c r="A661" s="390" t="s">
        <v>1381</v>
      </c>
      <c r="B661" s="391" t="s">
        <v>129</v>
      </c>
      <c r="C661" s="391">
        <v>50</v>
      </c>
      <c r="D661" s="391" t="s">
        <v>7</v>
      </c>
      <c r="E661" s="391">
        <v>890</v>
      </c>
      <c r="F661" s="391" t="s">
        <v>160</v>
      </c>
      <c r="G661" s="391" t="s">
        <v>442</v>
      </c>
      <c r="H661" s="391" t="s">
        <v>15</v>
      </c>
      <c r="I661" s="391">
        <v>30</v>
      </c>
      <c r="J661" s="392" t="s">
        <v>1127</v>
      </c>
      <c r="K661" s="393">
        <f>(29*25)+(1*17.3)</f>
        <v>742.3</v>
      </c>
      <c r="L661" s="228" t="s">
        <v>1398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>
      <c r="A662" s="390" t="s">
        <v>1381</v>
      </c>
      <c r="B662" s="391" t="s">
        <v>129</v>
      </c>
      <c r="C662" s="391">
        <v>50</v>
      </c>
      <c r="D662" s="391" t="s">
        <v>7</v>
      </c>
      <c r="E662" s="391">
        <v>907</v>
      </c>
      <c r="F662" s="391" t="s">
        <v>1177</v>
      </c>
      <c r="G662" s="391" t="s">
        <v>900</v>
      </c>
      <c r="H662" s="391" t="s">
        <v>5</v>
      </c>
      <c r="I662" s="391">
        <v>15</v>
      </c>
      <c r="J662" s="392" t="s">
        <v>1197</v>
      </c>
      <c r="K662" s="393">
        <f>(13*26)+(2*18.3)</f>
        <v>374.6</v>
      </c>
      <c r="L662" s="58"/>
      <c r="M662" s="58"/>
      <c r="N662" s="229"/>
      <c r="O662" s="186" t="s">
        <v>1406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>
      <c r="A663" s="390" t="s">
        <v>1381</v>
      </c>
      <c r="B663" s="391" t="s">
        <v>129</v>
      </c>
      <c r="C663" s="391">
        <v>50</v>
      </c>
      <c r="D663" s="391" t="s">
        <v>56</v>
      </c>
      <c r="E663" s="391">
        <v>43</v>
      </c>
      <c r="F663" s="391" t="s">
        <v>1183</v>
      </c>
      <c r="G663" s="391" t="s">
        <v>1116</v>
      </c>
      <c r="H663" s="391" t="s">
        <v>5</v>
      </c>
      <c r="I663" s="391">
        <v>10</v>
      </c>
      <c r="J663" s="392" t="s">
        <v>1198</v>
      </c>
      <c r="K663" s="393">
        <f>(10*34)</f>
        <v>340</v>
      </c>
      <c r="L663" s="58"/>
      <c r="M663" s="58"/>
      <c r="N663" s="229"/>
      <c r="O663" s="186"/>
      <c r="P663" s="21"/>
      <c r="Q663" s="187"/>
      <c r="R663" s="295" t="s">
        <v>1384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>
      <c r="A664" s="390" t="s">
        <v>1381</v>
      </c>
      <c r="B664" s="391" t="s">
        <v>129</v>
      </c>
      <c r="C664" s="391">
        <v>50</v>
      </c>
      <c r="D664" s="391" t="s">
        <v>56</v>
      </c>
      <c r="E664" s="391">
        <v>63</v>
      </c>
      <c r="F664" s="391" t="s">
        <v>277</v>
      </c>
      <c r="G664" s="391" t="s">
        <v>1117</v>
      </c>
      <c r="H664" s="391" t="s">
        <v>15</v>
      </c>
      <c r="I664" s="391">
        <v>13</v>
      </c>
      <c r="J664" s="392" t="s">
        <v>854</v>
      </c>
      <c r="K664" s="393">
        <f>(13*28)</f>
        <v>364</v>
      </c>
      <c r="L664" s="58"/>
      <c r="M664" s="58"/>
      <c r="N664" s="229"/>
      <c r="O664" s="186"/>
      <c r="P664" s="21"/>
      <c r="Q664" s="187"/>
      <c r="R664" s="295" t="s">
        <v>1384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>
      <c r="A665" s="390" t="s">
        <v>1381</v>
      </c>
      <c r="B665" s="391" t="s">
        <v>129</v>
      </c>
      <c r="C665" s="391">
        <v>50</v>
      </c>
      <c r="D665" s="391" t="s">
        <v>56</v>
      </c>
      <c r="E665" s="391">
        <v>67</v>
      </c>
      <c r="F665" s="391" t="s">
        <v>130</v>
      </c>
      <c r="G665" s="391" t="s">
        <v>1117</v>
      </c>
      <c r="H665" s="391" t="s">
        <v>15</v>
      </c>
      <c r="I665" s="391">
        <v>15</v>
      </c>
      <c r="J665" s="392" t="s">
        <v>454</v>
      </c>
      <c r="K665" s="393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1384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>
      <c r="A666" s="390" t="s">
        <v>1381</v>
      </c>
      <c r="B666" s="391" t="s">
        <v>129</v>
      </c>
      <c r="C666" s="391">
        <v>50</v>
      </c>
      <c r="D666" s="391" t="s">
        <v>56</v>
      </c>
      <c r="E666" s="391">
        <v>83</v>
      </c>
      <c r="F666" s="391" t="s">
        <v>712</v>
      </c>
      <c r="G666" s="391" t="s">
        <v>400</v>
      </c>
      <c r="H666" s="391" t="s">
        <v>15</v>
      </c>
      <c r="I666" s="391">
        <v>15</v>
      </c>
      <c r="J666" s="392" t="s">
        <v>413</v>
      </c>
      <c r="K666" s="393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1384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>
      <c r="A667" s="390" t="s">
        <v>1381</v>
      </c>
      <c r="B667" s="391" t="s">
        <v>129</v>
      </c>
      <c r="C667" s="391">
        <v>50</v>
      </c>
      <c r="D667" s="391" t="s">
        <v>56</v>
      </c>
      <c r="E667" s="391">
        <v>84</v>
      </c>
      <c r="F667" s="391" t="s">
        <v>601</v>
      </c>
      <c r="G667" s="391" t="s">
        <v>400</v>
      </c>
      <c r="H667" s="391" t="s">
        <v>15</v>
      </c>
      <c r="I667" s="391">
        <v>15</v>
      </c>
      <c r="J667" s="392" t="s">
        <v>413</v>
      </c>
      <c r="K667" s="393">
        <f>(13*35)+(2*27.3)</f>
        <v>509.6</v>
      </c>
      <c r="L667" s="228"/>
      <c r="M667" s="58"/>
      <c r="N667" s="229"/>
      <c r="O667" s="186" t="s">
        <v>1406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>
      <c r="A668" s="390" t="s">
        <v>1381</v>
      </c>
      <c r="B668" s="391" t="s">
        <v>129</v>
      </c>
      <c r="C668" s="391">
        <v>50</v>
      </c>
      <c r="D668" s="391" t="s">
        <v>56</v>
      </c>
      <c r="E668" s="391">
        <v>85</v>
      </c>
      <c r="F668" s="391" t="s">
        <v>242</v>
      </c>
      <c r="G668" s="391" t="s">
        <v>400</v>
      </c>
      <c r="H668" s="391" t="s">
        <v>15</v>
      </c>
      <c r="I668" s="391">
        <v>30</v>
      </c>
      <c r="J668" s="392" t="s">
        <v>928</v>
      </c>
      <c r="K668" s="393">
        <f>(28*35)+(2*27.3)</f>
        <v>1034.5999999999999</v>
      </c>
      <c r="L668" s="58"/>
      <c r="M668" s="58"/>
      <c r="N668" s="229"/>
      <c r="O668" s="186" t="s">
        <v>1403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>
      <c r="A669" s="390" t="s">
        <v>1381</v>
      </c>
      <c r="B669" s="391" t="s">
        <v>129</v>
      </c>
      <c r="C669" s="391">
        <v>50</v>
      </c>
      <c r="D669" s="391" t="s">
        <v>56</v>
      </c>
      <c r="E669" s="391">
        <v>88</v>
      </c>
      <c r="F669" s="391" t="s">
        <v>217</v>
      </c>
      <c r="G669" s="391" t="s">
        <v>400</v>
      </c>
      <c r="H669" s="391" t="s">
        <v>15</v>
      </c>
      <c r="I669" s="391">
        <v>15</v>
      </c>
      <c r="J669" s="392" t="s">
        <v>413</v>
      </c>
      <c r="K669" s="393">
        <f>(13*35)+(2*27.3)</f>
        <v>509.6</v>
      </c>
      <c r="L669" s="58"/>
      <c r="M669" s="58"/>
      <c r="N669" s="229"/>
      <c r="O669" s="186" t="s">
        <v>1406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>
      <c r="A670" s="390" t="s">
        <v>1381</v>
      </c>
      <c r="B670" s="391" t="s">
        <v>129</v>
      </c>
      <c r="C670" s="391">
        <v>50</v>
      </c>
      <c r="D670" s="391" t="s">
        <v>56</v>
      </c>
      <c r="E670" s="391">
        <v>89</v>
      </c>
      <c r="F670" s="391" t="s">
        <v>811</v>
      </c>
      <c r="G670" s="391" t="s">
        <v>400</v>
      </c>
      <c r="H670" s="391" t="s">
        <v>15</v>
      </c>
      <c r="I670" s="391">
        <v>20</v>
      </c>
      <c r="J670" s="392" t="s">
        <v>436</v>
      </c>
      <c r="K670" s="393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1384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>
      <c r="A671" s="390" t="s">
        <v>1381</v>
      </c>
      <c r="B671" s="391" t="s">
        <v>129</v>
      </c>
      <c r="C671" s="391">
        <v>50</v>
      </c>
      <c r="D671" s="391" t="s">
        <v>56</v>
      </c>
      <c r="E671" s="391">
        <v>90</v>
      </c>
      <c r="F671" s="391" t="s">
        <v>1184</v>
      </c>
      <c r="G671" s="391" t="s">
        <v>400</v>
      </c>
      <c r="H671" s="391" t="s">
        <v>15</v>
      </c>
      <c r="I671" s="391">
        <v>15</v>
      </c>
      <c r="J671" s="392" t="s">
        <v>137</v>
      </c>
      <c r="K671" s="393">
        <f>(15*35)</f>
        <v>525</v>
      </c>
      <c r="L671" s="58"/>
      <c r="M671" s="58"/>
      <c r="N671" s="229"/>
      <c r="O671" s="186" t="s">
        <v>1406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>
      <c r="A672" s="390" t="s">
        <v>1381</v>
      </c>
      <c r="B672" s="391" t="s">
        <v>129</v>
      </c>
      <c r="C672" s="391">
        <v>50</v>
      </c>
      <c r="D672" s="391" t="s">
        <v>56</v>
      </c>
      <c r="E672" s="391">
        <v>95</v>
      </c>
      <c r="F672" s="391" t="s">
        <v>1108</v>
      </c>
      <c r="G672" s="391" t="s">
        <v>400</v>
      </c>
      <c r="H672" s="391" t="s">
        <v>15</v>
      </c>
      <c r="I672" s="391">
        <v>15</v>
      </c>
      <c r="J672" s="392" t="s">
        <v>137</v>
      </c>
      <c r="K672" s="393">
        <f>(15*35)</f>
        <v>525</v>
      </c>
      <c r="L672" s="228"/>
      <c r="M672" s="58"/>
      <c r="N672" s="229"/>
      <c r="O672" s="21"/>
      <c r="P672" s="21"/>
      <c r="Q672" s="187"/>
      <c r="R672" s="295" t="s">
        <v>1384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>
      <c r="A673" s="390" t="s">
        <v>1381</v>
      </c>
      <c r="B673" s="391" t="s">
        <v>129</v>
      </c>
      <c r="C673" s="391">
        <v>50</v>
      </c>
      <c r="D673" s="391" t="s">
        <v>56</v>
      </c>
      <c r="E673" s="391">
        <v>220</v>
      </c>
      <c r="F673" s="391" t="s">
        <v>1185</v>
      </c>
      <c r="G673" s="391" t="s">
        <v>1192</v>
      </c>
      <c r="H673" s="391" t="s">
        <v>15</v>
      </c>
      <c r="I673" s="391">
        <v>20</v>
      </c>
      <c r="J673" s="392" t="s">
        <v>1031</v>
      </c>
      <c r="K673" s="393">
        <f>(19*24)+(1*19.7)</f>
        <v>475.7</v>
      </c>
      <c r="L673" s="58"/>
      <c r="M673" s="58"/>
      <c r="N673" s="229"/>
      <c r="O673" s="21"/>
      <c r="P673" s="21"/>
      <c r="Q673" s="187"/>
      <c r="R673" s="295" t="s">
        <v>1384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>
      <c r="A674" s="390" t="s">
        <v>1381</v>
      </c>
      <c r="B674" s="391" t="s">
        <v>129</v>
      </c>
      <c r="C674" s="391">
        <v>50</v>
      </c>
      <c r="D674" s="391" t="s">
        <v>56</v>
      </c>
      <c r="E674" s="391">
        <v>348</v>
      </c>
      <c r="F674" s="391" t="s">
        <v>1186</v>
      </c>
      <c r="G674" s="391" t="s">
        <v>1193</v>
      </c>
      <c r="H674" s="391" t="s">
        <v>15</v>
      </c>
      <c r="I674" s="391">
        <v>20</v>
      </c>
      <c r="J674" s="392" t="s">
        <v>1199</v>
      </c>
      <c r="K674" s="393">
        <f>(19*25)+(1*17.3)</f>
        <v>492.3</v>
      </c>
      <c r="L674" s="228" t="s">
        <v>1396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>
      <c r="A675" s="390" t="s">
        <v>1381</v>
      </c>
      <c r="B675" s="391" t="s">
        <v>129</v>
      </c>
      <c r="C675" s="391">
        <v>50</v>
      </c>
      <c r="D675" s="391" t="s">
        <v>56</v>
      </c>
      <c r="E675" s="391">
        <v>349</v>
      </c>
      <c r="F675" s="391" t="s">
        <v>1187</v>
      </c>
      <c r="G675" s="391" t="s">
        <v>1193</v>
      </c>
      <c r="H675" s="391" t="s">
        <v>15</v>
      </c>
      <c r="I675" s="391">
        <v>20</v>
      </c>
      <c r="J675" s="392" t="s">
        <v>1200</v>
      </c>
      <c r="K675" s="393">
        <f>(19*26)+(1*18.3)</f>
        <v>512.29999999999995</v>
      </c>
      <c r="L675" s="228" t="s">
        <v>1396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>
      <c r="A676" s="356" t="s">
        <v>1381</v>
      </c>
      <c r="B676" s="352" t="s">
        <v>129</v>
      </c>
      <c r="C676" s="352">
        <v>50</v>
      </c>
      <c r="D676" s="352" t="s">
        <v>56</v>
      </c>
      <c r="E676" s="358">
        <v>351</v>
      </c>
      <c r="F676" s="352" t="s">
        <v>1188</v>
      </c>
      <c r="G676" s="352" t="s">
        <v>1193</v>
      </c>
      <c r="H676" s="358" t="s">
        <v>15</v>
      </c>
      <c r="I676" s="358">
        <v>20</v>
      </c>
      <c r="J676" s="353" t="s">
        <v>1199</v>
      </c>
      <c r="K676" s="357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>
      <c r="A677" s="390" t="s">
        <v>1381</v>
      </c>
      <c r="B677" s="391" t="s">
        <v>129</v>
      </c>
      <c r="C677" s="391">
        <v>50</v>
      </c>
      <c r="D677" s="391" t="s">
        <v>56</v>
      </c>
      <c r="E677" s="391">
        <v>352</v>
      </c>
      <c r="F677" s="391" t="s">
        <v>1189</v>
      </c>
      <c r="G677" s="391" t="s">
        <v>1193</v>
      </c>
      <c r="H677" s="391" t="s">
        <v>15</v>
      </c>
      <c r="I677" s="391">
        <v>20</v>
      </c>
      <c r="J677" s="392" t="s">
        <v>134</v>
      </c>
      <c r="K677" s="393">
        <f>(20*26)</f>
        <v>520</v>
      </c>
      <c r="L677" s="228" t="s">
        <v>1398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>
      <c r="A678" s="390" t="s">
        <v>1381</v>
      </c>
      <c r="B678" s="391" t="s">
        <v>129</v>
      </c>
      <c r="C678" s="391">
        <v>50</v>
      </c>
      <c r="D678" s="391" t="s">
        <v>56</v>
      </c>
      <c r="E678" s="391">
        <v>353</v>
      </c>
      <c r="F678" s="391" t="s">
        <v>1190</v>
      </c>
      <c r="G678" s="391" t="s">
        <v>1193</v>
      </c>
      <c r="H678" s="391" t="s">
        <v>15</v>
      </c>
      <c r="I678" s="391">
        <v>28</v>
      </c>
      <c r="J678" s="392" t="s">
        <v>1201</v>
      </c>
      <c r="K678" s="393">
        <f>(28*25)</f>
        <v>700</v>
      </c>
      <c r="L678" s="228" t="s">
        <v>1398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>
      <c r="A679" s="390" t="s">
        <v>1381</v>
      </c>
      <c r="B679" s="391" t="s">
        <v>129</v>
      </c>
      <c r="C679" s="391">
        <v>50</v>
      </c>
      <c r="D679" s="391" t="s">
        <v>56</v>
      </c>
      <c r="E679" s="391">
        <v>417</v>
      </c>
      <c r="F679" s="391" t="s">
        <v>822</v>
      </c>
      <c r="G679" s="391" t="s">
        <v>1113</v>
      </c>
      <c r="H679" s="391" t="s">
        <v>15</v>
      </c>
      <c r="I679" s="391">
        <v>15</v>
      </c>
      <c r="J679" s="392" t="s">
        <v>357</v>
      </c>
      <c r="K679" s="393">
        <f>(14*35)+(1*27.3)</f>
        <v>517.29999999999995</v>
      </c>
      <c r="L679" s="228" t="s">
        <v>1398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>
      <c r="A680" s="390" t="s">
        <v>1381</v>
      </c>
      <c r="B680" s="391" t="s">
        <v>129</v>
      </c>
      <c r="C680" s="391">
        <v>50</v>
      </c>
      <c r="D680" s="391" t="s">
        <v>56</v>
      </c>
      <c r="E680" s="391">
        <v>435</v>
      </c>
      <c r="F680" s="391" t="s">
        <v>756</v>
      </c>
      <c r="G680" s="391" t="s">
        <v>685</v>
      </c>
      <c r="H680" s="391" t="s">
        <v>15</v>
      </c>
      <c r="I680" s="391">
        <v>15</v>
      </c>
      <c r="J680" s="392" t="s">
        <v>354</v>
      </c>
      <c r="K680" s="393">
        <f>(14*37)+(1*29.3)</f>
        <v>547.29999999999995</v>
      </c>
      <c r="L680" s="228" t="s">
        <v>1398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>
      <c r="A681" s="390" t="s">
        <v>1381</v>
      </c>
      <c r="B681" s="391" t="s">
        <v>129</v>
      </c>
      <c r="C681" s="391">
        <v>50</v>
      </c>
      <c r="D681" s="391" t="s">
        <v>56</v>
      </c>
      <c r="E681" s="391">
        <v>437</v>
      </c>
      <c r="F681" s="391" t="s">
        <v>277</v>
      </c>
      <c r="G681" s="391" t="s">
        <v>685</v>
      </c>
      <c r="H681" s="391" t="s">
        <v>15</v>
      </c>
      <c r="I681" s="391">
        <v>20</v>
      </c>
      <c r="J681" s="392" t="s">
        <v>1025</v>
      </c>
      <c r="K681" s="393">
        <f>(19*37)+(1*29.3)</f>
        <v>732.3</v>
      </c>
      <c r="L681" s="228" t="s">
        <v>1398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>
      <c r="A682" s="356" t="s">
        <v>1381</v>
      </c>
      <c r="B682" s="352" t="s">
        <v>129</v>
      </c>
      <c r="C682" s="352">
        <v>50</v>
      </c>
      <c r="D682" s="352" t="s">
        <v>56</v>
      </c>
      <c r="E682" s="358">
        <v>439</v>
      </c>
      <c r="F682" s="352" t="s">
        <v>462</v>
      </c>
      <c r="G682" s="352" t="s">
        <v>685</v>
      </c>
      <c r="H682" s="358" t="s">
        <v>15</v>
      </c>
      <c r="I682" s="358">
        <v>20</v>
      </c>
      <c r="J682" s="353" t="s">
        <v>1025</v>
      </c>
      <c r="K682" s="357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>
      <c r="A683" s="390" t="s">
        <v>1381</v>
      </c>
      <c r="B683" s="391" t="s">
        <v>129</v>
      </c>
      <c r="C683" s="391">
        <v>50</v>
      </c>
      <c r="D683" s="391" t="s">
        <v>55</v>
      </c>
      <c r="E683" s="391">
        <v>49</v>
      </c>
      <c r="F683" s="391" t="s">
        <v>440</v>
      </c>
      <c r="G683" s="391" t="s">
        <v>1120</v>
      </c>
      <c r="H683" s="391" t="s">
        <v>5</v>
      </c>
      <c r="I683" s="391">
        <v>15</v>
      </c>
      <c r="J683" s="392" t="s">
        <v>528</v>
      </c>
      <c r="K683" s="393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1384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>
      <c r="A684" s="390" t="s">
        <v>1381</v>
      </c>
      <c r="B684" s="391" t="s">
        <v>129</v>
      </c>
      <c r="C684" s="391">
        <v>50</v>
      </c>
      <c r="D684" s="391" t="s">
        <v>55</v>
      </c>
      <c r="E684" s="391">
        <v>176</v>
      </c>
      <c r="F684" s="391" t="s">
        <v>585</v>
      </c>
      <c r="G684" s="391" t="s">
        <v>1195</v>
      </c>
      <c r="H684" s="391" t="s">
        <v>5</v>
      </c>
      <c r="I684" s="391">
        <v>7</v>
      </c>
      <c r="J684" s="392" t="s">
        <v>1202</v>
      </c>
      <c r="K684" s="393">
        <f>(5*31)+(2*26.7)</f>
        <v>208.4</v>
      </c>
      <c r="L684" s="228" t="s">
        <v>1398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>
      <c r="A685" s="390" t="s">
        <v>1381</v>
      </c>
      <c r="B685" s="391" t="s">
        <v>129</v>
      </c>
      <c r="C685" s="391">
        <v>50</v>
      </c>
      <c r="D685" s="391" t="s">
        <v>55</v>
      </c>
      <c r="E685" s="391">
        <v>193</v>
      </c>
      <c r="F685" s="391" t="s">
        <v>342</v>
      </c>
      <c r="G685" s="391" t="s">
        <v>1122</v>
      </c>
      <c r="H685" s="391" t="s">
        <v>15</v>
      </c>
      <c r="I685" s="391">
        <v>15</v>
      </c>
      <c r="J685" s="392" t="s">
        <v>369</v>
      </c>
      <c r="K685" s="393">
        <f>(14*36)+(1*28.3)</f>
        <v>532.29999999999995</v>
      </c>
      <c r="L685" s="58"/>
      <c r="M685" s="58"/>
      <c r="N685" s="229"/>
      <c r="O685" s="186" t="s">
        <v>1406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>
      <c r="A686" s="390" t="s">
        <v>1381</v>
      </c>
      <c r="B686" s="391" t="s">
        <v>129</v>
      </c>
      <c r="C686" s="391">
        <v>50</v>
      </c>
      <c r="D686" s="391" t="s">
        <v>55</v>
      </c>
      <c r="E686" s="391">
        <v>195</v>
      </c>
      <c r="F686" s="391" t="s">
        <v>264</v>
      </c>
      <c r="G686" s="391" t="s">
        <v>1122</v>
      </c>
      <c r="H686" s="391" t="s">
        <v>15</v>
      </c>
      <c r="I686" s="391">
        <v>15</v>
      </c>
      <c r="J686" s="392" t="s">
        <v>402</v>
      </c>
      <c r="K686" s="393">
        <f>(13*36)+(2*28.3)</f>
        <v>524.6</v>
      </c>
      <c r="L686" s="228" t="s">
        <v>1398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>
      <c r="A687" s="390" t="s">
        <v>1381</v>
      </c>
      <c r="B687" s="391" t="s">
        <v>129</v>
      </c>
      <c r="C687" s="391">
        <v>50</v>
      </c>
      <c r="D687" s="391" t="s">
        <v>55</v>
      </c>
      <c r="E687" s="391">
        <v>304</v>
      </c>
      <c r="F687" s="391" t="s">
        <v>1100</v>
      </c>
      <c r="G687" s="391" t="s">
        <v>176</v>
      </c>
      <c r="H687" s="391" t="s">
        <v>15</v>
      </c>
      <c r="I687" s="391">
        <v>20</v>
      </c>
      <c r="J687" s="392" t="s">
        <v>125</v>
      </c>
      <c r="K687" s="393">
        <f>(20*35)</f>
        <v>700</v>
      </c>
      <c r="L687" s="228" t="s">
        <v>1398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>
      <c r="A688" s="390" t="s">
        <v>1381</v>
      </c>
      <c r="B688" s="391" t="s">
        <v>129</v>
      </c>
      <c r="C688" s="391">
        <v>50</v>
      </c>
      <c r="D688" s="391" t="s">
        <v>55</v>
      </c>
      <c r="E688" s="391">
        <v>307</v>
      </c>
      <c r="F688" s="391" t="s">
        <v>1194</v>
      </c>
      <c r="G688" s="391" t="s">
        <v>176</v>
      </c>
      <c r="H688" s="391" t="s">
        <v>15</v>
      </c>
      <c r="I688" s="391">
        <v>15</v>
      </c>
      <c r="J688" s="392" t="s">
        <v>413</v>
      </c>
      <c r="K688" s="393">
        <f>(13*35)+(2*27.3)</f>
        <v>509.6</v>
      </c>
      <c r="L688" s="228" t="s">
        <v>1398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>
      <c r="A689" s="390" t="s">
        <v>1381</v>
      </c>
      <c r="B689" s="391" t="s">
        <v>129</v>
      </c>
      <c r="C689" s="391">
        <v>50</v>
      </c>
      <c r="D689" s="391" t="s">
        <v>57</v>
      </c>
      <c r="E689" s="391">
        <v>22</v>
      </c>
      <c r="F689" s="391" t="s">
        <v>573</v>
      </c>
      <c r="G689" s="391" t="s">
        <v>154</v>
      </c>
      <c r="H689" s="391" t="s">
        <v>5</v>
      </c>
      <c r="I689" s="391">
        <v>20</v>
      </c>
      <c r="J689" s="392" t="s">
        <v>360</v>
      </c>
      <c r="K689" s="393">
        <f>(19*38)+(1*33.7)</f>
        <v>755.7</v>
      </c>
      <c r="L689" s="228" t="s">
        <v>1398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>
      <c r="A690" s="390" t="s">
        <v>1381</v>
      </c>
      <c r="B690" s="391" t="s">
        <v>129</v>
      </c>
      <c r="C690" s="391">
        <v>50</v>
      </c>
      <c r="D690" s="391" t="s">
        <v>57</v>
      </c>
      <c r="E690" s="391">
        <v>24</v>
      </c>
      <c r="F690" s="391" t="s">
        <v>97</v>
      </c>
      <c r="G690" s="391" t="s">
        <v>154</v>
      </c>
      <c r="H690" s="391" t="s">
        <v>15</v>
      </c>
      <c r="I690" s="391">
        <v>20</v>
      </c>
      <c r="J690" s="392" t="s">
        <v>667</v>
      </c>
      <c r="K690" s="393">
        <f>(18*40)+(2*35.7)</f>
        <v>791.4</v>
      </c>
      <c r="L690" s="228" t="s">
        <v>1398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>
      <c r="A691" s="390" t="s">
        <v>1381</v>
      </c>
      <c r="B691" s="391" t="s">
        <v>129</v>
      </c>
      <c r="C691" s="391">
        <v>46</v>
      </c>
      <c r="D691" s="391" t="s">
        <v>56</v>
      </c>
      <c r="E691" s="391">
        <v>177</v>
      </c>
      <c r="F691" s="391" t="s">
        <v>1203</v>
      </c>
      <c r="G691" s="391" t="s">
        <v>1211</v>
      </c>
      <c r="H691" s="391" t="s">
        <v>15</v>
      </c>
      <c r="I691" s="391">
        <v>20</v>
      </c>
      <c r="J691" s="392" t="s">
        <v>356</v>
      </c>
      <c r="K691" s="393">
        <f>(19*35)+(1*30.7)</f>
        <v>695.7</v>
      </c>
      <c r="L691" s="228"/>
      <c r="M691" s="58"/>
      <c r="N691" s="229"/>
      <c r="O691" s="186" t="s">
        <v>1393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>
      <c r="A692" s="390" t="s">
        <v>1381</v>
      </c>
      <c r="B692" s="391" t="s">
        <v>129</v>
      </c>
      <c r="C692" s="391">
        <v>46</v>
      </c>
      <c r="D692" s="391" t="s">
        <v>56</v>
      </c>
      <c r="E692" s="391">
        <v>178</v>
      </c>
      <c r="F692" s="391" t="s">
        <v>1204</v>
      </c>
      <c r="G692" s="391" t="s">
        <v>1211</v>
      </c>
      <c r="H692" s="391" t="s">
        <v>15</v>
      </c>
      <c r="I692" s="391">
        <v>20</v>
      </c>
      <c r="J692" s="392" t="s">
        <v>356</v>
      </c>
      <c r="K692" s="393">
        <f>(19*35)+(1*30.7)</f>
        <v>695.7</v>
      </c>
      <c r="L692" s="58"/>
      <c r="M692" s="58"/>
      <c r="N692" s="229"/>
      <c r="O692" s="186" t="s">
        <v>1396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>
      <c r="A693" s="390" t="s">
        <v>1381</v>
      </c>
      <c r="B693" s="391" t="s">
        <v>129</v>
      </c>
      <c r="C693" s="391">
        <v>46</v>
      </c>
      <c r="D693" s="391" t="s">
        <v>56</v>
      </c>
      <c r="E693" s="391">
        <v>222</v>
      </c>
      <c r="F693" s="391" t="s">
        <v>241</v>
      </c>
      <c r="G693" s="391" t="s">
        <v>1212</v>
      </c>
      <c r="H693" s="391" t="s">
        <v>15</v>
      </c>
      <c r="I693" s="391">
        <v>20</v>
      </c>
      <c r="J693" s="392" t="s">
        <v>926</v>
      </c>
      <c r="K693" s="393">
        <f>(19*33)+(1*28.7)</f>
        <v>655.7</v>
      </c>
      <c r="L693" s="58"/>
      <c r="M693" s="58"/>
      <c r="N693" s="229"/>
      <c r="O693" s="186" t="s">
        <v>1384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>
      <c r="A694" s="390" t="s">
        <v>1381</v>
      </c>
      <c r="B694" s="391" t="s">
        <v>129</v>
      </c>
      <c r="C694" s="391">
        <v>46</v>
      </c>
      <c r="D694" s="391" t="s">
        <v>56</v>
      </c>
      <c r="E694" s="391">
        <v>370</v>
      </c>
      <c r="F694" s="391" t="s">
        <v>278</v>
      </c>
      <c r="G694" s="391" t="s">
        <v>685</v>
      </c>
      <c r="H694" s="391" t="s">
        <v>15</v>
      </c>
      <c r="I694" s="391">
        <v>20</v>
      </c>
      <c r="J694" s="392" t="s">
        <v>1030</v>
      </c>
      <c r="K694" s="393">
        <f>(19*38)+(1*30.3)</f>
        <v>752.3</v>
      </c>
      <c r="L694" s="58"/>
      <c r="M694" s="58"/>
      <c r="N694" s="229"/>
      <c r="O694" s="186" t="s">
        <v>1393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thickBot="1">
      <c r="A695" s="390" t="s">
        <v>1381</v>
      </c>
      <c r="B695" s="394" t="s">
        <v>129</v>
      </c>
      <c r="C695" s="394">
        <v>46</v>
      </c>
      <c r="D695" s="394" t="s">
        <v>56</v>
      </c>
      <c r="E695" s="394">
        <v>376</v>
      </c>
      <c r="F695" s="394" t="s">
        <v>146</v>
      </c>
      <c r="G695" s="394" t="s">
        <v>685</v>
      </c>
      <c r="H695" s="394" t="s">
        <v>15</v>
      </c>
      <c r="I695" s="394">
        <v>20</v>
      </c>
      <c r="J695" s="395" t="s">
        <v>1030</v>
      </c>
      <c r="K695" s="396">
        <f>(19*38)+(1*30.3)</f>
        <v>752.3</v>
      </c>
      <c r="L695" s="228"/>
      <c r="M695" s="58"/>
      <c r="N695" s="229"/>
      <c r="O695" s="186" t="s">
        <v>1396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>
      <c r="A696" s="390" t="s">
        <v>1381</v>
      </c>
      <c r="B696" s="387" t="s">
        <v>129</v>
      </c>
      <c r="C696" s="387">
        <v>46</v>
      </c>
      <c r="D696" s="387" t="s">
        <v>56</v>
      </c>
      <c r="E696" s="387">
        <v>515</v>
      </c>
      <c r="F696" s="387" t="s">
        <v>722</v>
      </c>
      <c r="G696" s="387" t="s">
        <v>1213</v>
      </c>
      <c r="H696" s="387" t="s">
        <v>5</v>
      </c>
      <c r="I696" s="387">
        <v>20</v>
      </c>
      <c r="J696" s="388" t="s">
        <v>370</v>
      </c>
      <c r="K696" s="389">
        <f>(19*34)+(1*29.7)</f>
        <v>675.7</v>
      </c>
      <c r="L696" s="58"/>
      <c r="M696" s="58"/>
      <c r="N696" s="229"/>
      <c r="O696" s="186" t="s">
        <v>1393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>
      <c r="A697" s="390" t="s">
        <v>1381</v>
      </c>
      <c r="B697" s="391" t="s">
        <v>129</v>
      </c>
      <c r="C697" s="391">
        <v>46</v>
      </c>
      <c r="D697" s="391" t="s">
        <v>56</v>
      </c>
      <c r="E697" s="391">
        <v>516</v>
      </c>
      <c r="F697" s="391" t="s">
        <v>593</v>
      </c>
      <c r="G697" s="391" t="s">
        <v>1213</v>
      </c>
      <c r="H697" s="391" t="s">
        <v>5</v>
      </c>
      <c r="I697" s="391">
        <v>20</v>
      </c>
      <c r="J697" s="392" t="s">
        <v>370</v>
      </c>
      <c r="K697" s="393">
        <f>(19*34)+(1*29.7)</f>
        <v>675.7</v>
      </c>
      <c r="L697" s="58"/>
      <c r="M697" s="58"/>
      <c r="N697" s="229"/>
      <c r="O697" s="186" t="s">
        <v>1396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>
      <c r="A698" s="390" t="s">
        <v>1381</v>
      </c>
      <c r="B698" s="391" t="s">
        <v>129</v>
      </c>
      <c r="C698" s="391">
        <v>46</v>
      </c>
      <c r="D698" s="391" t="s">
        <v>56</v>
      </c>
      <c r="E698" s="391">
        <v>585</v>
      </c>
      <c r="F698" s="391" t="s">
        <v>1205</v>
      </c>
      <c r="G698" s="391" t="s">
        <v>215</v>
      </c>
      <c r="H698" s="391" t="s">
        <v>15</v>
      </c>
      <c r="I698" s="391">
        <v>20</v>
      </c>
      <c r="J698" s="392" t="s">
        <v>370</v>
      </c>
      <c r="K698" s="393">
        <f>(19*34)+(1*29.7)</f>
        <v>675.7</v>
      </c>
      <c r="L698" s="58"/>
      <c r="M698" s="58"/>
      <c r="N698" s="229"/>
      <c r="O698" s="186" t="s">
        <v>1384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>
      <c r="A699" s="390" t="s">
        <v>1381</v>
      </c>
      <c r="B699" s="391" t="s">
        <v>129</v>
      </c>
      <c r="C699" s="391">
        <v>46</v>
      </c>
      <c r="D699" s="391" t="s">
        <v>56</v>
      </c>
      <c r="E699" s="391">
        <v>612</v>
      </c>
      <c r="F699" s="391" t="s">
        <v>452</v>
      </c>
      <c r="G699" s="391" t="s">
        <v>108</v>
      </c>
      <c r="H699" s="391" t="s">
        <v>15</v>
      </c>
      <c r="I699" s="391">
        <v>20</v>
      </c>
      <c r="J699" s="392" t="s">
        <v>665</v>
      </c>
      <c r="K699" s="393">
        <f>(19*44)+(1*39.7)</f>
        <v>875.7</v>
      </c>
      <c r="L699" s="58"/>
      <c r="M699" s="58"/>
      <c r="N699" s="229"/>
      <c r="O699" s="186" t="s">
        <v>1396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>
      <c r="A700" s="390" t="s">
        <v>1381</v>
      </c>
      <c r="B700" s="391" t="s">
        <v>129</v>
      </c>
      <c r="C700" s="391">
        <v>46</v>
      </c>
      <c r="D700" s="391" t="s">
        <v>56</v>
      </c>
      <c r="E700" s="391">
        <v>613</v>
      </c>
      <c r="F700" s="391" t="s">
        <v>1206</v>
      </c>
      <c r="G700" s="391" t="s">
        <v>108</v>
      </c>
      <c r="H700" s="391" t="s">
        <v>15</v>
      </c>
      <c r="I700" s="391">
        <v>20</v>
      </c>
      <c r="J700" s="392" t="s">
        <v>389</v>
      </c>
      <c r="K700" s="393">
        <f>(19*39)+(1*34.7)</f>
        <v>775.7</v>
      </c>
      <c r="L700" s="58"/>
      <c r="M700" s="58"/>
      <c r="N700" s="229"/>
      <c r="O700" s="186" t="s">
        <v>1398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>
      <c r="A701" s="390" t="s">
        <v>1381</v>
      </c>
      <c r="B701" s="391" t="s">
        <v>129</v>
      </c>
      <c r="C701" s="391">
        <v>46</v>
      </c>
      <c r="D701" s="391" t="s">
        <v>55</v>
      </c>
      <c r="E701" s="391">
        <v>10</v>
      </c>
      <c r="F701" s="391" t="s">
        <v>1207</v>
      </c>
      <c r="G701" s="391" t="s">
        <v>432</v>
      </c>
      <c r="H701" s="391" t="s">
        <v>5</v>
      </c>
      <c r="I701" s="391">
        <v>15</v>
      </c>
      <c r="J701" s="392" t="s">
        <v>142</v>
      </c>
      <c r="K701" s="393">
        <f>(15*36)</f>
        <v>540</v>
      </c>
      <c r="L701" s="58"/>
      <c r="M701" s="58"/>
      <c r="N701" s="229"/>
      <c r="O701" s="186" t="s">
        <v>1384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>
      <c r="A702" s="390" t="s">
        <v>1381</v>
      </c>
      <c r="B702" s="391" t="s">
        <v>129</v>
      </c>
      <c r="C702" s="391">
        <v>46</v>
      </c>
      <c r="D702" s="391" t="s">
        <v>55</v>
      </c>
      <c r="E702" s="391">
        <v>266</v>
      </c>
      <c r="F702" s="391" t="s">
        <v>1209</v>
      </c>
      <c r="G702" s="391" t="s">
        <v>184</v>
      </c>
      <c r="H702" s="391" t="s">
        <v>15</v>
      </c>
      <c r="I702" s="391">
        <v>35</v>
      </c>
      <c r="J702" s="392" t="s">
        <v>1217</v>
      </c>
      <c r="K702" s="393">
        <f>(34*38)+(1*30.3)</f>
        <v>1322.3</v>
      </c>
      <c r="L702" s="58"/>
      <c r="M702" s="58"/>
      <c r="N702" s="229"/>
      <c r="O702" s="186" t="s">
        <v>1396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>
      <c r="A703" s="390" t="s">
        <v>1381</v>
      </c>
      <c r="B703" s="391" t="s">
        <v>129</v>
      </c>
      <c r="C703" s="391">
        <v>46</v>
      </c>
      <c r="D703" s="391" t="s">
        <v>55</v>
      </c>
      <c r="E703" s="391">
        <v>267</v>
      </c>
      <c r="F703" s="391" t="s">
        <v>1210</v>
      </c>
      <c r="G703" s="391" t="s">
        <v>184</v>
      </c>
      <c r="H703" s="391" t="s">
        <v>15</v>
      </c>
      <c r="I703" s="391">
        <v>15</v>
      </c>
      <c r="J703" s="392" t="s">
        <v>355</v>
      </c>
      <c r="K703" s="393">
        <f>(14*38)+(1*30.3)</f>
        <v>562.29999999999995</v>
      </c>
      <c r="L703" s="58"/>
      <c r="M703" s="58"/>
      <c r="N703" s="229"/>
      <c r="O703" s="186" t="s">
        <v>1398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>
      <c r="A704" s="390" t="s">
        <v>1381</v>
      </c>
      <c r="B704" s="391" t="s">
        <v>129</v>
      </c>
      <c r="C704" s="391">
        <v>46</v>
      </c>
      <c r="D704" s="391" t="s">
        <v>55</v>
      </c>
      <c r="E704" s="391">
        <v>282</v>
      </c>
      <c r="F704" s="391" t="s">
        <v>610</v>
      </c>
      <c r="G704" s="391" t="s">
        <v>1122</v>
      </c>
      <c r="H704" s="391" t="s">
        <v>15</v>
      </c>
      <c r="I704" s="391">
        <v>30</v>
      </c>
      <c r="J704" s="392" t="s">
        <v>367</v>
      </c>
      <c r="K704" s="393">
        <f>(29*36)+(1*28.3)</f>
        <v>1072.3</v>
      </c>
      <c r="L704" s="58"/>
      <c r="M704" s="58"/>
      <c r="N704" s="229"/>
      <c r="O704" s="186" t="s">
        <v>1384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>
      <c r="A705" s="390" t="s">
        <v>1381</v>
      </c>
      <c r="B705" s="391" t="s">
        <v>129</v>
      </c>
      <c r="C705" s="391">
        <v>46</v>
      </c>
      <c r="D705" s="391" t="s">
        <v>55</v>
      </c>
      <c r="E705" s="391">
        <v>300</v>
      </c>
      <c r="F705" s="391" t="s">
        <v>735</v>
      </c>
      <c r="G705" s="391" t="s">
        <v>1214</v>
      </c>
      <c r="H705" s="391" t="s">
        <v>15</v>
      </c>
      <c r="I705" s="391">
        <v>15</v>
      </c>
      <c r="J705" s="392" t="s">
        <v>137</v>
      </c>
      <c r="K705" s="393">
        <f>(15*35)</f>
        <v>525</v>
      </c>
      <c r="L705" s="228"/>
      <c r="M705" s="58"/>
      <c r="N705" s="229"/>
      <c r="O705" s="186" t="s">
        <v>1396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>
      <c r="A706" s="390" t="s">
        <v>1381</v>
      </c>
      <c r="B706" s="391" t="s">
        <v>129</v>
      </c>
      <c r="C706" s="391">
        <v>46</v>
      </c>
      <c r="D706" s="391" t="s">
        <v>55</v>
      </c>
      <c r="E706" s="391">
        <v>301</v>
      </c>
      <c r="F706" s="391" t="s">
        <v>718</v>
      </c>
      <c r="G706" s="391" t="s">
        <v>1214</v>
      </c>
      <c r="H706" s="391" t="s">
        <v>15</v>
      </c>
      <c r="I706" s="391">
        <v>15</v>
      </c>
      <c r="J706" s="392" t="s">
        <v>137</v>
      </c>
      <c r="K706" s="393">
        <f>(15*35)</f>
        <v>525</v>
      </c>
      <c r="L706" s="58"/>
      <c r="M706" s="58"/>
      <c r="N706" s="229"/>
      <c r="O706" s="186" t="s">
        <v>1396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>
      <c r="A707" s="390" t="s">
        <v>1381</v>
      </c>
      <c r="B707" s="391" t="s">
        <v>129</v>
      </c>
      <c r="C707" s="391">
        <v>46</v>
      </c>
      <c r="D707" s="391" t="s">
        <v>55</v>
      </c>
      <c r="E707" s="391">
        <v>349</v>
      </c>
      <c r="F707" s="391" t="s">
        <v>167</v>
      </c>
      <c r="G707" s="391" t="s">
        <v>108</v>
      </c>
      <c r="H707" s="391" t="s">
        <v>5</v>
      </c>
      <c r="I707" s="391">
        <v>20</v>
      </c>
      <c r="J707" s="392" t="s">
        <v>359</v>
      </c>
      <c r="K707" s="393">
        <f>(19*37)+(1*32.7)</f>
        <v>735.7</v>
      </c>
      <c r="L707" s="58"/>
      <c r="M707" s="58"/>
      <c r="N707" s="229"/>
      <c r="O707" s="186" t="s">
        <v>1396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>
      <c r="A708" s="390" t="s">
        <v>1381</v>
      </c>
      <c r="B708" s="391" t="s">
        <v>129</v>
      </c>
      <c r="C708" s="391">
        <v>46</v>
      </c>
      <c r="D708" s="391" t="s">
        <v>55</v>
      </c>
      <c r="E708" s="391">
        <v>350</v>
      </c>
      <c r="F708" s="391" t="s">
        <v>1215</v>
      </c>
      <c r="G708" s="391" t="s">
        <v>108</v>
      </c>
      <c r="H708" s="391" t="s">
        <v>15</v>
      </c>
      <c r="I708" s="391">
        <v>20</v>
      </c>
      <c r="J708" s="392" t="s">
        <v>389</v>
      </c>
      <c r="K708" s="393">
        <f>(19*39)+(1*34.7)</f>
        <v>775.7</v>
      </c>
      <c r="L708" s="58"/>
      <c r="M708" s="58"/>
      <c r="N708" s="229"/>
      <c r="O708" s="186" t="s">
        <v>1393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>
      <c r="A709" s="390" t="s">
        <v>1381</v>
      </c>
      <c r="B709" s="391" t="s">
        <v>129</v>
      </c>
      <c r="C709" s="391">
        <v>46</v>
      </c>
      <c r="D709" s="391" t="s">
        <v>55</v>
      </c>
      <c r="E709" s="391">
        <v>352</v>
      </c>
      <c r="F709" s="391" t="s">
        <v>1216</v>
      </c>
      <c r="G709" s="391" t="s">
        <v>108</v>
      </c>
      <c r="H709" s="391" t="s">
        <v>15</v>
      </c>
      <c r="I709" s="391">
        <v>20</v>
      </c>
      <c r="J709" s="392" t="s">
        <v>389</v>
      </c>
      <c r="K709" s="393">
        <f>(19*39)+(1*34.7)</f>
        <v>775.7</v>
      </c>
      <c r="L709" s="58"/>
      <c r="M709" s="58"/>
      <c r="N709" s="229"/>
      <c r="O709" s="186" t="s">
        <v>1398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>
      <c r="A710" s="390" t="s">
        <v>1381</v>
      </c>
      <c r="B710" s="391" t="s">
        <v>129</v>
      </c>
      <c r="C710" s="391">
        <v>49</v>
      </c>
      <c r="D710" s="391" t="s">
        <v>744</v>
      </c>
      <c r="E710" s="391">
        <v>97</v>
      </c>
      <c r="F710" s="391" t="s">
        <v>226</v>
      </c>
      <c r="G710" s="391" t="s">
        <v>311</v>
      </c>
      <c r="H710" s="391" t="s">
        <v>15</v>
      </c>
      <c r="I710" s="391">
        <v>15</v>
      </c>
      <c r="J710" s="392" t="s">
        <v>137</v>
      </c>
      <c r="K710" s="393">
        <f>(15*35)</f>
        <v>525</v>
      </c>
      <c r="L710" s="58"/>
      <c r="M710" s="58"/>
      <c r="N710" s="229"/>
      <c r="O710" s="186" t="s">
        <v>1402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>
      <c r="A711" s="390" t="s">
        <v>1381</v>
      </c>
      <c r="B711" s="391" t="s">
        <v>129</v>
      </c>
      <c r="C711" s="391">
        <v>49</v>
      </c>
      <c r="D711" s="391" t="s">
        <v>744</v>
      </c>
      <c r="E711" s="391">
        <v>98</v>
      </c>
      <c r="F711" s="391" t="s">
        <v>739</v>
      </c>
      <c r="G711" s="391" t="s">
        <v>311</v>
      </c>
      <c r="H711" s="391" t="s">
        <v>15</v>
      </c>
      <c r="I711" s="391">
        <v>15</v>
      </c>
      <c r="J711" s="392" t="s">
        <v>137</v>
      </c>
      <c r="K711" s="393">
        <f>(15*35)</f>
        <v>525</v>
      </c>
      <c r="L711" s="58"/>
      <c r="M711" s="58"/>
      <c r="N711" s="229"/>
      <c r="O711" s="186" t="s">
        <v>1403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>
      <c r="A712" s="390" t="s">
        <v>1381</v>
      </c>
      <c r="B712" s="391" t="s">
        <v>129</v>
      </c>
      <c r="C712" s="391">
        <v>49</v>
      </c>
      <c r="D712" s="391" t="s">
        <v>744</v>
      </c>
      <c r="E712" s="391">
        <v>100</v>
      </c>
      <c r="F712" s="391" t="s">
        <v>242</v>
      </c>
      <c r="G712" s="391" t="s">
        <v>311</v>
      </c>
      <c r="H712" s="391" t="s">
        <v>15</v>
      </c>
      <c r="I712" s="391">
        <v>20</v>
      </c>
      <c r="J712" s="392" t="s">
        <v>125</v>
      </c>
      <c r="K712" s="393">
        <f>(20*35)</f>
        <v>700</v>
      </c>
      <c r="L712" s="228" t="s">
        <v>1396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>
      <c r="A713" s="390" t="s">
        <v>1381</v>
      </c>
      <c r="B713" s="391" t="s">
        <v>129</v>
      </c>
      <c r="C713" s="391">
        <v>49</v>
      </c>
      <c r="D713" s="391" t="s">
        <v>744</v>
      </c>
      <c r="E713" s="391">
        <v>125</v>
      </c>
      <c r="F713" s="391" t="s">
        <v>1218</v>
      </c>
      <c r="G713" s="391" t="s">
        <v>949</v>
      </c>
      <c r="H713" s="391" t="s">
        <v>15</v>
      </c>
      <c r="I713" s="391">
        <v>20</v>
      </c>
      <c r="J713" s="392" t="s">
        <v>435</v>
      </c>
      <c r="K713" s="393">
        <f>(17*36)+(3*31.7)</f>
        <v>707.1</v>
      </c>
      <c r="L713" s="228" t="s">
        <v>1396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>
      <c r="A714" s="390" t="s">
        <v>1381</v>
      </c>
      <c r="B714" s="391" t="s">
        <v>129</v>
      </c>
      <c r="C714" s="391">
        <v>49</v>
      </c>
      <c r="D714" s="391" t="s">
        <v>126</v>
      </c>
      <c r="E714" s="391">
        <v>21</v>
      </c>
      <c r="F714" s="391" t="s">
        <v>1219</v>
      </c>
      <c r="G714" s="391" t="s">
        <v>423</v>
      </c>
      <c r="H714" s="391" t="s">
        <v>5</v>
      </c>
      <c r="I714" s="391">
        <v>20</v>
      </c>
      <c r="J714" s="392" t="s">
        <v>437</v>
      </c>
      <c r="K714" s="393">
        <f>(19*32)+(1*27.7)</f>
        <v>635.70000000000005</v>
      </c>
      <c r="L714" s="58"/>
      <c r="M714" s="58"/>
      <c r="N714" s="229"/>
      <c r="O714" s="186" t="s">
        <v>1406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>
      <c r="A715" s="390" t="s">
        <v>1381</v>
      </c>
      <c r="B715" s="391" t="s">
        <v>129</v>
      </c>
      <c r="C715" s="391">
        <v>49</v>
      </c>
      <c r="D715" s="391" t="s">
        <v>126</v>
      </c>
      <c r="E715" s="391">
        <v>24</v>
      </c>
      <c r="F715" s="391" t="s">
        <v>1220</v>
      </c>
      <c r="G715" s="391" t="s">
        <v>423</v>
      </c>
      <c r="H715" s="391" t="s">
        <v>15</v>
      </c>
      <c r="I715" s="391">
        <v>20</v>
      </c>
      <c r="J715" s="392" t="s">
        <v>926</v>
      </c>
      <c r="K715" s="393">
        <f>(19*33)+(1*28.7)</f>
        <v>655.7</v>
      </c>
      <c r="L715" s="228"/>
      <c r="M715" s="58"/>
      <c r="N715" s="229"/>
      <c r="O715" s="186" t="s">
        <v>1402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>
      <c r="A716" s="390" t="s">
        <v>1381</v>
      </c>
      <c r="B716" s="391" t="s">
        <v>129</v>
      </c>
      <c r="C716" s="391">
        <v>49</v>
      </c>
      <c r="D716" s="391" t="s">
        <v>7</v>
      </c>
      <c r="E716" s="391">
        <v>73</v>
      </c>
      <c r="F716" s="391" t="s">
        <v>1221</v>
      </c>
      <c r="G716" s="391" t="s">
        <v>1226</v>
      </c>
      <c r="H716" s="391" t="s">
        <v>15</v>
      </c>
      <c r="I716" s="391">
        <v>30</v>
      </c>
      <c r="J716" s="392" t="s">
        <v>1242</v>
      </c>
      <c r="K716" s="393">
        <f>(29*28)+(1*20.3)</f>
        <v>832.3</v>
      </c>
      <c r="L716" s="228"/>
      <c r="M716" s="58"/>
      <c r="N716" s="229"/>
      <c r="O716" s="186" t="s">
        <v>1402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>
      <c r="A717" s="390" t="s">
        <v>1381</v>
      </c>
      <c r="B717" s="391" t="s">
        <v>129</v>
      </c>
      <c r="C717" s="391">
        <v>49</v>
      </c>
      <c r="D717" s="391" t="s">
        <v>7</v>
      </c>
      <c r="E717" s="391">
        <v>75</v>
      </c>
      <c r="F717" s="391" t="s">
        <v>1222</v>
      </c>
      <c r="G717" s="391" t="s">
        <v>1226</v>
      </c>
      <c r="H717" s="391" t="s">
        <v>15</v>
      </c>
      <c r="I717" s="391">
        <v>15</v>
      </c>
      <c r="J717" s="392" t="s">
        <v>454</v>
      </c>
      <c r="K717" s="393">
        <f>(14*28)+(1*20.3)</f>
        <v>412.3</v>
      </c>
      <c r="L717" s="58"/>
      <c r="M717" s="58"/>
      <c r="N717" s="229"/>
      <c r="O717" s="186" t="s">
        <v>1403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>
      <c r="A718" s="390" t="s">
        <v>1381</v>
      </c>
      <c r="B718" s="391" t="s">
        <v>129</v>
      </c>
      <c r="C718" s="391">
        <v>49</v>
      </c>
      <c r="D718" s="391" t="s">
        <v>7</v>
      </c>
      <c r="E718" s="391">
        <v>76</v>
      </c>
      <c r="F718" s="391" t="s">
        <v>1223</v>
      </c>
      <c r="G718" s="391" t="s">
        <v>1226</v>
      </c>
      <c r="H718" s="391" t="s">
        <v>15</v>
      </c>
      <c r="I718" s="391">
        <v>15</v>
      </c>
      <c r="J718" s="392" t="s">
        <v>454</v>
      </c>
      <c r="K718" s="393">
        <f>(14*28)+(1*20.3)</f>
        <v>412.3</v>
      </c>
      <c r="L718" s="58"/>
      <c r="M718" s="58"/>
      <c r="N718" s="229"/>
      <c r="O718" s="186" t="s">
        <v>1403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>
      <c r="A719" s="390" t="s">
        <v>1381</v>
      </c>
      <c r="B719" s="391" t="s">
        <v>129</v>
      </c>
      <c r="C719" s="391">
        <v>49</v>
      </c>
      <c r="D719" s="391" t="s">
        <v>7</v>
      </c>
      <c r="E719" s="391">
        <v>203</v>
      </c>
      <c r="F719" s="391" t="s">
        <v>1224</v>
      </c>
      <c r="G719" s="391" t="s">
        <v>1227</v>
      </c>
      <c r="H719" s="391" t="s">
        <v>5</v>
      </c>
      <c r="I719" s="391">
        <v>20</v>
      </c>
      <c r="J719" s="392" t="s">
        <v>381</v>
      </c>
      <c r="K719" s="393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1382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>
      <c r="A720" s="390" t="s">
        <v>1381</v>
      </c>
      <c r="B720" s="391" t="s">
        <v>129</v>
      </c>
      <c r="C720" s="391">
        <v>49</v>
      </c>
      <c r="D720" s="391" t="s">
        <v>7</v>
      </c>
      <c r="E720" s="391">
        <v>372</v>
      </c>
      <c r="F720" s="391" t="s">
        <v>656</v>
      </c>
      <c r="G720" s="391" t="s">
        <v>1228</v>
      </c>
      <c r="H720" s="391" t="s">
        <v>15</v>
      </c>
      <c r="I720" s="391">
        <v>20</v>
      </c>
      <c r="J720" s="392" t="s">
        <v>216</v>
      </c>
      <c r="K720" s="393">
        <f>(20*28)</f>
        <v>560</v>
      </c>
      <c r="L720" s="58"/>
      <c r="M720" s="58"/>
      <c r="N720" s="229"/>
      <c r="O720" s="186" t="s">
        <v>1402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>
      <c r="A721" s="390" t="s">
        <v>1381</v>
      </c>
      <c r="B721" s="391" t="s">
        <v>129</v>
      </c>
      <c r="C721" s="391">
        <v>49</v>
      </c>
      <c r="D721" s="391" t="s">
        <v>7</v>
      </c>
      <c r="E721" s="391">
        <v>450</v>
      </c>
      <c r="F721" s="391" t="s">
        <v>1225</v>
      </c>
      <c r="G721" s="391" t="s">
        <v>247</v>
      </c>
      <c r="H721" s="391" t="s">
        <v>15</v>
      </c>
      <c r="I721" s="391">
        <v>20</v>
      </c>
      <c r="J721" s="392" t="s">
        <v>360</v>
      </c>
      <c r="K721" s="393">
        <f>(19*38)+(1*33.7)</f>
        <v>755.7</v>
      </c>
      <c r="L721" s="58"/>
      <c r="M721" s="58"/>
      <c r="N721" s="229"/>
      <c r="O721" s="186" t="s">
        <v>1403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>
      <c r="A722" s="390" t="s">
        <v>1381</v>
      </c>
      <c r="B722" s="391" t="s">
        <v>129</v>
      </c>
      <c r="C722" s="391">
        <v>49</v>
      </c>
      <c r="D722" s="391" t="s">
        <v>7</v>
      </c>
      <c r="E722" s="391">
        <v>632</v>
      </c>
      <c r="F722" s="391" t="s">
        <v>724</v>
      </c>
      <c r="G722" s="391" t="s">
        <v>1113</v>
      </c>
      <c r="H722" s="391" t="s">
        <v>15</v>
      </c>
      <c r="I722" s="391">
        <v>20</v>
      </c>
      <c r="J722" s="392" t="s">
        <v>906</v>
      </c>
      <c r="K722" s="393">
        <f>(17*37)+(3*29.3)</f>
        <v>716.9</v>
      </c>
      <c r="L722" s="58"/>
      <c r="M722" s="58"/>
      <c r="N722" s="229"/>
      <c r="O722" s="186" t="s">
        <v>1403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>
      <c r="A723" s="390" t="s">
        <v>1381</v>
      </c>
      <c r="B723" s="391" t="s">
        <v>129</v>
      </c>
      <c r="C723" s="391">
        <v>49</v>
      </c>
      <c r="D723" s="391" t="s">
        <v>7</v>
      </c>
      <c r="E723" s="391">
        <v>720</v>
      </c>
      <c r="F723" s="391" t="s">
        <v>124</v>
      </c>
      <c r="G723" s="391" t="s">
        <v>685</v>
      </c>
      <c r="H723" s="391" t="s">
        <v>15</v>
      </c>
      <c r="I723" s="391">
        <v>20</v>
      </c>
      <c r="J723" s="392" t="s">
        <v>436</v>
      </c>
      <c r="K723" s="393">
        <f>(18*35)+(2*30.7)</f>
        <v>691.4</v>
      </c>
      <c r="L723" s="228" t="s">
        <v>1396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>
      <c r="A724" s="390" t="s">
        <v>1381</v>
      </c>
      <c r="B724" s="391" t="s">
        <v>129</v>
      </c>
      <c r="C724" s="391">
        <v>50</v>
      </c>
      <c r="D724" s="391" t="s">
        <v>744</v>
      </c>
      <c r="E724" s="391">
        <v>26</v>
      </c>
      <c r="F724" s="391" t="s">
        <v>1229</v>
      </c>
      <c r="G724" s="391" t="s">
        <v>1239</v>
      </c>
      <c r="H724" s="391" t="s">
        <v>15</v>
      </c>
      <c r="I724" s="391">
        <v>20</v>
      </c>
      <c r="J724" s="392" t="s">
        <v>1243</v>
      </c>
      <c r="K724" s="393">
        <f>(18*25)+(2*20.7)</f>
        <v>491.4</v>
      </c>
      <c r="L724" s="228" t="s">
        <v>1396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>
      <c r="A725" s="390" t="s">
        <v>1381</v>
      </c>
      <c r="B725" s="391" t="s">
        <v>129</v>
      </c>
      <c r="C725" s="391">
        <v>50</v>
      </c>
      <c r="D725" s="391" t="s">
        <v>744</v>
      </c>
      <c r="E725" s="391">
        <v>37</v>
      </c>
      <c r="F725" s="391" t="s">
        <v>1230</v>
      </c>
      <c r="G725" s="391" t="s">
        <v>1114</v>
      </c>
      <c r="H725" s="391" t="s">
        <v>15</v>
      </c>
      <c r="I725" s="391">
        <v>15</v>
      </c>
      <c r="J725" s="392" t="s">
        <v>1125</v>
      </c>
      <c r="K725" s="393">
        <f>(15*25)</f>
        <v>375</v>
      </c>
      <c r="L725" s="228" t="s">
        <v>1398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>
      <c r="A726" s="390" t="s">
        <v>1381</v>
      </c>
      <c r="B726" s="391" t="s">
        <v>129</v>
      </c>
      <c r="C726" s="391">
        <v>50</v>
      </c>
      <c r="D726" s="391" t="s">
        <v>744</v>
      </c>
      <c r="E726" s="391">
        <v>55</v>
      </c>
      <c r="F726" s="391" t="s">
        <v>1231</v>
      </c>
      <c r="G726" s="391" t="s">
        <v>311</v>
      </c>
      <c r="H726" s="391" t="s">
        <v>15</v>
      </c>
      <c r="I726" s="391">
        <v>25</v>
      </c>
      <c r="J726" s="392" t="s">
        <v>196</v>
      </c>
      <c r="K726" s="393">
        <f>(25*35)</f>
        <v>875</v>
      </c>
      <c r="L726" s="58"/>
      <c r="M726" s="58"/>
      <c r="N726" s="229"/>
      <c r="O726" s="186" t="s">
        <v>1403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>
      <c r="A727" s="390" t="s">
        <v>1381</v>
      </c>
      <c r="B727" s="391" t="s">
        <v>129</v>
      </c>
      <c r="C727" s="391">
        <v>50</v>
      </c>
      <c r="D727" s="391" t="s">
        <v>744</v>
      </c>
      <c r="E727" s="391">
        <v>57</v>
      </c>
      <c r="F727" s="391" t="s">
        <v>618</v>
      </c>
      <c r="G727" s="391" t="s">
        <v>311</v>
      </c>
      <c r="H727" s="391" t="s">
        <v>15</v>
      </c>
      <c r="I727" s="391">
        <v>15</v>
      </c>
      <c r="J727" s="392" t="s">
        <v>137</v>
      </c>
      <c r="K727" s="393">
        <f>(15*35)</f>
        <v>525</v>
      </c>
      <c r="L727" s="228" t="s">
        <v>1398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>
      <c r="A728" s="390" t="s">
        <v>1381</v>
      </c>
      <c r="B728" s="391" t="s">
        <v>129</v>
      </c>
      <c r="C728" s="391">
        <v>50</v>
      </c>
      <c r="D728" s="391" t="s">
        <v>126</v>
      </c>
      <c r="E728" s="391">
        <v>2</v>
      </c>
      <c r="F728" s="391" t="s">
        <v>1232</v>
      </c>
      <c r="G728" s="391" t="s">
        <v>423</v>
      </c>
      <c r="H728" s="391" t="s">
        <v>15</v>
      </c>
      <c r="I728" s="391">
        <v>20</v>
      </c>
      <c r="J728" s="392" t="s">
        <v>926</v>
      </c>
      <c r="K728" s="393">
        <f>(19*33)+(1*28.7)</f>
        <v>655.7</v>
      </c>
      <c r="L728" s="228"/>
      <c r="M728" s="58"/>
      <c r="N728" s="229"/>
      <c r="O728" s="186" t="s">
        <v>1406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>
      <c r="A729" s="390" t="s">
        <v>1381</v>
      </c>
      <c r="B729" s="391" t="s">
        <v>129</v>
      </c>
      <c r="C729" s="391">
        <v>50</v>
      </c>
      <c r="D729" s="391" t="s">
        <v>126</v>
      </c>
      <c r="E729" s="391">
        <v>190</v>
      </c>
      <c r="F729" s="391" t="s">
        <v>319</v>
      </c>
      <c r="G729" s="391" t="s">
        <v>1240</v>
      </c>
      <c r="H729" s="391" t="s">
        <v>15</v>
      </c>
      <c r="I729" s="391">
        <v>20</v>
      </c>
      <c r="J729" s="392" t="s">
        <v>360</v>
      </c>
      <c r="K729" s="393">
        <f>(19*38)+(1*33.7)</f>
        <v>755.7</v>
      </c>
      <c r="L729" s="58"/>
      <c r="M729" s="58"/>
      <c r="N729" s="229"/>
      <c r="O729" s="186" t="s">
        <v>1403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>
      <c r="A730" s="390" t="s">
        <v>1381</v>
      </c>
      <c r="B730" s="391" t="s">
        <v>129</v>
      </c>
      <c r="C730" s="391">
        <v>50</v>
      </c>
      <c r="D730" s="391" t="s">
        <v>404</v>
      </c>
      <c r="E730" s="391">
        <v>75</v>
      </c>
      <c r="F730" s="391" t="s">
        <v>543</v>
      </c>
      <c r="G730" s="391" t="s">
        <v>1241</v>
      </c>
      <c r="H730" s="391" t="s">
        <v>15</v>
      </c>
      <c r="I730" s="391">
        <v>20</v>
      </c>
      <c r="J730" s="392" t="s">
        <v>359</v>
      </c>
      <c r="K730" s="393">
        <f>(19*37)+(1*32.7)</f>
        <v>735.7</v>
      </c>
      <c r="L730" s="58"/>
      <c r="M730" s="58"/>
      <c r="N730" s="229"/>
      <c r="O730" s="186" t="s">
        <v>1406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>
      <c r="A731" s="390" t="s">
        <v>1381</v>
      </c>
      <c r="B731" s="391" t="s">
        <v>129</v>
      </c>
      <c r="C731" s="391">
        <v>50</v>
      </c>
      <c r="D731" s="391" t="s">
        <v>7</v>
      </c>
      <c r="E731" s="391">
        <v>66</v>
      </c>
      <c r="F731" s="391" t="s">
        <v>1233</v>
      </c>
      <c r="G731" s="391" t="s">
        <v>1226</v>
      </c>
      <c r="H731" s="391" t="s">
        <v>15</v>
      </c>
      <c r="I731" s="391">
        <v>15</v>
      </c>
      <c r="J731" s="392" t="s">
        <v>1244</v>
      </c>
      <c r="K731" s="393">
        <f>(13*28)+(2*20.3)</f>
        <v>404.6</v>
      </c>
      <c r="L731" s="58"/>
      <c r="M731" s="58"/>
      <c r="N731" s="229"/>
      <c r="O731" s="21"/>
      <c r="P731" s="21"/>
      <c r="Q731" s="187"/>
      <c r="R731" s="295" t="s">
        <v>1384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>
      <c r="A732" s="390" t="s">
        <v>1381</v>
      </c>
      <c r="B732" s="391" t="s">
        <v>129</v>
      </c>
      <c r="C732" s="391">
        <v>50</v>
      </c>
      <c r="D732" s="391" t="s">
        <v>7</v>
      </c>
      <c r="E732" s="391">
        <v>522</v>
      </c>
      <c r="F732" s="391" t="s">
        <v>1234</v>
      </c>
      <c r="G732" s="391" t="s">
        <v>247</v>
      </c>
      <c r="H732" s="391" t="s">
        <v>15</v>
      </c>
      <c r="I732" s="391">
        <v>20</v>
      </c>
      <c r="J732" s="392" t="s">
        <v>360</v>
      </c>
      <c r="K732" s="393">
        <f>(19*38)+(1*33.7)</f>
        <v>755.7</v>
      </c>
      <c r="L732" s="228" t="s">
        <v>1398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>
      <c r="A733" s="390" t="s">
        <v>1381</v>
      </c>
      <c r="B733" s="391" t="s">
        <v>129</v>
      </c>
      <c r="C733" s="391">
        <v>50</v>
      </c>
      <c r="D733" s="391" t="s">
        <v>7</v>
      </c>
      <c r="E733" s="391">
        <v>536</v>
      </c>
      <c r="F733" s="391" t="s">
        <v>704</v>
      </c>
      <c r="G733" s="391" t="s">
        <v>898</v>
      </c>
      <c r="H733" s="391" t="s">
        <v>5</v>
      </c>
      <c r="I733" s="391">
        <v>20</v>
      </c>
      <c r="J733" s="392" t="s">
        <v>1245</v>
      </c>
      <c r="K733" s="393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1384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thickBot="1">
      <c r="A734" s="390" t="s">
        <v>1381</v>
      </c>
      <c r="B734" s="394" t="s">
        <v>129</v>
      </c>
      <c r="C734" s="394">
        <v>50</v>
      </c>
      <c r="D734" s="394" t="s">
        <v>7</v>
      </c>
      <c r="E734" s="394">
        <v>543</v>
      </c>
      <c r="F734" s="394" t="s">
        <v>980</v>
      </c>
      <c r="G734" s="394" t="s">
        <v>898</v>
      </c>
      <c r="H734" s="394" t="s">
        <v>15</v>
      </c>
      <c r="I734" s="394">
        <v>20</v>
      </c>
      <c r="J734" s="395" t="s">
        <v>809</v>
      </c>
      <c r="K734" s="396">
        <f>(19*28)+(1*23.7)</f>
        <v>555.70000000000005</v>
      </c>
      <c r="L734" s="58"/>
      <c r="M734" s="58"/>
      <c r="N734" s="229"/>
      <c r="O734" s="186" t="s">
        <v>1406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>
      <c r="A735" s="390" t="s">
        <v>1381</v>
      </c>
      <c r="B735" s="387" t="s">
        <v>129</v>
      </c>
      <c r="C735" s="387">
        <v>50</v>
      </c>
      <c r="D735" s="387" t="s">
        <v>7</v>
      </c>
      <c r="E735" s="387">
        <v>602</v>
      </c>
      <c r="F735" s="387" t="s">
        <v>1235</v>
      </c>
      <c r="G735" s="387" t="s">
        <v>863</v>
      </c>
      <c r="H735" s="387" t="s">
        <v>15</v>
      </c>
      <c r="I735" s="387">
        <v>20</v>
      </c>
      <c r="J735" s="388" t="s">
        <v>1245</v>
      </c>
      <c r="K735" s="389">
        <f>(19*26)+(1*21.7)</f>
        <v>515.70000000000005</v>
      </c>
      <c r="L735" s="58"/>
      <c r="M735" s="58"/>
      <c r="N735" s="229"/>
      <c r="O735" s="186" t="s">
        <v>1402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>
      <c r="A736" s="390" t="s">
        <v>1381</v>
      </c>
      <c r="B736" s="391" t="s">
        <v>129</v>
      </c>
      <c r="C736" s="391">
        <v>50</v>
      </c>
      <c r="D736" s="391" t="s">
        <v>7</v>
      </c>
      <c r="E736" s="391">
        <v>603</v>
      </c>
      <c r="F736" s="391" t="s">
        <v>1236</v>
      </c>
      <c r="G736" s="391" t="s">
        <v>863</v>
      </c>
      <c r="H736" s="391" t="s">
        <v>15</v>
      </c>
      <c r="I736" s="391">
        <v>20</v>
      </c>
      <c r="J736" s="392" t="s">
        <v>1245</v>
      </c>
      <c r="K736" s="393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1384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>
      <c r="A737" s="390" t="s">
        <v>1381</v>
      </c>
      <c r="B737" s="391" t="s">
        <v>129</v>
      </c>
      <c r="C737" s="391">
        <v>50</v>
      </c>
      <c r="D737" s="391" t="s">
        <v>7</v>
      </c>
      <c r="E737" s="391">
        <v>667</v>
      </c>
      <c r="F737" s="391" t="s">
        <v>1237</v>
      </c>
      <c r="G737" s="391" t="s">
        <v>1191</v>
      </c>
      <c r="H737" s="391" t="s">
        <v>15</v>
      </c>
      <c r="I737" s="391">
        <v>30</v>
      </c>
      <c r="J737" s="392" t="s">
        <v>1196</v>
      </c>
      <c r="K737" s="393">
        <f>(30*25)</f>
        <v>750</v>
      </c>
      <c r="L737" s="58"/>
      <c r="M737" s="58"/>
      <c r="N737" s="229"/>
      <c r="O737" s="186"/>
      <c r="P737" s="21"/>
      <c r="Q737" s="187"/>
      <c r="R737" s="295" t="s">
        <v>1384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>
      <c r="A738" s="390" t="s">
        <v>1381</v>
      </c>
      <c r="B738" s="391" t="s">
        <v>129</v>
      </c>
      <c r="C738" s="391">
        <v>50</v>
      </c>
      <c r="D738" s="391" t="s">
        <v>56</v>
      </c>
      <c r="E738" s="391">
        <v>41</v>
      </c>
      <c r="F738" s="391" t="s">
        <v>1238</v>
      </c>
      <c r="G738" s="391" t="s">
        <v>1116</v>
      </c>
      <c r="H738" s="391" t="s">
        <v>5</v>
      </c>
      <c r="I738" s="391">
        <v>20</v>
      </c>
      <c r="J738" s="392" t="s">
        <v>370</v>
      </c>
      <c r="K738" s="393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1384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>
      <c r="A739" s="390" t="s">
        <v>1381</v>
      </c>
      <c r="B739" s="391" t="s">
        <v>129</v>
      </c>
      <c r="C739" s="391">
        <v>46</v>
      </c>
      <c r="D739" s="391" t="s">
        <v>126</v>
      </c>
      <c r="E739" s="391">
        <v>24</v>
      </c>
      <c r="F739" s="391" t="s">
        <v>1164</v>
      </c>
      <c r="G739" s="391" t="s">
        <v>246</v>
      </c>
      <c r="H739" s="391" t="s">
        <v>15</v>
      </c>
      <c r="I739" s="391">
        <v>20</v>
      </c>
      <c r="J739" s="392" t="s">
        <v>356</v>
      </c>
      <c r="K739" s="393">
        <f>(19*35)+(1*30.7)</f>
        <v>695.7</v>
      </c>
      <c r="L739" s="58"/>
      <c r="M739" s="58"/>
      <c r="N739" s="229"/>
      <c r="O739" s="186" t="s">
        <v>1393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>
      <c r="A740" s="390" t="s">
        <v>1381</v>
      </c>
      <c r="B740" s="391" t="s">
        <v>129</v>
      </c>
      <c r="C740" s="391">
        <v>46</v>
      </c>
      <c r="D740" s="391" t="s">
        <v>126</v>
      </c>
      <c r="E740" s="391">
        <v>25</v>
      </c>
      <c r="F740" s="391" t="s">
        <v>714</v>
      </c>
      <c r="G740" s="391" t="s">
        <v>246</v>
      </c>
      <c r="H740" s="391" t="s">
        <v>15</v>
      </c>
      <c r="I740" s="391">
        <v>20</v>
      </c>
      <c r="J740" s="392" t="s">
        <v>356</v>
      </c>
      <c r="K740" s="393">
        <f>(19*35)+(1*30.7)</f>
        <v>695.7</v>
      </c>
      <c r="L740" s="58"/>
      <c r="M740" s="58"/>
      <c r="N740" s="229"/>
      <c r="O740" s="186" t="s">
        <v>1396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>
      <c r="A741" s="390" t="s">
        <v>1381</v>
      </c>
      <c r="B741" s="391" t="s">
        <v>129</v>
      </c>
      <c r="C741" s="391">
        <v>46</v>
      </c>
      <c r="D741" s="391" t="s">
        <v>7</v>
      </c>
      <c r="E741" s="391">
        <v>508</v>
      </c>
      <c r="F741" s="391" t="s">
        <v>1246</v>
      </c>
      <c r="G741" s="391" t="s">
        <v>1191</v>
      </c>
      <c r="H741" s="391" t="s">
        <v>15</v>
      </c>
      <c r="I741" s="391">
        <v>20</v>
      </c>
      <c r="J741" s="392" t="s">
        <v>1257</v>
      </c>
      <c r="K741" s="393">
        <f>(20*25)</f>
        <v>500</v>
      </c>
      <c r="L741" s="58"/>
      <c r="M741" s="58"/>
      <c r="N741" s="229"/>
      <c r="O741" s="186" t="s">
        <v>1384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>
      <c r="A742" s="390" t="s">
        <v>1381</v>
      </c>
      <c r="B742" s="391" t="s">
        <v>129</v>
      </c>
      <c r="C742" s="391">
        <v>46</v>
      </c>
      <c r="D742" s="391" t="s">
        <v>7</v>
      </c>
      <c r="E742" s="391">
        <v>709</v>
      </c>
      <c r="F742" s="391" t="s">
        <v>1247</v>
      </c>
      <c r="G742" s="391" t="s">
        <v>1254</v>
      </c>
      <c r="H742" s="391" t="s">
        <v>15</v>
      </c>
      <c r="I742" s="391">
        <v>15</v>
      </c>
      <c r="J742" s="392" t="s">
        <v>142</v>
      </c>
      <c r="K742" s="393">
        <f>(15*36)</f>
        <v>540</v>
      </c>
      <c r="L742" s="58"/>
      <c r="M742" s="58"/>
      <c r="N742" s="229"/>
      <c r="O742" s="186" t="s">
        <v>1384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>
      <c r="A743" s="390" t="s">
        <v>1381</v>
      </c>
      <c r="B743" s="391" t="s">
        <v>129</v>
      </c>
      <c r="C743" s="391">
        <v>46</v>
      </c>
      <c r="D743" s="391" t="s">
        <v>7</v>
      </c>
      <c r="E743" s="391">
        <v>827</v>
      </c>
      <c r="F743" s="391" t="s">
        <v>1248</v>
      </c>
      <c r="G743" s="391" t="s">
        <v>365</v>
      </c>
      <c r="H743" s="391" t="s">
        <v>15</v>
      </c>
      <c r="I743" s="391">
        <v>15</v>
      </c>
      <c r="J743" s="392" t="s">
        <v>137</v>
      </c>
      <c r="K743" s="393">
        <f>(15*35)</f>
        <v>525</v>
      </c>
      <c r="L743" s="58"/>
      <c r="M743" s="58"/>
      <c r="N743" s="229"/>
      <c r="O743" s="186" t="s">
        <v>1384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>
      <c r="A744" s="390" t="s">
        <v>1381</v>
      </c>
      <c r="B744" s="391" t="s">
        <v>129</v>
      </c>
      <c r="C744" s="391">
        <v>46</v>
      </c>
      <c r="D744" s="391" t="s">
        <v>7</v>
      </c>
      <c r="E744" s="391">
        <v>882</v>
      </c>
      <c r="F744" s="391" t="s">
        <v>892</v>
      </c>
      <c r="G744" s="391" t="s">
        <v>204</v>
      </c>
      <c r="H744" s="391" t="s">
        <v>15</v>
      </c>
      <c r="I744" s="391">
        <v>13</v>
      </c>
      <c r="J744" s="392" t="s">
        <v>238</v>
      </c>
      <c r="K744" s="393">
        <f>(13*40)</f>
        <v>520</v>
      </c>
      <c r="L744" s="58"/>
      <c r="M744" s="58"/>
      <c r="N744" s="229"/>
      <c r="O744" s="186" t="s">
        <v>1396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>
      <c r="A745" s="390" t="s">
        <v>1381</v>
      </c>
      <c r="B745" s="391" t="s">
        <v>129</v>
      </c>
      <c r="C745" s="391">
        <v>46</v>
      </c>
      <c r="D745" s="391" t="s">
        <v>7</v>
      </c>
      <c r="E745" s="391">
        <v>883</v>
      </c>
      <c r="F745" s="391" t="s">
        <v>254</v>
      </c>
      <c r="G745" s="391" t="s">
        <v>204</v>
      </c>
      <c r="H745" s="391" t="s">
        <v>15</v>
      </c>
      <c r="I745" s="391">
        <v>20</v>
      </c>
      <c r="J745" s="392" t="s">
        <v>358</v>
      </c>
      <c r="K745" s="393">
        <f>(19*40)+(1*35.7)</f>
        <v>795.7</v>
      </c>
      <c r="L745" s="58"/>
      <c r="M745" s="58"/>
      <c r="N745" s="229"/>
      <c r="O745" s="186" t="s">
        <v>1393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>
      <c r="A746" s="390" t="s">
        <v>1381</v>
      </c>
      <c r="B746" s="391" t="s">
        <v>129</v>
      </c>
      <c r="C746" s="391">
        <v>46</v>
      </c>
      <c r="D746" s="391" t="s">
        <v>7</v>
      </c>
      <c r="E746" s="391">
        <v>931</v>
      </c>
      <c r="F746" s="391" t="s">
        <v>1249</v>
      </c>
      <c r="G746" s="391" t="s">
        <v>1255</v>
      </c>
      <c r="H746" s="391" t="s">
        <v>15</v>
      </c>
      <c r="I746" s="391">
        <v>20</v>
      </c>
      <c r="J746" s="392" t="s">
        <v>927</v>
      </c>
      <c r="K746" s="393">
        <f>(19*25)+(1*20.7)</f>
        <v>495.7</v>
      </c>
      <c r="L746" s="58"/>
      <c r="M746" s="58"/>
      <c r="N746" s="229"/>
      <c r="O746" s="186" t="s">
        <v>1384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>
      <c r="A747" s="390" t="s">
        <v>1381</v>
      </c>
      <c r="B747" s="391" t="s">
        <v>129</v>
      </c>
      <c r="C747" s="391">
        <v>46</v>
      </c>
      <c r="D747" s="391" t="s">
        <v>7</v>
      </c>
      <c r="E747" s="391">
        <v>956</v>
      </c>
      <c r="F747" s="391" t="s">
        <v>1250</v>
      </c>
      <c r="G747" s="391" t="s">
        <v>1000</v>
      </c>
      <c r="H747" s="391" t="s">
        <v>15</v>
      </c>
      <c r="I747" s="391">
        <v>20</v>
      </c>
      <c r="J747" s="392" t="s">
        <v>1200</v>
      </c>
      <c r="K747" s="393">
        <f>(19*26)+(1*18.3)</f>
        <v>512.29999999999995</v>
      </c>
      <c r="L747" s="58"/>
      <c r="M747" s="58"/>
      <c r="N747" s="229"/>
      <c r="O747" s="186" t="s">
        <v>1398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>
      <c r="A748" s="390" t="s">
        <v>1381</v>
      </c>
      <c r="B748" s="391" t="s">
        <v>129</v>
      </c>
      <c r="C748" s="391">
        <v>46</v>
      </c>
      <c r="D748" s="391" t="s">
        <v>7</v>
      </c>
      <c r="E748" s="391">
        <v>957</v>
      </c>
      <c r="F748" s="391" t="s">
        <v>1251</v>
      </c>
      <c r="G748" s="391" t="s">
        <v>1000</v>
      </c>
      <c r="H748" s="391" t="s">
        <v>15</v>
      </c>
      <c r="I748" s="391">
        <v>30</v>
      </c>
      <c r="J748" s="392" t="s">
        <v>323</v>
      </c>
      <c r="K748" s="393">
        <f>(30*26)</f>
        <v>780</v>
      </c>
      <c r="L748" s="58"/>
      <c r="M748" s="58"/>
      <c r="N748" s="229"/>
      <c r="O748" s="186" t="s">
        <v>1398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>
      <c r="A749" s="390" t="s">
        <v>1381</v>
      </c>
      <c r="B749" s="391" t="s">
        <v>129</v>
      </c>
      <c r="C749" s="391">
        <v>46</v>
      </c>
      <c r="D749" s="391" t="s">
        <v>7</v>
      </c>
      <c r="E749" s="391">
        <v>964</v>
      </c>
      <c r="F749" s="391" t="s">
        <v>1252</v>
      </c>
      <c r="G749" s="391" t="s">
        <v>1256</v>
      </c>
      <c r="H749" s="391" t="s">
        <v>15</v>
      </c>
      <c r="I749" s="391">
        <v>20</v>
      </c>
      <c r="J749" s="392" t="s">
        <v>1199</v>
      </c>
      <c r="K749" s="393">
        <f>(19*25)+(1*17.3)</f>
        <v>492.3</v>
      </c>
      <c r="L749" s="228"/>
      <c r="M749" s="58"/>
      <c r="N749" s="229"/>
      <c r="O749" s="186" t="s">
        <v>1398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>
      <c r="A750" s="390" t="s">
        <v>1381</v>
      </c>
      <c r="B750" s="391" t="s">
        <v>129</v>
      </c>
      <c r="C750" s="391">
        <v>46</v>
      </c>
      <c r="D750" s="391" t="s">
        <v>7</v>
      </c>
      <c r="E750" s="391">
        <v>965</v>
      </c>
      <c r="F750" s="391" t="s">
        <v>1253</v>
      </c>
      <c r="G750" s="391" t="s">
        <v>1256</v>
      </c>
      <c r="H750" s="391" t="s">
        <v>15</v>
      </c>
      <c r="I750" s="391">
        <v>40</v>
      </c>
      <c r="J750" s="392" t="s">
        <v>430</v>
      </c>
      <c r="K750" s="393">
        <f>(39*25)+(1*17.3)</f>
        <v>992.3</v>
      </c>
      <c r="L750" s="228"/>
      <c r="M750" s="58"/>
      <c r="N750" s="229"/>
      <c r="O750" s="186" t="s">
        <v>1393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>
      <c r="A751" s="390" t="s">
        <v>1381</v>
      </c>
      <c r="B751" s="391" t="s">
        <v>129</v>
      </c>
      <c r="C751" s="391">
        <v>46</v>
      </c>
      <c r="D751" s="391" t="s">
        <v>7</v>
      </c>
      <c r="E751" s="391">
        <v>1004</v>
      </c>
      <c r="F751" s="391" t="s">
        <v>734</v>
      </c>
      <c r="G751" s="391" t="s">
        <v>654</v>
      </c>
      <c r="H751" s="391" t="s">
        <v>5</v>
      </c>
      <c r="I751" s="391">
        <v>20</v>
      </c>
      <c r="J751" s="392" t="s">
        <v>360</v>
      </c>
      <c r="K751" s="393">
        <f>(19*38)+(1*33.7)</f>
        <v>755.7</v>
      </c>
      <c r="L751" s="58"/>
      <c r="M751" s="58"/>
      <c r="N751" s="229"/>
      <c r="O751" s="186" t="s">
        <v>1398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>
      <c r="A752" s="390" t="s">
        <v>1381</v>
      </c>
      <c r="B752" s="391" t="s">
        <v>129</v>
      </c>
      <c r="C752" s="391">
        <v>46</v>
      </c>
      <c r="D752" s="391" t="s">
        <v>7</v>
      </c>
      <c r="E752" s="391">
        <v>1007</v>
      </c>
      <c r="F752" s="391" t="s">
        <v>640</v>
      </c>
      <c r="G752" s="391" t="s">
        <v>654</v>
      </c>
      <c r="H752" s="391" t="s">
        <v>15</v>
      </c>
      <c r="I752" s="391">
        <v>20</v>
      </c>
      <c r="J752" s="392" t="s">
        <v>358</v>
      </c>
      <c r="K752" s="393">
        <f>(19*40)+(1*35.7)</f>
        <v>795.7</v>
      </c>
      <c r="L752" s="58"/>
      <c r="M752" s="58"/>
      <c r="N752" s="229"/>
      <c r="O752" s="186" t="s">
        <v>1398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>
      <c r="A753" s="390" t="s">
        <v>1381</v>
      </c>
      <c r="B753" s="391" t="s">
        <v>129</v>
      </c>
      <c r="C753" s="391">
        <v>46</v>
      </c>
      <c r="D753" s="391" t="s">
        <v>7</v>
      </c>
      <c r="E753" s="391">
        <v>1027</v>
      </c>
      <c r="F753" s="391" t="s">
        <v>579</v>
      </c>
      <c r="G753" s="391" t="s">
        <v>366</v>
      </c>
      <c r="H753" s="391" t="s">
        <v>15</v>
      </c>
      <c r="I753" s="391">
        <v>14</v>
      </c>
      <c r="J753" s="392" t="s">
        <v>668</v>
      </c>
      <c r="K753" s="393">
        <f>(13*34)+(1*26.3)</f>
        <v>468.3</v>
      </c>
      <c r="L753" s="58"/>
      <c r="M753" s="58"/>
      <c r="N753" s="229"/>
      <c r="O753" s="186" t="s">
        <v>1384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>
      <c r="A754" s="390" t="s">
        <v>1381</v>
      </c>
      <c r="B754" s="391" t="s">
        <v>129</v>
      </c>
      <c r="C754" s="391">
        <v>46</v>
      </c>
      <c r="D754" s="391" t="s">
        <v>7</v>
      </c>
      <c r="E754" s="391">
        <v>1040</v>
      </c>
      <c r="F754" s="391" t="s">
        <v>811</v>
      </c>
      <c r="G754" s="391" t="s">
        <v>227</v>
      </c>
      <c r="H754" s="391" t="s">
        <v>15</v>
      </c>
      <c r="I754" s="391">
        <v>30</v>
      </c>
      <c r="J754" s="392" t="s">
        <v>869</v>
      </c>
      <c r="K754" s="393">
        <f>(29*33)+(1*25.3)</f>
        <v>982.3</v>
      </c>
      <c r="L754" s="58"/>
      <c r="M754" s="58"/>
      <c r="N754" s="229"/>
      <c r="O754" s="186" t="s">
        <v>1398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>
      <c r="A755" s="390" t="s">
        <v>1381</v>
      </c>
      <c r="B755" s="391" t="s">
        <v>129</v>
      </c>
      <c r="C755" s="391">
        <v>46</v>
      </c>
      <c r="D755" s="391" t="s">
        <v>7</v>
      </c>
      <c r="E755" s="391">
        <v>1041</v>
      </c>
      <c r="F755" s="391" t="s">
        <v>658</v>
      </c>
      <c r="G755" s="391" t="s">
        <v>227</v>
      </c>
      <c r="H755" s="391" t="s">
        <v>15</v>
      </c>
      <c r="I755" s="391">
        <v>30</v>
      </c>
      <c r="J755" s="392" t="s">
        <v>869</v>
      </c>
      <c r="K755" s="393">
        <f>(29*33)+(1*25.3)</f>
        <v>982.3</v>
      </c>
      <c r="L755" s="228" t="s">
        <v>1389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>
      <c r="A756" s="390" t="s">
        <v>1381</v>
      </c>
      <c r="B756" s="391" t="s">
        <v>129</v>
      </c>
      <c r="C756" s="391">
        <v>46</v>
      </c>
      <c r="D756" s="391" t="s">
        <v>7</v>
      </c>
      <c r="E756" s="391">
        <v>1090</v>
      </c>
      <c r="F756" s="391" t="s">
        <v>682</v>
      </c>
      <c r="G756" s="391" t="s">
        <v>865</v>
      </c>
      <c r="H756" s="391" t="s">
        <v>5</v>
      </c>
      <c r="I756" s="391">
        <v>20</v>
      </c>
      <c r="J756" s="392" t="s">
        <v>370</v>
      </c>
      <c r="K756" s="393">
        <f>(19*34)+(1*29.7)</f>
        <v>675.7</v>
      </c>
      <c r="L756" s="58"/>
      <c r="M756" s="58"/>
      <c r="N756" s="229"/>
      <c r="O756" s="186" t="s">
        <v>1384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>
      <c r="A757" s="390" t="s">
        <v>1381</v>
      </c>
      <c r="B757" s="391" t="s">
        <v>129</v>
      </c>
      <c r="C757" s="391">
        <v>46</v>
      </c>
      <c r="D757" s="391" t="s">
        <v>7</v>
      </c>
      <c r="E757" s="391">
        <v>1265</v>
      </c>
      <c r="F757" s="391" t="s">
        <v>846</v>
      </c>
      <c r="G757" s="391" t="s">
        <v>176</v>
      </c>
      <c r="H757" s="391" t="s">
        <v>5</v>
      </c>
      <c r="I757" s="391">
        <v>20</v>
      </c>
      <c r="J757" s="392" t="s">
        <v>133</v>
      </c>
      <c r="K757" s="393">
        <f>(20*34)</f>
        <v>680</v>
      </c>
      <c r="L757" s="228"/>
      <c r="M757" s="58"/>
      <c r="N757" s="229"/>
      <c r="O757" s="186" t="s">
        <v>1398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>
      <c r="A758" s="390" t="s">
        <v>1381</v>
      </c>
      <c r="B758" s="391" t="s">
        <v>129</v>
      </c>
      <c r="C758" s="391">
        <v>46</v>
      </c>
      <c r="D758" s="391" t="s">
        <v>7</v>
      </c>
      <c r="E758" s="391">
        <v>1269</v>
      </c>
      <c r="F758" s="391" t="s">
        <v>232</v>
      </c>
      <c r="G758" s="391" t="s">
        <v>176</v>
      </c>
      <c r="H758" s="391" t="s">
        <v>15</v>
      </c>
      <c r="I758" s="391">
        <v>20</v>
      </c>
      <c r="J758" s="392" t="s">
        <v>125</v>
      </c>
      <c r="K758" s="393">
        <f>(20*35)</f>
        <v>700</v>
      </c>
      <c r="L758" s="228"/>
      <c r="M758" s="58"/>
      <c r="N758" s="229"/>
      <c r="O758" s="186" t="s">
        <v>1398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>
      <c r="A759" s="390" t="s">
        <v>1381</v>
      </c>
      <c r="B759" s="391" t="s">
        <v>129</v>
      </c>
      <c r="C759" s="391">
        <v>46</v>
      </c>
      <c r="D759" s="391" t="s">
        <v>7</v>
      </c>
      <c r="E759" s="391">
        <v>1270</v>
      </c>
      <c r="F759" s="391" t="s">
        <v>431</v>
      </c>
      <c r="G759" s="391" t="s">
        <v>176</v>
      </c>
      <c r="H759" s="391" t="s">
        <v>15</v>
      </c>
      <c r="I759" s="391">
        <v>15</v>
      </c>
      <c r="J759" s="392" t="s">
        <v>357</v>
      </c>
      <c r="K759" s="393">
        <f>(14*35)+(1*27.3)</f>
        <v>517.29999999999995</v>
      </c>
      <c r="L759" s="228" t="s">
        <v>1389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>
      <c r="A760" s="390" t="s">
        <v>1381</v>
      </c>
      <c r="B760" s="391" t="s">
        <v>129</v>
      </c>
      <c r="C760" s="391">
        <v>46</v>
      </c>
      <c r="D760" s="391" t="s">
        <v>56</v>
      </c>
      <c r="E760" s="391">
        <v>497</v>
      </c>
      <c r="F760" s="391" t="s">
        <v>572</v>
      </c>
      <c r="G760" s="391" t="s">
        <v>1122</v>
      </c>
      <c r="H760" s="391" t="s">
        <v>5</v>
      </c>
      <c r="I760" s="391">
        <v>30</v>
      </c>
      <c r="J760" s="392" t="s">
        <v>403</v>
      </c>
      <c r="K760" s="393">
        <f>(29*35)+(1*27.3)</f>
        <v>1042.3</v>
      </c>
      <c r="L760" s="58"/>
      <c r="M760" s="58"/>
      <c r="N760" s="229"/>
      <c r="O760" s="186" t="s">
        <v>1384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>
      <c r="A761" s="390" t="s">
        <v>1381</v>
      </c>
      <c r="B761" s="391" t="s">
        <v>129</v>
      </c>
      <c r="C761" s="391">
        <v>46</v>
      </c>
      <c r="D761" s="391" t="s">
        <v>56</v>
      </c>
      <c r="E761" s="391">
        <v>498</v>
      </c>
      <c r="F761" s="391" t="s">
        <v>737</v>
      </c>
      <c r="G761" s="391" t="s">
        <v>1122</v>
      </c>
      <c r="H761" s="391" t="s">
        <v>15</v>
      </c>
      <c r="I761" s="391">
        <v>30</v>
      </c>
      <c r="J761" s="392" t="s">
        <v>367</v>
      </c>
      <c r="K761" s="393">
        <f>(29*36)+(1*28.3)</f>
        <v>1072.3</v>
      </c>
      <c r="L761" s="58"/>
      <c r="M761" s="58"/>
      <c r="N761" s="229"/>
      <c r="O761" s="186" t="s">
        <v>1384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>
      <c r="A762" s="390" t="s">
        <v>1381</v>
      </c>
      <c r="B762" s="391" t="s">
        <v>129</v>
      </c>
      <c r="C762" s="391">
        <v>48</v>
      </c>
      <c r="D762" s="391" t="s">
        <v>744</v>
      </c>
      <c r="E762" s="391">
        <v>91</v>
      </c>
      <c r="F762" s="391" t="s">
        <v>1258</v>
      </c>
      <c r="G762" s="391" t="s">
        <v>1261</v>
      </c>
      <c r="H762" s="391" t="s">
        <v>5</v>
      </c>
      <c r="I762" s="391">
        <v>12</v>
      </c>
      <c r="J762" s="392" t="s">
        <v>1268</v>
      </c>
      <c r="K762" s="393">
        <f>(9*34)+(3*26.3)</f>
        <v>384.9</v>
      </c>
      <c r="L762" s="58"/>
      <c r="M762" s="58"/>
      <c r="N762" s="229"/>
      <c r="O762" s="21"/>
      <c r="P762" s="21"/>
      <c r="Q762" s="187"/>
      <c r="R762" s="295" t="s">
        <v>1382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>
      <c r="A763" s="390" t="s">
        <v>1381</v>
      </c>
      <c r="B763" s="391" t="s">
        <v>129</v>
      </c>
      <c r="C763" s="391">
        <v>48</v>
      </c>
      <c r="D763" s="391" t="s">
        <v>126</v>
      </c>
      <c r="E763" s="391">
        <v>13</v>
      </c>
      <c r="F763" s="391" t="s">
        <v>1259</v>
      </c>
      <c r="G763" s="391" t="s">
        <v>423</v>
      </c>
      <c r="H763" s="391" t="s">
        <v>15</v>
      </c>
      <c r="I763" s="391">
        <v>20</v>
      </c>
      <c r="J763" s="392" t="s">
        <v>926</v>
      </c>
      <c r="K763" s="393">
        <f>(19*33)+(1*28.7)</f>
        <v>655.7</v>
      </c>
      <c r="L763" s="228" t="s">
        <v>1393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>
      <c r="A764" s="390" t="s">
        <v>1381</v>
      </c>
      <c r="B764" s="391" t="s">
        <v>129</v>
      </c>
      <c r="C764" s="391">
        <v>48</v>
      </c>
      <c r="D764" s="391" t="s">
        <v>126</v>
      </c>
      <c r="E764" s="391">
        <v>15</v>
      </c>
      <c r="F764" s="391" t="s">
        <v>1260</v>
      </c>
      <c r="G764" s="391" t="s">
        <v>423</v>
      </c>
      <c r="H764" s="391" t="s">
        <v>15</v>
      </c>
      <c r="I764" s="391">
        <v>20</v>
      </c>
      <c r="J764" s="392" t="s">
        <v>1269</v>
      </c>
      <c r="K764" s="393">
        <f>(18*33)+(2*28.7)</f>
        <v>651.4</v>
      </c>
      <c r="L764" s="58"/>
      <c r="M764" s="58"/>
      <c r="N764" s="229"/>
      <c r="O764" s="186" t="s">
        <v>1396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>
      <c r="A765" s="390" t="s">
        <v>1381</v>
      </c>
      <c r="B765" s="391" t="s">
        <v>129</v>
      </c>
      <c r="C765" s="391">
        <v>48</v>
      </c>
      <c r="D765" s="391" t="s">
        <v>404</v>
      </c>
      <c r="E765" s="391">
        <v>144</v>
      </c>
      <c r="F765" s="391" t="s">
        <v>181</v>
      </c>
      <c r="G765" s="391" t="s">
        <v>1262</v>
      </c>
      <c r="H765" s="391" t="s">
        <v>15</v>
      </c>
      <c r="I765" s="391">
        <v>20</v>
      </c>
      <c r="J765" s="392" t="s">
        <v>437</v>
      </c>
      <c r="K765" s="393">
        <f>(19*32)+(1*27.7)</f>
        <v>635.70000000000005</v>
      </c>
      <c r="L765" s="228" t="s">
        <v>1393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>
      <c r="A766" s="390" t="s">
        <v>1381</v>
      </c>
      <c r="B766" s="391" t="s">
        <v>129</v>
      </c>
      <c r="C766" s="391">
        <v>48</v>
      </c>
      <c r="D766" s="391" t="s">
        <v>7</v>
      </c>
      <c r="E766" s="391">
        <v>383</v>
      </c>
      <c r="F766" s="391" t="s">
        <v>139</v>
      </c>
      <c r="G766" s="391" t="s">
        <v>1263</v>
      </c>
      <c r="H766" s="391" t="s">
        <v>15</v>
      </c>
      <c r="I766" s="391">
        <v>30</v>
      </c>
      <c r="J766" s="392" t="s">
        <v>403</v>
      </c>
      <c r="K766" s="393">
        <f>(29*35)+(1*27.3)</f>
        <v>1042.3</v>
      </c>
      <c r="L766" s="228" t="s">
        <v>1393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>
      <c r="A767" s="390" t="s">
        <v>1381</v>
      </c>
      <c r="B767" s="391" t="s">
        <v>129</v>
      </c>
      <c r="C767" s="391">
        <v>47</v>
      </c>
      <c r="D767" s="391" t="s">
        <v>239</v>
      </c>
      <c r="E767" s="391">
        <v>112</v>
      </c>
      <c r="F767" s="391" t="s">
        <v>560</v>
      </c>
      <c r="G767" s="391" t="s">
        <v>1266</v>
      </c>
      <c r="H767" s="391" t="s">
        <v>5</v>
      </c>
      <c r="I767" s="391">
        <v>13</v>
      </c>
      <c r="J767" s="392" t="s">
        <v>680</v>
      </c>
      <c r="K767" s="393">
        <f>(13*34)</f>
        <v>442</v>
      </c>
      <c r="L767" s="228" t="s">
        <v>1389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>
      <c r="A768" s="390" t="s">
        <v>1381</v>
      </c>
      <c r="B768" s="391" t="s">
        <v>129</v>
      </c>
      <c r="C768" s="391">
        <v>47</v>
      </c>
      <c r="D768" s="391" t="s">
        <v>239</v>
      </c>
      <c r="E768" s="391">
        <v>115</v>
      </c>
      <c r="F768" s="391" t="s">
        <v>581</v>
      </c>
      <c r="G768" s="391" t="s">
        <v>1266</v>
      </c>
      <c r="H768" s="391" t="s">
        <v>5</v>
      </c>
      <c r="I768" s="391">
        <v>15</v>
      </c>
      <c r="J768" s="392" t="s">
        <v>388</v>
      </c>
      <c r="K768" s="393">
        <f>(13*34)+(2*26.3)</f>
        <v>494.6</v>
      </c>
      <c r="L768" s="228" t="s">
        <v>1389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>
      <c r="A769" s="390" t="s">
        <v>1381</v>
      </c>
      <c r="B769" s="391" t="s">
        <v>129</v>
      </c>
      <c r="C769" s="391">
        <v>47</v>
      </c>
      <c r="D769" s="391" t="s">
        <v>239</v>
      </c>
      <c r="E769" s="391">
        <v>116</v>
      </c>
      <c r="F769" s="391" t="s">
        <v>566</v>
      </c>
      <c r="G769" s="391" t="s">
        <v>1266</v>
      </c>
      <c r="H769" s="391" t="s">
        <v>15</v>
      </c>
      <c r="I769" s="391">
        <v>15</v>
      </c>
      <c r="J769" s="392" t="s">
        <v>369</v>
      </c>
      <c r="K769" s="393">
        <f>(14*36)+(1*28.3)</f>
        <v>532.29999999999995</v>
      </c>
      <c r="L769" s="228" t="s">
        <v>1389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>
      <c r="A770" s="390" t="s">
        <v>1381</v>
      </c>
      <c r="B770" s="391" t="s">
        <v>129</v>
      </c>
      <c r="C770" s="391">
        <v>47</v>
      </c>
      <c r="D770" s="391" t="s">
        <v>239</v>
      </c>
      <c r="E770" s="391">
        <v>120</v>
      </c>
      <c r="F770" s="391" t="s">
        <v>580</v>
      </c>
      <c r="G770" s="391" t="s">
        <v>1266</v>
      </c>
      <c r="H770" s="391" t="s">
        <v>15</v>
      </c>
      <c r="I770" s="391">
        <v>15</v>
      </c>
      <c r="J770" s="392" t="s">
        <v>142</v>
      </c>
      <c r="K770" s="393">
        <f>(15*36)</f>
        <v>540</v>
      </c>
      <c r="L770" s="228" t="s">
        <v>1389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>
      <c r="A771" s="390" t="s">
        <v>1381</v>
      </c>
      <c r="B771" s="391" t="s">
        <v>129</v>
      </c>
      <c r="C771" s="391">
        <v>47</v>
      </c>
      <c r="D771" s="391" t="s">
        <v>239</v>
      </c>
      <c r="E771" s="391">
        <v>197</v>
      </c>
      <c r="F771" s="391" t="s">
        <v>1264</v>
      </c>
      <c r="G771" s="391" t="s">
        <v>1267</v>
      </c>
      <c r="H771" s="391" t="s">
        <v>15</v>
      </c>
      <c r="I771" s="391">
        <v>20</v>
      </c>
      <c r="J771" s="392" t="s">
        <v>358</v>
      </c>
      <c r="K771" s="393">
        <f>(19*40)+(1*35.7)</f>
        <v>795.7</v>
      </c>
      <c r="L771" s="228" t="s">
        <v>1389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>
      <c r="A772" s="390" t="s">
        <v>1381</v>
      </c>
      <c r="B772" s="391" t="s">
        <v>129</v>
      </c>
      <c r="C772" s="391">
        <v>47</v>
      </c>
      <c r="D772" s="391" t="s">
        <v>239</v>
      </c>
      <c r="E772" s="391">
        <v>295</v>
      </c>
      <c r="F772" s="391" t="s">
        <v>336</v>
      </c>
      <c r="G772" s="391" t="s">
        <v>866</v>
      </c>
      <c r="H772" s="391" t="s">
        <v>15</v>
      </c>
      <c r="I772" s="391">
        <v>15</v>
      </c>
      <c r="J772" s="392" t="s">
        <v>413</v>
      </c>
      <c r="K772" s="393">
        <f>(13*35)+(2*27.3)</f>
        <v>509.6</v>
      </c>
      <c r="L772" s="228" t="s">
        <v>1389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thickBot="1">
      <c r="A773" s="390" t="s">
        <v>1381</v>
      </c>
      <c r="B773" s="394" t="s">
        <v>129</v>
      </c>
      <c r="C773" s="394">
        <v>47</v>
      </c>
      <c r="D773" s="394" t="s">
        <v>239</v>
      </c>
      <c r="E773" s="394">
        <v>353</v>
      </c>
      <c r="F773" s="394" t="s">
        <v>1265</v>
      </c>
      <c r="G773" s="394" t="s">
        <v>653</v>
      </c>
      <c r="H773" s="394" t="s">
        <v>15</v>
      </c>
      <c r="I773" s="394">
        <v>12</v>
      </c>
      <c r="J773" s="395" t="s">
        <v>664</v>
      </c>
      <c r="K773" s="396">
        <f>(10*40)+(2*32.3)</f>
        <v>464.6</v>
      </c>
      <c r="L773" s="228" t="s">
        <v>1389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>
      <c r="A774" s="390" t="s">
        <v>1381</v>
      </c>
      <c r="B774" s="387" t="s">
        <v>129</v>
      </c>
      <c r="C774" s="387">
        <v>47</v>
      </c>
      <c r="D774" s="387" t="s">
        <v>7</v>
      </c>
      <c r="E774" s="387">
        <v>503</v>
      </c>
      <c r="F774" s="387" t="s">
        <v>429</v>
      </c>
      <c r="G774" s="387" t="s">
        <v>1263</v>
      </c>
      <c r="H774" s="387" t="s">
        <v>15</v>
      </c>
      <c r="I774" s="387">
        <v>40</v>
      </c>
      <c r="J774" s="388" t="s">
        <v>1271</v>
      </c>
      <c r="K774" s="389">
        <f>(39*34)+(1*26.3)</f>
        <v>1352.3</v>
      </c>
      <c r="L774" s="228"/>
      <c r="M774" s="58"/>
      <c r="N774" s="229"/>
      <c r="O774" s="186" t="s">
        <v>1396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>
      <c r="A775" s="390" t="s">
        <v>1381</v>
      </c>
      <c r="B775" s="391" t="s">
        <v>129</v>
      </c>
      <c r="C775" s="391">
        <v>47</v>
      </c>
      <c r="D775" s="391" t="s">
        <v>7</v>
      </c>
      <c r="E775" s="391">
        <v>503</v>
      </c>
      <c r="F775" s="391" t="s">
        <v>335</v>
      </c>
      <c r="G775" s="391" t="s">
        <v>1263</v>
      </c>
      <c r="H775" s="391" t="s">
        <v>15</v>
      </c>
      <c r="I775" s="391">
        <v>35</v>
      </c>
      <c r="J775" s="392" t="s">
        <v>1272</v>
      </c>
      <c r="K775" s="393">
        <f>(34*34)+(1*26.3)</f>
        <v>1182.3</v>
      </c>
      <c r="L775" s="228"/>
      <c r="M775" s="58"/>
      <c r="N775" s="229"/>
      <c r="O775" s="186" t="s">
        <v>1393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>
      <c r="A776" s="390" t="s">
        <v>1381</v>
      </c>
      <c r="B776" s="391" t="s">
        <v>129</v>
      </c>
      <c r="C776" s="391">
        <v>48</v>
      </c>
      <c r="D776" s="391" t="s">
        <v>404</v>
      </c>
      <c r="E776" s="391">
        <v>147</v>
      </c>
      <c r="F776" s="391" t="s">
        <v>305</v>
      </c>
      <c r="G776" s="391" t="s">
        <v>1262</v>
      </c>
      <c r="H776" s="391" t="s">
        <v>15</v>
      </c>
      <c r="I776" s="391">
        <v>20</v>
      </c>
      <c r="J776" s="392" t="s">
        <v>437</v>
      </c>
      <c r="K776" s="393">
        <f>(19*32)+(1*27.7)</f>
        <v>635.70000000000005</v>
      </c>
      <c r="L776" s="228"/>
      <c r="M776" s="58"/>
      <c r="N776" s="229"/>
      <c r="O776" s="186" t="s">
        <v>1402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customHeight="1">
      <c r="A777" s="390" t="s">
        <v>1381</v>
      </c>
      <c r="B777" s="391" t="s">
        <v>129</v>
      </c>
      <c r="C777" s="391">
        <v>48</v>
      </c>
      <c r="D777" s="391" t="s">
        <v>7</v>
      </c>
      <c r="E777" s="391">
        <v>384</v>
      </c>
      <c r="F777" s="391" t="s">
        <v>1273</v>
      </c>
      <c r="G777" s="391" t="s">
        <v>1263</v>
      </c>
      <c r="H777" s="391" t="s">
        <v>15</v>
      </c>
      <c r="I777" s="391">
        <v>20</v>
      </c>
      <c r="J777" s="392" t="s">
        <v>356</v>
      </c>
      <c r="K777" s="393">
        <f>(19*35)+(1*30.7)</f>
        <v>695.7</v>
      </c>
      <c r="L777" s="228" t="s">
        <v>1393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>
      <c r="A778" s="390" t="s">
        <v>1381</v>
      </c>
      <c r="B778" s="391" t="s">
        <v>129</v>
      </c>
      <c r="C778" s="391">
        <v>48</v>
      </c>
      <c r="D778" s="391" t="s">
        <v>7</v>
      </c>
      <c r="E778" s="391">
        <v>388</v>
      </c>
      <c r="F778" s="391" t="s">
        <v>729</v>
      </c>
      <c r="G778" s="391" t="s">
        <v>1263</v>
      </c>
      <c r="H778" s="391" t="s">
        <v>15</v>
      </c>
      <c r="I778" s="391">
        <v>20</v>
      </c>
      <c r="J778" s="392" t="s">
        <v>356</v>
      </c>
      <c r="K778" s="393">
        <f>(19*35)+(1*30.7)</f>
        <v>695.7</v>
      </c>
      <c r="L778" s="228" t="s">
        <v>1393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>
      <c r="A779" s="390" t="s">
        <v>1381</v>
      </c>
      <c r="B779" s="391" t="s">
        <v>129</v>
      </c>
      <c r="C779" s="391">
        <v>48</v>
      </c>
      <c r="D779" s="391" t="s">
        <v>7</v>
      </c>
      <c r="E779" s="391">
        <v>1272</v>
      </c>
      <c r="F779" s="391" t="s">
        <v>1274</v>
      </c>
      <c r="G779" s="391" t="s">
        <v>365</v>
      </c>
      <c r="H779" s="391" t="s">
        <v>15</v>
      </c>
      <c r="I779" s="391">
        <v>15</v>
      </c>
      <c r="J779" s="392" t="s">
        <v>137</v>
      </c>
      <c r="K779" s="393">
        <f>(15*35)</f>
        <v>525</v>
      </c>
      <c r="L779" s="58"/>
      <c r="M779" s="58"/>
      <c r="N779" s="229"/>
      <c r="O779" s="186"/>
      <c r="P779" s="21"/>
      <c r="Q779" s="187"/>
      <c r="R779" s="295" t="s">
        <v>1382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>
      <c r="A780" s="390" t="s">
        <v>1381</v>
      </c>
      <c r="B780" s="391" t="s">
        <v>129</v>
      </c>
      <c r="C780" s="391">
        <v>48</v>
      </c>
      <c r="D780" s="391" t="s">
        <v>7</v>
      </c>
      <c r="E780" s="391">
        <v>1273</v>
      </c>
      <c r="F780" s="391" t="s">
        <v>1275</v>
      </c>
      <c r="G780" s="391" t="s">
        <v>365</v>
      </c>
      <c r="H780" s="391" t="s">
        <v>15</v>
      </c>
      <c r="I780" s="391">
        <v>15</v>
      </c>
      <c r="J780" s="392" t="s">
        <v>137</v>
      </c>
      <c r="K780" s="393">
        <f>(15*35)</f>
        <v>525</v>
      </c>
      <c r="L780" s="58"/>
      <c r="M780" s="58"/>
      <c r="N780" s="229"/>
      <c r="O780" s="186"/>
      <c r="P780" s="21"/>
      <c r="Q780" s="187"/>
      <c r="R780" s="295" t="s">
        <v>1382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>
      <c r="A781" s="390" t="s">
        <v>1381</v>
      </c>
      <c r="B781" s="391" t="s">
        <v>129</v>
      </c>
      <c r="C781" s="391">
        <v>48</v>
      </c>
      <c r="D781" s="391" t="s">
        <v>7</v>
      </c>
      <c r="E781" s="391">
        <v>1276</v>
      </c>
      <c r="F781" s="391" t="s">
        <v>1276</v>
      </c>
      <c r="G781" s="391" t="s">
        <v>365</v>
      </c>
      <c r="H781" s="391" t="s">
        <v>15</v>
      </c>
      <c r="I781" s="391">
        <v>20</v>
      </c>
      <c r="J781" s="392" t="s">
        <v>125</v>
      </c>
      <c r="K781" s="393">
        <f>(20*35)</f>
        <v>700</v>
      </c>
      <c r="L781" s="228"/>
      <c r="M781" s="58"/>
      <c r="N781" s="229"/>
      <c r="O781" s="186" t="s">
        <v>1398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>
      <c r="A782" s="390" t="s">
        <v>1381</v>
      </c>
      <c r="B782" s="391" t="s">
        <v>129</v>
      </c>
      <c r="C782" s="391">
        <v>48</v>
      </c>
      <c r="D782" s="391" t="s">
        <v>7</v>
      </c>
      <c r="E782" s="391">
        <v>1340</v>
      </c>
      <c r="F782" s="391" t="s">
        <v>715</v>
      </c>
      <c r="G782" s="391" t="s">
        <v>204</v>
      </c>
      <c r="H782" s="391" t="s">
        <v>15</v>
      </c>
      <c r="I782" s="391">
        <v>20</v>
      </c>
      <c r="J782" s="392" t="s">
        <v>964</v>
      </c>
      <c r="K782" s="393">
        <f>(20*40)</f>
        <v>800</v>
      </c>
      <c r="L782" s="228" t="s">
        <v>1393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>
      <c r="A783" s="390" t="s">
        <v>1381</v>
      </c>
      <c r="B783" s="391" t="s">
        <v>129</v>
      </c>
      <c r="C783" s="391">
        <v>48</v>
      </c>
      <c r="D783" s="391" t="s">
        <v>7</v>
      </c>
      <c r="E783" s="391">
        <v>1343</v>
      </c>
      <c r="F783" s="391" t="s">
        <v>418</v>
      </c>
      <c r="G783" s="391" t="s">
        <v>204</v>
      </c>
      <c r="H783" s="391" t="s">
        <v>15</v>
      </c>
      <c r="I783" s="391">
        <v>12</v>
      </c>
      <c r="J783" s="392" t="s">
        <v>664</v>
      </c>
      <c r="K783" s="393">
        <f>(10*40)+(2*32.3)</f>
        <v>464.6</v>
      </c>
      <c r="L783" s="228" t="s">
        <v>1393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>
      <c r="A784" s="390" t="s">
        <v>1381</v>
      </c>
      <c r="B784" s="391" t="s">
        <v>129</v>
      </c>
      <c r="C784" s="391">
        <v>48</v>
      </c>
      <c r="D784" s="391" t="s">
        <v>7</v>
      </c>
      <c r="E784" s="391">
        <v>1528</v>
      </c>
      <c r="F784" s="391" t="s">
        <v>285</v>
      </c>
      <c r="G784" s="391" t="s">
        <v>900</v>
      </c>
      <c r="H784" s="391" t="s">
        <v>15</v>
      </c>
      <c r="I784" s="391">
        <v>15</v>
      </c>
      <c r="J784" s="392" t="s">
        <v>353</v>
      </c>
      <c r="K784" s="393">
        <f>(14*34)+(1*26.3)</f>
        <v>502.3</v>
      </c>
      <c r="L784" s="228"/>
      <c r="M784" s="58"/>
      <c r="N784" s="229"/>
      <c r="O784" s="186" t="s">
        <v>1402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>
      <c r="A785" s="390" t="s">
        <v>1381</v>
      </c>
      <c r="B785" s="391" t="s">
        <v>129</v>
      </c>
      <c r="C785" s="391">
        <v>48</v>
      </c>
      <c r="D785" s="391" t="s">
        <v>7</v>
      </c>
      <c r="E785" s="391">
        <v>1552</v>
      </c>
      <c r="F785" s="391" t="s">
        <v>1277</v>
      </c>
      <c r="G785" s="391" t="s">
        <v>942</v>
      </c>
      <c r="H785" s="391" t="s">
        <v>5</v>
      </c>
      <c r="I785" s="391">
        <v>20</v>
      </c>
      <c r="J785" s="392" t="s">
        <v>1270</v>
      </c>
      <c r="K785" s="393">
        <f>(18*26)+(2*21.7)</f>
        <v>511.4</v>
      </c>
      <c r="L785" s="228"/>
      <c r="M785" s="58"/>
      <c r="N785" s="229"/>
      <c r="O785" s="21"/>
      <c r="P785" s="21"/>
      <c r="Q785" s="187"/>
      <c r="R785" s="295" t="s">
        <v>1382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>
      <c r="A786" s="390" t="s">
        <v>1381</v>
      </c>
      <c r="B786" s="391" t="s">
        <v>129</v>
      </c>
      <c r="C786" s="391">
        <v>48</v>
      </c>
      <c r="D786" s="391" t="s">
        <v>7</v>
      </c>
      <c r="E786" s="391">
        <v>1553</v>
      </c>
      <c r="F786" s="391" t="s">
        <v>1278</v>
      </c>
      <c r="G786" s="391" t="s">
        <v>942</v>
      </c>
      <c r="H786" s="391" t="s">
        <v>15</v>
      </c>
      <c r="I786" s="391">
        <v>20</v>
      </c>
      <c r="J786" s="392" t="s">
        <v>1270</v>
      </c>
      <c r="K786" s="393">
        <f>(18*26)+(2*21.7)</f>
        <v>511.4</v>
      </c>
      <c r="L786" s="228"/>
      <c r="M786" s="58"/>
      <c r="N786" s="229"/>
      <c r="O786" s="186" t="s">
        <v>1398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>
      <c r="A787" s="390" t="s">
        <v>1381</v>
      </c>
      <c r="B787" s="391" t="s">
        <v>129</v>
      </c>
      <c r="C787" s="391">
        <v>48</v>
      </c>
      <c r="D787" s="391" t="s">
        <v>7</v>
      </c>
      <c r="E787" s="391">
        <v>1562</v>
      </c>
      <c r="F787" s="391" t="s">
        <v>879</v>
      </c>
      <c r="G787" s="391" t="s">
        <v>227</v>
      </c>
      <c r="H787" s="391" t="s">
        <v>5</v>
      </c>
      <c r="I787" s="391">
        <v>15</v>
      </c>
      <c r="J787" s="392" t="s">
        <v>439</v>
      </c>
      <c r="K787" s="393">
        <f>(13*32)+(2*24.3)</f>
        <v>464.6</v>
      </c>
      <c r="L787" s="228"/>
      <c r="M787" s="58"/>
      <c r="N787" s="229"/>
      <c r="O787" s="186" t="s">
        <v>1402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>
      <c r="A788" s="390" t="s">
        <v>1381</v>
      </c>
      <c r="B788" s="391" t="s">
        <v>129</v>
      </c>
      <c r="C788" s="391">
        <v>48</v>
      </c>
      <c r="D788" s="391" t="s">
        <v>7</v>
      </c>
      <c r="E788" s="391">
        <v>1570</v>
      </c>
      <c r="F788" s="391" t="s">
        <v>448</v>
      </c>
      <c r="G788" s="391" t="s">
        <v>227</v>
      </c>
      <c r="H788" s="391" t="s">
        <v>15</v>
      </c>
      <c r="I788" s="391">
        <v>15</v>
      </c>
      <c r="J788" s="392" t="s">
        <v>569</v>
      </c>
      <c r="K788" s="393">
        <f>(15*33)</f>
        <v>495</v>
      </c>
      <c r="L788" s="58"/>
      <c r="M788" s="58"/>
      <c r="N788" s="229"/>
      <c r="O788" s="186" t="s">
        <v>1402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>
      <c r="A789" s="390" t="s">
        <v>1381</v>
      </c>
      <c r="B789" s="391" t="s">
        <v>129</v>
      </c>
      <c r="C789" s="391">
        <v>48</v>
      </c>
      <c r="D789" s="391" t="s">
        <v>7</v>
      </c>
      <c r="E789" s="391">
        <v>1729</v>
      </c>
      <c r="F789" s="391" t="s">
        <v>897</v>
      </c>
      <c r="G789" s="391" t="s">
        <v>1281</v>
      </c>
      <c r="H789" s="391" t="s">
        <v>5</v>
      </c>
      <c r="I789" s="391">
        <v>20</v>
      </c>
      <c r="J789" s="392" t="s">
        <v>370</v>
      </c>
      <c r="K789" s="393">
        <f>(19*34)+(1*29.7)</f>
        <v>675.7</v>
      </c>
      <c r="L789" s="58"/>
      <c r="M789" s="58"/>
      <c r="N789" s="229"/>
      <c r="O789" s="186" t="s">
        <v>1398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>
      <c r="A790" s="390" t="s">
        <v>1381</v>
      </c>
      <c r="B790" s="391" t="s">
        <v>129</v>
      </c>
      <c r="C790" s="391">
        <v>48</v>
      </c>
      <c r="D790" s="391" t="s">
        <v>56</v>
      </c>
      <c r="E790" s="391">
        <v>28</v>
      </c>
      <c r="F790" s="391" t="s">
        <v>513</v>
      </c>
      <c r="G790" s="391" t="s">
        <v>962</v>
      </c>
      <c r="H790" s="391" t="s">
        <v>15</v>
      </c>
      <c r="I790" s="391">
        <v>20</v>
      </c>
      <c r="J790" s="392" t="s">
        <v>1129</v>
      </c>
      <c r="K790" s="393">
        <f>(18*29)+(2*24.7)</f>
        <v>571.4</v>
      </c>
      <c r="L790" s="228" t="s">
        <v>1393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>
      <c r="A791" s="390" t="s">
        <v>1381</v>
      </c>
      <c r="B791" s="391" t="s">
        <v>129</v>
      </c>
      <c r="C791" s="391">
        <v>48</v>
      </c>
      <c r="D791" s="391" t="s">
        <v>56</v>
      </c>
      <c r="E791" s="391">
        <v>31</v>
      </c>
      <c r="F791" s="391" t="s">
        <v>1279</v>
      </c>
      <c r="G791" s="391" t="s">
        <v>962</v>
      </c>
      <c r="H791" s="391" t="s">
        <v>15</v>
      </c>
      <c r="I791" s="391">
        <v>20</v>
      </c>
      <c r="J791" s="392" t="s">
        <v>1129</v>
      </c>
      <c r="K791" s="393">
        <f>(18*29)+(2*24.7)</f>
        <v>571.4</v>
      </c>
      <c r="L791" s="228" t="s">
        <v>1393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>
      <c r="A792" s="390" t="s">
        <v>1381</v>
      </c>
      <c r="B792" s="391" t="s">
        <v>129</v>
      </c>
      <c r="C792" s="391">
        <v>48</v>
      </c>
      <c r="D792" s="391" t="s">
        <v>56</v>
      </c>
      <c r="E792" s="391">
        <v>78</v>
      </c>
      <c r="F792" s="391" t="s">
        <v>609</v>
      </c>
      <c r="G792" s="391" t="s">
        <v>1282</v>
      </c>
      <c r="H792" s="391" t="s">
        <v>15</v>
      </c>
      <c r="I792" s="391">
        <v>20</v>
      </c>
      <c r="J792" s="392" t="s">
        <v>455</v>
      </c>
      <c r="K792" s="393">
        <f>(18*28)+(2*23.7)</f>
        <v>551.4</v>
      </c>
      <c r="L792" s="228" t="s">
        <v>1393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>
      <c r="A793" s="390" t="s">
        <v>1381</v>
      </c>
      <c r="B793" s="391" t="s">
        <v>129</v>
      </c>
      <c r="C793" s="391">
        <v>48</v>
      </c>
      <c r="D793" s="391" t="s">
        <v>56</v>
      </c>
      <c r="E793" s="391">
        <v>141</v>
      </c>
      <c r="F793" s="391" t="s">
        <v>845</v>
      </c>
      <c r="G793" s="391" t="s">
        <v>400</v>
      </c>
      <c r="H793" s="391" t="s">
        <v>15</v>
      </c>
      <c r="I793" s="391">
        <v>15</v>
      </c>
      <c r="J793" s="392" t="s">
        <v>357</v>
      </c>
      <c r="K793" s="393">
        <f>(14*35)+(1*27.3)</f>
        <v>517.29999999999995</v>
      </c>
      <c r="L793" s="228" t="s">
        <v>1393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>
      <c r="A794" s="390" t="s">
        <v>1381</v>
      </c>
      <c r="B794" s="391" t="s">
        <v>129</v>
      </c>
      <c r="C794" s="391">
        <v>48</v>
      </c>
      <c r="D794" s="391" t="s">
        <v>56</v>
      </c>
      <c r="E794" s="391">
        <v>159</v>
      </c>
      <c r="F794" s="391" t="s">
        <v>1280</v>
      </c>
      <c r="G794" s="391" t="s">
        <v>1254</v>
      </c>
      <c r="H794" s="391" t="s">
        <v>5</v>
      </c>
      <c r="I794" s="391">
        <v>13</v>
      </c>
      <c r="J794" s="392" t="s">
        <v>680</v>
      </c>
      <c r="K794" s="393">
        <f>(13*34)</f>
        <v>442</v>
      </c>
      <c r="L794" s="58"/>
      <c r="M794" s="58"/>
      <c r="N794" s="229"/>
      <c r="O794" s="186"/>
      <c r="P794" s="21"/>
      <c r="Q794" s="187"/>
      <c r="R794" s="295" t="s">
        <v>1382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>
      <c r="A795" s="390" t="s">
        <v>1381</v>
      </c>
      <c r="B795" s="391" t="s">
        <v>129</v>
      </c>
      <c r="C795" s="391">
        <v>48</v>
      </c>
      <c r="D795" s="391" t="s">
        <v>56</v>
      </c>
      <c r="E795" s="391">
        <v>172</v>
      </c>
      <c r="F795" s="391" t="s">
        <v>871</v>
      </c>
      <c r="G795" s="391" t="s">
        <v>246</v>
      </c>
      <c r="H795" s="391" t="s">
        <v>15</v>
      </c>
      <c r="I795" s="391">
        <v>20</v>
      </c>
      <c r="J795" s="392" t="s">
        <v>356</v>
      </c>
      <c r="K795" s="393">
        <f>(19*35)+(1*30.7)</f>
        <v>695.7</v>
      </c>
      <c r="L795" s="228"/>
      <c r="M795" s="58"/>
      <c r="N795" s="229"/>
      <c r="O795" s="186" t="s">
        <v>1396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>
      <c r="A796" s="390" t="s">
        <v>1381</v>
      </c>
      <c r="B796" s="391" t="s">
        <v>129</v>
      </c>
      <c r="C796" s="391">
        <v>48</v>
      </c>
      <c r="D796" s="391" t="s">
        <v>56</v>
      </c>
      <c r="E796" s="391">
        <v>173</v>
      </c>
      <c r="F796" s="391" t="s">
        <v>415</v>
      </c>
      <c r="G796" s="391" t="s">
        <v>246</v>
      </c>
      <c r="H796" s="391" t="s">
        <v>15</v>
      </c>
      <c r="I796" s="391">
        <v>20</v>
      </c>
      <c r="J796" s="392" t="s">
        <v>356</v>
      </c>
      <c r="K796" s="393">
        <f>(19*35)+(1*30.7)</f>
        <v>695.7</v>
      </c>
      <c r="L796" s="58"/>
      <c r="M796" s="58"/>
      <c r="N796" s="229"/>
      <c r="O796" s="186" t="s">
        <v>1398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>
      <c r="A797" s="390" t="s">
        <v>1381</v>
      </c>
      <c r="B797" s="391" t="s">
        <v>129</v>
      </c>
      <c r="C797" s="391">
        <v>48</v>
      </c>
      <c r="D797" s="391" t="s">
        <v>56</v>
      </c>
      <c r="E797" s="391">
        <v>176</v>
      </c>
      <c r="F797" s="391" t="s">
        <v>1092</v>
      </c>
      <c r="G797" s="391" t="s">
        <v>246</v>
      </c>
      <c r="H797" s="391" t="s">
        <v>15</v>
      </c>
      <c r="I797" s="391">
        <v>20</v>
      </c>
      <c r="J797" s="392" t="s">
        <v>356</v>
      </c>
      <c r="K797" s="393">
        <f>(19*35)+(1*30.7)</f>
        <v>695.7</v>
      </c>
      <c r="L797" s="228" t="s">
        <v>1393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>
      <c r="A798" s="390" t="s">
        <v>1381</v>
      </c>
      <c r="B798" s="391" t="s">
        <v>129</v>
      </c>
      <c r="C798" s="391">
        <v>48</v>
      </c>
      <c r="D798" s="391" t="s">
        <v>56</v>
      </c>
      <c r="E798" s="391">
        <v>448</v>
      </c>
      <c r="F798" s="391" t="s">
        <v>534</v>
      </c>
      <c r="G798" s="391" t="s">
        <v>266</v>
      </c>
      <c r="H798" s="391" t="s">
        <v>15</v>
      </c>
      <c r="I798" s="391">
        <v>15</v>
      </c>
      <c r="J798" s="392" t="s">
        <v>661</v>
      </c>
      <c r="K798" s="393">
        <f>(12*35)+(3*30.7)</f>
        <v>512.1</v>
      </c>
      <c r="L798" s="228"/>
      <c r="M798" s="58"/>
      <c r="N798" s="229"/>
      <c r="O798" s="186" t="s">
        <v>1398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>
      <c r="A799" s="390" t="s">
        <v>1381</v>
      </c>
      <c r="B799" s="391" t="s">
        <v>129</v>
      </c>
      <c r="C799" s="391">
        <v>48</v>
      </c>
      <c r="D799" s="391" t="s">
        <v>56</v>
      </c>
      <c r="E799" s="391">
        <v>449</v>
      </c>
      <c r="F799" s="391" t="s">
        <v>564</v>
      </c>
      <c r="G799" s="391" t="s">
        <v>266</v>
      </c>
      <c r="H799" s="391" t="s">
        <v>15</v>
      </c>
      <c r="I799" s="391">
        <v>10</v>
      </c>
      <c r="J799" s="392" t="s">
        <v>1286</v>
      </c>
      <c r="K799" s="393">
        <f>(9*35)+(1*30.7)</f>
        <v>345.7</v>
      </c>
      <c r="L799" s="228" t="s">
        <v>1393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>
      <c r="A800" s="390" t="s">
        <v>1381</v>
      </c>
      <c r="B800" s="391" t="s">
        <v>129</v>
      </c>
      <c r="C800" s="391">
        <v>48</v>
      </c>
      <c r="D800" s="391" t="s">
        <v>56</v>
      </c>
      <c r="E800" s="391">
        <v>843</v>
      </c>
      <c r="F800" s="391" t="s">
        <v>531</v>
      </c>
      <c r="G800" s="391" t="s">
        <v>399</v>
      </c>
      <c r="H800" s="391" t="s">
        <v>5</v>
      </c>
      <c r="I800" s="391">
        <v>13</v>
      </c>
      <c r="J800" s="392" t="s">
        <v>680</v>
      </c>
      <c r="K800" s="393">
        <f>(13*34)</f>
        <v>442</v>
      </c>
      <c r="L800" s="228" t="s">
        <v>1393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>
      <c r="A801" s="390" t="s">
        <v>1381</v>
      </c>
      <c r="B801" s="391" t="s">
        <v>129</v>
      </c>
      <c r="C801" s="391">
        <v>48</v>
      </c>
      <c r="D801" s="391" t="s">
        <v>56</v>
      </c>
      <c r="E801" s="391">
        <v>846</v>
      </c>
      <c r="F801" s="391" t="s">
        <v>521</v>
      </c>
      <c r="G801" s="391" t="s">
        <v>399</v>
      </c>
      <c r="H801" s="391" t="s">
        <v>15</v>
      </c>
      <c r="I801" s="391">
        <v>14</v>
      </c>
      <c r="J801" s="392" t="s">
        <v>150</v>
      </c>
      <c r="K801" s="393">
        <f>(14*35)</f>
        <v>490</v>
      </c>
      <c r="L801" s="228"/>
      <c r="M801" s="58"/>
      <c r="N801" s="229"/>
      <c r="O801" s="186" t="s">
        <v>1396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>
      <c r="A802" s="390" t="s">
        <v>1381</v>
      </c>
      <c r="B802" s="391" t="s">
        <v>129</v>
      </c>
      <c r="C802" s="391">
        <v>48</v>
      </c>
      <c r="D802" s="391" t="s">
        <v>56</v>
      </c>
      <c r="E802" s="391">
        <v>1297</v>
      </c>
      <c r="F802" s="391" t="s">
        <v>408</v>
      </c>
      <c r="G802" s="391" t="s">
        <v>807</v>
      </c>
      <c r="H802" s="391" t="s">
        <v>15</v>
      </c>
      <c r="I802" s="391">
        <v>10</v>
      </c>
      <c r="J802" s="392" t="s">
        <v>1284</v>
      </c>
      <c r="K802" s="393">
        <f>(9*36)+(1*31.7)</f>
        <v>355.7</v>
      </c>
      <c r="L802" s="228" t="s">
        <v>1393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>
      <c r="A803" s="390" t="s">
        <v>1381</v>
      </c>
      <c r="B803" s="391" t="s">
        <v>129</v>
      </c>
      <c r="C803" s="391">
        <v>48</v>
      </c>
      <c r="D803" s="391" t="s">
        <v>55</v>
      </c>
      <c r="E803" s="391">
        <v>251</v>
      </c>
      <c r="F803" s="391" t="s">
        <v>288</v>
      </c>
      <c r="G803" s="391" t="s">
        <v>1283</v>
      </c>
      <c r="H803" s="391" t="s">
        <v>5</v>
      </c>
      <c r="I803" s="391">
        <v>15</v>
      </c>
      <c r="J803" s="392" t="s">
        <v>140</v>
      </c>
      <c r="K803" s="393">
        <f>(15*37)</f>
        <v>555</v>
      </c>
      <c r="L803" s="228" t="s">
        <v>1393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>
      <c r="A804" s="390" t="s">
        <v>1381</v>
      </c>
      <c r="B804" s="391" t="s">
        <v>129</v>
      </c>
      <c r="C804" s="391">
        <v>48</v>
      </c>
      <c r="D804" s="391" t="s">
        <v>55</v>
      </c>
      <c r="E804" s="391">
        <v>252</v>
      </c>
      <c r="F804" s="391" t="s">
        <v>710</v>
      </c>
      <c r="G804" s="391" t="s">
        <v>1283</v>
      </c>
      <c r="H804" s="391" t="s">
        <v>5</v>
      </c>
      <c r="I804" s="391">
        <v>20</v>
      </c>
      <c r="J804" s="392" t="s">
        <v>359</v>
      </c>
      <c r="K804" s="393">
        <f>(19*37)+(1*32.7)</f>
        <v>735.7</v>
      </c>
      <c r="L804" s="228" t="s">
        <v>1393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>
      <c r="A805" s="390" t="s">
        <v>1381</v>
      </c>
      <c r="B805" s="391" t="s">
        <v>129</v>
      </c>
      <c r="C805" s="391">
        <v>48</v>
      </c>
      <c r="D805" s="391" t="s">
        <v>55</v>
      </c>
      <c r="E805" s="391">
        <v>258</v>
      </c>
      <c r="F805" s="391" t="s">
        <v>259</v>
      </c>
      <c r="G805" s="391" t="s">
        <v>1283</v>
      </c>
      <c r="H805" s="391" t="s">
        <v>15</v>
      </c>
      <c r="I805" s="391">
        <v>10</v>
      </c>
      <c r="J805" s="392" t="s">
        <v>1285</v>
      </c>
      <c r="K805" s="393">
        <f>(9*37)+(1*32.7)</f>
        <v>365.7</v>
      </c>
      <c r="L805" s="228" t="s">
        <v>1393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>
      <c r="A806" s="390" t="s">
        <v>1381</v>
      </c>
      <c r="B806" s="391" t="s">
        <v>129</v>
      </c>
      <c r="C806" s="391">
        <v>48</v>
      </c>
      <c r="D806" s="391" t="s">
        <v>57</v>
      </c>
      <c r="E806" s="391">
        <v>46</v>
      </c>
      <c r="F806" s="391" t="s">
        <v>698</v>
      </c>
      <c r="G806" s="391" t="s">
        <v>154</v>
      </c>
      <c r="H806" s="391" t="s">
        <v>15</v>
      </c>
      <c r="I806" s="391">
        <v>20</v>
      </c>
      <c r="J806" s="392" t="s">
        <v>358</v>
      </c>
      <c r="K806" s="393">
        <f>(19*40)+(1*35.7)</f>
        <v>795.7</v>
      </c>
      <c r="L806" s="228"/>
      <c r="M806" s="58"/>
      <c r="N806" s="229"/>
      <c r="O806" s="186" t="s">
        <v>1402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>
      <c r="A807" s="390" t="s">
        <v>1381</v>
      </c>
      <c r="B807" s="391" t="s">
        <v>129</v>
      </c>
      <c r="C807" s="391">
        <v>47</v>
      </c>
      <c r="D807" s="391" t="s">
        <v>7</v>
      </c>
      <c r="E807" s="391">
        <v>630</v>
      </c>
      <c r="F807" s="391" t="s">
        <v>1287</v>
      </c>
      <c r="G807" s="391" t="s">
        <v>247</v>
      </c>
      <c r="H807" s="391" t="s">
        <v>15</v>
      </c>
      <c r="I807" s="391">
        <v>20</v>
      </c>
      <c r="J807" s="392" t="s">
        <v>360</v>
      </c>
      <c r="K807" s="393">
        <f>(19*38)+(1*33.7)</f>
        <v>755.7</v>
      </c>
      <c r="L807" s="228" t="s">
        <v>1389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>
      <c r="A808" s="390" t="s">
        <v>1381</v>
      </c>
      <c r="B808" s="391" t="s">
        <v>129</v>
      </c>
      <c r="C808" s="391">
        <v>47</v>
      </c>
      <c r="D808" s="391" t="s">
        <v>7</v>
      </c>
      <c r="E808" s="391">
        <v>730</v>
      </c>
      <c r="F808" s="391" t="s">
        <v>1288</v>
      </c>
      <c r="G808" s="391" t="s">
        <v>1293</v>
      </c>
      <c r="H808" s="391" t="s">
        <v>15</v>
      </c>
      <c r="I808" s="391">
        <v>20</v>
      </c>
      <c r="J808" s="392" t="s">
        <v>1299</v>
      </c>
      <c r="K808" s="393">
        <f>(19*23)+(1*18.7)</f>
        <v>455.7</v>
      </c>
      <c r="L808" s="228" t="s">
        <v>1389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>
      <c r="A809" s="390" t="s">
        <v>1381</v>
      </c>
      <c r="B809" s="391" t="s">
        <v>129</v>
      </c>
      <c r="C809" s="391">
        <v>47</v>
      </c>
      <c r="D809" s="391" t="s">
        <v>7</v>
      </c>
      <c r="E809" s="391">
        <v>820</v>
      </c>
      <c r="F809" s="391" t="s">
        <v>1289</v>
      </c>
      <c r="G809" s="391" t="s">
        <v>1191</v>
      </c>
      <c r="H809" s="391" t="s">
        <v>15</v>
      </c>
      <c r="I809" s="391">
        <v>25</v>
      </c>
      <c r="J809" s="392" t="s">
        <v>1300</v>
      </c>
      <c r="K809" s="393">
        <f>(25*25)</f>
        <v>625</v>
      </c>
      <c r="L809" s="58"/>
      <c r="M809" s="58"/>
      <c r="N809" s="229"/>
      <c r="O809" s="186" t="s">
        <v>1393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>
      <c r="A810" s="390" t="s">
        <v>1381</v>
      </c>
      <c r="B810" s="391" t="s">
        <v>129</v>
      </c>
      <c r="C810" s="391">
        <v>47</v>
      </c>
      <c r="D810" s="391" t="s">
        <v>7</v>
      </c>
      <c r="E810" s="391">
        <v>1033</v>
      </c>
      <c r="F810" s="391" t="s">
        <v>1290</v>
      </c>
      <c r="G810" s="391" t="s">
        <v>1294</v>
      </c>
      <c r="H810" s="391" t="s">
        <v>15</v>
      </c>
      <c r="I810" s="391">
        <v>20</v>
      </c>
      <c r="J810" s="392" t="s">
        <v>125</v>
      </c>
      <c r="K810" s="393">
        <f>(20*35)</f>
        <v>700</v>
      </c>
      <c r="L810" s="228" t="s">
        <v>1389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>
      <c r="A811" s="390" t="s">
        <v>1381</v>
      </c>
      <c r="B811" s="391" t="s">
        <v>129</v>
      </c>
      <c r="C811" s="391">
        <v>47</v>
      </c>
      <c r="D811" s="391" t="s">
        <v>7</v>
      </c>
      <c r="E811" s="391">
        <v>1036</v>
      </c>
      <c r="F811" s="391" t="s">
        <v>1291</v>
      </c>
      <c r="G811" s="391" t="s">
        <v>1294</v>
      </c>
      <c r="H811" s="391" t="s">
        <v>15</v>
      </c>
      <c r="I811" s="391">
        <v>20</v>
      </c>
      <c r="J811" s="392" t="s">
        <v>1301</v>
      </c>
      <c r="K811" s="393">
        <f>(19*35)+(1*27.3)</f>
        <v>692.3</v>
      </c>
      <c r="L811" s="228" t="s">
        <v>1389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thickBot="1">
      <c r="A812" s="390" t="s">
        <v>1381</v>
      </c>
      <c r="B812" s="394" t="s">
        <v>129</v>
      </c>
      <c r="C812" s="394">
        <v>47</v>
      </c>
      <c r="D812" s="394" t="s">
        <v>7</v>
      </c>
      <c r="E812" s="394">
        <v>1184</v>
      </c>
      <c r="F812" s="394" t="s">
        <v>278</v>
      </c>
      <c r="G812" s="394" t="s">
        <v>442</v>
      </c>
      <c r="H812" s="394" t="s">
        <v>15</v>
      </c>
      <c r="I812" s="394">
        <v>15</v>
      </c>
      <c r="J812" s="395" t="s">
        <v>1125</v>
      </c>
      <c r="K812" s="396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1382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>
      <c r="A813" s="390" t="s">
        <v>1381</v>
      </c>
      <c r="B813" s="387" t="s">
        <v>129</v>
      </c>
      <c r="C813" s="387">
        <v>47</v>
      </c>
      <c r="D813" s="387" t="s">
        <v>7</v>
      </c>
      <c r="E813" s="387">
        <v>1195</v>
      </c>
      <c r="F813" s="387" t="s">
        <v>312</v>
      </c>
      <c r="G813" s="387" t="s">
        <v>899</v>
      </c>
      <c r="H813" s="387" t="s">
        <v>15</v>
      </c>
      <c r="I813" s="387">
        <v>20</v>
      </c>
      <c r="J813" s="388" t="s">
        <v>31</v>
      </c>
      <c r="K813" s="389">
        <f>(19*37)+(1*28.4)</f>
        <v>731.4</v>
      </c>
      <c r="L813" s="228"/>
      <c r="M813" s="58"/>
      <c r="N813" s="229"/>
      <c r="O813" s="186" t="s">
        <v>1393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>
      <c r="A814" s="390" t="s">
        <v>1381</v>
      </c>
      <c r="B814" s="391" t="s">
        <v>129</v>
      </c>
      <c r="C814" s="391">
        <v>47</v>
      </c>
      <c r="D814" s="391" t="s">
        <v>7</v>
      </c>
      <c r="E814" s="391">
        <v>1205</v>
      </c>
      <c r="F814" s="391" t="s">
        <v>398</v>
      </c>
      <c r="G814" s="391" t="s">
        <v>900</v>
      </c>
      <c r="H814" s="391" t="s">
        <v>15</v>
      </c>
      <c r="I814" s="391">
        <v>30</v>
      </c>
      <c r="J814" s="392" t="s">
        <v>1302</v>
      </c>
      <c r="K814" s="393">
        <f>(30*28)</f>
        <v>840</v>
      </c>
      <c r="L814" s="228" t="s">
        <v>1389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>
      <c r="A815" s="390" t="s">
        <v>1381</v>
      </c>
      <c r="B815" s="391" t="s">
        <v>129</v>
      </c>
      <c r="C815" s="391">
        <v>47</v>
      </c>
      <c r="D815" s="391" t="s">
        <v>7</v>
      </c>
      <c r="E815" s="391">
        <v>1489</v>
      </c>
      <c r="F815" s="391" t="s">
        <v>209</v>
      </c>
      <c r="G815" s="391" t="s">
        <v>958</v>
      </c>
      <c r="H815" s="391" t="s">
        <v>15</v>
      </c>
      <c r="I815" s="391">
        <v>20</v>
      </c>
      <c r="J815" s="392" t="s">
        <v>387</v>
      </c>
      <c r="K815" s="393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1382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>
      <c r="A816" s="390" t="s">
        <v>1381</v>
      </c>
      <c r="B816" s="391" t="s">
        <v>129</v>
      </c>
      <c r="C816" s="391">
        <v>47</v>
      </c>
      <c r="D816" s="391" t="s">
        <v>7</v>
      </c>
      <c r="E816" s="391">
        <v>1512</v>
      </c>
      <c r="F816" s="391" t="s">
        <v>693</v>
      </c>
      <c r="G816" s="391" t="s">
        <v>204</v>
      </c>
      <c r="H816" s="391" t="s">
        <v>15</v>
      </c>
      <c r="I816" s="391">
        <v>20</v>
      </c>
      <c r="J816" s="392" t="s">
        <v>964</v>
      </c>
      <c r="K816" s="393">
        <f>(20*40)</f>
        <v>800</v>
      </c>
      <c r="L816" s="228" t="s">
        <v>1389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>
      <c r="A817" s="390" t="s">
        <v>1381</v>
      </c>
      <c r="B817" s="391" t="s">
        <v>129</v>
      </c>
      <c r="C817" s="391">
        <v>47</v>
      </c>
      <c r="D817" s="391" t="s">
        <v>7</v>
      </c>
      <c r="E817" s="391">
        <v>1514</v>
      </c>
      <c r="F817" s="391" t="s">
        <v>122</v>
      </c>
      <c r="G817" s="391" t="s">
        <v>204</v>
      </c>
      <c r="H817" s="391" t="s">
        <v>15</v>
      </c>
      <c r="I817" s="391">
        <v>15</v>
      </c>
      <c r="J817" s="392" t="s">
        <v>666</v>
      </c>
      <c r="K817" s="393">
        <f>(14*40)+(1*32.3)</f>
        <v>592.29999999999995</v>
      </c>
      <c r="L817" s="228" t="s">
        <v>1389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>
      <c r="A818" s="390" t="s">
        <v>1381</v>
      </c>
      <c r="B818" s="391" t="s">
        <v>129</v>
      </c>
      <c r="C818" s="391">
        <v>47</v>
      </c>
      <c r="D818" s="391" t="s">
        <v>7</v>
      </c>
      <c r="E818" s="391">
        <v>1903</v>
      </c>
      <c r="F818" s="391" t="s">
        <v>676</v>
      </c>
      <c r="G818" s="391" t="s">
        <v>865</v>
      </c>
      <c r="H818" s="391" t="s">
        <v>5</v>
      </c>
      <c r="I818" s="391">
        <v>13</v>
      </c>
      <c r="J818" s="392" t="s">
        <v>680</v>
      </c>
      <c r="K818" s="393">
        <f>(13*34)</f>
        <v>442</v>
      </c>
      <c r="L818" s="58"/>
      <c r="M818" s="58"/>
      <c r="N818" s="229"/>
      <c r="O818" s="186" t="s">
        <v>1389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>
      <c r="A819" s="390" t="s">
        <v>1381</v>
      </c>
      <c r="B819" s="391" t="s">
        <v>129</v>
      </c>
      <c r="C819" s="391">
        <v>47</v>
      </c>
      <c r="D819" s="391" t="s">
        <v>56</v>
      </c>
      <c r="E819" s="391">
        <v>75</v>
      </c>
      <c r="F819" s="391" t="s">
        <v>1292</v>
      </c>
      <c r="G819" s="391" t="s">
        <v>1116</v>
      </c>
      <c r="H819" s="391" t="s">
        <v>15</v>
      </c>
      <c r="I819" s="391">
        <v>20</v>
      </c>
      <c r="J819" s="392" t="s">
        <v>359</v>
      </c>
      <c r="K819" s="393">
        <f>(19*37)+(1*32.7)</f>
        <v>735.7</v>
      </c>
      <c r="L819" s="228"/>
      <c r="M819" s="58"/>
      <c r="N819" s="229"/>
      <c r="O819" s="186" t="s">
        <v>1389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>
      <c r="A820" s="390" t="s">
        <v>1381</v>
      </c>
      <c r="B820" s="391" t="s">
        <v>129</v>
      </c>
      <c r="C820" s="391">
        <v>47</v>
      </c>
      <c r="D820" s="391" t="s">
        <v>56</v>
      </c>
      <c r="E820" s="391">
        <v>113</v>
      </c>
      <c r="F820" s="391" t="s">
        <v>739</v>
      </c>
      <c r="G820" s="391" t="s">
        <v>400</v>
      </c>
      <c r="H820" s="391" t="s">
        <v>15</v>
      </c>
      <c r="I820" s="391">
        <v>15</v>
      </c>
      <c r="J820" s="392" t="s">
        <v>413</v>
      </c>
      <c r="K820" s="393">
        <f>(13*35)+(2*27.3)</f>
        <v>509.6</v>
      </c>
      <c r="L820" s="58"/>
      <c r="M820" s="58"/>
      <c r="N820" s="229"/>
      <c r="O820" s="21"/>
      <c r="P820" s="21"/>
      <c r="Q820" s="187"/>
      <c r="R820" s="295" t="s">
        <v>1382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>
      <c r="A821" s="390" t="s">
        <v>1381</v>
      </c>
      <c r="B821" s="391" t="s">
        <v>129</v>
      </c>
      <c r="C821" s="391">
        <v>47</v>
      </c>
      <c r="D821" s="391" t="s">
        <v>56</v>
      </c>
      <c r="E821" s="391">
        <v>114</v>
      </c>
      <c r="F821" s="391" t="s">
        <v>633</v>
      </c>
      <c r="G821" s="391" t="s">
        <v>400</v>
      </c>
      <c r="H821" s="391" t="s">
        <v>15</v>
      </c>
      <c r="I821" s="391">
        <v>20</v>
      </c>
      <c r="J821" s="392" t="s">
        <v>125</v>
      </c>
      <c r="K821" s="393">
        <f>(20*35)</f>
        <v>700</v>
      </c>
      <c r="L821" s="58"/>
      <c r="M821" s="58"/>
      <c r="N821" s="229"/>
      <c r="O821" s="186" t="s">
        <v>1389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>
      <c r="A822" s="390" t="s">
        <v>1381</v>
      </c>
      <c r="B822" s="391" t="s">
        <v>129</v>
      </c>
      <c r="C822" s="391">
        <v>47</v>
      </c>
      <c r="D822" s="391" t="s">
        <v>56</v>
      </c>
      <c r="E822" s="391">
        <v>116</v>
      </c>
      <c r="F822" s="391" t="s">
        <v>322</v>
      </c>
      <c r="G822" s="391" t="s">
        <v>400</v>
      </c>
      <c r="H822" s="391" t="s">
        <v>15</v>
      </c>
      <c r="I822" s="391">
        <v>15</v>
      </c>
      <c r="J822" s="392" t="s">
        <v>137</v>
      </c>
      <c r="K822" s="393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1382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>
      <c r="A823" s="390" t="s">
        <v>1381</v>
      </c>
      <c r="B823" s="391" t="s">
        <v>129</v>
      </c>
      <c r="C823" s="391">
        <v>47</v>
      </c>
      <c r="D823" s="391" t="s">
        <v>55</v>
      </c>
      <c r="E823" s="391">
        <v>11</v>
      </c>
      <c r="F823" s="391" t="s">
        <v>1295</v>
      </c>
      <c r="G823" s="391" t="s">
        <v>432</v>
      </c>
      <c r="H823" s="391" t="s">
        <v>15</v>
      </c>
      <c r="I823" s="391">
        <v>30</v>
      </c>
      <c r="J823" s="392" t="s">
        <v>380</v>
      </c>
      <c r="K823" s="393">
        <f>(29*37)+(1*29.3)</f>
        <v>1102.3</v>
      </c>
      <c r="L823" s="58"/>
      <c r="M823" s="58"/>
      <c r="N823" s="229"/>
      <c r="O823" s="186" t="s">
        <v>1389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>
      <c r="A824" s="390" t="s">
        <v>1381</v>
      </c>
      <c r="B824" s="391" t="s">
        <v>129</v>
      </c>
      <c r="C824" s="391">
        <v>47</v>
      </c>
      <c r="D824" s="391" t="s">
        <v>55</v>
      </c>
      <c r="E824" s="391">
        <v>12</v>
      </c>
      <c r="F824" s="391" t="s">
        <v>1296</v>
      </c>
      <c r="G824" s="391" t="s">
        <v>432</v>
      </c>
      <c r="H824" s="391" t="s">
        <v>15</v>
      </c>
      <c r="I824" s="391">
        <v>25</v>
      </c>
      <c r="J824" s="392" t="s">
        <v>663</v>
      </c>
      <c r="K824" s="393">
        <f>(24*37)+(1*29.3)</f>
        <v>917.3</v>
      </c>
      <c r="L824" s="58"/>
      <c r="M824" s="58"/>
      <c r="N824" s="229"/>
      <c r="O824" s="186"/>
      <c r="P824" s="21"/>
      <c r="Q824" s="187"/>
      <c r="R824" s="295" t="s">
        <v>1382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>
      <c r="A825" s="390" t="s">
        <v>1381</v>
      </c>
      <c r="B825" s="391" t="s">
        <v>129</v>
      </c>
      <c r="C825" s="391">
        <v>47</v>
      </c>
      <c r="D825" s="391" t="s">
        <v>55</v>
      </c>
      <c r="E825" s="391">
        <v>15</v>
      </c>
      <c r="F825" s="391" t="s">
        <v>1297</v>
      </c>
      <c r="G825" s="391" t="s">
        <v>432</v>
      </c>
      <c r="H825" s="391" t="s">
        <v>15</v>
      </c>
      <c r="I825" s="391">
        <v>25</v>
      </c>
      <c r="J825" s="392" t="s">
        <v>663</v>
      </c>
      <c r="K825" s="393">
        <f>(24*37)+(1*29.3)</f>
        <v>917.3</v>
      </c>
      <c r="L825" s="58"/>
      <c r="M825" s="58"/>
      <c r="N825" s="229"/>
      <c r="O825" s="186" t="s">
        <v>1393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>
      <c r="A826" s="390" t="s">
        <v>1381</v>
      </c>
      <c r="B826" s="391" t="s">
        <v>129</v>
      </c>
      <c r="C826" s="391">
        <v>47</v>
      </c>
      <c r="D826" s="391" t="s">
        <v>55</v>
      </c>
      <c r="E826" s="391">
        <v>103</v>
      </c>
      <c r="F826" s="391" t="s">
        <v>753</v>
      </c>
      <c r="G826" s="391" t="s">
        <v>376</v>
      </c>
      <c r="H826" s="391" t="s">
        <v>5</v>
      </c>
      <c r="I826" s="391">
        <v>20</v>
      </c>
      <c r="J826" s="392" t="s">
        <v>370</v>
      </c>
      <c r="K826" s="393">
        <f>(19*34)+(1*29.7)</f>
        <v>675.7</v>
      </c>
      <c r="L826" s="58"/>
      <c r="M826" s="58"/>
      <c r="N826" s="229"/>
      <c r="O826" s="186" t="s">
        <v>1389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>
      <c r="A827" s="390" t="s">
        <v>1381</v>
      </c>
      <c r="B827" s="391" t="s">
        <v>129</v>
      </c>
      <c r="C827" s="391">
        <v>47</v>
      </c>
      <c r="D827" s="391" t="s">
        <v>55</v>
      </c>
      <c r="E827" s="391">
        <v>104</v>
      </c>
      <c r="F827" s="391" t="s">
        <v>384</v>
      </c>
      <c r="G827" s="391" t="s">
        <v>376</v>
      </c>
      <c r="H827" s="391" t="s">
        <v>5</v>
      </c>
      <c r="I827" s="391">
        <v>20</v>
      </c>
      <c r="J827" s="392" t="s">
        <v>370</v>
      </c>
      <c r="K827" s="393">
        <f>(19*34)+(1*29.7)</f>
        <v>675.7</v>
      </c>
      <c r="L827" s="58"/>
      <c r="M827" s="58"/>
      <c r="N827" s="229"/>
      <c r="O827" s="186" t="s">
        <v>1393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>
      <c r="A828" s="390" t="s">
        <v>1381</v>
      </c>
      <c r="B828" s="391" t="s">
        <v>129</v>
      </c>
      <c r="C828" s="391">
        <v>47</v>
      </c>
      <c r="D828" s="391" t="s">
        <v>55</v>
      </c>
      <c r="E828" s="391">
        <v>149</v>
      </c>
      <c r="F828" s="391" t="s">
        <v>586</v>
      </c>
      <c r="G828" s="391" t="s">
        <v>71</v>
      </c>
      <c r="H828" s="391" t="s">
        <v>15</v>
      </c>
      <c r="I828" s="391">
        <v>24</v>
      </c>
      <c r="J828" s="392" t="s">
        <v>412</v>
      </c>
      <c r="K828" s="393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1382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>
      <c r="A829" s="390" t="s">
        <v>1381</v>
      </c>
      <c r="B829" s="391" t="s">
        <v>129</v>
      </c>
      <c r="C829" s="391">
        <v>47</v>
      </c>
      <c r="D829" s="391" t="s">
        <v>55</v>
      </c>
      <c r="E829" s="391">
        <v>150</v>
      </c>
      <c r="F829" s="391" t="s">
        <v>293</v>
      </c>
      <c r="G829" s="391" t="s">
        <v>71</v>
      </c>
      <c r="H829" s="391" t="s">
        <v>15</v>
      </c>
      <c r="I829" s="391">
        <v>20</v>
      </c>
      <c r="J829" s="392" t="s">
        <v>387</v>
      </c>
      <c r="K829" s="393">
        <f>(19*30)+(1*25.7)</f>
        <v>595.70000000000005</v>
      </c>
      <c r="L829" s="228" t="s">
        <v>1389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>
      <c r="A830" s="390" t="s">
        <v>1381</v>
      </c>
      <c r="B830" s="391" t="s">
        <v>9</v>
      </c>
      <c r="C830" s="391">
        <v>47</v>
      </c>
      <c r="D830" s="391" t="s">
        <v>25</v>
      </c>
      <c r="E830" s="391">
        <v>11</v>
      </c>
      <c r="F830" s="391" t="s">
        <v>272</v>
      </c>
      <c r="G830" s="391" t="s">
        <v>35</v>
      </c>
      <c r="H830" s="391"/>
      <c r="I830" s="391">
        <v>20</v>
      </c>
      <c r="J830" s="392" t="s">
        <v>33</v>
      </c>
      <c r="K830" s="393">
        <f>(19*26)+(1*17.4)</f>
        <v>511.4</v>
      </c>
      <c r="L830" s="58"/>
      <c r="M830" s="58"/>
      <c r="N830" s="229"/>
      <c r="O830" s="186" t="s">
        <v>1406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>
      <c r="A831" s="390" t="s">
        <v>1381</v>
      </c>
      <c r="B831" s="391" t="s">
        <v>9</v>
      </c>
      <c r="C831" s="391">
        <v>47</v>
      </c>
      <c r="D831" s="391" t="s">
        <v>25</v>
      </c>
      <c r="E831" s="391">
        <v>13</v>
      </c>
      <c r="F831" s="391" t="s">
        <v>251</v>
      </c>
      <c r="G831" s="391" t="s">
        <v>35</v>
      </c>
      <c r="H831" s="391" t="s">
        <v>15</v>
      </c>
      <c r="I831" s="391">
        <v>20</v>
      </c>
      <c r="J831" s="392" t="s">
        <v>33</v>
      </c>
      <c r="K831" s="393">
        <f>(19*26)+(1*17.4)</f>
        <v>511.4</v>
      </c>
      <c r="L831" s="228" t="s">
        <v>1396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>
      <c r="A832" s="390" t="s">
        <v>1381</v>
      </c>
      <c r="B832" s="391" t="s">
        <v>9</v>
      </c>
      <c r="C832" s="391">
        <v>47</v>
      </c>
      <c r="D832" s="391" t="s">
        <v>25</v>
      </c>
      <c r="E832" s="391">
        <v>32</v>
      </c>
      <c r="F832" s="391" t="s">
        <v>609</v>
      </c>
      <c r="G832" s="391" t="s">
        <v>696</v>
      </c>
      <c r="H832" s="391" t="s">
        <v>15</v>
      </c>
      <c r="I832" s="391">
        <v>18</v>
      </c>
      <c r="J832" s="392" t="s">
        <v>438</v>
      </c>
      <c r="K832" s="393">
        <f>(18*28)</f>
        <v>504</v>
      </c>
      <c r="L832" s="58"/>
      <c r="M832" s="58"/>
      <c r="N832" s="229"/>
      <c r="O832" s="186" t="s">
        <v>1406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>
      <c r="A833" s="390" t="s">
        <v>1381</v>
      </c>
      <c r="B833" s="391" t="s">
        <v>9</v>
      </c>
      <c r="C833" s="391">
        <v>47</v>
      </c>
      <c r="D833" s="391" t="s">
        <v>25</v>
      </c>
      <c r="E833" s="391">
        <v>77</v>
      </c>
      <c r="F833" s="391" t="s">
        <v>110</v>
      </c>
      <c r="G833" s="391" t="s">
        <v>111</v>
      </c>
      <c r="H833" s="391" t="s">
        <v>15</v>
      </c>
      <c r="I833" s="391">
        <v>15</v>
      </c>
      <c r="J833" s="392" t="s">
        <v>116</v>
      </c>
      <c r="K833" s="393">
        <f>(14*34)+(1*25.4)</f>
        <v>501.4</v>
      </c>
      <c r="L833" s="58"/>
      <c r="M833" s="58"/>
      <c r="N833" s="229"/>
      <c r="O833" s="186" t="s">
        <v>1406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>
      <c r="A834" s="390" t="s">
        <v>1381</v>
      </c>
      <c r="B834" s="391" t="s">
        <v>9</v>
      </c>
      <c r="C834" s="391">
        <v>47</v>
      </c>
      <c r="D834" s="391" t="s">
        <v>25</v>
      </c>
      <c r="E834" s="391">
        <v>79</v>
      </c>
      <c r="F834" s="391" t="s">
        <v>472</v>
      </c>
      <c r="G834" s="391" t="s">
        <v>111</v>
      </c>
      <c r="H834" s="391" t="s">
        <v>15</v>
      </c>
      <c r="I834" s="391">
        <v>15</v>
      </c>
      <c r="J834" s="392" t="s">
        <v>116</v>
      </c>
      <c r="K834" s="393">
        <f>(14*34)+(1*25.4)</f>
        <v>501.4</v>
      </c>
      <c r="L834" s="228" t="s">
        <v>1396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>
      <c r="A835" s="390" t="s">
        <v>1381</v>
      </c>
      <c r="B835" s="391" t="s">
        <v>9</v>
      </c>
      <c r="C835" s="391">
        <v>47</v>
      </c>
      <c r="D835" s="391" t="s">
        <v>7</v>
      </c>
      <c r="E835" s="391">
        <v>132</v>
      </c>
      <c r="F835" s="391" t="s">
        <v>734</v>
      </c>
      <c r="G835" s="391" t="s">
        <v>599</v>
      </c>
      <c r="H835" s="391" t="s">
        <v>15</v>
      </c>
      <c r="I835" s="391">
        <v>30</v>
      </c>
      <c r="J835" s="392" t="s">
        <v>816</v>
      </c>
      <c r="K835" s="393">
        <f>(28*38)+(2*29.4)</f>
        <v>1122.8</v>
      </c>
      <c r="L835" s="58"/>
      <c r="M835" s="58"/>
      <c r="N835" s="229"/>
      <c r="O835" s="186" t="s">
        <v>1402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>
      <c r="A836" s="390" t="s">
        <v>1381</v>
      </c>
      <c r="B836" s="391" t="s">
        <v>9</v>
      </c>
      <c r="C836" s="391">
        <v>47</v>
      </c>
      <c r="D836" s="391" t="s">
        <v>7</v>
      </c>
      <c r="E836" s="391">
        <v>133</v>
      </c>
      <c r="F836" s="391" t="s">
        <v>884</v>
      </c>
      <c r="G836" s="391" t="s">
        <v>599</v>
      </c>
      <c r="H836" s="391" t="s">
        <v>15</v>
      </c>
      <c r="I836" s="391">
        <v>15</v>
      </c>
      <c r="J836" s="392" t="s">
        <v>37</v>
      </c>
      <c r="K836" s="393">
        <f>(13*38)+(2*29.4)</f>
        <v>552.79999999999995</v>
      </c>
      <c r="L836" s="228"/>
      <c r="M836" s="58"/>
      <c r="N836" s="229"/>
      <c r="O836" s="186" t="s">
        <v>1403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>
      <c r="A837" s="390" t="s">
        <v>1381</v>
      </c>
      <c r="B837" s="391" t="s">
        <v>9</v>
      </c>
      <c r="C837" s="391">
        <v>47</v>
      </c>
      <c r="D837" s="391" t="s">
        <v>7</v>
      </c>
      <c r="E837" s="391">
        <v>168</v>
      </c>
      <c r="F837" s="391" t="s">
        <v>1303</v>
      </c>
      <c r="G837" s="391" t="s">
        <v>294</v>
      </c>
      <c r="H837" s="391" t="s">
        <v>15</v>
      </c>
      <c r="I837" s="391">
        <v>15</v>
      </c>
      <c r="J837" s="392" t="s">
        <v>37</v>
      </c>
      <c r="K837" s="393">
        <f>(13*38)+(2*29.4)</f>
        <v>552.79999999999995</v>
      </c>
      <c r="L837" s="228"/>
      <c r="M837" s="58"/>
      <c r="N837" s="229"/>
      <c r="O837" s="186" t="s">
        <v>1403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>
      <c r="A838" s="390" t="s">
        <v>1381</v>
      </c>
      <c r="B838" s="391" t="s">
        <v>9</v>
      </c>
      <c r="C838" s="391">
        <v>47</v>
      </c>
      <c r="D838" s="391" t="s">
        <v>7</v>
      </c>
      <c r="E838" s="391">
        <v>174</v>
      </c>
      <c r="F838" s="391" t="s">
        <v>1304</v>
      </c>
      <c r="G838" s="391" t="s">
        <v>294</v>
      </c>
      <c r="H838" s="391" t="s">
        <v>15</v>
      </c>
      <c r="I838" s="391">
        <v>15</v>
      </c>
      <c r="J838" s="392" t="s">
        <v>1140</v>
      </c>
      <c r="K838" s="393">
        <f>(12*38)+(3*29.4)</f>
        <v>544.20000000000005</v>
      </c>
      <c r="L838" s="58"/>
      <c r="M838" s="58"/>
      <c r="N838" s="229"/>
      <c r="O838" s="186" t="s">
        <v>1402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>
      <c r="A839" s="390" t="s">
        <v>1381</v>
      </c>
      <c r="B839" s="391" t="s">
        <v>9</v>
      </c>
      <c r="C839" s="391">
        <v>47</v>
      </c>
      <c r="D839" s="391" t="s">
        <v>7</v>
      </c>
      <c r="E839" s="391">
        <v>265</v>
      </c>
      <c r="F839" s="391" t="s">
        <v>538</v>
      </c>
      <c r="G839" s="391" t="s">
        <v>603</v>
      </c>
      <c r="H839" s="391" t="s">
        <v>15</v>
      </c>
      <c r="I839" s="391">
        <v>20</v>
      </c>
      <c r="J839" s="392" t="s">
        <v>1024</v>
      </c>
      <c r="K839" s="393">
        <f>(20*37)</f>
        <v>740</v>
      </c>
      <c r="L839" s="58"/>
      <c r="M839" s="58"/>
      <c r="N839" s="229"/>
      <c r="O839" s="186" t="s">
        <v>1406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>
      <c r="A840" s="390" t="s">
        <v>1381</v>
      </c>
      <c r="B840" s="391" t="s">
        <v>9</v>
      </c>
      <c r="C840" s="391">
        <v>47</v>
      </c>
      <c r="D840" s="391" t="s">
        <v>7</v>
      </c>
      <c r="E840" s="391">
        <v>299</v>
      </c>
      <c r="F840" s="391" t="s">
        <v>1305</v>
      </c>
      <c r="G840" s="391" t="s">
        <v>1308</v>
      </c>
      <c r="H840" s="391" t="s">
        <v>15</v>
      </c>
      <c r="I840" s="391">
        <v>20</v>
      </c>
      <c r="J840" s="392" t="s">
        <v>30</v>
      </c>
      <c r="K840" s="393">
        <f>(19*38)+(1*29.4)</f>
        <v>751.4</v>
      </c>
      <c r="L840" s="228"/>
      <c r="M840" s="58"/>
      <c r="N840" s="229"/>
      <c r="O840" s="186" t="s">
        <v>1402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>
      <c r="A841" s="390" t="s">
        <v>1381</v>
      </c>
      <c r="B841" s="391" t="s">
        <v>9</v>
      </c>
      <c r="C841" s="391">
        <v>47</v>
      </c>
      <c r="D841" s="391" t="s">
        <v>7</v>
      </c>
      <c r="E841" s="391">
        <v>301</v>
      </c>
      <c r="F841" s="391" t="s">
        <v>1137</v>
      </c>
      <c r="G841" s="391" t="s">
        <v>1308</v>
      </c>
      <c r="H841" s="391" t="s">
        <v>15</v>
      </c>
      <c r="I841" s="391">
        <v>20</v>
      </c>
      <c r="J841" s="392" t="s">
        <v>30</v>
      </c>
      <c r="K841" s="393">
        <f>(19*38)+(1*29.4)</f>
        <v>751.4</v>
      </c>
      <c r="L841" s="228"/>
      <c r="M841" s="58"/>
      <c r="N841" s="229"/>
      <c r="O841" s="186" t="s">
        <v>1403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>
      <c r="A842" s="390" t="s">
        <v>1381</v>
      </c>
      <c r="B842" s="391" t="s">
        <v>9</v>
      </c>
      <c r="C842" s="391">
        <v>47</v>
      </c>
      <c r="D842" s="391" t="s">
        <v>7</v>
      </c>
      <c r="E842" s="391">
        <v>317</v>
      </c>
      <c r="F842" s="391" t="s">
        <v>431</v>
      </c>
      <c r="G842" s="391" t="s">
        <v>1308</v>
      </c>
      <c r="H842" s="391" t="s">
        <v>15</v>
      </c>
      <c r="I842" s="391">
        <v>10</v>
      </c>
      <c r="J842" s="392" t="s">
        <v>626</v>
      </c>
      <c r="K842" s="393">
        <f>(8*38)+(2*29.4)</f>
        <v>362.8</v>
      </c>
      <c r="L842" s="228"/>
      <c r="M842" s="58"/>
      <c r="N842" s="229"/>
      <c r="O842" s="186" t="s">
        <v>1403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>
      <c r="A843" s="390" t="s">
        <v>1381</v>
      </c>
      <c r="B843" s="391" t="s">
        <v>9</v>
      </c>
      <c r="C843" s="391">
        <v>47</v>
      </c>
      <c r="D843" s="391" t="s">
        <v>7</v>
      </c>
      <c r="E843" s="391">
        <v>318</v>
      </c>
      <c r="F843" s="391" t="s">
        <v>364</v>
      </c>
      <c r="G843" s="391" t="s">
        <v>1308</v>
      </c>
      <c r="H843" s="391" t="s">
        <v>15</v>
      </c>
      <c r="I843" s="391">
        <v>15</v>
      </c>
      <c r="J843" s="392" t="s">
        <v>37</v>
      </c>
      <c r="K843" s="393">
        <f>(13*38)+(2*29.4)</f>
        <v>552.79999999999995</v>
      </c>
      <c r="L843" s="58"/>
      <c r="M843" s="58"/>
      <c r="N843" s="229"/>
      <c r="O843" s="186" t="s">
        <v>1402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>
      <c r="A844" s="390" t="s">
        <v>1381</v>
      </c>
      <c r="B844" s="391" t="s">
        <v>9</v>
      </c>
      <c r="C844" s="391">
        <v>47</v>
      </c>
      <c r="D844" s="391" t="s">
        <v>7</v>
      </c>
      <c r="E844" s="391">
        <v>353</v>
      </c>
      <c r="F844" s="391" t="s">
        <v>396</v>
      </c>
      <c r="G844" s="391" t="s">
        <v>1144</v>
      </c>
      <c r="H844" s="391" t="s">
        <v>15</v>
      </c>
      <c r="I844" s="391">
        <v>20</v>
      </c>
      <c r="J844" s="392" t="s">
        <v>30</v>
      </c>
      <c r="K844" s="393">
        <f>(19*38)+(1*29.4)</f>
        <v>751.4</v>
      </c>
      <c r="L844" s="58"/>
      <c r="M844" s="58"/>
      <c r="N844" s="229"/>
      <c r="O844" s="186" t="s">
        <v>1403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>
      <c r="A845" s="390" t="s">
        <v>1381</v>
      </c>
      <c r="B845" s="391" t="s">
        <v>9</v>
      </c>
      <c r="C845" s="391">
        <v>47</v>
      </c>
      <c r="D845" s="391" t="s">
        <v>7</v>
      </c>
      <c r="E845" s="391">
        <v>354</v>
      </c>
      <c r="F845" s="391" t="s">
        <v>882</v>
      </c>
      <c r="G845" s="391" t="s">
        <v>1144</v>
      </c>
      <c r="H845" s="391" t="s">
        <v>15</v>
      </c>
      <c r="I845" s="391">
        <v>15</v>
      </c>
      <c r="J845" s="392" t="s">
        <v>93</v>
      </c>
      <c r="K845" s="393">
        <f>(15*38)</f>
        <v>570</v>
      </c>
      <c r="L845" s="58"/>
      <c r="M845" s="58"/>
      <c r="N845" s="229"/>
      <c r="O845" s="186" t="s">
        <v>1406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>
      <c r="A846" s="390" t="s">
        <v>1381</v>
      </c>
      <c r="B846" s="391" t="s">
        <v>9</v>
      </c>
      <c r="C846" s="391">
        <v>47</v>
      </c>
      <c r="D846" s="391" t="s">
        <v>7</v>
      </c>
      <c r="E846" s="391">
        <v>355</v>
      </c>
      <c r="F846" s="391" t="s">
        <v>390</v>
      </c>
      <c r="G846" s="391" t="s">
        <v>1144</v>
      </c>
      <c r="H846" s="391" t="s">
        <v>15</v>
      </c>
      <c r="I846" s="391">
        <v>20</v>
      </c>
      <c r="J846" s="392" t="s">
        <v>30</v>
      </c>
      <c r="K846" s="393">
        <f>(19*38)+(1*29.4)</f>
        <v>751.4</v>
      </c>
      <c r="L846" s="58"/>
      <c r="M846" s="58"/>
      <c r="N846" s="229"/>
      <c r="O846" s="186" t="s">
        <v>1402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>
      <c r="A847" s="390" t="s">
        <v>1381</v>
      </c>
      <c r="B847" s="391" t="s">
        <v>9</v>
      </c>
      <c r="C847" s="391">
        <v>47</v>
      </c>
      <c r="D847" s="391" t="s">
        <v>7</v>
      </c>
      <c r="E847" s="391">
        <v>358</v>
      </c>
      <c r="F847" s="391" t="s">
        <v>804</v>
      </c>
      <c r="G847" s="391" t="s">
        <v>1144</v>
      </c>
      <c r="H847" s="391" t="s">
        <v>15</v>
      </c>
      <c r="I847" s="391">
        <v>21</v>
      </c>
      <c r="J847" s="392" t="s">
        <v>684</v>
      </c>
      <c r="K847" s="393">
        <f>(21*38)</f>
        <v>798</v>
      </c>
      <c r="L847" s="58"/>
      <c r="M847" s="58"/>
      <c r="N847" s="229"/>
      <c r="O847" s="186" t="s">
        <v>1406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>
      <c r="A848" s="390" t="s">
        <v>1381</v>
      </c>
      <c r="B848" s="391" t="s">
        <v>9</v>
      </c>
      <c r="C848" s="391">
        <v>47</v>
      </c>
      <c r="D848" s="391" t="s">
        <v>7</v>
      </c>
      <c r="E848" s="391">
        <v>368</v>
      </c>
      <c r="F848" s="391" t="s">
        <v>606</v>
      </c>
      <c r="G848" s="391" t="s">
        <v>1144</v>
      </c>
      <c r="H848" s="391" t="s">
        <v>15</v>
      </c>
      <c r="I848" s="391">
        <v>20</v>
      </c>
      <c r="J848" s="392" t="s">
        <v>40</v>
      </c>
      <c r="K848" s="393">
        <f>(18*38)+(2*29.4)</f>
        <v>742.8</v>
      </c>
      <c r="L848" s="58"/>
      <c r="M848" s="58"/>
      <c r="N848" s="229"/>
      <c r="O848" s="186" t="s">
        <v>1402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>
      <c r="A849" s="390" t="s">
        <v>1381</v>
      </c>
      <c r="B849" s="391" t="s">
        <v>9</v>
      </c>
      <c r="C849" s="391">
        <v>47</v>
      </c>
      <c r="D849" s="391" t="s">
        <v>7</v>
      </c>
      <c r="E849" s="391">
        <v>393</v>
      </c>
      <c r="F849" s="391" t="s">
        <v>659</v>
      </c>
      <c r="G849" s="391" t="s">
        <v>38</v>
      </c>
      <c r="H849" s="391" t="s">
        <v>15</v>
      </c>
      <c r="I849" s="391">
        <v>15</v>
      </c>
      <c r="J849" s="392" t="s">
        <v>137</v>
      </c>
      <c r="K849" s="393">
        <f>(15*35)</f>
        <v>525</v>
      </c>
      <c r="L849" s="58"/>
      <c r="M849" s="58"/>
      <c r="N849" s="229"/>
      <c r="O849" s="186" t="s">
        <v>1406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>
      <c r="A850" s="390" t="s">
        <v>1381</v>
      </c>
      <c r="B850" s="391" t="s">
        <v>9</v>
      </c>
      <c r="C850" s="391">
        <v>47</v>
      </c>
      <c r="D850" s="391" t="s">
        <v>7</v>
      </c>
      <c r="E850" s="391">
        <v>396</v>
      </c>
      <c r="F850" s="391" t="s">
        <v>278</v>
      </c>
      <c r="G850" s="391" t="s">
        <v>38</v>
      </c>
      <c r="H850" s="391" t="s">
        <v>15</v>
      </c>
      <c r="I850" s="391">
        <v>15</v>
      </c>
      <c r="J850" s="392" t="s">
        <v>137</v>
      </c>
      <c r="K850" s="393">
        <f>(15*35)</f>
        <v>525</v>
      </c>
      <c r="L850" s="228" t="s">
        <v>1396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thickBot="1">
      <c r="A851" s="390" t="s">
        <v>1381</v>
      </c>
      <c r="B851" s="394" t="s">
        <v>9</v>
      </c>
      <c r="C851" s="394">
        <v>47</v>
      </c>
      <c r="D851" s="394" t="s">
        <v>7</v>
      </c>
      <c r="E851" s="394">
        <v>399</v>
      </c>
      <c r="F851" s="394" t="s">
        <v>408</v>
      </c>
      <c r="G851" s="394" t="s">
        <v>38</v>
      </c>
      <c r="H851" s="394" t="s">
        <v>15</v>
      </c>
      <c r="I851" s="394">
        <v>15</v>
      </c>
      <c r="J851" s="395" t="s">
        <v>137</v>
      </c>
      <c r="K851" s="396">
        <f>(15*35)</f>
        <v>525</v>
      </c>
      <c r="L851" s="228" t="s">
        <v>1396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>
      <c r="A852" s="390" t="s">
        <v>1381</v>
      </c>
      <c r="B852" s="387" t="s">
        <v>9</v>
      </c>
      <c r="C852" s="387">
        <v>47</v>
      </c>
      <c r="D852" s="387" t="s">
        <v>7</v>
      </c>
      <c r="E852" s="387">
        <v>432</v>
      </c>
      <c r="F852" s="387" t="s">
        <v>270</v>
      </c>
      <c r="G852" s="387" t="s">
        <v>113</v>
      </c>
      <c r="H852" s="387" t="s">
        <v>15</v>
      </c>
      <c r="I852" s="387">
        <v>15</v>
      </c>
      <c r="J852" s="388" t="s">
        <v>13</v>
      </c>
      <c r="K852" s="389">
        <f>(14*35)+(1*26.4)</f>
        <v>516.4</v>
      </c>
      <c r="L852" s="58"/>
      <c r="M852" s="58"/>
      <c r="N852" s="229"/>
      <c r="O852" s="186" t="s">
        <v>1403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>
      <c r="A853" s="390" t="s">
        <v>1381</v>
      </c>
      <c r="B853" s="391" t="s">
        <v>9</v>
      </c>
      <c r="C853" s="391">
        <v>47</v>
      </c>
      <c r="D853" s="391" t="s">
        <v>7</v>
      </c>
      <c r="E853" s="391">
        <v>433</v>
      </c>
      <c r="F853" s="391" t="s">
        <v>820</v>
      </c>
      <c r="G853" s="391" t="s">
        <v>113</v>
      </c>
      <c r="H853" s="391" t="s">
        <v>15</v>
      </c>
      <c r="I853" s="391">
        <v>15</v>
      </c>
      <c r="J853" s="392" t="s">
        <v>137</v>
      </c>
      <c r="K853" s="393">
        <f>(15*35)</f>
        <v>525</v>
      </c>
      <c r="L853" s="58"/>
      <c r="M853" s="58"/>
      <c r="N853" s="229"/>
      <c r="O853" s="186" t="s">
        <v>1406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>
      <c r="A854" s="390" t="s">
        <v>1381</v>
      </c>
      <c r="B854" s="391" t="s">
        <v>9</v>
      </c>
      <c r="C854" s="391">
        <v>47</v>
      </c>
      <c r="D854" s="391" t="s">
        <v>7</v>
      </c>
      <c r="E854" s="391">
        <v>434</v>
      </c>
      <c r="F854" s="391" t="s">
        <v>697</v>
      </c>
      <c r="G854" s="391" t="s">
        <v>113</v>
      </c>
      <c r="H854" s="391" t="s">
        <v>15</v>
      </c>
      <c r="I854" s="391">
        <v>20</v>
      </c>
      <c r="J854" s="392" t="s">
        <v>17</v>
      </c>
      <c r="K854" s="393">
        <f>(19*35)+(1*26.4)</f>
        <v>691.4</v>
      </c>
      <c r="L854" s="58"/>
      <c r="M854" s="58"/>
      <c r="N854" s="229"/>
      <c r="O854" s="186" t="s">
        <v>1403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>
      <c r="A855" s="390" t="s">
        <v>1381</v>
      </c>
      <c r="B855" s="391" t="s">
        <v>9</v>
      </c>
      <c r="C855" s="391">
        <v>47</v>
      </c>
      <c r="D855" s="391" t="s">
        <v>7</v>
      </c>
      <c r="E855" s="391">
        <v>587</v>
      </c>
      <c r="F855" s="391" t="s">
        <v>1099</v>
      </c>
      <c r="G855" s="391" t="s">
        <v>41</v>
      </c>
      <c r="H855" s="391" t="s">
        <v>15</v>
      </c>
      <c r="I855" s="391">
        <v>15</v>
      </c>
      <c r="J855" s="392" t="s">
        <v>37</v>
      </c>
      <c r="K855" s="393">
        <f>(13*38)+(2*29.4)</f>
        <v>552.79999999999995</v>
      </c>
      <c r="L855" s="58"/>
      <c r="M855" s="58"/>
      <c r="N855" s="229"/>
      <c r="O855" s="186" t="s">
        <v>1403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>
      <c r="A856" s="390" t="s">
        <v>1381</v>
      </c>
      <c r="B856" s="391" t="s">
        <v>9</v>
      </c>
      <c r="C856" s="391">
        <v>47</v>
      </c>
      <c r="D856" s="391" t="s">
        <v>7</v>
      </c>
      <c r="E856" s="391">
        <v>669</v>
      </c>
      <c r="F856" s="391" t="s">
        <v>1306</v>
      </c>
      <c r="G856" s="391" t="s">
        <v>674</v>
      </c>
      <c r="H856" s="391" t="s">
        <v>15</v>
      </c>
      <c r="I856" s="391">
        <v>20</v>
      </c>
      <c r="J856" s="392" t="s">
        <v>134</v>
      </c>
      <c r="K856" s="393">
        <f>(20*26)</f>
        <v>520</v>
      </c>
      <c r="L856" s="228" t="s">
        <v>1396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>
      <c r="A857" s="390" t="s">
        <v>1381</v>
      </c>
      <c r="B857" s="391" t="s">
        <v>9</v>
      </c>
      <c r="C857" s="391">
        <v>47</v>
      </c>
      <c r="D857" s="391" t="s">
        <v>7</v>
      </c>
      <c r="E857" s="391">
        <v>779</v>
      </c>
      <c r="F857" s="391" t="s">
        <v>1307</v>
      </c>
      <c r="G857" s="391" t="s">
        <v>95</v>
      </c>
      <c r="H857" s="391" t="s">
        <v>5</v>
      </c>
      <c r="I857" s="391">
        <v>20</v>
      </c>
      <c r="J857" s="392" t="s">
        <v>22</v>
      </c>
      <c r="K857" s="393">
        <f>(18*35)+(2*26.4)</f>
        <v>682.8</v>
      </c>
      <c r="L857" s="58"/>
      <c r="M857" s="58"/>
      <c r="N857" s="229"/>
      <c r="O857" s="186" t="s">
        <v>1402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>
      <c r="A858" s="390" t="s">
        <v>1381</v>
      </c>
      <c r="B858" s="391" t="s">
        <v>9</v>
      </c>
      <c r="C858" s="391">
        <v>47</v>
      </c>
      <c r="D858" s="391" t="s">
        <v>10</v>
      </c>
      <c r="E858" s="391">
        <v>60</v>
      </c>
      <c r="F858" s="391" t="s">
        <v>721</v>
      </c>
      <c r="G858" s="391" t="s">
        <v>296</v>
      </c>
      <c r="H858" s="391" t="s">
        <v>5</v>
      </c>
      <c r="I858" s="391">
        <v>25</v>
      </c>
      <c r="J858" s="392" t="s">
        <v>1147</v>
      </c>
      <c r="K858" s="393">
        <f>(23*35)+(2*26.4)</f>
        <v>857.8</v>
      </c>
      <c r="L858" s="58"/>
      <c r="M858" s="58"/>
      <c r="N858" s="229"/>
      <c r="O858" s="186" t="s">
        <v>1406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>
      <c r="A859" s="390" t="s">
        <v>1381</v>
      </c>
      <c r="B859" s="391" t="s">
        <v>9</v>
      </c>
      <c r="C859" s="391">
        <v>47</v>
      </c>
      <c r="D859" s="391" t="s">
        <v>10</v>
      </c>
      <c r="E859" s="391">
        <v>92</v>
      </c>
      <c r="F859" s="391" t="s">
        <v>130</v>
      </c>
      <c r="G859" s="391" t="s">
        <v>82</v>
      </c>
      <c r="H859" s="391" t="s">
        <v>5</v>
      </c>
      <c r="I859" s="391">
        <v>20</v>
      </c>
      <c r="J859" s="392" t="s">
        <v>30</v>
      </c>
      <c r="K859" s="393">
        <f>(19*38)+(1*29.4)</f>
        <v>751.4</v>
      </c>
      <c r="L859" s="58"/>
      <c r="M859" s="58"/>
      <c r="N859" s="229"/>
      <c r="O859" s="186" t="s">
        <v>1406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>
      <c r="A860" s="390" t="s">
        <v>1381</v>
      </c>
      <c r="B860" s="391" t="s">
        <v>9</v>
      </c>
      <c r="C860" s="391">
        <v>47</v>
      </c>
      <c r="D860" s="391" t="s">
        <v>10</v>
      </c>
      <c r="E860" s="391">
        <v>95</v>
      </c>
      <c r="F860" s="391" t="s">
        <v>846</v>
      </c>
      <c r="G860" s="391" t="s">
        <v>82</v>
      </c>
      <c r="H860" s="391" t="s">
        <v>5</v>
      </c>
      <c r="I860" s="391">
        <v>20</v>
      </c>
      <c r="J860" s="392" t="s">
        <v>40</v>
      </c>
      <c r="K860" s="393">
        <f>(18*38)+(2*29.4)</f>
        <v>742.8</v>
      </c>
      <c r="L860" s="58"/>
      <c r="M860" s="58"/>
      <c r="N860" s="229"/>
      <c r="O860" s="186" t="s">
        <v>1403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>
      <c r="A861" s="390" t="s">
        <v>1381</v>
      </c>
      <c r="B861" s="391" t="s">
        <v>9</v>
      </c>
      <c r="C861" s="391">
        <v>47</v>
      </c>
      <c r="D861" s="391" t="s">
        <v>174</v>
      </c>
      <c r="E861" s="391">
        <v>11</v>
      </c>
      <c r="F861" s="391" t="s">
        <v>843</v>
      </c>
      <c r="G861" s="391" t="s">
        <v>349</v>
      </c>
      <c r="H861" s="391" t="s">
        <v>15</v>
      </c>
      <c r="I861" s="391">
        <v>15</v>
      </c>
      <c r="J861" s="392" t="s">
        <v>14</v>
      </c>
      <c r="K861" s="393">
        <f>(14*38)+(1*29.4)</f>
        <v>561.4</v>
      </c>
      <c r="L861" s="228" t="s">
        <v>1396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>
      <c r="A862" s="390" t="s">
        <v>1381</v>
      </c>
      <c r="B862" s="391" t="s">
        <v>129</v>
      </c>
      <c r="C862" s="391">
        <v>46</v>
      </c>
      <c r="D862" s="391" t="s">
        <v>7</v>
      </c>
      <c r="E862" s="391">
        <v>826</v>
      </c>
      <c r="F862" s="391" t="s">
        <v>1309</v>
      </c>
      <c r="G862" s="391" t="s">
        <v>365</v>
      </c>
      <c r="H862" s="391" t="s">
        <v>15</v>
      </c>
      <c r="I862" s="391">
        <v>30</v>
      </c>
      <c r="J862" s="392" t="s">
        <v>403</v>
      </c>
      <c r="K862" s="393">
        <f>(29*35)+(1*27.3)</f>
        <v>1042.3</v>
      </c>
      <c r="L862" s="58"/>
      <c r="M862" s="58"/>
      <c r="N862" s="229"/>
      <c r="O862" s="186" t="s">
        <v>1384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>
      <c r="A863" s="390" t="s">
        <v>1381</v>
      </c>
      <c r="B863" s="391" t="s">
        <v>129</v>
      </c>
      <c r="C863" s="391">
        <v>46</v>
      </c>
      <c r="D863" s="391" t="s">
        <v>7</v>
      </c>
      <c r="E863" s="391">
        <v>836</v>
      </c>
      <c r="F863" s="391" t="s">
        <v>97</v>
      </c>
      <c r="G863" s="391" t="s">
        <v>958</v>
      </c>
      <c r="H863" s="391" t="s">
        <v>5</v>
      </c>
      <c r="I863" s="391">
        <v>20</v>
      </c>
      <c r="J863" s="392" t="s">
        <v>387</v>
      </c>
      <c r="K863" s="393">
        <f>(19*30)+(1*25.7)</f>
        <v>595.70000000000005</v>
      </c>
      <c r="L863" s="228"/>
      <c r="M863" s="58"/>
      <c r="N863" s="229"/>
      <c r="O863" s="186" t="s">
        <v>1393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>
      <c r="A864" s="390" t="s">
        <v>1381</v>
      </c>
      <c r="B864" s="391" t="s">
        <v>129</v>
      </c>
      <c r="C864" s="391">
        <v>46</v>
      </c>
      <c r="D864" s="391" t="s">
        <v>7</v>
      </c>
      <c r="E864" s="391">
        <v>845</v>
      </c>
      <c r="F864" s="391" t="s">
        <v>539</v>
      </c>
      <c r="G864" s="391" t="s">
        <v>958</v>
      </c>
      <c r="H864" s="391" t="s">
        <v>15</v>
      </c>
      <c r="I864" s="391">
        <v>20</v>
      </c>
      <c r="J864" s="392" t="s">
        <v>387</v>
      </c>
      <c r="K864" s="393">
        <f>(19*30)+(1*25.7)</f>
        <v>595.70000000000005</v>
      </c>
      <c r="L864" s="58"/>
      <c r="M864" s="58"/>
      <c r="N864" s="229"/>
      <c r="O864" s="186" t="s">
        <v>1396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>
      <c r="A865" s="390" t="s">
        <v>1381</v>
      </c>
      <c r="B865" s="391" t="s">
        <v>9</v>
      </c>
      <c r="C865" s="391">
        <v>49</v>
      </c>
      <c r="D865" s="391" t="s">
        <v>16</v>
      </c>
      <c r="E865" s="391">
        <v>117</v>
      </c>
      <c r="F865" s="391" t="s">
        <v>1310</v>
      </c>
      <c r="G865" s="391" t="s">
        <v>447</v>
      </c>
      <c r="H865" s="391" t="s">
        <v>5</v>
      </c>
      <c r="I865" s="391">
        <v>30</v>
      </c>
      <c r="J865" s="392" t="s">
        <v>716</v>
      </c>
      <c r="K865" s="393">
        <f>(30*38)</f>
        <v>1140</v>
      </c>
      <c r="L865" s="58"/>
      <c r="M865" s="58"/>
      <c r="N865" s="229"/>
      <c r="O865" s="186" t="s">
        <v>1402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>
      <c r="A866" s="356" t="s">
        <v>1381</v>
      </c>
      <c r="B866" s="352" t="s">
        <v>9</v>
      </c>
      <c r="C866" s="352">
        <v>49</v>
      </c>
      <c r="D866" s="352" t="s">
        <v>16</v>
      </c>
      <c r="E866" s="358">
        <v>119</v>
      </c>
      <c r="F866" s="352" t="s">
        <v>533</v>
      </c>
      <c r="G866" s="352" t="s">
        <v>447</v>
      </c>
      <c r="H866" s="358" t="s">
        <v>5</v>
      </c>
      <c r="I866" s="358">
        <v>20</v>
      </c>
      <c r="J866" s="353" t="s">
        <v>30</v>
      </c>
      <c r="K866" s="357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>
      <c r="A867" s="390" t="s">
        <v>1381</v>
      </c>
      <c r="B867" s="391" t="s">
        <v>9</v>
      </c>
      <c r="C867" s="391">
        <v>49</v>
      </c>
      <c r="D867" s="391" t="s">
        <v>16</v>
      </c>
      <c r="E867" s="391">
        <v>126</v>
      </c>
      <c r="F867" s="391" t="s">
        <v>303</v>
      </c>
      <c r="G867" s="391" t="s">
        <v>447</v>
      </c>
      <c r="H867" s="391" t="s">
        <v>15</v>
      </c>
      <c r="I867" s="391">
        <v>20</v>
      </c>
      <c r="J867" s="392" t="s">
        <v>136</v>
      </c>
      <c r="K867" s="393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1389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>
      <c r="A868" s="356" t="s">
        <v>1381</v>
      </c>
      <c r="B868" s="352" t="s">
        <v>9</v>
      </c>
      <c r="C868" s="352">
        <v>49</v>
      </c>
      <c r="D868" s="352" t="s">
        <v>16</v>
      </c>
      <c r="E868" s="358">
        <v>128</v>
      </c>
      <c r="F868" s="352" t="s">
        <v>533</v>
      </c>
      <c r="G868" s="352" t="s">
        <v>447</v>
      </c>
      <c r="H868" s="358" t="s">
        <v>15</v>
      </c>
      <c r="I868" s="358">
        <v>20</v>
      </c>
      <c r="J868" s="353" t="s">
        <v>30</v>
      </c>
      <c r="K868" s="357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>
      <c r="A869" s="356" t="s">
        <v>1381</v>
      </c>
      <c r="B869" s="352" t="s">
        <v>9</v>
      </c>
      <c r="C869" s="352">
        <v>49</v>
      </c>
      <c r="D869" s="352" t="s">
        <v>16</v>
      </c>
      <c r="E869" s="358">
        <v>148</v>
      </c>
      <c r="F869" s="352" t="s">
        <v>112</v>
      </c>
      <c r="G869" s="352" t="s">
        <v>298</v>
      </c>
      <c r="H869" s="358" t="s">
        <v>5</v>
      </c>
      <c r="I869" s="358">
        <v>10</v>
      </c>
      <c r="J869" s="353" t="s">
        <v>26</v>
      </c>
      <c r="K869" s="357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>
      <c r="A870" s="356" t="s">
        <v>1381</v>
      </c>
      <c r="B870" s="352" t="s">
        <v>9</v>
      </c>
      <c r="C870" s="352">
        <v>49</v>
      </c>
      <c r="D870" s="352" t="s">
        <v>16</v>
      </c>
      <c r="E870" s="358">
        <v>149</v>
      </c>
      <c r="F870" s="352" t="s">
        <v>249</v>
      </c>
      <c r="G870" s="352" t="s">
        <v>298</v>
      </c>
      <c r="H870" s="358" t="s">
        <v>5</v>
      </c>
      <c r="I870" s="358">
        <v>20</v>
      </c>
      <c r="J870" s="353" t="s">
        <v>30</v>
      </c>
      <c r="K870" s="357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>
      <c r="A871" s="356" t="s">
        <v>1381</v>
      </c>
      <c r="B871" s="352" t="s">
        <v>9</v>
      </c>
      <c r="C871" s="352">
        <v>49</v>
      </c>
      <c r="D871" s="352" t="s">
        <v>16</v>
      </c>
      <c r="E871" s="358">
        <v>145</v>
      </c>
      <c r="F871" s="352" t="s">
        <v>235</v>
      </c>
      <c r="G871" s="352" t="s">
        <v>298</v>
      </c>
      <c r="H871" s="358" t="s">
        <v>5</v>
      </c>
      <c r="I871" s="358">
        <v>20</v>
      </c>
      <c r="J871" s="353" t="s">
        <v>136</v>
      </c>
      <c r="K871" s="357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>
      <c r="A872" s="390" t="s">
        <v>1381</v>
      </c>
      <c r="B872" s="391" t="s">
        <v>9</v>
      </c>
      <c r="C872" s="391">
        <v>49</v>
      </c>
      <c r="D872" s="391" t="s">
        <v>16</v>
      </c>
      <c r="E872" s="391">
        <v>161</v>
      </c>
      <c r="F872" s="391" t="s">
        <v>629</v>
      </c>
      <c r="G872" s="391" t="s">
        <v>298</v>
      </c>
      <c r="H872" s="391" t="s">
        <v>15</v>
      </c>
      <c r="I872" s="391">
        <v>20</v>
      </c>
      <c r="J872" s="392" t="s">
        <v>1314</v>
      </c>
      <c r="K872" s="393">
        <f>(20*38)</f>
        <v>760</v>
      </c>
      <c r="L872" s="58"/>
      <c r="M872" s="58"/>
      <c r="N872" s="229"/>
      <c r="O872" s="186" t="s">
        <v>1402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>
      <c r="A873" s="356" t="s">
        <v>1381</v>
      </c>
      <c r="B873" s="352" t="s">
        <v>9</v>
      </c>
      <c r="C873" s="352">
        <v>49</v>
      </c>
      <c r="D873" s="352" t="s">
        <v>16</v>
      </c>
      <c r="E873" s="358">
        <v>181</v>
      </c>
      <c r="F873" s="352" t="s">
        <v>651</v>
      </c>
      <c r="G873" s="352" t="s">
        <v>298</v>
      </c>
      <c r="H873" s="358" t="s">
        <v>15</v>
      </c>
      <c r="I873" s="358">
        <v>20</v>
      </c>
      <c r="J873" s="353" t="s">
        <v>30</v>
      </c>
      <c r="K873" s="357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>
      <c r="A874" s="356" t="s">
        <v>1381</v>
      </c>
      <c r="B874" s="352" t="s">
        <v>9</v>
      </c>
      <c r="C874" s="352">
        <v>49</v>
      </c>
      <c r="D874" s="352" t="s">
        <v>16</v>
      </c>
      <c r="E874" s="358">
        <v>184</v>
      </c>
      <c r="F874" s="352" t="s">
        <v>110</v>
      </c>
      <c r="G874" s="352" t="s">
        <v>298</v>
      </c>
      <c r="H874" s="358" t="s">
        <v>15</v>
      </c>
      <c r="I874" s="358">
        <v>20</v>
      </c>
      <c r="J874" s="353" t="s">
        <v>30</v>
      </c>
      <c r="K874" s="357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>
      <c r="A875" s="390" t="s">
        <v>1381</v>
      </c>
      <c r="B875" s="391" t="s">
        <v>9</v>
      </c>
      <c r="C875" s="391">
        <v>49</v>
      </c>
      <c r="D875" s="391" t="s">
        <v>16</v>
      </c>
      <c r="E875" s="391">
        <v>186</v>
      </c>
      <c r="F875" s="391" t="s">
        <v>848</v>
      </c>
      <c r="G875" s="391" t="s">
        <v>298</v>
      </c>
      <c r="H875" s="391" t="s">
        <v>15</v>
      </c>
      <c r="I875" s="391">
        <v>20</v>
      </c>
      <c r="J875" s="392" t="s">
        <v>30</v>
      </c>
      <c r="K875" s="393">
        <f t="shared" si="20"/>
        <v>751.4</v>
      </c>
      <c r="L875" s="58"/>
      <c r="M875" s="58"/>
      <c r="N875" s="229"/>
      <c r="O875" s="186" t="s">
        <v>1406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>
      <c r="A876" s="356" t="s">
        <v>1381</v>
      </c>
      <c r="B876" s="352" t="s">
        <v>9</v>
      </c>
      <c r="C876" s="352">
        <v>49</v>
      </c>
      <c r="D876" s="352" t="s">
        <v>16</v>
      </c>
      <c r="E876" s="358">
        <v>187</v>
      </c>
      <c r="F876" s="352" t="s">
        <v>200</v>
      </c>
      <c r="G876" s="352" t="s">
        <v>298</v>
      </c>
      <c r="H876" s="358" t="s">
        <v>15</v>
      </c>
      <c r="I876" s="358">
        <v>15</v>
      </c>
      <c r="J876" s="353" t="s">
        <v>14</v>
      </c>
      <c r="K876" s="357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>
      <c r="A877" s="356" t="s">
        <v>1381</v>
      </c>
      <c r="B877" s="352" t="s">
        <v>9</v>
      </c>
      <c r="C877" s="352">
        <v>49</v>
      </c>
      <c r="D877" s="352" t="s">
        <v>16</v>
      </c>
      <c r="E877" s="358">
        <v>186</v>
      </c>
      <c r="F877" s="352" t="s">
        <v>410</v>
      </c>
      <c r="G877" s="352" t="s">
        <v>298</v>
      </c>
      <c r="H877" s="358" t="s">
        <v>15</v>
      </c>
      <c r="I877" s="358">
        <v>20</v>
      </c>
      <c r="J877" s="353" t="s">
        <v>30</v>
      </c>
      <c r="K877" s="357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>
      <c r="A878" s="390" t="s">
        <v>1381</v>
      </c>
      <c r="B878" s="391" t="s">
        <v>9</v>
      </c>
      <c r="C878" s="391">
        <v>49</v>
      </c>
      <c r="D878" s="391" t="s">
        <v>16</v>
      </c>
      <c r="E878" s="391">
        <v>191</v>
      </c>
      <c r="F878" s="391" t="s">
        <v>984</v>
      </c>
      <c r="G878" s="391" t="s">
        <v>298</v>
      </c>
      <c r="H878" s="391" t="s">
        <v>15</v>
      </c>
      <c r="I878" s="391">
        <v>20</v>
      </c>
      <c r="J878" s="392" t="s">
        <v>30</v>
      </c>
      <c r="K878" s="393">
        <f t="shared" si="20"/>
        <v>751.4</v>
      </c>
      <c r="L878" s="58"/>
      <c r="M878" s="58"/>
      <c r="N878" s="229"/>
      <c r="O878" s="186" t="s">
        <v>1406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>
      <c r="A879" s="356" t="s">
        <v>1381</v>
      </c>
      <c r="B879" s="352" t="s">
        <v>9</v>
      </c>
      <c r="C879" s="352">
        <v>49</v>
      </c>
      <c r="D879" s="352" t="s">
        <v>16</v>
      </c>
      <c r="E879" s="358">
        <v>192</v>
      </c>
      <c r="F879" s="352" t="s">
        <v>634</v>
      </c>
      <c r="G879" s="352" t="s">
        <v>298</v>
      </c>
      <c r="H879" s="358" t="s">
        <v>15</v>
      </c>
      <c r="I879" s="358">
        <v>15</v>
      </c>
      <c r="J879" s="353" t="s">
        <v>14</v>
      </c>
      <c r="K879" s="357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>
      <c r="A880" s="356" t="s">
        <v>1381</v>
      </c>
      <c r="B880" s="352" t="s">
        <v>9</v>
      </c>
      <c r="C880" s="352">
        <v>49</v>
      </c>
      <c r="D880" s="352" t="s">
        <v>16</v>
      </c>
      <c r="E880" s="358">
        <v>405</v>
      </c>
      <c r="F880" s="352" t="s">
        <v>1311</v>
      </c>
      <c r="G880" s="352" t="s">
        <v>106</v>
      </c>
      <c r="H880" s="358" t="s">
        <v>15</v>
      </c>
      <c r="I880" s="358">
        <v>20</v>
      </c>
      <c r="J880" s="353" t="s">
        <v>30</v>
      </c>
      <c r="K880" s="357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>
      <c r="A881" s="390" t="s">
        <v>1381</v>
      </c>
      <c r="B881" s="391" t="s">
        <v>9</v>
      </c>
      <c r="C881" s="391">
        <v>49</v>
      </c>
      <c r="D881" s="391" t="s">
        <v>16</v>
      </c>
      <c r="E881" s="391">
        <v>408</v>
      </c>
      <c r="F881" s="391" t="s">
        <v>314</v>
      </c>
      <c r="G881" s="391" t="s">
        <v>106</v>
      </c>
      <c r="H881" s="391" t="s">
        <v>15</v>
      </c>
      <c r="I881" s="391">
        <v>20</v>
      </c>
      <c r="J881" s="392" t="s">
        <v>30</v>
      </c>
      <c r="K881" s="393">
        <f>(19*38)+(1*29.4)</f>
        <v>751.4</v>
      </c>
      <c r="L881" s="58"/>
      <c r="M881" s="58"/>
      <c r="N881" s="229"/>
      <c r="O881" s="186" t="s">
        <v>1402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>
      <c r="A882" s="356" t="s">
        <v>1381</v>
      </c>
      <c r="B882" s="352" t="s">
        <v>9</v>
      </c>
      <c r="C882" s="352">
        <v>49</v>
      </c>
      <c r="D882" s="352" t="s">
        <v>16</v>
      </c>
      <c r="E882" s="358">
        <v>410</v>
      </c>
      <c r="F882" s="352" t="s">
        <v>602</v>
      </c>
      <c r="G882" s="352" t="s">
        <v>106</v>
      </c>
      <c r="H882" s="358" t="s">
        <v>182</v>
      </c>
      <c r="I882" s="358">
        <v>15</v>
      </c>
      <c r="J882" s="353" t="s">
        <v>1315</v>
      </c>
      <c r="K882" s="357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>
      <c r="A883" s="356" t="s">
        <v>1381</v>
      </c>
      <c r="B883" s="352" t="s">
        <v>9</v>
      </c>
      <c r="C883" s="352">
        <v>49</v>
      </c>
      <c r="D883" s="352" t="s">
        <v>16</v>
      </c>
      <c r="E883" s="358">
        <v>428</v>
      </c>
      <c r="F883" s="352" t="s">
        <v>483</v>
      </c>
      <c r="G883" s="352" t="s">
        <v>39</v>
      </c>
      <c r="H883" s="358" t="s">
        <v>5</v>
      </c>
      <c r="I883" s="358">
        <v>15</v>
      </c>
      <c r="J883" s="353" t="s">
        <v>14</v>
      </c>
      <c r="K883" s="357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>
      <c r="A884" s="356" t="s">
        <v>1381</v>
      </c>
      <c r="B884" s="352" t="s">
        <v>9</v>
      </c>
      <c r="C884" s="352">
        <v>49</v>
      </c>
      <c r="D884" s="352" t="s">
        <v>16</v>
      </c>
      <c r="E884" s="358">
        <v>430</v>
      </c>
      <c r="F884" s="352" t="s">
        <v>481</v>
      </c>
      <c r="G884" s="352" t="s">
        <v>39</v>
      </c>
      <c r="H884" s="358" t="s">
        <v>15</v>
      </c>
      <c r="I884" s="358">
        <v>15</v>
      </c>
      <c r="J884" s="353" t="s">
        <v>93</v>
      </c>
      <c r="K884" s="357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>
      <c r="A885" s="390" t="s">
        <v>1381</v>
      </c>
      <c r="B885" s="391" t="s">
        <v>9</v>
      </c>
      <c r="C885" s="391">
        <v>49</v>
      </c>
      <c r="D885" s="391" t="s">
        <v>16</v>
      </c>
      <c r="E885" s="391">
        <v>434</v>
      </c>
      <c r="F885" s="391" t="s">
        <v>1312</v>
      </c>
      <c r="G885" s="391" t="s">
        <v>39</v>
      </c>
      <c r="H885" s="391" t="s">
        <v>15</v>
      </c>
      <c r="I885" s="391">
        <v>15</v>
      </c>
      <c r="J885" s="392" t="s">
        <v>93</v>
      </c>
      <c r="K885" s="393">
        <f>(15*38)</f>
        <v>570</v>
      </c>
      <c r="L885" s="58"/>
      <c r="M885" s="58"/>
      <c r="N885" s="229"/>
      <c r="O885" s="186" t="s">
        <v>1402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>
      <c r="A886" s="356" t="s">
        <v>1381</v>
      </c>
      <c r="B886" s="352" t="s">
        <v>9</v>
      </c>
      <c r="C886" s="352">
        <v>49</v>
      </c>
      <c r="D886" s="352" t="s">
        <v>16</v>
      </c>
      <c r="E886" s="358">
        <v>438</v>
      </c>
      <c r="F886" s="352" t="s">
        <v>1313</v>
      </c>
      <c r="G886" s="352" t="s">
        <v>39</v>
      </c>
      <c r="H886" s="358" t="s">
        <v>15</v>
      </c>
      <c r="I886" s="358">
        <v>20</v>
      </c>
      <c r="J886" s="353" t="s">
        <v>136</v>
      </c>
      <c r="K886" s="357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>
      <c r="A887" s="356" t="s">
        <v>1381</v>
      </c>
      <c r="B887" s="352" t="s">
        <v>9</v>
      </c>
      <c r="C887" s="352">
        <v>49</v>
      </c>
      <c r="D887" s="352" t="s">
        <v>16</v>
      </c>
      <c r="E887" s="358">
        <v>612</v>
      </c>
      <c r="F887" s="352" t="s">
        <v>160</v>
      </c>
      <c r="G887" s="352" t="s">
        <v>131</v>
      </c>
      <c r="H887" s="358" t="s">
        <v>15</v>
      </c>
      <c r="I887" s="358">
        <v>20</v>
      </c>
      <c r="J887" s="353" t="s">
        <v>30</v>
      </c>
      <c r="K887" s="357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>
      <c r="A888" s="390" t="s">
        <v>1381</v>
      </c>
      <c r="B888" s="391" t="s">
        <v>9</v>
      </c>
      <c r="C888" s="391">
        <v>49</v>
      </c>
      <c r="D888" s="391" t="s">
        <v>7</v>
      </c>
      <c r="E888" s="391">
        <v>250</v>
      </c>
      <c r="F888" s="391" t="s">
        <v>328</v>
      </c>
      <c r="G888" s="391" t="s">
        <v>802</v>
      </c>
      <c r="H888" s="391" t="s">
        <v>5</v>
      </c>
      <c r="I888" s="391">
        <v>20</v>
      </c>
      <c r="J888" s="392" t="s">
        <v>30</v>
      </c>
      <c r="K888" s="393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1389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>
      <c r="A889" s="390" t="s">
        <v>1381</v>
      </c>
      <c r="B889" s="391" t="s">
        <v>9</v>
      </c>
      <c r="C889" s="391">
        <v>49</v>
      </c>
      <c r="D889" s="391" t="s">
        <v>7</v>
      </c>
      <c r="E889" s="391">
        <v>251</v>
      </c>
      <c r="F889" s="391" t="s">
        <v>210</v>
      </c>
      <c r="G889" s="391" t="s">
        <v>802</v>
      </c>
      <c r="H889" s="391" t="s">
        <v>5</v>
      </c>
      <c r="I889" s="391">
        <v>20</v>
      </c>
      <c r="J889" s="392" t="s">
        <v>30</v>
      </c>
      <c r="K889" s="393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1389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thickBot="1">
      <c r="A890" s="390" t="s">
        <v>1381</v>
      </c>
      <c r="B890" s="394" t="s">
        <v>9</v>
      </c>
      <c r="C890" s="394">
        <v>49</v>
      </c>
      <c r="D890" s="394" t="s">
        <v>7</v>
      </c>
      <c r="E890" s="394">
        <v>270</v>
      </c>
      <c r="F890" s="394" t="s">
        <v>287</v>
      </c>
      <c r="G890" s="394" t="s">
        <v>802</v>
      </c>
      <c r="H890" s="394" t="s">
        <v>15</v>
      </c>
      <c r="I890" s="394">
        <v>10</v>
      </c>
      <c r="J890" s="395" t="s">
        <v>1298</v>
      </c>
      <c r="K890" s="396">
        <f>(10*38)</f>
        <v>380</v>
      </c>
      <c r="L890" s="58"/>
      <c r="M890" s="58"/>
      <c r="N890" s="229"/>
      <c r="O890" s="186" t="s">
        <v>1406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>
      <c r="A891" s="390" t="s">
        <v>1381</v>
      </c>
      <c r="B891" s="387" t="s">
        <v>9</v>
      </c>
      <c r="C891" s="387">
        <v>49</v>
      </c>
      <c r="D891" s="387" t="s">
        <v>7</v>
      </c>
      <c r="E891" s="387">
        <v>271</v>
      </c>
      <c r="F891" s="387" t="s">
        <v>605</v>
      </c>
      <c r="G891" s="387" t="s">
        <v>802</v>
      </c>
      <c r="H891" s="387" t="s">
        <v>15</v>
      </c>
      <c r="I891" s="387">
        <v>15</v>
      </c>
      <c r="J891" s="388" t="s">
        <v>14</v>
      </c>
      <c r="K891" s="389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1389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>
      <c r="A892" s="390" t="s">
        <v>1381</v>
      </c>
      <c r="B892" s="391" t="s">
        <v>9</v>
      </c>
      <c r="C892" s="391">
        <v>49</v>
      </c>
      <c r="D892" s="391" t="s">
        <v>7</v>
      </c>
      <c r="E892" s="391">
        <v>349</v>
      </c>
      <c r="F892" s="391" t="s">
        <v>672</v>
      </c>
      <c r="G892" s="391" t="s">
        <v>1144</v>
      </c>
      <c r="H892" s="391" t="s">
        <v>15</v>
      </c>
      <c r="I892" s="391">
        <v>20</v>
      </c>
      <c r="J892" s="392" t="s">
        <v>30</v>
      </c>
      <c r="K892" s="393">
        <f>(19*38)+(1*29.4)</f>
        <v>751.4</v>
      </c>
      <c r="L892" s="58"/>
      <c r="M892" s="58"/>
      <c r="N892" s="229"/>
      <c r="O892" s="186" t="s">
        <v>1406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>
      <c r="A893" s="356" t="s">
        <v>1381</v>
      </c>
      <c r="B893" s="352" t="s">
        <v>9</v>
      </c>
      <c r="C893" s="352">
        <v>49</v>
      </c>
      <c r="D893" s="352" t="s">
        <v>7</v>
      </c>
      <c r="E893" s="358">
        <v>781</v>
      </c>
      <c r="F893" s="352" t="s">
        <v>1304</v>
      </c>
      <c r="G893" s="352" t="s">
        <v>138</v>
      </c>
      <c r="H893" s="358" t="s">
        <v>15</v>
      </c>
      <c r="I893" s="358">
        <v>20</v>
      </c>
      <c r="J893" s="353" t="s">
        <v>17</v>
      </c>
      <c r="K893" s="357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>
      <c r="A894" s="390" t="s">
        <v>1381</v>
      </c>
      <c r="B894" s="391" t="s">
        <v>9</v>
      </c>
      <c r="C894" s="391">
        <v>47</v>
      </c>
      <c r="D894" s="391" t="s">
        <v>16</v>
      </c>
      <c r="E894" s="391">
        <v>7</v>
      </c>
      <c r="F894" s="391" t="s">
        <v>476</v>
      </c>
      <c r="G894" s="391" t="s">
        <v>20</v>
      </c>
      <c r="H894" s="391" t="s">
        <v>5</v>
      </c>
      <c r="I894" s="391">
        <v>25</v>
      </c>
      <c r="J894" s="392" t="s">
        <v>699</v>
      </c>
      <c r="K894" s="393">
        <f>(24*37)+(1*28.4)</f>
        <v>916.4</v>
      </c>
      <c r="L894" s="228"/>
      <c r="M894" s="58"/>
      <c r="N894" s="229"/>
      <c r="O894" s="186" t="s">
        <v>1406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>
      <c r="A895" s="390" t="s">
        <v>1381</v>
      </c>
      <c r="B895" s="391" t="s">
        <v>9</v>
      </c>
      <c r="C895" s="391">
        <v>47</v>
      </c>
      <c r="D895" s="391" t="s">
        <v>16</v>
      </c>
      <c r="E895" s="391">
        <v>47</v>
      </c>
      <c r="F895" s="391" t="s">
        <v>819</v>
      </c>
      <c r="G895" s="391" t="s">
        <v>620</v>
      </c>
      <c r="H895" s="391" t="s">
        <v>15</v>
      </c>
      <c r="I895" s="391">
        <v>20</v>
      </c>
      <c r="J895" s="392" t="s">
        <v>30</v>
      </c>
      <c r="K895" s="393">
        <f>(19*38)+(1*29.4)</f>
        <v>751.4</v>
      </c>
      <c r="L895" s="58"/>
      <c r="M895" s="58"/>
      <c r="N895" s="229"/>
      <c r="O895" s="186"/>
      <c r="P895" s="21"/>
      <c r="Q895" s="187"/>
      <c r="R895" s="295" t="s">
        <v>1384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>
      <c r="A896" s="390" t="s">
        <v>1381</v>
      </c>
      <c r="B896" s="391" t="s">
        <v>9</v>
      </c>
      <c r="C896" s="391">
        <v>47</v>
      </c>
      <c r="D896" s="391" t="s">
        <v>16</v>
      </c>
      <c r="E896" s="391">
        <v>48</v>
      </c>
      <c r="F896" s="391" t="s">
        <v>375</v>
      </c>
      <c r="G896" s="391" t="s">
        <v>620</v>
      </c>
      <c r="H896" s="391" t="s">
        <v>15</v>
      </c>
      <c r="I896" s="391">
        <v>20</v>
      </c>
      <c r="J896" s="392" t="s">
        <v>30</v>
      </c>
      <c r="K896" s="393">
        <f>(19*38)+(1*29.4)</f>
        <v>751.4</v>
      </c>
      <c r="L896" s="58"/>
      <c r="M896" s="58"/>
      <c r="N896" s="229"/>
      <c r="O896" s="186" t="s">
        <v>1402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>
      <c r="A897" s="390" t="s">
        <v>1381</v>
      </c>
      <c r="B897" s="391" t="s">
        <v>9</v>
      </c>
      <c r="C897" s="391">
        <v>47</v>
      </c>
      <c r="D897" s="391" t="s">
        <v>16</v>
      </c>
      <c r="E897" s="391">
        <v>55</v>
      </c>
      <c r="F897" s="391" t="s">
        <v>268</v>
      </c>
      <c r="G897" s="391" t="s">
        <v>620</v>
      </c>
      <c r="H897" s="391" t="s">
        <v>15</v>
      </c>
      <c r="I897" s="391">
        <v>20</v>
      </c>
      <c r="J897" s="392" t="s">
        <v>30</v>
      </c>
      <c r="K897" s="393">
        <f>(19*38)+(1*29.4)</f>
        <v>751.4</v>
      </c>
      <c r="L897" s="58"/>
      <c r="M897" s="58"/>
      <c r="N897" s="229"/>
      <c r="O897" s="186" t="s">
        <v>1403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>
      <c r="A898" s="390" t="s">
        <v>1381</v>
      </c>
      <c r="B898" s="391" t="s">
        <v>9</v>
      </c>
      <c r="C898" s="391">
        <v>47</v>
      </c>
      <c r="D898" s="391" t="s">
        <v>16</v>
      </c>
      <c r="E898" s="391">
        <v>56</v>
      </c>
      <c r="F898" s="391" t="s">
        <v>1316</v>
      </c>
      <c r="G898" s="391" t="s">
        <v>620</v>
      </c>
      <c r="H898" s="391" t="s">
        <v>15</v>
      </c>
      <c r="I898" s="391">
        <v>20</v>
      </c>
      <c r="J898" s="392" t="s">
        <v>30</v>
      </c>
      <c r="K898" s="393">
        <f>(19*38)+(1*29.4)</f>
        <v>751.4</v>
      </c>
      <c r="L898" s="58"/>
      <c r="M898" s="58"/>
      <c r="N898" s="229"/>
      <c r="O898" s="186" t="s">
        <v>1406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>
      <c r="A899" s="390" t="s">
        <v>1381</v>
      </c>
      <c r="B899" s="391" t="s">
        <v>9</v>
      </c>
      <c r="C899" s="391">
        <v>47</v>
      </c>
      <c r="D899" s="391" t="s">
        <v>16</v>
      </c>
      <c r="E899" s="391">
        <v>57</v>
      </c>
      <c r="F899" s="391" t="s">
        <v>364</v>
      </c>
      <c r="G899" s="391" t="s">
        <v>620</v>
      </c>
      <c r="H899" s="391" t="s">
        <v>15</v>
      </c>
      <c r="I899" s="391">
        <v>15</v>
      </c>
      <c r="J899" s="392" t="s">
        <v>14</v>
      </c>
      <c r="K899" s="393">
        <f>(14*38)+(1*29.4)</f>
        <v>561.4</v>
      </c>
      <c r="L899" s="58"/>
      <c r="M899" s="58"/>
      <c r="N899" s="229"/>
      <c r="O899" s="186" t="s">
        <v>1402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>
      <c r="A900" s="390" t="s">
        <v>1381</v>
      </c>
      <c r="B900" s="391" t="s">
        <v>9</v>
      </c>
      <c r="C900" s="391">
        <v>47</v>
      </c>
      <c r="D900" s="391" t="s">
        <v>16</v>
      </c>
      <c r="E900" s="391">
        <v>80</v>
      </c>
      <c r="F900" s="391" t="s">
        <v>1317</v>
      </c>
      <c r="G900" s="391" t="s">
        <v>27</v>
      </c>
      <c r="H900" s="391" t="s">
        <v>15</v>
      </c>
      <c r="I900" s="391">
        <v>15</v>
      </c>
      <c r="J900" s="392" t="s">
        <v>37</v>
      </c>
      <c r="K900" s="393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1389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>
      <c r="A901" s="390" t="s">
        <v>1381</v>
      </c>
      <c r="B901" s="391" t="s">
        <v>9</v>
      </c>
      <c r="C901" s="391">
        <v>47</v>
      </c>
      <c r="D901" s="391" t="s">
        <v>16</v>
      </c>
      <c r="E901" s="391">
        <v>462</v>
      </c>
      <c r="F901" s="391" t="s">
        <v>1081</v>
      </c>
      <c r="G901" s="391" t="s">
        <v>298</v>
      </c>
      <c r="H901" s="391" t="s">
        <v>5</v>
      </c>
      <c r="I901" s="391">
        <v>20</v>
      </c>
      <c r="J901" s="392" t="s">
        <v>30</v>
      </c>
      <c r="K901" s="393">
        <f>(19*38)+(1*29.4)</f>
        <v>751.4</v>
      </c>
      <c r="L901" s="58"/>
      <c r="M901" s="58"/>
      <c r="N901" s="229"/>
      <c r="O901" s="186" t="s">
        <v>1406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>
      <c r="A902" s="390" t="s">
        <v>1381</v>
      </c>
      <c r="B902" s="391" t="s">
        <v>9</v>
      </c>
      <c r="C902" s="391">
        <v>47</v>
      </c>
      <c r="D902" s="391" t="s">
        <v>16</v>
      </c>
      <c r="E902" s="391">
        <v>164</v>
      </c>
      <c r="F902" s="391" t="s">
        <v>220</v>
      </c>
      <c r="G902" s="391" t="s">
        <v>298</v>
      </c>
      <c r="H902" s="391" t="s">
        <v>5</v>
      </c>
      <c r="I902" s="391">
        <v>20</v>
      </c>
      <c r="J902" s="392" t="s">
        <v>30</v>
      </c>
      <c r="K902" s="393">
        <f>(19*38)+(1*29.4)</f>
        <v>751.4</v>
      </c>
      <c r="L902" s="228"/>
      <c r="M902" s="58"/>
      <c r="N902" s="229"/>
      <c r="O902" s="186" t="s">
        <v>1402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>
      <c r="A903" s="390" t="s">
        <v>1381</v>
      </c>
      <c r="B903" s="391" t="s">
        <v>9</v>
      </c>
      <c r="C903" s="391">
        <v>47</v>
      </c>
      <c r="D903" s="391" t="s">
        <v>16</v>
      </c>
      <c r="E903" s="391">
        <v>166</v>
      </c>
      <c r="F903" s="391" t="s">
        <v>638</v>
      </c>
      <c r="G903" s="391" t="s">
        <v>298</v>
      </c>
      <c r="H903" s="391" t="s">
        <v>5</v>
      </c>
      <c r="I903" s="391">
        <v>15</v>
      </c>
      <c r="J903" s="392" t="s">
        <v>14</v>
      </c>
      <c r="K903" s="393">
        <f>(14*38)+(1*29.4)</f>
        <v>561.4</v>
      </c>
      <c r="L903" s="228"/>
      <c r="M903" s="58"/>
      <c r="N903" s="229"/>
      <c r="O903" s="186" t="s">
        <v>1403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>
      <c r="A904" s="390" t="s">
        <v>1381</v>
      </c>
      <c r="B904" s="391" t="s">
        <v>9</v>
      </c>
      <c r="C904" s="391">
        <v>47</v>
      </c>
      <c r="D904" s="391" t="s">
        <v>16</v>
      </c>
      <c r="E904" s="391">
        <v>179</v>
      </c>
      <c r="F904" s="391" t="s">
        <v>724</v>
      </c>
      <c r="G904" s="391" t="s">
        <v>298</v>
      </c>
      <c r="H904" s="391" t="s">
        <v>15</v>
      </c>
      <c r="I904" s="391">
        <v>20</v>
      </c>
      <c r="J904" s="392" t="s">
        <v>30</v>
      </c>
      <c r="K904" s="393">
        <f>(19*38)+(1*29.4)</f>
        <v>751.4</v>
      </c>
      <c r="L904" s="58"/>
      <c r="M904" s="58"/>
      <c r="N904" s="229"/>
      <c r="O904" s="186" t="s">
        <v>1403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>
      <c r="A905" s="390" t="s">
        <v>1381</v>
      </c>
      <c r="B905" s="391" t="s">
        <v>9</v>
      </c>
      <c r="C905" s="391">
        <v>47</v>
      </c>
      <c r="D905" s="391" t="s">
        <v>16</v>
      </c>
      <c r="E905" s="391">
        <v>181</v>
      </c>
      <c r="F905" s="391" t="s">
        <v>638</v>
      </c>
      <c r="G905" s="391" t="s">
        <v>298</v>
      </c>
      <c r="H905" s="391" t="s">
        <v>15</v>
      </c>
      <c r="I905" s="391">
        <v>30</v>
      </c>
      <c r="J905" s="392" t="s">
        <v>24</v>
      </c>
      <c r="K905" s="393">
        <f>(29*38)+(1*29.4)</f>
        <v>1131.4000000000001</v>
      </c>
      <c r="L905" s="58"/>
      <c r="M905" s="58"/>
      <c r="N905" s="229"/>
      <c r="O905" s="186" t="s">
        <v>1402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>
      <c r="A906" s="390" t="s">
        <v>1381</v>
      </c>
      <c r="B906" s="391" t="s">
        <v>9</v>
      </c>
      <c r="C906" s="391">
        <v>47</v>
      </c>
      <c r="D906" s="391" t="s">
        <v>16</v>
      </c>
      <c r="E906" s="391">
        <v>198</v>
      </c>
      <c r="F906" s="391" t="s">
        <v>824</v>
      </c>
      <c r="G906" s="391" t="s">
        <v>683</v>
      </c>
      <c r="H906" s="391" t="s">
        <v>15</v>
      </c>
      <c r="I906" s="391">
        <v>17</v>
      </c>
      <c r="J906" s="392" t="s">
        <v>728</v>
      </c>
      <c r="K906" s="393">
        <f>(17*38)</f>
        <v>646</v>
      </c>
      <c r="L906" s="228" t="s">
        <v>1396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>
      <c r="A907" s="390" t="s">
        <v>1381</v>
      </c>
      <c r="B907" s="391" t="s">
        <v>9</v>
      </c>
      <c r="C907" s="391">
        <v>47</v>
      </c>
      <c r="D907" s="391" t="s">
        <v>16</v>
      </c>
      <c r="E907" s="391">
        <v>204</v>
      </c>
      <c r="F907" s="391" t="s">
        <v>625</v>
      </c>
      <c r="G907" s="391" t="s">
        <v>683</v>
      </c>
      <c r="H907" s="391" t="s">
        <v>15</v>
      </c>
      <c r="I907" s="391">
        <v>29</v>
      </c>
      <c r="J907" s="392" t="s">
        <v>1323</v>
      </c>
      <c r="K907" s="393">
        <f>(28*38)+(1*29.4)</f>
        <v>1093.4000000000001</v>
      </c>
      <c r="L907" s="58"/>
      <c r="M907" s="58"/>
      <c r="N907" s="229"/>
      <c r="O907" s="186" t="s">
        <v>1406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>
      <c r="A908" s="390" t="s">
        <v>1381</v>
      </c>
      <c r="B908" s="391" t="s">
        <v>9</v>
      </c>
      <c r="C908" s="391">
        <v>47</v>
      </c>
      <c r="D908" s="391" t="s">
        <v>16</v>
      </c>
      <c r="E908" s="391">
        <v>205</v>
      </c>
      <c r="F908" s="391" t="s">
        <v>428</v>
      </c>
      <c r="G908" s="391" t="s">
        <v>683</v>
      </c>
      <c r="H908" s="391" t="s">
        <v>15</v>
      </c>
      <c r="I908" s="391">
        <v>35</v>
      </c>
      <c r="J908" s="392" t="s">
        <v>1324</v>
      </c>
      <c r="K908" s="393">
        <f>(35*38)</f>
        <v>1330</v>
      </c>
      <c r="L908" s="58"/>
      <c r="M908" s="58"/>
      <c r="N908" s="229"/>
      <c r="O908" s="186" t="s">
        <v>1406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>
      <c r="A909" s="390" t="s">
        <v>1381</v>
      </c>
      <c r="B909" s="391" t="s">
        <v>9</v>
      </c>
      <c r="C909" s="391">
        <v>47</v>
      </c>
      <c r="D909" s="391" t="s">
        <v>16</v>
      </c>
      <c r="E909" s="391">
        <v>206</v>
      </c>
      <c r="F909" s="391" t="s">
        <v>672</v>
      </c>
      <c r="G909" s="391" t="s">
        <v>683</v>
      </c>
      <c r="H909" s="391" t="s">
        <v>15</v>
      </c>
      <c r="I909" s="391">
        <v>15</v>
      </c>
      <c r="J909" s="392" t="s">
        <v>93</v>
      </c>
      <c r="K909" s="393">
        <f>(15*38)</f>
        <v>570</v>
      </c>
      <c r="L909" s="228" t="s">
        <v>1396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>
      <c r="A910" s="390" t="s">
        <v>1381</v>
      </c>
      <c r="B910" s="391" t="s">
        <v>9</v>
      </c>
      <c r="C910" s="391">
        <v>47</v>
      </c>
      <c r="D910" s="391" t="s">
        <v>16</v>
      </c>
      <c r="E910" s="391">
        <v>207</v>
      </c>
      <c r="F910" s="391" t="s">
        <v>753</v>
      </c>
      <c r="G910" s="391" t="s">
        <v>683</v>
      </c>
      <c r="H910" s="391" t="s">
        <v>15</v>
      </c>
      <c r="I910" s="391">
        <v>15</v>
      </c>
      <c r="J910" s="392" t="s">
        <v>14</v>
      </c>
      <c r="K910" s="393">
        <f>(14*38)+(1*29.4)</f>
        <v>561.4</v>
      </c>
      <c r="L910" s="228" t="s">
        <v>1396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>
      <c r="A911" s="390" t="s">
        <v>1381</v>
      </c>
      <c r="B911" s="391" t="s">
        <v>9</v>
      </c>
      <c r="C911" s="391">
        <v>47</v>
      </c>
      <c r="D911" s="391" t="s">
        <v>16</v>
      </c>
      <c r="E911" s="391">
        <v>208</v>
      </c>
      <c r="F911" s="391" t="s">
        <v>817</v>
      </c>
      <c r="G911" s="391" t="s">
        <v>683</v>
      </c>
      <c r="H911" s="391" t="s">
        <v>15</v>
      </c>
      <c r="I911" s="391">
        <v>35</v>
      </c>
      <c r="J911" s="392" t="s">
        <v>1324</v>
      </c>
      <c r="K911" s="393">
        <f>(35*38)</f>
        <v>1330</v>
      </c>
      <c r="L911" s="228" t="s">
        <v>1398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>
      <c r="A912" s="390" t="s">
        <v>1381</v>
      </c>
      <c r="B912" s="391" t="s">
        <v>9</v>
      </c>
      <c r="C912" s="391">
        <v>47</v>
      </c>
      <c r="D912" s="391" t="s">
        <v>16</v>
      </c>
      <c r="E912" s="391">
        <v>294</v>
      </c>
      <c r="F912" s="391" t="s">
        <v>1318</v>
      </c>
      <c r="G912" s="391" t="s">
        <v>94</v>
      </c>
      <c r="H912" s="391" t="s">
        <v>15</v>
      </c>
      <c r="I912" s="391">
        <v>20</v>
      </c>
      <c r="J912" s="392" t="s">
        <v>17</v>
      </c>
      <c r="K912" s="393">
        <f>(19*35)+(1*26.4)</f>
        <v>691.4</v>
      </c>
      <c r="L912" s="58"/>
      <c r="M912" s="58"/>
      <c r="N912" s="229"/>
      <c r="O912" s="186" t="s">
        <v>1406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>
      <c r="A913" s="390" t="s">
        <v>1381</v>
      </c>
      <c r="B913" s="391" t="s">
        <v>9</v>
      </c>
      <c r="C913" s="391">
        <v>47</v>
      </c>
      <c r="D913" s="391" t="s">
        <v>16</v>
      </c>
      <c r="E913" s="391">
        <v>297</v>
      </c>
      <c r="F913" s="391" t="s">
        <v>1319</v>
      </c>
      <c r="G913" s="391" t="s">
        <v>94</v>
      </c>
      <c r="H913" s="391" t="s">
        <v>15</v>
      </c>
      <c r="I913" s="391">
        <v>20</v>
      </c>
      <c r="J913" s="392" t="s">
        <v>17</v>
      </c>
      <c r="K913" s="393">
        <f>(19*35)+(1*26.4)</f>
        <v>691.4</v>
      </c>
      <c r="L913" s="228" t="s">
        <v>1396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>
      <c r="A914" s="390" t="s">
        <v>1381</v>
      </c>
      <c r="B914" s="391" t="s">
        <v>9</v>
      </c>
      <c r="C914" s="391">
        <v>47</v>
      </c>
      <c r="D914" s="391" t="s">
        <v>16</v>
      </c>
      <c r="E914" s="391">
        <v>298</v>
      </c>
      <c r="F914" s="391" t="s">
        <v>1320</v>
      </c>
      <c r="G914" s="391" t="s">
        <v>94</v>
      </c>
      <c r="H914" s="391" t="s">
        <v>15</v>
      </c>
      <c r="I914" s="391">
        <v>20</v>
      </c>
      <c r="J914" s="392" t="s">
        <v>17</v>
      </c>
      <c r="K914" s="393">
        <f>(19*35)+(1*26.4)</f>
        <v>691.4</v>
      </c>
      <c r="L914" s="228" t="s">
        <v>1396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>
      <c r="A915" s="390" t="s">
        <v>1381</v>
      </c>
      <c r="B915" s="391" t="s">
        <v>9</v>
      </c>
      <c r="C915" s="391">
        <v>47</v>
      </c>
      <c r="D915" s="391" t="s">
        <v>16</v>
      </c>
      <c r="E915" s="391">
        <v>310</v>
      </c>
      <c r="F915" s="391" t="s">
        <v>1321</v>
      </c>
      <c r="G915" s="391" t="s">
        <v>95</v>
      </c>
      <c r="H915" s="391" t="s">
        <v>5</v>
      </c>
      <c r="I915" s="391">
        <v>20</v>
      </c>
      <c r="J915" s="392" t="s">
        <v>22</v>
      </c>
      <c r="K915" s="393">
        <f>(18*35)+(2*26.4)</f>
        <v>682.8</v>
      </c>
      <c r="L915" s="58"/>
      <c r="M915" s="58"/>
      <c r="N915" s="229"/>
      <c r="O915" s="186" t="s">
        <v>1406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>
      <c r="A916" s="390" t="s">
        <v>1381</v>
      </c>
      <c r="B916" s="391" t="s">
        <v>9</v>
      </c>
      <c r="C916" s="391">
        <v>47</v>
      </c>
      <c r="D916" s="391" t="s">
        <v>10</v>
      </c>
      <c r="E916" s="391">
        <v>222</v>
      </c>
      <c r="F916" s="391" t="s">
        <v>1322</v>
      </c>
      <c r="G916" s="391" t="s">
        <v>39</v>
      </c>
      <c r="H916" s="391" t="s">
        <v>15</v>
      </c>
      <c r="I916" s="391">
        <v>20</v>
      </c>
      <c r="J916" s="392" t="s">
        <v>136</v>
      </c>
      <c r="K916" s="393">
        <f>(20*38)</f>
        <v>760</v>
      </c>
      <c r="L916" s="58"/>
      <c r="M916" s="58"/>
      <c r="N916" s="229"/>
      <c r="O916" s="186" t="s">
        <v>1403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>
      <c r="A917" s="390" t="s">
        <v>1381</v>
      </c>
      <c r="B917" s="391" t="s">
        <v>9</v>
      </c>
      <c r="C917" s="391">
        <v>48</v>
      </c>
      <c r="D917" s="391" t="s">
        <v>16</v>
      </c>
      <c r="E917" s="391">
        <v>16</v>
      </c>
      <c r="F917" s="391" t="s">
        <v>411</v>
      </c>
      <c r="G917" s="391" t="s">
        <v>20</v>
      </c>
      <c r="H917" s="391" t="s">
        <v>182</v>
      </c>
      <c r="I917" s="391">
        <v>10</v>
      </c>
      <c r="J917" s="392" t="s">
        <v>291</v>
      </c>
      <c r="K917" s="393">
        <f>(9*37)+(1*31.2)</f>
        <v>364.2</v>
      </c>
      <c r="L917" s="228" t="s">
        <v>1398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>
      <c r="A918" s="390" t="s">
        <v>1381</v>
      </c>
      <c r="B918" s="391" t="s">
        <v>9</v>
      </c>
      <c r="C918" s="391">
        <v>48</v>
      </c>
      <c r="D918" s="391" t="s">
        <v>16</v>
      </c>
      <c r="E918" s="391">
        <v>218</v>
      </c>
      <c r="F918" s="391" t="s">
        <v>867</v>
      </c>
      <c r="G918" s="391" t="s">
        <v>598</v>
      </c>
      <c r="H918" s="391" t="s">
        <v>5</v>
      </c>
      <c r="I918" s="391">
        <v>15</v>
      </c>
      <c r="J918" s="392" t="s">
        <v>14</v>
      </c>
      <c r="K918" s="393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1389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>
      <c r="A919" s="390" t="s">
        <v>1381</v>
      </c>
      <c r="B919" s="391" t="s">
        <v>9</v>
      </c>
      <c r="C919" s="391">
        <v>48</v>
      </c>
      <c r="D919" s="391" t="s">
        <v>16</v>
      </c>
      <c r="E919" s="391">
        <v>286</v>
      </c>
      <c r="F919" s="391" t="s">
        <v>861</v>
      </c>
      <c r="G919" s="391" t="s">
        <v>94</v>
      </c>
      <c r="H919" s="391" t="s">
        <v>15</v>
      </c>
      <c r="I919" s="391">
        <v>20</v>
      </c>
      <c r="J919" s="392" t="s">
        <v>17</v>
      </c>
      <c r="K919" s="393">
        <f t="shared" ref="K919:K924" si="22">(19*35)+(1*26.4)</f>
        <v>691.4</v>
      </c>
      <c r="L919" s="58"/>
      <c r="M919" s="58"/>
      <c r="N919" s="229"/>
      <c r="O919" s="186" t="s">
        <v>1403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>
      <c r="A920" s="390" t="s">
        <v>1381</v>
      </c>
      <c r="B920" s="391" t="s">
        <v>9</v>
      </c>
      <c r="C920" s="391">
        <v>48</v>
      </c>
      <c r="D920" s="391" t="s">
        <v>16</v>
      </c>
      <c r="E920" s="391">
        <v>296</v>
      </c>
      <c r="F920" s="391" t="s">
        <v>1325</v>
      </c>
      <c r="G920" s="391" t="s">
        <v>94</v>
      </c>
      <c r="H920" s="391" t="s">
        <v>15</v>
      </c>
      <c r="I920" s="391">
        <v>20</v>
      </c>
      <c r="J920" s="392" t="s">
        <v>17</v>
      </c>
      <c r="K920" s="393">
        <f t="shared" si="22"/>
        <v>691.4</v>
      </c>
      <c r="L920" s="228" t="s">
        <v>1396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>
      <c r="A921" s="390" t="s">
        <v>1381</v>
      </c>
      <c r="B921" s="391" t="s">
        <v>9</v>
      </c>
      <c r="C921" s="391">
        <v>48</v>
      </c>
      <c r="D921" s="391" t="s">
        <v>16</v>
      </c>
      <c r="E921" s="391">
        <v>297</v>
      </c>
      <c r="F921" s="391" t="s">
        <v>1326</v>
      </c>
      <c r="G921" s="391" t="s">
        <v>94</v>
      </c>
      <c r="H921" s="391" t="s">
        <v>15</v>
      </c>
      <c r="I921" s="391">
        <v>20</v>
      </c>
      <c r="J921" s="392" t="s">
        <v>17</v>
      </c>
      <c r="K921" s="393">
        <f t="shared" si="22"/>
        <v>691.4</v>
      </c>
      <c r="L921" s="228" t="s">
        <v>1396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>
      <c r="A922" s="390" t="s">
        <v>1381</v>
      </c>
      <c r="B922" s="391" t="s">
        <v>9</v>
      </c>
      <c r="C922" s="391">
        <v>48</v>
      </c>
      <c r="D922" s="391" t="s">
        <v>16</v>
      </c>
      <c r="E922" s="391">
        <v>307</v>
      </c>
      <c r="F922" s="391" t="s">
        <v>433</v>
      </c>
      <c r="G922" s="391" t="s">
        <v>94</v>
      </c>
      <c r="H922" s="391" t="s">
        <v>15</v>
      </c>
      <c r="I922" s="391">
        <v>20</v>
      </c>
      <c r="J922" s="392" t="s">
        <v>17</v>
      </c>
      <c r="K922" s="393">
        <f t="shared" si="22"/>
        <v>691.4</v>
      </c>
      <c r="L922" s="228" t="s">
        <v>1398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>
      <c r="A923" s="390" t="s">
        <v>1381</v>
      </c>
      <c r="B923" s="391" t="s">
        <v>9</v>
      </c>
      <c r="C923" s="391">
        <v>48</v>
      </c>
      <c r="D923" s="391" t="s">
        <v>16</v>
      </c>
      <c r="E923" s="391">
        <v>308</v>
      </c>
      <c r="F923" s="391" t="s">
        <v>1327</v>
      </c>
      <c r="G923" s="391" t="s">
        <v>94</v>
      </c>
      <c r="H923" s="391" t="s">
        <v>15</v>
      </c>
      <c r="I923" s="391">
        <v>20</v>
      </c>
      <c r="J923" s="392" t="s">
        <v>17</v>
      </c>
      <c r="K923" s="393">
        <f t="shared" si="22"/>
        <v>691.4</v>
      </c>
      <c r="L923" s="228" t="s">
        <v>1398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>
      <c r="A924" s="390" t="s">
        <v>1381</v>
      </c>
      <c r="B924" s="391" t="s">
        <v>9</v>
      </c>
      <c r="C924" s="391">
        <v>48</v>
      </c>
      <c r="D924" s="391" t="s">
        <v>16</v>
      </c>
      <c r="E924" s="391">
        <v>315</v>
      </c>
      <c r="F924" s="391" t="s">
        <v>1222</v>
      </c>
      <c r="G924" s="391" t="s">
        <v>94</v>
      </c>
      <c r="H924" s="391" t="s">
        <v>15</v>
      </c>
      <c r="I924" s="391">
        <v>20</v>
      </c>
      <c r="J924" s="392" t="s">
        <v>17</v>
      </c>
      <c r="K924" s="393">
        <f t="shared" si="22"/>
        <v>691.4</v>
      </c>
      <c r="L924" s="228" t="s">
        <v>1398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>
      <c r="A925" s="390" t="s">
        <v>1381</v>
      </c>
      <c r="B925" s="391" t="s">
        <v>9</v>
      </c>
      <c r="C925" s="391">
        <v>48</v>
      </c>
      <c r="D925" s="391" t="s">
        <v>16</v>
      </c>
      <c r="E925" s="391">
        <v>359</v>
      </c>
      <c r="F925" s="391" t="s">
        <v>731</v>
      </c>
      <c r="G925" s="391" t="s">
        <v>106</v>
      </c>
      <c r="H925" s="391" t="s">
        <v>15</v>
      </c>
      <c r="I925" s="391">
        <v>20</v>
      </c>
      <c r="J925" s="392" t="s">
        <v>30</v>
      </c>
      <c r="K925" s="393">
        <f>(19*38)+(1*29.4)</f>
        <v>751.4</v>
      </c>
      <c r="L925" s="228" t="s">
        <v>1396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>
      <c r="A926" s="356" t="s">
        <v>1381</v>
      </c>
      <c r="B926" s="352" t="s">
        <v>9</v>
      </c>
      <c r="C926" s="352">
        <v>48</v>
      </c>
      <c r="D926" s="352" t="s">
        <v>16</v>
      </c>
      <c r="E926" s="358">
        <v>360</v>
      </c>
      <c r="F926" s="352" t="s">
        <v>630</v>
      </c>
      <c r="G926" s="352" t="s">
        <v>106</v>
      </c>
      <c r="H926" s="358" t="s">
        <v>15</v>
      </c>
      <c r="I926" s="358">
        <v>20</v>
      </c>
      <c r="J926" s="353" t="s">
        <v>30</v>
      </c>
      <c r="K926" s="357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>
      <c r="A927" s="390" t="s">
        <v>1381</v>
      </c>
      <c r="B927" s="391" t="s">
        <v>9</v>
      </c>
      <c r="C927" s="391">
        <v>48</v>
      </c>
      <c r="D927" s="391" t="s">
        <v>16</v>
      </c>
      <c r="E927" s="391">
        <v>387</v>
      </c>
      <c r="F927" s="391" t="s">
        <v>453</v>
      </c>
      <c r="G927" s="391" t="s">
        <v>39</v>
      </c>
      <c r="H927" s="391" t="s">
        <v>15</v>
      </c>
      <c r="I927" s="391">
        <v>20</v>
      </c>
      <c r="J927" s="392" t="s">
        <v>136</v>
      </c>
      <c r="K927" s="393">
        <f>(20*38)</f>
        <v>760</v>
      </c>
      <c r="L927" s="228" t="s">
        <v>1396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>
      <c r="A928" s="390" t="s">
        <v>1381</v>
      </c>
      <c r="B928" s="391" t="s">
        <v>9</v>
      </c>
      <c r="C928" s="391">
        <v>48</v>
      </c>
      <c r="D928" s="391" t="s">
        <v>16</v>
      </c>
      <c r="E928" s="391">
        <v>388</v>
      </c>
      <c r="F928" s="391" t="s">
        <v>1328</v>
      </c>
      <c r="G928" s="391" t="s">
        <v>39</v>
      </c>
      <c r="H928" s="391" t="s">
        <v>15</v>
      </c>
      <c r="I928" s="391">
        <v>30</v>
      </c>
      <c r="J928" s="392" t="s">
        <v>24</v>
      </c>
      <c r="K928" s="393">
        <f>(29*38)+(1*29.4)</f>
        <v>1131.4000000000001</v>
      </c>
      <c r="L928" s="228" t="s">
        <v>1398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thickBot="1">
      <c r="A929" s="390" t="s">
        <v>1381</v>
      </c>
      <c r="B929" s="394" t="s">
        <v>9</v>
      </c>
      <c r="C929" s="394">
        <v>48</v>
      </c>
      <c r="D929" s="394" t="s">
        <v>16</v>
      </c>
      <c r="E929" s="394">
        <v>389</v>
      </c>
      <c r="F929" s="394" t="s">
        <v>1329</v>
      </c>
      <c r="G929" s="394" t="s">
        <v>39</v>
      </c>
      <c r="H929" s="394" t="s">
        <v>15</v>
      </c>
      <c r="I929" s="394">
        <v>30</v>
      </c>
      <c r="J929" s="395" t="s">
        <v>24</v>
      </c>
      <c r="K929" s="396">
        <f>(29*38)+(1*29.4)</f>
        <v>1131.4000000000001</v>
      </c>
      <c r="L929" s="228" t="s">
        <v>1398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>
      <c r="A930" s="390" t="s">
        <v>1381</v>
      </c>
      <c r="B930" s="387" t="s">
        <v>9</v>
      </c>
      <c r="C930" s="387">
        <v>48</v>
      </c>
      <c r="D930" s="387" t="s">
        <v>25</v>
      </c>
      <c r="E930" s="387">
        <v>105</v>
      </c>
      <c r="F930" s="387" t="s">
        <v>657</v>
      </c>
      <c r="G930" s="387" t="s">
        <v>132</v>
      </c>
      <c r="H930" s="387" t="s">
        <v>15</v>
      </c>
      <c r="I930" s="387">
        <v>20</v>
      </c>
      <c r="J930" s="388" t="s">
        <v>17</v>
      </c>
      <c r="K930" s="389">
        <f>(19*35)+(1*26.4)</f>
        <v>691.4</v>
      </c>
      <c r="L930" s="228" t="s">
        <v>1398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>
      <c r="A931" s="390" t="s">
        <v>1381</v>
      </c>
      <c r="B931" s="391" t="s">
        <v>9</v>
      </c>
      <c r="C931" s="391">
        <v>48</v>
      </c>
      <c r="D931" s="391" t="s">
        <v>7</v>
      </c>
      <c r="E931" s="391">
        <v>20</v>
      </c>
      <c r="F931" s="391" t="s">
        <v>344</v>
      </c>
      <c r="G931" s="391" t="s">
        <v>1158</v>
      </c>
      <c r="H931" s="391" t="s">
        <v>15</v>
      </c>
      <c r="I931" s="391">
        <v>18</v>
      </c>
      <c r="J931" s="392" t="s">
        <v>1345</v>
      </c>
      <c r="K931" s="393">
        <f>(18*38)</f>
        <v>684</v>
      </c>
      <c r="L931" s="58"/>
      <c r="M931" s="58"/>
      <c r="N931" s="229"/>
      <c r="O931" s="186" t="s">
        <v>1403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>
      <c r="A932" s="390" t="s">
        <v>1381</v>
      </c>
      <c r="B932" s="391" t="s">
        <v>9</v>
      </c>
      <c r="C932" s="391">
        <v>48</v>
      </c>
      <c r="D932" s="391" t="s">
        <v>7</v>
      </c>
      <c r="E932" s="391">
        <v>53</v>
      </c>
      <c r="F932" s="391" t="s">
        <v>341</v>
      </c>
      <c r="G932" s="391" t="s">
        <v>315</v>
      </c>
      <c r="H932" s="391" t="s">
        <v>15</v>
      </c>
      <c r="I932" s="391">
        <v>20</v>
      </c>
      <c r="J932" s="392" t="s">
        <v>17</v>
      </c>
      <c r="K932" s="393">
        <f>(19*35)+(1*26.4)</f>
        <v>691.4</v>
      </c>
      <c r="L932" s="58"/>
      <c r="M932" s="58"/>
      <c r="N932" s="229"/>
      <c r="O932" s="186" t="s">
        <v>1406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6" t="s">
        <v>1381</v>
      </c>
      <c r="B933" s="352" t="s">
        <v>9</v>
      </c>
      <c r="C933" s="352">
        <v>48</v>
      </c>
      <c r="D933" s="352" t="s">
        <v>7</v>
      </c>
      <c r="E933" s="358">
        <v>54</v>
      </c>
      <c r="F933" s="352" t="s">
        <v>1330</v>
      </c>
      <c r="G933" s="352" t="s">
        <v>315</v>
      </c>
      <c r="H933" s="358" t="s">
        <v>15</v>
      </c>
      <c r="I933" s="358">
        <v>20</v>
      </c>
      <c r="J933" s="353" t="s">
        <v>17</v>
      </c>
      <c r="K933" s="357">
        <f>(19*35)+(1*26.4)</f>
        <v>691.4</v>
      </c>
      <c r="L933" s="58"/>
      <c r="M933" s="58"/>
      <c r="N933" s="229"/>
      <c r="O933" s="186"/>
      <c r="P933" s="21"/>
      <c r="Q933" s="187"/>
      <c r="R933" s="22"/>
      <c r="S933" s="22"/>
      <c r="T933" s="23"/>
      <c r="U933" s="24"/>
      <c r="V933" s="24"/>
      <c r="W933" s="315"/>
      <c r="X933" s="123">
        <f t="shared" si="21"/>
        <v>691.4</v>
      </c>
      <c r="Y933" s="52"/>
      <c r="Z933" s="3"/>
    </row>
    <row r="934" spans="1:26">
      <c r="A934" s="390" t="s">
        <v>1381</v>
      </c>
      <c r="B934" s="391" t="s">
        <v>9</v>
      </c>
      <c r="C934" s="391">
        <v>48</v>
      </c>
      <c r="D934" s="391" t="s">
        <v>7</v>
      </c>
      <c r="E934" s="391">
        <v>80</v>
      </c>
      <c r="F934" s="391" t="s">
        <v>734</v>
      </c>
      <c r="G934" s="391" t="s">
        <v>419</v>
      </c>
      <c r="H934" s="391" t="s">
        <v>5</v>
      </c>
      <c r="I934" s="391">
        <v>20</v>
      </c>
      <c r="J934" s="392" t="s">
        <v>40</v>
      </c>
      <c r="K934" s="393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1389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>
      <c r="A935" s="390" t="s">
        <v>1381</v>
      </c>
      <c r="B935" s="391" t="s">
        <v>9</v>
      </c>
      <c r="C935" s="391">
        <v>48</v>
      </c>
      <c r="D935" s="391" t="s">
        <v>7</v>
      </c>
      <c r="E935" s="391">
        <v>91</v>
      </c>
      <c r="F935" s="391" t="s">
        <v>350</v>
      </c>
      <c r="G935" s="391" t="s">
        <v>419</v>
      </c>
      <c r="H935" s="391" t="s">
        <v>15</v>
      </c>
      <c r="I935" s="391">
        <v>20</v>
      </c>
      <c r="J935" s="392" t="s">
        <v>417</v>
      </c>
      <c r="K935" s="393">
        <f>(17*38)+(3*29.4)</f>
        <v>734.2</v>
      </c>
      <c r="L935" s="58"/>
      <c r="M935" s="58"/>
      <c r="N935" s="229"/>
      <c r="O935" s="186" t="s">
        <v>1402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>
      <c r="A936" s="390" t="s">
        <v>1381</v>
      </c>
      <c r="B936" s="391" t="s">
        <v>9</v>
      </c>
      <c r="C936" s="391">
        <v>48</v>
      </c>
      <c r="D936" s="391" t="s">
        <v>7</v>
      </c>
      <c r="E936" s="391">
        <v>135</v>
      </c>
      <c r="F936" s="391" t="s">
        <v>286</v>
      </c>
      <c r="G936" s="391" t="s">
        <v>599</v>
      </c>
      <c r="H936" s="391" t="s">
        <v>15</v>
      </c>
      <c r="I936" s="391">
        <v>20</v>
      </c>
      <c r="J936" s="392" t="s">
        <v>136</v>
      </c>
      <c r="K936" s="393">
        <f>(20*38)</f>
        <v>760</v>
      </c>
      <c r="L936" s="228" t="s">
        <v>1398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>
      <c r="A937" s="390" t="s">
        <v>1381</v>
      </c>
      <c r="B937" s="391" t="s">
        <v>9</v>
      </c>
      <c r="C937" s="391">
        <v>48</v>
      </c>
      <c r="D937" s="391" t="s">
        <v>7</v>
      </c>
      <c r="E937" s="391">
        <v>227</v>
      </c>
      <c r="F937" s="391" t="s">
        <v>1331</v>
      </c>
      <c r="G937" s="391" t="s">
        <v>292</v>
      </c>
      <c r="H937" s="391" t="s">
        <v>15</v>
      </c>
      <c r="I937" s="391">
        <v>20</v>
      </c>
      <c r="J937" s="392" t="s">
        <v>30</v>
      </c>
      <c r="K937" s="393">
        <f>(19*38)+(1*29.4)</f>
        <v>751.4</v>
      </c>
      <c r="L937" s="58"/>
      <c r="M937" s="58"/>
      <c r="N937" s="229"/>
      <c r="O937" s="186" t="s">
        <v>1403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>
      <c r="A938" s="390" t="s">
        <v>1381</v>
      </c>
      <c r="B938" s="391" t="s">
        <v>9</v>
      </c>
      <c r="C938" s="391">
        <v>48</v>
      </c>
      <c r="D938" s="391" t="s">
        <v>174</v>
      </c>
      <c r="E938" s="391">
        <v>18</v>
      </c>
      <c r="F938" s="391" t="s">
        <v>386</v>
      </c>
      <c r="G938" s="391" t="s">
        <v>290</v>
      </c>
      <c r="H938" s="391" t="s">
        <v>5</v>
      </c>
      <c r="I938" s="391">
        <v>25</v>
      </c>
      <c r="J938" s="392" t="s">
        <v>103</v>
      </c>
      <c r="K938" s="393">
        <f>(24*35)+(1*26.4)</f>
        <v>866.4</v>
      </c>
      <c r="L938" s="228" t="s">
        <v>1396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>
      <c r="A939" s="390" t="s">
        <v>1381</v>
      </c>
      <c r="B939" s="391" t="s">
        <v>9</v>
      </c>
      <c r="C939" s="391">
        <v>48</v>
      </c>
      <c r="D939" s="391" t="s">
        <v>174</v>
      </c>
      <c r="E939" s="391">
        <v>20</v>
      </c>
      <c r="F939" s="391" t="s">
        <v>1332</v>
      </c>
      <c r="G939" s="391" t="s">
        <v>290</v>
      </c>
      <c r="H939" s="391" t="s">
        <v>15</v>
      </c>
      <c r="I939" s="391">
        <v>15</v>
      </c>
      <c r="J939" s="392" t="s">
        <v>93</v>
      </c>
      <c r="K939" s="393">
        <f>(15*38)</f>
        <v>570</v>
      </c>
      <c r="L939" s="228" t="s">
        <v>1396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>
      <c r="A940" s="390" t="s">
        <v>1381</v>
      </c>
      <c r="B940" s="391" t="s">
        <v>9</v>
      </c>
      <c r="C940" s="391">
        <v>48</v>
      </c>
      <c r="D940" s="391" t="s">
        <v>174</v>
      </c>
      <c r="E940" s="391">
        <v>21</v>
      </c>
      <c r="F940" s="391" t="s">
        <v>1333</v>
      </c>
      <c r="G940" s="391" t="s">
        <v>290</v>
      </c>
      <c r="H940" s="391" t="s">
        <v>15</v>
      </c>
      <c r="I940" s="391">
        <v>15</v>
      </c>
      <c r="J940" s="392" t="s">
        <v>14</v>
      </c>
      <c r="K940" s="393">
        <f>(14*38)+(1*29.4)</f>
        <v>561.4</v>
      </c>
      <c r="L940" s="228" t="s">
        <v>1398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>
      <c r="A941" s="390" t="s">
        <v>1381</v>
      </c>
      <c r="B941" s="391" t="s">
        <v>9</v>
      </c>
      <c r="C941" s="391">
        <v>48</v>
      </c>
      <c r="D941" s="391" t="s">
        <v>29</v>
      </c>
      <c r="E941" s="391">
        <v>132</v>
      </c>
      <c r="F941" s="391" t="s">
        <v>1334</v>
      </c>
      <c r="G941" s="391" t="s">
        <v>674</v>
      </c>
      <c r="H941" s="391" t="s">
        <v>15</v>
      </c>
      <c r="I941" s="391">
        <v>25</v>
      </c>
      <c r="J941" s="392" t="s">
        <v>148</v>
      </c>
      <c r="K941" s="393">
        <f>(25*26)</f>
        <v>650</v>
      </c>
      <c r="L941" s="228" t="s">
        <v>1396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>
      <c r="A942" s="390" t="s">
        <v>1381</v>
      </c>
      <c r="B942" s="391" t="s">
        <v>9</v>
      </c>
      <c r="C942" s="391">
        <v>48</v>
      </c>
      <c r="D942" s="391" t="s">
        <v>7</v>
      </c>
      <c r="E942" s="391">
        <v>124</v>
      </c>
      <c r="F942" s="391" t="s">
        <v>825</v>
      </c>
      <c r="G942" s="391" t="s">
        <v>599</v>
      </c>
      <c r="H942" s="391" t="s">
        <v>15</v>
      </c>
      <c r="I942" s="391">
        <v>15</v>
      </c>
      <c r="J942" s="392" t="s">
        <v>14</v>
      </c>
      <c r="K942" s="393">
        <f>(14*38)+(1*29.4)</f>
        <v>561.4</v>
      </c>
      <c r="L942" s="228" t="s">
        <v>1396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>
      <c r="A943" s="390" t="s">
        <v>1381</v>
      </c>
      <c r="B943" s="391" t="s">
        <v>9</v>
      </c>
      <c r="C943" s="391">
        <v>48</v>
      </c>
      <c r="D943" s="391" t="s">
        <v>7</v>
      </c>
      <c r="E943" s="391">
        <v>125</v>
      </c>
      <c r="F943" s="391" t="s">
        <v>702</v>
      </c>
      <c r="G943" s="391" t="s">
        <v>599</v>
      </c>
      <c r="H943" s="391" t="s">
        <v>15</v>
      </c>
      <c r="I943" s="391">
        <v>20</v>
      </c>
      <c r="J943" s="392" t="s">
        <v>136</v>
      </c>
      <c r="K943" s="393">
        <f>(20*38)</f>
        <v>760</v>
      </c>
      <c r="L943" s="228" t="s">
        <v>1396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>
      <c r="A944" s="390" t="s">
        <v>1381</v>
      </c>
      <c r="B944" s="391" t="s">
        <v>9</v>
      </c>
      <c r="C944" s="391">
        <v>48</v>
      </c>
      <c r="D944" s="391" t="s">
        <v>7</v>
      </c>
      <c r="E944" s="391">
        <v>126</v>
      </c>
      <c r="F944" s="391" t="s">
        <v>1335</v>
      </c>
      <c r="G944" s="391" t="s">
        <v>599</v>
      </c>
      <c r="H944" s="391" t="s">
        <v>15</v>
      </c>
      <c r="I944" s="391">
        <v>15</v>
      </c>
      <c r="J944" s="392" t="s">
        <v>14</v>
      </c>
      <c r="K944" s="393">
        <f>(14*38)+(1*29.4)</f>
        <v>561.4</v>
      </c>
      <c r="L944" s="228" t="s">
        <v>1398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>
      <c r="A945" s="390" t="s">
        <v>1381</v>
      </c>
      <c r="B945" s="391" t="s">
        <v>9</v>
      </c>
      <c r="C945" s="391">
        <v>48</v>
      </c>
      <c r="D945" s="391" t="s">
        <v>7</v>
      </c>
      <c r="E945" s="391">
        <v>127</v>
      </c>
      <c r="F945" s="391" t="s">
        <v>222</v>
      </c>
      <c r="G945" s="391" t="s">
        <v>599</v>
      </c>
      <c r="H945" s="391" t="s">
        <v>15</v>
      </c>
      <c r="I945" s="391">
        <v>25</v>
      </c>
      <c r="J945" s="392" t="s">
        <v>143</v>
      </c>
      <c r="K945" s="393">
        <f>(25*38)</f>
        <v>950</v>
      </c>
      <c r="L945" s="228" t="s">
        <v>1396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>
      <c r="A946" s="390" t="s">
        <v>1381</v>
      </c>
      <c r="B946" s="391" t="s">
        <v>9</v>
      </c>
      <c r="C946" s="391">
        <v>48</v>
      </c>
      <c r="D946" s="391" t="s">
        <v>7</v>
      </c>
      <c r="E946" s="391">
        <v>132</v>
      </c>
      <c r="F946" s="391" t="s">
        <v>223</v>
      </c>
      <c r="G946" s="391" t="s">
        <v>599</v>
      </c>
      <c r="H946" s="391" t="s">
        <v>15</v>
      </c>
      <c r="I946" s="391">
        <v>15</v>
      </c>
      <c r="J946" s="392" t="s">
        <v>14</v>
      </c>
      <c r="K946" s="393">
        <f>(14*38)+(1*29.4)</f>
        <v>561.4</v>
      </c>
      <c r="L946" s="228" t="s">
        <v>1398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>
      <c r="A947" s="390" t="s">
        <v>1381</v>
      </c>
      <c r="B947" s="391" t="s">
        <v>9</v>
      </c>
      <c r="C947" s="391">
        <v>48</v>
      </c>
      <c r="D947" s="391" t="s">
        <v>7</v>
      </c>
      <c r="E947" s="391">
        <v>133</v>
      </c>
      <c r="F947" s="391" t="s">
        <v>146</v>
      </c>
      <c r="G947" s="391" t="s">
        <v>599</v>
      </c>
      <c r="H947" s="391" t="s">
        <v>15</v>
      </c>
      <c r="I947" s="391">
        <v>15</v>
      </c>
      <c r="J947" s="392" t="s">
        <v>14</v>
      </c>
      <c r="K947" s="393">
        <f>(14*38)+(1*29.4)</f>
        <v>561.4</v>
      </c>
      <c r="L947" s="228" t="s">
        <v>1398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6" t="s">
        <v>1381</v>
      </c>
      <c r="B948" s="352" t="s">
        <v>9</v>
      </c>
      <c r="C948" s="352">
        <v>48</v>
      </c>
      <c r="D948" s="352" t="s">
        <v>7</v>
      </c>
      <c r="E948" s="358">
        <v>137</v>
      </c>
      <c r="F948" s="352" t="s">
        <v>742</v>
      </c>
      <c r="G948" s="352" t="s">
        <v>599</v>
      </c>
      <c r="H948" s="358" t="s">
        <v>15</v>
      </c>
      <c r="I948" s="358">
        <v>15</v>
      </c>
      <c r="J948" s="353" t="s">
        <v>14</v>
      </c>
      <c r="K948" s="357">
        <f>(14*38)+(1*29.4)</f>
        <v>561.4</v>
      </c>
      <c r="L948" s="58"/>
      <c r="M948" s="58"/>
      <c r="N948" s="229"/>
      <c r="O948" s="186"/>
      <c r="P948" s="21"/>
      <c r="Q948" s="187"/>
      <c r="R948" s="22"/>
      <c r="S948" s="22"/>
      <c r="T948" s="23"/>
      <c r="U948" s="24"/>
      <c r="V948" s="24"/>
      <c r="W948" s="315"/>
      <c r="X948" s="123">
        <f t="shared" si="21"/>
        <v>561.4</v>
      </c>
      <c r="Y948" s="52"/>
      <c r="Z948" s="3"/>
    </row>
    <row r="949" spans="1:26">
      <c r="A949" s="390" t="s">
        <v>1381</v>
      </c>
      <c r="B949" s="391" t="s">
        <v>9</v>
      </c>
      <c r="C949" s="391">
        <v>48</v>
      </c>
      <c r="D949" s="391" t="s">
        <v>10</v>
      </c>
      <c r="E949" s="391">
        <v>56</v>
      </c>
      <c r="F949" s="391" t="s">
        <v>333</v>
      </c>
      <c r="G949" s="391" t="s">
        <v>296</v>
      </c>
      <c r="H949" s="391" t="s">
        <v>5</v>
      </c>
      <c r="I949" s="391">
        <v>15</v>
      </c>
      <c r="J949" s="392" t="s">
        <v>137</v>
      </c>
      <c r="K949" s="393">
        <f>(15*35)</f>
        <v>525</v>
      </c>
      <c r="L949" s="58"/>
      <c r="M949" s="58"/>
      <c r="N949" s="229"/>
      <c r="O949" s="186" t="s">
        <v>1402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>
      <c r="A950" s="390" t="s">
        <v>1381</v>
      </c>
      <c r="B950" s="391" t="s">
        <v>9</v>
      </c>
      <c r="C950" s="391">
        <v>48</v>
      </c>
      <c r="D950" s="391" t="s">
        <v>10</v>
      </c>
      <c r="E950" s="391">
        <v>59</v>
      </c>
      <c r="F950" s="391" t="s">
        <v>226</v>
      </c>
      <c r="G950" s="391" t="s">
        <v>296</v>
      </c>
      <c r="H950" s="391" t="s">
        <v>5</v>
      </c>
      <c r="I950" s="391">
        <v>15</v>
      </c>
      <c r="J950" s="392" t="s">
        <v>13</v>
      </c>
      <c r="K950" s="393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1389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>
      <c r="A951" s="390" t="s">
        <v>1381</v>
      </c>
      <c r="B951" s="391" t="s">
        <v>9</v>
      </c>
      <c r="C951" s="391">
        <v>48</v>
      </c>
      <c r="D951" s="391" t="s">
        <v>10</v>
      </c>
      <c r="E951" s="391">
        <v>135</v>
      </c>
      <c r="F951" s="391" t="s">
        <v>971</v>
      </c>
      <c r="G951" s="391" t="s">
        <v>38</v>
      </c>
      <c r="H951" s="391" t="s">
        <v>15</v>
      </c>
      <c r="I951" s="391">
        <v>15</v>
      </c>
      <c r="J951" s="392" t="s">
        <v>137</v>
      </c>
      <c r="K951" s="393">
        <f>(15*35)</f>
        <v>525</v>
      </c>
      <c r="L951" s="228" t="s">
        <v>1396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>
      <c r="A952" s="390" t="s">
        <v>1381</v>
      </c>
      <c r="B952" s="391" t="s">
        <v>9</v>
      </c>
      <c r="C952" s="391">
        <v>48</v>
      </c>
      <c r="D952" s="391" t="s">
        <v>10</v>
      </c>
      <c r="E952" s="391">
        <v>139</v>
      </c>
      <c r="F952" s="391" t="s">
        <v>409</v>
      </c>
      <c r="G952" s="391" t="s">
        <v>38</v>
      </c>
      <c r="H952" s="391" t="s">
        <v>15</v>
      </c>
      <c r="I952" s="391">
        <v>15</v>
      </c>
      <c r="J952" s="392" t="s">
        <v>13</v>
      </c>
      <c r="K952" s="393">
        <f>(14*35)+(1*26.4)</f>
        <v>516.4</v>
      </c>
      <c r="L952" s="228" t="s">
        <v>1398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>
      <c r="A953" s="390" t="s">
        <v>1381</v>
      </c>
      <c r="B953" s="391" t="s">
        <v>9</v>
      </c>
      <c r="C953" s="391">
        <v>48</v>
      </c>
      <c r="D953" s="391" t="s">
        <v>10</v>
      </c>
      <c r="E953" s="391">
        <v>242</v>
      </c>
      <c r="F953" s="391" t="s">
        <v>1336</v>
      </c>
      <c r="G953" s="391" t="s">
        <v>1344</v>
      </c>
      <c r="H953" s="391" t="s">
        <v>5</v>
      </c>
      <c r="I953" s="391">
        <v>20</v>
      </c>
      <c r="J953" s="392" t="s">
        <v>17</v>
      </c>
      <c r="K953" s="393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1389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>
      <c r="A954" s="390" t="s">
        <v>1381</v>
      </c>
      <c r="B954" s="391" t="s">
        <v>9</v>
      </c>
      <c r="C954" s="391">
        <v>48</v>
      </c>
      <c r="D954" s="391" t="s">
        <v>10</v>
      </c>
      <c r="E954" s="391">
        <v>254</v>
      </c>
      <c r="F954" s="391" t="s">
        <v>1337</v>
      </c>
      <c r="G954" s="391" t="s">
        <v>39</v>
      </c>
      <c r="H954" s="391" t="s">
        <v>5</v>
      </c>
      <c r="I954" s="391">
        <v>30</v>
      </c>
      <c r="J954" s="392" t="s">
        <v>24</v>
      </c>
      <c r="K954" s="393">
        <f>(29*38)+(1*29.4)</f>
        <v>1131.4000000000001</v>
      </c>
      <c r="L954" s="58"/>
      <c r="M954" s="58"/>
      <c r="N954" s="229"/>
      <c r="O954" s="186" t="s">
        <v>1406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6" t="s">
        <v>1381</v>
      </c>
      <c r="B955" s="352" t="s">
        <v>9</v>
      </c>
      <c r="C955" s="352">
        <v>48</v>
      </c>
      <c r="D955" s="352" t="s">
        <v>10</v>
      </c>
      <c r="E955" s="358">
        <v>255</v>
      </c>
      <c r="F955" s="352" t="s">
        <v>441</v>
      </c>
      <c r="G955" s="352" t="s">
        <v>39</v>
      </c>
      <c r="H955" s="358" t="s">
        <v>5</v>
      </c>
      <c r="I955" s="358">
        <v>20</v>
      </c>
      <c r="J955" s="353" t="s">
        <v>136</v>
      </c>
      <c r="K955" s="357">
        <f>(20*38)</f>
        <v>760</v>
      </c>
      <c r="L955" s="58"/>
      <c r="M955" s="58"/>
      <c r="N955" s="229"/>
      <c r="O955" s="21"/>
      <c r="P955" s="21"/>
      <c r="Q955" s="187"/>
      <c r="R955" s="22"/>
      <c r="S955" s="22"/>
      <c r="T955" s="23"/>
      <c r="U955" s="108"/>
      <c r="V955" s="24"/>
      <c r="W955" s="315"/>
      <c r="X955" s="123">
        <f t="shared" si="21"/>
        <v>760</v>
      </c>
      <c r="Y955" s="52"/>
      <c r="Z955" s="3"/>
    </row>
    <row r="956" spans="1:26">
      <c r="A956" s="390" t="s">
        <v>1381</v>
      </c>
      <c r="B956" s="391" t="s">
        <v>9</v>
      </c>
      <c r="C956" s="391">
        <v>48</v>
      </c>
      <c r="D956" s="391" t="s">
        <v>10</v>
      </c>
      <c r="E956" s="391">
        <v>261</v>
      </c>
      <c r="F956" s="391" t="s">
        <v>1338</v>
      </c>
      <c r="G956" s="391" t="s">
        <v>39</v>
      </c>
      <c r="H956" s="391" t="s">
        <v>15</v>
      </c>
      <c r="I956" s="391">
        <v>15</v>
      </c>
      <c r="J956" s="392" t="s">
        <v>14</v>
      </c>
      <c r="K956" s="393">
        <f>(14*38)+(1*29.4)</f>
        <v>561.4</v>
      </c>
      <c r="L956" s="228"/>
      <c r="M956" s="58"/>
      <c r="N956" s="229"/>
      <c r="O956" s="186" t="s">
        <v>1406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>
      <c r="A957" s="390" t="s">
        <v>1381</v>
      </c>
      <c r="B957" s="391" t="s">
        <v>9</v>
      </c>
      <c r="C957" s="391">
        <v>48</v>
      </c>
      <c r="D957" s="391" t="s">
        <v>10</v>
      </c>
      <c r="E957" s="391">
        <v>263</v>
      </c>
      <c r="F957" s="391" t="s">
        <v>473</v>
      </c>
      <c r="G957" s="391" t="s">
        <v>39</v>
      </c>
      <c r="H957" s="391" t="s">
        <v>15</v>
      </c>
      <c r="I957" s="391">
        <v>20</v>
      </c>
      <c r="J957" s="392" t="s">
        <v>136</v>
      </c>
      <c r="K957" s="393">
        <f>(20*38)</f>
        <v>760</v>
      </c>
      <c r="L957" s="58"/>
      <c r="M957" s="58"/>
      <c r="N957" s="229"/>
      <c r="O957" s="186" t="s">
        <v>1402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>
      <c r="A958" s="390" t="s">
        <v>1381</v>
      </c>
      <c r="B958" s="391" t="s">
        <v>9</v>
      </c>
      <c r="C958" s="391">
        <v>48</v>
      </c>
      <c r="D958" s="391" t="s">
        <v>10</v>
      </c>
      <c r="E958" s="391">
        <v>264</v>
      </c>
      <c r="F958" s="391" t="s">
        <v>275</v>
      </c>
      <c r="G958" s="391" t="s">
        <v>39</v>
      </c>
      <c r="H958" s="391" t="s">
        <v>15</v>
      </c>
      <c r="I958" s="391">
        <v>15</v>
      </c>
      <c r="J958" s="392" t="s">
        <v>14</v>
      </c>
      <c r="K958" s="393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1389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>
      <c r="A959" s="390" t="s">
        <v>1381</v>
      </c>
      <c r="B959" s="391" t="s">
        <v>9</v>
      </c>
      <c r="C959" s="391">
        <v>48</v>
      </c>
      <c r="D959" s="391" t="s">
        <v>10</v>
      </c>
      <c r="E959" s="391">
        <v>265</v>
      </c>
      <c r="F959" s="391" t="s">
        <v>1085</v>
      </c>
      <c r="G959" s="391" t="s">
        <v>39</v>
      </c>
      <c r="H959" s="391" t="s">
        <v>15</v>
      </c>
      <c r="I959" s="391">
        <v>20</v>
      </c>
      <c r="J959" s="392" t="s">
        <v>136</v>
      </c>
      <c r="K959" s="393">
        <f>(20*38)</f>
        <v>760</v>
      </c>
      <c r="L959" s="58"/>
      <c r="M959" s="58"/>
      <c r="N959" s="229"/>
      <c r="O959" s="186" t="s">
        <v>1403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>
      <c r="A960" s="390" t="s">
        <v>1381</v>
      </c>
      <c r="B960" s="391" t="s">
        <v>9</v>
      </c>
      <c r="C960" s="391">
        <v>48</v>
      </c>
      <c r="D960" s="391" t="s">
        <v>10</v>
      </c>
      <c r="E960" s="391">
        <v>403</v>
      </c>
      <c r="F960" s="391" t="s">
        <v>960</v>
      </c>
      <c r="G960" s="391" t="s">
        <v>99</v>
      </c>
      <c r="H960" s="391" t="s">
        <v>15</v>
      </c>
      <c r="I960" s="391">
        <v>20</v>
      </c>
      <c r="J960" s="392" t="s">
        <v>588</v>
      </c>
      <c r="K960" s="393">
        <f>(19*36)+(1*27.4)</f>
        <v>711.4</v>
      </c>
      <c r="L960" s="228" t="s">
        <v>1396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>
      <c r="A961" s="390" t="s">
        <v>1381</v>
      </c>
      <c r="B961" s="391" t="s">
        <v>9</v>
      </c>
      <c r="C961" s="391">
        <v>48</v>
      </c>
      <c r="D961" s="391" t="s">
        <v>10</v>
      </c>
      <c r="E961" s="391">
        <v>405</v>
      </c>
      <c r="F961" s="391" t="s">
        <v>1208</v>
      </c>
      <c r="G961" s="391" t="s">
        <v>99</v>
      </c>
      <c r="H961" s="391" t="s">
        <v>15</v>
      </c>
      <c r="I961" s="391">
        <v>20</v>
      </c>
      <c r="J961" s="392" t="s">
        <v>614</v>
      </c>
      <c r="K961" s="393">
        <f>(20*36)</f>
        <v>720</v>
      </c>
      <c r="L961" s="228" t="s">
        <v>1398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>
      <c r="A962" s="390" t="s">
        <v>1381</v>
      </c>
      <c r="B962" s="391" t="s">
        <v>9</v>
      </c>
      <c r="C962" s="391">
        <v>48</v>
      </c>
      <c r="D962" s="391" t="s">
        <v>10</v>
      </c>
      <c r="E962" s="391">
        <v>406</v>
      </c>
      <c r="F962" s="391" t="s">
        <v>1339</v>
      </c>
      <c r="G962" s="391" t="s">
        <v>99</v>
      </c>
      <c r="H962" s="391" t="s">
        <v>15</v>
      </c>
      <c r="I962" s="391">
        <v>20</v>
      </c>
      <c r="J962" s="392" t="s">
        <v>588</v>
      </c>
      <c r="K962" s="393">
        <f>(19*36)+(1*27.4)</f>
        <v>711.4</v>
      </c>
      <c r="L962" s="228" t="s">
        <v>1396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>
      <c r="A963" s="390" t="s">
        <v>1381</v>
      </c>
      <c r="B963" s="391" t="s">
        <v>9</v>
      </c>
      <c r="C963" s="391">
        <v>48</v>
      </c>
      <c r="D963" s="391" t="s">
        <v>10</v>
      </c>
      <c r="E963" s="391">
        <v>525</v>
      </c>
      <c r="F963" s="391" t="s">
        <v>1340</v>
      </c>
      <c r="G963" s="391" t="s">
        <v>138</v>
      </c>
      <c r="H963" s="391" t="s">
        <v>15</v>
      </c>
      <c r="I963" s="391">
        <v>15</v>
      </c>
      <c r="J963" s="392" t="s">
        <v>13</v>
      </c>
      <c r="K963" s="393">
        <f>(14*35)+(1*26.4)</f>
        <v>516.4</v>
      </c>
      <c r="L963" s="58"/>
      <c r="M963" s="58"/>
      <c r="N963" s="229"/>
      <c r="O963" s="186" t="s">
        <v>1402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>
      <c r="A964" s="390" t="s">
        <v>1381</v>
      </c>
      <c r="B964" s="391" t="s">
        <v>9</v>
      </c>
      <c r="C964" s="391">
        <v>48</v>
      </c>
      <c r="D964" s="391" t="s">
        <v>10</v>
      </c>
      <c r="E964" s="391">
        <v>566</v>
      </c>
      <c r="F964" s="391" t="s">
        <v>1341</v>
      </c>
      <c r="G964" s="391" t="s">
        <v>297</v>
      </c>
      <c r="H964" s="391" t="s">
        <v>15</v>
      </c>
      <c r="I964" s="391">
        <v>10</v>
      </c>
      <c r="J964" s="392" t="s">
        <v>26</v>
      </c>
      <c r="K964" s="393">
        <f>(9*38)+(1*29.4)</f>
        <v>371.4</v>
      </c>
      <c r="L964" s="228" t="s">
        <v>1396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>
      <c r="A965" s="390" t="s">
        <v>1381</v>
      </c>
      <c r="B965" s="391" t="s">
        <v>9</v>
      </c>
      <c r="C965" s="391">
        <v>48</v>
      </c>
      <c r="D965" s="391" t="s">
        <v>10</v>
      </c>
      <c r="E965" s="391">
        <v>570</v>
      </c>
      <c r="F965" s="391" t="s">
        <v>158</v>
      </c>
      <c r="G965" s="391" t="s">
        <v>297</v>
      </c>
      <c r="H965" s="391" t="s">
        <v>15</v>
      </c>
      <c r="I965" s="391">
        <v>15</v>
      </c>
      <c r="J965" s="392" t="s">
        <v>37</v>
      </c>
      <c r="K965" s="393">
        <f>(13*38)+(2*29.4)</f>
        <v>552.79999999999995</v>
      </c>
      <c r="L965" s="228" t="s">
        <v>1396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>
      <c r="A966" s="390" t="s">
        <v>1381</v>
      </c>
      <c r="B966" s="391" t="s">
        <v>9</v>
      </c>
      <c r="C966" s="391">
        <v>48</v>
      </c>
      <c r="D966" s="391" t="s">
        <v>10</v>
      </c>
      <c r="E966" s="391">
        <v>571</v>
      </c>
      <c r="F966" s="391" t="s">
        <v>559</v>
      </c>
      <c r="G966" s="391" t="s">
        <v>297</v>
      </c>
      <c r="H966" s="391" t="s">
        <v>15</v>
      </c>
      <c r="I966" s="391">
        <v>15</v>
      </c>
      <c r="J966" s="392" t="s">
        <v>37</v>
      </c>
      <c r="K966" s="393">
        <f>(13*38)+(2*29.4)</f>
        <v>552.79999999999995</v>
      </c>
      <c r="L966" s="228" t="s">
        <v>1398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>
      <c r="A967" s="390" t="s">
        <v>1381</v>
      </c>
      <c r="B967" s="391" t="s">
        <v>9</v>
      </c>
      <c r="C967" s="391">
        <v>48</v>
      </c>
      <c r="D967" s="391" t="s">
        <v>10</v>
      </c>
      <c r="E967" s="391">
        <v>878</v>
      </c>
      <c r="F967" s="391" t="s">
        <v>1342</v>
      </c>
      <c r="G967" s="391" t="s">
        <v>119</v>
      </c>
      <c r="H967" s="391" t="s">
        <v>15</v>
      </c>
      <c r="I967" s="391">
        <v>20</v>
      </c>
      <c r="J967" s="392" t="s">
        <v>33</v>
      </c>
      <c r="K967" s="393">
        <f>(19*26)+(1*17.4)</f>
        <v>511.4</v>
      </c>
      <c r="L967" s="228" t="s">
        <v>1396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thickBot="1">
      <c r="A968" s="390" t="s">
        <v>1381</v>
      </c>
      <c r="B968" s="394" t="s">
        <v>9</v>
      </c>
      <c r="C968" s="394">
        <v>48</v>
      </c>
      <c r="D968" s="394" t="s">
        <v>10</v>
      </c>
      <c r="E968" s="394">
        <v>901</v>
      </c>
      <c r="F968" s="394" t="s">
        <v>1343</v>
      </c>
      <c r="G968" s="394" t="s">
        <v>132</v>
      </c>
      <c r="H968" s="394" t="s">
        <v>15</v>
      </c>
      <c r="I968" s="394">
        <v>15</v>
      </c>
      <c r="J968" s="395" t="s">
        <v>13</v>
      </c>
      <c r="K968" s="396">
        <f>(14*35)+(1*26.4)</f>
        <v>516.4</v>
      </c>
      <c r="L968" s="228" t="s">
        <v>1396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>
      <c r="A969" s="390" t="s">
        <v>1381</v>
      </c>
      <c r="B969" s="387" t="s">
        <v>9</v>
      </c>
      <c r="C969" s="387">
        <v>48</v>
      </c>
      <c r="D969" s="387" t="s">
        <v>10</v>
      </c>
      <c r="E969" s="387">
        <v>902</v>
      </c>
      <c r="F969" s="387" t="s">
        <v>1109</v>
      </c>
      <c r="G969" s="387" t="s">
        <v>132</v>
      </c>
      <c r="H969" s="387" t="s">
        <v>15</v>
      </c>
      <c r="I969" s="387">
        <v>15</v>
      </c>
      <c r="J969" s="388" t="s">
        <v>13</v>
      </c>
      <c r="K969" s="389">
        <f>(14*35)+(1*26.4)</f>
        <v>516.4</v>
      </c>
      <c r="L969" s="228" t="s">
        <v>1398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>
      <c r="A970" s="390" t="s">
        <v>1381</v>
      </c>
      <c r="B970" s="391" t="s">
        <v>9</v>
      </c>
      <c r="C970" s="391">
        <v>48</v>
      </c>
      <c r="D970" s="391" t="s">
        <v>10</v>
      </c>
      <c r="E970" s="391">
        <v>906</v>
      </c>
      <c r="F970" s="391" t="s">
        <v>462</v>
      </c>
      <c r="G970" s="391" t="s">
        <v>132</v>
      </c>
      <c r="H970" s="391" t="s">
        <v>15</v>
      </c>
      <c r="I970" s="391">
        <v>20</v>
      </c>
      <c r="J970" s="392" t="s">
        <v>17</v>
      </c>
      <c r="K970" s="393">
        <f>(19*35)+(1*26.4)</f>
        <v>691.4</v>
      </c>
      <c r="L970" s="228" t="s">
        <v>1396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>
      <c r="A971" s="390" t="s">
        <v>1381</v>
      </c>
      <c r="B971" s="391" t="s">
        <v>9</v>
      </c>
      <c r="C971" s="391">
        <v>49</v>
      </c>
      <c r="D971" s="391" t="s">
        <v>7</v>
      </c>
      <c r="E971" s="391">
        <v>61</v>
      </c>
      <c r="F971" s="391" t="s">
        <v>217</v>
      </c>
      <c r="G971" s="391" t="s">
        <v>419</v>
      </c>
      <c r="H971" s="391" t="s">
        <v>15</v>
      </c>
      <c r="I971" s="391">
        <v>15</v>
      </c>
      <c r="J971" s="392" t="s">
        <v>14</v>
      </c>
      <c r="K971" s="393">
        <f>(14*38)+(1*29.4)</f>
        <v>561.4</v>
      </c>
      <c r="L971" s="58"/>
      <c r="M971" s="58"/>
      <c r="N971" s="229"/>
      <c r="O971" s="186" t="s">
        <v>1406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>
      <c r="A972" s="390" t="s">
        <v>1381</v>
      </c>
      <c r="B972" s="391" t="s">
        <v>9</v>
      </c>
      <c r="C972" s="391">
        <v>49</v>
      </c>
      <c r="D972" s="391" t="s">
        <v>7</v>
      </c>
      <c r="E972" s="391">
        <v>68</v>
      </c>
      <c r="F972" s="391" t="s">
        <v>694</v>
      </c>
      <c r="G972" s="391" t="s">
        <v>419</v>
      </c>
      <c r="H972" s="391" t="s">
        <v>15</v>
      </c>
      <c r="I972" s="391">
        <v>15</v>
      </c>
      <c r="J972" s="392" t="s">
        <v>14</v>
      </c>
      <c r="K972" s="393">
        <f>(14*38)+(1*29.4)</f>
        <v>561.4</v>
      </c>
      <c r="L972" s="58"/>
      <c r="M972" s="58"/>
      <c r="N972" s="229"/>
      <c r="O972" s="186"/>
      <c r="P972" s="21"/>
      <c r="Q972" s="187" t="s">
        <v>1407</v>
      </c>
      <c r="R972" s="22"/>
      <c r="S972" s="22"/>
      <c r="T972" s="23"/>
      <c r="U972" s="108" t="s">
        <v>1389</v>
      </c>
      <c r="V972" s="24">
        <v>15</v>
      </c>
      <c r="W972" s="315">
        <v>561.4</v>
      </c>
      <c r="X972" s="123">
        <v>0</v>
      </c>
      <c r="Y972" s="52"/>
      <c r="Z972" s="3"/>
    </row>
    <row r="973" spans="1:26">
      <c r="A973" s="390" t="s">
        <v>1381</v>
      </c>
      <c r="B973" s="391" t="s">
        <v>9</v>
      </c>
      <c r="C973" s="391">
        <v>49</v>
      </c>
      <c r="D973" s="391" t="s">
        <v>7</v>
      </c>
      <c r="E973" s="391">
        <v>102</v>
      </c>
      <c r="F973" s="391" t="s">
        <v>1316</v>
      </c>
      <c r="G973" s="391" t="s">
        <v>599</v>
      </c>
      <c r="H973" s="391" t="s">
        <v>15</v>
      </c>
      <c r="I973" s="391">
        <v>25</v>
      </c>
      <c r="J973" s="392" t="s">
        <v>281</v>
      </c>
      <c r="K973" s="393">
        <f>(24*38)+(1*29.4)</f>
        <v>941.4</v>
      </c>
      <c r="L973" s="58"/>
      <c r="M973" s="58"/>
      <c r="N973" s="229"/>
      <c r="O973" s="186" t="s">
        <v>1406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>
      <c r="A974" s="390" t="s">
        <v>1381</v>
      </c>
      <c r="B974" s="391" t="s">
        <v>9</v>
      </c>
      <c r="C974" s="391">
        <v>49</v>
      </c>
      <c r="D974" s="391" t="s">
        <v>7</v>
      </c>
      <c r="E974" s="391">
        <v>103</v>
      </c>
      <c r="F974" s="391" t="s">
        <v>260</v>
      </c>
      <c r="G974" s="391" t="s">
        <v>599</v>
      </c>
      <c r="H974" s="391" t="s">
        <v>15</v>
      </c>
      <c r="I974" s="391">
        <v>15</v>
      </c>
      <c r="J974" s="392" t="s">
        <v>93</v>
      </c>
      <c r="K974" s="393">
        <f>(15*38)</f>
        <v>570</v>
      </c>
      <c r="L974" s="58"/>
      <c r="M974" s="58"/>
      <c r="N974" s="229"/>
      <c r="O974" s="186" t="s">
        <v>1406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>
      <c r="A975" s="356" t="s">
        <v>1381</v>
      </c>
      <c r="B975" s="352" t="s">
        <v>9</v>
      </c>
      <c r="C975" s="352">
        <v>49</v>
      </c>
      <c r="D975" s="352" t="s">
        <v>7</v>
      </c>
      <c r="E975" s="358">
        <v>104</v>
      </c>
      <c r="F975" s="352" t="s">
        <v>755</v>
      </c>
      <c r="G975" s="352" t="s">
        <v>599</v>
      </c>
      <c r="H975" s="358" t="s">
        <v>15</v>
      </c>
      <c r="I975" s="358">
        <v>15</v>
      </c>
      <c r="J975" s="353" t="s">
        <v>14</v>
      </c>
      <c r="K975" s="357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>
      <c r="A976" s="356" t="s">
        <v>1381</v>
      </c>
      <c r="B976" s="352" t="s">
        <v>9</v>
      </c>
      <c r="C976" s="352">
        <v>49</v>
      </c>
      <c r="D976" s="352" t="s">
        <v>7</v>
      </c>
      <c r="E976" s="358">
        <v>105</v>
      </c>
      <c r="F976" s="352" t="s">
        <v>1346</v>
      </c>
      <c r="G976" s="352" t="s">
        <v>599</v>
      </c>
      <c r="H976" s="358" t="s">
        <v>15</v>
      </c>
      <c r="I976" s="358">
        <v>15</v>
      </c>
      <c r="J976" s="353" t="s">
        <v>14</v>
      </c>
      <c r="K976" s="357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>
      <c r="A977" s="390" t="s">
        <v>1381</v>
      </c>
      <c r="B977" s="391" t="s">
        <v>9</v>
      </c>
      <c r="C977" s="391">
        <v>49</v>
      </c>
      <c r="D977" s="391" t="s">
        <v>7</v>
      </c>
      <c r="E977" s="391">
        <v>157</v>
      </c>
      <c r="F977" s="391" t="s">
        <v>476</v>
      </c>
      <c r="G977" s="391" t="s">
        <v>292</v>
      </c>
      <c r="H977" s="391" t="s">
        <v>5</v>
      </c>
      <c r="I977" s="391">
        <v>20</v>
      </c>
      <c r="J977" s="392" t="s">
        <v>30</v>
      </c>
      <c r="K977" s="393">
        <f>(19*38)+(1*29.4)</f>
        <v>751.4</v>
      </c>
      <c r="L977" s="228"/>
      <c r="M977" s="58"/>
      <c r="N977" s="229"/>
      <c r="O977" s="186" t="s">
        <v>1406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>
      <c r="A978" s="390" t="s">
        <v>1381</v>
      </c>
      <c r="B978" s="391" t="s">
        <v>9</v>
      </c>
      <c r="C978" s="391">
        <v>49</v>
      </c>
      <c r="D978" s="391" t="s">
        <v>7</v>
      </c>
      <c r="E978" s="391">
        <v>212</v>
      </c>
      <c r="F978" s="391" t="s">
        <v>1347</v>
      </c>
      <c r="G978" s="391" t="s">
        <v>315</v>
      </c>
      <c r="H978" s="391" t="s">
        <v>15</v>
      </c>
      <c r="I978" s="391">
        <v>20</v>
      </c>
      <c r="J978" s="392" t="s">
        <v>17</v>
      </c>
      <c r="K978" s="393">
        <f>(19*35)+(1*26.4)</f>
        <v>691.4</v>
      </c>
      <c r="L978" s="58"/>
      <c r="M978" s="58"/>
      <c r="N978" s="229"/>
      <c r="O978" s="186" t="s">
        <v>1406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>
      <c r="A979" s="356" t="s">
        <v>1381</v>
      </c>
      <c r="B979" s="352" t="s">
        <v>9</v>
      </c>
      <c r="C979" s="352">
        <v>49</v>
      </c>
      <c r="D979" s="352" t="s">
        <v>7</v>
      </c>
      <c r="E979" s="358">
        <v>213</v>
      </c>
      <c r="F979" s="352" t="s">
        <v>1348</v>
      </c>
      <c r="G979" s="352" t="s">
        <v>315</v>
      </c>
      <c r="H979" s="358" t="s">
        <v>15</v>
      </c>
      <c r="I979" s="358">
        <v>20</v>
      </c>
      <c r="J979" s="353" t="s">
        <v>17</v>
      </c>
      <c r="K979" s="357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>
      <c r="A980" s="390" t="s">
        <v>1381</v>
      </c>
      <c r="B980" s="391" t="s">
        <v>9</v>
      </c>
      <c r="C980" s="391">
        <v>49</v>
      </c>
      <c r="D980" s="391" t="s">
        <v>7</v>
      </c>
      <c r="E980" s="391">
        <v>249</v>
      </c>
      <c r="F980" s="391" t="s">
        <v>327</v>
      </c>
      <c r="G980" s="391" t="s">
        <v>802</v>
      </c>
      <c r="H980" s="391" t="s">
        <v>5</v>
      </c>
      <c r="I980" s="391">
        <v>20</v>
      </c>
      <c r="J980" s="392" t="s">
        <v>30</v>
      </c>
      <c r="K980" s="393">
        <f>(19*38)+(1*29.4)</f>
        <v>751.4</v>
      </c>
      <c r="L980" s="58"/>
      <c r="M980" s="58"/>
      <c r="N980" s="229"/>
      <c r="O980" s="186" t="s">
        <v>1406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>
      <c r="A981" s="390" t="s">
        <v>1381</v>
      </c>
      <c r="B981" s="391" t="s">
        <v>9</v>
      </c>
      <c r="C981" s="391">
        <v>49</v>
      </c>
      <c r="D981" s="391" t="s">
        <v>7</v>
      </c>
      <c r="E981" s="391">
        <v>348</v>
      </c>
      <c r="F981" s="391" t="s">
        <v>428</v>
      </c>
      <c r="G981" s="391" t="s">
        <v>1144</v>
      </c>
      <c r="H981" s="391" t="s">
        <v>15</v>
      </c>
      <c r="I981" s="391">
        <v>20</v>
      </c>
      <c r="J981" s="392" t="s">
        <v>30</v>
      </c>
      <c r="K981" s="393">
        <f>(19*38)+(1*29.4)</f>
        <v>751.4</v>
      </c>
      <c r="L981" s="228" t="s">
        <v>1398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>
      <c r="A982" s="356" t="s">
        <v>1381</v>
      </c>
      <c r="B982" s="352" t="s">
        <v>9</v>
      </c>
      <c r="C982" s="352">
        <v>49</v>
      </c>
      <c r="D982" s="352" t="s">
        <v>7</v>
      </c>
      <c r="E982" s="358">
        <v>351</v>
      </c>
      <c r="F982" s="352" t="s">
        <v>817</v>
      </c>
      <c r="G982" s="352" t="s">
        <v>1144</v>
      </c>
      <c r="H982" s="358" t="s">
        <v>15</v>
      </c>
      <c r="I982" s="358">
        <v>25</v>
      </c>
      <c r="J982" s="353" t="s">
        <v>143</v>
      </c>
      <c r="K982" s="357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>
      <c r="A983" s="356" t="s">
        <v>1381</v>
      </c>
      <c r="B983" s="352" t="s">
        <v>9</v>
      </c>
      <c r="C983" s="352">
        <v>49</v>
      </c>
      <c r="D983" s="352" t="s">
        <v>7</v>
      </c>
      <c r="E983" s="358">
        <v>355</v>
      </c>
      <c r="F983" s="352" t="s">
        <v>384</v>
      </c>
      <c r="G983" s="352" t="s">
        <v>1144</v>
      </c>
      <c r="H983" s="358" t="s">
        <v>15</v>
      </c>
      <c r="I983" s="358">
        <v>15</v>
      </c>
      <c r="J983" s="353" t="s">
        <v>93</v>
      </c>
      <c r="K983" s="357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>
      <c r="A984" s="356" t="s">
        <v>1381</v>
      </c>
      <c r="B984" s="352" t="s">
        <v>9</v>
      </c>
      <c r="C984" s="352">
        <v>49</v>
      </c>
      <c r="D984" s="352" t="s">
        <v>7</v>
      </c>
      <c r="E984" s="358">
        <v>402</v>
      </c>
      <c r="F984" s="352" t="s">
        <v>742</v>
      </c>
      <c r="G984" s="352" t="s">
        <v>113</v>
      </c>
      <c r="H984" s="358" t="s">
        <v>5</v>
      </c>
      <c r="I984" s="358">
        <v>15</v>
      </c>
      <c r="J984" s="353" t="s">
        <v>13</v>
      </c>
      <c r="K984" s="357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>
      <c r="A985" s="356" t="s">
        <v>1381</v>
      </c>
      <c r="B985" s="352" t="s">
        <v>9</v>
      </c>
      <c r="C985" s="352">
        <v>49</v>
      </c>
      <c r="D985" s="352" t="s">
        <v>7</v>
      </c>
      <c r="E985" s="358">
        <v>406</v>
      </c>
      <c r="F985" s="352" t="s">
        <v>77</v>
      </c>
      <c r="G985" s="352" t="s">
        <v>113</v>
      </c>
      <c r="H985" s="358" t="s">
        <v>15</v>
      </c>
      <c r="I985" s="358">
        <v>15</v>
      </c>
      <c r="J985" s="353" t="s">
        <v>13</v>
      </c>
      <c r="K985" s="357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>
      <c r="A986" s="356" t="s">
        <v>1381</v>
      </c>
      <c r="B986" s="352" t="s">
        <v>9</v>
      </c>
      <c r="C986" s="352">
        <v>49</v>
      </c>
      <c r="D986" s="352" t="s">
        <v>7</v>
      </c>
      <c r="E986" s="358">
        <v>413</v>
      </c>
      <c r="F986" s="352" t="s">
        <v>1349</v>
      </c>
      <c r="G986" s="352" t="s">
        <v>187</v>
      </c>
      <c r="H986" s="358" t="s">
        <v>15</v>
      </c>
      <c r="I986" s="358">
        <v>15</v>
      </c>
      <c r="J986" s="353" t="s">
        <v>13</v>
      </c>
      <c r="K986" s="357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>
      <c r="A987" s="356" t="s">
        <v>1381</v>
      </c>
      <c r="B987" s="352" t="s">
        <v>9</v>
      </c>
      <c r="C987" s="352">
        <v>49</v>
      </c>
      <c r="D987" s="352" t="s">
        <v>7</v>
      </c>
      <c r="E987" s="358">
        <v>435</v>
      </c>
      <c r="F987" s="352" t="s">
        <v>702</v>
      </c>
      <c r="G987" s="352" t="s">
        <v>177</v>
      </c>
      <c r="H987" s="358" t="s">
        <v>15</v>
      </c>
      <c r="I987" s="358">
        <v>15</v>
      </c>
      <c r="J987" s="353" t="s">
        <v>13</v>
      </c>
      <c r="K987" s="357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>
      <c r="A988" s="356" t="s">
        <v>1381</v>
      </c>
      <c r="B988" s="352" t="s">
        <v>9</v>
      </c>
      <c r="C988" s="352">
        <v>49</v>
      </c>
      <c r="D988" s="352" t="s">
        <v>7</v>
      </c>
      <c r="E988" s="358">
        <v>437</v>
      </c>
      <c r="F988" s="352" t="s">
        <v>409</v>
      </c>
      <c r="G988" s="352" t="s">
        <v>177</v>
      </c>
      <c r="H988" s="358" t="s">
        <v>15</v>
      </c>
      <c r="I988" s="358">
        <v>15</v>
      </c>
      <c r="J988" s="353" t="s">
        <v>13</v>
      </c>
      <c r="K988" s="357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>
      <c r="A989" s="356" t="s">
        <v>1381</v>
      </c>
      <c r="B989" s="352" t="s">
        <v>9</v>
      </c>
      <c r="C989" s="352">
        <v>49</v>
      </c>
      <c r="D989" s="352" t="s">
        <v>7</v>
      </c>
      <c r="E989" s="358">
        <v>438</v>
      </c>
      <c r="F989" s="352" t="s">
        <v>392</v>
      </c>
      <c r="G989" s="352" t="s">
        <v>177</v>
      </c>
      <c r="H989" s="358" t="s">
        <v>15</v>
      </c>
      <c r="I989" s="358">
        <v>15</v>
      </c>
      <c r="J989" s="353" t="s">
        <v>13</v>
      </c>
      <c r="K989" s="357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>
      <c r="A990" s="356" t="s">
        <v>1381</v>
      </c>
      <c r="B990" s="352" t="s">
        <v>9</v>
      </c>
      <c r="C990" s="352">
        <v>49</v>
      </c>
      <c r="D990" s="352" t="s">
        <v>7</v>
      </c>
      <c r="E990" s="358">
        <v>486</v>
      </c>
      <c r="F990" s="352" t="s">
        <v>977</v>
      </c>
      <c r="G990" s="352" t="s">
        <v>604</v>
      </c>
      <c r="H990" s="358" t="s">
        <v>15</v>
      </c>
      <c r="I990" s="358">
        <v>15</v>
      </c>
      <c r="J990" s="353" t="s">
        <v>14</v>
      </c>
      <c r="K990" s="357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>
      <c r="A991" s="356" t="s">
        <v>1381</v>
      </c>
      <c r="B991" s="352" t="s">
        <v>9</v>
      </c>
      <c r="C991" s="352">
        <v>49</v>
      </c>
      <c r="D991" s="352" t="s">
        <v>7</v>
      </c>
      <c r="E991" s="358">
        <v>487</v>
      </c>
      <c r="F991" s="352" t="s">
        <v>1134</v>
      </c>
      <c r="G991" s="352" t="s">
        <v>604</v>
      </c>
      <c r="H991" s="358" t="s">
        <v>15</v>
      </c>
      <c r="I991" s="358">
        <v>20</v>
      </c>
      <c r="J991" s="353" t="s">
        <v>136</v>
      </c>
      <c r="K991" s="357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>
      <c r="A992" s="356" t="s">
        <v>1381</v>
      </c>
      <c r="B992" s="352" t="s">
        <v>9</v>
      </c>
      <c r="C992" s="352">
        <v>49</v>
      </c>
      <c r="D992" s="352" t="s">
        <v>7</v>
      </c>
      <c r="E992" s="358">
        <v>587</v>
      </c>
      <c r="F992" s="352" t="s">
        <v>701</v>
      </c>
      <c r="G992" s="352" t="s">
        <v>41</v>
      </c>
      <c r="H992" s="358" t="s">
        <v>15</v>
      </c>
      <c r="I992" s="358">
        <v>35</v>
      </c>
      <c r="J992" s="353" t="s">
        <v>568</v>
      </c>
      <c r="K992" s="357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>
      <c r="A993" s="356" t="s">
        <v>1381</v>
      </c>
      <c r="B993" s="352" t="s">
        <v>9</v>
      </c>
      <c r="C993" s="352">
        <v>49</v>
      </c>
      <c r="D993" s="352" t="s">
        <v>7</v>
      </c>
      <c r="E993" s="358">
        <v>613</v>
      </c>
      <c r="F993" s="352" t="s">
        <v>1350</v>
      </c>
      <c r="G993" s="352" t="s">
        <v>711</v>
      </c>
      <c r="H993" s="358" t="s">
        <v>15</v>
      </c>
      <c r="I993" s="358">
        <v>20</v>
      </c>
      <c r="J993" s="353" t="s">
        <v>33</v>
      </c>
      <c r="K993" s="357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>
      <c r="A994" s="356" t="s">
        <v>1381</v>
      </c>
      <c r="B994" s="352" t="s">
        <v>9</v>
      </c>
      <c r="C994" s="352">
        <v>49</v>
      </c>
      <c r="D994" s="352" t="s">
        <v>7</v>
      </c>
      <c r="E994" s="358">
        <v>614</v>
      </c>
      <c r="F994" s="352" t="s">
        <v>1351</v>
      </c>
      <c r="G994" s="352" t="s">
        <v>711</v>
      </c>
      <c r="H994" s="358" t="s">
        <v>15</v>
      </c>
      <c r="I994" s="358">
        <v>20</v>
      </c>
      <c r="J994" s="353" t="s">
        <v>33</v>
      </c>
      <c r="K994" s="357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>
      <c r="A995" s="356" t="s">
        <v>1381</v>
      </c>
      <c r="B995" s="352" t="s">
        <v>9</v>
      </c>
      <c r="C995" s="352">
        <v>49</v>
      </c>
      <c r="D995" s="352" t="s">
        <v>7</v>
      </c>
      <c r="E995" s="358">
        <v>789</v>
      </c>
      <c r="F995" s="352" t="s">
        <v>1352</v>
      </c>
      <c r="G995" s="352" t="s">
        <v>329</v>
      </c>
      <c r="H995" s="358" t="s">
        <v>15</v>
      </c>
      <c r="I995" s="358">
        <v>15</v>
      </c>
      <c r="J995" s="353" t="s">
        <v>14</v>
      </c>
      <c r="K995" s="357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>
      <c r="A996" s="356" t="s">
        <v>1381</v>
      </c>
      <c r="B996" s="352" t="s">
        <v>9</v>
      </c>
      <c r="C996" s="352">
        <v>49</v>
      </c>
      <c r="D996" s="352" t="s">
        <v>174</v>
      </c>
      <c r="E996" s="358">
        <v>16</v>
      </c>
      <c r="F996" s="352" t="s">
        <v>1353</v>
      </c>
      <c r="G996" s="352" t="s">
        <v>290</v>
      </c>
      <c r="H996" s="358" t="s">
        <v>5</v>
      </c>
      <c r="I996" s="358">
        <v>15</v>
      </c>
      <c r="J996" s="353" t="s">
        <v>13</v>
      </c>
      <c r="K996" s="357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>
      <c r="A997" s="356" t="s">
        <v>1381</v>
      </c>
      <c r="B997" s="352" t="s">
        <v>9</v>
      </c>
      <c r="C997" s="352">
        <v>49</v>
      </c>
      <c r="D997" s="352" t="s">
        <v>174</v>
      </c>
      <c r="E997" s="358">
        <v>17</v>
      </c>
      <c r="F997" s="352" t="s">
        <v>936</v>
      </c>
      <c r="G997" s="352" t="s">
        <v>290</v>
      </c>
      <c r="H997" s="358" t="s">
        <v>5</v>
      </c>
      <c r="I997" s="358">
        <v>15</v>
      </c>
      <c r="J997" s="353" t="s">
        <v>13</v>
      </c>
      <c r="K997" s="357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>
      <c r="A998" s="390" t="s">
        <v>1381</v>
      </c>
      <c r="B998" s="391" t="s">
        <v>9</v>
      </c>
      <c r="C998" s="391">
        <v>49</v>
      </c>
      <c r="D998" s="391" t="s">
        <v>10</v>
      </c>
      <c r="E998" s="391">
        <v>99</v>
      </c>
      <c r="F998" s="391" t="s">
        <v>843</v>
      </c>
      <c r="G998" s="391" t="s">
        <v>38</v>
      </c>
      <c r="H998" s="391" t="s">
        <v>15</v>
      </c>
      <c r="I998" s="391">
        <v>20</v>
      </c>
      <c r="J998" s="392" t="s">
        <v>17</v>
      </c>
      <c r="K998" s="393">
        <f>(19*35)+(1*26.4)</f>
        <v>691.4</v>
      </c>
      <c r="L998" s="228" t="s">
        <v>1398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>
      <c r="A999" s="356" t="s">
        <v>1381</v>
      </c>
      <c r="B999" s="352" t="s">
        <v>9</v>
      </c>
      <c r="C999" s="352">
        <v>49</v>
      </c>
      <c r="D999" s="352" t="s">
        <v>10</v>
      </c>
      <c r="E999" s="358">
        <v>102</v>
      </c>
      <c r="F999" s="352" t="s">
        <v>199</v>
      </c>
      <c r="G999" s="352" t="s">
        <v>38</v>
      </c>
      <c r="H999" s="358" t="s">
        <v>15</v>
      </c>
      <c r="I999" s="358">
        <v>15</v>
      </c>
      <c r="J999" s="353" t="s">
        <v>137</v>
      </c>
      <c r="K999" s="357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>
      <c r="A1000" s="390" t="s">
        <v>1381</v>
      </c>
      <c r="B1000" s="391" t="s">
        <v>9</v>
      </c>
      <c r="C1000" s="391">
        <v>49</v>
      </c>
      <c r="D1000" s="391" t="s">
        <v>10</v>
      </c>
      <c r="E1000" s="391">
        <v>142</v>
      </c>
      <c r="F1000" s="391" t="s">
        <v>195</v>
      </c>
      <c r="G1000" s="391" t="s">
        <v>468</v>
      </c>
      <c r="H1000" s="391" t="s">
        <v>15</v>
      </c>
      <c r="I1000" s="391">
        <v>20</v>
      </c>
      <c r="J1000" s="392" t="s">
        <v>614</v>
      </c>
      <c r="K1000" s="393">
        <f>(20*36)</f>
        <v>720</v>
      </c>
      <c r="L1000" s="58"/>
      <c r="M1000" s="58"/>
      <c r="N1000" s="229"/>
      <c r="O1000" s="186" t="s">
        <v>1406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>
      <c r="A1001" s="390" t="s">
        <v>1381</v>
      </c>
      <c r="B1001" s="391" t="s">
        <v>9</v>
      </c>
      <c r="C1001" s="391">
        <v>49</v>
      </c>
      <c r="D1001" s="391" t="s">
        <v>10</v>
      </c>
      <c r="E1001" s="391">
        <v>201</v>
      </c>
      <c r="F1001" s="391" t="s">
        <v>1083</v>
      </c>
      <c r="G1001" s="391" t="s">
        <v>39</v>
      </c>
      <c r="H1001" s="391" t="s">
        <v>5</v>
      </c>
      <c r="I1001" s="391">
        <v>15</v>
      </c>
      <c r="J1001" s="392" t="s">
        <v>14</v>
      </c>
      <c r="K1001" s="393">
        <f>(14*38)+(1*29.4)</f>
        <v>561.4</v>
      </c>
      <c r="L1001" s="58"/>
      <c r="M1001" s="58"/>
      <c r="N1001" s="229"/>
      <c r="O1001" s="186" t="s">
        <v>1403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>
      <c r="A1002" s="356" t="s">
        <v>1381</v>
      </c>
      <c r="B1002" s="352" t="s">
        <v>9</v>
      </c>
      <c r="C1002" s="352">
        <v>49</v>
      </c>
      <c r="D1002" s="352" t="s">
        <v>10</v>
      </c>
      <c r="E1002" s="358">
        <v>202</v>
      </c>
      <c r="F1002" s="352" t="s">
        <v>1354</v>
      </c>
      <c r="G1002" s="352" t="s">
        <v>39</v>
      </c>
      <c r="H1002" s="358" t="s">
        <v>5</v>
      </c>
      <c r="I1002" s="358">
        <v>15</v>
      </c>
      <c r="J1002" s="353" t="s">
        <v>93</v>
      </c>
      <c r="K1002" s="357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>
      <c r="A1003" s="356" t="s">
        <v>1381</v>
      </c>
      <c r="B1003" s="352" t="s">
        <v>9</v>
      </c>
      <c r="C1003" s="352">
        <v>49</v>
      </c>
      <c r="D1003" s="352" t="s">
        <v>10</v>
      </c>
      <c r="E1003" s="358">
        <v>249</v>
      </c>
      <c r="F1003" s="352" t="s">
        <v>219</v>
      </c>
      <c r="G1003" s="352" t="s">
        <v>187</v>
      </c>
      <c r="H1003" s="358" t="s">
        <v>15</v>
      </c>
      <c r="I1003" s="358">
        <v>15</v>
      </c>
      <c r="J1003" s="353" t="s">
        <v>13</v>
      </c>
      <c r="K1003" s="357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>
      <c r="A1004" s="390" t="s">
        <v>1381</v>
      </c>
      <c r="B1004" s="391" t="s">
        <v>9</v>
      </c>
      <c r="C1004" s="391">
        <v>49</v>
      </c>
      <c r="D1004" s="391" t="s">
        <v>10</v>
      </c>
      <c r="E1004" s="391">
        <v>303</v>
      </c>
      <c r="F1004" s="391" t="s">
        <v>1355</v>
      </c>
      <c r="G1004" s="391" t="s">
        <v>99</v>
      </c>
      <c r="H1004" s="391" t="s">
        <v>5</v>
      </c>
      <c r="I1004" s="391">
        <v>20</v>
      </c>
      <c r="J1004" s="392" t="s">
        <v>22</v>
      </c>
      <c r="K1004" s="393">
        <f>(18*35)+(2*26.4)</f>
        <v>682.8</v>
      </c>
      <c r="L1004" s="228" t="s">
        <v>1398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>
      <c r="A1005" s="356" t="s">
        <v>1381</v>
      </c>
      <c r="B1005" s="352" t="s">
        <v>9</v>
      </c>
      <c r="C1005" s="352">
        <v>49</v>
      </c>
      <c r="D1005" s="352" t="s">
        <v>10</v>
      </c>
      <c r="E1005" s="358">
        <v>304</v>
      </c>
      <c r="F1005" s="352" t="s">
        <v>1332</v>
      </c>
      <c r="G1005" s="352" t="s">
        <v>99</v>
      </c>
      <c r="H1005" s="358" t="s">
        <v>5</v>
      </c>
      <c r="I1005" s="358">
        <v>15</v>
      </c>
      <c r="J1005" s="353" t="s">
        <v>34</v>
      </c>
      <c r="K1005" s="357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>
      <c r="A1006" s="390" t="s">
        <v>1381</v>
      </c>
      <c r="B1006" s="391" t="s">
        <v>9</v>
      </c>
      <c r="C1006" s="391">
        <v>49</v>
      </c>
      <c r="D1006" s="391" t="s">
        <v>10</v>
      </c>
      <c r="E1006" s="391">
        <v>310</v>
      </c>
      <c r="F1006" s="391" t="s">
        <v>1356</v>
      </c>
      <c r="G1006" s="391" t="s">
        <v>99</v>
      </c>
      <c r="H1006" s="391" t="s">
        <v>15</v>
      </c>
      <c r="I1006" s="391">
        <v>25</v>
      </c>
      <c r="J1006" s="392" t="s">
        <v>615</v>
      </c>
      <c r="K1006" s="393">
        <f>(25*36)</f>
        <v>900</v>
      </c>
      <c r="L1006" s="228" t="s">
        <v>1398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thickBot="1">
      <c r="A1007" s="390" t="s">
        <v>1381</v>
      </c>
      <c r="B1007" s="394" t="s">
        <v>9</v>
      </c>
      <c r="C1007" s="394">
        <v>49</v>
      </c>
      <c r="D1007" s="394" t="s">
        <v>10</v>
      </c>
      <c r="E1007" s="394">
        <v>346</v>
      </c>
      <c r="F1007" s="394" t="s">
        <v>1357</v>
      </c>
      <c r="G1007" s="394" t="s">
        <v>85</v>
      </c>
      <c r="H1007" s="394" t="s">
        <v>15</v>
      </c>
      <c r="I1007" s="394">
        <v>20</v>
      </c>
      <c r="J1007" s="395" t="s">
        <v>33</v>
      </c>
      <c r="K1007" s="396">
        <f>(19*26)+(1*17.4)</f>
        <v>511.4</v>
      </c>
      <c r="L1007" s="228" t="s">
        <v>1398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>
      <c r="A1008" s="390" t="s">
        <v>1381</v>
      </c>
      <c r="B1008" s="387" t="s">
        <v>9</v>
      </c>
      <c r="C1008" s="387">
        <v>49</v>
      </c>
      <c r="D1008" s="387" t="s">
        <v>10</v>
      </c>
      <c r="E1008" s="387">
        <v>347</v>
      </c>
      <c r="F1008" s="387" t="s">
        <v>1358</v>
      </c>
      <c r="G1008" s="387" t="s">
        <v>85</v>
      </c>
      <c r="H1008" s="387" t="s">
        <v>15</v>
      </c>
      <c r="I1008" s="387">
        <v>20</v>
      </c>
      <c r="J1008" s="388" t="s">
        <v>33</v>
      </c>
      <c r="K1008" s="389">
        <f>(19*26)+(1*17.4)</f>
        <v>511.4</v>
      </c>
      <c r="L1008" s="228" t="s">
        <v>1398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>
      <c r="A1009" s="390" t="s">
        <v>1381</v>
      </c>
      <c r="B1009" s="391" t="s">
        <v>9</v>
      </c>
      <c r="C1009" s="391">
        <v>49</v>
      </c>
      <c r="D1009" s="391" t="s">
        <v>10</v>
      </c>
      <c r="E1009" s="391">
        <v>361</v>
      </c>
      <c r="F1009" s="391" t="s">
        <v>1359</v>
      </c>
      <c r="G1009" s="391" t="s">
        <v>644</v>
      </c>
      <c r="H1009" s="391" t="s">
        <v>15</v>
      </c>
      <c r="I1009" s="391">
        <v>20</v>
      </c>
      <c r="J1009" s="392" t="s">
        <v>17</v>
      </c>
      <c r="K1009" s="393">
        <f>(19*35)+(1*26.4)</f>
        <v>691.4</v>
      </c>
      <c r="L1009" s="58"/>
      <c r="M1009" s="58"/>
      <c r="N1009" s="229"/>
      <c r="O1009" s="186" t="s">
        <v>1403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>
      <c r="A1010" s="390" t="s">
        <v>1381</v>
      </c>
      <c r="B1010" s="391" t="s">
        <v>9</v>
      </c>
      <c r="C1010" s="391">
        <v>49</v>
      </c>
      <c r="D1010" s="391" t="s">
        <v>10</v>
      </c>
      <c r="E1010" s="391">
        <v>362</v>
      </c>
      <c r="F1010" s="391" t="s">
        <v>1360</v>
      </c>
      <c r="G1010" s="391" t="s">
        <v>644</v>
      </c>
      <c r="H1010" s="391" t="s">
        <v>15</v>
      </c>
      <c r="I1010" s="391">
        <v>20</v>
      </c>
      <c r="J1010" s="392" t="s">
        <v>17</v>
      </c>
      <c r="K1010" s="393">
        <f>(19*35)+(1*26.4)</f>
        <v>691.4</v>
      </c>
      <c r="L1010" s="58"/>
      <c r="M1010" s="58"/>
      <c r="N1010" s="229"/>
      <c r="O1010" s="186" t="s">
        <v>1406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>
      <c r="A1011" s="390" t="s">
        <v>1381</v>
      </c>
      <c r="B1011" s="391" t="s">
        <v>9</v>
      </c>
      <c r="C1011" s="391">
        <v>49</v>
      </c>
      <c r="D1011" s="391" t="s">
        <v>10</v>
      </c>
      <c r="E1011" s="391">
        <v>376</v>
      </c>
      <c r="F1011" s="391" t="s">
        <v>1361</v>
      </c>
      <c r="G1011" s="391" t="s">
        <v>644</v>
      </c>
      <c r="H1011" s="391" t="s">
        <v>15</v>
      </c>
      <c r="I1011" s="391">
        <v>20</v>
      </c>
      <c r="J1011" s="392" t="s">
        <v>17</v>
      </c>
      <c r="K1011" s="393">
        <f>(19*35)+(1*26.4)</f>
        <v>691.4</v>
      </c>
      <c r="L1011" s="228" t="s">
        <v>1398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>
      <c r="A1012" s="390" t="s">
        <v>1381</v>
      </c>
      <c r="B1012" s="391" t="s">
        <v>9</v>
      </c>
      <c r="C1012" s="391">
        <v>49</v>
      </c>
      <c r="D1012" s="391" t="s">
        <v>10</v>
      </c>
      <c r="E1012" s="391">
        <v>377</v>
      </c>
      <c r="F1012" s="391" t="s">
        <v>1362</v>
      </c>
      <c r="G1012" s="391" t="s">
        <v>644</v>
      </c>
      <c r="H1012" s="391" t="s">
        <v>15</v>
      </c>
      <c r="I1012" s="391">
        <v>20</v>
      </c>
      <c r="J1012" s="392" t="s">
        <v>17</v>
      </c>
      <c r="K1012" s="393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1389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>
      <c r="A1013" s="356" t="s">
        <v>1381</v>
      </c>
      <c r="B1013" s="352" t="s">
        <v>9</v>
      </c>
      <c r="C1013" s="352">
        <v>49</v>
      </c>
      <c r="D1013" s="352" t="s">
        <v>10</v>
      </c>
      <c r="E1013" s="358">
        <v>378</v>
      </c>
      <c r="F1013" s="352" t="s">
        <v>1363</v>
      </c>
      <c r="G1013" s="352" t="s">
        <v>644</v>
      </c>
      <c r="H1013" s="358" t="s">
        <v>15</v>
      </c>
      <c r="I1013" s="358">
        <v>20</v>
      </c>
      <c r="J1013" s="353" t="s">
        <v>17</v>
      </c>
      <c r="K1013" s="357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>
      <c r="A1014" s="390" t="s">
        <v>1381</v>
      </c>
      <c r="B1014" s="391" t="s">
        <v>9</v>
      </c>
      <c r="C1014" s="391">
        <v>49</v>
      </c>
      <c r="D1014" s="391" t="s">
        <v>10</v>
      </c>
      <c r="E1014" s="391">
        <v>421</v>
      </c>
      <c r="F1014" s="391" t="s">
        <v>976</v>
      </c>
      <c r="G1014" s="391" t="s">
        <v>127</v>
      </c>
      <c r="H1014" s="391" t="s">
        <v>5</v>
      </c>
      <c r="I1014" s="391">
        <v>14</v>
      </c>
      <c r="J1014" s="392" t="s">
        <v>150</v>
      </c>
      <c r="K1014" s="393">
        <f>(14*35)</f>
        <v>490</v>
      </c>
      <c r="L1014" s="228" t="s">
        <v>1398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>
      <c r="A1015" s="390" t="s">
        <v>1381</v>
      </c>
      <c r="B1015" s="391" t="s">
        <v>9</v>
      </c>
      <c r="C1015" s="391">
        <v>49</v>
      </c>
      <c r="D1015" s="391" t="s">
        <v>10</v>
      </c>
      <c r="E1015" s="391">
        <v>422</v>
      </c>
      <c r="F1015" s="391" t="s">
        <v>1364</v>
      </c>
      <c r="G1015" s="391" t="s">
        <v>127</v>
      </c>
      <c r="H1015" s="391" t="s">
        <v>15</v>
      </c>
      <c r="I1015" s="391">
        <v>20</v>
      </c>
      <c r="J1015" s="392" t="s">
        <v>17</v>
      </c>
      <c r="K1015" s="393">
        <f>(19*35)+(1*26.4)</f>
        <v>691.4</v>
      </c>
      <c r="L1015" s="228" t="s">
        <v>1398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>
      <c r="A1016" s="390" t="s">
        <v>1381</v>
      </c>
      <c r="B1016" s="391" t="s">
        <v>9</v>
      </c>
      <c r="C1016" s="391">
        <v>49</v>
      </c>
      <c r="D1016" s="391" t="s">
        <v>10</v>
      </c>
      <c r="E1016" s="391">
        <v>436</v>
      </c>
      <c r="F1016" s="391" t="s">
        <v>1365</v>
      </c>
      <c r="G1016" s="391" t="s">
        <v>138</v>
      </c>
      <c r="H1016" s="391" t="s">
        <v>5</v>
      </c>
      <c r="I1016" s="391">
        <v>15</v>
      </c>
      <c r="J1016" s="392" t="s">
        <v>13</v>
      </c>
      <c r="K1016" s="393">
        <f>(14*35)+(1*26.4)</f>
        <v>516.4</v>
      </c>
      <c r="L1016" s="228" t="s">
        <v>1398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>
      <c r="A1017" s="390" t="s">
        <v>1381</v>
      </c>
      <c r="B1017" s="391" t="s">
        <v>9</v>
      </c>
      <c r="C1017" s="391">
        <v>49</v>
      </c>
      <c r="D1017" s="391" t="s">
        <v>10</v>
      </c>
      <c r="E1017" s="391">
        <v>437</v>
      </c>
      <c r="F1017" s="391" t="s">
        <v>75</v>
      </c>
      <c r="G1017" s="391" t="s">
        <v>138</v>
      </c>
      <c r="H1017" s="391" t="s">
        <v>5</v>
      </c>
      <c r="I1017" s="391">
        <v>30</v>
      </c>
      <c r="J1017" s="392" t="s">
        <v>12</v>
      </c>
      <c r="K1017" s="393">
        <f>(29*35)+(1*26.4)</f>
        <v>1041.4000000000001</v>
      </c>
      <c r="L1017" s="228" t="s">
        <v>1398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>
      <c r="A1018" s="390" t="s">
        <v>1381</v>
      </c>
      <c r="B1018" s="391" t="s">
        <v>9</v>
      </c>
      <c r="C1018" s="391">
        <v>49</v>
      </c>
      <c r="D1018" s="391" t="s">
        <v>10</v>
      </c>
      <c r="E1018" s="391">
        <v>438</v>
      </c>
      <c r="F1018" s="391" t="s">
        <v>1366</v>
      </c>
      <c r="G1018" s="391" t="s">
        <v>138</v>
      </c>
      <c r="H1018" s="391" t="s">
        <v>5</v>
      </c>
      <c r="I1018" s="391">
        <v>20</v>
      </c>
      <c r="J1018" s="392" t="s">
        <v>17</v>
      </c>
      <c r="K1018" s="393">
        <f>(19*35)+(1*26.4)</f>
        <v>691.4</v>
      </c>
      <c r="L1018" s="228" t="s">
        <v>1398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>
      <c r="A1019" s="356" t="s">
        <v>1381</v>
      </c>
      <c r="B1019" s="352" t="s">
        <v>9</v>
      </c>
      <c r="C1019" s="352">
        <v>49</v>
      </c>
      <c r="D1019" s="352" t="s">
        <v>10</v>
      </c>
      <c r="E1019" s="358">
        <v>439</v>
      </c>
      <c r="F1019" s="352" t="s">
        <v>1367</v>
      </c>
      <c r="G1019" s="352" t="s">
        <v>138</v>
      </c>
      <c r="H1019" s="358" t="s">
        <v>5</v>
      </c>
      <c r="I1019" s="358">
        <v>20</v>
      </c>
      <c r="J1019" s="353" t="s">
        <v>17</v>
      </c>
      <c r="K1019" s="357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>
      <c r="A1020" s="356" t="s">
        <v>1381</v>
      </c>
      <c r="B1020" s="352" t="s">
        <v>9</v>
      </c>
      <c r="C1020" s="352">
        <v>49</v>
      </c>
      <c r="D1020" s="352" t="s">
        <v>10</v>
      </c>
      <c r="E1020" s="358">
        <v>442</v>
      </c>
      <c r="F1020" s="352" t="s">
        <v>1368</v>
      </c>
      <c r="G1020" s="352" t="s">
        <v>138</v>
      </c>
      <c r="H1020" s="358" t="s">
        <v>15</v>
      </c>
      <c r="I1020" s="358">
        <v>15</v>
      </c>
      <c r="J1020" s="353" t="s">
        <v>13</v>
      </c>
      <c r="K1020" s="357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>
      <c r="A1021" s="390" t="s">
        <v>1381</v>
      </c>
      <c r="B1021" s="391" t="s">
        <v>9</v>
      </c>
      <c r="C1021" s="391">
        <v>49</v>
      </c>
      <c r="D1021" s="391" t="s">
        <v>10</v>
      </c>
      <c r="E1021" s="391">
        <v>443</v>
      </c>
      <c r="F1021" s="391" t="s">
        <v>477</v>
      </c>
      <c r="G1021" s="391" t="s">
        <v>138</v>
      </c>
      <c r="H1021" s="391" t="s">
        <v>15</v>
      </c>
      <c r="I1021" s="391">
        <v>25</v>
      </c>
      <c r="J1021" s="392" t="s">
        <v>103</v>
      </c>
      <c r="K1021" s="393">
        <f>(24*35)+(1*26.4)</f>
        <v>866.4</v>
      </c>
      <c r="L1021" s="58"/>
      <c r="M1021" s="58"/>
      <c r="N1021" s="229"/>
      <c r="O1021" s="186" t="s">
        <v>1403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>
      <c r="A1022" s="356" t="s">
        <v>1381</v>
      </c>
      <c r="B1022" s="352" t="s">
        <v>9</v>
      </c>
      <c r="C1022" s="352">
        <v>49</v>
      </c>
      <c r="D1022" s="352" t="s">
        <v>10</v>
      </c>
      <c r="E1022" s="358">
        <v>444</v>
      </c>
      <c r="F1022" s="352" t="s">
        <v>230</v>
      </c>
      <c r="G1022" s="352" t="s">
        <v>138</v>
      </c>
      <c r="H1022" s="358" t="s">
        <v>15</v>
      </c>
      <c r="I1022" s="358">
        <v>15</v>
      </c>
      <c r="J1022" s="353" t="s">
        <v>137</v>
      </c>
      <c r="K1022" s="357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>
      <c r="A1023" s="390" t="s">
        <v>1381</v>
      </c>
      <c r="B1023" s="391" t="s">
        <v>9</v>
      </c>
      <c r="C1023" s="391">
        <v>49</v>
      </c>
      <c r="D1023" s="391" t="s">
        <v>10</v>
      </c>
      <c r="E1023" s="391">
        <v>445</v>
      </c>
      <c r="F1023" s="391" t="s">
        <v>167</v>
      </c>
      <c r="G1023" s="391" t="s">
        <v>138</v>
      </c>
      <c r="H1023" s="391" t="s">
        <v>15</v>
      </c>
      <c r="I1023" s="391">
        <v>30</v>
      </c>
      <c r="J1023" s="392" t="s">
        <v>12</v>
      </c>
      <c r="K1023" s="393">
        <f>(29*35)+(1*26.4)</f>
        <v>1041.4000000000001</v>
      </c>
      <c r="L1023" s="58"/>
      <c r="M1023" s="58"/>
      <c r="N1023" s="229"/>
      <c r="O1023" s="186" t="s">
        <v>1406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>
      <c r="A1024" s="390" t="s">
        <v>1381</v>
      </c>
      <c r="B1024" s="391" t="s">
        <v>9</v>
      </c>
      <c r="C1024" s="391">
        <v>49</v>
      </c>
      <c r="D1024" s="391" t="s">
        <v>7</v>
      </c>
      <c r="E1024" s="391">
        <v>401</v>
      </c>
      <c r="F1024" s="391" t="s">
        <v>98</v>
      </c>
      <c r="G1024" s="391" t="s">
        <v>113</v>
      </c>
      <c r="H1024" s="391" t="s">
        <v>5</v>
      </c>
      <c r="I1024" s="391">
        <v>15</v>
      </c>
      <c r="J1024" s="392" t="s">
        <v>13</v>
      </c>
      <c r="K1024" s="393">
        <f>(14*35)+(1*26.4)</f>
        <v>516.4</v>
      </c>
      <c r="L1024" s="58"/>
      <c r="M1024" s="58"/>
      <c r="N1024" s="229"/>
      <c r="O1024" s="186" t="s">
        <v>1406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>
      <c r="A1025" s="390" t="s">
        <v>1381</v>
      </c>
      <c r="B1025" s="391" t="s">
        <v>9</v>
      </c>
      <c r="C1025" s="391">
        <v>49</v>
      </c>
      <c r="D1025" s="391" t="s">
        <v>7</v>
      </c>
      <c r="E1025" s="391">
        <v>405</v>
      </c>
      <c r="F1025" s="391" t="s">
        <v>146</v>
      </c>
      <c r="G1025" s="391" t="s">
        <v>113</v>
      </c>
      <c r="H1025" s="391" t="s">
        <v>15</v>
      </c>
      <c r="I1025" s="391">
        <v>15</v>
      </c>
      <c r="J1025" s="392" t="s">
        <v>13</v>
      </c>
      <c r="K1025" s="393">
        <f>(14*35)+(1*26.4)</f>
        <v>516.4</v>
      </c>
      <c r="L1025" s="58"/>
      <c r="M1025" s="58"/>
      <c r="N1025" s="229"/>
      <c r="O1025" s="186" t="s">
        <v>1406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>
      <c r="A1026" s="390" t="s">
        <v>1381</v>
      </c>
      <c r="B1026" s="391" t="s">
        <v>9</v>
      </c>
      <c r="C1026" s="391">
        <v>49</v>
      </c>
      <c r="D1026" s="391" t="s">
        <v>7</v>
      </c>
      <c r="E1026" s="391">
        <v>778</v>
      </c>
      <c r="F1026" s="391" t="s">
        <v>1165</v>
      </c>
      <c r="G1026" s="391" t="s">
        <v>138</v>
      </c>
      <c r="H1026" s="391" t="s">
        <v>15</v>
      </c>
      <c r="I1026" s="391">
        <v>25</v>
      </c>
      <c r="J1026" s="392" t="s">
        <v>196</v>
      </c>
      <c r="K1026" s="393">
        <f>(25*35)</f>
        <v>875</v>
      </c>
      <c r="L1026" s="58"/>
      <c r="M1026" s="58"/>
      <c r="N1026" s="229"/>
      <c r="O1026" s="186" t="s">
        <v>1406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>
      <c r="A1027" s="390" t="s">
        <v>1381</v>
      </c>
      <c r="B1027" s="391" t="s">
        <v>9</v>
      </c>
      <c r="C1027" s="391">
        <v>49</v>
      </c>
      <c r="D1027" s="391" t="s">
        <v>7</v>
      </c>
      <c r="E1027" s="391">
        <v>779</v>
      </c>
      <c r="F1027" s="391" t="s">
        <v>896</v>
      </c>
      <c r="G1027" s="391" t="s">
        <v>138</v>
      </c>
      <c r="H1027" s="391" t="s">
        <v>15</v>
      </c>
      <c r="I1027" s="391">
        <v>15</v>
      </c>
      <c r="J1027" s="392" t="s">
        <v>13</v>
      </c>
      <c r="K1027" s="393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1389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>
      <c r="A1028" s="390" t="s">
        <v>1381</v>
      </c>
      <c r="B1028" s="391" t="s">
        <v>9</v>
      </c>
      <c r="C1028" s="391">
        <v>49</v>
      </c>
      <c r="D1028" s="391" t="s">
        <v>7</v>
      </c>
      <c r="E1028" s="391">
        <v>780</v>
      </c>
      <c r="F1028" s="391" t="s">
        <v>1369</v>
      </c>
      <c r="G1028" s="391" t="s">
        <v>138</v>
      </c>
      <c r="H1028" s="391" t="s">
        <v>15</v>
      </c>
      <c r="I1028" s="391">
        <v>20</v>
      </c>
      <c r="J1028" s="392" t="s">
        <v>125</v>
      </c>
      <c r="K1028" s="393">
        <f>(20*35)</f>
        <v>700</v>
      </c>
      <c r="L1028" s="58"/>
      <c r="M1028" s="58"/>
      <c r="N1028" s="229"/>
      <c r="O1028" s="186" t="s">
        <v>1406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>
      <c r="A1029" s="390" t="s">
        <v>1381</v>
      </c>
      <c r="B1029" s="391" t="s">
        <v>9</v>
      </c>
      <c r="C1029" s="391">
        <v>49</v>
      </c>
      <c r="D1029" s="391" t="s">
        <v>7</v>
      </c>
      <c r="E1029" s="391">
        <v>869</v>
      </c>
      <c r="F1029" s="391" t="s">
        <v>449</v>
      </c>
      <c r="G1029" s="391" t="s">
        <v>132</v>
      </c>
      <c r="H1029" s="391" t="s">
        <v>5</v>
      </c>
      <c r="I1029" s="391">
        <v>15</v>
      </c>
      <c r="J1029" s="392" t="s">
        <v>13</v>
      </c>
      <c r="K1029" s="393">
        <f>(14*35)+(1*26.4)</f>
        <v>516.4</v>
      </c>
      <c r="L1029" s="58"/>
      <c r="M1029" s="58"/>
      <c r="N1029" s="229"/>
      <c r="O1029" s="186" t="s">
        <v>1406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>
      <c r="A1030" s="356" t="s">
        <v>1381</v>
      </c>
      <c r="B1030" s="352" t="s">
        <v>9</v>
      </c>
      <c r="C1030" s="352">
        <v>49</v>
      </c>
      <c r="D1030" s="352" t="s">
        <v>10</v>
      </c>
      <c r="E1030" s="358">
        <v>839</v>
      </c>
      <c r="F1030" s="352" t="s">
        <v>1370</v>
      </c>
      <c r="G1030" s="352" t="s">
        <v>132</v>
      </c>
      <c r="H1030" s="358" t="s">
        <v>15</v>
      </c>
      <c r="I1030" s="358">
        <v>20</v>
      </c>
      <c r="J1030" s="353" t="s">
        <v>125</v>
      </c>
      <c r="K1030" s="357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>
      <c r="A1031" s="390" t="s">
        <v>1381</v>
      </c>
      <c r="B1031" s="391" t="s">
        <v>9</v>
      </c>
      <c r="C1031" s="391">
        <v>49</v>
      </c>
      <c r="D1031" s="391" t="s">
        <v>10</v>
      </c>
      <c r="E1031" s="391">
        <v>962</v>
      </c>
      <c r="F1031" s="391" t="s">
        <v>617</v>
      </c>
      <c r="G1031" s="391" t="s">
        <v>823</v>
      </c>
      <c r="H1031" s="391" t="s">
        <v>5</v>
      </c>
      <c r="I1031" s="391">
        <v>20</v>
      </c>
      <c r="J1031" s="392" t="s">
        <v>17</v>
      </c>
      <c r="K1031" s="393">
        <f>(19*35)+(1*26.4)</f>
        <v>691.4</v>
      </c>
      <c r="L1031" s="228" t="s">
        <v>1398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>
      <c r="A1032" s="356" t="s">
        <v>1381</v>
      </c>
      <c r="B1032" s="352" t="s">
        <v>9</v>
      </c>
      <c r="C1032" s="352">
        <v>49</v>
      </c>
      <c r="D1032" s="352" t="s">
        <v>10</v>
      </c>
      <c r="E1032" s="358">
        <v>963</v>
      </c>
      <c r="F1032" s="352" t="s">
        <v>385</v>
      </c>
      <c r="G1032" s="352" t="s">
        <v>823</v>
      </c>
      <c r="H1032" s="358" t="s">
        <v>5</v>
      </c>
      <c r="I1032" s="358">
        <v>20</v>
      </c>
      <c r="J1032" s="353" t="s">
        <v>17</v>
      </c>
      <c r="K1032" s="357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>
      <c r="A1033" s="356" t="s">
        <v>1381</v>
      </c>
      <c r="B1033" s="352" t="s">
        <v>9</v>
      </c>
      <c r="C1033" s="352">
        <v>49</v>
      </c>
      <c r="D1033" s="352" t="s">
        <v>29</v>
      </c>
      <c r="E1033" s="358">
        <v>31</v>
      </c>
      <c r="F1033" s="352" t="s">
        <v>153</v>
      </c>
      <c r="G1033" s="352" t="s">
        <v>127</v>
      </c>
      <c r="H1033" s="358" t="s">
        <v>5</v>
      </c>
      <c r="I1033" s="358">
        <v>10</v>
      </c>
      <c r="J1033" s="353" t="s">
        <v>11</v>
      </c>
      <c r="K1033" s="357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>
      <c r="A1034" s="356" t="s">
        <v>1381</v>
      </c>
      <c r="B1034" s="352" t="s">
        <v>9</v>
      </c>
      <c r="C1034" s="352">
        <v>49</v>
      </c>
      <c r="D1034" s="352" t="s">
        <v>29</v>
      </c>
      <c r="E1034" s="358">
        <v>169</v>
      </c>
      <c r="F1034" s="352" t="s">
        <v>1321</v>
      </c>
      <c r="G1034" s="352" t="s">
        <v>674</v>
      </c>
      <c r="H1034" s="358" t="s">
        <v>15</v>
      </c>
      <c r="I1034" s="358">
        <v>15</v>
      </c>
      <c r="J1034" s="353" t="s">
        <v>36</v>
      </c>
      <c r="K1034" s="357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>
      <c r="A1035" s="356" t="s">
        <v>1381</v>
      </c>
      <c r="B1035" s="352" t="s">
        <v>9</v>
      </c>
      <c r="C1035" s="352">
        <v>49</v>
      </c>
      <c r="D1035" s="352" t="s">
        <v>29</v>
      </c>
      <c r="E1035" s="358">
        <v>684</v>
      </c>
      <c r="F1035" s="352" t="s">
        <v>213</v>
      </c>
      <c r="G1035" s="352" t="s">
        <v>878</v>
      </c>
      <c r="H1035" s="358" t="s">
        <v>15</v>
      </c>
      <c r="I1035" s="358">
        <v>15</v>
      </c>
      <c r="J1035" s="353" t="s">
        <v>36</v>
      </c>
      <c r="K1035" s="357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>
      <c r="A1036" s="390" t="s">
        <v>1381</v>
      </c>
      <c r="B1036" s="391" t="s">
        <v>9</v>
      </c>
      <c r="C1036" s="391">
        <v>49</v>
      </c>
      <c r="D1036" s="391" t="s">
        <v>29</v>
      </c>
      <c r="E1036" s="391">
        <v>806</v>
      </c>
      <c r="F1036" s="391" t="s">
        <v>693</v>
      </c>
      <c r="G1036" s="391" t="s">
        <v>395</v>
      </c>
      <c r="H1036" s="391" t="s">
        <v>15</v>
      </c>
      <c r="I1036" s="391">
        <v>20</v>
      </c>
      <c r="J1036" s="392" t="s">
        <v>17</v>
      </c>
      <c r="K1036" s="393">
        <f>(19*35)+(1*26.4)</f>
        <v>691.4</v>
      </c>
      <c r="L1036" s="228" t="s">
        <v>1398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>
      <c r="A1037" s="390" t="s">
        <v>1381</v>
      </c>
      <c r="B1037" s="391" t="s">
        <v>9</v>
      </c>
      <c r="C1037" s="391">
        <v>49</v>
      </c>
      <c r="D1037" s="391" t="s">
        <v>29</v>
      </c>
      <c r="E1037" s="391">
        <v>835</v>
      </c>
      <c r="F1037" s="391" t="s">
        <v>221</v>
      </c>
      <c r="G1037" s="391" t="s">
        <v>132</v>
      </c>
      <c r="H1037" s="391" t="s">
        <v>5</v>
      </c>
      <c r="I1037" s="391">
        <v>15</v>
      </c>
      <c r="J1037" s="392" t="s">
        <v>137</v>
      </c>
      <c r="K1037" s="393">
        <f>(15*35)</f>
        <v>525</v>
      </c>
      <c r="L1037" s="228" t="s">
        <v>1398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>
      <c r="A1038" s="390" t="s">
        <v>1381</v>
      </c>
      <c r="B1038" s="391" t="s">
        <v>9</v>
      </c>
      <c r="C1038" s="391">
        <v>49</v>
      </c>
      <c r="D1038" s="391" t="s">
        <v>29</v>
      </c>
      <c r="E1038" s="391">
        <v>838</v>
      </c>
      <c r="F1038" s="391" t="s">
        <v>1137</v>
      </c>
      <c r="G1038" s="391" t="s">
        <v>132</v>
      </c>
      <c r="H1038" s="391" t="s">
        <v>15</v>
      </c>
      <c r="I1038" s="391">
        <v>20</v>
      </c>
      <c r="J1038" s="392" t="s">
        <v>17</v>
      </c>
      <c r="K1038" s="393">
        <f>(19*35)+(1*26.4)</f>
        <v>691.4</v>
      </c>
      <c r="L1038" s="228" t="s">
        <v>1398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>
      <c r="A1039" s="356" t="s">
        <v>1381</v>
      </c>
      <c r="B1039" s="352" t="s">
        <v>9</v>
      </c>
      <c r="C1039" s="352">
        <v>49</v>
      </c>
      <c r="D1039" s="352" t="s">
        <v>29</v>
      </c>
      <c r="E1039" s="358">
        <v>961</v>
      </c>
      <c r="F1039" s="352" t="s">
        <v>225</v>
      </c>
      <c r="G1039" s="352" t="s">
        <v>823</v>
      </c>
      <c r="H1039" s="358" t="s">
        <v>5</v>
      </c>
      <c r="I1039" s="358">
        <v>20</v>
      </c>
      <c r="J1039" s="353" t="s">
        <v>17</v>
      </c>
      <c r="K1039" s="357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>
      <c r="A1040" s="356" t="s">
        <v>1381</v>
      </c>
      <c r="B1040" s="352" t="s">
        <v>9</v>
      </c>
      <c r="C1040" s="352">
        <v>49</v>
      </c>
      <c r="D1040" s="352" t="s">
        <v>174</v>
      </c>
      <c r="E1040" s="358">
        <v>20</v>
      </c>
      <c r="F1040" s="352" t="s">
        <v>1224</v>
      </c>
      <c r="G1040" s="352" t="s">
        <v>290</v>
      </c>
      <c r="H1040" s="358" t="s">
        <v>15</v>
      </c>
      <c r="I1040" s="358">
        <v>20</v>
      </c>
      <c r="J1040" s="353" t="s">
        <v>30</v>
      </c>
      <c r="K1040" s="357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>
      <c r="A1041" s="356" t="s">
        <v>1381</v>
      </c>
      <c r="B1041" s="352" t="s">
        <v>9</v>
      </c>
      <c r="C1041" s="352">
        <v>49</v>
      </c>
      <c r="D1041" s="352" t="s">
        <v>174</v>
      </c>
      <c r="E1041" s="358">
        <v>23</v>
      </c>
      <c r="F1041" s="352" t="s">
        <v>700</v>
      </c>
      <c r="G1041" s="352" t="s">
        <v>290</v>
      </c>
      <c r="H1041" s="358" t="s">
        <v>15</v>
      </c>
      <c r="I1041" s="358">
        <v>20</v>
      </c>
      <c r="J1041" s="353" t="s">
        <v>30</v>
      </c>
      <c r="K1041" s="357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>
      <c r="A1042" s="356" t="s">
        <v>1381</v>
      </c>
      <c r="B1042" s="352" t="s">
        <v>9</v>
      </c>
      <c r="C1042" s="352">
        <v>49</v>
      </c>
      <c r="D1042" s="352" t="s">
        <v>29</v>
      </c>
      <c r="E1042" s="358">
        <v>167</v>
      </c>
      <c r="F1042" s="352" t="s">
        <v>1177</v>
      </c>
      <c r="G1042" s="352" t="s">
        <v>674</v>
      </c>
      <c r="H1042" s="358" t="s">
        <v>15</v>
      </c>
      <c r="I1042" s="358">
        <v>20</v>
      </c>
      <c r="J1042" s="353" t="s">
        <v>134</v>
      </c>
      <c r="K1042" s="357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>
      <c r="A1043" s="356" t="s">
        <v>1381</v>
      </c>
      <c r="B1043" s="352" t="s">
        <v>9</v>
      </c>
      <c r="C1043" s="352">
        <v>49</v>
      </c>
      <c r="D1043" s="352" t="s">
        <v>29</v>
      </c>
      <c r="E1043" s="358">
        <v>168</v>
      </c>
      <c r="F1043" s="352" t="s">
        <v>1371</v>
      </c>
      <c r="G1043" s="352" t="s">
        <v>674</v>
      </c>
      <c r="H1043" s="358" t="s">
        <v>15</v>
      </c>
      <c r="I1043" s="358">
        <v>25</v>
      </c>
      <c r="J1043" s="353" t="s">
        <v>148</v>
      </c>
      <c r="K1043" s="357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>
      <c r="A1044" s="390" t="s">
        <v>1381</v>
      </c>
      <c r="B1044" s="391" t="s">
        <v>9</v>
      </c>
      <c r="C1044" s="391">
        <v>47</v>
      </c>
      <c r="D1044" s="391" t="s">
        <v>16</v>
      </c>
      <c r="E1044" s="391">
        <v>352</v>
      </c>
      <c r="F1044" s="391" t="s">
        <v>1372</v>
      </c>
      <c r="G1044" s="391" t="s">
        <v>39</v>
      </c>
      <c r="H1044" s="391" t="s">
        <v>15</v>
      </c>
      <c r="I1044" s="391">
        <v>15</v>
      </c>
      <c r="J1044" s="392" t="s">
        <v>14</v>
      </c>
      <c r="K1044" s="393">
        <f>(14*38)+(1*29.4)</f>
        <v>561.4</v>
      </c>
      <c r="L1044" s="58"/>
      <c r="M1044" s="58"/>
      <c r="N1044" s="229"/>
      <c r="O1044" s="186" t="s">
        <v>1402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>
      <c r="A1045" s="390" t="s">
        <v>1381</v>
      </c>
      <c r="B1045" s="391" t="s">
        <v>9</v>
      </c>
      <c r="C1045" s="391">
        <v>47</v>
      </c>
      <c r="D1045" s="391" t="s">
        <v>16</v>
      </c>
      <c r="E1045" s="391">
        <v>353</v>
      </c>
      <c r="F1045" s="391" t="s">
        <v>1373</v>
      </c>
      <c r="G1045" s="391" t="s">
        <v>39</v>
      </c>
      <c r="H1045" s="391" t="s">
        <v>15</v>
      </c>
      <c r="I1045" s="391">
        <v>15</v>
      </c>
      <c r="J1045" s="392" t="s">
        <v>14</v>
      </c>
      <c r="K1045" s="393">
        <f>(14*38)+(1*29.4)</f>
        <v>561.4</v>
      </c>
      <c r="L1045" s="58"/>
      <c r="M1045" s="58"/>
      <c r="N1045" s="229"/>
      <c r="O1045" s="186" t="s">
        <v>1403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thickBot="1">
      <c r="A1046" s="390" t="s">
        <v>1381</v>
      </c>
      <c r="B1046" s="394" t="s">
        <v>9</v>
      </c>
      <c r="C1046" s="394">
        <v>47</v>
      </c>
      <c r="D1046" s="394" t="s">
        <v>10</v>
      </c>
      <c r="E1046" s="394">
        <v>152</v>
      </c>
      <c r="F1046" s="394" t="s">
        <v>1165</v>
      </c>
      <c r="G1046" s="394" t="s">
        <v>27</v>
      </c>
      <c r="H1046" s="394" t="s">
        <v>15</v>
      </c>
      <c r="I1046" s="394">
        <v>15</v>
      </c>
      <c r="J1046" s="395" t="s">
        <v>14</v>
      </c>
      <c r="K1046" s="396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1389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>
      <c r="A1047" s="390" t="s">
        <v>1381</v>
      </c>
      <c r="B1047" s="387" t="s">
        <v>9</v>
      </c>
      <c r="C1047" s="387">
        <v>47</v>
      </c>
      <c r="D1047" s="387" t="s">
        <v>10</v>
      </c>
      <c r="E1047" s="387">
        <v>567</v>
      </c>
      <c r="F1047" s="387" t="s">
        <v>612</v>
      </c>
      <c r="G1047" s="387" t="s">
        <v>141</v>
      </c>
      <c r="H1047" s="387" t="s">
        <v>5</v>
      </c>
      <c r="I1047" s="387">
        <v>10</v>
      </c>
      <c r="J1047" s="388" t="s">
        <v>578</v>
      </c>
      <c r="K1047" s="389">
        <f>(10*35)</f>
        <v>350</v>
      </c>
      <c r="L1047" s="228" t="s">
        <v>1396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6" t="s">
        <v>1381</v>
      </c>
      <c r="B1048" s="352" t="s">
        <v>9</v>
      </c>
      <c r="C1048" s="352">
        <v>48</v>
      </c>
      <c r="D1048" s="352" t="s">
        <v>7</v>
      </c>
      <c r="E1048" s="358">
        <v>138</v>
      </c>
      <c r="F1048" s="352" t="s">
        <v>92</v>
      </c>
      <c r="G1048" s="352" t="s">
        <v>599</v>
      </c>
      <c r="H1048" s="358" t="s">
        <v>15</v>
      </c>
      <c r="I1048" s="358">
        <v>15</v>
      </c>
      <c r="J1048" s="353" t="s">
        <v>14</v>
      </c>
      <c r="K1048" s="357">
        <f>(14*38)+(1*29.4)</f>
        <v>561.4</v>
      </c>
      <c r="L1048" s="228"/>
      <c r="M1048" s="58"/>
      <c r="N1048" s="229"/>
      <c r="O1048" s="21"/>
      <c r="P1048" s="21"/>
      <c r="Q1048" s="187"/>
      <c r="R1048" s="22"/>
      <c r="S1048" s="22"/>
      <c r="T1048" s="23"/>
      <c r="U1048" s="24"/>
      <c r="V1048" s="24"/>
      <c r="W1048" s="315"/>
      <c r="X1048" s="123">
        <f t="shared" si="25"/>
        <v>561.4</v>
      </c>
      <c r="Y1048" s="52"/>
      <c r="Z1048" s="3"/>
    </row>
    <row r="1049" spans="1:26">
      <c r="A1049" s="390" t="s">
        <v>1381</v>
      </c>
      <c r="B1049" s="391" t="s">
        <v>9</v>
      </c>
      <c r="C1049" s="391">
        <v>48</v>
      </c>
      <c r="D1049" s="391" t="s">
        <v>7</v>
      </c>
      <c r="E1049" s="391">
        <v>92</v>
      </c>
      <c r="F1049" s="391" t="s">
        <v>28</v>
      </c>
      <c r="G1049" s="391" t="s">
        <v>419</v>
      </c>
      <c r="H1049" s="391" t="s">
        <v>15</v>
      </c>
      <c r="I1049" s="391">
        <v>14</v>
      </c>
      <c r="J1049" s="392" t="s">
        <v>1379</v>
      </c>
      <c r="K1049" s="393">
        <f>(11*38)+(3*29.4)</f>
        <v>506.2</v>
      </c>
      <c r="L1049" s="228"/>
      <c r="M1049" s="58"/>
      <c r="N1049" s="229"/>
      <c r="O1049" s="186" t="s">
        <v>1406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>
      <c r="A1050" s="390" t="s">
        <v>1381</v>
      </c>
      <c r="B1050" s="391" t="s">
        <v>9</v>
      </c>
      <c r="C1050" s="391">
        <v>48</v>
      </c>
      <c r="D1050" s="391" t="s">
        <v>7</v>
      </c>
      <c r="E1050" s="391">
        <v>265</v>
      </c>
      <c r="F1050" s="391" t="s">
        <v>392</v>
      </c>
      <c r="G1050" s="391" t="s">
        <v>315</v>
      </c>
      <c r="H1050" s="391" t="s">
        <v>5</v>
      </c>
      <c r="I1050" s="391">
        <v>20</v>
      </c>
      <c r="J1050" s="392" t="s">
        <v>17</v>
      </c>
      <c r="K1050" s="393">
        <f>(19*35)+(1*26.4)</f>
        <v>691.4</v>
      </c>
      <c r="L1050" s="228"/>
      <c r="M1050" s="58"/>
      <c r="N1050" s="229"/>
      <c r="O1050" s="186" t="s">
        <v>1402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>
      <c r="A1051" s="356" t="s">
        <v>1381</v>
      </c>
      <c r="B1051" s="352" t="s">
        <v>9</v>
      </c>
      <c r="C1051" s="352">
        <v>48</v>
      </c>
      <c r="D1051" s="352" t="s">
        <v>7</v>
      </c>
      <c r="E1051" s="358">
        <v>266</v>
      </c>
      <c r="F1051" s="352" t="s">
        <v>199</v>
      </c>
      <c r="G1051" s="352" t="s">
        <v>315</v>
      </c>
      <c r="H1051" s="358" t="s">
        <v>5</v>
      </c>
      <c r="I1051" s="358">
        <v>20</v>
      </c>
      <c r="J1051" s="353" t="s">
        <v>17</v>
      </c>
      <c r="K1051" s="357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>
      <c r="A1052" s="390" t="s">
        <v>1381</v>
      </c>
      <c r="B1052" s="391" t="s">
        <v>9</v>
      </c>
      <c r="C1052" s="391">
        <v>48</v>
      </c>
      <c r="D1052" s="391" t="s">
        <v>7</v>
      </c>
      <c r="E1052" s="391">
        <v>294</v>
      </c>
      <c r="F1052" s="391" t="s">
        <v>855</v>
      </c>
      <c r="G1052" s="391" t="s">
        <v>802</v>
      </c>
      <c r="H1052" s="391" t="s">
        <v>5</v>
      </c>
      <c r="I1052" s="391">
        <v>20</v>
      </c>
      <c r="J1052" s="392" t="s">
        <v>30</v>
      </c>
      <c r="K1052" s="393">
        <f>(19*38)+(1*29.4)</f>
        <v>751.4</v>
      </c>
      <c r="L1052" s="228"/>
      <c r="M1052" s="58"/>
      <c r="N1052" s="229"/>
      <c r="O1052" s="186" t="s">
        <v>1402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>
      <c r="A1053" s="390" t="s">
        <v>1381</v>
      </c>
      <c r="B1053" s="391" t="s">
        <v>9</v>
      </c>
      <c r="C1053" s="391">
        <v>48</v>
      </c>
      <c r="D1053" s="391" t="s">
        <v>7</v>
      </c>
      <c r="E1053" s="391">
        <v>298</v>
      </c>
      <c r="F1053" s="391" t="s">
        <v>1166</v>
      </c>
      <c r="G1053" s="391" t="s">
        <v>802</v>
      </c>
      <c r="H1053" s="391" t="s">
        <v>5</v>
      </c>
      <c r="I1053" s="391">
        <v>15</v>
      </c>
      <c r="J1053" s="392" t="s">
        <v>14</v>
      </c>
      <c r="K1053" s="393">
        <f>(14*38)+(1*29.4)</f>
        <v>561.4</v>
      </c>
      <c r="L1053" s="228"/>
      <c r="M1053" s="58"/>
      <c r="N1053" s="229"/>
      <c r="O1053" s="186" t="s">
        <v>1406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>
      <c r="A1054" s="390" t="s">
        <v>1381</v>
      </c>
      <c r="B1054" s="391" t="s">
        <v>9</v>
      </c>
      <c r="C1054" s="391">
        <v>48</v>
      </c>
      <c r="D1054" s="391" t="s">
        <v>7</v>
      </c>
      <c r="E1054" s="391">
        <v>793</v>
      </c>
      <c r="F1054" s="391" t="s">
        <v>377</v>
      </c>
      <c r="G1054" s="391" t="s">
        <v>138</v>
      </c>
      <c r="H1054" s="391" t="s">
        <v>15</v>
      </c>
      <c r="I1054" s="391">
        <v>15</v>
      </c>
      <c r="J1054" s="392" t="s">
        <v>13</v>
      </c>
      <c r="K1054" s="393">
        <f>(14*35)+(1*26.4)</f>
        <v>516.4</v>
      </c>
      <c r="L1054" s="228"/>
      <c r="M1054" s="58"/>
      <c r="N1054" s="229"/>
      <c r="O1054" s="186" t="s">
        <v>1406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>
      <c r="A1055" s="390" t="s">
        <v>1381</v>
      </c>
      <c r="B1055" s="391" t="s">
        <v>9</v>
      </c>
      <c r="C1055" s="391">
        <v>48</v>
      </c>
      <c r="D1055" s="391" t="s">
        <v>174</v>
      </c>
      <c r="E1055" s="391">
        <v>22</v>
      </c>
      <c r="F1055" s="391" t="s">
        <v>1356</v>
      </c>
      <c r="G1055" s="391" t="s">
        <v>290</v>
      </c>
      <c r="H1055" s="391" t="s">
        <v>15</v>
      </c>
      <c r="I1055" s="391">
        <v>15</v>
      </c>
      <c r="J1055" s="392" t="s">
        <v>14</v>
      </c>
      <c r="K1055" s="393">
        <f>(14*38)+(1*29.4)</f>
        <v>561.4</v>
      </c>
      <c r="L1055" s="228" t="s">
        <v>1396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>
      <c r="A1056" s="390" t="s">
        <v>1381</v>
      </c>
      <c r="B1056" s="391" t="s">
        <v>9</v>
      </c>
      <c r="C1056" s="391">
        <v>48</v>
      </c>
      <c r="D1056" s="391" t="s">
        <v>29</v>
      </c>
      <c r="E1056" s="391">
        <v>133</v>
      </c>
      <c r="F1056" s="391" t="s">
        <v>1374</v>
      </c>
      <c r="G1056" s="391" t="s">
        <v>674</v>
      </c>
      <c r="H1056" s="391" t="s">
        <v>15</v>
      </c>
      <c r="I1056" s="391">
        <v>25</v>
      </c>
      <c r="J1056" s="392" t="s">
        <v>148</v>
      </c>
      <c r="K1056" s="393">
        <f>(25*26)</f>
        <v>650</v>
      </c>
      <c r="L1056" s="228" t="s">
        <v>1398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>
      <c r="A1057" s="390" t="s">
        <v>1381</v>
      </c>
      <c r="B1057" s="391" t="s">
        <v>9</v>
      </c>
      <c r="C1057" s="391">
        <v>48</v>
      </c>
      <c r="D1057" s="391" t="s">
        <v>29</v>
      </c>
      <c r="E1057" s="391">
        <v>134</v>
      </c>
      <c r="F1057" s="391" t="s">
        <v>96</v>
      </c>
      <c r="G1057" s="391" t="s">
        <v>674</v>
      </c>
      <c r="H1057" s="391" t="s">
        <v>15</v>
      </c>
      <c r="I1057" s="391">
        <v>20</v>
      </c>
      <c r="J1057" s="392" t="s">
        <v>134</v>
      </c>
      <c r="K1057" s="393">
        <f>(20*26)</f>
        <v>520</v>
      </c>
      <c r="L1057" s="228" t="s">
        <v>1396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>
      <c r="A1058" s="390" t="s">
        <v>1381</v>
      </c>
      <c r="B1058" s="391" t="s">
        <v>9</v>
      </c>
      <c r="C1058" s="391">
        <v>48</v>
      </c>
      <c r="D1058" s="391" t="s">
        <v>29</v>
      </c>
      <c r="E1058" s="391">
        <v>135</v>
      </c>
      <c r="F1058" s="391" t="s">
        <v>446</v>
      </c>
      <c r="G1058" s="391" t="s">
        <v>674</v>
      </c>
      <c r="H1058" s="391" t="s">
        <v>15</v>
      </c>
      <c r="I1058" s="391">
        <v>17</v>
      </c>
      <c r="J1058" s="392" t="s">
        <v>679</v>
      </c>
      <c r="K1058" s="393">
        <f>(17*26)</f>
        <v>442</v>
      </c>
      <c r="L1058" s="228" t="s">
        <v>1398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>
      <c r="A1059" s="390" t="s">
        <v>1381</v>
      </c>
      <c r="B1059" s="391" t="s">
        <v>9</v>
      </c>
      <c r="C1059" s="391">
        <v>48</v>
      </c>
      <c r="D1059" s="391" t="s">
        <v>10</v>
      </c>
      <c r="E1059" s="391">
        <v>1056</v>
      </c>
      <c r="F1059" s="391" t="s">
        <v>885</v>
      </c>
      <c r="G1059" s="391" t="s">
        <v>823</v>
      </c>
      <c r="H1059" s="391" t="s">
        <v>5</v>
      </c>
      <c r="I1059" s="391">
        <v>20</v>
      </c>
      <c r="J1059" s="392" t="s">
        <v>17</v>
      </c>
      <c r="K1059" s="393">
        <f>(19*35)+(1*26.4)</f>
        <v>691.4</v>
      </c>
      <c r="L1059" s="228" t="s">
        <v>1396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>
      <c r="A1060" s="390" t="s">
        <v>1381</v>
      </c>
      <c r="B1060" s="391" t="s">
        <v>9</v>
      </c>
      <c r="C1060" s="391">
        <v>48</v>
      </c>
      <c r="D1060" s="391" t="s">
        <v>10</v>
      </c>
      <c r="E1060" s="391">
        <v>1060</v>
      </c>
      <c r="F1060" s="391" t="s">
        <v>472</v>
      </c>
      <c r="G1060" s="391" t="s">
        <v>823</v>
      </c>
      <c r="H1060" s="391" t="s">
        <v>15</v>
      </c>
      <c r="I1060" s="391">
        <v>20</v>
      </c>
      <c r="J1060" s="392" t="s">
        <v>17</v>
      </c>
      <c r="K1060" s="393">
        <f>(19*35)+(1*26.4)</f>
        <v>691.4</v>
      </c>
      <c r="L1060" s="228" t="s">
        <v>1396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>
      <c r="A1061" s="390" t="s">
        <v>1381</v>
      </c>
      <c r="B1061" s="391" t="s">
        <v>9</v>
      </c>
      <c r="C1061" s="391">
        <v>48</v>
      </c>
      <c r="D1061" s="391" t="s">
        <v>10</v>
      </c>
      <c r="E1061" s="391">
        <v>1063</v>
      </c>
      <c r="F1061" s="391" t="s">
        <v>1164</v>
      </c>
      <c r="G1061" s="391" t="s">
        <v>823</v>
      </c>
      <c r="H1061" s="391" t="s">
        <v>15</v>
      </c>
      <c r="I1061" s="391">
        <v>20</v>
      </c>
      <c r="J1061" s="392" t="s">
        <v>17</v>
      </c>
      <c r="K1061" s="393">
        <f>(19*35)+(1*26.4)</f>
        <v>691.4</v>
      </c>
      <c r="L1061" s="228" t="s">
        <v>1398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>
      <c r="A1062" s="297" t="s">
        <v>1380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>
      <c r="A1063" s="297" t="s">
        <v>1413</v>
      </c>
      <c r="B1063" s="298" t="s">
        <v>9</v>
      </c>
      <c r="C1063" s="298" t="s">
        <v>1414</v>
      </c>
      <c r="D1063" s="298"/>
      <c r="E1063" s="298"/>
      <c r="F1063" s="298" t="s">
        <v>1415</v>
      </c>
      <c r="G1063" s="298" t="s">
        <v>1420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>
      <c r="A1064" s="297" t="s">
        <v>1413</v>
      </c>
      <c r="B1064" s="298" t="s">
        <v>9</v>
      </c>
      <c r="C1064" s="298" t="s">
        <v>1414</v>
      </c>
      <c r="D1064" s="298"/>
      <c r="E1064" s="298"/>
      <c r="F1064" s="298" t="s">
        <v>1416</v>
      </c>
      <c r="G1064" s="298" t="s">
        <v>1420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>
      <c r="A1065" s="297" t="s">
        <v>1413</v>
      </c>
      <c r="B1065" s="298" t="s">
        <v>9</v>
      </c>
      <c r="C1065" s="298" t="s">
        <v>1414</v>
      </c>
      <c r="D1065" s="298"/>
      <c r="E1065" s="298"/>
      <c r="F1065" s="298" t="s">
        <v>1417</v>
      </c>
      <c r="G1065" s="298" t="s">
        <v>1420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>
      <c r="A1066" s="297" t="s">
        <v>1413</v>
      </c>
      <c r="B1066" s="298" t="s">
        <v>9</v>
      </c>
      <c r="C1066" s="298" t="s">
        <v>1414</v>
      </c>
      <c r="D1066" s="298"/>
      <c r="E1066" s="298"/>
      <c r="F1066" s="298" t="s">
        <v>1418</v>
      </c>
      <c r="G1066" s="298" t="s">
        <v>1420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>
      <c r="A1067" s="297" t="s">
        <v>1413</v>
      </c>
      <c r="B1067" s="298" t="s">
        <v>9</v>
      </c>
      <c r="C1067" s="298" t="s">
        <v>1414</v>
      </c>
      <c r="D1067" s="298"/>
      <c r="E1067" s="298"/>
      <c r="F1067" s="298" t="s">
        <v>1419</v>
      </c>
      <c r="G1067" s="298" t="s">
        <v>1420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6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>
      <c r="A1069" s="297" t="s">
        <v>1413</v>
      </c>
      <c r="B1069" s="298" t="s">
        <v>9</v>
      </c>
      <c r="C1069" s="298" t="s">
        <v>1414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1507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>
      <c r="A1070" s="297" t="s">
        <v>1413</v>
      </c>
      <c r="B1070" s="298" t="s">
        <v>9</v>
      </c>
      <c r="C1070" s="298" t="s">
        <v>1414</v>
      </c>
      <c r="D1070" s="298"/>
      <c r="E1070" s="298"/>
      <c r="F1070" s="298" t="s">
        <v>1166</v>
      </c>
      <c r="G1070" s="298" t="s">
        <v>151</v>
      </c>
      <c r="H1070" s="298" t="s">
        <v>15</v>
      </c>
      <c r="I1070" s="298">
        <v>30</v>
      </c>
      <c r="J1070" s="71" t="s">
        <v>1507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7"/>
      <c r="K1071" s="451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>
      <c r="A1072" s="297" t="s">
        <v>1413</v>
      </c>
      <c r="B1072" s="298" t="s">
        <v>9</v>
      </c>
      <c r="C1072" s="298" t="s">
        <v>1414</v>
      </c>
      <c r="D1072" s="298"/>
      <c r="E1072" s="298"/>
      <c r="F1072" s="298" t="s">
        <v>78</v>
      </c>
      <c r="G1072" s="298" t="s">
        <v>1423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>
      <c r="A1073" s="297" t="s">
        <v>1413</v>
      </c>
      <c r="B1073" s="298" t="s">
        <v>9</v>
      </c>
      <c r="C1073" s="298" t="s">
        <v>1414</v>
      </c>
      <c r="D1073" s="298"/>
      <c r="E1073" s="298"/>
      <c r="F1073" s="298" t="s">
        <v>1421</v>
      </c>
      <c r="G1073" s="298" t="s">
        <v>1423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>
      <c r="A1074" s="297" t="s">
        <v>1413</v>
      </c>
      <c r="B1074" s="298" t="s">
        <v>9</v>
      </c>
      <c r="C1074" s="298" t="s">
        <v>1414</v>
      </c>
      <c r="D1074" s="298"/>
      <c r="E1074" s="298"/>
      <c r="F1074" s="298" t="s">
        <v>325</v>
      </c>
      <c r="G1074" s="298" t="s">
        <v>1423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>
      <c r="A1075" s="297" t="s">
        <v>1413</v>
      </c>
      <c r="B1075" s="298" t="s">
        <v>9</v>
      </c>
      <c r="C1075" s="298" t="s">
        <v>1414</v>
      </c>
      <c r="D1075" s="298"/>
      <c r="E1075" s="298"/>
      <c r="F1075" s="298" t="s">
        <v>210</v>
      </c>
      <c r="G1075" s="298" t="s">
        <v>1423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>
      <c r="A1076" s="297" t="s">
        <v>1413</v>
      </c>
      <c r="B1076" s="298" t="s">
        <v>9</v>
      </c>
      <c r="C1076" s="298" t="s">
        <v>1414</v>
      </c>
      <c r="D1076" s="298"/>
      <c r="E1076" s="298"/>
      <c r="F1076" s="298" t="s">
        <v>1422</v>
      </c>
      <c r="G1076" s="298" t="s">
        <v>1423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6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>
      <c r="A1078" s="452" t="s">
        <v>1424</v>
      </c>
      <c r="B1078" s="453"/>
      <c r="C1078" s="453"/>
      <c r="D1078" s="453"/>
      <c r="E1078" s="453"/>
      <c r="F1078" s="453"/>
      <c r="G1078" s="453"/>
      <c r="H1078" s="453"/>
      <c r="I1078" s="453">
        <f>I1068+I1071+I1077</f>
        <v>300</v>
      </c>
      <c r="J1078" s="454"/>
      <c r="K1078" s="455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>
      <c r="A1079" s="297" t="s">
        <v>1427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1428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>
      <c r="A1080" s="297" t="s">
        <v>1427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1429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>
      <c r="A1081" s="297" t="s">
        <v>1427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>
      <c r="A1082" s="297" t="s">
        <v>1427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1430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>
      <c r="A1083" s="297" t="s">
        <v>1427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>
      <c r="A1084" s="297" t="s">
        <v>1427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>
      <c r="A1085" s="297" t="s">
        <v>1427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>
      <c r="A1086" s="297" t="s">
        <v>1427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1431</v>
      </c>
      <c r="G1086" s="298" t="s">
        <v>99</v>
      </c>
      <c r="H1086" s="298" t="s">
        <v>15</v>
      </c>
      <c r="I1086" s="298">
        <v>10</v>
      </c>
      <c r="J1086" s="71" t="s">
        <v>1508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>
      <c r="A1087" s="297" t="s">
        <v>1427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1432</v>
      </c>
      <c r="G1087" s="298" t="s">
        <v>1444</v>
      </c>
      <c r="H1087" s="298" t="s">
        <v>15</v>
      </c>
      <c r="I1087" s="298">
        <v>20</v>
      </c>
      <c r="J1087" s="71" t="s">
        <v>1509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>
      <c r="A1088" s="297" t="s">
        <v>1427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1433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>
      <c r="A1089" s="297" t="s">
        <v>1427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1434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>
      <c r="A1090" s="297" t="s">
        <v>1427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1445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>
      <c r="A1091" s="297" t="s">
        <v>1427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1435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>
      <c r="A1092" s="297" t="s">
        <v>1427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1436</v>
      </c>
      <c r="G1092" s="298" t="s">
        <v>290</v>
      </c>
      <c r="H1092" s="298" t="s">
        <v>15</v>
      </c>
      <c r="I1092" s="298">
        <v>18</v>
      </c>
      <c r="J1092" s="71" t="s">
        <v>1510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>
      <c r="A1093" s="297" t="s">
        <v>1427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1437</v>
      </c>
      <c r="G1093" s="298" t="s">
        <v>1446</v>
      </c>
      <c r="H1093" s="298" t="s">
        <v>5</v>
      </c>
      <c r="I1093" s="298">
        <v>20</v>
      </c>
      <c r="J1093" s="71" t="s">
        <v>1511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>
      <c r="A1094" s="297" t="s">
        <v>1427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1438</v>
      </c>
      <c r="G1094" s="298" t="s">
        <v>127</v>
      </c>
      <c r="H1094" s="298" t="s">
        <v>15</v>
      </c>
      <c r="I1094" s="298">
        <v>24</v>
      </c>
      <c r="J1094" s="71" t="s">
        <v>1512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>
      <c r="A1095" s="297" t="s">
        <v>1427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1439</v>
      </c>
      <c r="G1095" s="298" t="s">
        <v>127</v>
      </c>
      <c r="H1095" s="298" t="s">
        <v>15</v>
      </c>
      <c r="I1095" s="298">
        <v>24</v>
      </c>
      <c r="J1095" s="71" t="s">
        <v>1512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>
      <c r="A1096" s="297" t="s">
        <v>1427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>
      <c r="A1097" s="297" t="s">
        <v>1427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1440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>
      <c r="A1098" s="297" t="s">
        <v>1427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1441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>
      <c r="A1099" s="297" t="s">
        <v>1427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1442</v>
      </c>
      <c r="G1099" s="298" t="s">
        <v>1447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>
      <c r="A1100" s="297" t="s">
        <v>1427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1447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>
      <c r="A1101" s="297" t="s">
        <v>1427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1443</v>
      </c>
      <c r="G1101" s="298" t="s">
        <v>1448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>
      <c r="A1103" s="452" t="s">
        <v>1466</v>
      </c>
      <c r="B1103" s="453"/>
      <c r="C1103" s="453"/>
      <c r="D1103" s="453"/>
      <c r="E1103" s="453"/>
      <c r="F1103" s="453"/>
      <c r="G1103" s="453"/>
      <c r="H1103" s="453"/>
      <c r="I1103" s="453">
        <v>20</v>
      </c>
      <c r="J1103" s="454"/>
      <c r="K1103" s="455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>
      <c r="A1104" s="297" t="s">
        <v>1450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1451</v>
      </c>
      <c r="G1104" s="298" t="s">
        <v>1462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>
      <c r="A1105" s="297" t="s">
        <v>1450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>
      <c r="A1106" s="297" t="s">
        <v>1450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1452</v>
      </c>
      <c r="G1106" s="298" t="s">
        <v>1463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>
      <c r="A1107" s="297" t="s">
        <v>1450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>
      <c r="A1108" s="297" t="s">
        <v>1450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1453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>
      <c r="A1109" s="297" t="s">
        <v>1450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1454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>
      <c r="A1110" s="297" t="s">
        <v>1450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1513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>
      <c r="A1111" s="297" t="s">
        <v>1450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1455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>
      <c r="A1112" s="297" t="s">
        <v>1450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>
      <c r="A1113" s="297" t="s">
        <v>1450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1194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>
      <c r="A1114" s="297" t="s">
        <v>1450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1456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>
      <c r="A1115" s="297" t="s">
        <v>1450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>
      <c r="A1116" s="297" t="s">
        <v>1450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1457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>
      <c r="A1117" s="297" t="s">
        <v>1450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>
      <c r="A1118" s="297" t="s">
        <v>1450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1458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>
      <c r="A1119" s="297" t="s">
        <v>1450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1459</v>
      </c>
      <c r="G1119" s="298" t="s">
        <v>1464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>
      <c r="A1120" s="297" t="s">
        <v>1450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1460</v>
      </c>
      <c r="G1120" s="298" t="s">
        <v>1464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>
      <c r="A1121" s="297" t="s">
        <v>1450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1461</v>
      </c>
      <c r="G1121" s="298" t="s">
        <v>1465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>
      <c r="A1122" s="297" t="s">
        <v>1450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955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>
      <c r="A1123" s="297" t="s">
        <v>1450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>
      <c r="A1124" s="297" t="s">
        <v>1450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>
      <c r="A1125" s="297" t="s">
        <v>1450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6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>
      <c r="A1127" s="452" t="s">
        <v>1467</v>
      </c>
      <c r="B1127" s="453"/>
      <c r="C1127" s="453"/>
      <c r="D1127" s="453"/>
      <c r="E1127" s="453"/>
      <c r="F1127" s="453"/>
      <c r="G1127" s="453"/>
      <c r="H1127" s="453"/>
      <c r="I1127" s="453">
        <f>I1126</f>
        <v>405</v>
      </c>
      <c r="J1127" s="454"/>
      <c r="K1127" s="455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>
      <c r="A1128" s="297" t="s">
        <v>1450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1469</v>
      </c>
      <c r="H1128" s="298" t="s">
        <v>15</v>
      </c>
      <c r="I1128" s="298">
        <v>40</v>
      </c>
      <c r="J1128" s="71" t="s">
        <v>1514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>
      <c r="A1129" s="297" t="s">
        <v>1450</v>
      </c>
      <c r="B1129" s="298" t="s">
        <v>9</v>
      </c>
      <c r="C1129" s="298" t="s">
        <v>309</v>
      </c>
      <c r="D1129" s="298"/>
      <c r="E1129" s="298"/>
      <c r="F1129" s="298" t="s">
        <v>1468</v>
      </c>
      <c r="G1129" s="298" t="s">
        <v>1469</v>
      </c>
      <c r="H1129" s="298" t="s">
        <v>15</v>
      </c>
      <c r="I1129" s="298">
        <v>40</v>
      </c>
      <c r="J1129" s="71" t="s">
        <v>1514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6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>
      <c r="A1131" s="297" t="s">
        <v>1450</v>
      </c>
      <c r="B1131" s="298" t="s">
        <v>9</v>
      </c>
      <c r="C1131" s="298" t="s">
        <v>309</v>
      </c>
      <c r="D1131" s="298"/>
      <c r="E1131" s="298"/>
      <c r="F1131" s="298" t="s">
        <v>1470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>
      <c r="A1132" s="297" t="s">
        <v>1450</v>
      </c>
      <c r="B1132" s="298" t="s">
        <v>9</v>
      </c>
      <c r="C1132" s="298" t="s">
        <v>309</v>
      </c>
      <c r="D1132" s="298"/>
      <c r="E1132" s="298"/>
      <c r="F1132" s="298" t="s">
        <v>1471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>
      <c r="A1133" s="297" t="s">
        <v>1450</v>
      </c>
      <c r="B1133" s="298" t="s">
        <v>9</v>
      </c>
      <c r="C1133" s="298" t="s">
        <v>309</v>
      </c>
      <c r="D1133" s="298"/>
      <c r="E1133" s="298"/>
      <c r="F1133" s="298" t="s">
        <v>1472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6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>
      <c r="A1135" s="297" t="s">
        <v>1450</v>
      </c>
      <c r="B1135" s="298" t="s">
        <v>9</v>
      </c>
      <c r="C1135" s="298" t="s">
        <v>309</v>
      </c>
      <c r="D1135" s="298"/>
      <c r="E1135" s="298"/>
      <c r="F1135" s="298" t="s">
        <v>1473</v>
      </c>
      <c r="G1135" s="298" t="s">
        <v>1475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>
      <c r="A1136" s="297" t="s">
        <v>1450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1475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>
      <c r="A1137" s="297" t="s">
        <v>1450</v>
      </c>
      <c r="B1137" s="298" t="s">
        <v>9</v>
      </c>
      <c r="C1137" s="298" t="s">
        <v>309</v>
      </c>
      <c r="D1137" s="298"/>
      <c r="E1137" s="298"/>
      <c r="F1137" s="298" t="s">
        <v>1474</v>
      </c>
      <c r="G1137" s="298" t="s">
        <v>1475</v>
      </c>
      <c r="H1137" s="298" t="s">
        <v>15</v>
      </c>
      <c r="I1137" s="298">
        <v>21</v>
      </c>
      <c r="J1137" s="71" t="s">
        <v>1515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6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>
      <c r="A1139" s="452" t="s">
        <v>1478</v>
      </c>
      <c r="B1139" s="453"/>
      <c r="C1139" s="453"/>
      <c r="D1139" s="453"/>
      <c r="E1139" s="453"/>
      <c r="F1139" s="453"/>
      <c r="G1139" s="453"/>
      <c r="H1139" s="453"/>
      <c r="I1139" s="453">
        <f>I1130+I1134+I1138</f>
        <v>201</v>
      </c>
      <c r="J1139" s="454"/>
      <c r="K1139" s="455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>
      <c r="A1140" s="297" t="s">
        <v>1479</v>
      </c>
      <c r="B1140" s="298" t="s">
        <v>9</v>
      </c>
      <c r="C1140" s="298" t="s">
        <v>309</v>
      </c>
      <c r="D1140" s="298"/>
      <c r="E1140" s="298"/>
      <c r="F1140" s="298" t="s">
        <v>1480</v>
      </c>
      <c r="G1140" s="298" t="s">
        <v>1486</v>
      </c>
      <c r="H1140" s="298" t="s">
        <v>526</v>
      </c>
      <c r="I1140" s="298">
        <v>20</v>
      </c>
      <c r="J1140" s="71" t="s">
        <v>1516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>
      <c r="A1141" s="297" t="s">
        <v>1479</v>
      </c>
      <c r="B1141" s="298" t="s">
        <v>9</v>
      </c>
      <c r="C1141" s="298" t="s">
        <v>309</v>
      </c>
      <c r="D1141" s="298"/>
      <c r="E1141" s="298"/>
      <c r="F1141" s="298" t="s">
        <v>1481</v>
      </c>
      <c r="G1141" s="298" t="s">
        <v>1486</v>
      </c>
      <c r="H1141" s="298" t="s">
        <v>15</v>
      </c>
      <c r="I1141" s="298">
        <v>20</v>
      </c>
      <c r="J1141" s="71" t="s">
        <v>1516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>
      <c r="A1142" s="297" t="s">
        <v>1479</v>
      </c>
      <c r="B1142" s="298" t="s">
        <v>9</v>
      </c>
      <c r="C1142" s="298" t="s">
        <v>309</v>
      </c>
      <c r="D1142" s="298"/>
      <c r="E1142" s="298"/>
      <c r="F1142" s="298" t="s">
        <v>1482</v>
      </c>
      <c r="G1142" s="298" t="s">
        <v>1486</v>
      </c>
      <c r="H1142" s="298" t="s">
        <v>15</v>
      </c>
      <c r="I1142" s="298">
        <v>20</v>
      </c>
      <c r="J1142" s="71" t="s">
        <v>1516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>
      <c r="A1143" s="297" t="s">
        <v>1479</v>
      </c>
      <c r="B1143" s="298" t="s">
        <v>9</v>
      </c>
      <c r="C1143" s="298" t="s">
        <v>309</v>
      </c>
      <c r="D1143" s="298"/>
      <c r="E1143" s="298"/>
      <c r="F1143" s="298" t="s">
        <v>1483</v>
      </c>
      <c r="G1143" s="298" t="s">
        <v>1486</v>
      </c>
      <c r="H1143" s="298" t="s">
        <v>15</v>
      </c>
      <c r="I1143" s="298">
        <v>20</v>
      </c>
      <c r="J1143" s="71" t="s">
        <v>1516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>
      <c r="A1144" s="297" t="s">
        <v>1479</v>
      </c>
      <c r="B1144" s="298" t="s">
        <v>9</v>
      </c>
      <c r="C1144" s="298" t="s">
        <v>309</v>
      </c>
      <c r="D1144" s="298"/>
      <c r="E1144" s="298"/>
      <c r="F1144" s="298" t="s">
        <v>1484</v>
      </c>
      <c r="G1144" s="298" t="s">
        <v>1486</v>
      </c>
      <c r="H1144" s="298" t="s">
        <v>5</v>
      </c>
      <c r="I1144" s="298">
        <v>20</v>
      </c>
      <c r="J1144" s="71" t="s">
        <v>1516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>
      <c r="A1145" s="297" t="s">
        <v>1479</v>
      </c>
      <c r="B1145" s="298" t="s">
        <v>9</v>
      </c>
      <c r="C1145" s="298" t="s">
        <v>309</v>
      </c>
      <c r="D1145" s="298"/>
      <c r="E1145" s="298"/>
      <c r="F1145" s="298" t="s">
        <v>1088</v>
      </c>
      <c r="G1145" s="298" t="s">
        <v>1486</v>
      </c>
      <c r="H1145" s="298" t="s">
        <v>5</v>
      </c>
      <c r="I1145" s="298">
        <v>20</v>
      </c>
      <c r="J1145" s="71" t="s">
        <v>1516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>
      <c r="A1146" s="297" t="s">
        <v>1479</v>
      </c>
      <c r="B1146" s="298" t="s">
        <v>9</v>
      </c>
      <c r="C1146" s="298" t="s">
        <v>309</v>
      </c>
      <c r="D1146" s="298"/>
      <c r="E1146" s="298"/>
      <c r="F1146" s="298" t="s">
        <v>1485</v>
      </c>
      <c r="G1146" s="298" t="s">
        <v>1486</v>
      </c>
      <c r="H1146" s="298" t="s">
        <v>15</v>
      </c>
      <c r="I1146" s="298">
        <v>20</v>
      </c>
      <c r="J1146" s="71" t="s">
        <v>1516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6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>
      <c r="A1148" s="297" t="s">
        <v>1479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1487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>
      <c r="A1149" s="297" t="s">
        <v>1479</v>
      </c>
      <c r="B1149" s="298" t="s">
        <v>9</v>
      </c>
      <c r="C1149" s="298" t="s">
        <v>309</v>
      </c>
      <c r="D1149" s="298"/>
      <c r="E1149" s="298"/>
      <c r="F1149" s="298" t="s">
        <v>1137</v>
      </c>
      <c r="G1149" s="298" t="s">
        <v>1487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>
      <c r="A1150" s="297" t="s">
        <v>1479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1487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>
      <c r="A1151" s="297" t="s">
        <v>1479</v>
      </c>
      <c r="B1151" s="298" t="s">
        <v>9</v>
      </c>
      <c r="C1151" s="298" t="s">
        <v>309</v>
      </c>
      <c r="D1151" s="298"/>
      <c r="E1151" s="298"/>
      <c r="F1151" s="298" t="s">
        <v>987</v>
      </c>
      <c r="G1151" s="298" t="s">
        <v>1487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6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>
      <c r="A1153" s="297" t="s">
        <v>1479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1487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>
      <c r="A1154" s="297" t="s">
        <v>1479</v>
      </c>
      <c r="B1154" s="298" t="s">
        <v>9</v>
      </c>
      <c r="C1154" s="298" t="s">
        <v>309</v>
      </c>
      <c r="D1154" s="298"/>
      <c r="E1154" s="298"/>
      <c r="F1154" s="298" t="s">
        <v>1432</v>
      </c>
      <c r="G1154" s="298" t="s">
        <v>1487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>
      <c r="A1155" s="297" t="s">
        <v>1479</v>
      </c>
      <c r="B1155" s="298" t="s">
        <v>9</v>
      </c>
      <c r="C1155" s="298" t="s">
        <v>309</v>
      </c>
      <c r="D1155" s="298"/>
      <c r="E1155" s="298"/>
      <c r="F1155" s="298" t="s">
        <v>1488</v>
      </c>
      <c r="G1155" s="298" t="s">
        <v>1487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6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>
      <c r="A1157" s="297" t="s">
        <v>1479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1517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>
      <c r="A1158" s="297" t="s">
        <v>1479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1518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6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>
      <c r="A1160" s="297" t="s">
        <v>1479</v>
      </c>
      <c r="B1160" s="298" t="s">
        <v>9</v>
      </c>
      <c r="C1160" s="298" t="s">
        <v>309</v>
      </c>
      <c r="D1160" s="298"/>
      <c r="E1160" s="298"/>
      <c r="F1160" s="298" t="s">
        <v>1489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>
      <c r="A1161" s="297" t="s">
        <v>1479</v>
      </c>
      <c r="B1161" s="298" t="s">
        <v>9</v>
      </c>
      <c r="C1161" s="298" t="s">
        <v>309</v>
      </c>
      <c r="D1161" s="298"/>
      <c r="E1161" s="298"/>
      <c r="F1161" s="298" t="s">
        <v>1490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>
      <c r="A1162" s="297" t="s">
        <v>1479</v>
      </c>
      <c r="B1162" s="298" t="s">
        <v>9</v>
      </c>
      <c r="C1162" s="298" t="s">
        <v>309</v>
      </c>
      <c r="D1162" s="298"/>
      <c r="E1162" s="298"/>
      <c r="F1162" s="298" t="s">
        <v>1491</v>
      </c>
      <c r="G1162" s="298" t="s">
        <v>886</v>
      </c>
      <c r="H1162" s="298" t="s">
        <v>15</v>
      </c>
      <c r="I1162" s="298">
        <v>40</v>
      </c>
      <c r="J1162" s="71" t="s">
        <v>1519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>
      <c r="A1163" s="297" t="s">
        <v>1479</v>
      </c>
      <c r="B1163" s="298" t="s">
        <v>9</v>
      </c>
      <c r="C1163" s="298" t="s">
        <v>309</v>
      </c>
      <c r="D1163" s="298"/>
      <c r="E1163" s="298"/>
      <c r="F1163" s="298" t="s">
        <v>1492</v>
      </c>
      <c r="G1163" s="298" t="s">
        <v>886</v>
      </c>
      <c r="H1163" s="298" t="s">
        <v>15</v>
      </c>
      <c r="I1163" s="298">
        <v>40</v>
      </c>
      <c r="J1163" s="71" t="s">
        <v>1519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>
      <c r="A1164" s="297" t="s">
        <v>1479</v>
      </c>
      <c r="B1164" s="298" t="s">
        <v>9</v>
      </c>
      <c r="C1164" s="298" t="s">
        <v>309</v>
      </c>
      <c r="D1164" s="298"/>
      <c r="E1164" s="298"/>
      <c r="F1164" s="298" t="s">
        <v>976</v>
      </c>
      <c r="G1164" s="298" t="s">
        <v>886</v>
      </c>
      <c r="H1164" s="298" t="s">
        <v>5</v>
      </c>
      <c r="I1164" s="298">
        <v>40</v>
      </c>
      <c r="J1164" s="71" t="s">
        <v>1519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>
      <c r="A1165" s="297" t="s">
        <v>1479</v>
      </c>
      <c r="B1165" s="298" t="s">
        <v>9</v>
      </c>
      <c r="C1165" s="298" t="s">
        <v>309</v>
      </c>
      <c r="D1165" s="298"/>
      <c r="E1165" s="298"/>
      <c r="F1165" s="298" t="s">
        <v>977</v>
      </c>
      <c r="G1165" s="298" t="s">
        <v>886</v>
      </c>
      <c r="H1165" s="298" t="s">
        <v>15</v>
      </c>
      <c r="I1165" s="298">
        <v>40</v>
      </c>
      <c r="J1165" s="71" t="s">
        <v>1519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>
      <c r="A1166" s="297" t="s">
        <v>1479</v>
      </c>
      <c r="B1166" s="298" t="s">
        <v>9</v>
      </c>
      <c r="C1166" s="298" t="s">
        <v>309</v>
      </c>
      <c r="D1166" s="298"/>
      <c r="E1166" s="298"/>
      <c r="F1166" s="298" t="s">
        <v>1134</v>
      </c>
      <c r="G1166" s="298" t="s">
        <v>886</v>
      </c>
      <c r="H1166" s="298" t="s">
        <v>15</v>
      </c>
      <c r="I1166" s="298">
        <v>40</v>
      </c>
      <c r="J1166" s="71" t="s">
        <v>1519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6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>
      <c r="A1168" s="452" t="s">
        <v>1493</v>
      </c>
      <c r="B1168" s="453"/>
      <c r="C1168" s="453"/>
      <c r="D1168" s="453"/>
      <c r="E1168" s="453"/>
      <c r="F1168" s="453"/>
      <c r="G1168" s="453"/>
      <c r="H1168" s="453"/>
      <c r="I1168" s="453">
        <f>I1147+I1152+I1156+I1159+I1167</f>
        <v>586</v>
      </c>
      <c r="J1168" s="454"/>
      <c r="K1168" s="455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>
      <c r="A1169" s="297" t="s">
        <v>1495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>
      <c r="A1170" s="297" t="s">
        <v>1495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1496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>
      <c r="A1171" s="297" t="s">
        <v>1495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1497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>
      <c r="A1172" s="297" t="s">
        <v>1495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>
      <c r="A1173" s="297" t="s">
        <v>1495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1498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>
      <c r="A1174" s="297" t="s">
        <v>1495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1499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>
      <c r="A1175" s="297" t="s">
        <v>1495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>
      <c r="A1176" s="297" t="s">
        <v>1495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>
      <c r="A1177" s="297" t="s">
        <v>1495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>
      <c r="A1178" s="297" t="s">
        <v>1495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>
      <c r="A1179" s="297" t="s">
        <v>1495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1433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>
      <c r="A1180" s="297" t="s">
        <v>1495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1500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>
      <c r="A1181" s="297" t="s">
        <v>1495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>
      <c r="A1182" s="297" t="s">
        <v>1495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1501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>
      <c r="A1183" s="297" t="s">
        <v>1495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>
      <c r="A1184" s="297" t="s">
        <v>1495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1496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>
      <c r="A1185" s="297" t="s">
        <v>1495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>
      <c r="A1186" s="297" t="s">
        <v>1495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>
      <c r="A1187" s="297" t="s">
        <v>1495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1502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>
      <c r="A1188" s="297" t="s">
        <v>1495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>
      <c r="A1189" s="297" t="s">
        <v>1495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1520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>
      <c r="A1190" s="297" t="s">
        <v>1495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1503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>
      <c r="A1191" s="297" t="s">
        <v>1495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>
      <c r="A1192" s="297" t="s">
        <v>1495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>
      <c r="A1193" s="297" t="s">
        <v>1495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>
      <c r="A1194" s="297" t="s">
        <v>1495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>
      <c r="A1195" s="297" t="s">
        <v>1495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1504</v>
      </c>
      <c r="G1195" s="298" t="s">
        <v>1505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>
      <c r="A1197" s="452" t="s">
        <v>1506</v>
      </c>
      <c r="B1197" s="453"/>
      <c r="C1197" s="453"/>
      <c r="D1197" s="453"/>
      <c r="E1197" s="453"/>
      <c r="F1197" s="453"/>
      <c r="G1197" s="453"/>
      <c r="H1197" s="453"/>
      <c r="I1197" s="453">
        <f>I1196</f>
        <v>500</v>
      </c>
      <c r="J1197" s="454"/>
      <c r="K1197" s="455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>
      <c r="A1198" s="297" t="s">
        <v>1522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1523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>
      <c r="A1199" s="297" t="s">
        <v>1522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1524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>
      <c r="A1200" s="297" t="s">
        <v>1522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>
      <c r="A1201" s="297" t="s">
        <v>1522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1349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>
      <c r="A1202" s="297" t="s">
        <v>1522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>
      <c r="A1203" s="297" t="s">
        <v>1522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1525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>
      <c r="A1204" s="297" t="s">
        <v>1522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1526</v>
      </c>
      <c r="G1204" s="298" t="s">
        <v>1447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>
      <c r="A1205" s="297" t="s">
        <v>1522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1527</v>
      </c>
      <c r="G1205" s="298" t="s">
        <v>1445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>
      <c r="A1206" s="297" t="s">
        <v>1522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1446</v>
      </c>
      <c r="H1206" s="298" t="s">
        <v>5</v>
      </c>
      <c r="I1206" s="298">
        <v>20</v>
      </c>
      <c r="J1206" s="71" t="s">
        <v>1511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>
      <c r="A1207" s="297" t="s">
        <v>1522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1528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>
      <c r="A1208" s="297" t="s">
        <v>1522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6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>
      <c r="A1210" s="297" t="s">
        <v>1522</v>
      </c>
      <c r="B1210" s="298" t="s">
        <v>9</v>
      </c>
      <c r="C1210" s="298" t="s">
        <v>1414</v>
      </c>
      <c r="D1210" s="298"/>
      <c r="E1210" s="298"/>
      <c r="F1210" s="298" t="s">
        <v>1529</v>
      </c>
      <c r="G1210" s="298" t="s">
        <v>1420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6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>
      <c r="A1212" s="297" t="s">
        <v>1522</v>
      </c>
      <c r="B1212" s="298" t="s">
        <v>9</v>
      </c>
      <c r="C1212" s="298" t="s">
        <v>1414</v>
      </c>
      <c r="D1212" s="298"/>
      <c r="E1212" s="298"/>
      <c r="F1212" s="298" t="s">
        <v>1530</v>
      </c>
      <c r="G1212" s="298" t="s">
        <v>1420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>
      <c r="A1213" s="297" t="s">
        <v>1522</v>
      </c>
      <c r="B1213" s="298" t="s">
        <v>9</v>
      </c>
      <c r="C1213" s="298" t="s">
        <v>1414</v>
      </c>
      <c r="D1213" s="298"/>
      <c r="E1213" s="298"/>
      <c r="F1213" s="298" t="s">
        <v>1531</v>
      </c>
      <c r="G1213" s="298" t="s">
        <v>1420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>
      <c r="A1214" s="297" t="s">
        <v>1522</v>
      </c>
      <c r="B1214" s="298" t="s">
        <v>9</v>
      </c>
      <c r="C1214" s="298" t="s">
        <v>1414</v>
      </c>
      <c r="D1214" s="298"/>
      <c r="E1214" s="298"/>
      <c r="F1214" s="298" t="s">
        <v>1532</v>
      </c>
      <c r="G1214" s="298" t="s">
        <v>1420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>
      <c r="A1215" s="297" t="s">
        <v>1522</v>
      </c>
      <c r="B1215" s="298" t="s">
        <v>9</v>
      </c>
      <c r="C1215" s="298" t="s">
        <v>1414</v>
      </c>
      <c r="D1215" s="298"/>
      <c r="E1215" s="298"/>
      <c r="F1215" s="298" t="s">
        <v>1533</v>
      </c>
      <c r="G1215" s="298" t="s">
        <v>1420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>
      <c r="A1216" s="297" t="s">
        <v>1522</v>
      </c>
      <c r="B1216" s="298" t="s">
        <v>9</v>
      </c>
      <c r="C1216" s="298" t="s">
        <v>1414</v>
      </c>
      <c r="D1216" s="298"/>
      <c r="E1216" s="298"/>
      <c r="F1216" s="298" t="s">
        <v>1534</v>
      </c>
      <c r="G1216" s="298" t="s">
        <v>1420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>
      <c r="A1217" s="297" t="s">
        <v>1522</v>
      </c>
      <c r="B1217" s="298" t="s">
        <v>9</v>
      </c>
      <c r="C1217" s="298" t="s">
        <v>1414</v>
      </c>
      <c r="D1217" s="298"/>
      <c r="E1217" s="298"/>
      <c r="F1217" s="298" t="s">
        <v>1535</v>
      </c>
      <c r="G1217" s="298" t="s">
        <v>1420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>
      <c r="A1218" s="297" t="s">
        <v>1522</v>
      </c>
      <c r="B1218" s="298" t="s">
        <v>9</v>
      </c>
      <c r="C1218" s="298" t="s">
        <v>1414</v>
      </c>
      <c r="D1218" s="298"/>
      <c r="E1218" s="298"/>
      <c r="F1218" s="298" t="s">
        <v>1536</v>
      </c>
      <c r="G1218" s="298" t="s">
        <v>1420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6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>
      <c r="A1220" s="452" t="s">
        <v>1537</v>
      </c>
      <c r="B1220" s="453"/>
      <c r="C1220" s="453"/>
      <c r="D1220" s="453"/>
      <c r="E1220" s="453"/>
      <c r="F1220" s="453"/>
      <c r="G1220" s="453"/>
      <c r="H1220" s="453"/>
      <c r="I1220" s="453">
        <f>I1209+I1211+I1219</f>
        <v>410</v>
      </c>
      <c r="J1220" s="454"/>
      <c r="K1220" s="455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>
      <c r="A1221" s="297" t="s">
        <v>1539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>
      <c r="A1222" s="297" t="s">
        <v>1539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>
      <c r="A1223" s="297" t="s">
        <v>1539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1540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>
      <c r="A1224" s="297" t="s">
        <v>1539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1541</v>
      </c>
      <c r="G1224" s="298" t="s">
        <v>1554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>
      <c r="A1225" s="297" t="s">
        <v>1539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1555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>
      <c r="A1226" s="297" t="s">
        <v>1539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1555</v>
      </c>
      <c r="H1226" s="298" t="s">
        <v>15</v>
      </c>
      <c r="I1226" s="298">
        <v>13</v>
      </c>
      <c r="J1226" s="71" t="s">
        <v>1563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>
      <c r="A1227" s="297" t="s">
        <v>1539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1542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>
      <c r="A1228" s="297" t="s">
        <v>1539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1543</v>
      </c>
      <c r="G1228" s="298" t="s">
        <v>82</v>
      </c>
      <c r="H1228" s="298" t="s">
        <v>5</v>
      </c>
      <c r="I1228" s="298">
        <v>21</v>
      </c>
      <c r="J1228" s="71" t="s">
        <v>1564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>
      <c r="A1229" s="297" t="s">
        <v>1539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1544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>
      <c r="A1230" s="297" t="s">
        <v>1539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1545</v>
      </c>
      <c r="G1230" s="298" t="s">
        <v>82</v>
      </c>
      <c r="H1230" s="298" t="s">
        <v>5</v>
      </c>
      <c r="I1230" s="298">
        <v>11</v>
      </c>
      <c r="J1230" s="71" t="s">
        <v>1565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>
      <c r="A1231" s="297" t="s">
        <v>1539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1546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>
      <c r="A1232" s="297" t="s">
        <v>1539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1547</v>
      </c>
      <c r="G1232" s="298" t="s">
        <v>1556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>
      <c r="A1233" s="297" t="s">
        <v>1539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1081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>
      <c r="A1234" s="297" t="s">
        <v>1539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>
      <c r="A1235" s="297" t="s">
        <v>1539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>
      <c r="A1236" s="297" t="s">
        <v>1539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>
      <c r="A1237" s="297" t="s">
        <v>1539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>
      <c r="A1238" s="297" t="s">
        <v>1539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>
      <c r="A1239" s="297" t="s">
        <v>1539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1557</v>
      </c>
      <c r="H1239" s="298" t="s">
        <v>15</v>
      </c>
      <c r="I1239" s="298">
        <v>15</v>
      </c>
      <c r="J1239" s="71" t="s">
        <v>1566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>
      <c r="A1240" s="297" t="s">
        <v>1539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1558</v>
      </c>
      <c r="H1240" s="298" t="s">
        <v>15</v>
      </c>
      <c r="I1240" s="298">
        <v>15</v>
      </c>
      <c r="J1240" s="71" t="s">
        <v>1567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>
      <c r="A1241" s="297" t="s">
        <v>1539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1548</v>
      </c>
      <c r="G1241" s="298" t="s">
        <v>1558</v>
      </c>
      <c r="H1241" s="298" t="s">
        <v>15</v>
      </c>
      <c r="I1241" s="298">
        <v>30</v>
      </c>
      <c r="J1241" s="71" t="s">
        <v>1568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>
      <c r="A1242" s="297" t="s">
        <v>1539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1559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>
      <c r="A1243" s="297" t="s">
        <v>1539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1549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>
      <c r="A1244" s="297" t="s">
        <v>1539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1560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>
      <c r="A1245" s="297" t="s">
        <v>1539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>
      <c r="A1246" s="297" t="s">
        <v>1539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1550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>
      <c r="A1247" s="297" t="s">
        <v>1539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1551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>
      <c r="A1248" s="297" t="s">
        <v>1539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1552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>
      <c r="A1249" s="297" t="s">
        <v>1539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1553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>
      <c r="A1251" s="452" t="s">
        <v>1561</v>
      </c>
      <c r="B1251" s="453"/>
      <c r="C1251" s="453"/>
      <c r="D1251" s="453"/>
      <c r="E1251" s="453"/>
      <c r="F1251" s="453"/>
      <c r="G1251" s="453"/>
      <c r="H1251" s="453"/>
      <c r="I1251" s="453">
        <f>I1250</f>
        <v>530</v>
      </c>
      <c r="J1251" s="454"/>
      <c r="K1251" s="455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>
      <c r="A1252" s="297" t="s">
        <v>1569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1570</v>
      </c>
      <c r="G1252" s="298" t="s">
        <v>1576</v>
      </c>
      <c r="H1252" s="298" t="s">
        <v>191</v>
      </c>
      <c r="I1252" s="298">
        <v>11</v>
      </c>
      <c r="J1252" s="71" t="s">
        <v>1581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>
      <c r="A1253" s="297" t="s">
        <v>1569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1571</v>
      </c>
      <c r="G1253" s="298" t="s">
        <v>1577</v>
      </c>
      <c r="H1253" s="298" t="s">
        <v>8</v>
      </c>
      <c r="I1253" s="298">
        <v>20</v>
      </c>
      <c r="J1253" s="71" t="s">
        <v>1582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>
      <c r="A1254" s="297" t="s">
        <v>1569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1572</v>
      </c>
      <c r="G1254" s="298" t="s">
        <v>1577</v>
      </c>
      <c r="H1254" s="298" t="s">
        <v>550</v>
      </c>
      <c r="I1254" s="298">
        <v>20</v>
      </c>
      <c r="J1254" s="71" t="s">
        <v>1583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>
      <c r="A1255" s="297" t="s">
        <v>1569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1573</v>
      </c>
      <c r="G1255" s="298" t="s">
        <v>1578</v>
      </c>
      <c r="H1255" s="298" t="s">
        <v>550</v>
      </c>
      <c r="I1255" s="298">
        <v>20</v>
      </c>
      <c r="J1255" s="71" t="s">
        <v>1583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>
      <c r="A1256" s="297" t="s">
        <v>1569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1574</v>
      </c>
      <c r="G1256" s="298" t="s">
        <v>1579</v>
      </c>
      <c r="H1256" s="298" t="s">
        <v>8</v>
      </c>
      <c r="I1256" s="298">
        <v>20</v>
      </c>
      <c r="J1256" s="71" t="s">
        <v>1582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>
      <c r="A1257" s="297" t="s">
        <v>1569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1575</v>
      </c>
      <c r="G1257" s="298" t="s">
        <v>245</v>
      </c>
      <c r="H1257" s="298" t="s">
        <v>550</v>
      </c>
      <c r="I1257" s="298">
        <v>20</v>
      </c>
      <c r="J1257" s="71" t="s">
        <v>1584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>
      <c r="A1259" s="452" t="s">
        <v>1580</v>
      </c>
      <c r="B1259" s="453"/>
      <c r="C1259" s="453"/>
      <c r="D1259" s="453"/>
      <c r="E1259" s="453"/>
      <c r="F1259" s="453"/>
      <c r="G1259" s="453"/>
      <c r="H1259" s="453"/>
      <c r="I1259" s="453">
        <f>I1258</f>
        <v>111</v>
      </c>
      <c r="J1259" s="454"/>
      <c r="K1259" s="455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>
      <c r="A1260" s="297" t="s">
        <v>1585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>
      <c r="A1261" s="297" t="s">
        <v>1585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>
      <c r="A1262" s="297" t="s">
        <v>1585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1586</v>
      </c>
      <c r="G1262" s="298" t="s">
        <v>27</v>
      </c>
      <c r="H1262" s="298" t="s">
        <v>5</v>
      </c>
      <c r="I1262" s="298">
        <v>15</v>
      </c>
      <c r="J1262" s="71" t="s">
        <v>1593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>
      <c r="A1263" s="297" t="s">
        <v>1585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1587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479" si="31">SUM(K1263-N1263-Q1263-T1263-W1263)</f>
        <v>516.4</v>
      </c>
      <c r="Y1263" s="52"/>
      <c r="Z1263" s="3"/>
    </row>
    <row r="1264" spans="1:26">
      <c r="A1264" s="297" t="s">
        <v>1585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>
      <c r="A1265" s="297" t="s">
        <v>1585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1588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>
      <c r="A1266" s="297" t="s">
        <v>1585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>
      <c r="A1267" s="297" t="s">
        <v>1585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1589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>
      <c r="A1268" s="297" t="s">
        <v>1585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1590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>
      <c r="A1269" s="297" t="s">
        <v>1585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>
      <c r="A1270" s="297" t="s">
        <v>1585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>
      <c r="A1271" s="297" t="s">
        <v>1585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>
      <c r="A1272" s="297" t="s">
        <v>1585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>
      <c r="A1273" s="297" t="s">
        <v>1585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>
      <c r="A1274" s="297" t="s">
        <v>1585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>
      <c r="A1275" s="297" t="s">
        <v>1585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1591</v>
      </c>
      <c r="G1275" s="298" t="s">
        <v>1157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>
      <c r="A1276" s="297" t="s">
        <v>1585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1157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>
      <c r="A1278" s="452" t="s">
        <v>1592</v>
      </c>
      <c r="B1278" s="453"/>
      <c r="C1278" s="453"/>
      <c r="D1278" s="453"/>
      <c r="E1278" s="453"/>
      <c r="F1278" s="453"/>
      <c r="G1278" s="453"/>
      <c r="H1278" s="453"/>
      <c r="I1278" s="458">
        <f>I1277</f>
        <v>502</v>
      </c>
      <c r="J1278" s="454"/>
      <c r="K1278" s="455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>
      <c r="A1279" s="297" t="s">
        <v>1597</v>
      </c>
      <c r="B1279" s="298" t="s">
        <v>9</v>
      </c>
      <c r="C1279" s="298" t="s">
        <v>1414</v>
      </c>
      <c r="D1279" s="298"/>
      <c r="E1279" s="298"/>
      <c r="F1279" s="298" t="s">
        <v>1598</v>
      </c>
      <c r="G1279" s="298" t="s">
        <v>1601</v>
      </c>
      <c r="H1279" s="298" t="s">
        <v>15</v>
      </c>
      <c r="I1279" s="96">
        <v>20</v>
      </c>
      <c r="J1279" s="71" t="s">
        <v>1516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>
      <c r="A1280" s="297" t="s">
        <v>1597</v>
      </c>
      <c r="B1280" s="298" t="s">
        <v>9</v>
      </c>
      <c r="C1280" s="298" t="s">
        <v>1414</v>
      </c>
      <c r="D1280" s="298"/>
      <c r="E1280" s="298"/>
      <c r="F1280" s="298" t="s">
        <v>1599</v>
      </c>
      <c r="G1280" s="298" t="s">
        <v>1601</v>
      </c>
      <c r="H1280" s="298" t="s">
        <v>15</v>
      </c>
      <c r="I1280" s="298">
        <v>20</v>
      </c>
      <c r="J1280" s="71" t="s">
        <v>1516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>
      <c r="A1281" s="297" t="s">
        <v>1597</v>
      </c>
      <c r="B1281" s="298" t="s">
        <v>9</v>
      </c>
      <c r="C1281" s="298" t="s">
        <v>1414</v>
      </c>
      <c r="D1281" s="298"/>
      <c r="E1281" s="298"/>
      <c r="F1281" s="298" t="s">
        <v>1600</v>
      </c>
      <c r="G1281" s="298" t="s">
        <v>1601</v>
      </c>
      <c r="H1281" s="298" t="s">
        <v>15</v>
      </c>
      <c r="I1281" s="298">
        <v>20</v>
      </c>
      <c r="J1281" s="71" t="s">
        <v>1516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6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>
      <c r="A1283" s="297" t="s">
        <v>1597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1603</v>
      </c>
      <c r="G1283" s="298" t="s">
        <v>1557</v>
      </c>
      <c r="H1283" s="298" t="s">
        <v>15</v>
      </c>
      <c r="I1283" s="298">
        <v>15</v>
      </c>
      <c r="J1283" s="71" t="s">
        <v>1566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>
      <c r="A1284" s="297" t="s">
        <v>1597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1557</v>
      </c>
      <c r="H1284" s="298" t="s">
        <v>15</v>
      </c>
      <c r="I1284" s="298">
        <v>30</v>
      </c>
      <c r="J1284" s="71" t="s">
        <v>1610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>
      <c r="A1285" s="297" t="s">
        <v>1597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1453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>
      <c r="A1286" s="297" t="s">
        <v>1597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1604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>
      <c r="A1287" s="297" t="s">
        <v>1597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1605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>
      <c r="A1288" s="297" t="s">
        <v>1597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1606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>
      <c r="A1289" s="297" t="s">
        <v>1597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>
      <c r="A1290" s="297" t="s">
        <v>1597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1607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>
      <c r="A1291" s="297" t="s">
        <v>1597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1452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>
      <c r="A1292" s="297" t="s">
        <v>1597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>
      <c r="A1293" s="297" t="s">
        <v>1597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>
      <c r="A1294" s="297" t="s">
        <v>1597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1608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>
      <c r="A1295" s="297" t="s">
        <v>1597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>
      <c r="A1296" s="297" t="s">
        <v>1597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>
      <c r="A1297" s="297" t="s">
        <v>1597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>
      <c r="A1298" s="297" t="s">
        <v>1597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>
      <c r="A1299" s="297" t="s">
        <v>1597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1609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>
      <c r="A1300" s="297" t="s">
        <v>1597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>
      <c r="A1301" s="297" t="s">
        <v>1597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>
      <c r="A1302" s="297" t="s">
        <v>1597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>
      <c r="A1303" s="297" t="s">
        <v>1597</v>
      </c>
      <c r="B1303" s="298" t="s">
        <v>9</v>
      </c>
      <c r="C1303" s="298">
        <v>32</v>
      </c>
      <c r="D1303" s="298" t="s">
        <v>10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>
      <c r="A1304" s="297" t="s">
        <v>1597</v>
      </c>
      <c r="B1304" s="298" t="s">
        <v>9</v>
      </c>
      <c r="C1304" s="298">
        <v>32</v>
      </c>
      <c r="D1304" s="298" t="s">
        <v>10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>
      <c r="A1305" s="297" t="s">
        <v>1597</v>
      </c>
      <c r="B1305" s="298" t="s">
        <v>9</v>
      </c>
      <c r="C1305" s="298">
        <v>32</v>
      </c>
      <c r="D1305" s="298" t="s">
        <v>10</v>
      </c>
      <c r="E1305" s="298">
        <v>509</v>
      </c>
      <c r="F1305" s="298" t="s">
        <v>1552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>
      <c r="A1308" s="452" t="s">
        <v>1602</v>
      </c>
      <c r="B1308" s="453"/>
      <c r="C1308" s="453"/>
      <c r="D1308" s="453"/>
      <c r="E1308" s="453"/>
      <c r="F1308" s="453"/>
      <c r="G1308" s="453"/>
      <c r="H1308" s="453"/>
      <c r="I1308" s="458">
        <f>I1307</f>
        <v>545</v>
      </c>
      <c r="J1308" s="454"/>
      <c r="K1308" s="455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>
      <c r="A1309" s="297" t="s">
        <v>1613</v>
      </c>
      <c r="B1309" s="298" t="s">
        <v>9</v>
      </c>
      <c r="C1309" s="298">
        <v>32</v>
      </c>
      <c r="D1309" s="298" t="s">
        <v>16</v>
      </c>
      <c r="E1309" s="298">
        <v>71</v>
      </c>
      <c r="F1309" s="298" t="s">
        <v>122</v>
      </c>
      <c r="G1309" s="298" t="s">
        <v>27</v>
      </c>
      <c r="H1309" s="298" t="s">
        <v>5</v>
      </c>
      <c r="I1309" s="298">
        <v>20</v>
      </c>
      <c r="J1309" s="71" t="s">
        <v>136</v>
      </c>
      <c r="K1309" s="71">
        <f>(20*38)</f>
        <v>760</v>
      </c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>
        <f t="shared" si="31"/>
        <v>760</v>
      </c>
      <c r="Y1309" s="52"/>
      <c r="Z1309" s="3"/>
    </row>
    <row r="1310" spans="1:26">
      <c r="A1310" s="297" t="s">
        <v>1613</v>
      </c>
      <c r="B1310" s="298" t="s">
        <v>9</v>
      </c>
      <c r="C1310" s="298">
        <v>32</v>
      </c>
      <c r="D1310" s="298" t="s">
        <v>16</v>
      </c>
      <c r="E1310" s="298">
        <v>72</v>
      </c>
      <c r="F1310" s="298" t="s">
        <v>240</v>
      </c>
      <c r="G1310" s="298" t="s">
        <v>27</v>
      </c>
      <c r="H1310" s="298" t="s">
        <v>5</v>
      </c>
      <c r="I1310" s="298">
        <v>15</v>
      </c>
      <c r="J1310" s="71" t="s">
        <v>93</v>
      </c>
      <c r="K1310" s="71">
        <f>(15*38)</f>
        <v>570</v>
      </c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>
        <f t="shared" si="31"/>
        <v>570</v>
      </c>
      <c r="Y1310" s="52"/>
      <c r="Z1310" s="3"/>
    </row>
    <row r="1311" spans="1:26">
      <c r="A1311" s="297" t="s">
        <v>1613</v>
      </c>
      <c r="B1311" s="298" t="s">
        <v>9</v>
      </c>
      <c r="C1311" s="298">
        <v>32</v>
      </c>
      <c r="D1311" s="298" t="s">
        <v>16</v>
      </c>
      <c r="E1311" s="298">
        <v>102</v>
      </c>
      <c r="F1311" s="298" t="s">
        <v>572</v>
      </c>
      <c r="G1311" s="298" t="s">
        <v>113</v>
      </c>
      <c r="H1311" s="298" t="s">
        <v>15</v>
      </c>
      <c r="I1311" s="298">
        <v>15</v>
      </c>
      <c r="J1311" s="71" t="s">
        <v>13</v>
      </c>
      <c r="K1311" s="71">
        <f>(14*35)+(1*26.4)</f>
        <v>516.4</v>
      </c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>
        <f t="shared" si="31"/>
        <v>516.4</v>
      </c>
      <c r="Y1311" s="52"/>
      <c r="Z1311" s="3"/>
    </row>
    <row r="1312" spans="1:26">
      <c r="A1312" s="297" t="s">
        <v>1613</v>
      </c>
      <c r="B1312" s="298" t="s">
        <v>9</v>
      </c>
      <c r="C1312" s="298">
        <v>32</v>
      </c>
      <c r="D1312" s="298" t="s">
        <v>16</v>
      </c>
      <c r="E1312" s="298">
        <v>104</v>
      </c>
      <c r="F1312" s="298" t="s">
        <v>642</v>
      </c>
      <c r="G1312" s="298" t="s">
        <v>113</v>
      </c>
      <c r="H1312" s="298" t="s">
        <v>15</v>
      </c>
      <c r="I1312" s="298">
        <v>20</v>
      </c>
      <c r="J1312" s="71" t="s">
        <v>17</v>
      </c>
      <c r="K1312" s="71">
        <f>(19*35)+(1*26.4)</f>
        <v>691.4</v>
      </c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>
        <f t="shared" si="31"/>
        <v>691.4</v>
      </c>
      <c r="Y1312" s="52"/>
      <c r="Z1312" s="3"/>
    </row>
    <row r="1313" spans="1:26">
      <c r="A1313" s="297" t="s">
        <v>1613</v>
      </c>
      <c r="B1313" s="298" t="s">
        <v>9</v>
      </c>
      <c r="C1313" s="298">
        <v>32</v>
      </c>
      <c r="D1313" s="298" t="s">
        <v>16</v>
      </c>
      <c r="E1313" s="298">
        <v>106</v>
      </c>
      <c r="F1313" s="298" t="s">
        <v>255</v>
      </c>
      <c r="G1313" s="298" t="s">
        <v>113</v>
      </c>
      <c r="H1313" s="298" t="s">
        <v>15</v>
      </c>
      <c r="I1313" s="298">
        <v>20</v>
      </c>
      <c r="J1313" s="71" t="s">
        <v>17</v>
      </c>
      <c r="K1313" s="71">
        <f>(19*35)+(1*26.4)</f>
        <v>691.4</v>
      </c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>
        <f t="shared" si="31"/>
        <v>691.4</v>
      </c>
      <c r="Y1313" s="52"/>
      <c r="Z1313" s="3"/>
    </row>
    <row r="1314" spans="1:26">
      <c r="A1314" s="297" t="s">
        <v>1613</v>
      </c>
      <c r="B1314" s="298" t="s">
        <v>9</v>
      </c>
      <c r="C1314" s="298">
        <v>32</v>
      </c>
      <c r="D1314" s="298" t="s">
        <v>16</v>
      </c>
      <c r="E1314" s="298">
        <v>171</v>
      </c>
      <c r="F1314" s="298" t="s">
        <v>629</v>
      </c>
      <c r="G1314" s="298" t="s">
        <v>1619</v>
      </c>
      <c r="H1314" s="298" t="s">
        <v>15</v>
      </c>
      <c r="I1314" s="298">
        <v>20</v>
      </c>
      <c r="J1314" s="71" t="s">
        <v>30</v>
      </c>
      <c r="K1314" s="71">
        <f t="shared" ref="K1314:K1319" si="33">(19*38)+(1*29.4)</f>
        <v>751.4</v>
      </c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>
        <f t="shared" si="31"/>
        <v>751.4</v>
      </c>
      <c r="Y1314" s="52"/>
      <c r="Z1314" s="3"/>
    </row>
    <row r="1315" spans="1:26">
      <c r="A1315" s="297" t="s">
        <v>1613</v>
      </c>
      <c r="B1315" s="298" t="s">
        <v>9</v>
      </c>
      <c r="C1315" s="298">
        <v>32</v>
      </c>
      <c r="D1315" s="298" t="s">
        <v>16</v>
      </c>
      <c r="E1315" s="298">
        <v>203</v>
      </c>
      <c r="F1315" s="298" t="s">
        <v>1607</v>
      </c>
      <c r="G1315" s="298" t="s">
        <v>1620</v>
      </c>
      <c r="H1315" s="298" t="s">
        <v>15</v>
      </c>
      <c r="I1315" s="298">
        <v>20</v>
      </c>
      <c r="J1315" s="71" t="s">
        <v>30</v>
      </c>
      <c r="K1315" s="71">
        <f t="shared" si="33"/>
        <v>751.4</v>
      </c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>
        <f t="shared" si="31"/>
        <v>751.4</v>
      </c>
      <c r="Y1315" s="52"/>
      <c r="Z1315" s="3"/>
    </row>
    <row r="1316" spans="1:26">
      <c r="A1316" s="297" t="s">
        <v>1613</v>
      </c>
      <c r="B1316" s="298" t="s">
        <v>9</v>
      </c>
      <c r="C1316" s="298">
        <v>32</v>
      </c>
      <c r="D1316" s="298" t="s">
        <v>16</v>
      </c>
      <c r="E1316" s="298">
        <v>207</v>
      </c>
      <c r="F1316" s="298" t="s">
        <v>735</v>
      </c>
      <c r="G1316" s="298" t="s">
        <v>1620</v>
      </c>
      <c r="H1316" s="298" t="s">
        <v>15</v>
      </c>
      <c r="I1316" s="298">
        <v>20</v>
      </c>
      <c r="J1316" s="71" t="s">
        <v>30</v>
      </c>
      <c r="K1316" s="71">
        <f t="shared" si="33"/>
        <v>751.4</v>
      </c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>
        <f t="shared" si="31"/>
        <v>751.4</v>
      </c>
      <c r="Y1316" s="52"/>
      <c r="Z1316" s="3"/>
    </row>
    <row r="1317" spans="1:26">
      <c r="A1317" s="297" t="s">
        <v>1613</v>
      </c>
      <c r="B1317" s="298" t="s">
        <v>9</v>
      </c>
      <c r="C1317" s="298">
        <v>32</v>
      </c>
      <c r="D1317" s="298" t="s">
        <v>16</v>
      </c>
      <c r="E1317" s="298">
        <v>228</v>
      </c>
      <c r="F1317" s="298" t="s">
        <v>1614</v>
      </c>
      <c r="G1317" s="298" t="s">
        <v>94</v>
      </c>
      <c r="H1317" s="298" t="s">
        <v>15</v>
      </c>
      <c r="I1317" s="298">
        <v>20</v>
      </c>
      <c r="J1317" s="71" t="s">
        <v>30</v>
      </c>
      <c r="K1317" s="71">
        <f t="shared" si="33"/>
        <v>751.4</v>
      </c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>
        <f t="shared" si="31"/>
        <v>751.4</v>
      </c>
      <c r="Y1317" s="52"/>
      <c r="Z1317" s="3"/>
    </row>
    <row r="1318" spans="1:26">
      <c r="A1318" s="297" t="s">
        <v>1613</v>
      </c>
      <c r="B1318" s="298" t="s">
        <v>9</v>
      </c>
      <c r="C1318" s="298">
        <v>32</v>
      </c>
      <c r="D1318" s="298" t="s">
        <v>16</v>
      </c>
      <c r="E1318" s="298">
        <v>229</v>
      </c>
      <c r="F1318" s="298" t="s">
        <v>1615</v>
      </c>
      <c r="G1318" s="298" t="s">
        <v>94</v>
      </c>
      <c r="H1318" s="298" t="s">
        <v>15</v>
      </c>
      <c r="I1318" s="298">
        <v>20</v>
      </c>
      <c r="J1318" s="71" t="s">
        <v>30</v>
      </c>
      <c r="K1318" s="71">
        <f t="shared" si="33"/>
        <v>751.4</v>
      </c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>
        <f t="shared" si="31"/>
        <v>751.4</v>
      </c>
      <c r="Y1318" s="52"/>
      <c r="Z1318" s="3"/>
    </row>
    <row r="1319" spans="1:26">
      <c r="A1319" s="297" t="s">
        <v>1613</v>
      </c>
      <c r="B1319" s="298" t="s">
        <v>9</v>
      </c>
      <c r="C1319" s="298">
        <v>32</v>
      </c>
      <c r="D1319" s="298" t="s">
        <v>16</v>
      </c>
      <c r="E1319" s="298">
        <v>273</v>
      </c>
      <c r="F1319" s="298" t="s">
        <v>560</v>
      </c>
      <c r="G1319" s="298" t="s">
        <v>106</v>
      </c>
      <c r="H1319" s="298" t="s">
        <v>15</v>
      </c>
      <c r="I1319" s="298">
        <v>20</v>
      </c>
      <c r="J1319" s="71" t="s">
        <v>30</v>
      </c>
      <c r="K1319" s="71">
        <f t="shared" si="33"/>
        <v>751.4</v>
      </c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>
        <f t="shared" si="31"/>
        <v>751.4</v>
      </c>
      <c r="Y1319" s="52"/>
      <c r="Z1319" s="3"/>
    </row>
    <row r="1320" spans="1:26">
      <c r="A1320" s="297" t="s">
        <v>1613</v>
      </c>
      <c r="B1320" s="298" t="s">
        <v>9</v>
      </c>
      <c r="C1320" s="298">
        <v>32</v>
      </c>
      <c r="D1320" s="298" t="s">
        <v>16</v>
      </c>
      <c r="E1320" s="298">
        <v>497</v>
      </c>
      <c r="F1320" s="298" t="s">
        <v>448</v>
      </c>
      <c r="G1320" s="298" t="s">
        <v>290</v>
      </c>
      <c r="H1320" s="298" t="s">
        <v>15</v>
      </c>
      <c r="I1320" s="298">
        <v>15</v>
      </c>
      <c r="J1320" s="71" t="s">
        <v>137</v>
      </c>
      <c r="K1320" s="71">
        <f>(15*35)</f>
        <v>525</v>
      </c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>
        <f t="shared" si="31"/>
        <v>525</v>
      </c>
      <c r="Y1320" s="52"/>
      <c r="Z1320" s="3"/>
    </row>
    <row r="1321" spans="1:26">
      <c r="A1321" s="297" t="s">
        <v>1613</v>
      </c>
      <c r="B1321" s="298" t="s">
        <v>9</v>
      </c>
      <c r="C1321" s="298">
        <v>32</v>
      </c>
      <c r="D1321" s="298" t="s">
        <v>16</v>
      </c>
      <c r="E1321" s="298">
        <v>499</v>
      </c>
      <c r="F1321" s="298" t="s">
        <v>867</v>
      </c>
      <c r="G1321" s="298" t="s">
        <v>290</v>
      </c>
      <c r="H1321" s="298" t="s">
        <v>15</v>
      </c>
      <c r="I1321" s="298">
        <v>15</v>
      </c>
      <c r="J1321" s="71" t="s">
        <v>137</v>
      </c>
      <c r="K1321" s="71">
        <f>(15*35)</f>
        <v>525</v>
      </c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>
        <f t="shared" si="31"/>
        <v>525</v>
      </c>
      <c r="Y1321" s="52"/>
      <c r="Z1321" s="3"/>
    </row>
    <row r="1322" spans="1:26">
      <c r="A1322" s="297" t="s">
        <v>1613</v>
      </c>
      <c r="B1322" s="298" t="s">
        <v>9</v>
      </c>
      <c r="C1322" s="298">
        <v>32</v>
      </c>
      <c r="D1322" s="298" t="s">
        <v>29</v>
      </c>
      <c r="E1322" s="298">
        <v>8</v>
      </c>
      <c r="F1322" s="298" t="s">
        <v>307</v>
      </c>
      <c r="G1322" s="298" t="s">
        <v>1446</v>
      </c>
      <c r="H1322" s="298" t="s">
        <v>5</v>
      </c>
      <c r="I1322" s="298">
        <v>20</v>
      </c>
      <c r="J1322" s="71" t="s">
        <v>1511</v>
      </c>
      <c r="K1322" s="71">
        <f>(19*42)+(1*33.4)</f>
        <v>831.4</v>
      </c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>
        <f t="shared" si="31"/>
        <v>831.4</v>
      </c>
      <c r="Y1322" s="52"/>
      <c r="Z1322" s="3"/>
    </row>
    <row r="1323" spans="1:26">
      <c r="A1323" s="297" t="s">
        <v>1613</v>
      </c>
      <c r="B1323" s="298" t="s">
        <v>9</v>
      </c>
      <c r="C1323" s="298">
        <v>32</v>
      </c>
      <c r="D1323" s="298" t="s">
        <v>29</v>
      </c>
      <c r="E1323" s="298">
        <v>82</v>
      </c>
      <c r="F1323" s="298" t="s">
        <v>273</v>
      </c>
      <c r="G1323" s="298" t="s">
        <v>127</v>
      </c>
      <c r="H1323" s="298" t="s">
        <v>5</v>
      </c>
      <c r="I1323" s="298">
        <v>20</v>
      </c>
      <c r="J1323" s="71" t="s">
        <v>33</v>
      </c>
      <c r="K1323" s="71">
        <f>(19*26)+(1*17.4)</f>
        <v>511.4</v>
      </c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>
        <f t="shared" si="31"/>
        <v>511.4</v>
      </c>
      <c r="Y1323" s="52"/>
      <c r="Z1323" s="3"/>
    </row>
    <row r="1324" spans="1:26">
      <c r="A1324" s="297" t="s">
        <v>1613</v>
      </c>
      <c r="B1324" s="298" t="s">
        <v>9</v>
      </c>
      <c r="C1324" s="298">
        <v>32</v>
      </c>
      <c r="D1324" s="298" t="s">
        <v>29</v>
      </c>
      <c r="E1324" s="298">
        <v>83</v>
      </c>
      <c r="F1324" s="298" t="s">
        <v>287</v>
      </c>
      <c r="G1324" s="298" t="s">
        <v>127</v>
      </c>
      <c r="H1324" s="298" t="s">
        <v>5</v>
      </c>
      <c r="I1324" s="298">
        <v>20</v>
      </c>
      <c r="J1324" s="71" t="s">
        <v>17</v>
      </c>
      <c r="K1324" s="71">
        <f>(19*35)+(1*26.4)</f>
        <v>691.4</v>
      </c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>
        <f t="shared" si="31"/>
        <v>691.4</v>
      </c>
      <c r="Y1324" s="52"/>
      <c r="Z1324" s="3"/>
    </row>
    <row r="1325" spans="1:26">
      <c r="A1325" s="297" t="s">
        <v>1613</v>
      </c>
      <c r="B1325" s="298" t="s">
        <v>9</v>
      </c>
      <c r="C1325" s="298">
        <v>32</v>
      </c>
      <c r="D1325" s="298" t="s">
        <v>29</v>
      </c>
      <c r="E1325" s="298">
        <v>84</v>
      </c>
      <c r="F1325" s="298" t="s">
        <v>573</v>
      </c>
      <c r="G1325" s="298" t="s">
        <v>127</v>
      </c>
      <c r="H1325" s="298" t="s">
        <v>15</v>
      </c>
      <c r="I1325" s="298">
        <v>20</v>
      </c>
      <c r="J1325" s="71" t="s">
        <v>17</v>
      </c>
      <c r="K1325" s="71">
        <f>(19*35)+(1*26.4)</f>
        <v>691.4</v>
      </c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>
        <f t="shared" si="31"/>
        <v>691.4</v>
      </c>
      <c r="Y1325" s="52"/>
      <c r="Z1325" s="3"/>
    </row>
    <row r="1326" spans="1:26">
      <c r="A1326" s="297" t="s">
        <v>1613</v>
      </c>
      <c r="B1326" s="298" t="s">
        <v>9</v>
      </c>
      <c r="C1326" s="298">
        <v>32</v>
      </c>
      <c r="D1326" s="298" t="s">
        <v>29</v>
      </c>
      <c r="E1326" s="298">
        <v>85</v>
      </c>
      <c r="F1326" s="298" t="s">
        <v>1616</v>
      </c>
      <c r="G1326" s="298" t="s">
        <v>127</v>
      </c>
      <c r="H1326" s="298" t="s">
        <v>15</v>
      </c>
      <c r="I1326" s="298">
        <v>19</v>
      </c>
      <c r="J1326" s="71" t="s">
        <v>1623</v>
      </c>
      <c r="K1326" s="71">
        <f>(19*35)</f>
        <v>665</v>
      </c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>
        <f t="shared" si="31"/>
        <v>665</v>
      </c>
      <c r="Y1326" s="52"/>
      <c r="Z1326" s="3"/>
    </row>
    <row r="1327" spans="1:26">
      <c r="A1327" s="297" t="s">
        <v>1613</v>
      </c>
      <c r="B1327" s="298" t="s">
        <v>9</v>
      </c>
      <c r="C1327" s="298">
        <v>32</v>
      </c>
      <c r="D1327" s="298" t="s">
        <v>10</v>
      </c>
      <c r="E1327" s="298">
        <v>119</v>
      </c>
      <c r="F1327" s="298" t="s">
        <v>1604</v>
      </c>
      <c r="G1327" s="298" t="s">
        <v>38</v>
      </c>
      <c r="H1327" s="298" t="s">
        <v>15</v>
      </c>
      <c r="I1327" s="298">
        <v>20</v>
      </c>
      <c r="J1327" s="71" t="s">
        <v>17</v>
      </c>
      <c r="K1327" s="71">
        <f>(19*35)+(1*26.4)</f>
        <v>691.4</v>
      </c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>
        <f t="shared" si="31"/>
        <v>691.4</v>
      </c>
      <c r="Y1327" s="52"/>
      <c r="Z1327" s="3"/>
    </row>
    <row r="1328" spans="1:26">
      <c r="A1328" s="297" t="s">
        <v>1613</v>
      </c>
      <c r="B1328" s="298" t="s">
        <v>9</v>
      </c>
      <c r="C1328" s="298">
        <v>32</v>
      </c>
      <c r="D1328" s="298" t="s">
        <v>10</v>
      </c>
      <c r="E1328" s="298">
        <v>181</v>
      </c>
      <c r="F1328" s="298" t="s">
        <v>1617</v>
      </c>
      <c r="G1328" s="298" t="s">
        <v>363</v>
      </c>
      <c r="H1328" s="298" t="s">
        <v>5</v>
      </c>
      <c r="I1328" s="298">
        <v>20</v>
      </c>
      <c r="J1328" s="71" t="s">
        <v>22</v>
      </c>
      <c r="K1328" s="71">
        <f>(18*35)+(2*26.4)</f>
        <v>682.8</v>
      </c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>
        <f t="shared" si="31"/>
        <v>682.8</v>
      </c>
      <c r="Y1328" s="52"/>
      <c r="Z1328" s="3"/>
    </row>
    <row r="1329" spans="1:26">
      <c r="A1329" s="297" t="s">
        <v>1613</v>
      </c>
      <c r="B1329" s="298" t="s">
        <v>9</v>
      </c>
      <c r="C1329" s="298">
        <v>32</v>
      </c>
      <c r="D1329" s="298" t="s">
        <v>10</v>
      </c>
      <c r="E1329" s="298">
        <v>232</v>
      </c>
      <c r="F1329" s="298" t="s">
        <v>152</v>
      </c>
      <c r="G1329" s="298" t="s">
        <v>177</v>
      </c>
      <c r="H1329" s="298" t="s">
        <v>15</v>
      </c>
      <c r="I1329" s="298">
        <v>15</v>
      </c>
      <c r="J1329" s="71" t="s">
        <v>13</v>
      </c>
      <c r="K1329" s="71">
        <f>(14*35)+(1*26.4)</f>
        <v>516.4</v>
      </c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>
        <f t="shared" si="31"/>
        <v>516.4</v>
      </c>
      <c r="Y1329" s="52"/>
      <c r="Z1329" s="3"/>
    </row>
    <row r="1330" spans="1:26">
      <c r="A1330" s="297" t="s">
        <v>1613</v>
      </c>
      <c r="B1330" s="298" t="s">
        <v>9</v>
      </c>
      <c r="C1330" s="298">
        <v>32</v>
      </c>
      <c r="D1330" s="298" t="s">
        <v>10</v>
      </c>
      <c r="E1330" s="298">
        <v>234</v>
      </c>
      <c r="F1330" s="298" t="s">
        <v>862</v>
      </c>
      <c r="G1330" s="298" t="s">
        <v>1621</v>
      </c>
      <c r="H1330" s="298" t="s">
        <v>15</v>
      </c>
      <c r="I1330" s="298">
        <v>30</v>
      </c>
      <c r="J1330" s="71" t="s">
        <v>12</v>
      </c>
      <c r="K1330" s="71">
        <f>(29*35)+(1*26.4)</f>
        <v>1041.4000000000001</v>
      </c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>
        <f t="shared" si="31"/>
        <v>1041.4000000000001</v>
      </c>
      <c r="Y1330" s="52"/>
      <c r="Z1330" s="3"/>
    </row>
    <row r="1331" spans="1:26">
      <c r="A1331" s="297" t="s">
        <v>1613</v>
      </c>
      <c r="B1331" s="298" t="s">
        <v>9</v>
      </c>
      <c r="C1331" s="298">
        <v>32</v>
      </c>
      <c r="D1331" s="298" t="s">
        <v>10</v>
      </c>
      <c r="E1331" s="298">
        <v>307</v>
      </c>
      <c r="F1331" s="298" t="s">
        <v>414</v>
      </c>
      <c r="G1331" s="298" t="s">
        <v>99</v>
      </c>
      <c r="H1331" s="298" t="s">
        <v>15</v>
      </c>
      <c r="I1331" s="298">
        <v>15</v>
      </c>
      <c r="J1331" s="71" t="s">
        <v>147</v>
      </c>
      <c r="K1331" s="71">
        <f>(14*36)+(1*27.4)</f>
        <v>531.4</v>
      </c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>
        <f t="shared" si="31"/>
        <v>531.4</v>
      </c>
      <c r="Y1331" s="52"/>
      <c r="Z1331" s="3"/>
    </row>
    <row r="1332" spans="1:26">
      <c r="A1332" s="297" t="s">
        <v>1613</v>
      </c>
      <c r="B1332" s="298" t="s">
        <v>9</v>
      </c>
      <c r="C1332" s="298">
        <v>32</v>
      </c>
      <c r="D1332" s="298" t="s">
        <v>10</v>
      </c>
      <c r="E1332" s="298">
        <v>310</v>
      </c>
      <c r="F1332" s="298" t="s">
        <v>429</v>
      </c>
      <c r="G1332" s="298" t="s">
        <v>99</v>
      </c>
      <c r="H1332" s="298" t="s">
        <v>15</v>
      </c>
      <c r="I1332" s="298">
        <v>15</v>
      </c>
      <c r="J1332" s="71" t="s">
        <v>142</v>
      </c>
      <c r="K1332" s="71">
        <f>(15*36)</f>
        <v>540</v>
      </c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>
        <f t="shared" si="31"/>
        <v>540</v>
      </c>
      <c r="Y1332" s="52"/>
      <c r="Z1332" s="3"/>
    </row>
    <row r="1333" spans="1:26">
      <c r="A1333" s="297" t="s">
        <v>1613</v>
      </c>
      <c r="B1333" s="298" t="s">
        <v>9</v>
      </c>
      <c r="C1333" s="298">
        <v>32</v>
      </c>
      <c r="D1333" s="298" t="s">
        <v>10</v>
      </c>
      <c r="E1333" s="298">
        <v>485</v>
      </c>
      <c r="F1333" s="298" t="s">
        <v>1162</v>
      </c>
      <c r="G1333" s="298" t="s">
        <v>674</v>
      </c>
      <c r="H1333" s="298" t="s">
        <v>15</v>
      </c>
      <c r="I1333" s="298">
        <v>33</v>
      </c>
      <c r="J1333" s="71" t="s">
        <v>1624</v>
      </c>
      <c r="K1333" s="71">
        <f>(32*26)+(1*17.4)</f>
        <v>849.4</v>
      </c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>
        <f t="shared" si="31"/>
        <v>849.4</v>
      </c>
      <c r="Y1333" s="52"/>
      <c r="Z1333" s="3"/>
    </row>
    <row r="1334" spans="1:26">
      <c r="A1334" s="297" t="s">
        <v>1613</v>
      </c>
      <c r="B1334" s="298" t="s">
        <v>9</v>
      </c>
      <c r="C1334" s="298">
        <v>32</v>
      </c>
      <c r="D1334" s="298" t="s">
        <v>10</v>
      </c>
      <c r="E1334" s="298">
        <v>544</v>
      </c>
      <c r="F1334" s="298" t="s">
        <v>1618</v>
      </c>
      <c r="G1334" s="298" t="s">
        <v>161</v>
      </c>
      <c r="H1334" s="298" t="s">
        <v>5</v>
      </c>
      <c r="I1334" s="298">
        <v>20</v>
      </c>
      <c r="J1334" s="71" t="s">
        <v>30</v>
      </c>
      <c r="K1334" s="71">
        <f>(19*38)+(1*29.4)</f>
        <v>751.4</v>
      </c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>
        <f t="shared" si="31"/>
        <v>751.4</v>
      </c>
      <c r="Y1334" s="52"/>
      <c r="Z1334" s="3"/>
    </row>
    <row r="1335" spans="1:26">
      <c r="A1335" s="297"/>
      <c r="B1335" s="298"/>
      <c r="C1335" s="298"/>
      <c r="D1335" s="298"/>
      <c r="E1335" s="298"/>
      <c r="F1335" s="298"/>
      <c r="G1335" s="298"/>
      <c r="H1335" s="298"/>
      <c r="I1335" s="298">
        <f>SUM(I1309:I1334)</f>
        <v>507</v>
      </c>
      <c r="J1335" s="71"/>
      <c r="K1335" s="298">
        <f>SUM(K1309:K1334)</f>
        <v>17782.399999999998</v>
      </c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/>
      <c r="Y1335" s="52"/>
      <c r="Z1335" s="3"/>
    </row>
    <row r="1336" spans="1:26">
      <c r="A1336" s="452" t="s">
        <v>1622</v>
      </c>
      <c r="B1336" s="453"/>
      <c r="C1336" s="453"/>
      <c r="D1336" s="453"/>
      <c r="E1336" s="453"/>
      <c r="F1336" s="453"/>
      <c r="G1336" s="453"/>
      <c r="H1336" s="453"/>
      <c r="I1336" s="458">
        <f>I1335</f>
        <v>507</v>
      </c>
      <c r="J1336" s="454"/>
      <c r="K1336" s="455">
        <f>K1335</f>
        <v>17782.399999999998</v>
      </c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/>
      <c r="Y1336" s="52"/>
      <c r="Z1336" s="3"/>
    </row>
    <row r="1337" spans="1:26">
      <c r="A1337" s="297" t="s">
        <v>1625</v>
      </c>
      <c r="B1337" s="298" t="s">
        <v>129</v>
      </c>
      <c r="C1337" s="298">
        <v>32</v>
      </c>
      <c r="D1337" s="298" t="s">
        <v>744</v>
      </c>
      <c r="E1337" s="298">
        <v>82</v>
      </c>
      <c r="F1337" s="298" t="s">
        <v>1627</v>
      </c>
      <c r="G1337" s="298" t="s">
        <v>1637</v>
      </c>
      <c r="H1337" s="298" t="s">
        <v>15</v>
      </c>
      <c r="I1337" s="298">
        <v>15</v>
      </c>
      <c r="J1337" s="71" t="s">
        <v>369</v>
      </c>
      <c r="K1337" s="71">
        <f>(14*36)+(1*28.3)</f>
        <v>532.29999999999995</v>
      </c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>
        <f t="shared" si="31"/>
        <v>532.29999999999995</v>
      </c>
      <c r="Y1337" s="52"/>
      <c r="Z1337" s="3"/>
    </row>
    <row r="1338" spans="1:26">
      <c r="A1338" s="297" t="s">
        <v>1625</v>
      </c>
      <c r="B1338" s="298" t="s">
        <v>129</v>
      </c>
      <c r="C1338" s="298">
        <v>32</v>
      </c>
      <c r="D1338" s="298" t="s">
        <v>744</v>
      </c>
      <c r="E1338" s="298">
        <v>83</v>
      </c>
      <c r="F1338" s="298" t="s">
        <v>1628</v>
      </c>
      <c r="G1338" s="298" t="s">
        <v>1637</v>
      </c>
      <c r="H1338" s="298" t="s">
        <v>15</v>
      </c>
      <c r="I1338" s="298">
        <v>15</v>
      </c>
      <c r="J1338" s="71" t="s">
        <v>369</v>
      </c>
      <c r="K1338" s="71">
        <f>(14*36)+(1*28.3)</f>
        <v>532.29999999999995</v>
      </c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>
        <f t="shared" si="31"/>
        <v>532.29999999999995</v>
      </c>
      <c r="Y1338" s="52"/>
      <c r="Z1338" s="3"/>
    </row>
    <row r="1339" spans="1:26">
      <c r="A1339" s="297" t="s">
        <v>1625</v>
      </c>
      <c r="B1339" s="298" t="s">
        <v>129</v>
      </c>
      <c r="C1339" s="298">
        <v>32</v>
      </c>
      <c r="D1339" s="298" t="s">
        <v>7</v>
      </c>
      <c r="E1339" s="298">
        <v>334</v>
      </c>
      <c r="F1339" s="298" t="s">
        <v>1629</v>
      </c>
      <c r="G1339" s="298" t="s">
        <v>258</v>
      </c>
      <c r="H1339" s="298" t="s">
        <v>15</v>
      </c>
      <c r="I1339" s="298">
        <v>20</v>
      </c>
      <c r="J1339" s="71" t="s">
        <v>1301</v>
      </c>
      <c r="K1339" s="71">
        <f>(19*35)+(1*27.3)</f>
        <v>692.3</v>
      </c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>
        <f t="shared" si="31"/>
        <v>692.3</v>
      </c>
      <c r="Y1339" s="52"/>
      <c r="Z1339" s="3"/>
    </row>
    <row r="1340" spans="1:26">
      <c r="A1340" s="297" t="s">
        <v>1625</v>
      </c>
      <c r="B1340" s="298" t="s">
        <v>129</v>
      </c>
      <c r="C1340" s="298">
        <v>32</v>
      </c>
      <c r="D1340" s="298" t="s">
        <v>7</v>
      </c>
      <c r="E1340" s="298">
        <v>335</v>
      </c>
      <c r="F1340" s="298" t="s">
        <v>1630</v>
      </c>
      <c r="G1340" s="298" t="s">
        <v>258</v>
      </c>
      <c r="H1340" s="298" t="s">
        <v>15</v>
      </c>
      <c r="I1340" s="298">
        <v>15</v>
      </c>
      <c r="J1340" s="71" t="s">
        <v>357</v>
      </c>
      <c r="K1340" s="71">
        <f>(14*35)+(1*27.3)</f>
        <v>517.29999999999995</v>
      </c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>
        <f t="shared" si="31"/>
        <v>517.29999999999995</v>
      </c>
      <c r="Y1340" s="52"/>
      <c r="Z1340" s="3"/>
    </row>
    <row r="1341" spans="1:26">
      <c r="A1341" s="297" t="s">
        <v>1625</v>
      </c>
      <c r="B1341" s="298" t="s">
        <v>129</v>
      </c>
      <c r="C1341" s="298">
        <v>32</v>
      </c>
      <c r="D1341" s="298" t="s">
        <v>7</v>
      </c>
      <c r="E1341" s="298">
        <v>933</v>
      </c>
      <c r="F1341" s="298" t="s">
        <v>581</v>
      </c>
      <c r="G1341" s="298" t="s">
        <v>1638</v>
      </c>
      <c r="H1341" s="298" t="s">
        <v>15</v>
      </c>
      <c r="I1341" s="298">
        <v>20</v>
      </c>
      <c r="J1341" s="71" t="s">
        <v>356</v>
      </c>
      <c r="K1341" s="71">
        <f>(19*35)+(1*30.7)</f>
        <v>695.7</v>
      </c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>
        <f t="shared" si="31"/>
        <v>695.7</v>
      </c>
      <c r="Y1341" s="52"/>
      <c r="Z1341" s="3"/>
    </row>
    <row r="1342" spans="1:26">
      <c r="A1342" s="297" t="s">
        <v>1625</v>
      </c>
      <c r="B1342" s="298" t="s">
        <v>129</v>
      </c>
      <c r="C1342" s="298">
        <v>32</v>
      </c>
      <c r="D1342" s="298" t="s">
        <v>7</v>
      </c>
      <c r="E1342" s="298">
        <v>1200</v>
      </c>
      <c r="F1342" s="298" t="s">
        <v>1631</v>
      </c>
      <c r="G1342" s="298" t="s">
        <v>399</v>
      </c>
      <c r="H1342" s="298" t="s">
        <v>5</v>
      </c>
      <c r="I1342" s="298">
        <v>20</v>
      </c>
      <c r="J1342" s="71" t="s">
        <v>356</v>
      </c>
      <c r="K1342" s="71">
        <f>(19*35)+(1*30.7)</f>
        <v>695.7</v>
      </c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>
        <f t="shared" si="31"/>
        <v>695.7</v>
      </c>
      <c r="Y1342" s="52"/>
      <c r="Z1342" s="3"/>
    </row>
    <row r="1343" spans="1:26">
      <c r="A1343" s="297" t="s">
        <v>1625</v>
      </c>
      <c r="B1343" s="298" t="s">
        <v>129</v>
      </c>
      <c r="C1343" s="298">
        <v>32</v>
      </c>
      <c r="D1343" s="298" t="s">
        <v>7</v>
      </c>
      <c r="E1343" s="298">
        <v>1475</v>
      </c>
      <c r="F1343" s="298" t="s">
        <v>1632</v>
      </c>
      <c r="G1343" s="298" t="s">
        <v>1639</v>
      </c>
      <c r="H1343" s="298" t="s">
        <v>15</v>
      </c>
      <c r="I1343" s="298">
        <v>13</v>
      </c>
      <c r="J1343" s="71" t="s">
        <v>1641</v>
      </c>
      <c r="K1343" s="71">
        <f>(13*32)</f>
        <v>416</v>
      </c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>
        <f t="shared" si="31"/>
        <v>416</v>
      </c>
      <c r="Y1343" s="52"/>
      <c r="Z1343" s="3"/>
    </row>
    <row r="1344" spans="1:26">
      <c r="A1344" s="297" t="s">
        <v>1625</v>
      </c>
      <c r="B1344" s="298" t="s">
        <v>129</v>
      </c>
      <c r="C1344" s="298">
        <v>32</v>
      </c>
      <c r="D1344" s="298" t="s">
        <v>7</v>
      </c>
      <c r="E1344" s="298">
        <v>1482</v>
      </c>
      <c r="F1344" s="298" t="s">
        <v>1545</v>
      </c>
      <c r="G1344" s="298" t="s">
        <v>1639</v>
      </c>
      <c r="H1344" s="298" t="s">
        <v>15</v>
      </c>
      <c r="I1344" s="298">
        <v>10</v>
      </c>
      <c r="J1344" s="71" t="s">
        <v>1642</v>
      </c>
      <c r="K1344" s="71">
        <f>(9*34)+(1*26.3)</f>
        <v>332.3</v>
      </c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>
        <f t="shared" si="31"/>
        <v>332.3</v>
      </c>
      <c r="Y1344" s="52"/>
      <c r="Z1344" s="3"/>
    </row>
    <row r="1345" spans="1:26">
      <c r="A1345" s="297" t="s">
        <v>1625</v>
      </c>
      <c r="B1345" s="298" t="s">
        <v>129</v>
      </c>
      <c r="C1345" s="298">
        <v>32</v>
      </c>
      <c r="D1345" s="298" t="s">
        <v>7</v>
      </c>
      <c r="E1345" s="298">
        <v>1624</v>
      </c>
      <c r="F1345" s="298" t="s">
        <v>1633</v>
      </c>
      <c r="G1345" s="298" t="s">
        <v>1640</v>
      </c>
      <c r="H1345" s="298" t="s">
        <v>15</v>
      </c>
      <c r="I1345" s="298">
        <v>30</v>
      </c>
      <c r="J1345" s="71" t="s">
        <v>810</v>
      </c>
      <c r="K1345" s="71">
        <f>(29*40)+(1*32.3)</f>
        <v>1192.3</v>
      </c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>
        <f t="shared" si="31"/>
        <v>1192.3</v>
      </c>
      <c r="Y1345" s="52"/>
      <c r="Z1345" s="3"/>
    </row>
    <row r="1346" spans="1:26">
      <c r="A1346" s="297" t="s">
        <v>1625</v>
      </c>
      <c r="B1346" s="298" t="s">
        <v>129</v>
      </c>
      <c r="C1346" s="298">
        <v>32</v>
      </c>
      <c r="D1346" s="298" t="s">
        <v>7</v>
      </c>
      <c r="E1346" s="298">
        <v>1627</v>
      </c>
      <c r="F1346" s="298" t="s">
        <v>1634</v>
      </c>
      <c r="G1346" s="298" t="s">
        <v>1640</v>
      </c>
      <c r="H1346" s="298" t="s">
        <v>15</v>
      </c>
      <c r="I1346" s="298">
        <v>10</v>
      </c>
      <c r="J1346" s="71" t="s">
        <v>1643</v>
      </c>
      <c r="K1346" s="71">
        <f>(9*40)+(1*32.3)</f>
        <v>392.3</v>
      </c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>
        <f t="shared" si="31"/>
        <v>392.3</v>
      </c>
      <c r="Y1346" s="52"/>
      <c r="Z1346" s="3"/>
    </row>
    <row r="1347" spans="1:26">
      <c r="A1347" s="297" t="s">
        <v>1625</v>
      </c>
      <c r="B1347" s="298" t="s">
        <v>129</v>
      </c>
      <c r="C1347" s="298">
        <v>32</v>
      </c>
      <c r="D1347" s="298" t="s">
        <v>56</v>
      </c>
      <c r="E1347" s="298">
        <v>236</v>
      </c>
      <c r="F1347" s="298" t="s">
        <v>1635</v>
      </c>
      <c r="G1347" s="298" t="s">
        <v>1116</v>
      </c>
      <c r="H1347" s="298" t="s">
        <v>15</v>
      </c>
      <c r="I1347" s="298">
        <v>20</v>
      </c>
      <c r="J1347" s="71" t="s">
        <v>1644</v>
      </c>
      <c r="K1347" s="71">
        <f>(18*30)+(2*25.7)</f>
        <v>591.4</v>
      </c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>
        <f t="shared" si="31"/>
        <v>591.4</v>
      </c>
      <c r="Y1347" s="52"/>
      <c r="Z1347" s="3"/>
    </row>
    <row r="1348" spans="1:26">
      <c r="A1348" s="297" t="s">
        <v>1625</v>
      </c>
      <c r="B1348" s="298" t="s">
        <v>129</v>
      </c>
      <c r="C1348" s="298">
        <v>32</v>
      </c>
      <c r="D1348" s="298" t="s">
        <v>56</v>
      </c>
      <c r="E1348" s="298">
        <v>237</v>
      </c>
      <c r="F1348" s="298" t="s">
        <v>1636</v>
      </c>
      <c r="G1348" s="298" t="s">
        <v>1116</v>
      </c>
      <c r="H1348" s="298" t="s">
        <v>15</v>
      </c>
      <c r="I1348" s="298">
        <v>20</v>
      </c>
      <c r="J1348" s="71" t="s">
        <v>1644</v>
      </c>
      <c r="K1348" s="71">
        <f>(18*30)+(2*25.7)</f>
        <v>591.4</v>
      </c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>
        <f t="shared" si="31"/>
        <v>591.4</v>
      </c>
      <c r="Y1348" s="52"/>
      <c r="Z1348" s="3"/>
    </row>
    <row r="1349" spans="1:26">
      <c r="A1349" s="297"/>
      <c r="B1349" s="298"/>
      <c r="C1349" s="298"/>
      <c r="D1349" s="298"/>
      <c r="E1349" s="298"/>
      <c r="F1349" s="298"/>
      <c r="G1349" s="298"/>
      <c r="H1349" s="298"/>
      <c r="I1349" s="298">
        <f>SUM(I1337:I1348)</f>
        <v>208</v>
      </c>
      <c r="J1349" s="71"/>
      <c r="K1349" s="298">
        <f>SUM(K1337:K1348)</f>
        <v>7181.2999999999993</v>
      </c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>
        <f t="shared" si="31"/>
        <v>7181.2999999999993</v>
      </c>
      <c r="Y1349" s="52"/>
      <c r="Z1349" s="3"/>
    </row>
    <row r="1350" spans="1:26">
      <c r="A1350" s="452" t="s">
        <v>1626</v>
      </c>
      <c r="B1350" s="453"/>
      <c r="C1350" s="453"/>
      <c r="D1350" s="453"/>
      <c r="E1350" s="453"/>
      <c r="F1350" s="453"/>
      <c r="G1350" s="453"/>
      <c r="H1350" s="453"/>
      <c r="I1350" s="458">
        <f>I1349</f>
        <v>208</v>
      </c>
      <c r="J1350" s="454"/>
      <c r="K1350" s="455">
        <f>K1349</f>
        <v>7181.2999999999993</v>
      </c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>
        <f t="shared" si="31"/>
        <v>7181.2999999999993</v>
      </c>
      <c r="Y1350" s="52"/>
      <c r="Z1350" s="3"/>
    </row>
    <row r="1351" spans="1:26">
      <c r="A1351" s="297" t="s">
        <v>1647</v>
      </c>
      <c r="B1351" s="298" t="s">
        <v>129</v>
      </c>
      <c r="C1351" s="298">
        <v>33</v>
      </c>
      <c r="D1351" s="298" t="s">
        <v>7</v>
      </c>
      <c r="E1351" s="298">
        <v>409</v>
      </c>
      <c r="F1351" s="298" t="s">
        <v>269</v>
      </c>
      <c r="G1351" s="298" t="s">
        <v>1120</v>
      </c>
      <c r="H1351" s="298" t="s">
        <v>15</v>
      </c>
      <c r="I1351" s="298">
        <v>20</v>
      </c>
      <c r="J1351" s="71" t="s">
        <v>1650</v>
      </c>
      <c r="K1351" s="71">
        <f>(20*31)</f>
        <v>620</v>
      </c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>
        <f t="shared" si="31"/>
        <v>620</v>
      </c>
      <c r="Y1351" s="52"/>
      <c r="Z1351" s="3"/>
    </row>
    <row r="1352" spans="1:26">
      <c r="A1352" s="297" t="s">
        <v>1647</v>
      </c>
      <c r="B1352" s="298" t="s">
        <v>129</v>
      </c>
      <c r="C1352" s="298">
        <v>33</v>
      </c>
      <c r="D1352" s="298" t="s">
        <v>7</v>
      </c>
      <c r="E1352" s="298">
        <v>461</v>
      </c>
      <c r="F1352" s="298" t="s">
        <v>532</v>
      </c>
      <c r="G1352" s="298" t="s">
        <v>258</v>
      </c>
      <c r="H1352" s="298" t="s">
        <v>15</v>
      </c>
      <c r="I1352" s="298">
        <v>15</v>
      </c>
      <c r="J1352" s="71" t="s">
        <v>357</v>
      </c>
      <c r="K1352" s="71">
        <f>(14*35)+(1*27.3)</f>
        <v>517.29999999999995</v>
      </c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>
        <f t="shared" si="31"/>
        <v>517.29999999999995</v>
      </c>
      <c r="Y1352" s="52"/>
      <c r="Z1352" s="3"/>
    </row>
    <row r="1353" spans="1:26">
      <c r="A1353" s="297" t="s">
        <v>1647</v>
      </c>
      <c r="B1353" s="298" t="s">
        <v>129</v>
      </c>
      <c r="C1353" s="298">
        <v>33</v>
      </c>
      <c r="D1353" s="298" t="s">
        <v>55</v>
      </c>
      <c r="E1353" s="298">
        <v>94</v>
      </c>
      <c r="F1353" s="298" t="s">
        <v>821</v>
      </c>
      <c r="G1353" s="298" t="s">
        <v>1120</v>
      </c>
      <c r="H1353" s="298" t="s">
        <v>15</v>
      </c>
      <c r="I1353" s="298">
        <v>25</v>
      </c>
      <c r="J1353" s="71" t="s">
        <v>1651</v>
      </c>
      <c r="K1353" s="71">
        <f>(25*31)</f>
        <v>775</v>
      </c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>
        <f t="shared" si="31"/>
        <v>775</v>
      </c>
      <c r="Y1353" s="52"/>
      <c r="Z1353" s="3"/>
    </row>
    <row r="1354" spans="1:26">
      <c r="A1354" s="297" t="s">
        <v>1647</v>
      </c>
      <c r="B1354" s="298" t="s">
        <v>129</v>
      </c>
      <c r="C1354" s="298">
        <v>33</v>
      </c>
      <c r="D1354" s="298" t="s">
        <v>55</v>
      </c>
      <c r="E1354" s="298">
        <v>95</v>
      </c>
      <c r="F1354" s="298" t="s">
        <v>825</v>
      </c>
      <c r="G1354" s="298" t="s">
        <v>1120</v>
      </c>
      <c r="H1354" s="298" t="s">
        <v>15</v>
      </c>
      <c r="I1354" s="298">
        <v>15</v>
      </c>
      <c r="J1354" s="71" t="s">
        <v>1652</v>
      </c>
      <c r="K1354" s="71">
        <f>(14*31)+(1*23.3)</f>
        <v>457.3</v>
      </c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>
        <f t="shared" si="31"/>
        <v>457.3</v>
      </c>
      <c r="Y1354" s="52"/>
      <c r="Z1354" s="3"/>
    </row>
    <row r="1355" spans="1:26">
      <c r="A1355" s="297" t="s">
        <v>1647</v>
      </c>
      <c r="B1355" s="298" t="s">
        <v>129</v>
      </c>
      <c r="C1355" s="298">
        <v>33</v>
      </c>
      <c r="D1355" s="298" t="s">
        <v>55</v>
      </c>
      <c r="E1355" s="298">
        <v>99</v>
      </c>
      <c r="F1355" s="298" t="s">
        <v>273</v>
      </c>
      <c r="G1355" s="298" t="s">
        <v>1120</v>
      </c>
      <c r="H1355" s="298" t="s">
        <v>15</v>
      </c>
      <c r="I1355" s="298">
        <v>15</v>
      </c>
      <c r="J1355" s="71" t="s">
        <v>1653</v>
      </c>
      <c r="K1355" s="71">
        <f>(13*31)+(2*23.3)</f>
        <v>449.6</v>
      </c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/>
      <c r="Y1355" s="52"/>
      <c r="Z1355" s="3"/>
    </row>
    <row r="1356" spans="1:26">
      <c r="A1356" s="297" t="s">
        <v>1647</v>
      </c>
      <c r="B1356" s="298" t="s">
        <v>129</v>
      </c>
      <c r="C1356" s="298">
        <v>33</v>
      </c>
      <c r="D1356" s="298" t="s">
        <v>55</v>
      </c>
      <c r="E1356" s="298">
        <v>206</v>
      </c>
      <c r="F1356" s="298" t="s">
        <v>1166</v>
      </c>
      <c r="G1356" s="298" t="s">
        <v>1649</v>
      </c>
      <c r="H1356" s="298" t="s">
        <v>15</v>
      </c>
      <c r="I1356" s="298">
        <v>30</v>
      </c>
      <c r="J1356" s="71" t="s">
        <v>403</v>
      </c>
      <c r="K1356" s="71">
        <f>(29*35)+(1*27.3)</f>
        <v>1042.3</v>
      </c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/>
      <c r="Y1356" s="52"/>
      <c r="Z1356" s="3"/>
    </row>
    <row r="1357" spans="1:26">
      <c r="A1357" s="297" t="s">
        <v>1647</v>
      </c>
      <c r="B1357" s="298" t="s">
        <v>129</v>
      </c>
      <c r="C1357" s="298">
        <v>33</v>
      </c>
      <c r="D1357" s="298" t="s">
        <v>55</v>
      </c>
      <c r="E1357" s="298">
        <v>207</v>
      </c>
      <c r="F1357" s="298" t="s">
        <v>986</v>
      </c>
      <c r="G1357" s="298" t="s">
        <v>1649</v>
      </c>
      <c r="H1357" s="298" t="s">
        <v>15</v>
      </c>
      <c r="I1357" s="298">
        <v>15</v>
      </c>
      <c r="J1357" s="71" t="s">
        <v>357</v>
      </c>
      <c r="K1357" s="71">
        <f>(14*35)+(1*27.3)</f>
        <v>517.29999999999995</v>
      </c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/>
      <c r="Y1357" s="52"/>
      <c r="Z1357" s="3"/>
    </row>
    <row r="1358" spans="1:26">
      <c r="A1358" s="297" t="s">
        <v>1647</v>
      </c>
      <c r="B1358" s="298" t="s">
        <v>129</v>
      </c>
      <c r="C1358" s="298">
        <v>33</v>
      </c>
      <c r="D1358" s="298" t="s">
        <v>55</v>
      </c>
      <c r="E1358" s="298">
        <v>208</v>
      </c>
      <c r="F1358" s="298" t="s">
        <v>1648</v>
      </c>
      <c r="G1358" s="298" t="s">
        <v>1649</v>
      </c>
      <c r="H1358" s="298" t="s">
        <v>15</v>
      </c>
      <c r="I1358" s="298">
        <v>15</v>
      </c>
      <c r="J1358" s="71" t="s">
        <v>357</v>
      </c>
      <c r="K1358" s="71">
        <f>(14*35)+(1*27.3)</f>
        <v>517.29999999999995</v>
      </c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/>
      <c r="Y1358" s="52"/>
      <c r="Z1358" s="3"/>
    </row>
    <row r="1359" spans="1:26">
      <c r="A1359" s="297"/>
      <c r="B1359" s="298"/>
      <c r="C1359" s="298"/>
      <c r="D1359" s="298"/>
      <c r="E1359" s="298"/>
      <c r="F1359" s="298"/>
      <c r="G1359" s="298"/>
      <c r="H1359" s="298"/>
      <c r="I1359" s="298">
        <f>SUM(I1351:I1358)</f>
        <v>150</v>
      </c>
      <c r="J1359" s="71"/>
      <c r="K1359" s="298">
        <f>SUM(K1351:K1358)</f>
        <v>4896.1000000000004</v>
      </c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/>
      <c r="Y1359" s="52"/>
      <c r="Z1359" s="3"/>
    </row>
    <row r="1360" spans="1:26">
      <c r="A1360" s="452" t="s">
        <v>1654</v>
      </c>
      <c r="B1360" s="453"/>
      <c r="C1360" s="453"/>
      <c r="D1360" s="453"/>
      <c r="E1360" s="453"/>
      <c r="F1360" s="453"/>
      <c r="G1360" s="453"/>
      <c r="H1360" s="453"/>
      <c r="I1360" s="458">
        <f>I1359</f>
        <v>150</v>
      </c>
      <c r="J1360" s="454"/>
      <c r="K1360" s="455">
        <f>K1359</f>
        <v>4896.1000000000004</v>
      </c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/>
      <c r="Y1360" s="52"/>
      <c r="Z1360" s="3"/>
    </row>
    <row r="1361" spans="1:26">
      <c r="A1361" s="297" t="s">
        <v>1656</v>
      </c>
      <c r="B1361" s="298" t="s">
        <v>9</v>
      </c>
      <c r="C1361" s="298" t="s">
        <v>1414</v>
      </c>
      <c r="D1361" s="298"/>
      <c r="E1361" s="298"/>
      <c r="F1361" s="298">
        <v>1043</v>
      </c>
      <c r="G1361" s="298"/>
      <c r="H1361" s="298" t="s">
        <v>15</v>
      </c>
      <c r="I1361" s="298">
        <v>20</v>
      </c>
      <c r="J1361" s="71" t="s">
        <v>189</v>
      </c>
      <c r="K1361" s="71">
        <f>(20*30)</f>
        <v>600</v>
      </c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/>
      <c r="Y1361" s="52"/>
      <c r="Z1361" s="3"/>
    </row>
    <row r="1362" spans="1:26">
      <c r="A1362" s="297" t="s">
        <v>1656</v>
      </c>
      <c r="B1362" s="298" t="s">
        <v>9</v>
      </c>
      <c r="C1362" s="298" t="s">
        <v>1414</v>
      </c>
      <c r="D1362" s="298"/>
      <c r="E1362" s="298"/>
      <c r="F1362" s="298">
        <v>1045</v>
      </c>
      <c r="G1362" s="298"/>
      <c r="H1362" s="298" t="s">
        <v>15</v>
      </c>
      <c r="I1362" s="298">
        <v>20</v>
      </c>
      <c r="J1362" s="71" t="s">
        <v>189</v>
      </c>
      <c r="K1362" s="71">
        <f>(20*30)</f>
        <v>600</v>
      </c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/>
      <c r="Y1362" s="52"/>
      <c r="Z1362" s="3"/>
    </row>
    <row r="1363" spans="1:26">
      <c r="A1363" s="297" t="s">
        <v>1656</v>
      </c>
      <c r="B1363" s="298" t="s">
        <v>9</v>
      </c>
      <c r="C1363" s="298" t="s">
        <v>1414</v>
      </c>
      <c r="D1363" s="298"/>
      <c r="E1363" s="298"/>
      <c r="F1363" s="298">
        <v>1048</v>
      </c>
      <c r="G1363" s="298"/>
      <c r="H1363" s="298" t="s">
        <v>5</v>
      </c>
      <c r="I1363" s="298">
        <v>20</v>
      </c>
      <c r="J1363" s="71" t="s">
        <v>189</v>
      </c>
      <c r="K1363" s="71">
        <f>(20*30)</f>
        <v>600</v>
      </c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/>
      <c r="Y1363" s="52"/>
      <c r="Z1363" s="3"/>
    </row>
    <row r="1364" spans="1:26">
      <c r="A1364" s="297" t="s">
        <v>1656</v>
      </c>
      <c r="B1364" s="298" t="s">
        <v>9</v>
      </c>
      <c r="C1364" s="298" t="s">
        <v>1414</v>
      </c>
      <c r="D1364" s="298"/>
      <c r="E1364" s="298"/>
      <c r="F1364" s="298">
        <v>1051</v>
      </c>
      <c r="G1364" s="298"/>
      <c r="H1364" s="298" t="s">
        <v>5</v>
      </c>
      <c r="I1364" s="298">
        <v>20</v>
      </c>
      <c r="J1364" s="71" t="s">
        <v>189</v>
      </c>
      <c r="K1364" s="71">
        <f>(20*30)</f>
        <v>600</v>
      </c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/>
      <c r="Y1364" s="52"/>
      <c r="Z1364" s="3"/>
    </row>
    <row r="1365" spans="1:26">
      <c r="A1365" s="297"/>
      <c r="B1365" s="298"/>
      <c r="C1365" s="298"/>
      <c r="D1365" s="298"/>
      <c r="E1365" s="298"/>
      <c r="F1365" s="298"/>
      <c r="G1365" s="298"/>
      <c r="H1365" s="298"/>
      <c r="I1365" s="298">
        <f>SUM(I1361:I1364)</f>
        <v>80</v>
      </c>
      <c r="J1365" s="71"/>
      <c r="K1365" s="298">
        <f>SUM(K1361:K1364)</f>
        <v>2400</v>
      </c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/>
      <c r="Y1365" s="52"/>
      <c r="Z1365" s="3"/>
    </row>
    <row r="1366" spans="1:26">
      <c r="A1366" s="297" t="s">
        <v>1656</v>
      </c>
      <c r="B1366" s="298" t="s">
        <v>9</v>
      </c>
      <c r="C1366" s="298" t="s">
        <v>1414</v>
      </c>
      <c r="D1366" s="298"/>
      <c r="E1366" s="298"/>
      <c r="F1366" s="298" t="s">
        <v>1657</v>
      </c>
      <c r="G1366" s="298"/>
      <c r="H1366" s="298" t="s">
        <v>15</v>
      </c>
      <c r="I1366" s="298">
        <v>35</v>
      </c>
      <c r="J1366" s="71" t="s">
        <v>1661</v>
      </c>
      <c r="K1366" s="71">
        <f>(35*26)</f>
        <v>910</v>
      </c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/>
      <c r="Y1366" s="52"/>
      <c r="Z1366" s="3"/>
    </row>
    <row r="1367" spans="1:26">
      <c r="A1367" s="297" t="s">
        <v>1656</v>
      </c>
      <c r="B1367" s="298" t="s">
        <v>9</v>
      </c>
      <c r="C1367" s="298" t="s">
        <v>1414</v>
      </c>
      <c r="D1367" s="298"/>
      <c r="E1367" s="298"/>
      <c r="F1367" s="298" t="s">
        <v>1658</v>
      </c>
      <c r="G1367" s="298"/>
      <c r="H1367" s="298" t="s">
        <v>15</v>
      </c>
      <c r="I1367" s="298">
        <v>40</v>
      </c>
      <c r="J1367" s="71" t="s">
        <v>1519</v>
      </c>
      <c r="K1367" s="71">
        <f>(40*26)</f>
        <v>1040</v>
      </c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/>
      <c r="Y1367" s="52"/>
      <c r="Z1367" s="3"/>
    </row>
    <row r="1368" spans="1:26">
      <c r="A1368" s="297" t="s">
        <v>1656</v>
      </c>
      <c r="B1368" s="298" t="s">
        <v>9</v>
      </c>
      <c r="C1368" s="298" t="s">
        <v>1414</v>
      </c>
      <c r="D1368" s="298"/>
      <c r="E1368" s="298"/>
      <c r="F1368" s="298" t="s">
        <v>1659</v>
      </c>
      <c r="G1368" s="298"/>
      <c r="H1368" s="298" t="s">
        <v>15</v>
      </c>
      <c r="I1368" s="298">
        <v>40</v>
      </c>
      <c r="J1368" s="71" t="s">
        <v>1519</v>
      </c>
      <c r="K1368" s="71">
        <f>(40*26)</f>
        <v>1040</v>
      </c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/>
      <c r="Y1368" s="52"/>
      <c r="Z1368" s="3"/>
    </row>
    <row r="1369" spans="1:26">
      <c r="A1369" s="297" t="s">
        <v>1656</v>
      </c>
      <c r="B1369" s="298" t="s">
        <v>9</v>
      </c>
      <c r="C1369" s="298" t="s">
        <v>1414</v>
      </c>
      <c r="D1369" s="298"/>
      <c r="E1369" s="298"/>
      <c r="F1369" s="298" t="s">
        <v>1660</v>
      </c>
      <c r="G1369" s="298"/>
      <c r="H1369" s="298" t="s">
        <v>5</v>
      </c>
      <c r="I1369" s="298">
        <v>40</v>
      </c>
      <c r="J1369" s="71" t="s">
        <v>1519</v>
      </c>
      <c r="K1369" s="71">
        <f>(40*26)</f>
        <v>1040</v>
      </c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/>
      <c r="Y1369" s="52"/>
      <c r="Z1369" s="3"/>
    </row>
    <row r="1370" spans="1:26">
      <c r="A1370" s="297"/>
      <c r="B1370" s="298"/>
      <c r="C1370" s="298"/>
      <c r="D1370" s="298"/>
      <c r="E1370" s="298"/>
      <c r="F1370" s="298"/>
      <c r="G1370" s="298"/>
      <c r="H1370" s="298"/>
      <c r="I1370" s="298">
        <f>SUM(I1366:I1369)</f>
        <v>155</v>
      </c>
      <c r="J1370" s="71"/>
      <c r="K1370" s="298">
        <f>SUM(K1366:K1369)</f>
        <v>4030</v>
      </c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/>
      <c r="Y1370" s="52"/>
      <c r="Z1370" s="3"/>
    </row>
    <row r="1371" spans="1:26">
      <c r="A1371" s="452" t="s">
        <v>1662</v>
      </c>
      <c r="B1371" s="453"/>
      <c r="C1371" s="453"/>
      <c r="D1371" s="453"/>
      <c r="E1371" s="453"/>
      <c r="F1371" s="453"/>
      <c r="G1371" s="453"/>
      <c r="H1371" s="453"/>
      <c r="I1371" s="458">
        <f>I1365+I1370</f>
        <v>235</v>
      </c>
      <c r="J1371" s="454"/>
      <c r="K1371" s="458">
        <f>K1365+K1370</f>
        <v>6430</v>
      </c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/>
      <c r="Y1371" s="52"/>
      <c r="Z1371" s="3"/>
    </row>
    <row r="1372" spans="1:26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8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/>
      <c r="Y1372" s="52"/>
      <c r="Z1372" s="3"/>
    </row>
    <row r="1373" spans="1:26">
      <c r="A1373" s="297"/>
      <c r="B1373" s="298"/>
      <c r="C1373" s="298"/>
      <c r="D1373" s="298"/>
      <c r="E1373" s="298"/>
      <c r="F1373" s="298"/>
      <c r="G1373" s="298"/>
      <c r="H1373" s="298"/>
      <c r="I1373" s="298"/>
      <c r="J1373" s="71"/>
      <c r="K1373" s="298"/>
      <c r="L1373" s="58"/>
      <c r="M1373" s="58"/>
      <c r="N1373" s="229"/>
      <c r="O1373" s="21"/>
      <c r="P1373" s="21"/>
      <c r="Q1373" s="187"/>
      <c r="R1373" s="22"/>
      <c r="S1373" s="22"/>
      <c r="T1373" s="23"/>
      <c r="U1373" s="24"/>
      <c r="V1373" s="24"/>
      <c r="W1373" s="315"/>
      <c r="X1373" s="123"/>
      <c r="Y1373" s="52"/>
      <c r="Z1373" s="3"/>
    </row>
    <row r="1374" spans="1:26">
      <c r="A1374" s="297"/>
      <c r="B1374" s="298"/>
      <c r="C1374" s="298"/>
      <c r="D1374" s="298"/>
      <c r="E1374" s="298"/>
      <c r="F1374" s="298"/>
      <c r="G1374" s="298"/>
      <c r="H1374" s="298"/>
      <c r="I1374" s="298"/>
      <c r="J1374" s="71"/>
      <c r="K1374" s="298"/>
      <c r="L1374" s="58"/>
      <c r="M1374" s="58"/>
      <c r="N1374" s="229"/>
      <c r="O1374" s="21"/>
      <c r="P1374" s="21"/>
      <c r="Q1374" s="187"/>
      <c r="R1374" s="22"/>
      <c r="S1374" s="22"/>
      <c r="T1374" s="23"/>
      <c r="U1374" s="24"/>
      <c r="V1374" s="24"/>
      <c r="W1374" s="315"/>
      <c r="X1374" s="123"/>
      <c r="Y1374" s="52"/>
      <c r="Z1374" s="3"/>
    </row>
    <row r="1375" spans="1:26">
      <c r="A1375" s="297"/>
      <c r="B1375" s="298"/>
      <c r="C1375" s="298"/>
      <c r="D1375" s="298"/>
      <c r="E1375" s="298"/>
      <c r="F1375" s="298"/>
      <c r="G1375" s="298"/>
      <c r="H1375" s="298"/>
      <c r="I1375" s="298"/>
      <c r="J1375" s="71"/>
      <c r="K1375" s="298"/>
      <c r="L1375" s="58"/>
      <c r="M1375" s="58"/>
      <c r="N1375" s="229"/>
      <c r="O1375" s="21"/>
      <c r="P1375" s="21"/>
      <c r="Q1375" s="187"/>
      <c r="R1375" s="22"/>
      <c r="S1375" s="22"/>
      <c r="T1375" s="23"/>
      <c r="U1375" s="24"/>
      <c r="V1375" s="24"/>
      <c r="W1375" s="315"/>
      <c r="X1375" s="123"/>
      <c r="Y1375" s="52"/>
      <c r="Z1375" s="3"/>
    </row>
    <row r="1376" spans="1:26">
      <c r="A1376" s="452" t="s">
        <v>1602</v>
      </c>
      <c r="B1376" s="453"/>
      <c r="C1376" s="453"/>
      <c r="D1376" s="453"/>
      <c r="E1376" s="453"/>
      <c r="F1376" s="453"/>
      <c r="G1376" s="453"/>
      <c r="H1376" s="453"/>
      <c r="I1376" s="458">
        <f>I1307</f>
        <v>545</v>
      </c>
      <c r="J1376" s="454"/>
      <c r="K1376" s="455">
        <f>K1307</f>
        <v>17420.199999999997</v>
      </c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/>
      <c r="Y1376" s="52"/>
      <c r="Z1376" s="3"/>
    </row>
    <row r="1377" spans="1:26">
      <c r="A1377" s="297"/>
      <c r="B1377" s="298"/>
      <c r="C1377" s="298"/>
      <c r="D1377" s="298"/>
      <c r="E1377" s="298"/>
      <c r="F1377" s="298"/>
      <c r="G1377" s="298"/>
      <c r="H1377" s="298"/>
      <c r="I1377" s="298"/>
      <c r="J1377" s="71"/>
      <c r="K1377" s="299"/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>
        <f t="shared" si="31"/>
        <v>0</v>
      </c>
      <c r="Y1377" s="52"/>
      <c r="Z1377" s="3"/>
    </row>
    <row r="1378" spans="1:26">
      <c r="A1378" s="297"/>
      <c r="B1378" s="298"/>
      <c r="C1378" s="298"/>
      <c r="E1378" s="298"/>
      <c r="F1378" s="298"/>
      <c r="G1378" s="298"/>
      <c r="H1378" s="298"/>
      <c r="I1378" s="298"/>
      <c r="J1378" s="71"/>
      <c r="K1378" s="299"/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>
        <f t="shared" si="31"/>
        <v>0</v>
      </c>
      <c r="Y1378" s="52"/>
      <c r="Z1378" s="3"/>
    </row>
    <row r="1379" spans="1:26">
      <c r="A1379" s="297"/>
      <c r="B1379" s="298"/>
      <c r="C1379" s="298"/>
      <c r="E1379" s="298"/>
      <c r="F1379" s="298"/>
      <c r="G1379" s="298"/>
      <c r="H1379" s="298"/>
      <c r="I1379" s="298"/>
      <c r="J1379" s="71"/>
      <c r="K1379" s="299"/>
      <c r="L1379" s="58"/>
      <c r="M1379" s="58"/>
      <c r="N1379" s="229"/>
      <c r="O1379" s="21"/>
      <c r="P1379" s="21"/>
      <c r="Q1379" s="187"/>
      <c r="R1379" s="22"/>
      <c r="S1379" s="22"/>
      <c r="T1379" s="23"/>
      <c r="U1379" s="24"/>
      <c r="V1379" s="24"/>
      <c r="W1379" s="315"/>
      <c r="X1379" s="123">
        <f t="shared" si="31"/>
        <v>0</v>
      </c>
      <c r="Y1379" s="52"/>
      <c r="Z1379" s="3"/>
    </row>
    <row r="1380" spans="1:26">
      <c r="A1380" s="297"/>
      <c r="B1380" s="298"/>
      <c r="C1380" s="298"/>
      <c r="D1380" s="298"/>
      <c r="E1380" s="298"/>
      <c r="F1380" s="298"/>
      <c r="G1380" s="298"/>
      <c r="H1380" s="298"/>
      <c r="I1380" s="298"/>
      <c r="J1380" s="71"/>
      <c r="K1380" s="299"/>
      <c r="L1380" s="58"/>
      <c r="M1380" s="58"/>
      <c r="N1380" s="229"/>
      <c r="O1380" s="21"/>
      <c r="P1380" s="21"/>
      <c r="Q1380" s="187"/>
      <c r="R1380" s="22"/>
      <c r="S1380" s="22"/>
      <c r="T1380" s="23"/>
      <c r="U1380" s="24"/>
      <c r="V1380" s="24"/>
      <c r="W1380" s="315"/>
      <c r="X1380" s="123">
        <f t="shared" si="31"/>
        <v>0</v>
      </c>
      <c r="Y1380" s="52"/>
      <c r="Z1380" s="3"/>
    </row>
    <row r="1381" spans="1:26">
      <c r="A1381" s="297"/>
      <c r="B1381" s="298"/>
      <c r="C1381" s="298"/>
      <c r="D1381" s="298"/>
      <c r="E1381" s="298"/>
      <c r="F1381" s="298"/>
      <c r="G1381" s="298"/>
      <c r="H1381" s="298"/>
      <c r="I1381" s="298"/>
      <c r="J1381" s="71"/>
      <c r="K1381" s="299"/>
      <c r="L1381" s="58"/>
      <c r="M1381" s="58"/>
      <c r="N1381" s="229"/>
      <c r="O1381" s="21"/>
      <c r="P1381" s="21"/>
      <c r="Q1381" s="187"/>
      <c r="R1381" s="22"/>
      <c r="S1381" s="22"/>
      <c r="T1381" s="23"/>
      <c r="U1381" s="24"/>
      <c r="V1381" s="24"/>
      <c r="W1381" s="315"/>
      <c r="X1381" s="123">
        <f t="shared" si="31"/>
        <v>0</v>
      </c>
      <c r="Y1381" s="52"/>
      <c r="Z1381" s="3"/>
    </row>
    <row r="1382" spans="1:26">
      <c r="A1382" s="297"/>
      <c r="B1382" s="298"/>
      <c r="C1382" s="298"/>
      <c r="D1382" s="298"/>
      <c r="E1382" s="298"/>
      <c r="F1382" s="298"/>
      <c r="G1382" s="298"/>
      <c r="H1382" s="298"/>
      <c r="I1382" s="298"/>
      <c r="J1382" s="71"/>
      <c r="K1382" s="299"/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>
        <f t="shared" si="31"/>
        <v>0</v>
      </c>
      <c r="Y1382" s="52"/>
      <c r="Z1382" s="3"/>
    </row>
    <row r="1383" spans="1:26">
      <c r="A1383" s="297"/>
      <c r="B1383" s="298"/>
      <c r="C1383" s="298"/>
      <c r="D1383" s="298"/>
      <c r="E1383" s="298"/>
      <c r="F1383" s="298"/>
      <c r="G1383" s="298"/>
      <c r="H1383" s="298"/>
      <c r="I1383" s="298"/>
      <c r="J1383" s="71"/>
      <c r="K1383" s="299"/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>
        <f t="shared" si="31"/>
        <v>0</v>
      </c>
      <c r="Y1383" s="52"/>
      <c r="Z1383" s="3"/>
    </row>
    <row r="1384" spans="1:26">
      <c r="A1384" s="297"/>
      <c r="B1384" s="298"/>
      <c r="C1384" s="298"/>
      <c r="D1384" s="298"/>
      <c r="E1384" s="298"/>
      <c r="F1384" s="298"/>
      <c r="G1384" s="298"/>
      <c r="H1384" s="298"/>
      <c r="I1384" s="298"/>
      <c r="J1384" s="71"/>
      <c r="K1384" s="299"/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>
        <f t="shared" si="31"/>
        <v>0</v>
      </c>
      <c r="Y1384" s="52"/>
      <c r="Z1384" s="3"/>
    </row>
    <row r="1385" spans="1:26">
      <c r="A1385" s="297"/>
      <c r="B1385" s="298"/>
      <c r="C1385" s="298"/>
      <c r="D1385" s="298"/>
      <c r="E1385" s="298"/>
      <c r="F1385" s="298"/>
      <c r="G1385" s="298"/>
      <c r="H1385" s="298"/>
      <c r="I1385" s="298"/>
      <c r="J1385" s="71"/>
      <c r="K1385" s="299"/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>
        <f t="shared" si="31"/>
        <v>0</v>
      </c>
      <c r="Y1385" s="52"/>
      <c r="Z1385" s="3"/>
    </row>
    <row r="1386" spans="1:26">
      <c r="A1386" s="297"/>
      <c r="B1386" s="298"/>
      <c r="C1386" s="298"/>
      <c r="D1386" s="298"/>
      <c r="E1386" s="298"/>
      <c r="F1386" s="298"/>
      <c r="G1386" s="298"/>
      <c r="H1386" s="298"/>
      <c r="I1386" s="298"/>
      <c r="J1386" s="71"/>
      <c r="K1386" s="299"/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>
        <f t="shared" si="31"/>
        <v>0</v>
      </c>
      <c r="Y1386" s="52"/>
      <c r="Z1386" s="3"/>
    </row>
    <row r="1387" spans="1:26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9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>
        <f t="shared" si="31"/>
        <v>0</v>
      </c>
      <c r="Y1387" s="52"/>
      <c r="Z1387" s="3"/>
    </row>
    <row r="1388" spans="1:26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9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>
        <f t="shared" si="31"/>
        <v>0</v>
      </c>
      <c r="Y1388" s="52"/>
      <c r="Z1388" s="3"/>
    </row>
    <row r="1389" spans="1:26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9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>
        <f t="shared" si="31"/>
        <v>0</v>
      </c>
      <c r="Y1389" s="52"/>
      <c r="Z1389" s="3"/>
    </row>
    <row r="1390" spans="1:26">
      <c r="A1390" s="297"/>
      <c r="B1390" s="298"/>
      <c r="C1390" s="298"/>
      <c r="D1390" s="298"/>
      <c r="E1390" s="298"/>
      <c r="F1390" s="298"/>
      <c r="G1390" s="298"/>
      <c r="H1390" s="298"/>
      <c r="I1390" s="298"/>
      <c r="J1390" s="71"/>
      <c r="K1390" s="299"/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>
        <f t="shared" si="31"/>
        <v>0</v>
      </c>
      <c r="Y1390" s="52"/>
      <c r="Z1390" s="3"/>
    </row>
    <row r="1391" spans="1:26">
      <c r="A1391" s="297"/>
      <c r="B1391" s="298"/>
      <c r="C1391" s="298"/>
      <c r="D1391" s="298"/>
      <c r="E1391" s="298"/>
      <c r="F1391" s="298"/>
      <c r="G1391" s="298"/>
      <c r="H1391" s="298"/>
      <c r="I1391" s="298"/>
      <c r="J1391" s="71"/>
      <c r="K1391" s="299"/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>
        <f t="shared" si="31"/>
        <v>0</v>
      </c>
      <c r="Y1391" s="52"/>
      <c r="Z1391" s="3"/>
    </row>
    <row r="1392" spans="1:26">
      <c r="A1392" s="297"/>
      <c r="B1392" s="298"/>
      <c r="C1392" s="298"/>
      <c r="D1392" s="298"/>
      <c r="E1392" s="298"/>
      <c r="F1392" s="298"/>
      <c r="G1392" s="298"/>
      <c r="H1392" s="298"/>
      <c r="I1392" s="298"/>
      <c r="J1392" s="71"/>
      <c r="K1392" s="299"/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>
        <f t="shared" si="31"/>
        <v>0</v>
      </c>
      <c r="Y1392" s="52"/>
      <c r="Z1392" s="3"/>
    </row>
    <row r="1393" spans="1:26">
      <c r="A1393" s="297"/>
      <c r="B1393" s="298"/>
      <c r="C1393" s="298"/>
      <c r="D1393" s="298"/>
      <c r="E1393" s="298"/>
      <c r="F1393" s="298"/>
      <c r="G1393" s="298"/>
      <c r="H1393" s="298"/>
      <c r="I1393" s="298"/>
      <c r="J1393" s="71"/>
      <c r="K1393" s="299"/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>
        <f t="shared" si="31"/>
        <v>0</v>
      </c>
      <c r="Y1393" s="52"/>
      <c r="Z1393" s="3"/>
    </row>
    <row r="1394" spans="1:26">
      <c r="A1394" s="297"/>
      <c r="B1394" s="298"/>
      <c r="C1394" s="298"/>
      <c r="D1394" s="298"/>
      <c r="E1394" s="298"/>
      <c r="F1394" s="298"/>
      <c r="G1394" s="298"/>
      <c r="H1394" s="298"/>
      <c r="I1394" s="298"/>
      <c r="J1394" s="71"/>
      <c r="K1394" s="299"/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>
        <f t="shared" si="31"/>
        <v>0</v>
      </c>
      <c r="Y1394" s="52"/>
      <c r="Z1394" s="3"/>
    </row>
    <row r="1395" spans="1:26">
      <c r="A1395" s="297"/>
      <c r="B1395" s="298"/>
      <c r="C1395" s="298"/>
      <c r="D1395" s="298"/>
      <c r="E1395" s="298"/>
      <c r="F1395" s="298"/>
      <c r="G1395" s="298"/>
      <c r="H1395" s="298"/>
      <c r="I1395" s="298"/>
      <c r="J1395" s="71"/>
      <c r="K1395" s="299"/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>
        <f t="shared" si="31"/>
        <v>0</v>
      </c>
      <c r="Y1395" s="52"/>
      <c r="Z1395" s="3"/>
    </row>
    <row r="1396" spans="1:26">
      <c r="A1396" s="297"/>
      <c r="B1396" s="298"/>
      <c r="C1396" s="298"/>
      <c r="D1396" s="298"/>
      <c r="E1396" s="298"/>
      <c r="F1396" s="298"/>
      <c r="G1396" s="298"/>
      <c r="H1396" s="298"/>
      <c r="I1396" s="298"/>
      <c r="J1396" s="71"/>
      <c r="K1396" s="299"/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>
        <f t="shared" si="31"/>
        <v>0</v>
      </c>
      <c r="Y1396" s="52"/>
      <c r="Z1396" s="3"/>
    </row>
    <row r="1397" spans="1:26">
      <c r="A1397" s="297"/>
      <c r="B1397" s="298"/>
      <c r="C1397" s="298"/>
      <c r="D1397" s="298"/>
      <c r="E1397" s="298"/>
      <c r="F1397" s="298"/>
      <c r="G1397" s="298"/>
      <c r="H1397" s="298"/>
      <c r="I1397" s="298"/>
      <c r="J1397" s="71"/>
      <c r="K1397" s="299"/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>
        <f t="shared" si="31"/>
        <v>0</v>
      </c>
      <c r="Y1397" s="52"/>
      <c r="Z1397" s="3"/>
    </row>
    <row r="1398" spans="1:26">
      <c r="A1398" s="297"/>
      <c r="B1398" s="298"/>
      <c r="C1398" s="298"/>
      <c r="D1398" s="298"/>
      <c r="E1398" s="298"/>
      <c r="F1398" s="298"/>
      <c r="G1398" s="298"/>
      <c r="H1398" s="298"/>
      <c r="I1398" s="298"/>
      <c r="J1398" s="71"/>
      <c r="K1398" s="299"/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>
        <f t="shared" si="31"/>
        <v>0</v>
      </c>
      <c r="Y1398" s="52"/>
      <c r="Z1398" s="3"/>
    </row>
    <row r="1399" spans="1:26">
      <c r="A1399" s="297"/>
      <c r="B1399" s="298"/>
      <c r="C1399" s="298"/>
      <c r="D1399" s="298"/>
      <c r="E1399" s="298"/>
      <c r="F1399" s="298"/>
      <c r="G1399" s="298"/>
      <c r="H1399" s="298"/>
      <c r="I1399" s="298"/>
      <c r="J1399" s="71"/>
      <c r="K1399" s="299"/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>
        <f t="shared" si="31"/>
        <v>0</v>
      </c>
      <c r="Y1399" s="52"/>
      <c r="Z1399" s="3"/>
    </row>
    <row r="1400" spans="1:26">
      <c r="A1400" s="297"/>
      <c r="B1400" s="298"/>
      <c r="C1400" s="298"/>
      <c r="D1400" s="298"/>
      <c r="E1400" s="298"/>
      <c r="F1400" s="298"/>
      <c r="G1400" s="298"/>
      <c r="H1400" s="298"/>
      <c r="I1400" s="298"/>
      <c r="J1400" s="71"/>
      <c r="K1400" s="299"/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>
        <f t="shared" si="31"/>
        <v>0</v>
      </c>
      <c r="Y1400" s="52"/>
      <c r="Z1400" s="3"/>
    </row>
    <row r="1401" spans="1:26">
      <c r="A1401" s="297"/>
      <c r="B1401" s="298"/>
      <c r="C1401" s="298"/>
      <c r="D1401" s="298"/>
      <c r="E1401" s="298"/>
      <c r="F1401" s="298"/>
      <c r="G1401" s="298"/>
      <c r="H1401" s="298"/>
      <c r="I1401" s="298"/>
      <c r="J1401" s="71"/>
      <c r="K1401" s="299"/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>
        <f t="shared" si="31"/>
        <v>0</v>
      </c>
      <c r="Y1401" s="52"/>
      <c r="Z1401" s="3"/>
    </row>
    <row r="1402" spans="1:26">
      <c r="A1402" s="297"/>
      <c r="B1402" s="298"/>
      <c r="C1402" s="298"/>
      <c r="D1402" s="298"/>
      <c r="E1402" s="298"/>
      <c r="F1402" s="298"/>
      <c r="G1402" s="298"/>
      <c r="H1402" s="298"/>
      <c r="I1402" s="298"/>
      <c r="J1402" s="71"/>
      <c r="K1402" s="299"/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>
        <f t="shared" si="31"/>
        <v>0</v>
      </c>
      <c r="Y1402" s="52"/>
      <c r="Z1402" s="3"/>
    </row>
    <row r="1403" spans="1:26">
      <c r="A1403" s="297"/>
      <c r="B1403" s="298"/>
      <c r="C1403" s="298"/>
      <c r="D1403" s="298"/>
      <c r="E1403" s="298"/>
      <c r="F1403" s="298"/>
      <c r="G1403" s="298"/>
      <c r="H1403" s="298"/>
      <c r="I1403" s="298"/>
      <c r="J1403" s="71"/>
      <c r="K1403" s="299"/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>
        <f t="shared" si="31"/>
        <v>0</v>
      </c>
      <c r="Y1403" s="52"/>
      <c r="Z1403" s="3"/>
    </row>
    <row r="1404" spans="1:26">
      <c r="A1404" s="297"/>
      <c r="B1404" s="298"/>
      <c r="C1404" s="298"/>
      <c r="D1404" s="298"/>
      <c r="E1404" s="298"/>
      <c r="F1404" s="298"/>
      <c r="G1404" s="298"/>
      <c r="H1404" s="298"/>
      <c r="I1404" s="298"/>
      <c r="J1404" s="71"/>
      <c r="K1404" s="299"/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>
        <f t="shared" si="31"/>
        <v>0</v>
      </c>
      <c r="Y1404" s="52"/>
      <c r="Z1404" s="3"/>
    </row>
    <row r="1405" spans="1:26">
      <c r="A1405" s="297"/>
      <c r="B1405" s="298"/>
      <c r="C1405" s="298"/>
      <c r="D1405" s="298"/>
      <c r="E1405" s="298"/>
      <c r="F1405" s="298"/>
      <c r="G1405" s="298"/>
      <c r="H1405" s="298"/>
      <c r="I1405" s="298"/>
      <c r="J1405" s="71"/>
      <c r="K1405" s="299"/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>
        <f t="shared" si="31"/>
        <v>0</v>
      </c>
      <c r="Y1405" s="52"/>
      <c r="Z1405" s="3"/>
    </row>
    <row r="1406" spans="1:26">
      <c r="A1406" s="297"/>
      <c r="B1406" s="298"/>
      <c r="C1406" s="298"/>
      <c r="D1406" s="298"/>
      <c r="E1406" s="298"/>
      <c r="F1406" s="298"/>
      <c r="G1406" s="298"/>
      <c r="H1406" s="298"/>
      <c r="I1406" s="298"/>
      <c r="J1406" s="71"/>
      <c r="K1406" s="299"/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>
        <f t="shared" si="31"/>
        <v>0</v>
      </c>
      <c r="Y1406" s="52"/>
      <c r="Z1406" s="3"/>
    </row>
    <row r="1407" spans="1:26">
      <c r="A1407" s="297"/>
      <c r="B1407" s="298"/>
      <c r="C1407" s="298"/>
      <c r="D1407" s="298"/>
      <c r="E1407" s="298"/>
      <c r="F1407" s="298"/>
      <c r="G1407" s="298"/>
      <c r="H1407" s="298"/>
      <c r="I1407" s="298"/>
      <c r="J1407" s="71"/>
      <c r="K1407" s="299"/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>
        <f t="shared" si="31"/>
        <v>0</v>
      </c>
      <c r="Y1407" s="52"/>
      <c r="Z1407" s="3"/>
    </row>
    <row r="1408" spans="1:26">
      <c r="A1408" s="297"/>
      <c r="B1408" s="298"/>
      <c r="C1408" s="298"/>
      <c r="D1408" s="298"/>
      <c r="E1408" s="298"/>
      <c r="F1408" s="298"/>
      <c r="G1408" s="298"/>
      <c r="H1408" s="298"/>
      <c r="I1408" s="298"/>
      <c r="J1408" s="71"/>
      <c r="K1408" s="299"/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>
        <f t="shared" si="31"/>
        <v>0</v>
      </c>
      <c r="Y1408" s="52"/>
      <c r="Z1408" s="3"/>
    </row>
    <row r="1409" spans="1:26">
      <c r="A1409" s="297"/>
      <c r="B1409" s="298"/>
      <c r="C1409" s="298"/>
      <c r="D1409" s="298"/>
      <c r="E1409" s="298"/>
      <c r="F1409" s="298"/>
      <c r="G1409" s="298"/>
      <c r="H1409" s="298"/>
      <c r="I1409" s="298"/>
      <c r="J1409" s="71"/>
      <c r="K1409" s="299"/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>
        <f t="shared" si="31"/>
        <v>0</v>
      </c>
      <c r="Y1409" s="52"/>
      <c r="Z1409" s="3"/>
    </row>
    <row r="1410" spans="1:26">
      <c r="A1410" s="297"/>
      <c r="B1410" s="298"/>
      <c r="C1410" s="298"/>
      <c r="D1410" s="298"/>
      <c r="E1410" s="298"/>
      <c r="F1410" s="298"/>
      <c r="G1410" s="298"/>
      <c r="H1410" s="298"/>
      <c r="I1410" s="298"/>
      <c r="J1410" s="71"/>
      <c r="K1410" s="299"/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>
        <f t="shared" si="31"/>
        <v>0</v>
      </c>
      <c r="Y1410" s="52"/>
      <c r="Z1410" s="3"/>
    </row>
    <row r="1411" spans="1:26">
      <c r="A1411" s="297"/>
      <c r="B1411" s="298"/>
      <c r="C1411" s="298"/>
      <c r="D1411" s="298"/>
      <c r="E1411" s="298"/>
      <c r="F1411" s="298"/>
      <c r="G1411" s="298"/>
      <c r="H1411" s="298"/>
      <c r="I1411" s="298"/>
      <c r="J1411" s="71"/>
      <c r="K1411" s="299"/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>
        <f t="shared" si="31"/>
        <v>0</v>
      </c>
      <c r="Y1411" s="52"/>
      <c r="Z1411" s="3"/>
    </row>
    <row r="1412" spans="1:26">
      <c r="A1412" s="297"/>
      <c r="B1412" s="298"/>
      <c r="C1412" s="298"/>
      <c r="D1412" s="298"/>
      <c r="E1412" s="298"/>
      <c r="F1412" s="298"/>
      <c r="G1412" s="298"/>
      <c r="H1412" s="298"/>
      <c r="I1412" s="298"/>
      <c r="J1412" s="71"/>
      <c r="K1412" s="299"/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>
        <f t="shared" si="31"/>
        <v>0</v>
      </c>
      <c r="Y1412" s="52"/>
      <c r="Z1412" s="3"/>
    </row>
    <row r="1413" spans="1:26">
      <c r="A1413" s="297"/>
      <c r="B1413" s="298"/>
      <c r="C1413" s="298"/>
      <c r="D1413" s="298"/>
      <c r="E1413" s="298"/>
      <c r="F1413" s="298"/>
      <c r="G1413" s="298"/>
      <c r="H1413" s="298"/>
      <c r="I1413" s="298"/>
      <c r="J1413" s="71"/>
      <c r="K1413" s="299"/>
      <c r="L1413" s="58"/>
      <c r="M1413" s="58"/>
      <c r="N1413" s="229"/>
      <c r="O1413" s="21"/>
      <c r="P1413" s="21"/>
      <c r="Q1413" s="187"/>
      <c r="R1413" s="22"/>
      <c r="S1413" s="22"/>
      <c r="T1413" s="23"/>
      <c r="U1413" s="24"/>
      <c r="V1413" s="24"/>
      <c r="W1413" s="315"/>
      <c r="X1413" s="123">
        <f t="shared" si="31"/>
        <v>0</v>
      </c>
      <c r="Y1413" s="52"/>
      <c r="Z1413" s="3"/>
    </row>
    <row r="1414" spans="1:26">
      <c r="A1414" s="297"/>
      <c r="B1414" s="298"/>
      <c r="C1414" s="298"/>
      <c r="D1414" s="298"/>
      <c r="E1414" s="298"/>
      <c r="F1414" s="298"/>
      <c r="G1414" s="298"/>
      <c r="H1414" s="298"/>
      <c r="I1414" s="298"/>
      <c r="J1414" s="71"/>
      <c r="K1414" s="299"/>
      <c r="L1414" s="58"/>
      <c r="M1414" s="58"/>
      <c r="N1414" s="229"/>
      <c r="O1414" s="21"/>
      <c r="P1414" s="21"/>
      <c r="Q1414" s="187"/>
      <c r="R1414" s="22"/>
      <c r="S1414" s="22"/>
      <c r="T1414" s="23"/>
      <c r="U1414" s="24"/>
      <c r="V1414" s="24"/>
      <c r="W1414" s="315"/>
      <c r="X1414" s="123">
        <f t="shared" si="31"/>
        <v>0</v>
      </c>
      <c r="Y1414" s="52"/>
      <c r="Z1414" s="3"/>
    </row>
    <row r="1415" spans="1:26">
      <c r="A1415" s="297"/>
      <c r="B1415" s="298"/>
      <c r="C1415" s="298"/>
      <c r="D1415" s="298"/>
      <c r="E1415" s="298"/>
      <c r="F1415" s="298"/>
      <c r="G1415" s="298"/>
      <c r="H1415" s="298"/>
      <c r="I1415" s="298"/>
      <c r="J1415" s="71"/>
      <c r="K1415" s="299"/>
      <c r="L1415" s="58"/>
      <c r="M1415" s="58"/>
      <c r="N1415" s="229"/>
      <c r="O1415" s="21"/>
      <c r="P1415" s="21"/>
      <c r="Q1415" s="187"/>
      <c r="R1415" s="22"/>
      <c r="S1415" s="22"/>
      <c r="T1415" s="23"/>
      <c r="U1415" s="24"/>
      <c r="V1415" s="24"/>
      <c r="W1415" s="315"/>
      <c r="X1415" s="123">
        <f t="shared" si="31"/>
        <v>0</v>
      </c>
      <c r="Y1415" s="52"/>
      <c r="Z1415" s="3"/>
    </row>
    <row r="1416" spans="1:26">
      <c r="A1416" s="297"/>
      <c r="B1416" s="298"/>
      <c r="C1416" s="298"/>
      <c r="D1416" s="298"/>
      <c r="E1416" s="298"/>
      <c r="F1416" s="298"/>
      <c r="G1416" s="298"/>
      <c r="H1416" s="298"/>
      <c r="I1416" s="298"/>
      <c r="J1416" s="71"/>
      <c r="K1416" s="299"/>
      <c r="L1416" s="58"/>
      <c r="M1416" s="58"/>
      <c r="N1416" s="229"/>
      <c r="O1416" s="21"/>
      <c r="P1416" s="21"/>
      <c r="Q1416" s="187"/>
      <c r="R1416" s="22"/>
      <c r="S1416" s="22"/>
      <c r="T1416" s="23"/>
      <c r="U1416" s="24"/>
      <c r="V1416" s="24"/>
      <c r="W1416" s="315"/>
      <c r="X1416" s="123">
        <f t="shared" si="31"/>
        <v>0</v>
      </c>
      <c r="Y1416" s="52"/>
      <c r="Z1416" s="3"/>
    </row>
    <row r="1417" spans="1:26">
      <c r="A1417" s="297"/>
      <c r="B1417" s="298"/>
      <c r="C1417" s="298"/>
      <c r="D1417" s="298"/>
      <c r="E1417" s="298"/>
      <c r="F1417" s="298"/>
      <c r="G1417" s="298"/>
      <c r="H1417" s="298"/>
      <c r="I1417" s="298"/>
      <c r="J1417" s="71"/>
      <c r="K1417" s="299"/>
      <c r="L1417" s="58"/>
      <c r="M1417" s="58"/>
      <c r="N1417" s="229"/>
      <c r="O1417" s="21"/>
      <c r="P1417" s="21"/>
      <c r="Q1417" s="187"/>
      <c r="R1417" s="22"/>
      <c r="S1417" s="22"/>
      <c r="T1417" s="23"/>
      <c r="U1417" s="24"/>
      <c r="V1417" s="24"/>
      <c r="W1417" s="315"/>
      <c r="X1417" s="123">
        <f t="shared" si="31"/>
        <v>0</v>
      </c>
      <c r="Y1417" s="52"/>
      <c r="Z1417" s="3"/>
    </row>
    <row r="1418" spans="1:26">
      <c r="A1418" s="297"/>
      <c r="B1418" s="298"/>
      <c r="C1418" s="298"/>
      <c r="D1418" s="298"/>
      <c r="E1418" s="298"/>
      <c r="F1418" s="298"/>
      <c r="G1418" s="298"/>
      <c r="H1418" s="298"/>
      <c r="I1418" s="298"/>
      <c r="J1418" s="71"/>
      <c r="K1418" s="299"/>
      <c r="L1418" s="58"/>
      <c r="M1418" s="58"/>
      <c r="N1418" s="229"/>
      <c r="O1418" s="21"/>
      <c r="P1418" s="21"/>
      <c r="Q1418" s="187"/>
      <c r="R1418" s="22"/>
      <c r="S1418" s="22"/>
      <c r="T1418" s="23"/>
      <c r="U1418" s="24"/>
      <c r="V1418" s="24"/>
      <c r="W1418" s="315"/>
      <c r="X1418" s="123">
        <f t="shared" si="31"/>
        <v>0</v>
      </c>
      <c r="Y1418" s="52"/>
      <c r="Z1418" s="3"/>
    </row>
    <row r="1419" spans="1:26">
      <c r="A1419" s="297"/>
      <c r="B1419" s="298"/>
      <c r="C1419" s="298"/>
      <c r="D1419" s="298"/>
      <c r="E1419" s="298"/>
      <c r="F1419" s="298"/>
      <c r="G1419" s="298"/>
      <c r="H1419" s="298"/>
      <c r="I1419" s="298"/>
      <c r="J1419" s="71"/>
      <c r="K1419" s="299"/>
      <c r="L1419" s="58"/>
      <c r="M1419" s="58"/>
      <c r="N1419" s="229"/>
      <c r="O1419" s="21"/>
      <c r="P1419" s="21"/>
      <c r="Q1419" s="187"/>
      <c r="R1419" s="22"/>
      <c r="S1419" s="22"/>
      <c r="T1419" s="23"/>
      <c r="U1419" s="24"/>
      <c r="V1419" s="24"/>
      <c r="W1419" s="315"/>
      <c r="X1419" s="123">
        <f t="shared" si="31"/>
        <v>0</v>
      </c>
      <c r="Y1419" s="52"/>
      <c r="Z1419" s="3"/>
    </row>
    <row r="1420" spans="1:26">
      <c r="A1420" s="297"/>
      <c r="B1420" s="298"/>
      <c r="C1420" s="298"/>
      <c r="D1420" s="298"/>
      <c r="E1420" s="298"/>
      <c r="F1420" s="298"/>
      <c r="G1420" s="298"/>
      <c r="H1420" s="298"/>
      <c r="I1420" s="298"/>
      <c r="J1420" s="71"/>
      <c r="K1420" s="299"/>
      <c r="L1420" s="58"/>
      <c r="M1420" s="58"/>
      <c r="N1420" s="229"/>
      <c r="O1420" s="21"/>
      <c r="P1420" s="21"/>
      <c r="Q1420" s="187"/>
      <c r="R1420" s="22"/>
      <c r="S1420" s="22"/>
      <c r="T1420" s="23"/>
      <c r="U1420" s="24"/>
      <c r="V1420" s="24"/>
      <c r="W1420" s="315"/>
      <c r="X1420" s="123">
        <f t="shared" si="31"/>
        <v>0</v>
      </c>
      <c r="Y1420" s="52"/>
      <c r="Z1420" s="3"/>
    </row>
    <row r="1421" spans="1:26">
      <c r="A1421" s="297"/>
      <c r="B1421" s="298"/>
      <c r="C1421" s="298"/>
      <c r="D1421" s="298"/>
      <c r="E1421" s="298"/>
      <c r="F1421" s="298"/>
      <c r="G1421" s="298"/>
      <c r="H1421" s="298"/>
      <c r="I1421" s="298"/>
      <c r="J1421" s="71"/>
      <c r="K1421" s="299"/>
      <c r="L1421" s="58"/>
      <c r="M1421" s="58"/>
      <c r="N1421" s="229"/>
      <c r="O1421" s="21"/>
      <c r="P1421" s="21"/>
      <c r="Q1421" s="187"/>
      <c r="R1421" s="22"/>
      <c r="S1421" s="22"/>
      <c r="T1421" s="23"/>
      <c r="U1421" s="24"/>
      <c r="V1421" s="24"/>
      <c r="W1421" s="315"/>
      <c r="X1421" s="123">
        <f t="shared" si="31"/>
        <v>0</v>
      </c>
      <c r="Y1421" s="52"/>
      <c r="Z1421" s="3"/>
    </row>
    <row r="1422" spans="1:26">
      <c r="A1422" s="297"/>
      <c r="B1422" s="298"/>
      <c r="C1422" s="298"/>
      <c r="D1422" s="298"/>
      <c r="E1422" s="298"/>
      <c r="F1422" s="298"/>
      <c r="G1422" s="298"/>
      <c r="H1422" s="298"/>
      <c r="I1422" s="298"/>
      <c r="J1422" s="71"/>
      <c r="K1422" s="299"/>
      <c r="L1422" s="58"/>
      <c r="M1422" s="58"/>
      <c r="N1422" s="229"/>
      <c r="O1422" s="21"/>
      <c r="P1422" s="21"/>
      <c r="Q1422" s="187"/>
      <c r="R1422" s="22"/>
      <c r="S1422" s="22"/>
      <c r="T1422" s="23"/>
      <c r="U1422" s="24"/>
      <c r="V1422" s="24"/>
      <c r="W1422" s="315"/>
      <c r="X1422" s="123">
        <f t="shared" si="31"/>
        <v>0</v>
      </c>
      <c r="Y1422" s="52"/>
      <c r="Z1422" s="3"/>
    </row>
    <row r="1423" spans="1:26">
      <c r="A1423" s="297"/>
      <c r="B1423" s="298"/>
      <c r="C1423" s="298"/>
      <c r="D1423" s="298"/>
      <c r="E1423" s="298"/>
      <c r="F1423" s="298"/>
      <c r="G1423" s="298"/>
      <c r="H1423" s="298"/>
      <c r="I1423" s="298"/>
      <c r="J1423" s="71"/>
      <c r="K1423" s="299"/>
      <c r="L1423" s="58"/>
      <c r="M1423" s="58"/>
      <c r="N1423" s="229"/>
      <c r="O1423" s="21"/>
      <c r="P1423" s="21"/>
      <c r="Q1423" s="187"/>
      <c r="R1423" s="22"/>
      <c r="S1423" s="22"/>
      <c r="T1423" s="23"/>
      <c r="U1423" s="24"/>
      <c r="V1423" s="24"/>
      <c r="W1423" s="315"/>
      <c r="X1423" s="123">
        <f t="shared" si="31"/>
        <v>0</v>
      </c>
      <c r="Y1423" s="52"/>
      <c r="Z1423" s="3"/>
    </row>
    <row r="1424" spans="1:26">
      <c r="A1424" s="297"/>
      <c r="B1424" s="298"/>
      <c r="C1424" s="298"/>
      <c r="D1424" s="298"/>
      <c r="E1424" s="298"/>
      <c r="F1424" s="298"/>
      <c r="G1424" s="298"/>
      <c r="H1424" s="298"/>
      <c r="I1424" s="298"/>
      <c r="J1424" s="71"/>
      <c r="K1424" s="299"/>
      <c r="L1424" s="58"/>
      <c r="M1424" s="58"/>
      <c r="N1424" s="229"/>
      <c r="O1424" s="21"/>
      <c r="P1424" s="21"/>
      <c r="Q1424" s="187"/>
      <c r="R1424" s="22"/>
      <c r="S1424" s="22"/>
      <c r="T1424" s="23"/>
      <c r="U1424" s="24"/>
      <c r="V1424" s="24"/>
      <c r="W1424" s="315"/>
      <c r="X1424" s="123">
        <f t="shared" si="31"/>
        <v>0</v>
      </c>
      <c r="Y1424" s="52"/>
      <c r="Z1424" s="3"/>
    </row>
    <row r="1425" spans="1:26">
      <c r="A1425" s="297"/>
      <c r="B1425" s="298"/>
      <c r="C1425" s="298"/>
      <c r="D1425" s="298"/>
      <c r="E1425" s="298"/>
      <c r="F1425" s="298"/>
      <c r="G1425" s="298"/>
      <c r="H1425" s="298"/>
      <c r="I1425" s="298"/>
      <c r="J1425" s="71"/>
      <c r="K1425" s="299"/>
      <c r="L1425" s="58"/>
      <c r="M1425" s="58"/>
      <c r="N1425" s="229"/>
      <c r="O1425" s="21"/>
      <c r="P1425" s="21"/>
      <c r="Q1425" s="187"/>
      <c r="R1425" s="22"/>
      <c r="S1425" s="22"/>
      <c r="T1425" s="23"/>
      <c r="U1425" s="24"/>
      <c r="V1425" s="24"/>
      <c r="W1425" s="315"/>
      <c r="X1425" s="123">
        <f t="shared" si="31"/>
        <v>0</v>
      </c>
      <c r="Y1425" s="52"/>
      <c r="Z1425" s="3"/>
    </row>
    <row r="1426" spans="1:26">
      <c r="A1426" s="297"/>
      <c r="B1426" s="298"/>
      <c r="C1426" s="298"/>
      <c r="D1426" s="298"/>
      <c r="E1426" s="298"/>
      <c r="F1426" s="298"/>
      <c r="G1426" s="298"/>
      <c r="H1426" s="298"/>
      <c r="I1426" s="298"/>
      <c r="J1426" s="71"/>
      <c r="K1426" s="299"/>
      <c r="L1426" s="58"/>
      <c r="M1426" s="58"/>
      <c r="N1426" s="229"/>
      <c r="O1426" s="21"/>
      <c r="P1426" s="21"/>
      <c r="Q1426" s="187"/>
      <c r="R1426" s="22"/>
      <c r="S1426" s="22"/>
      <c r="T1426" s="23"/>
      <c r="U1426" s="24"/>
      <c r="V1426" s="24"/>
      <c r="W1426" s="315"/>
      <c r="X1426" s="123">
        <f t="shared" si="31"/>
        <v>0</v>
      </c>
      <c r="Y1426" s="52"/>
      <c r="Z1426" s="3"/>
    </row>
    <row r="1427" spans="1:26">
      <c r="A1427" s="297"/>
      <c r="B1427" s="298"/>
      <c r="C1427" s="298"/>
      <c r="D1427" s="298"/>
      <c r="E1427" s="298"/>
      <c r="F1427" s="298"/>
      <c r="G1427" s="298"/>
      <c r="H1427" s="298"/>
      <c r="I1427" s="298"/>
      <c r="J1427" s="71"/>
      <c r="K1427" s="299"/>
      <c r="L1427" s="58"/>
      <c r="M1427" s="58"/>
      <c r="N1427" s="229"/>
      <c r="O1427" s="21"/>
      <c r="P1427" s="21"/>
      <c r="Q1427" s="187"/>
      <c r="R1427" s="22"/>
      <c r="S1427" s="22"/>
      <c r="T1427" s="23"/>
      <c r="U1427" s="24"/>
      <c r="V1427" s="24"/>
      <c r="W1427" s="315"/>
      <c r="X1427" s="123">
        <f t="shared" si="31"/>
        <v>0</v>
      </c>
      <c r="Y1427" s="52"/>
      <c r="Z1427" s="3"/>
    </row>
    <row r="1428" spans="1:26">
      <c r="A1428" s="297"/>
      <c r="B1428" s="298"/>
      <c r="C1428" s="298"/>
      <c r="D1428" s="298"/>
      <c r="E1428" s="298"/>
      <c r="F1428" s="298"/>
      <c r="G1428" s="298"/>
      <c r="H1428" s="298"/>
      <c r="I1428" s="298"/>
      <c r="J1428" s="71"/>
      <c r="K1428" s="299"/>
      <c r="L1428" s="58"/>
      <c r="M1428" s="58"/>
      <c r="N1428" s="229"/>
      <c r="O1428" s="21"/>
      <c r="P1428" s="21"/>
      <c r="Q1428" s="187"/>
      <c r="R1428" s="22"/>
      <c r="S1428" s="22"/>
      <c r="T1428" s="23"/>
      <c r="U1428" s="24"/>
      <c r="V1428" s="24"/>
      <c r="W1428" s="315"/>
      <c r="X1428" s="123">
        <f t="shared" si="31"/>
        <v>0</v>
      </c>
      <c r="Y1428" s="52"/>
      <c r="Z1428" s="3"/>
    </row>
    <row r="1429" spans="1:26">
      <c r="A1429" s="297"/>
      <c r="B1429" s="298"/>
      <c r="C1429" s="298"/>
      <c r="D1429" s="298"/>
      <c r="E1429" s="298"/>
      <c r="F1429" s="298"/>
      <c r="G1429" s="298"/>
      <c r="H1429" s="298"/>
      <c r="I1429" s="298"/>
      <c r="J1429" s="71"/>
      <c r="K1429" s="299"/>
      <c r="L1429" s="58"/>
      <c r="M1429" s="58"/>
      <c r="N1429" s="229"/>
      <c r="O1429" s="21"/>
      <c r="P1429" s="21"/>
      <c r="Q1429" s="187"/>
      <c r="R1429" s="22"/>
      <c r="S1429" s="22"/>
      <c r="T1429" s="23"/>
      <c r="U1429" s="24"/>
      <c r="V1429" s="24"/>
      <c r="W1429" s="315"/>
      <c r="X1429" s="123">
        <f t="shared" si="31"/>
        <v>0</v>
      </c>
      <c r="Y1429" s="52"/>
      <c r="Z1429" s="3"/>
    </row>
    <row r="1430" spans="1:26">
      <c r="A1430" s="297"/>
      <c r="B1430" s="298"/>
      <c r="C1430" s="298"/>
      <c r="D1430" s="298"/>
      <c r="E1430" s="298"/>
      <c r="F1430" s="298"/>
      <c r="G1430" s="298"/>
      <c r="H1430" s="298"/>
      <c r="I1430" s="298"/>
      <c r="J1430" s="71"/>
      <c r="K1430" s="299"/>
      <c r="L1430" s="58"/>
      <c r="M1430" s="58"/>
      <c r="N1430" s="229"/>
      <c r="O1430" s="21"/>
      <c r="P1430" s="21"/>
      <c r="Q1430" s="187"/>
      <c r="R1430" s="22"/>
      <c r="S1430" s="22"/>
      <c r="T1430" s="23"/>
      <c r="U1430" s="24"/>
      <c r="V1430" s="24"/>
      <c r="W1430" s="315"/>
      <c r="X1430" s="123">
        <f t="shared" si="31"/>
        <v>0</v>
      </c>
      <c r="Y1430" s="52"/>
      <c r="Z1430" s="3"/>
    </row>
    <row r="1431" spans="1:26">
      <c r="A1431" s="297"/>
      <c r="B1431" s="298"/>
      <c r="C1431" s="298"/>
      <c r="D1431" s="298"/>
      <c r="E1431" s="298"/>
      <c r="F1431" s="298"/>
      <c r="G1431" s="298"/>
      <c r="H1431" s="298"/>
      <c r="I1431" s="298"/>
      <c r="J1431" s="71"/>
      <c r="K1431" s="299"/>
      <c r="L1431" s="58"/>
      <c r="M1431" s="58"/>
      <c r="N1431" s="229"/>
      <c r="O1431" s="21"/>
      <c r="P1431" s="21"/>
      <c r="Q1431" s="187"/>
      <c r="R1431" s="22"/>
      <c r="S1431" s="22"/>
      <c r="T1431" s="23"/>
      <c r="U1431" s="24"/>
      <c r="V1431" s="24"/>
      <c r="W1431" s="315"/>
      <c r="X1431" s="123">
        <f t="shared" si="31"/>
        <v>0</v>
      </c>
      <c r="Y1431" s="52"/>
      <c r="Z1431" s="3"/>
    </row>
    <row r="1432" spans="1:26">
      <c r="A1432" s="297"/>
      <c r="B1432" s="298"/>
      <c r="C1432" s="298"/>
      <c r="D1432" s="298"/>
      <c r="E1432" s="298"/>
      <c r="F1432" s="298"/>
      <c r="G1432" s="298"/>
      <c r="H1432" s="298"/>
      <c r="I1432" s="298"/>
      <c r="J1432" s="71"/>
      <c r="K1432" s="299"/>
      <c r="L1432" s="58"/>
      <c r="M1432" s="58"/>
      <c r="N1432" s="229"/>
      <c r="O1432" s="21"/>
      <c r="P1432" s="21"/>
      <c r="Q1432" s="187"/>
      <c r="R1432" s="22"/>
      <c r="S1432" s="22"/>
      <c r="T1432" s="23"/>
      <c r="U1432" s="24"/>
      <c r="V1432" s="24"/>
      <c r="W1432" s="315"/>
      <c r="X1432" s="123">
        <f t="shared" si="31"/>
        <v>0</v>
      </c>
      <c r="Y1432" s="52"/>
      <c r="Z1432" s="3"/>
    </row>
    <row r="1433" spans="1:26">
      <c r="A1433" s="297"/>
      <c r="B1433" s="298"/>
      <c r="C1433" s="298"/>
      <c r="D1433" s="298"/>
      <c r="E1433" s="298"/>
      <c r="F1433" s="298"/>
      <c r="G1433" s="298"/>
      <c r="H1433" s="298"/>
      <c r="I1433" s="298"/>
      <c r="J1433" s="71"/>
      <c r="K1433" s="299"/>
      <c r="L1433" s="58"/>
      <c r="M1433" s="58"/>
      <c r="N1433" s="229"/>
      <c r="O1433" s="21"/>
      <c r="P1433" s="21"/>
      <c r="Q1433" s="187"/>
      <c r="R1433" s="22"/>
      <c r="S1433" s="22"/>
      <c r="T1433" s="23"/>
      <c r="U1433" s="24"/>
      <c r="V1433" s="24"/>
      <c r="W1433" s="315"/>
      <c r="X1433" s="123">
        <f t="shared" si="31"/>
        <v>0</v>
      </c>
      <c r="Y1433" s="52"/>
      <c r="Z1433" s="3"/>
    </row>
    <row r="1434" spans="1:26">
      <c r="A1434" s="297"/>
      <c r="B1434" s="298"/>
      <c r="C1434" s="298"/>
      <c r="D1434" s="298"/>
      <c r="E1434" s="298"/>
      <c r="F1434" s="298"/>
      <c r="G1434" s="298"/>
      <c r="H1434" s="298"/>
      <c r="I1434" s="298"/>
      <c r="J1434" s="71"/>
      <c r="K1434" s="299"/>
      <c r="L1434" s="58"/>
      <c r="M1434" s="58"/>
      <c r="N1434" s="229"/>
      <c r="O1434" s="21"/>
      <c r="P1434" s="21"/>
      <c r="Q1434" s="187"/>
      <c r="R1434" s="22"/>
      <c r="S1434" s="22"/>
      <c r="T1434" s="23"/>
      <c r="U1434" s="24"/>
      <c r="V1434" s="24"/>
      <c r="W1434" s="315"/>
      <c r="X1434" s="123">
        <f t="shared" si="31"/>
        <v>0</v>
      </c>
      <c r="Y1434" s="52"/>
      <c r="Z1434" s="3"/>
    </row>
    <row r="1435" spans="1:26">
      <c r="A1435" s="297"/>
      <c r="B1435" s="298"/>
      <c r="C1435" s="298"/>
      <c r="D1435" s="298"/>
      <c r="E1435" s="298"/>
      <c r="F1435" s="298"/>
      <c r="G1435" s="298"/>
      <c r="H1435" s="298"/>
      <c r="I1435" s="298"/>
      <c r="J1435" s="71"/>
      <c r="K1435" s="299"/>
      <c r="L1435" s="58"/>
      <c r="M1435" s="58"/>
      <c r="N1435" s="229"/>
      <c r="O1435" s="21"/>
      <c r="P1435" s="21"/>
      <c r="Q1435" s="187"/>
      <c r="R1435" s="22"/>
      <c r="S1435" s="22"/>
      <c r="T1435" s="23"/>
      <c r="U1435" s="24"/>
      <c r="V1435" s="24"/>
      <c r="W1435" s="315"/>
      <c r="X1435" s="123">
        <f t="shared" si="31"/>
        <v>0</v>
      </c>
      <c r="Y1435" s="52"/>
      <c r="Z1435" s="3"/>
    </row>
    <row r="1436" spans="1:26">
      <c r="A1436" s="297"/>
      <c r="B1436" s="298"/>
      <c r="C1436" s="298"/>
      <c r="D1436" s="298"/>
      <c r="E1436" s="298"/>
      <c r="F1436" s="298"/>
      <c r="G1436" s="298"/>
      <c r="H1436" s="298"/>
      <c r="I1436" s="298"/>
      <c r="J1436" s="71"/>
      <c r="K1436" s="299"/>
      <c r="L1436" s="58"/>
      <c r="M1436" s="58"/>
      <c r="N1436" s="229"/>
      <c r="O1436" s="21"/>
      <c r="P1436" s="21"/>
      <c r="Q1436" s="187"/>
      <c r="R1436" s="22"/>
      <c r="S1436" s="22"/>
      <c r="T1436" s="23"/>
      <c r="U1436" s="24"/>
      <c r="V1436" s="24"/>
      <c r="W1436" s="315"/>
      <c r="X1436" s="123">
        <f t="shared" si="31"/>
        <v>0</v>
      </c>
      <c r="Y1436" s="52"/>
      <c r="Z1436" s="3"/>
    </row>
    <row r="1437" spans="1:26">
      <c r="A1437" s="297"/>
      <c r="B1437" s="298"/>
      <c r="C1437" s="298"/>
      <c r="D1437" s="298"/>
      <c r="E1437" s="298"/>
      <c r="F1437" s="298"/>
      <c r="G1437" s="298"/>
      <c r="H1437" s="298"/>
      <c r="I1437" s="298"/>
      <c r="J1437" s="71"/>
      <c r="K1437" s="299"/>
      <c r="L1437" s="58"/>
      <c r="M1437" s="58"/>
      <c r="N1437" s="229"/>
      <c r="O1437" s="21"/>
      <c r="P1437" s="21"/>
      <c r="Q1437" s="187"/>
      <c r="R1437" s="22"/>
      <c r="S1437" s="22"/>
      <c r="T1437" s="23"/>
      <c r="U1437" s="24"/>
      <c r="V1437" s="24"/>
      <c r="W1437" s="315"/>
      <c r="X1437" s="123">
        <f t="shared" si="31"/>
        <v>0</v>
      </c>
      <c r="Y1437" s="52"/>
      <c r="Z1437" s="3"/>
    </row>
    <row r="1438" spans="1:26">
      <c r="A1438" s="297"/>
      <c r="B1438" s="298"/>
      <c r="C1438" s="298"/>
      <c r="D1438" s="298"/>
      <c r="E1438" s="298"/>
      <c r="F1438" s="298"/>
      <c r="G1438" s="298"/>
      <c r="H1438" s="298"/>
      <c r="I1438" s="298"/>
      <c r="J1438" s="71"/>
      <c r="K1438" s="299"/>
      <c r="L1438" s="58"/>
      <c r="M1438" s="58"/>
      <c r="N1438" s="229"/>
      <c r="O1438" s="21"/>
      <c r="P1438" s="21"/>
      <c r="Q1438" s="187"/>
      <c r="R1438" s="22"/>
      <c r="S1438" s="22"/>
      <c r="T1438" s="23"/>
      <c r="U1438" s="24"/>
      <c r="V1438" s="24"/>
      <c r="W1438" s="315"/>
      <c r="X1438" s="123">
        <f t="shared" si="31"/>
        <v>0</v>
      </c>
      <c r="Y1438" s="52"/>
      <c r="Z1438" s="3"/>
    </row>
    <row r="1439" spans="1:26">
      <c r="A1439" s="297"/>
      <c r="B1439" s="298"/>
      <c r="C1439" s="298"/>
      <c r="D1439" s="298"/>
      <c r="E1439" s="298"/>
      <c r="F1439" s="298"/>
      <c r="G1439" s="298"/>
      <c r="H1439" s="298"/>
      <c r="I1439" s="298"/>
      <c r="J1439" s="71"/>
      <c r="K1439" s="299"/>
      <c r="L1439" s="58"/>
      <c r="M1439" s="58"/>
      <c r="N1439" s="229"/>
      <c r="O1439" s="21"/>
      <c r="P1439" s="21"/>
      <c r="Q1439" s="187"/>
      <c r="R1439" s="22"/>
      <c r="S1439" s="22"/>
      <c r="T1439" s="23"/>
      <c r="U1439" s="24"/>
      <c r="V1439" s="24"/>
      <c r="W1439" s="315"/>
      <c r="X1439" s="123">
        <f t="shared" si="31"/>
        <v>0</v>
      </c>
      <c r="Y1439" s="52"/>
      <c r="Z1439" s="3"/>
    </row>
    <row r="1440" spans="1:26">
      <c r="A1440" s="297"/>
      <c r="B1440" s="298"/>
      <c r="C1440" s="298"/>
      <c r="D1440" s="298"/>
      <c r="E1440" s="298"/>
      <c r="F1440" s="298"/>
      <c r="G1440" s="298"/>
      <c r="H1440" s="298"/>
      <c r="I1440" s="298"/>
      <c r="J1440" s="71"/>
      <c r="K1440" s="299"/>
      <c r="L1440" s="58"/>
      <c r="M1440" s="58"/>
      <c r="N1440" s="229"/>
      <c r="O1440" s="21"/>
      <c r="P1440" s="21"/>
      <c r="Q1440" s="187"/>
      <c r="R1440" s="22"/>
      <c r="S1440" s="22"/>
      <c r="T1440" s="23"/>
      <c r="U1440" s="24"/>
      <c r="V1440" s="24"/>
      <c r="W1440" s="315"/>
      <c r="X1440" s="123">
        <f t="shared" si="31"/>
        <v>0</v>
      </c>
      <c r="Y1440" s="52"/>
      <c r="Z1440" s="3"/>
    </row>
    <row r="1441" spans="1:26">
      <c r="A1441" s="297"/>
      <c r="B1441" s="298"/>
      <c r="C1441" s="298"/>
      <c r="D1441" s="298"/>
      <c r="E1441" s="298"/>
      <c r="F1441" s="298"/>
      <c r="G1441" s="298"/>
      <c r="H1441" s="298"/>
      <c r="I1441" s="298"/>
      <c r="J1441" s="71"/>
      <c r="K1441" s="299"/>
      <c r="L1441" s="58"/>
      <c r="M1441" s="58"/>
      <c r="N1441" s="229"/>
      <c r="O1441" s="21"/>
      <c r="P1441" s="21"/>
      <c r="Q1441" s="187"/>
      <c r="R1441" s="22"/>
      <c r="S1441" s="22"/>
      <c r="T1441" s="23"/>
      <c r="U1441" s="24"/>
      <c r="V1441" s="24"/>
      <c r="W1441" s="315"/>
      <c r="X1441" s="123">
        <f t="shared" si="31"/>
        <v>0</v>
      </c>
      <c r="Y1441" s="52"/>
      <c r="Z1441" s="3"/>
    </row>
    <row r="1442" spans="1:26">
      <c r="A1442" s="297"/>
      <c r="B1442" s="298"/>
      <c r="C1442" s="298"/>
      <c r="D1442" s="298"/>
      <c r="E1442" s="298"/>
      <c r="F1442" s="298"/>
      <c r="G1442" s="298"/>
      <c r="H1442" s="298"/>
      <c r="I1442" s="298"/>
      <c r="J1442" s="71"/>
      <c r="K1442" s="299"/>
      <c r="L1442" s="58"/>
      <c r="M1442" s="58"/>
      <c r="N1442" s="229"/>
      <c r="O1442" s="21"/>
      <c r="P1442" s="21"/>
      <c r="Q1442" s="187"/>
      <c r="R1442" s="22"/>
      <c r="S1442" s="22"/>
      <c r="T1442" s="23"/>
      <c r="U1442" s="24"/>
      <c r="V1442" s="24"/>
      <c r="W1442" s="315"/>
      <c r="X1442" s="123">
        <f t="shared" si="31"/>
        <v>0</v>
      </c>
      <c r="Y1442" s="52"/>
      <c r="Z1442" s="3"/>
    </row>
    <row r="1443" spans="1:26">
      <c r="A1443" s="297"/>
      <c r="B1443" s="298"/>
      <c r="C1443" s="298"/>
      <c r="D1443" s="298"/>
      <c r="E1443" s="298"/>
      <c r="F1443" s="298"/>
      <c r="G1443" s="298"/>
      <c r="H1443" s="298"/>
      <c r="I1443" s="298"/>
      <c r="J1443" s="71"/>
      <c r="K1443" s="299"/>
      <c r="L1443" s="58"/>
      <c r="M1443" s="58"/>
      <c r="N1443" s="229"/>
      <c r="O1443" s="21"/>
      <c r="P1443" s="21"/>
      <c r="Q1443" s="187"/>
      <c r="R1443" s="22"/>
      <c r="S1443" s="22"/>
      <c r="T1443" s="23"/>
      <c r="U1443" s="24"/>
      <c r="V1443" s="24"/>
      <c r="W1443" s="315"/>
      <c r="X1443" s="123">
        <f t="shared" si="31"/>
        <v>0</v>
      </c>
      <c r="Y1443" s="52"/>
      <c r="Z1443" s="3"/>
    </row>
    <row r="1444" spans="1:26">
      <c r="A1444" s="297"/>
      <c r="B1444" s="298"/>
      <c r="C1444" s="298"/>
      <c r="D1444" s="298"/>
      <c r="E1444" s="298"/>
      <c r="F1444" s="298"/>
      <c r="G1444" s="298"/>
      <c r="H1444" s="298"/>
      <c r="I1444" s="298"/>
      <c r="J1444" s="71"/>
      <c r="K1444" s="299"/>
      <c r="L1444" s="58"/>
      <c r="M1444" s="58"/>
      <c r="N1444" s="229"/>
      <c r="O1444" s="21"/>
      <c r="P1444" s="21"/>
      <c r="Q1444" s="187"/>
      <c r="R1444" s="22"/>
      <c r="S1444" s="22"/>
      <c r="T1444" s="23"/>
      <c r="U1444" s="24"/>
      <c r="V1444" s="24"/>
      <c r="W1444" s="315"/>
      <c r="X1444" s="123">
        <f t="shared" si="31"/>
        <v>0</v>
      </c>
      <c r="Y1444" s="52"/>
      <c r="Z1444" s="3"/>
    </row>
    <row r="1445" spans="1:26">
      <c r="A1445" s="297"/>
      <c r="B1445" s="298"/>
      <c r="C1445" s="298"/>
      <c r="D1445" s="298"/>
      <c r="E1445" s="298"/>
      <c r="F1445" s="298"/>
      <c r="G1445" s="298"/>
      <c r="H1445" s="298"/>
      <c r="I1445" s="298"/>
      <c r="J1445" s="71"/>
      <c r="K1445" s="299"/>
      <c r="L1445" s="58"/>
      <c r="M1445" s="58"/>
      <c r="N1445" s="229"/>
      <c r="O1445" s="21"/>
      <c r="P1445" s="21"/>
      <c r="Q1445" s="187"/>
      <c r="R1445" s="22"/>
      <c r="S1445" s="22"/>
      <c r="T1445" s="23"/>
      <c r="U1445" s="24"/>
      <c r="V1445" s="24"/>
      <c r="W1445" s="315"/>
      <c r="X1445" s="123">
        <f t="shared" si="31"/>
        <v>0</v>
      </c>
      <c r="Y1445" s="52"/>
      <c r="Z1445" s="3"/>
    </row>
    <row r="1446" spans="1:26">
      <c r="A1446" s="297"/>
      <c r="B1446" s="298"/>
      <c r="C1446" s="298"/>
      <c r="D1446" s="298"/>
      <c r="E1446" s="298"/>
      <c r="F1446" s="298"/>
      <c r="G1446" s="298"/>
      <c r="H1446" s="298"/>
      <c r="I1446" s="298"/>
      <c r="J1446" s="71"/>
      <c r="K1446" s="299"/>
      <c r="L1446" s="58"/>
      <c r="M1446" s="58"/>
      <c r="N1446" s="229"/>
      <c r="O1446" s="21"/>
      <c r="P1446" s="21"/>
      <c r="Q1446" s="187"/>
      <c r="R1446" s="22"/>
      <c r="S1446" s="22"/>
      <c r="T1446" s="23"/>
      <c r="U1446" s="24"/>
      <c r="V1446" s="24"/>
      <c r="W1446" s="315"/>
      <c r="X1446" s="123">
        <f t="shared" si="31"/>
        <v>0</v>
      </c>
      <c r="Y1446" s="52"/>
      <c r="Z1446" s="3"/>
    </row>
    <row r="1447" spans="1:26">
      <c r="A1447" s="297"/>
      <c r="B1447" s="298"/>
      <c r="C1447" s="298"/>
      <c r="D1447" s="298"/>
      <c r="E1447" s="298"/>
      <c r="F1447" s="298"/>
      <c r="G1447" s="298"/>
      <c r="H1447" s="298"/>
      <c r="I1447" s="298"/>
      <c r="J1447" s="71"/>
      <c r="K1447" s="299"/>
      <c r="L1447" s="58"/>
      <c r="M1447" s="58"/>
      <c r="N1447" s="229"/>
      <c r="O1447" s="21"/>
      <c r="P1447" s="21"/>
      <c r="Q1447" s="187"/>
      <c r="R1447" s="22"/>
      <c r="S1447" s="22"/>
      <c r="T1447" s="23"/>
      <c r="U1447" s="24"/>
      <c r="V1447" s="24"/>
      <c r="W1447" s="315"/>
      <c r="X1447" s="123">
        <f t="shared" si="31"/>
        <v>0</v>
      </c>
      <c r="Y1447" s="52"/>
      <c r="Z1447" s="3"/>
    </row>
    <row r="1448" spans="1:26">
      <c r="A1448" s="297"/>
      <c r="B1448" s="298"/>
      <c r="C1448" s="298"/>
      <c r="D1448" s="298"/>
      <c r="E1448" s="298"/>
      <c r="F1448" s="298"/>
      <c r="G1448" s="298"/>
      <c r="H1448" s="298"/>
      <c r="I1448" s="298"/>
      <c r="J1448" s="71"/>
      <c r="K1448" s="299"/>
      <c r="L1448" s="58"/>
      <c r="M1448" s="58"/>
      <c r="N1448" s="229"/>
      <c r="O1448" s="21"/>
      <c r="P1448" s="21"/>
      <c r="Q1448" s="187"/>
      <c r="R1448" s="22"/>
      <c r="S1448" s="22"/>
      <c r="T1448" s="23"/>
      <c r="U1448" s="24"/>
      <c r="V1448" s="24"/>
      <c r="W1448" s="315"/>
      <c r="X1448" s="123">
        <f t="shared" si="31"/>
        <v>0</v>
      </c>
      <c r="Y1448" s="52"/>
      <c r="Z1448" s="3"/>
    </row>
    <row r="1449" spans="1:26">
      <c r="A1449" s="297"/>
      <c r="B1449" s="298"/>
      <c r="C1449" s="298"/>
      <c r="D1449" s="298"/>
      <c r="E1449" s="298"/>
      <c r="F1449" s="298"/>
      <c r="G1449" s="298"/>
      <c r="H1449" s="298"/>
      <c r="I1449" s="298"/>
      <c r="J1449" s="71"/>
      <c r="K1449" s="299"/>
      <c r="L1449" s="58"/>
      <c r="M1449" s="58"/>
      <c r="N1449" s="229"/>
      <c r="O1449" s="21"/>
      <c r="P1449" s="21"/>
      <c r="Q1449" s="187"/>
      <c r="R1449" s="22"/>
      <c r="S1449" s="22"/>
      <c r="T1449" s="23"/>
      <c r="U1449" s="24"/>
      <c r="V1449" s="24"/>
      <c r="W1449" s="315"/>
      <c r="X1449" s="123">
        <f t="shared" si="31"/>
        <v>0</v>
      </c>
      <c r="Y1449" s="52"/>
      <c r="Z1449" s="3"/>
    </row>
    <row r="1450" spans="1:26">
      <c r="A1450" s="297"/>
      <c r="B1450" s="298"/>
      <c r="C1450" s="298"/>
      <c r="D1450" s="298"/>
      <c r="E1450" s="298"/>
      <c r="F1450" s="298"/>
      <c r="G1450" s="298"/>
      <c r="H1450" s="298"/>
      <c r="I1450" s="298"/>
      <c r="J1450" s="71"/>
      <c r="K1450" s="299"/>
      <c r="L1450" s="58"/>
      <c r="M1450" s="58"/>
      <c r="N1450" s="229"/>
      <c r="O1450" s="21"/>
      <c r="P1450" s="21"/>
      <c r="Q1450" s="187"/>
      <c r="R1450" s="22"/>
      <c r="S1450" s="22"/>
      <c r="T1450" s="23"/>
      <c r="U1450" s="24"/>
      <c r="V1450" s="24"/>
      <c r="W1450" s="315"/>
      <c r="X1450" s="123">
        <f t="shared" si="31"/>
        <v>0</v>
      </c>
      <c r="Y1450" s="52"/>
      <c r="Z1450" s="3"/>
    </row>
    <row r="1451" spans="1:26">
      <c r="A1451" s="297"/>
      <c r="B1451" s="298"/>
      <c r="C1451" s="298"/>
      <c r="D1451" s="298"/>
      <c r="E1451" s="298"/>
      <c r="F1451" s="298"/>
      <c r="G1451" s="298"/>
      <c r="H1451" s="298"/>
      <c r="I1451" s="298"/>
      <c r="J1451" s="71"/>
      <c r="K1451" s="299"/>
      <c r="L1451" s="58"/>
      <c r="M1451" s="58"/>
      <c r="N1451" s="229"/>
      <c r="O1451" s="21"/>
      <c r="P1451" s="21"/>
      <c r="Q1451" s="187"/>
      <c r="R1451" s="22"/>
      <c r="S1451" s="22"/>
      <c r="T1451" s="23"/>
      <c r="U1451" s="24"/>
      <c r="V1451" s="24"/>
      <c r="W1451" s="315"/>
      <c r="X1451" s="123">
        <f t="shared" si="31"/>
        <v>0</v>
      </c>
      <c r="Y1451" s="52"/>
      <c r="Z1451" s="3"/>
    </row>
    <row r="1452" spans="1:26">
      <c r="A1452" s="297"/>
      <c r="B1452" s="298"/>
      <c r="C1452" s="298"/>
      <c r="D1452" s="298"/>
      <c r="E1452" s="298"/>
      <c r="F1452" s="298"/>
      <c r="G1452" s="298"/>
      <c r="H1452" s="298"/>
      <c r="I1452" s="298"/>
      <c r="J1452" s="71"/>
      <c r="K1452" s="299"/>
      <c r="L1452" s="58"/>
      <c r="M1452" s="58"/>
      <c r="N1452" s="229"/>
      <c r="O1452" s="21"/>
      <c r="P1452" s="21"/>
      <c r="Q1452" s="187"/>
      <c r="R1452" s="22"/>
      <c r="S1452" s="22"/>
      <c r="T1452" s="23"/>
      <c r="U1452" s="24"/>
      <c r="V1452" s="24"/>
      <c r="W1452" s="315"/>
      <c r="X1452" s="123">
        <f t="shared" si="31"/>
        <v>0</v>
      </c>
      <c r="Y1452" s="52"/>
      <c r="Z1452" s="3"/>
    </row>
    <row r="1453" spans="1:26">
      <c r="A1453" s="297"/>
      <c r="B1453" s="298"/>
      <c r="C1453" s="298"/>
      <c r="D1453" s="298"/>
      <c r="E1453" s="298"/>
      <c r="F1453" s="298"/>
      <c r="G1453" s="298"/>
      <c r="H1453" s="298"/>
      <c r="I1453" s="298"/>
      <c r="J1453" s="71"/>
      <c r="K1453" s="299"/>
      <c r="L1453" s="58"/>
      <c r="M1453" s="58"/>
      <c r="N1453" s="229"/>
      <c r="O1453" s="21"/>
      <c r="P1453" s="21"/>
      <c r="Q1453" s="187"/>
      <c r="R1453" s="22"/>
      <c r="S1453" s="22"/>
      <c r="T1453" s="23"/>
      <c r="U1453" s="24"/>
      <c r="V1453" s="24"/>
      <c r="W1453" s="315"/>
      <c r="X1453" s="123">
        <f t="shared" si="31"/>
        <v>0</v>
      </c>
      <c r="Y1453" s="52"/>
      <c r="Z1453" s="3"/>
    </row>
    <row r="1454" spans="1:26">
      <c r="A1454" s="297"/>
      <c r="B1454" s="298"/>
      <c r="C1454" s="298"/>
      <c r="D1454" s="298"/>
      <c r="E1454" s="298"/>
      <c r="F1454" s="298"/>
      <c r="G1454" s="298"/>
      <c r="H1454" s="298"/>
      <c r="I1454" s="298"/>
      <c r="J1454" s="71"/>
      <c r="K1454" s="299"/>
      <c r="L1454" s="58"/>
      <c r="M1454" s="58"/>
      <c r="N1454" s="229"/>
      <c r="O1454" s="21"/>
      <c r="P1454" s="21"/>
      <c r="Q1454" s="187"/>
      <c r="R1454" s="22"/>
      <c r="S1454" s="22"/>
      <c r="T1454" s="23"/>
      <c r="U1454" s="24"/>
      <c r="V1454" s="24"/>
      <c r="W1454" s="315"/>
      <c r="X1454" s="123">
        <f t="shared" si="31"/>
        <v>0</v>
      </c>
      <c r="Y1454" s="52"/>
      <c r="Z1454" s="3"/>
    </row>
    <row r="1455" spans="1:26">
      <c r="A1455" s="297"/>
      <c r="B1455" s="298"/>
      <c r="C1455" s="298"/>
      <c r="D1455" s="298"/>
      <c r="E1455" s="298"/>
      <c r="F1455" s="298"/>
      <c r="G1455" s="298"/>
      <c r="H1455" s="298"/>
      <c r="I1455" s="298"/>
      <c r="J1455" s="71"/>
      <c r="K1455" s="299"/>
      <c r="L1455" s="58"/>
      <c r="M1455" s="58"/>
      <c r="N1455" s="229"/>
      <c r="O1455" s="21"/>
      <c r="P1455" s="21"/>
      <c r="Q1455" s="187"/>
      <c r="R1455" s="22"/>
      <c r="S1455" s="22"/>
      <c r="T1455" s="23"/>
      <c r="U1455" s="24"/>
      <c r="V1455" s="24"/>
      <c r="W1455" s="315"/>
      <c r="X1455" s="123">
        <f t="shared" si="31"/>
        <v>0</v>
      </c>
      <c r="Y1455" s="52"/>
      <c r="Z1455" s="3"/>
    </row>
    <row r="1456" spans="1:26">
      <c r="A1456" s="297"/>
      <c r="B1456" s="298"/>
      <c r="C1456" s="298"/>
      <c r="D1456" s="298"/>
      <c r="E1456" s="298"/>
      <c r="F1456" s="298"/>
      <c r="G1456" s="298"/>
      <c r="H1456" s="298"/>
      <c r="I1456" s="298"/>
      <c r="J1456" s="71"/>
      <c r="K1456" s="299"/>
      <c r="L1456" s="58"/>
      <c r="M1456" s="58"/>
      <c r="N1456" s="229"/>
      <c r="O1456" s="21"/>
      <c r="P1456" s="21"/>
      <c r="Q1456" s="187"/>
      <c r="R1456" s="22"/>
      <c r="S1456" s="22"/>
      <c r="T1456" s="23"/>
      <c r="U1456" s="24"/>
      <c r="V1456" s="24"/>
      <c r="W1456" s="315"/>
      <c r="X1456" s="123">
        <f t="shared" si="31"/>
        <v>0</v>
      </c>
      <c r="Y1456" s="52"/>
      <c r="Z1456" s="3"/>
    </row>
    <row r="1457" spans="1:26">
      <c r="A1457" s="297"/>
      <c r="B1457" s="298"/>
      <c r="C1457" s="298"/>
      <c r="D1457" s="298"/>
      <c r="E1457" s="298"/>
      <c r="F1457" s="298"/>
      <c r="G1457" s="298"/>
      <c r="H1457" s="298"/>
      <c r="I1457" s="298"/>
      <c r="J1457" s="71"/>
      <c r="K1457" s="299"/>
      <c r="L1457" s="58"/>
      <c r="M1457" s="58"/>
      <c r="N1457" s="229"/>
      <c r="O1457" s="21"/>
      <c r="P1457" s="21"/>
      <c r="Q1457" s="187"/>
      <c r="R1457" s="22"/>
      <c r="S1457" s="22"/>
      <c r="T1457" s="23"/>
      <c r="U1457" s="24"/>
      <c r="V1457" s="24"/>
      <c r="W1457" s="315"/>
      <c r="X1457" s="123">
        <f t="shared" si="31"/>
        <v>0</v>
      </c>
      <c r="Y1457" s="52"/>
      <c r="Z1457" s="3"/>
    </row>
    <row r="1458" spans="1:26">
      <c r="A1458" s="297"/>
      <c r="B1458" s="298"/>
      <c r="C1458" s="298"/>
      <c r="D1458" s="298"/>
      <c r="E1458" s="298"/>
      <c r="F1458" s="298"/>
      <c r="G1458" s="298"/>
      <c r="H1458" s="298"/>
      <c r="I1458" s="298"/>
      <c r="J1458" s="71"/>
      <c r="K1458" s="299"/>
      <c r="L1458" s="58"/>
      <c r="M1458" s="58"/>
      <c r="N1458" s="229"/>
      <c r="O1458" s="21"/>
      <c r="P1458" s="21"/>
      <c r="Q1458" s="187"/>
      <c r="R1458" s="22"/>
      <c r="S1458" s="22"/>
      <c r="T1458" s="23"/>
      <c r="U1458" s="24"/>
      <c r="V1458" s="24"/>
      <c r="W1458" s="315"/>
      <c r="X1458" s="123">
        <f t="shared" si="31"/>
        <v>0</v>
      </c>
      <c r="Y1458" s="52"/>
      <c r="Z1458" s="3"/>
    </row>
    <row r="1459" spans="1:26">
      <c r="A1459" s="297"/>
      <c r="B1459" s="298"/>
      <c r="C1459" s="298"/>
      <c r="D1459" s="298"/>
      <c r="E1459" s="298"/>
      <c r="F1459" s="298"/>
      <c r="G1459" s="298"/>
      <c r="H1459" s="298"/>
      <c r="I1459" s="298"/>
      <c r="J1459" s="71"/>
      <c r="K1459" s="299"/>
      <c r="L1459" s="58"/>
      <c r="M1459" s="58"/>
      <c r="N1459" s="229"/>
      <c r="O1459" s="21"/>
      <c r="P1459" s="21"/>
      <c r="Q1459" s="187"/>
      <c r="R1459" s="22"/>
      <c r="S1459" s="22"/>
      <c r="T1459" s="23"/>
      <c r="U1459" s="24"/>
      <c r="V1459" s="24"/>
      <c r="W1459" s="315"/>
      <c r="X1459" s="123">
        <f t="shared" si="31"/>
        <v>0</v>
      </c>
      <c r="Y1459" s="52"/>
      <c r="Z1459" s="3"/>
    </row>
    <row r="1460" spans="1:26">
      <c r="A1460" s="297"/>
      <c r="B1460" s="298"/>
      <c r="C1460" s="298"/>
      <c r="D1460" s="298"/>
      <c r="E1460" s="298"/>
      <c r="F1460" s="298"/>
      <c r="G1460" s="298"/>
      <c r="H1460" s="298"/>
      <c r="I1460" s="298"/>
      <c r="J1460" s="71"/>
      <c r="K1460" s="299"/>
      <c r="L1460" s="58"/>
      <c r="M1460" s="58"/>
      <c r="N1460" s="229"/>
      <c r="O1460" s="21"/>
      <c r="P1460" s="21"/>
      <c r="Q1460" s="187"/>
      <c r="R1460" s="22"/>
      <c r="S1460" s="22"/>
      <c r="T1460" s="23"/>
      <c r="U1460" s="24"/>
      <c r="V1460" s="24"/>
      <c r="W1460" s="315"/>
      <c r="X1460" s="123">
        <f t="shared" si="31"/>
        <v>0</v>
      </c>
      <c r="Y1460" s="52"/>
      <c r="Z1460" s="3"/>
    </row>
    <row r="1461" spans="1:26">
      <c r="A1461" s="297"/>
      <c r="B1461" s="298"/>
      <c r="C1461" s="298"/>
      <c r="D1461" s="298"/>
      <c r="E1461" s="298"/>
      <c r="F1461" s="298"/>
      <c r="G1461" s="298"/>
      <c r="H1461" s="298"/>
      <c r="I1461" s="298"/>
      <c r="J1461" s="71"/>
      <c r="K1461" s="299"/>
      <c r="L1461" s="58"/>
      <c r="M1461" s="58"/>
      <c r="N1461" s="229"/>
      <c r="O1461" s="21"/>
      <c r="P1461" s="21"/>
      <c r="Q1461" s="187"/>
      <c r="R1461" s="22"/>
      <c r="S1461" s="22"/>
      <c r="T1461" s="23"/>
      <c r="U1461" s="24"/>
      <c r="V1461" s="24"/>
      <c r="W1461" s="315"/>
      <c r="X1461" s="123">
        <f t="shared" si="31"/>
        <v>0</v>
      </c>
      <c r="Y1461" s="52"/>
      <c r="Z1461" s="3"/>
    </row>
    <row r="1462" spans="1:26">
      <c r="A1462" s="297"/>
      <c r="B1462" s="298"/>
      <c r="C1462" s="298"/>
      <c r="D1462" s="298"/>
      <c r="E1462" s="298"/>
      <c r="F1462" s="298"/>
      <c r="G1462" s="298"/>
      <c r="H1462" s="298"/>
      <c r="I1462" s="298"/>
      <c r="J1462" s="71"/>
      <c r="K1462" s="299"/>
      <c r="L1462" s="58"/>
      <c r="M1462" s="58"/>
      <c r="N1462" s="229"/>
      <c r="O1462" s="21"/>
      <c r="P1462" s="21"/>
      <c r="Q1462" s="187"/>
      <c r="R1462" s="22"/>
      <c r="S1462" s="22"/>
      <c r="T1462" s="23"/>
      <c r="U1462" s="24"/>
      <c r="V1462" s="24"/>
      <c r="W1462" s="315"/>
      <c r="X1462" s="123">
        <f t="shared" si="31"/>
        <v>0</v>
      </c>
      <c r="Y1462" s="52"/>
      <c r="Z1462" s="3"/>
    </row>
    <row r="1463" spans="1:26">
      <c r="A1463" s="297"/>
      <c r="B1463" s="298"/>
      <c r="C1463" s="298"/>
      <c r="D1463" s="298"/>
      <c r="E1463" s="298"/>
      <c r="F1463" s="298"/>
      <c r="G1463" s="298"/>
      <c r="H1463" s="298"/>
      <c r="I1463" s="298"/>
      <c r="J1463" s="71"/>
      <c r="K1463" s="299"/>
      <c r="L1463" s="58"/>
      <c r="M1463" s="58"/>
      <c r="N1463" s="229"/>
      <c r="O1463" s="21"/>
      <c r="P1463" s="21"/>
      <c r="Q1463" s="187"/>
      <c r="R1463" s="22"/>
      <c r="S1463" s="22"/>
      <c r="T1463" s="23"/>
      <c r="U1463" s="24"/>
      <c r="V1463" s="24"/>
      <c r="W1463" s="315"/>
      <c r="X1463" s="123">
        <f t="shared" si="31"/>
        <v>0</v>
      </c>
      <c r="Y1463" s="52"/>
      <c r="Z1463" s="3"/>
    </row>
    <row r="1464" spans="1:26">
      <c r="A1464" s="297"/>
      <c r="B1464" s="298"/>
      <c r="C1464" s="298"/>
      <c r="D1464" s="298"/>
      <c r="E1464" s="298"/>
      <c r="F1464" s="298"/>
      <c r="G1464" s="298"/>
      <c r="H1464" s="298"/>
      <c r="I1464" s="298"/>
      <c r="J1464" s="71"/>
      <c r="K1464" s="299"/>
      <c r="L1464" s="58"/>
      <c r="M1464" s="58"/>
      <c r="N1464" s="229"/>
      <c r="O1464" s="21"/>
      <c r="P1464" s="21"/>
      <c r="Q1464" s="187"/>
      <c r="R1464" s="22"/>
      <c r="S1464" s="22"/>
      <c r="T1464" s="23"/>
      <c r="U1464" s="24"/>
      <c r="V1464" s="24"/>
      <c r="W1464" s="315"/>
      <c r="X1464" s="123">
        <f t="shared" si="31"/>
        <v>0</v>
      </c>
      <c r="Y1464" s="52"/>
      <c r="Z1464" s="3"/>
    </row>
    <row r="1465" spans="1:26">
      <c r="A1465" s="297"/>
      <c r="B1465" s="298"/>
      <c r="C1465" s="298"/>
      <c r="D1465" s="298"/>
      <c r="E1465" s="298"/>
      <c r="F1465" s="298"/>
      <c r="G1465" s="298"/>
      <c r="H1465" s="298"/>
      <c r="I1465" s="298"/>
      <c r="J1465" s="71"/>
      <c r="K1465" s="299"/>
      <c r="L1465" s="58"/>
      <c r="M1465" s="58"/>
      <c r="N1465" s="229"/>
      <c r="O1465" s="21"/>
      <c r="P1465" s="21"/>
      <c r="Q1465" s="187"/>
      <c r="R1465" s="22"/>
      <c r="S1465" s="22"/>
      <c r="T1465" s="23"/>
      <c r="U1465" s="24"/>
      <c r="V1465" s="24"/>
      <c r="W1465" s="315"/>
      <c r="X1465" s="123">
        <f t="shared" si="31"/>
        <v>0</v>
      </c>
      <c r="Y1465" s="52"/>
      <c r="Z1465" s="3"/>
    </row>
    <row r="1466" spans="1:26">
      <c r="A1466" s="297"/>
      <c r="B1466" s="298"/>
      <c r="C1466" s="298"/>
      <c r="D1466" s="298"/>
      <c r="E1466" s="298"/>
      <c r="F1466" s="298"/>
      <c r="G1466" s="298"/>
      <c r="H1466" s="298"/>
      <c r="I1466" s="298"/>
      <c r="J1466" s="71"/>
      <c r="K1466" s="299"/>
      <c r="L1466" s="58"/>
      <c r="M1466" s="58"/>
      <c r="N1466" s="229"/>
      <c r="O1466" s="21"/>
      <c r="P1466" s="21"/>
      <c r="Q1466" s="187"/>
      <c r="R1466" s="22"/>
      <c r="S1466" s="22"/>
      <c r="T1466" s="23"/>
      <c r="U1466" s="24"/>
      <c r="V1466" s="24"/>
      <c r="W1466" s="315"/>
      <c r="X1466" s="123">
        <f t="shared" si="31"/>
        <v>0</v>
      </c>
      <c r="Y1466" s="52"/>
      <c r="Z1466" s="3"/>
    </row>
    <row r="1467" spans="1:26">
      <c r="A1467" s="297"/>
      <c r="B1467" s="298"/>
      <c r="C1467" s="298"/>
      <c r="D1467" s="298"/>
      <c r="E1467" s="298"/>
      <c r="F1467" s="298"/>
      <c r="G1467" s="298"/>
      <c r="H1467" s="298"/>
      <c r="I1467" s="298"/>
      <c r="J1467" s="71"/>
      <c r="K1467" s="299"/>
      <c r="L1467" s="58"/>
      <c r="M1467" s="58"/>
      <c r="N1467" s="229"/>
      <c r="O1467" s="21"/>
      <c r="P1467" s="21"/>
      <c r="Q1467" s="187"/>
      <c r="R1467" s="22"/>
      <c r="S1467" s="22"/>
      <c r="T1467" s="23"/>
      <c r="U1467" s="24"/>
      <c r="V1467" s="24"/>
      <c r="W1467" s="315"/>
      <c r="X1467" s="123">
        <f t="shared" si="31"/>
        <v>0</v>
      </c>
      <c r="Y1467" s="52"/>
      <c r="Z1467" s="3"/>
    </row>
    <row r="1468" spans="1:26">
      <c r="A1468" s="297"/>
      <c r="B1468" s="298"/>
      <c r="C1468" s="298"/>
      <c r="D1468" s="298"/>
      <c r="E1468" s="298"/>
      <c r="F1468" s="298"/>
      <c r="G1468" s="298"/>
      <c r="H1468" s="298"/>
      <c r="I1468" s="298"/>
      <c r="J1468" s="71"/>
      <c r="K1468" s="299"/>
      <c r="L1468" s="58"/>
      <c r="M1468" s="58"/>
      <c r="N1468" s="229"/>
      <c r="O1468" s="21"/>
      <c r="P1468" s="21"/>
      <c r="Q1468" s="187"/>
      <c r="R1468" s="22"/>
      <c r="S1468" s="22"/>
      <c r="T1468" s="23"/>
      <c r="U1468" s="24"/>
      <c r="V1468" s="24"/>
      <c r="W1468" s="315"/>
      <c r="X1468" s="123">
        <f t="shared" si="31"/>
        <v>0</v>
      </c>
      <c r="Y1468" s="52"/>
      <c r="Z1468" s="3"/>
    </row>
    <row r="1469" spans="1:26">
      <c r="A1469" s="297"/>
      <c r="B1469" s="298"/>
      <c r="C1469" s="298"/>
      <c r="D1469" s="298"/>
      <c r="E1469" s="298"/>
      <c r="F1469" s="298"/>
      <c r="G1469" s="298"/>
      <c r="H1469" s="298"/>
      <c r="I1469" s="298"/>
      <c r="J1469" s="71"/>
      <c r="K1469" s="299"/>
      <c r="L1469" s="58"/>
      <c r="M1469" s="58"/>
      <c r="N1469" s="229"/>
      <c r="O1469" s="21"/>
      <c r="P1469" s="21"/>
      <c r="Q1469" s="187"/>
      <c r="R1469" s="22"/>
      <c r="S1469" s="22"/>
      <c r="T1469" s="23"/>
      <c r="U1469" s="24"/>
      <c r="V1469" s="24"/>
      <c r="W1469" s="315"/>
      <c r="X1469" s="123">
        <f t="shared" si="31"/>
        <v>0</v>
      </c>
      <c r="Y1469" s="52"/>
      <c r="Z1469" s="3"/>
    </row>
    <row r="1470" spans="1:26">
      <c r="A1470" s="297"/>
      <c r="B1470" s="298"/>
      <c r="C1470" s="298"/>
      <c r="D1470" s="298"/>
      <c r="E1470" s="298"/>
      <c r="F1470" s="298"/>
      <c r="G1470" s="298"/>
      <c r="H1470" s="298"/>
      <c r="I1470" s="298"/>
      <c r="J1470" s="71"/>
      <c r="K1470" s="299"/>
      <c r="L1470" s="58"/>
      <c r="M1470" s="58"/>
      <c r="N1470" s="229"/>
      <c r="O1470" s="21"/>
      <c r="P1470" s="21"/>
      <c r="Q1470" s="187"/>
      <c r="R1470" s="22"/>
      <c r="S1470" s="22"/>
      <c r="T1470" s="23"/>
      <c r="U1470" s="24"/>
      <c r="V1470" s="24"/>
      <c r="W1470" s="315"/>
      <c r="X1470" s="123">
        <f t="shared" si="31"/>
        <v>0</v>
      </c>
      <c r="Y1470" s="52"/>
      <c r="Z1470" s="3"/>
    </row>
    <row r="1471" spans="1:26">
      <c r="A1471" s="297"/>
      <c r="B1471" s="298"/>
      <c r="C1471" s="298"/>
      <c r="D1471" s="298"/>
      <c r="E1471" s="298"/>
      <c r="F1471" s="298"/>
      <c r="G1471" s="298"/>
      <c r="H1471" s="298"/>
      <c r="I1471" s="298"/>
      <c r="J1471" s="71"/>
      <c r="K1471" s="299"/>
      <c r="L1471" s="58"/>
      <c r="M1471" s="58"/>
      <c r="N1471" s="229"/>
      <c r="O1471" s="21"/>
      <c r="P1471" s="21"/>
      <c r="Q1471" s="187"/>
      <c r="R1471" s="22"/>
      <c r="S1471" s="22"/>
      <c r="T1471" s="23"/>
      <c r="U1471" s="24"/>
      <c r="V1471" s="24"/>
      <c r="W1471" s="315"/>
      <c r="X1471" s="123">
        <f t="shared" si="31"/>
        <v>0</v>
      </c>
      <c r="Y1471" s="52"/>
      <c r="Z1471" s="3"/>
    </row>
    <row r="1472" spans="1:26">
      <c r="A1472" s="297"/>
      <c r="B1472" s="298"/>
      <c r="C1472" s="298"/>
      <c r="D1472" s="298"/>
      <c r="E1472" s="298"/>
      <c r="F1472" s="298"/>
      <c r="G1472" s="298"/>
      <c r="H1472" s="298"/>
      <c r="I1472" s="298"/>
      <c r="J1472" s="71"/>
      <c r="K1472" s="299"/>
      <c r="L1472" s="58"/>
      <c r="M1472" s="58"/>
      <c r="N1472" s="229"/>
      <c r="O1472" s="21"/>
      <c r="P1472" s="21"/>
      <c r="Q1472" s="187"/>
      <c r="R1472" s="22"/>
      <c r="S1472" s="22"/>
      <c r="T1472" s="23"/>
      <c r="U1472" s="24"/>
      <c r="V1472" s="24"/>
      <c r="W1472" s="315"/>
      <c r="X1472" s="123">
        <f t="shared" si="31"/>
        <v>0</v>
      </c>
      <c r="Y1472" s="52"/>
      <c r="Z1472" s="3"/>
    </row>
    <row r="1473" spans="1:26">
      <c r="A1473" s="297"/>
      <c r="B1473" s="298"/>
      <c r="C1473" s="298"/>
      <c r="D1473" s="298"/>
      <c r="E1473" s="298"/>
      <c r="F1473" s="298"/>
      <c r="G1473" s="298"/>
      <c r="H1473" s="298"/>
      <c r="I1473" s="298"/>
      <c r="J1473" s="71"/>
      <c r="K1473" s="299"/>
      <c r="L1473" s="58"/>
      <c r="M1473" s="58"/>
      <c r="N1473" s="229"/>
      <c r="O1473" s="21"/>
      <c r="P1473" s="21"/>
      <c r="Q1473" s="187"/>
      <c r="R1473" s="22"/>
      <c r="S1473" s="22"/>
      <c r="T1473" s="23"/>
      <c r="U1473" s="24"/>
      <c r="V1473" s="24"/>
      <c r="W1473" s="315"/>
      <c r="X1473" s="123">
        <f t="shared" si="31"/>
        <v>0</v>
      </c>
      <c r="Y1473" s="52"/>
      <c r="Z1473" s="3"/>
    </row>
    <row r="1474" spans="1:26">
      <c r="A1474" s="297"/>
      <c r="B1474" s="298"/>
      <c r="C1474" s="298"/>
      <c r="D1474" s="298"/>
      <c r="E1474" s="298"/>
      <c r="F1474" s="298"/>
      <c r="G1474" s="298"/>
      <c r="H1474" s="298"/>
      <c r="I1474" s="298"/>
      <c r="J1474" s="71"/>
      <c r="K1474" s="299"/>
      <c r="L1474" s="58"/>
      <c r="M1474" s="58"/>
      <c r="N1474" s="229"/>
      <c r="O1474" s="21"/>
      <c r="P1474" s="21"/>
      <c r="Q1474" s="187"/>
      <c r="R1474" s="22"/>
      <c r="S1474" s="22"/>
      <c r="T1474" s="23"/>
      <c r="U1474" s="24"/>
      <c r="V1474" s="24"/>
      <c r="W1474" s="315"/>
      <c r="X1474" s="123">
        <f t="shared" si="31"/>
        <v>0</v>
      </c>
      <c r="Y1474" s="52"/>
      <c r="Z1474" s="3"/>
    </row>
    <row r="1475" spans="1:26">
      <c r="A1475" s="297"/>
      <c r="B1475" s="298"/>
      <c r="C1475" s="298"/>
      <c r="D1475" s="298"/>
      <c r="E1475" s="298"/>
      <c r="F1475" s="298"/>
      <c r="G1475" s="298"/>
      <c r="H1475" s="298"/>
      <c r="I1475" s="298"/>
      <c r="J1475" s="71"/>
      <c r="K1475" s="299"/>
      <c r="L1475" s="58"/>
      <c r="M1475" s="58"/>
      <c r="N1475" s="229"/>
      <c r="O1475" s="21"/>
      <c r="P1475" s="21"/>
      <c r="Q1475" s="187"/>
      <c r="R1475" s="22"/>
      <c r="S1475" s="22"/>
      <c r="T1475" s="23"/>
      <c r="U1475" s="24"/>
      <c r="V1475" s="24"/>
      <c r="W1475" s="315"/>
      <c r="X1475" s="123">
        <f t="shared" si="31"/>
        <v>0</v>
      </c>
      <c r="Y1475" s="52"/>
      <c r="Z1475" s="3"/>
    </row>
    <row r="1476" spans="1:26">
      <c r="A1476" s="297"/>
      <c r="B1476" s="298"/>
      <c r="C1476" s="298"/>
      <c r="D1476" s="298"/>
      <c r="E1476" s="298"/>
      <c r="F1476" s="298"/>
      <c r="G1476" s="298"/>
      <c r="H1476" s="298"/>
      <c r="I1476" s="298"/>
      <c r="J1476" s="71"/>
      <c r="K1476" s="299"/>
      <c r="L1476" s="58"/>
      <c r="M1476" s="58"/>
      <c r="N1476" s="229"/>
      <c r="O1476" s="21"/>
      <c r="P1476" s="21"/>
      <c r="Q1476" s="187"/>
      <c r="R1476" s="22"/>
      <c r="S1476" s="22"/>
      <c r="T1476" s="23"/>
      <c r="U1476" s="24"/>
      <c r="V1476" s="24"/>
      <c r="W1476" s="315"/>
      <c r="X1476" s="123">
        <f t="shared" si="31"/>
        <v>0</v>
      </c>
      <c r="Y1476" s="52"/>
      <c r="Z1476" s="3"/>
    </row>
    <row r="1477" spans="1:26">
      <c r="A1477" s="297"/>
      <c r="B1477" s="298"/>
      <c r="C1477" s="298"/>
      <c r="D1477" s="298"/>
      <c r="E1477" s="298"/>
      <c r="F1477" s="298"/>
      <c r="G1477" s="298"/>
      <c r="H1477" s="298"/>
      <c r="I1477" s="298"/>
      <c r="J1477" s="71"/>
      <c r="K1477" s="299"/>
      <c r="L1477" s="58"/>
      <c r="M1477" s="58"/>
      <c r="N1477" s="229"/>
      <c r="O1477" s="21"/>
      <c r="P1477" s="21"/>
      <c r="Q1477" s="187"/>
      <c r="R1477" s="22"/>
      <c r="S1477" s="22"/>
      <c r="T1477" s="23"/>
      <c r="U1477" s="24"/>
      <c r="V1477" s="24"/>
      <c r="W1477" s="315"/>
      <c r="X1477" s="123">
        <f t="shared" si="31"/>
        <v>0</v>
      </c>
      <c r="Y1477" s="52"/>
      <c r="Z1477" s="3"/>
    </row>
    <row r="1478" spans="1:26">
      <c r="A1478" s="297"/>
      <c r="B1478" s="298"/>
      <c r="C1478" s="298"/>
      <c r="D1478" s="298"/>
      <c r="E1478" s="298"/>
      <c r="F1478" s="298"/>
      <c r="G1478" s="298"/>
      <c r="H1478" s="298"/>
      <c r="I1478" s="298"/>
      <c r="J1478" s="71"/>
      <c r="K1478" s="299"/>
      <c r="L1478" s="58"/>
      <c r="M1478" s="58"/>
      <c r="N1478" s="229"/>
      <c r="O1478" s="21"/>
      <c r="P1478" s="21"/>
      <c r="Q1478" s="187"/>
      <c r="R1478" s="22"/>
      <c r="S1478" s="22"/>
      <c r="T1478" s="23"/>
      <c r="U1478" s="24"/>
      <c r="V1478" s="24"/>
      <c r="W1478" s="315"/>
      <c r="X1478" s="123">
        <f t="shared" si="31"/>
        <v>0</v>
      </c>
      <c r="Y1478" s="52"/>
      <c r="Z1478" s="3"/>
    </row>
    <row r="1479" spans="1:26">
      <c r="A1479" s="297"/>
      <c r="B1479" s="352"/>
      <c r="C1479" s="352"/>
      <c r="D1479" s="352"/>
      <c r="E1479" s="352"/>
      <c r="F1479" s="352"/>
      <c r="G1479" s="352"/>
      <c r="H1479" s="352"/>
      <c r="I1479" s="355"/>
      <c r="J1479" s="353"/>
      <c r="K1479" s="354"/>
      <c r="L1479" s="58"/>
      <c r="M1479" s="58"/>
      <c r="N1479" s="229"/>
      <c r="O1479" s="21"/>
      <c r="P1479" s="21"/>
      <c r="Q1479" s="187"/>
      <c r="R1479" s="22"/>
      <c r="S1479" s="22"/>
      <c r="T1479" s="23"/>
      <c r="U1479" s="24"/>
      <c r="V1479" s="24"/>
      <c r="W1479" s="315"/>
      <c r="X1479" s="123">
        <f t="shared" si="31"/>
        <v>0</v>
      </c>
      <c r="Y1479" s="52"/>
      <c r="Z1479" s="3"/>
    </row>
    <row r="1480" spans="1:26" ht="9" customHeight="1" thickBot="1">
      <c r="A1480" s="297"/>
      <c r="B1480" s="298"/>
      <c r="C1480" s="298"/>
      <c r="D1480" s="298"/>
      <c r="E1480" s="70"/>
      <c r="F1480" s="298"/>
      <c r="G1480" s="298"/>
      <c r="H1480" s="70"/>
      <c r="I1480" s="70"/>
      <c r="J1480" s="71"/>
      <c r="K1480" s="299"/>
      <c r="L1480" s="58"/>
      <c r="M1480" s="58"/>
      <c r="N1480" s="229"/>
      <c r="O1480" s="21"/>
      <c r="P1480" s="21"/>
      <c r="Q1480" s="187"/>
      <c r="R1480" s="22"/>
      <c r="S1480" s="22"/>
      <c r="T1480" s="23"/>
      <c r="U1480" s="24"/>
      <c r="V1480" s="24"/>
      <c r="W1480" s="315"/>
      <c r="X1480" s="123">
        <f>SUM(K1480-N1480-Q1480-T1480-W1480)</f>
        <v>0</v>
      </c>
      <c r="Y1480" s="52"/>
      <c r="Z1480" s="3"/>
    </row>
    <row r="1481" spans="1:26" ht="15.75" thickBot="1">
      <c r="A1481" s="72" t="s">
        <v>51</v>
      </c>
      <c r="B1481" s="73"/>
      <c r="C1481" s="73"/>
      <c r="D1481" s="73"/>
      <c r="E1481" s="74"/>
      <c r="F1481" s="74"/>
      <c r="G1481" s="75">
        <f>SUM(X1481)</f>
        <v>229103.09999999919</v>
      </c>
      <c r="H1481" s="74"/>
      <c r="I1481" s="74"/>
      <c r="J1481" s="75"/>
      <c r="K1481" s="303"/>
      <c r="L1481" s="8"/>
      <c r="M1481" s="49"/>
      <c r="N1481" s="50"/>
      <c r="O1481" s="7"/>
      <c r="P1481" s="7"/>
      <c r="Q1481" s="8"/>
      <c r="R1481" s="7"/>
      <c r="S1481" s="7"/>
      <c r="T1481" s="7"/>
      <c r="U1481" s="7"/>
      <c r="V1481" s="7"/>
      <c r="W1481" s="316"/>
      <c r="X1481" s="124">
        <f>SUM(X4:X1480)</f>
        <v>229103.09999999919</v>
      </c>
      <c r="Y1481" s="53"/>
      <c r="Z1481" s="3"/>
    </row>
    <row r="1482" spans="1:26" ht="15.75" thickBot="1">
      <c r="A1482" s="76" t="s">
        <v>1375</v>
      </c>
      <c r="B1482" s="77"/>
      <c r="C1482" s="77"/>
      <c r="D1482" s="77"/>
      <c r="E1482" s="78"/>
      <c r="F1482" s="78"/>
      <c r="G1482" s="79">
        <f>N1482</f>
        <v>216439.19999999943</v>
      </c>
      <c r="H1482" s="78"/>
      <c r="I1482" s="78"/>
      <c r="J1482" s="79"/>
      <c r="K1482" s="304"/>
      <c r="L1482" s="48"/>
      <c r="M1482" s="209">
        <f>SUM(M4:M1480)</f>
        <v>6434</v>
      </c>
      <c r="N1482" s="59">
        <f>SUM(N4:N1480)</f>
        <v>216439.19999999943</v>
      </c>
      <c r="O1482" s="9"/>
      <c r="P1482" s="9"/>
      <c r="Q1482" s="60"/>
      <c r="R1482" s="10"/>
      <c r="S1482" s="10"/>
      <c r="T1482" s="10"/>
      <c r="U1482" s="11"/>
      <c r="V1482" s="11"/>
      <c r="W1482" s="317"/>
      <c r="X1482" s="125"/>
      <c r="Y1482" s="53"/>
      <c r="Z1482" s="3"/>
    </row>
    <row r="1483" spans="1:26" ht="15.75" thickBot="1">
      <c r="A1483" s="80" t="s">
        <v>1376</v>
      </c>
      <c r="B1483" s="81"/>
      <c r="C1483" s="81"/>
      <c r="D1483" s="81"/>
      <c r="E1483" s="82"/>
      <c r="F1483" s="82"/>
      <c r="G1483" s="83">
        <f>SUM(Q1483)</f>
        <v>332333.90000000043</v>
      </c>
      <c r="H1483" s="82"/>
      <c r="I1483" s="82"/>
      <c r="J1483" s="83"/>
      <c r="K1483" s="305"/>
      <c r="L1483" s="60"/>
      <c r="M1483" s="60"/>
      <c r="N1483" s="60"/>
      <c r="O1483" s="9"/>
      <c r="P1483" s="25">
        <f>SUM(P4:P1480)</f>
        <v>9716</v>
      </c>
      <c r="Q1483" s="26">
        <f>SUM(Q4:Q1480)</f>
        <v>332333.90000000043</v>
      </c>
      <c r="R1483" s="10"/>
      <c r="S1483" s="10"/>
      <c r="T1483" s="10"/>
      <c r="U1483" s="11"/>
      <c r="V1483" s="11"/>
      <c r="W1483" s="317"/>
      <c r="X1483" s="126"/>
      <c r="Y1483" s="53"/>
      <c r="Z1483" s="3"/>
    </row>
    <row r="1484" spans="1:26" ht="15.75" thickBot="1">
      <c r="A1484" s="84" t="s">
        <v>1377</v>
      </c>
      <c r="B1484" s="85"/>
      <c r="C1484" s="85"/>
      <c r="D1484" s="85"/>
      <c r="E1484" s="86"/>
      <c r="F1484" s="86"/>
      <c r="G1484" s="87">
        <f>T1484</f>
        <v>33356.600000000006</v>
      </c>
      <c r="H1484" s="86"/>
      <c r="I1484" s="86"/>
      <c r="J1484" s="87"/>
      <c r="K1484" s="306"/>
      <c r="L1484" s="61"/>
      <c r="M1484" s="61"/>
      <c r="N1484" s="61"/>
      <c r="O1484" s="10"/>
      <c r="P1484" s="10"/>
      <c r="Q1484" s="13"/>
      <c r="R1484" s="10"/>
      <c r="S1484" s="27">
        <f>SUM(S4:S1480)</f>
        <v>983</v>
      </c>
      <c r="T1484" s="28">
        <f>SUM(T4:T1480)</f>
        <v>33356.600000000006</v>
      </c>
      <c r="U1484" s="11"/>
      <c r="V1484" s="11"/>
      <c r="W1484" s="317"/>
      <c r="X1484" s="126"/>
      <c r="Y1484" s="53"/>
      <c r="Z1484" s="3"/>
    </row>
    <row r="1485" spans="1:26" ht="15.75" thickBot="1">
      <c r="A1485" s="88" t="s">
        <v>1378</v>
      </c>
      <c r="B1485" s="89"/>
      <c r="C1485" s="89"/>
      <c r="D1485" s="89"/>
      <c r="E1485" s="89"/>
      <c r="F1485" s="89"/>
      <c r="G1485" s="90">
        <f>SUM(W1485)</f>
        <v>43800.500000000022</v>
      </c>
      <c r="H1485" s="89"/>
      <c r="I1485" s="89"/>
      <c r="J1485" s="90"/>
      <c r="K1485" s="307"/>
      <c r="L1485" s="12"/>
      <c r="M1485" s="12"/>
      <c r="N1485" s="12"/>
      <c r="O1485" s="11"/>
      <c r="P1485" s="11"/>
      <c r="Q1485" s="16"/>
      <c r="R1485" s="11"/>
      <c r="S1485" s="11"/>
      <c r="T1485" s="11"/>
      <c r="U1485" s="11"/>
      <c r="V1485" s="47">
        <f>SUM(V4:V1480)</f>
        <v>1298</v>
      </c>
      <c r="W1485" s="29">
        <f>SUM(W4:W1480)</f>
        <v>43800.500000000022</v>
      </c>
      <c r="X1485" s="126"/>
      <c r="Y1485" s="53"/>
      <c r="Z1485" s="3"/>
    </row>
    <row r="1486" spans="1:26" ht="15.75" thickBot="1">
      <c r="A1486" s="67" t="s">
        <v>508</v>
      </c>
      <c r="B1486" s="68"/>
      <c r="C1486" s="68"/>
      <c r="D1486" s="68"/>
      <c r="E1486" s="68"/>
      <c r="F1486" s="68"/>
      <c r="G1486" s="69">
        <v>666070.9</v>
      </c>
      <c r="H1486" s="68"/>
      <c r="I1486" s="68"/>
      <c r="J1486" s="69"/>
      <c r="K1486" s="308"/>
      <c r="L1486" s="5"/>
      <c r="M1486" s="5"/>
      <c r="N1486" s="5"/>
      <c r="O1486" s="4"/>
      <c r="P1486" s="4"/>
      <c r="Q1486" s="17"/>
      <c r="R1486" s="4"/>
      <c r="S1486" s="4"/>
      <c r="T1486" s="4"/>
      <c r="U1486" s="4"/>
      <c r="V1486" s="4"/>
      <c r="W1486" s="318"/>
      <c r="X1486" s="126"/>
      <c r="Y1486" s="53"/>
      <c r="Z1486" s="3"/>
    </row>
    <row r="1487" spans="1:26" ht="15.75" thickBot="1">
      <c r="A1487" s="106" t="s">
        <v>1594</v>
      </c>
      <c r="B1487" s="107"/>
      <c r="C1487" s="107"/>
      <c r="D1487" s="107"/>
      <c r="E1487" s="107"/>
      <c r="F1487" s="107"/>
      <c r="G1487" s="69">
        <f>K1078+K1103+K1127+K1139+K1168+K1197+K1220+K1251+K1259+K1278+K1308+K1336+K1350+K1360+K1371</f>
        <v>192502.89999999997</v>
      </c>
      <c r="H1487" s="68"/>
      <c r="I1487" s="68"/>
      <c r="J1487" s="69"/>
      <c r="K1487" s="308"/>
      <c r="L1487" s="5"/>
      <c r="M1487" s="5"/>
      <c r="N1487" s="5"/>
      <c r="O1487" s="4"/>
      <c r="P1487" s="4"/>
      <c r="Q1487" s="17"/>
      <c r="R1487" s="4"/>
      <c r="S1487" s="4"/>
      <c r="T1487" s="4"/>
      <c r="U1487" s="4"/>
      <c r="V1487" s="4"/>
      <c r="W1487" s="318"/>
      <c r="X1487" s="126"/>
      <c r="Y1487" s="53"/>
      <c r="Z1487" s="3"/>
    </row>
    <row r="1488" spans="1:26" ht="15.75" thickBot="1">
      <c r="A1488" s="67" t="s">
        <v>509</v>
      </c>
      <c r="B1488" s="68"/>
      <c r="C1488" s="68"/>
      <c r="D1488" s="68"/>
      <c r="E1488" s="68"/>
      <c r="F1488" s="68"/>
      <c r="G1488" s="91">
        <f>SUM(G1482:G1485)</f>
        <v>625930.19999999984</v>
      </c>
      <c r="H1488" s="68"/>
      <c r="I1488" s="68"/>
      <c r="J1488" s="69"/>
      <c r="K1488" s="309"/>
      <c r="L1488" s="14"/>
      <c r="M1488" s="14"/>
      <c r="N1488" s="14"/>
      <c r="O1488" s="4"/>
      <c r="P1488" s="4"/>
      <c r="Q1488" s="17"/>
      <c r="R1488" s="4"/>
      <c r="S1488" s="4"/>
      <c r="T1488" s="4"/>
      <c r="U1488" s="4"/>
      <c r="V1488" s="4"/>
      <c r="W1488" s="318"/>
      <c r="X1488" s="126"/>
      <c r="Y1488" s="53"/>
      <c r="Z1488" s="3"/>
    </row>
    <row r="1489" spans="1:26" ht="15.75" thickBot="1">
      <c r="A1489" s="67" t="s">
        <v>52</v>
      </c>
      <c r="B1489" s="68"/>
      <c r="C1489" s="68"/>
      <c r="D1489" s="68"/>
      <c r="E1489" s="68"/>
      <c r="F1489" s="68"/>
      <c r="G1489" s="69">
        <f>G1486+G1487-G1488</f>
        <v>232643.60000000021</v>
      </c>
      <c r="H1489" s="68"/>
      <c r="I1489" s="68"/>
      <c r="J1489" s="92"/>
      <c r="K1489" s="310"/>
      <c r="L1489" s="62"/>
      <c r="M1489" s="62"/>
      <c r="N1489" s="62"/>
      <c r="O1489" s="15"/>
      <c r="P1489" s="4"/>
      <c r="Q1489" s="17"/>
      <c r="R1489" s="6"/>
      <c r="S1489" s="6"/>
      <c r="T1489" s="6"/>
      <c r="U1489" s="4"/>
      <c r="V1489" s="4"/>
      <c r="W1489" s="318"/>
      <c r="X1489" s="127"/>
      <c r="Y1489" s="53"/>
      <c r="Z1489" s="3"/>
    </row>
    <row r="1490" spans="1:26">
      <c r="A1490" s="93"/>
      <c r="B1490" s="94"/>
      <c r="C1490" s="94"/>
      <c r="D1490" s="94"/>
      <c r="E1490" s="94"/>
      <c r="F1490" s="94"/>
      <c r="G1490" s="94"/>
      <c r="H1490" s="94"/>
      <c r="I1490" s="94"/>
      <c r="J1490" s="94"/>
      <c r="K1490" s="311"/>
      <c r="L1490" s="63"/>
      <c r="M1490" s="63"/>
      <c r="N1490" s="63"/>
      <c r="O1490" s="46"/>
      <c r="P1490" s="46"/>
      <c r="Q1490" s="119"/>
      <c r="R1490" s="45"/>
      <c r="S1490" s="45"/>
      <c r="T1490" s="45"/>
      <c r="U1490" s="46"/>
      <c r="V1490" s="46"/>
      <c r="W1490" s="319"/>
      <c r="X1490" s="128"/>
    </row>
    <row r="1491" spans="1:26">
      <c r="A1491" s="93"/>
      <c r="B1491" s="94"/>
      <c r="C1491" s="94"/>
      <c r="D1491" s="94"/>
      <c r="E1491" s="94"/>
      <c r="F1491" s="94"/>
      <c r="G1491" s="94"/>
      <c r="H1491" s="94"/>
      <c r="I1491" s="94"/>
      <c r="J1491" s="94"/>
      <c r="K1491" s="311"/>
      <c r="L1491" s="63"/>
      <c r="M1491" s="63"/>
      <c r="N1491" s="63"/>
      <c r="O1491" s="46"/>
      <c r="P1491" s="46"/>
      <c r="Q1491" s="119"/>
      <c r="R1491" s="45"/>
      <c r="S1491" s="45"/>
      <c r="T1491" s="45"/>
      <c r="U1491" s="46"/>
      <c r="V1491" s="46"/>
      <c r="W1491" s="319"/>
      <c r="X1491" s="128"/>
    </row>
    <row r="1492" spans="1:26">
      <c r="A1492" s="93"/>
      <c r="B1492" s="94"/>
      <c r="C1492" s="94"/>
      <c r="D1492" s="94"/>
      <c r="E1492" s="94"/>
      <c r="F1492" s="94"/>
      <c r="G1492" s="313">
        <f>G1481-G1489</f>
        <v>-3540.5000000010186</v>
      </c>
      <c r="H1492" s="94"/>
      <c r="I1492" s="94"/>
      <c r="J1492" s="94"/>
      <c r="K1492" s="311"/>
      <c r="L1492" s="63"/>
      <c r="M1492" s="63"/>
      <c r="N1492" s="63"/>
      <c r="O1492" s="46"/>
      <c r="P1492" s="46"/>
      <c r="Q1492" s="64"/>
      <c r="R1492" s="45"/>
      <c r="S1492" s="45"/>
      <c r="T1492" s="45"/>
      <c r="U1492" s="46"/>
      <c r="V1492" s="46"/>
      <c r="W1492" s="319"/>
      <c r="X1492" s="128"/>
    </row>
    <row r="1493" spans="1:26">
      <c r="A1493" s="93"/>
      <c r="B1493" s="94"/>
      <c r="C1493" s="94"/>
      <c r="D1493" s="94"/>
      <c r="E1493" s="94"/>
      <c r="F1493" s="94"/>
      <c r="G1493" s="94"/>
      <c r="H1493" s="94"/>
      <c r="I1493" s="94"/>
      <c r="J1493" s="94"/>
      <c r="K1493" s="311"/>
      <c r="L1493" s="63"/>
      <c r="M1493" s="63"/>
      <c r="N1493" s="63"/>
      <c r="O1493" s="46"/>
      <c r="P1493" s="46"/>
      <c r="Q1493" s="64"/>
      <c r="R1493" s="45"/>
      <c r="S1493" s="45"/>
      <c r="T1493" s="45"/>
      <c r="U1493" s="46"/>
      <c r="V1493" s="46"/>
      <c r="W1493" s="319"/>
      <c r="X1493" s="128"/>
    </row>
    <row r="1494" spans="1:26">
      <c r="A1494" s="93"/>
      <c r="B1494" s="94"/>
      <c r="C1494" s="94"/>
      <c r="D1494" s="94"/>
      <c r="E1494" s="94"/>
      <c r="F1494" s="94"/>
      <c r="G1494" s="94"/>
      <c r="H1494" s="94"/>
      <c r="I1494" s="94"/>
      <c r="J1494" s="94"/>
      <c r="K1494" s="311"/>
      <c r="L1494" s="63"/>
      <c r="M1494" s="63"/>
      <c r="N1494" s="63"/>
      <c r="O1494" s="46"/>
      <c r="P1494" s="46"/>
      <c r="Q1494" s="64"/>
      <c r="R1494" s="45"/>
      <c r="S1494" s="45"/>
      <c r="T1494" s="45"/>
      <c r="U1494" s="46"/>
      <c r="V1494" s="46"/>
      <c r="W1494" s="319"/>
      <c r="X1494" s="128"/>
    </row>
    <row r="1495" spans="1:26">
      <c r="A1495" s="93"/>
      <c r="B1495" s="94"/>
      <c r="C1495" s="94"/>
      <c r="D1495" s="94"/>
      <c r="E1495" s="94"/>
      <c r="F1495" s="94"/>
      <c r="G1495" s="94"/>
      <c r="H1495" s="94"/>
      <c r="I1495" s="94"/>
      <c r="J1495" s="94"/>
      <c r="K1495" s="311"/>
      <c r="L1495" s="63"/>
      <c r="M1495" s="63"/>
      <c r="N1495" s="63"/>
      <c r="O1495" s="46"/>
      <c r="P1495" s="46"/>
      <c r="Q1495" s="64"/>
      <c r="R1495" s="45"/>
      <c r="S1495" s="45"/>
      <c r="T1495" s="45"/>
      <c r="U1495" s="46"/>
      <c r="V1495" s="46"/>
      <c r="W1495" s="319"/>
      <c r="X1495" s="128"/>
    </row>
    <row r="1496" spans="1:26">
      <c r="A1496" s="93"/>
      <c r="B1496" s="94"/>
      <c r="C1496" s="94"/>
      <c r="D1496" s="94"/>
      <c r="E1496" s="94"/>
      <c r="F1496" s="94"/>
      <c r="G1496" s="94"/>
      <c r="H1496" s="94"/>
      <c r="I1496" s="94"/>
      <c r="J1496" s="94"/>
      <c r="K1496" s="311"/>
      <c r="L1496" s="63"/>
      <c r="M1496" s="63"/>
      <c r="N1496" s="63"/>
      <c r="O1496" s="46"/>
      <c r="P1496" s="46"/>
      <c r="Q1496" s="64"/>
      <c r="R1496" s="45"/>
      <c r="S1496" s="45"/>
      <c r="T1496" s="45"/>
      <c r="U1496" s="46"/>
      <c r="V1496" s="46"/>
      <c r="W1496" s="319"/>
      <c r="X1496" s="128"/>
    </row>
    <row r="1497" spans="1:26">
      <c r="A1497" s="93"/>
      <c r="B1497" s="94"/>
      <c r="C1497" s="94"/>
      <c r="D1497" s="94"/>
      <c r="E1497" s="94"/>
      <c r="F1497" s="94"/>
      <c r="G1497" s="94"/>
      <c r="H1497" s="94"/>
      <c r="I1497" s="94"/>
      <c r="J1497" s="94"/>
      <c r="K1497" s="311"/>
      <c r="L1497" s="63"/>
      <c r="M1497" s="63"/>
      <c r="N1497" s="63"/>
      <c r="O1497" s="46"/>
      <c r="P1497" s="46"/>
      <c r="Q1497" s="64"/>
      <c r="R1497" s="45"/>
      <c r="S1497" s="45"/>
      <c r="T1497" s="45"/>
      <c r="U1497" s="46"/>
      <c r="V1497" s="46"/>
      <c r="W1497" s="319"/>
      <c r="X1497" s="128"/>
    </row>
    <row r="1498" spans="1:26">
      <c r="A1498" s="93"/>
      <c r="B1498" s="94"/>
      <c r="C1498" s="94"/>
      <c r="D1498" s="94"/>
      <c r="E1498" s="94"/>
      <c r="F1498" s="94"/>
      <c r="G1498" s="94"/>
      <c r="H1498" s="94"/>
      <c r="I1498" s="94"/>
      <c r="J1498" s="94"/>
      <c r="K1498" s="311"/>
      <c r="L1498" s="63"/>
      <c r="M1498" s="63"/>
      <c r="N1498" s="63"/>
      <c r="O1498" s="46"/>
      <c r="P1498" s="46"/>
      <c r="Q1498" s="64"/>
      <c r="R1498" s="45"/>
      <c r="S1498" s="45"/>
      <c r="T1498" s="45"/>
      <c r="U1498" s="46"/>
      <c r="V1498" s="46"/>
      <c r="W1498" s="319"/>
      <c r="X1498" s="128"/>
    </row>
    <row r="1499" spans="1:26">
      <c r="A1499" s="93"/>
      <c r="B1499" s="94"/>
      <c r="C1499" s="94"/>
      <c r="D1499" s="94"/>
      <c r="E1499" s="94"/>
      <c r="F1499" s="94"/>
      <c r="G1499" s="94"/>
      <c r="H1499" s="94"/>
      <c r="I1499" s="94"/>
      <c r="J1499" s="94"/>
      <c r="K1499" s="311"/>
      <c r="L1499" s="63"/>
      <c r="M1499" s="63"/>
      <c r="N1499" s="63"/>
      <c r="O1499" s="46"/>
      <c r="P1499" s="46"/>
      <c r="Q1499" s="64"/>
      <c r="R1499" s="45"/>
      <c r="S1499" s="45"/>
      <c r="T1499" s="45"/>
      <c r="U1499" s="46"/>
      <c r="V1499" s="46"/>
      <c r="W1499" s="319"/>
      <c r="X1499" s="128"/>
    </row>
    <row r="1500" spans="1:26">
      <c r="A1500" s="93"/>
      <c r="B1500" s="94"/>
      <c r="C1500" s="94"/>
      <c r="D1500" s="94"/>
      <c r="E1500" s="94"/>
      <c r="F1500" s="94"/>
      <c r="G1500" s="94"/>
      <c r="H1500" s="94"/>
      <c r="I1500" s="94"/>
      <c r="J1500" s="94"/>
      <c r="K1500" s="311"/>
      <c r="L1500" s="63"/>
      <c r="M1500" s="63"/>
      <c r="N1500" s="63"/>
      <c r="O1500" s="46"/>
      <c r="P1500" s="46"/>
      <c r="Q1500" s="64"/>
      <c r="R1500" s="45"/>
      <c r="S1500" s="45"/>
      <c r="T1500" s="45"/>
      <c r="U1500" s="46"/>
      <c r="V1500" s="46"/>
      <c r="W1500" s="319"/>
      <c r="X1500" s="128"/>
    </row>
    <row r="1501" spans="1:26">
      <c r="A1501" s="93"/>
      <c r="B1501" s="94"/>
      <c r="C1501" s="94"/>
      <c r="D1501" s="94"/>
      <c r="E1501" s="94"/>
      <c r="F1501" s="94"/>
      <c r="G1501" s="94"/>
      <c r="H1501" s="94"/>
      <c r="I1501" s="94"/>
      <c r="J1501" s="94"/>
      <c r="K1501" s="311"/>
      <c r="L1501" s="63"/>
      <c r="M1501" s="63"/>
      <c r="N1501" s="63"/>
      <c r="O1501" s="46"/>
      <c r="P1501" s="46"/>
      <c r="Q1501" s="64"/>
      <c r="R1501" s="45"/>
      <c r="S1501" s="45"/>
      <c r="T1501" s="45"/>
      <c r="U1501" s="46"/>
      <c r="V1501" s="46"/>
      <c r="W1501" s="319"/>
      <c r="X1501" s="128"/>
    </row>
    <row r="1502" spans="1:26">
      <c r="A1502" s="93"/>
      <c r="B1502" s="94"/>
      <c r="C1502" s="94"/>
      <c r="D1502" s="94"/>
      <c r="E1502" s="94"/>
      <c r="F1502" s="94"/>
      <c r="G1502" s="94"/>
      <c r="H1502" s="94"/>
      <c r="I1502" s="94"/>
      <c r="J1502" s="94"/>
      <c r="K1502" s="311"/>
      <c r="L1502" s="63"/>
      <c r="M1502" s="63"/>
      <c r="N1502" s="63"/>
      <c r="O1502" s="46"/>
      <c r="P1502" s="46"/>
      <c r="Q1502" s="64"/>
      <c r="R1502" s="45"/>
      <c r="S1502" s="45"/>
      <c r="T1502" s="45"/>
      <c r="U1502" s="46"/>
      <c r="V1502" s="46"/>
      <c r="W1502" s="319"/>
      <c r="X1502" s="128"/>
    </row>
    <row r="1503" spans="1:26">
      <c r="A1503" s="93"/>
      <c r="B1503" s="94"/>
      <c r="C1503" s="94"/>
      <c r="D1503" s="94"/>
      <c r="E1503" s="94"/>
      <c r="F1503" s="94"/>
      <c r="G1503" s="94"/>
      <c r="H1503" s="94"/>
      <c r="I1503" s="94"/>
      <c r="J1503" s="94"/>
      <c r="K1503" s="311"/>
      <c r="L1503" s="63"/>
      <c r="M1503" s="63"/>
      <c r="N1503" s="63"/>
      <c r="O1503" s="46"/>
      <c r="P1503" s="46"/>
      <c r="Q1503" s="64"/>
      <c r="R1503" s="45"/>
      <c r="S1503" s="45"/>
      <c r="T1503" s="45"/>
      <c r="U1503" s="46"/>
      <c r="V1503" s="46"/>
      <c r="W1503" s="319"/>
      <c r="X1503" s="128"/>
    </row>
    <row r="1504" spans="1:26">
      <c r="A1504" s="93"/>
      <c r="B1504" s="94"/>
      <c r="C1504" s="94"/>
      <c r="D1504" s="94"/>
      <c r="E1504" s="94"/>
      <c r="F1504" s="94"/>
      <c r="G1504" s="94"/>
      <c r="H1504" s="94"/>
      <c r="I1504" s="94"/>
      <c r="J1504" s="94"/>
      <c r="K1504" s="311"/>
      <c r="L1504" s="63"/>
      <c r="M1504" s="63"/>
      <c r="N1504" s="63"/>
      <c r="O1504" s="46"/>
      <c r="P1504" s="46"/>
      <c r="Q1504" s="64"/>
      <c r="R1504" s="45"/>
      <c r="S1504" s="45"/>
      <c r="T1504" s="45"/>
      <c r="U1504" s="46"/>
      <c r="V1504" s="46"/>
      <c r="W1504" s="319"/>
      <c r="X1504" s="128"/>
    </row>
    <row r="1505" spans="1:24">
      <c r="A1505" s="93"/>
      <c r="B1505" s="94"/>
      <c r="C1505" s="94"/>
      <c r="D1505" s="94"/>
      <c r="E1505" s="94"/>
      <c r="F1505" s="94"/>
      <c r="G1505" s="94"/>
      <c r="H1505" s="94"/>
      <c r="I1505" s="94"/>
      <c r="J1505" s="94"/>
      <c r="K1505" s="311"/>
      <c r="L1505" s="63"/>
      <c r="M1505" s="63"/>
      <c r="N1505" s="63"/>
      <c r="O1505" s="46"/>
      <c r="P1505" s="46"/>
      <c r="Q1505" s="64"/>
      <c r="R1505" s="45"/>
      <c r="S1505" s="45"/>
      <c r="T1505" s="45"/>
      <c r="U1505" s="46"/>
      <c r="V1505" s="46"/>
      <c r="W1505" s="319"/>
      <c r="X1505" s="128"/>
    </row>
    <row r="1506" spans="1:24">
      <c r="A1506" s="93"/>
      <c r="B1506" s="94"/>
      <c r="C1506" s="94"/>
      <c r="D1506" s="94"/>
      <c r="E1506" s="94"/>
      <c r="F1506" s="94"/>
      <c r="G1506" s="94"/>
      <c r="H1506" s="94"/>
      <c r="I1506" s="94"/>
      <c r="J1506" s="94"/>
      <c r="K1506" s="311"/>
      <c r="L1506" s="63"/>
      <c r="M1506" s="63"/>
      <c r="N1506" s="63"/>
      <c r="O1506" s="46"/>
      <c r="P1506" s="46"/>
      <c r="Q1506" s="64"/>
      <c r="R1506" s="45"/>
      <c r="S1506" s="45"/>
      <c r="T1506" s="45"/>
      <c r="U1506" s="46"/>
      <c r="V1506" s="46"/>
      <c r="W1506" s="319"/>
      <c r="X1506" s="128"/>
    </row>
    <row r="1507" spans="1:24">
      <c r="A1507" s="93"/>
      <c r="B1507" s="94"/>
      <c r="C1507" s="94"/>
      <c r="D1507" s="94"/>
      <c r="E1507" s="94"/>
      <c r="F1507" s="94"/>
      <c r="G1507" s="94"/>
      <c r="H1507" s="94"/>
      <c r="I1507" s="94"/>
      <c r="J1507" s="94"/>
      <c r="K1507" s="311"/>
      <c r="L1507" s="63"/>
      <c r="M1507" s="63"/>
      <c r="N1507" s="63"/>
      <c r="O1507" s="46"/>
      <c r="P1507" s="46"/>
      <c r="Q1507" s="64"/>
      <c r="R1507" s="45"/>
      <c r="S1507" s="45"/>
      <c r="T1507" s="45"/>
      <c r="U1507" s="46"/>
      <c r="V1507" s="46"/>
      <c r="W1507" s="319"/>
      <c r="X1507" s="128"/>
    </row>
    <row r="1508" spans="1:24">
      <c r="A1508" s="93"/>
      <c r="B1508" s="94"/>
      <c r="C1508" s="94"/>
      <c r="D1508" s="94"/>
      <c r="E1508" s="94"/>
      <c r="F1508" s="94"/>
      <c r="G1508" s="94"/>
      <c r="H1508" s="94"/>
      <c r="I1508" s="94"/>
      <c r="J1508" s="94"/>
      <c r="K1508" s="311"/>
      <c r="L1508" s="63"/>
      <c r="M1508" s="63"/>
      <c r="N1508" s="63"/>
      <c r="O1508" s="46"/>
      <c r="P1508" s="46"/>
      <c r="Q1508" s="64"/>
      <c r="R1508" s="45"/>
      <c r="S1508" s="45"/>
      <c r="T1508" s="45"/>
      <c r="U1508" s="46"/>
      <c r="V1508" s="46"/>
      <c r="W1508" s="319"/>
      <c r="X1508" s="128"/>
    </row>
    <row r="1509" spans="1:24">
      <c r="A1509" s="93"/>
      <c r="B1509" s="94"/>
      <c r="C1509" s="94"/>
      <c r="D1509" s="94"/>
      <c r="E1509" s="94"/>
      <c r="F1509" s="94"/>
      <c r="G1509" s="94"/>
      <c r="H1509" s="94"/>
      <c r="I1509" s="94"/>
      <c r="J1509" s="94"/>
      <c r="K1509" s="311"/>
      <c r="L1509" s="63"/>
      <c r="M1509" s="63"/>
      <c r="N1509" s="63"/>
      <c r="O1509" s="46"/>
      <c r="P1509" s="46"/>
      <c r="Q1509" s="64"/>
      <c r="R1509" s="45"/>
      <c r="S1509" s="45"/>
      <c r="T1509" s="45"/>
      <c r="U1509" s="46"/>
      <c r="V1509" s="46"/>
      <c r="W1509" s="319"/>
      <c r="X1509" s="128"/>
    </row>
    <row r="1510" spans="1:24">
      <c r="A1510" s="93"/>
      <c r="B1510" s="94"/>
      <c r="C1510" s="94"/>
      <c r="D1510" s="94"/>
      <c r="E1510" s="94"/>
      <c r="F1510" s="94"/>
      <c r="G1510" s="94"/>
      <c r="H1510" s="94"/>
      <c r="I1510" s="94"/>
      <c r="J1510" s="94"/>
      <c r="K1510" s="311"/>
      <c r="L1510" s="63"/>
      <c r="M1510" s="63"/>
      <c r="N1510" s="63"/>
      <c r="O1510" s="46"/>
      <c r="P1510" s="46"/>
      <c r="Q1510" s="64"/>
      <c r="R1510" s="45"/>
      <c r="S1510" s="45"/>
      <c r="T1510" s="45"/>
      <c r="U1510" s="46"/>
      <c r="V1510" s="46"/>
      <c r="W1510" s="319"/>
      <c r="X1510" s="128"/>
    </row>
    <row r="1511" spans="1:24">
      <c r="A1511" s="93"/>
      <c r="B1511" s="94"/>
      <c r="C1511" s="94"/>
      <c r="D1511" s="94"/>
      <c r="E1511" s="94"/>
      <c r="F1511" s="94"/>
      <c r="G1511" s="94"/>
      <c r="H1511" s="94"/>
      <c r="I1511" s="94"/>
      <c r="J1511" s="94"/>
      <c r="K1511" s="311"/>
      <c r="L1511" s="63"/>
      <c r="M1511" s="63"/>
      <c r="N1511" s="63"/>
      <c r="O1511" s="46"/>
      <c r="P1511" s="46"/>
      <c r="Q1511" s="64"/>
      <c r="R1511" s="45"/>
      <c r="S1511" s="45"/>
      <c r="T1511" s="45"/>
      <c r="U1511" s="46"/>
      <c r="V1511" s="46"/>
      <c r="W1511" s="319"/>
      <c r="X1511" s="128"/>
    </row>
    <row r="1512" spans="1:24">
      <c r="A1512" s="93"/>
      <c r="B1512" s="94"/>
      <c r="C1512" s="94"/>
      <c r="D1512" s="94"/>
      <c r="E1512" s="94"/>
      <c r="F1512" s="94"/>
      <c r="G1512" s="94"/>
      <c r="H1512" s="94"/>
      <c r="I1512" s="94"/>
      <c r="J1512" s="94"/>
      <c r="K1512" s="311"/>
      <c r="L1512" s="63"/>
      <c r="M1512" s="63"/>
      <c r="N1512" s="63"/>
      <c r="O1512" s="46"/>
      <c r="P1512" s="46"/>
      <c r="Q1512" s="64"/>
      <c r="R1512" s="45"/>
      <c r="S1512" s="45"/>
      <c r="T1512" s="45"/>
      <c r="U1512" s="46"/>
      <c r="V1512" s="46"/>
      <c r="W1512" s="319"/>
      <c r="X1512" s="128"/>
    </row>
    <row r="1513" spans="1:24">
      <c r="A1513" s="93"/>
      <c r="B1513" s="94"/>
      <c r="C1513" s="94"/>
      <c r="D1513" s="94"/>
      <c r="E1513" s="94"/>
      <c r="F1513" s="94"/>
      <c r="G1513" s="94"/>
      <c r="H1513" s="94"/>
      <c r="I1513" s="94"/>
      <c r="J1513" s="94"/>
      <c r="K1513" s="311"/>
      <c r="L1513" s="63"/>
      <c r="M1513" s="63"/>
      <c r="N1513" s="63"/>
      <c r="O1513" s="46"/>
      <c r="P1513" s="46"/>
      <c r="Q1513" s="64"/>
      <c r="R1513" s="45"/>
      <c r="S1513" s="45"/>
      <c r="T1513" s="45"/>
      <c r="U1513" s="46"/>
      <c r="V1513" s="46"/>
      <c r="W1513" s="319"/>
      <c r="X1513" s="128"/>
    </row>
    <row r="1514" spans="1:24">
      <c r="A1514" s="93"/>
      <c r="B1514" s="94"/>
      <c r="C1514" s="94"/>
      <c r="D1514" s="94"/>
      <c r="E1514" s="94"/>
      <c r="F1514" s="94"/>
      <c r="G1514" s="94"/>
      <c r="H1514" s="94"/>
      <c r="I1514" s="94"/>
      <c r="J1514" s="94"/>
      <c r="K1514" s="311"/>
      <c r="L1514" s="63"/>
      <c r="M1514" s="63"/>
      <c r="N1514" s="63"/>
      <c r="O1514" s="46"/>
      <c r="P1514" s="46"/>
      <c r="Q1514" s="64"/>
      <c r="R1514" s="45"/>
      <c r="S1514" s="45"/>
      <c r="T1514" s="45"/>
      <c r="U1514" s="46"/>
      <c r="V1514" s="46"/>
      <c r="W1514" s="319"/>
      <c r="X1514" s="128"/>
    </row>
    <row r="1515" spans="1:24">
      <c r="A1515" s="93"/>
      <c r="B1515" s="94"/>
      <c r="C1515" s="94"/>
      <c r="D1515" s="94"/>
      <c r="E1515" s="94"/>
      <c r="F1515" s="94"/>
      <c r="G1515" s="94"/>
      <c r="H1515" s="94"/>
      <c r="I1515" s="94"/>
      <c r="J1515" s="94"/>
      <c r="K1515" s="311"/>
      <c r="L1515" s="63"/>
      <c r="M1515" s="63"/>
      <c r="N1515" s="63"/>
      <c r="O1515" s="46"/>
      <c r="P1515" s="46"/>
      <c r="Q1515" s="64"/>
      <c r="R1515" s="45"/>
      <c r="S1515" s="45"/>
      <c r="T1515" s="45"/>
      <c r="U1515" s="46"/>
      <c r="V1515" s="46"/>
      <c r="W1515" s="319"/>
      <c r="X1515" s="128"/>
    </row>
    <row r="1516" spans="1:24">
      <c r="A1516" s="93"/>
      <c r="B1516" s="94"/>
      <c r="C1516" s="94"/>
      <c r="D1516" s="94"/>
      <c r="E1516" s="94"/>
      <c r="F1516" s="94"/>
      <c r="G1516" s="94"/>
      <c r="H1516" s="94"/>
      <c r="I1516" s="94"/>
      <c r="J1516" s="94"/>
      <c r="K1516" s="311"/>
      <c r="L1516" s="63"/>
      <c r="M1516" s="63"/>
      <c r="N1516" s="63"/>
      <c r="O1516" s="46"/>
      <c r="P1516" s="46"/>
      <c r="Q1516" s="64"/>
      <c r="R1516" s="45"/>
      <c r="S1516" s="45"/>
      <c r="T1516" s="45"/>
      <c r="U1516" s="46"/>
      <c r="V1516" s="46"/>
      <c r="W1516" s="319"/>
      <c r="X1516" s="128"/>
    </row>
    <row r="1517" spans="1:24">
      <c r="A1517" s="93"/>
      <c r="B1517" s="94"/>
      <c r="C1517" s="94"/>
      <c r="D1517" s="94"/>
      <c r="E1517" s="94"/>
      <c r="F1517" s="94"/>
      <c r="G1517" s="94"/>
      <c r="H1517" s="94"/>
      <c r="I1517" s="94"/>
      <c r="J1517" s="94"/>
      <c r="K1517" s="311"/>
      <c r="L1517" s="63"/>
      <c r="M1517" s="63"/>
      <c r="N1517" s="63"/>
      <c r="O1517" s="46"/>
      <c r="P1517" s="46"/>
      <c r="Q1517" s="64"/>
      <c r="R1517" s="45"/>
      <c r="S1517" s="45"/>
      <c r="T1517" s="45"/>
      <c r="U1517" s="46"/>
      <c r="V1517" s="46"/>
      <c r="W1517" s="319"/>
      <c r="X1517" s="128"/>
    </row>
    <row r="1518" spans="1:24">
      <c r="A1518" s="93"/>
      <c r="B1518" s="94"/>
      <c r="C1518" s="94"/>
      <c r="D1518" s="94"/>
      <c r="E1518" s="94"/>
      <c r="F1518" s="94"/>
      <c r="G1518" s="94"/>
      <c r="H1518" s="94"/>
      <c r="I1518" s="94"/>
      <c r="J1518" s="94"/>
      <c r="K1518" s="311"/>
      <c r="L1518" s="63"/>
      <c r="M1518" s="63"/>
      <c r="N1518" s="63"/>
      <c r="O1518" s="46"/>
      <c r="P1518" s="46"/>
      <c r="Q1518" s="64"/>
      <c r="R1518" s="45"/>
      <c r="S1518" s="45"/>
      <c r="T1518" s="45"/>
      <c r="U1518" s="46"/>
      <c r="V1518" s="46"/>
      <c r="W1518" s="319"/>
      <c r="X1518" s="128"/>
    </row>
    <row r="1519" spans="1:24">
      <c r="A1519" s="93"/>
      <c r="B1519" s="94"/>
      <c r="C1519" s="94"/>
      <c r="D1519" s="94"/>
      <c r="E1519" s="94"/>
      <c r="F1519" s="94"/>
      <c r="G1519" s="94"/>
      <c r="H1519" s="94"/>
      <c r="I1519" s="94"/>
      <c r="J1519" s="94"/>
      <c r="K1519" s="311"/>
      <c r="L1519" s="63"/>
      <c r="M1519" s="63"/>
      <c r="N1519" s="63"/>
      <c r="O1519" s="46"/>
      <c r="P1519" s="46"/>
      <c r="Q1519" s="64"/>
      <c r="R1519" s="45"/>
      <c r="S1519" s="45"/>
      <c r="T1519" s="45"/>
      <c r="U1519" s="46"/>
      <c r="V1519" s="46"/>
      <c r="W1519" s="319"/>
      <c r="X1519" s="128"/>
    </row>
    <row r="1520" spans="1:24">
      <c r="A1520" s="93"/>
      <c r="B1520" s="94"/>
      <c r="C1520" s="94"/>
      <c r="D1520" s="94"/>
      <c r="E1520" s="94"/>
      <c r="F1520" s="94"/>
      <c r="G1520" s="94"/>
      <c r="H1520" s="94"/>
      <c r="I1520" s="94"/>
      <c r="J1520" s="94"/>
      <c r="K1520" s="311"/>
      <c r="L1520" s="63"/>
      <c r="M1520" s="63"/>
      <c r="N1520" s="63"/>
      <c r="O1520" s="46"/>
      <c r="P1520" s="46"/>
      <c r="Q1520" s="64"/>
      <c r="R1520" s="45"/>
      <c r="S1520" s="45"/>
      <c r="T1520" s="45"/>
      <c r="U1520" s="46"/>
      <c r="V1520" s="46"/>
      <c r="W1520" s="319"/>
      <c r="X1520" s="128"/>
    </row>
    <row r="1521" spans="1:24">
      <c r="A1521" s="93"/>
      <c r="B1521" s="94"/>
      <c r="C1521" s="94"/>
      <c r="D1521" s="94"/>
      <c r="E1521" s="94"/>
      <c r="F1521" s="94"/>
      <c r="G1521" s="94"/>
      <c r="H1521" s="94"/>
      <c r="I1521" s="94"/>
      <c r="J1521" s="94"/>
      <c r="K1521" s="311"/>
      <c r="L1521" s="63"/>
      <c r="M1521" s="63"/>
      <c r="N1521" s="63"/>
      <c r="O1521" s="46"/>
      <c r="P1521" s="46"/>
      <c r="Q1521" s="64"/>
      <c r="R1521" s="45"/>
      <c r="S1521" s="45"/>
      <c r="T1521" s="45"/>
      <c r="U1521" s="46"/>
      <c r="V1521" s="46"/>
      <c r="W1521" s="319"/>
      <c r="X1521" s="128"/>
    </row>
    <row r="1522" spans="1:24">
      <c r="A1522" s="93"/>
      <c r="B1522" s="94"/>
      <c r="C1522" s="94"/>
      <c r="D1522" s="94"/>
      <c r="E1522" s="94"/>
      <c r="F1522" s="94"/>
      <c r="G1522" s="94"/>
      <c r="H1522" s="94"/>
      <c r="I1522" s="94"/>
      <c r="J1522" s="94"/>
      <c r="K1522" s="311"/>
      <c r="L1522" s="63"/>
      <c r="M1522" s="63"/>
      <c r="N1522" s="63"/>
      <c r="O1522" s="46"/>
      <c r="P1522" s="46"/>
      <c r="Q1522" s="64"/>
      <c r="R1522" s="45"/>
      <c r="S1522" s="45"/>
      <c r="T1522" s="45"/>
      <c r="U1522" s="46"/>
      <c r="V1522" s="46"/>
      <c r="W1522" s="319"/>
      <c r="X1522" s="128"/>
    </row>
    <row r="1523" spans="1:24">
      <c r="A1523" s="93"/>
      <c r="B1523" s="94"/>
      <c r="C1523" s="94"/>
      <c r="D1523" s="94"/>
      <c r="E1523" s="94"/>
      <c r="F1523" s="94"/>
      <c r="G1523" s="94"/>
      <c r="H1523" s="94"/>
      <c r="I1523" s="94"/>
      <c r="J1523" s="94"/>
      <c r="K1523" s="311"/>
      <c r="L1523" s="63"/>
      <c r="M1523" s="63"/>
      <c r="N1523" s="63"/>
      <c r="O1523" s="46"/>
      <c r="P1523" s="46"/>
      <c r="Q1523" s="64"/>
      <c r="R1523" s="45"/>
      <c r="S1523" s="45"/>
      <c r="T1523" s="45"/>
      <c r="U1523" s="46"/>
      <c r="V1523" s="46"/>
      <c r="W1523" s="319"/>
      <c r="X1523" s="128"/>
    </row>
    <row r="1524" spans="1:24">
      <c r="A1524" s="93"/>
      <c r="B1524" s="94"/>
      <c r="C1524" s="94"/>
      <c r="D1524" s="94"/>
      <c r="E1524" s="94"/>
      <c r="F1524" s="94"/>
      <c r="G1524" s="94"/>
      <c r="H1524" s="94"/>
      <c r="I1524" s="94"/>
      <c r="J1524" s="94"/>
      <c r="K1524" s="311"/>
      <c r="L1524" s="63"/>
      <c r="M1524" s="63"/>
      <c r="N1524" s="63"/>
      <c r="O1524" s="46"/>
      <c r="P1524" s="46"/>
      <c r="Q1524" s="64"/>
      <c r="R1524" s="45"/>
      <c r="S1524" s="45"/>
      <c r="T1524" s="45"/>
      <c r="U1524" s="46"/>
      <c r="V1524" s="46"/>
      <c r="W1524" s="319"/>
      <c r="X1524" s="128"/>
    </row>
    <row r="1525" spans="1:24">
      <c r="A1525" s="93"/>
      <c r="B1525" s="94"/>
      <c r="C1525" s="94"/>
      <c r="D1525" s="94"/>
      <c r="E1525" s="94"/>
      <c r="F1525" s="94"/>
      <c r="G1525" s="94"/>
      <c r="H1525" s="94"/>
      <c r="I1525" s="94"/>
      <c r="J1525" s="94"/>
      <c r="K1525" s="311"/>
      <c r="L1525" s="63"/>
      <c r="M1525" s="63"/>
      <c r="N1525" s="63"/>
      <c r="O1525" s="46"/>
      <c r="P1525" s="46"/>
      <c r="Q1525" s="64"/>
      <c r="R1525" s="45"/>
      <c r="S1525" s="45"/>
      <c r="T1525" s="45"/>
      <c r="U1525" s="46"/>
      <c r="V1525" s="46"/>
      <c r="W1525" s="319"/>
      <c r="X1525" s="128"/>
    </row>
    <row r="1526" spans="1:24">
      <c r="A1526" s="93"/>
      <c r="B1526" s="94"/>
      <c r="C1526" s="94"/>
      <c r="D1526" s="94"/>
      <c r="E1526" s="94"/>
      <c r="F1526" s="94"/>
      <c r="G1526" s="94"/>
      <c r="H1526" s="94"/>
      <c r="I1526" s="94"/>
      <c r="J1526" s="94"/>
      <c r="K1526" s="311"/>
      <c r="L1526" s="63"/>
      <c r="M1526" s="63"/>
      <c r="N1526" s="63"/>
      <c r="O1526" s="46"/>
      <c r="P1526" s="46"/>
      <c r="Q1526" s="64"/>
      <c r="R1526" s="45"/>
      <c r="S1526" s="45"/>
      <c r="T1526" s="45"/>
      <c r="U1526" s="46"/>
      <c r="V1526" s="46"/>
      <c r="W1526" s="319"/>
      <c r="X1526" s="128"/>
    </row>
    <row r="1527" spans="1:24">
      <c r="A1527" s="93"/>
      <c r="B1527" s="94"/>
      <c r="C1527" s="94"/>
      <c r="D1527" s="94"/>
      <c r="E1527" s="94"/>
      <c r="F1527" s="94"/>
      <c r="G1527" s="94"/>
      <c r="H1527" s="94"/>
      <c r="I1527" s="94"/>
      <c r="J1527" s="94"/>
      <c r="K1527" s="311"/>
      <c r="L1527" s="63"/>
      <c r="M1527" s="63"/>
      <c r="N1527" s="63"/>
      <c r="O1527" s="46"/>
      <c r="P1527" s="46"/>
      <c r="Q1527" s="64"/>
      <c r="R1527" s="45"/>
      <c r="S1527" s="45"/>
      <c r="T1527" s="45"/>
      <c r="U1527" s="46"/>
      <c r="V1527" s="46"/>
      <c r="W1527" s="319"/>
      <c r="X1527" s="128"/>
    </row>
    <row r="1528" spans="1:24">
      <c r="A1528" s="93"/>
      <c r="B1528" s="94"/>
      <c r="C1528" s="94"/>
      <c r="D1528" s="94"/>
      <c r="E1528" s="94"/>
      <c r="F1528" s="94"/>
      <c r="G1528" s="94"/>
      <c r="H1528" s="94"/>
      <c r="I1528" s="94"/>
      <c r="J1528" s="94"/>
      <c r="K1528" s="311"/>
      <c r="L1528" s="63"/>
      <c r="M1528" s="63"/>
      <c r="N1528" s="63"/>
      <c r="O1528" s="46"/>
      <c r="P1528" s="46"/>
      <c r="Q1528" s="64"/>
      <c r="R1528" s="45"/>
      <c r="S1528" s="45"/>
      <c r="T1528" s="45"/>
      <c r="U1528" s="46"/>
      <c r="V1528" s="46"/>
      <c r="W1528" s="319"/>
      <c r="X1528" s="128"/>
    </row>
    <row r="1529" spans="1:24">
      <c r="A1529" s="93"/>
      <c r="B1529" s="94"/>
      <c r="C1529" s="94"/>
      <c r="D1529" s="94"/>
      <c r="E1529" s="94"/>
      <c r="F1529" s="94"/>
      <c r="G1529" s="94"/>
      <c r="H1529" s="94"/>
      <c r="I1529" s="94"/>
      <c r="J1529" s="94"/>
      <c r="K1529" s="311"/>
      <c r="L1529" s="63"/>
      <c r="M1529" s="63"/>
      <c r="N1529" s="63"/>
      <c r="O1529" s="46"/>
      <c r="P1529" s="46"/>
      <c r="Q1529" s="64"/>
      <c r="R1529" s="45"/>
      <c r="S1529" s="45"/>
      <c r="T1529" s="45"/>
      <c r="U1529" s="46"/>
      <c r="V1529" s="46"/>
      <c r="W1529" s="319"/>
      <c r="X1529" s="128"/>
    </row>
    <row r="1530" spans="1:24">
      <c r="A1530" s="93"/>
      <c r="B1530" s="94"/>
      <c r="C1530" s="94"/>
      <c r="D1530" s="94"/>
      <c r="E1530" s="94"/>
      <c r="F1530" s="94"/>
      <c r="G1530" s="94"/>
      <c r="H1530" s="94"/>
      <c r="I1530" s="94"/>
      <c r="J1530" s="94"/>
      <c r="K1530" s="311"/>
      <c r="L1530" s="63"/>
      <c r="M1530" s="63"/>
      <c r="N1530" s="63"/>
      <c r="O1530" s="46"/>
      <c r="P1530" s="46"/>
      <c r="Q1530" s="64"/>
      <c r="R1530" s="45"/>
      <c r="S1530" s="45"/>
      <c r="T1530" s="45"/>
      <c r="U1530" s="46"/>
      <c r="V1530" s="46"/>
      <c r="W1530" s="319"/>
      <c r="X1530" s="128"/>
    </row>
    <row r="1531" spans="1:24">
      <c r="A1531" s="93"/>
      <c r="B1531" s="94"/>
      <c r="C1531" s="94"/>
      <c r="D1531" s="94"/>
      <c r="E1531" s="94"/>
      <c r="F1531" s="94"/>
      <c r="G1531" s="94"/>
      <c r="H1531" s="94"/>
      <c r="I1531" s="94"/>
      <c r="J1531" s="94"/>
      <c r="K1531" s="311"/>
      <c r="L1531" s="63"/>
      <c r="M1531" s="63"/>
      <c r="N1531" s="63"/>
      <c r="O1531" s="46"/>
      <c r="P1531" s="46"/>
      <c r="Q1531" s="64"/>
      <c r="R1531" s="45"/>
      <c r="S1531" s="45"/>
      <c r="T1531" s="45"/>
      <c r="U1531" s="46"/>
      <c r="V1531" s="46"/>
      <c r="W1531" s="319"/>
      <c r="X1531" s="128"/>
    </row>
    <row r="1532" spans="1:24">
      <c r="A1532" s="93"/>
      <c r="B1532" s="94"/>
      <c r="C1532" s="94"/>
      <c r="D1532" s="94"/>
      <c r="E1532" s="94"/>
      <c r="F1532" s="94"/>
      <c r="G1532" s="94"/>
      <c r="H1532" s="94"/>
      <c r="I1532" s="94"/>
      <c r="J1532" s="94"/>
      <c r="K1532" s="311"/>
      <c r="L1532" s="63"/>
      <c r="M1532" s="63"/>
      <c r="N1532" s="63"/>
      <c r="O1532" s="46"/>
      <c r="P1532" s="46"/>
      <c r="Q1532" s="64"/>
      <c r="R1532" s="45"/>
      <c r="S1532" s="45"/>
      <c r="T1532" s="45"/>
      <c r="U1532" s="46"/>
      <c r="V1532" s="46"/>
      <c r="W1532" s="319"/>
      <c r="X1532" s="128"/>
    </row>
    <row r="1533" spans="1:24">
      <c r="A1533" s="93"/>
      <c r="B1533" s="94"/>
      <c r="C1533" s="94"/>
      <c r="D1533" s="94"/>
      <c r="E1533" s="94"/>
      <c r="F1533" s="94"/>
      <c r="G1533" s="94"/>
      <c r="H1533" s="94"/>
      <c r="I1533" s="94"/>
      <c r="J1533" s="94"/>
      <c r="K1533" s="311"/>
      <c r="L1533" s="63"/>
      <c r="M1533" s="63"/>
      <c r="N1533" s="63"/>
      <c r="O1533" s="46"/>
      <c r="P1533" s="46"/>
      <c r="Q1533" s="64"/>
      <c r="R1533" s="45"/>
      <c r="S1533" s="45"/>
      <c r="T1533" s="45"/>
      <c r="U1533" s="46"/>
      <c r="V1533" s="46"/>
      <c r="W1533" s="319"/>
      <c r="X1533" s="128"/>
    </row>
    <row r="1534" spans="1:24">
      <c r="A1534" s="93"/>
      <c r="B1534" s="94"/>
      <c r="C1534" s="94"/>
      <c r="D1534" s="94"/>
      <c r="E1534" s="94"/>
      <c r="F1534" s="94"/>
      <c r="G1534" s="94"/>
      <c r="H1534" s="94"/>
      <c r="I1534" s="94"/>
      <c r="J1534" s="94"/>
      <c r="K1534" s="311"/>
      <c r="L1534" s="63"/>
      <c r="M1534" s="63"/>
      <c r="N1534" s="63"/>
      <c r="O1534" s="46"/>
      <c r="P1534" s="46"/>
      <c r="Q1534" s="64"/>
      <c r="R1534" s="45"/>
      <c r="S1534" s="45"/>
      <c r="T1534" s="45"/>
      <c r="U1534" s="46"/>
      <c r="V1534" s="46"/>
      <c r="W1534" s="319"/>
      <c r="X1534" s="128"/>
    </row>
    <row r="1535" spans="1:24">
      <c r="A1535" s="93"/>
      <c r="B1535" s="94"/>
      <c r="C1535" s="94"/>
      <c r="D1535" s="94"/>
      <c r="E1535" s="94"/>
      <c r="F1535" s="94"/>
      <c r="G1535" s="94"/>
      <c r="H1535" s="94"/>
      <c r="I1535" s="94"/>
      <c r="J1535" s="94"/>
      <c r="K1535" s="311"/>
      <c r="L1535" s="63"/>
      <c r="M1535" s="63"/>
      <c r="N1535" s="63"/>
      <c r="O1535" s="46"/>
      <c r="P1535" s="46"/>
      <c r="Q1535" s="64"/>
      <c r="R1535" s="45"/>
      <c r="S1535" s="45"/>
      <c r="T1535" s="45"/>
      <c r="U1535" s="46"/>
      <c r="V1535" s="46"/>
      <c r="W1535" s="319"/>
      <c r="X1535" s="128"/>
    </row>
    <row r="1536" spans="1:24">
      <c r="A1536" s="93"/>
      <c r="B1536" s="94"/>
      <c r="C1536" s="94"/>
      <c r="D1536" s="94"/>
      <c r="E1536" s="94"/>
      <c r="F1536" s="94"/>
      <c r="G1536" s="94"/>
      <c r="H1536" s="94"/>
      <c r="I1536" s="94"/>
      <c r="J1536" s="94"/>
      <c r="K1536" s="311"/>
      <c r="L1536" s="63"/>
      <c r="M1536" s="63"/>
      <c r="N1536" s="63"/>
      <c r="O1536" s="46"/>
      <c r="P1536" s="46"/>
      <c r="Q1536" s="64"/>
      <c r="R1536" s="45"/>
      <c r="S1536" s="45"/>
      <c r="T1536" s="45"/>
      <c r="U1536" s="46"/>
      <c r="V1536" s="46"/>
      <c r="W1536" s="319"/>
      <c r="X1536" s="128"/>
    </row>
    <row r="1537" spans="1:24">
      <c r="A1537" s="93"/>
      <c r="B1537" s="94"/>
      <c r="C1537" s="94"/>
      <c r="D1537" s="94"/>
      <c r="E1537" s="94"/>
      <c r="F1537" s="94"/>
      <c r="G1537" s="94"/>
      <c r="H1537" s="94"/>
      <c r="I1537" s="94"/>
      <c r="J1537" s="94"/>
      <c r="K1537" s="311"/>
      <c r="L1537" s="63"/>
      <c r="M1537" s="63"/>
      <c r="N1537" s="63"/>
      <c r="O1537" s="46"/>
      <c r="P1537" s="46"/>
      <c r="Q1537" s="64"/>
      <c r="R1537" s="45"/>
      <c r="S1537" s="45"/>
      <c r="T1537" s="45"/>
      <c r="U1537" s="46"/>
      <c r="V1537" s="46"/>
      <c r="W1537" s="319"/>
      <c r="X1537" s="128"/>
    </row>
    <row r="1538" spans="1:24">
      <c r="A1538" s="93"/>
      <c r="B1538" s="94"/>
      <c r="C1538" s="94"/>
      <c r="D1538" s="94"/>
      <c r="E1538" s="94"/>
      <c r="F1538" s="94"/>
      <c r="G1538" s="94"/>
      <c r="H1538" s="94"/>
      <c r="I1538" s="94"/>
      <c r="J1538" s="94"/>
      <c r="K1538" s="311"/>
      <c r="L1538" s="63"/>
      <c r="M1538" s="63"/>
      <c r="N1538" s="63"/>
      <c r="O1538" s="46"/>
      <c r="P1538" s="46"/>
      <c r="Q1538" s="64"/>
      <c r="R1538" s="45"/>
      <c r="S1538" s="45"/>
      <c r="T1538" s="45"/>
      <c r="U1538" s="46"/>
      <c r="V1538" s="46"/>
      <c r="W1538" s="319"/>
      <c r="X1538" s="128"/>
    </row>
    <row r="1539" spans="1:24">
      <c r="A1539" s="93"/>
      <c r="B1539" s="94"/>
      <c r="C1539" s="94"/>
      <c r="D1539" s="94"/>
      <c r="E1539" s="94"/>
      <c r="F1539" s="94"/>
      <c r="G1539" s="94"/>
      <c r="H1539" s="94"/>
      <c r="I1539" s="94"/>
      <c r="J1539" s="94"/>
      <c r="K1539" s="311"/>
      <c r="L1539" s="63"/>
      <c r="M1539" s="63"/>
      <c r="N1539" s="63"/>
      <c r="O1539" s="46"/>
      <c r="P1539" s="46"/>
      <c r="Q1539" s="64"/>
      <c r="R1539" s="45"/>
      <c r="S1539" s="45"/>
      <c r="T1539" s="45"/>
      <c r="U1539" s="46"/>
      <c r="V1539" s="46"/>
      <c r="W1539" s="319"/>
      <c r="X1539" s="128"/>
    </row>
    <row r="1540" spans="1:24">
      <c r="A1540" s="93"/>
      <c r="B1540" s="94"/>
      <c r="C1540" s="94"/>
      <c r="D1540" s="94"/>
      <c r="E1540" s="94"/>
      <c r="F1540" s="94"/>
      <c r="G1540" s="94"/>
      <c r="H1540" s="94"/>
      <c r="I1540" s="94"/>
      <c r="J1540" s="94"/>
      <c r="K1540" s="311"/>
      <c r="L1540" s="63"/>
      <c r="M1540" s="63"/>
      <c r="N1540" s="63"/>
      <c r="O1540" s="46"/>
      <c r="P1540" s="46"/>
      <c r="Q1540" s="64"/>
      <c r="R1540" s="45"/>
      <c r="S1540" s="45"/>
      <c r="T1540" s="45"/>
      <c r="U1540" s="46"/>
      <c r="V1540" s="46"/>
      <c r="W1540" s="319"/>
      <c r="X1540" s="128"/>
    </row>
    <row r="1541" spans="1:24">
      <c r="A1541" s="93"/>
      <c r="B1541" s="94"/>
      <c r="C1541" s="94"/>
      <c r="D1541" s="94"/>
      <c r="E1541" s="94"/>
      <c r="F1541" s="94"/>
      <c r="G1541" s="94"/>
      <c r="H1541" s="94"/>
      <c r="I1541" s="94"/>
      <c r="J1541" s="94"/>
      <c r="K1541" s="311"/>
      <c r="L1541" s="63"/>
      <c r="M1541" s="63"/>
      <c r="N1541" s="63"/>
      <c r="O1541" s="46"/>
      <c r="P1541" s="46"/>
      <c r="Q1541" s="64"/>
      <c r="R1541" s="45"/>
      <c r="S1541" s="45"/>
      <c r="T1541" s="45"/>
      <c r="U1541" s="46"/>
      <c r="V1541" s="46"/>
      <c r="W1541" s="319"/>
      <c r="X1541" s="128"/>
    </row>
    <row r="1542" spans="1:24">
      <c r="A1542" s="93"/>
      <c r="B1542" s="94"/>
      <c r="C1542" s="94"/>
      <c r="D1542" s="94"/>
      <c r="E1542" s="94"/>
      <c r="F1542" s="94"/>
      <c r="G1542" s="94"/>
      <c r="H1542" s="94"/>
      <c r="I1542" s="94"/>
      <c r="J1542" s="94"/>
      <c r="K1542" s="311"/>
      <c r="L1542" s="63"/>
      <c r="M1542" s="63"/>
      <c r="N1542" s="63"/>
      <c r="O1542" s="46"/>
      <c r="P1542" s="46"/>
      <c r="Q1542" s="64"/>
      <c r="R1542" s="45"/>
      <c r="S1542" s="45"/>
      <c r="T1542" s="45"/>
      <c r="U1542" s="46"/>
      <c r="V1542" s="46"/>
      <c r="W1542" s="319"/>
      <c r="X1542" s="128"/>
    </row>
    <row r="1543" spans="1:24">
      <c r="A1543" s="93"/>
      <c r="B1543" s="94"/>
      <c r="C1543" s="94"/>
      <c r="D1543" s="94"/>
      <c r="E1543" s="94"/>
      <c r="F1543" s="94"/>
      <c r="G1543" s="94"/>
      <c r="H1543" s="94"/>
      <c r="I1543" s="94"/>
      <c r="J1543" s="94"/>
      <c r="K1543" s="311"/>
      <c r="L1543" s="63"/>
      <c r="M1543" s="63"/>
      <c r="N1543" s="63"/>
      <c r="O1543" s="46"/>
      <c r="P1543" s="46"/>
      <c r="Q1543" s="64"/>
      <c r="R1543" s="45"/>
      <c r="S1543" s="45"/>
      <c r="T1543" s="45"/>
      <c r="U1543" s="46"/>
      <c r="V1543" s="46"/>
      <c r="W1543" s="319"/>
      <c r="X1543" s="128"/>
    </row>
    <row r="1544" spans="1:24">
      <c r="A1544" s="93"/>
      <c r="B1544" s="94"/>
      <c r="C1544" s="94"/>
      <c r="D1544" s="94"/>
      <c r="E1544" s="94"/>
      <c r="F1544" s="94"/>
      <c r="G1544" s="94"/>
      <c r="H1544" s="94"/>
      <c r="I1544" s="94"/>
      <c r="J1544" s="94"/>
      <c r="K1544" s="311"/>
      <c r="L1544" s="63"/>
      <c r="M1544" s="63"/>
      <c r="N1544" s="63"/>
      <c r="O1544" s="46"/>
      <c r="P1544" s="46"/>
      <c r="Q1544" s="64"/>
      <c r="R1544" s="45"/>
      <c r="S1544" s="45"/>
      <c r="T1544" s="45"/>
      <c r="U1544" s="46"/>
      <c r="V1544" s="46"/>
      <c r="W1544" s="319"/>
      <c r="X1544" s="128"/>
    </row>
    <row r="1545" spans="1:24">
      <c r="A1545" s="93"/>
      <c r="B1545" s="94"/>
      <c r="C1545" s="94"/>
      <c r="D1545" s="94"/>
      <c r="E1545" s="94"/>
      <c r="F1545" s="94"/>
      <c r="G1545" s="94"/>
      <c r="H1545" s="94"/>
      <c r="I1545" s="94"/>
      <c r="J1545" s="94"/>
      <c r="K1545" s="311"/>
      <c r="L1545" s="63"/>
      <c r="M1545" s="63"/>
      <c r="N1545" s="63"/>
      <c r="O1545" s="46"/>
      <c r="P1545" s="46"/>
      <c r="Q1545" s="64"/>
      <c r="R1545" s="45"/>
      <c r="S1545" s="45"/>
      <c r="T1545" s="45"/>
      <c r="U1545" s="46"/>
      <c r="V1545" s="46"/>
      <c r="W1545" s="319"/>
      <c r="X1545" s="128"/>
    </row>
    <row r="1546" spans="1:24">
      <c r="A1546" s="93"/>
      <c r="B1546" s="94"/>
      <c r="C1546" s="94"/>
      <c r="D1546" s="94"/>
      <c r="E1546" s="94"/>
      <c r="F1546" s="94"/>
      <c r="G1546" s="94"/>
      <c r="H1546" s="94"/>
      <c r="I1546" s="94"/>
      <c r="J1546" s="94"/>
      <c r="K1546" s="311"/>
      <c r="L1546" s="63"/>
      <c r="M1546" s="63"/>
      <c r="N1546" s="63"/>
      <c r="O1546" s="46"/>
      <c r="P1546" s="46"/>
      <c r="Q1546" s="64"/>
      <c r="R1546" s="45"/>
      <c r="S1546" s="45"/>
      <c r="T1546" s="45"/>
      <c r="U1546" s="46"/>
      <c r="V1546" s="46"/>
      <c r="W1546" s="319"/>
      <c r="X1546" s="128"/>
    </row>
    <row r="1547" spans="1:24">
      <c r="A1547" s="93"/>
      <c r="B1547" s="94"/>
      <c r="C1547" s="94"/>
      <c r="D1547" s="94"/>
      <c r="E1547" s="94"/>
      <c r="F1547" s="94"/>
      <c r="G1547" s="94"/>
      <c r="H1547" s="94"/>
      <c r="I1547" s="94"/>
      <c r="J1547" s="94"/>
      <c r="K1547" s="311"/>
      <c r="L1547" s="63"/>
      <c r="M1547" s="63"/>
      <c r="N1547" s="63"/>
      <c r="O1547" s="46"/>
      <c r="P1547" s="46"/>
      <c r="Q1547" s="64"/>
      <c r="R1547" s="45"/>
      <c r="S1547" s="45"/>
      <c r="T1547" s="45"/>
      <c r="U1547" s="46"/>
      <c r="V1547" s="46"/>
      <c r="W1547" s="319"/>
      <c r="X1547" s="128"/>
    </row>
    <row r="1548" spans="1:24">
      <c r="A1548" s="93"/>
      <c r="B1548" s="94"/>
      <c r="C1548" s="94"/>
      <c r="D1548" s="94"/>
      <c r="E1548" s="94"/>
      <c r="F1548" s="94"/>
      <c r="G1548" s="94"/>
      <c r="H1548" s="94"/>
      <c r="I1548" s="94"/>
      <c r="J1548" s="94"/>
      <c r="K1548" s="311"/>
      <c r="L1548" s="63"/>
      <c r="M1548" s="63"/>
      <c r="N1548" s="63"/>
      <c r="O1548" s="46"/>
      <c r="P1548" s="46"/>
      <c r="Q1548" s="64"/>
      <c r="R1548" s="45"/>
      <c r="S1548" s="45"/>
      <c r="T1548" s="45"/>
      <c r="U1548" s="46"/>
      <c r="V1548" s="46"/>
      <c r="W1548" s="319"/>
      <c r="X1548" s="128"/>
    </row>
    <row r="1549" spans="1:24">
      <c r="A1549" s="93"/>
      <c r="B1549" s="94"/>
      <c r="C1549" s="94"/>
      <c r="D1549" s="94"/>
      <c r="E1549" s="94"/>
      <c r="F1549" s="94"/>
      <c r="G1549" s="94"/>
      <c r="H1549" s="94"/>
      <c r="I1549" s="94"/>
      <c r="J1549" s="94"/>
      <c r="K1549" s="311"/>
      <c r="L1549" s="63"/>
      <c r="M1549" s="63"/>
      <c r="N1549" s="63"/>
      <c r="O1549" s="46"/>
      <c r="P1549" s="46"/>
      <c r="Q1549" s="64"/>
      <c r="R1549" s="45"/>
      <c r="S1549" s="45"/>
      <c r="T1549" s="45"/>
      <c r="U1549" s="46"/>
      <c r="V1549" s="46"/>
      <c r="W1549" s="319"/>
      <c r="X1549" s="128"/>
    </row>
    <row r="1550" spans="1:24">
      <c r="A1550" s="93"/>
      <c r="B1550" s="94"/>
      <c r="C1550" s="94"/>
      <c r="D1550" s="94"/>
      <c r="E1550" s="94"/>
      <c r="F1550" s="94"/>
      <c r="G1550" s="94"/>
      <c r="H1550" s="94"/>
      <c r="I1550" s="94"/>
      <c r="J1550" s="94"/>
      <c r="K1550" s="311"/>
      <c r="L1550" s="63"/>
      <c r="M1550" s="63"/>
      <c r="N1550" s="63"/>
      <c r="O1550" s="46"/>
      <c r="P1550" s="46"/>
      <c r="Q1550" s="64"/>
      <c r="R1550" s="45"/>
      <c r="S1550" s="45"/>
      <c r="T1550" s="45"/>
      <c r="U1550" s="46"/>
      <c r="V1550" s="46"/>
      <c r="W1550" s="319"/>
      <c r="X1550" s="128"/>
    </row>
    <row r="1551" spans="1:24">
      <c r="A1551" s="93"/>
      <c r="B1551" s="94"/>
      <c r="C1551" s="94"/>
      <c r="D1551" s="94"/>
      <c r="E1551" s="94"/>
      <c r="F1551" s="94"/>
      <c r="G1551" s="94"/>
      <c r="H1551" s="94"/>
      <c r="I1551" s="94"/>
      <c r="J1551" s="94"/>
      <c r="K1551" s="311"/>
      <c r="L1551" s="63"/>
      <c r="M1551" s="63"/>
      <c r="N1551" s="63"/>
      <c r="O1551" s="46"/>
      <c r="P1551" s="46"/>
      <c r="Q1551" s="64"/>
      <c r="R1551" s="45"/>
      <c r="S1551" s="45"/>
      <c r="T1551" s="45"/>
      <c r="U1551" s="46"/>
      <c r="V1551" s="46"/>
      <c r="W1551" s="319"/>
      <c r="X1551" s="128"/>
    </row>
    <row r="1552" spans="1:24">
      <c r="A1552" s="93"/>
      <c r="B1552" s="94"/>
      <c r="C1552" s="94"/>
      <c r="D1552" s="94"/>
      <c r="E1552" s="94"/>
      <c r="F1552" s="94"/>
      <c r="G1552" s="94"/>
      <c r="H1552" s="94"/>
      <c r="I1552" s="94"/>
      <c r="J1552" s="94"/>
      <c r="K1552" s="311"/>
      <c r="L1552" s="63"/>
      <c r="M1552" s="63"/>
      <c r="N1552" s="63"/>
      <c r="O1552" s="46"/>
      <c r="P1552" s="46"/>
      <c r="Q1552" s="64"/>
      <c r="R1552" s="45"/>
      <c r="S1552" s="45"/>
      <c r="T1552" s="45"/>
      <c r="U1552" s="46"/>
      <c r="V1552" s="46"/>
      <c r="W1552" s="319"/>
      <c r="X1552" s="128"/>
    </row>
    <row r="1553" spans="1:24">
      <c r="A1553" s="93"/>
      <c r="B1553" s="94"/>
      <c r="C1553" s="94"/>
      <c r="D1553" s="94"/>
      <c r="E1553" s="94"/>
      <c r="F1553" s="94"/>
      <c r="G1553" s="94"/>
      <c r="H1553" s="94"/>
      <c r="I1553" s="94"/>
      <c r="J1553" s="94"/>
      <c r="K1553" s="311"/>
      <c r="L1553" s="63"/>
      <c r="M1553" s="63"/>
      <c r="N1553" s="63"/>
      <c r="O1553" s="46"/>
      <c r="P1553" s="46"/>
      <c r="Q1553" s="64"/>
      <c r="R1553" s="45"/>
      <c r="S1553" s="45"/>
      <c r="T1553" s="45"/>
      <c r="U1553" s="46"/>
      <c r="V1553" s="46"/>
      <c r="W1553" s="319"/>
      <c r="X1553" s="128"/>
    </row>
    <row r="1554" spans="1:24">
      <c r="A1554" s="93"/>
      <c r="B1554" s="94"/>
      <c r="C1554" s="94"/>
      <c r="D1554" s="94"/>
      <c r="E1554" s="94"/>
      <c r="F1554" s="94"/>
      <c r="G1554" s="94"/>
      <c r="H1554" s="94"/>
      <c r="I1554" s="94"/>
      <c r="J1554" s="94"/>
      <c r="K1554" s="311"/>
      <c r="L1554" s="63"/>
      <c r="M1554" s="63"/>
      <c r="N1554" s="63"/>
      <c r="O1554" s="46"/>
      <c r="P1554" s="46"/>
      <c r="Q1554" s="64"/>
      <c r="R1554" s="45"/>
      <c r="S1554" s="45"/>
      <c r="T1554" s="45"/>
      <c r="U1554" s="46"/>
      <c r="V1554" s="46"/>
      <c r="W1554" s="319"/>
      <c r="X1554" s="128"/>
    </row>
    <row r="1555" spans="1:24">
      <c r="A1555" s="93"/>
      <c r="B1555" s="94"/>
      <c r="C1555" s="94"/>
      <c r="D1555" s="94"/>
      <c r="E1555" s="94"/>
      <c r="F1555" s="94"/>
      <c r="G1555" s="94"/>
      <c r="H1555" s="94"/>
      <c r="I1555" s="94"/>
      <c r="J1555" s="94"/>
      <c r="K1555" s="311"/>
      <c r="L1555" s="63"/>
      <c r="M1555" s="63"/>
      <c r="N1555" s="63"/>
      <c r="O1555" s="46"/>
      <c r="P1555" s="46"/>
      <c r="Q1555" s="64"/>
      <c r="R1555" s="45"/>
      <c r="S1555" s="45"/>
      <c r="T1555" s="45"/>
      <c r="U1555" s="46"/>
      <c r="V1555" s="46"/>
      <c r="W1555" s="319"/>
      <c r="X1555" s="128"/>
    </row>
    <row r="1556" spans="1:24">
      <c r="A1556" s="93"/>
      <c r="B1556" s="94"/>
      <c r="C1556" s="94"/>
      <c r="D1556" s="94"/>
      <c r="E1556" s="94"/>
      <c r="F1556" s="94"/>
      <c r="G1556" s="94"/>
      <c r="H1556" s="94"/>
      <c r="I1556" s="94"/>
      <c r="J1556" s="94"/>
      <c r="K1556" s="311"/>
      <c r="L1556" s="63"/>
      <c r="M1556" s="63"/>
      <c r="N1556" s="63"/>
      <c r="O1556" s="46"/>
      <c r="P1556" s="46"/>
      <c r="Q1556" s="64"/>
      <c r="R1556" s="45"/>
      <c r="S1556" s="45"/>
      <c r="T1556" s="45"/>
      <c r="U1556" s="46"/>
      <c r="V1556" s="46"/>
      <c r="W1556" s="319"/>
      <c r="X1556" s="128"/>
    </row>
    <row r="1557" spans="1:24">
      <c r="A1557" s="93"/>
      <c r="B1557" s="94"/>
      <c r="C1557" s="94"/>
      <c r="D1557" s="94"/>
      <c r="E1557" s="94"/>
      <c r="F1557" s="94"/>
      <c r="G1557" s="94"/>
      <c r="H1557" s="94"/>
      <c r="I1557" s="94"/>
      <c r="J1557" s="94"/>
      <c r="K1557" s="311"/>
      <c r="L1557" s="63"/>
      <c r="M1557" s="63"/>
      <c r="N1557" s="63"/>
      <c r="O1557" s="46"/>
      <c r="P1557" s="46"/>
      <c r="Q1557" s="64"/>
      <c r="R1557" s="45"/>
      <c r="S1557" s="45"/>
      <c r="T1557" s="45"/>
      <c r="U1557" s="46"/>
      <c r="V1557" s="46"/>
      <c r="W1557" s="319"/>
      <c r="X1557" s="128"/>
    </row>
    <row r="1558" spans="1:24">
      <c r="A1558" s="93"/>
      <c r="B1558" s="94"/>
      <c r="C1558" s="94"/>
      <c r="D1558" s="94"/>
      <c r="E1558" s="94"/>
      <c r="F1558" s="94"/>
      <c r="G1558" s="94"/>
      <c r="H1558" s="94"/>
      <c r="I1558" s="94"/>
      <c r="J1558" s="94"/>
      <c r="K1558" s="311"/>
      <c r="L1558" s="63"/>
      <c r="M1558" s="63"/>
      <c r="N1558" s="63"/>
      <c r="O1558" s="46"/>
      <c r="P1558" s="46"/>
      <c r="Q1558" s="64"/>
      <c r="R1558" s="45"/>
      <c r="S1558" s="45"/>
      <c r="T1558" s="45"/>
      <c r="U1558" s="46"/>
      <c r="V1558" s="46"/>
      <c r="W1558" s="319"/>
      <c r="X1558" s="128"/>
    </row>
    <row r="1559" spans="1:24">
      <c r="A1559" s="93"/>
      <c r="B1559" s="94"/>
      <c r="C1559" s="94"/>
      <c r="D1559" s="94"/>
      <c r="E1559" s="94"/>
      <c r="F1559" s="94"/>
      <c r="G1559" s="94"/>
      <c r="H1559" s="94"/>
      <c r="I1559" s="94"/>
      <c r="J1559" s="94"/>
      <c r="K1559" s="311"/>
      <c r="L1559" s="63"/>
      <c r="M1559" s="63"/>
      <c r="N1559" s="63"/>
      <c r="O1559" s="46"/>
      <c r="P1559" s="46"/>
      <c r="Q1559" s="64"/>
      <c r="R1559" s="45"/>
      <c r="S1559" s="45"/>
      <c r="T1559" s="45"/>
      <c r="U1559" s="46"/>
      <c r="V1559" s="46"/>
      <c r="W1559" s="319"/>
      <c r="X1559" s="128"/>
    </row>
    <row r="1560" spans="1:24">
      <c r="A1560" s="93"/>
      <c r="B1560" s="94"/>
      <c r="C1560" s="94"/>
      <c r="D1560" s="94"/>
      <c r="E1560" s="94"/>
      <c r="F1560" s="94"/>
      <c r="G1560" s="94"/>
      <c r="H1560" s="94"/>
      <c r="I1560" s="94"/>
      <c r="J1560" s="94"/>
      <c r="K1560" s="311"/>
      <c r="L1560" s="63"/>
      <c r="M1560" s="63"/>
      <c r="N1560" s="63"/>
      <c r="O1560" s="46"/>
      <c r="P1560" s="46"/>
      <c r="Q1560" s="64"/>
      <c r="R1560" s="45"/>
      <c r="S1560" s="45"/>
      <c r="T1560" s="45"/>
      <c r="U1560" s="46"/>
      <c r="V1560" s="46"/>
      <c r="W1560" s="319"/>
      <c r="X1560" s="128"/>
    </row>
    <row r="1561" spans="1:24">
      <c r="A1561" s="93"/>
      <c r="B1561" s="94"/>
      <c r="C1561" s="94"/>
      <c r="D1561" s="94"/>
      <c r="E1561" s="94"/>
      <c r="F1561" s="94"/>
      <c r="G1561" s="94"/>
      <c r="H1561" s="94"/>
      <c r="I1561" s="94"/>
      <c r="J1561" s="94"/>
      <c r="K1561" s="311"/>
      <c r="L1561" s="63"/>
      <c r="M1561" s="63"/>
      <c r="N1561" s="63"/>
      <c r="O1561" s="46"/>
      <c r="P1561" s="46"/>
      <c r="Q1561" s="64"/>
      <c r="R1561" s="45"/>
      <c r="S1561" s="45"/>
      <c r="T1561" s="45"/>
      <c r="U1561" s="46"/>
      <c r="V1561" s="46"/>
      <c r="W1561" s="319"/>
      <c r="X1561" s="128"/>
    </row>
    <row r="1562" spans="1:24">
      <c r="A1562" s="93"/>
      <c r="B1562" s="94"/>
      <c r="C1562" s="94"/>
      <c r="D1562" s="94"/>
      <c r="E1562" s="94"/>
      <c r="F1562" s="94"/>
      <c r="G1562" s="94"/>
      <c r="H1562" s="94"/>
      <c r="I1562" s="94"/>
      <c r="J1562" s="94"/>
      <c r="K1562" s="311"/>
      <c r="L1562" s="63"/>
      <c r="M1562" s="63"/>
      <c r="N1562" s="63"/>
      <c r="O1562" s="46"/>
      <c r="P1562" s="46"/>
      <c r="Q1562" s="64"/>
      <c r="R1562" s="45"/>
      <c r="S1562" s="45"/>
      <c r="T1562" s="45"/>
      <c r="U1562" s="46"/>
      <c r="V1562" s="46"/>
      <c r="W1562" s="319"/>
      <c r="X1562" s="128"/>
    </row>
    <row r="1563" spans="1:24">
      <c r="A1563" s="93"/>
      <c r="B1563" s="94"/>
      <c r="C1563" s="94"/>
      <c r="D1563" s="94"/>
      <c r="E1563" s="94"/>
      <c r="F1563" s="94"/>
      <c r="G1563" s="94"/>
      <c r="H1563" s="94"/>
      <c r="I1563" s="94"/>
      <c r="J1563" s="94"/>
      <c r="K1563" s="311"/>
      <c r="L1563" s="63"/>
      <c r="M1563" s="63"/>
      <c r="N1563" s="63"/>
      <c r="O1563" s="46"/>
      <c r="P1563" s="46"/>
      <c r="Q1563" s="64"/>
      <c r="R1563" s="45"/>
      <c r="S1563" s="45"/>
      <c r="T1563" s="45"/>
      <c r="U1563" s="46"/>
      <c r="V1563" s="46"/>
      <c r="W1563" s="319"/>
      <c r="X1563" s="128"/>
    </row>
    <row r="1564" spans="1:24">
      <c r="A1564" s="93"/>
      <c r="B1564" s="94"/>
      <c r="C1564" s="94"/>
      <c r="D1564" s="94"/>
      <c r="E1564" s="94"/>
      <c r="F1564" s="94"/>
      <c r="G1564" s="94"/>
      <c r="H1564" s="94"/>
      <c r="I1564" s="94"/>
      <c r="J1564" s="94"/>
      <c r="K1564" s="311"/>
      <c r="L1564" s="63"/>
      <c r="M1564" s="63"/>
      <c r="N1564" s="63"/>
      <c r="O1564" s="46"/>
      <c r="P1564" s="46"/>
      <c r="Q1564" s="64"/>
      <c r="R1564" s="45"/>
      <c r="S1564" s="45"/>
      <c r="T1564" s="45"/>
      <c r="U1564" s="46"/>
      <c r="V1564" s="46"/>
      <c r="W1564" s="319"/>
      <c r="X1564" s="128"/>
    </row>
    <row r="1565" spans="1:24">
      <c r="A1565" s="93"/>
      <c r="B1565" s="94"/>
      <c r="C1565" s="94"/>
      <c r="D1565" s="94"/>
      <c r="E1565" s="94"/>
      <c r="F1565" s="94"/>
      <c r="G1565" s="94"/>
      <c r="H1565" s="94"/>
      <c r="I1565" s="94"/>
      <c r="J1565" s="94"/>
      <c r="K1565" s="311"/>
      <c r="L1565" s="63"/>
      <c r="M1565" s="63"/>
      <c r="N1565" s="63"/>
      <c r="O1565" s="46"/>
      <c r="P1565" s="46"/>
      <c r="Q1565" s="64"/>
      <c r="R1565" s="45"/>
      <c r="S1565" s="45"/>
      <c r="T1565" s="45"/>
      <c r="U1565" s="46"/>
      <c r="V1565" s="46"/>
      <c r="W1565" s="319"/>
      <c r="X1565" s="128"/>
    </row>
    <row r="1566" spans="1:24">
      <c r="A1566" s="93"/>
      <c r="B1566" s="94"/>
      <c r="C1566" s="94"/>
      <c r="D1566" s="94"/>
      <c r="E1566" s="94"/>
      <c r="F1566" s="94"/>
      <c r="G1566" s="94"/>
      <c r="H1566" s="94"/>
      <c r="I1566" s="94"/>
      <c r="J1566" s="94"/>
      <c r="K1566" s="311"/>
      <c r="L1566" s="63"/>
      <c r="M1566" s="63"/>
      <c r="N1566" s="63"/>
      <c r="O1566" s="46"/>
      <c r="P1566" s="46"/>
      <c r="Q1566" s="64"/>
      <c r="R1566" s="45"/>
      <c r="S1566" s="45"/>
      <c r="T1566" s="45"/>
      <c r="U1566" s="46"/>
      <c r="V1566" s="46"/>
      <c r="W1566" s="319"/>
      <c r="X1566" s="128"/>
    </row>
    <row r="1567" spans="1:24">
      <c r="A1567" s="93"/>
      <c r="B1567" s="94"/>
      <c r="C1567" s="94"/>
      <c r="D1567" s="94"/>
      <c r="E1567" s="94"/>
      <c r="F1567" s="94"/>
      <c r="G1567" s="94"/>
      <c r="H1567" s="94"/>
      <c r="I1567" s="94"/>
      <c r="J1567" s="94"/>
      <c r="K1567" s="311"/>
      <c r="L1567" s="63"/>
      <c r="M1567" s="63"/>
      <c r="N1567" s="63"/>
      <c r="O1567" s="46"/>
      <c r="P1567" s="46"/>
      <c r="Q1567" s="64"/>
      <c r="R1567" s="45"/>
      <c r="S1567" s="45"/>
      <c r="T1567" s="45"/>
      <c r="U1567" s="46"/>
      <c r="V1567" s="46"/>
      <c r="W1567" s="319"/>
      <c r="X1567" s="128"/>
    </row>
    <row r="1568" spans="1:24">
      <c r="A1568" s="93"/>
      <c r="B1568" s="94"/>
      <c r="C1568" s="94"/>
      <c r="D1568" s="94"/>
      <c r="E1568" s="94"/>
      <c r="F1568" s="94"/>
      <c r="G1568" s="94"/>
      <c r="H1568" s="94"/>
      <c r="I1568" s="94"/>
      <c r="J1568" s="94"/>
      <c r="K1568" s="311"/>
      <c r="L1568" s="63"/>
      <c r="M1568" s="63"/>
      <c r="N1568" s="63"/>
      <c r="O1568" s="46"/>
      <c r="P1568" s="46"/>
      <c r="Q1568" s="64"/>
      <c r="R1568" s="45"/>
      <c r="S1568" s="45"/>
      <c r="T1568" s="45"/>
      <c r="U1568" s="46"/>
      <c r="V1568" s="46"/>
      <c r="W1568" s="319"/>
      <c r="X1568" s="128"/>
    </row>
    <row r="1569" spans="1:24">
      <c r="A1569" s="93"/>
      <c r="B1569" s="94"/>
      <c r="C1569" s="94"/>
      <c r="D1569" s="94"/>
      <c r="E1569" s="94"/>
      <c r="F1569" s="94"/>
      <c r="G1569" s="94"/>
      <c r="H1569" s="94"/>
      <c r="I1569" s="94"/>
      <c r="J1569" s="94"/>
      <c r="K1569" s="311"/>
      <c r="L1569" s="63"/>
      <c r="M1569" s="63"/>
      <c r="N1569" s="63"/>
      <c r="O1569" s="46"/>
      <c r="P1569" s="46"/>
      <c r="Q1569" s="64"/>
      <c r="R1569" s="45"/>
      <c r="S1569" s="45"/>
      <c r="T1569" s="45"/>
      <c r="U1569" s="46"/>
      <c r="V1569" s="46"/>
      <c r="W1569" s="319"/>
      <c r="X1569" s="128"/>
    </row>
    <row r="1570" spans="1:24">
      <c r="A1570" s="93"/>
      <c r="B1570" s="94"/>
      <c r="C1570" s="94"/>
      <c r="D1570" s="94"/>
      <c r="E1570" s="94"/>
      <c r="F1570" s="94"/>
      <c r="G1570" s="94"/>
      <c r="H1570" s="94"/>
      <c r="I1570" s="94"/>
      <c r="J1570" s="94"/>
      <c r="K1570" s="311"/>
      <c r="L1570" s="63"/>
      <c r="M1570" s="63"/>
      <c r="N1570" s="63"/>
      <c r="O1570" s="46"/>
      <c r="P1570" s="46"/>
      <c r="Q1570" s="64"/>
      <c r="R1570" s="45"/>
      <c r="S1570" s="45"/>
      <c r="T1570" s="45"/>
      <c r="U1570" s="46"/>
      <c r="V1570" s="46"/>
      <c r="W1570" s="319"/>
      <c r="X1570" s="128"/>
    </row>
    <row r="1571" spans="1:24">
      <c r="A1571" s="93"/>
      <c r="B1571" s="94"/>
      <c r="C1571" s="94"/>
      <c r="D1571" s="94"/>
      <c r="E1571" s="94"/>
      <c r="F1571" s="94"/>
      <c r="G1571" s="94"/>
      <c r="H1571" s="94"/>
      <c r="I1571" s="94"/>
      <c r="J1571" s="94"/>
      <c r="K1571" s="311"/>
      <c r="L1571" s="63"/>
      <c r="M1571" s="63"/>
      <c r="N1571" s="63"/>
      <c r="O1571" s="46"/>
      <c r="P1571" s="46"/>
      <c r="Q1571" s="64"/>
      <c r="R1571" s="45"/>
      <c r="S1571" s="45"/>
      <c r="T1571" s="45"/>
      <c r="U1571" s="46"/>
      <c r="V1571" s="46"/>
      <c r="W1571" s="319"/>
      <c r="X1571" s="128"/>
    </row>
    <row r="1572" spans="1:24">
      <c r="A1572" s="93"/>
      <c r="B1572" s="94"/>
      <c r="C1572" s="94"/>
      <c r="D1572" s="94"/>
      <c r="E1572" s="94"/>
      <c r="F1572" s="94"/>
      <c r="G1572" s="94"/>
      <c r="H1572" s="94"/>
      <c r="I1572" s="94"/>
      <c r="J1572" s="94"/>
      <c r="K1572" s="311"/>
      <c r="L1572" s="63"/>
      <c r="M1572" s="63"/>
      <c r="N1572" s="63"/>
      <c r="O1572" s="46"/>
      <c r="P1572" s="46"/>
      <c r="Q1572" s="64"/>
      <c r="R1572" s="45"/>
      <c r="S1572" s="45"/>
      <c r="T1572" s="45"/>
      <c r="U1572" s="46"/>
      <c r="V1572" s="46"/>
      <c r="W1572" s="319"/>
      <c r="X1572" s="128"/>
    </row>
    <row r="1573" spans="1:24">
      <c r="A1573" s="93"/>
      <c r="B1573" s="94"/>
      <c r="C1573" s="94"/>
      <c r="D1573" s="94"/>
      <c r="E1573" s="94"/>
      <c r="F1573" s="94"/>
      <c r="G1573" s="94"/>
      <c r="H1573" s="94"/>
      <c r="I1573" s="94"/>
      <c r="J1573" s="94"/>
      <c r="K1573" s="311"/>
      <c r="L1573" s="63"/>
      <c r="M1573" s="63"/>
      <c r="N1573" s="63"/>
      <c r="O1573" s="46"/>
      <c r="P1573" s="46"/>
      <c r="Q1573" s="64"/>
      <c r="R1573" s="45"/>
      <c r="S1573" s="45"/>
      <c r="T1573" s="45"/>
      <c r="U1573" s="46"/>
      <c r="V1573" s="46"/>
      <c r="W1573" s="319"/>
      <c r="X1573" s="128"/>
    </row>
    <row r="1574" spans="1:24">
      <c r="A1574" s="93"/>
      <c r="B1574" s="94"/>
      <c r="C1574" s="94"/>
      <c r="D1574" s="94"/>
      <c r="E1574" s="94"/>
      <c r="F1574" s="94"/>
      <c r="G1574" s="94"/>
      <c r="H1574" s="94"/>
      <c r="I1574" s="94"/>
      <c r="J1574" s="94"/>
      <c r="K1574" s="311"/>
      <c r="L1574" s="63"/>
      <c r="M1574" s="63"/>
      <c r="N1574" s="63"/>
      <c r="O1574" s="46"/>
      <c r="P1574" s="46"/>
      <c r="Q1574" s="64"/>
      <c r="R1574" s="45"/>
      <c r="S1574" s="45"/>
      <c r="T1574" s="45"/>
      <c r="U1574" s="46"/>
      <c r="V1574" s="46"/>
      <c r="W1574" s="319"/>
      <c r="X1574" s="128"/>
    </row>
    <row r="1575" spans="1:24">
      <c r="A1575" s="93"/>
      <c r="B1575" s="94"/>
      <c r="C1575" s="94"/>
      <c r="D1575" s="94"/>
      <c r="E1575" s="94"/>
      <c r="F1575" s="94"/>
      <c r="G1575" s="94"/>
      <c r="H1575" s="94"/>
      <c r="I1575" s="94"/>
      <c r="J1575" s="94"/>
      <c r="K1575" s="311"/>
      <c r="L1575" s="63"/>
      <c r="M1575" s="63"/>
      <c r="N1575" s="63"/>
      <c r="O1575" s="46"/>
      <c r="P1575" s="46"/>
      <c r="Q1575" s="64"/>
      <c r="R1575" s="45"/>
      <c r="S1575" s="45"/>
      <c r="T1575" s="45"/>
      <c r="U1575" s="46"/>
      <c r="V1575" s="46"/>
      <c r="W1575" s="319"/>
      <c r="X1575" s="128"/>
    </row>
    <row r="1576" spans="1:24">
      <c r="A1576" s="93"/>
      <c r="B1576" s="94"/>
      <c r="C1576" s="94"/>
      <c r="D1576" s="94"/>
      <c r="E1576" s="94"/>
      <c r="F1576" s="94"/>
      <c r="G1576" s="94"/>
      <c r="H1576" s="94"/>
      <c r="I1576" s="94"/>
      <c r="J1576" s="94"/>
      <c r="K1576" s="311"/>
      <c r="L1576" s="63"/>
      <c r="M1576" s="63"/>
      <c r="N1576" s="63"/>
      <c r="O1576" s="46"/>
      <c r="P1576" s="46"/>
      <c r="Q1576" s="64"/>
      <c r="R1576" s="45"/>
      <c r="S1576" s="45"/>
      <c r="T1576" s="45"/>
      <c r="U1576" s="46"/>
      <c r="V1576" s="46"/>
      <c r="W1576" s="319"/>
      <c r="X1576" s="128"/>
    </row>
    <row r="1577" spans="1:24">
      <c r="A1577" s="93"/>
      <c r="B1577" s="94"/>
      <c r="C1577" s="94"/>
      <c r="D1577" s="94"/>
      <c r="E1577" s="94"/>
      <c r="F1577" s="94"/>
      <c r="G1577" s="94"/>
      <c r="H1577" s="94"/>
      <c r="I1577" s="94"/>
      <c r="J1577" s="94"/>
      <c r="K1577" s="311"/>
      <c r="L1577" s="63"/>
      <c r="M1577" s="63"/>
      <c r="N1577" s="63"/>
      <c r="O1577" s="46"/>
      <c r="P1577" s="46"/>
      <c r="Q1577" s="64"/>
      <c r="R1577" s="45"/>
      <c r="S1577" s="45"/>
      <c r="T1577" s="45"/>
      <c r="U1577" s="46"/>
      <c r="V1577" s="46"/>
      <c r="W1577" s="319"/>
      <c r="X1577" s="128"/>
    </row>
    <row r="1578" spans="1:24">
      <c r="A1578" s="93"/>
      <c r="B1578" s="94"/>
      <c r="C1578" s="94"/>
      <c r="D1578" s="94"/>
      <c r="E1578" s="94"/>
      <c r="F1578" s="94"/>
      <c r="G1578" s="94"/>
      <c r="H1578" s="94"/>
      <c r="I1578" s="94"/>
      <c r="J1578" s="94"/>
      <c r="K1578" s="311"/>
      <c r="L1578" s="63"/>
      <c r="M1578" s="63"/>
      <c r="N1578" s="63"/>
      <c r="O1578" s="46"/>
      <c r="P1578" s="46"/>
      <c r="Q1578" s="64"/>
      <c r="R1578" s="45"/>
      <c r="S1578" s="45"/>
      <c r="T1578" s="45"/>
      <c r="U1578" s="46"/>
      <c r="V1578" s="46"/>
      <c r="W1578" s="319"/>
      <c r="X1578" s="128"/>
    </row>
    <row r="1579" spans="1:24">
      <c r="A1579" s="93"/>
      <c r="B1579" s="94"/>
      <c r="C1579" s="94"/>
      <c r="D1579" s="94"/>
      <c r="E1579" s="94"/>
      <c r="F1579" s="94"/>
      <c r="G1579" s="94"/>
      <c r="H1579" s="94"/>
      <c r="I1579" s="94"/>
      <c r="J1579" s="94"/>
      <c r="K1579" s="311"/>
      <c r="L1579" s="63"/>
      <c r="M1579" s="63"/>
      <c r="N1579" s="63"/>
      <c r="O1579" s="46"/>
      <c r="P1579" s="46"/>
      <c r="Q1579" s="64"/>
      <c r="R1579" s="45"/>
      <c r="S1579" s="45"/>
      <c r="T1579" s="45"/>
      <c r="U1579" s="46"/>
      <c r="V1579" s="46"/>
      <c r="W1579" s="319"/>
      <c r="X1579" s="128"/>
    </row>
    <row r="1580" spans="1:24">
      <c r="A1580" s="93"/>
      <c r="B1580" s="94"/>
      <c r="C1580" s="94"/>
      <c r="D1580" s="94"/>
      <c r="E1580" s="94"/>
      <c r="F1580" s="94"/>
      <c r="G1580" s="94"/>
      <c r="H1580" s="94"/>
      <c r="I1580" s="94"/>
      <c r="J1580" s="94"/>
      <c r="K1580" s="311"/>
      <c r="L1580" s="63"/>
      <c r="M1580" s="63"/>
      <c r="N1580" s="63"/>
      <c r="O1580" s="46"/>
      <c r="P1580" s="46"/>
      <c r="Q1580" s="64"/>
      <c r="R1580" s="45"/>
      <c r="S1580" s="45"/>
      <c r="T1580" s="45"/>
      <c r="U1580" s="46"/>
      <c r="V1580" s="46"/>
      <c r="W1580" s="319"/>
      <c r="X1580" s="128"/>
    </row>
    <row r="1581" spans="1:24">
      <c r="A1581" s="93"/>
      <c r="B1581" s="94"/>
      <c r="C1581" s="94"/>
      <c r="D1581" s="94"/>
      <c r="E1581" s="94"/>
      <c r="F1581" s="94"/>
      <c r="G1581" s="94"/>
      <c r="H1581" s="94"/>
      <c r="I1581" s="94"/>
      <c r="J1581" s="94"/>
      <c r="K1581" s="311"/>
      <c r="L1581" s="63"/>
      <c r="M1581" s="63"/>
      <c r="N1581" s="63"/>
      <c r="O1581" s="46"/>
      <c r="P1581" s="46"/>
      <c r="Q1581" s="64"/>
      <c r="R1581" s="45"/>
      <c r="S1581" s="45"/>
      <c r="T1581" s="45"/>
      <c r="U1581" s="46"/>
      <c r="V1581" s="46"/>
      <c r="W1581" s="319"/>
      <c r="X1581" s="128"/>
    </row>
    <row r="1582" spans="1:24">
      <c r="A1582" s="93"/>
      <c r="B1582" s="94"/>
      <c r="C1582" s="94"/>
      <c r="D1582" s="94"/>
      <c r="E1582" s="94"/>
      <c r="F1582" s="94"/>
      <c r="G1582" s="94"/>
      <c r="H1582" s="94"/>
      <c r="I1582" s="94"/>
      <c r="J1582" s="94"/>
      <c r="K1582" s="311"/>
      <c r="L1582" s="63"/>
      <c r="M1582" s="63"/>
      <c r="N1582" s="63"/>
      <c r="O1582" s="46"/>
      <c r="P1582" s="46"/>
      <c r="Q1582" s="64"/>
      <c r="R1582" s="45"/>
      <c r="S1582" s="45"/>
      <c r="T1582" s="45"/>
      <c r="U1582" s="46"/>
      <c r="V1582" s="46"/>
      <c r="W1582" s="319"/>
      <c r="X1582" s="128"/>
    </row>
    <row r="1583" spans="1:24">
      <c r="A1583" s="93"/>
      <c r="B1583" s="94"/>
      <c r="C1583" s="94"/>
      <c r="D1583" s="94"/>
      <c r="E1583" s="94"/>
      <c r="F1583" s="94"/>
      <c r="G1583" s="94"/>
      <c r="H1583" s="94"/>
      <c r="I1583" s="94"/>
      <c r="J1583" s="94"/>
      <c r="K1583" s="311"/>
      <c r="L1583" s="63"/>
      <c r="M1583" s="63"/>
      <c r="N1583" s="63"/>
      <c r="O1583" s="46"/>
      <c r="P1583" s="46"/>
      <c r="Q1583" s="64"/>
      <c r="R1583" s="45"/>
      <c r="S1583" s="45"/>
      <c r="T1583" s="45"/>
      <c r="U1583" s="46"/>
      <c r="V1583" s="46"/>
      <c r="W1583" s="319"/>
      <c r="X1583" s="128"/>
    </row>
    <row r="1584" spans="1:24">
      <c r="A1584" s="93"/>
      <c r="B1584" s="94"/>
      <c r="C1584" s="94"/>
      <c r="D1584" s="94"/>
      <c r="E1584" s="94"/>
      <c r="F1584" s="94"/>
      <c r="G1584" s="94"/>
      <c r="H1584" s="94"/>
      <c r="I1584" s="94"/>
      <c r="J1584" s="94"/>
      <c r="K1584" s="311"/>
      <c r="L1584" s="63"/>
      <c r="M1584" s="63"/>
      <c r="N1584" s="63"/>
      <c r="O1584" s="46"/>
      <c r="P1584" s="46"/>
      <c r="Q1584" s="64"/>
      <c r="R1584" s="45"/>
      <c r="S1584" s="45"/>
      <c r="T1584" s="45"/>
      <c r="U1584" s="46"/>
      <c r="V1584" s="46"/>
      <c r="W1584" s="319"/>
      <c r="X1584" s="128"/>
    </row>
    <row r="1585" spans="1:24">
      <c r="A1585" s="93"/>
      <c r="B1585" s="94"/>
      <c r="C1585" s="94"/>
      <c r="D1585" s="94"/>
      <c r="E1585" s="94"/>
      <c r="F1585" s="94"/>
      <c r="G1585" s="94"/>
      <c r="H1585" s="94"/>
      <c r="I1585" s="94"/>
      <c r="J1585" s="94"/>
      <c r="K1585" s="311"/>
      <c r="L1585" s="63"/>
      <c r="M1585" s="63"/>
      <c r="N1585" s="63"/>
      <c r="O1585" s="46"/>
      <c r="P1585" s="46"/>
      <c r="Q1585" s="64"/>
      <c r="R1585" s="45"/>
      <c r="S1585" s="45"/>
      <c r="T1585" s="45"/>
      <c r="U1585" s="46"/>
      <c r="V1585" s="46"/>
      <c r="W1585" s="319"/>
      <c r="X1585" s="128"/>
    </row>
    <row r="1586" spans="1:24">
      <c r="A1586" s="93"/>
      <c r="B1586" s="94"/>
      <c r="C1586" s="94"/>
      <c r="D1586" s="94"/>
      <c r="E1586" s="94"/>
      <c r="F1586" s="94"/>
      <c r="G1586" s="94"/>
      <c r="H1586" s="94"/>
      <c r="I1586" s="94"/>
      <c r="J1586" s="94"/>
      <c r="K1586" s="311"/>
      <c r="L1586" s="63"/>
      <c r="M1586" s="63"/>
      <c r="N1586" s="63"/>
      <c r="O1586" s="46"/>
      <c r="P1586" s="46"/>
      <c r="Q1586" s="64"/>
      <c r="R1586" s="45"/>
      <c r="S1586" s="45"/>
      <c r="T1586" s="45"/>
      <c r="U1586" s="46"/>
      <c r="V1586" s="46"/>
      <c r="W1586" s="319"/>
      <c r="X1586" s="128"/>
    </row>
    <row r="1587" spans="1:24">
      <c r="A1587" s="93"/>
      <c r="B1587" s="94"/>
      <c r="C1587" s="94"/>
      <c r="D1587" s="94"/>
      <c r="E1587" s="94"/>
      <c r="F1587" s="94"/>
      <c r="G1587" s="94"/>
      <c r="H1587" s="94"/>
      <c r="I1587" s="94"/>
      <c r="J1587" s="94"/>
      <c r="K1587" s="311"/>
      <c r="L1587" s="63"/>
      <c r="M1587" s="63"/>
      <c r="N1587" s="63"/>
      <c r="O1587" s="46"/>
      <c r="P1587" s="46"/>
      <c r="Q1587" s="64"/>
      <c r="R1587" s="45"/>
      <c r="S1587" s="45"/>
      <c r="T1587" s="45"/>
      <c r="U1587" s="46"/>
      <c r="V1587" s="46"/>
      <c r="W1587" s="319"/>
      <c r="X1587" s="128"/>
    </row>
    <row r="1588" spans="1:24">
      <c r="A1588" s="93"/>
      <c r="B1588" s="94"/>
      <c r="C1588" s="94"/>
      <c r="D1588" s="94"/>
      <c r="E1588" s="94"/>
      <c r="F1588" s="94"/>
      <c r="G1588" s="94"/>
      <c r="H1588" s="94"/>
      <c r="I1588" s="94"/>
      <c r="J1588" s="94"/>
      <c r="K1588" s="311"/>
      <c r="L1588" s="63"/>
      <c r="M1588" s="63"/>
      <c r="N1588" s="63"/>
      <c r="O1588" s="46"/>
      <c r="P1588" s="46"/>
      <c r="Q1588" s="64"/>
      <c r="R1588" s="45"/>
      <c r="S1588" s="45"/>
      <c r="T1588" s="45"/>
      <c r="U1588" s="46"/>
      <c r="V1588" s="46"/>
      <c r="W1588" s="319"/>
      <c r="X1588" s="128"/>
    </row>
    <row r="1589" spans="1:24">
      <c r="A1589" s="93"/>
      <c r="B1589" s="94"/>
      <c r="C1589" s="94"/>
      <c r="D1589" s="94"/>
      <c r="E1589" s="94"/>
      <c r="F1589" s="94"/>
      <c r="G1589" s="94"/>
      <c r="H1589" s="94"/>
      <c r="I1589" s="94"/>
      <c r="J1589" s="94"/>
      <c r="K1589" s="311"/>
      <c r="L1589" s="63"/>
      <c r="M1589" s="63"/>
      <c r="N1589" s="63"/>
      <c r="O1589" s="46"/>
      <c r="P1589" s="46"/>
      <c r="Q1589" s="64"/>
      <c r="R1589" s="45"/>
      <c r="S1589" s="45"/>
      <c r="T1589" s="45"/>
      <c r="U1589" s="46"/>
      <c r="V1589" s="46"/>
      <c r="W1589" s="319"/>
      <c r="X1589" s="128"/>
    </row>
    <row r="1590" spans="1:24">
      <c r="A1590" s="93"/>
      <c r="B1590" s="94"/>
      <c r="C1590" s="94"/>
      <c r="D1590" s="94"/>
      <c r="E1590" s="94"/>
      <c r="F1590" s="94"/>
      <c r="G1590" s="94"/>
      <c r="H1590" s="94"/>
      <c r="I1590" s="94"/>
      <c r="J1590" s="94"/>
      <c r="K1590" s="311"/>
      <c r="L1590" s="63"/>
      <c r="M1590" s="63"/>
      <c r="N1590" s="63"/>
      <c r="O1590" s="46"/>
      <c r="P1590" s="46"/>
      <c r="Q1590" s="64"/>
      <c r="R1590" s="45"/>
      <c r="S1590" s="45"/>
      <c r="T1590" s="45"/>
      <c r="U1590" s="46"/>
      <c r="V1590" s="46"/>
      <c r="W1590" s="319"/>
      <c r="X1590" s="128"/>
    </row>
    <row r="1591" spans="1:24">
      <c r="A1591" s="93"/>
      <c r="B1591" s="94"/>
      <c r="C1591" s="94"/>
      <c r="D1591" s="94"/>
      <c r="E1591" s="94"/>
      <c r="F1591" s="94"/>
      <c r="G1591" s="94"/>
      <c r="H1591" s="94"/>
      <c r="I1591" s="94"/>
      <c r="J1591" s="94"/>
      <c r="K1591" s="311"/>
      <c r="L1591" s="63"/>
      <c r="M1591" s="63"/>
      <c r="N1591" s="63"/>
      <c r="O1591" s="46"/>
      <c r="P1591" s="46"/>
      <c r="Q1591" s="64"/>
      <c r="R1591" s="45"/>
      <c r="S1591" s="45"/>
      <c r="T1591" s="45"/>
      <c r="U1591" s="46"/>
      <c r="V1591" s="46"/>
      <c r="W1591" s="319"/>
      <c r="X1591" s="128"/>
    </row>
    <row r="1592" spans="1:24">
      <c r="A1592" s="93"/>
      <c r="B1592" s="94"/>
      <c r="C1592" s="94"/>
      <c r="D1592" s="94"/>
      <c r="E1592" s="94"/>
      <c r="F1592" s="94"/>
      <c r="G1592" s="94"/>
      <c r="H1592" s="94"/>
      <c r="I1592" s="94"/>
      <c r="J1592" s="94"/>
      <c r="K1592" s="311"/>
      <c r="L1592" s="63"/>
      <c r="M1592" s="63"/>
      <c r="N1592" s="63"/>
      <c r="O1592" s="46"/>
      <c r="P1592" s="46"/>
      <c r="Q1592" s="64"/>
      <c r="R1592" s="45"/>
      <c r="S1592" s="45"/>
      <c r="T1592" s="45"/>
      <c r="U1592" s="46"/>
      <c r="V1592" s="46"/>
      <c r="W1592" s="319"/>
      <c r="X1592" s="128"/>
    </row>
    <row r="1593" spans="1:24">
      <c r="A1593" s="93"/>
      <c r="B1593" s="94"/>
      <c r="C1593" s="94"/>
      <c r="D1593" s="94"/>
      <c r="E1593" s="94"/>
      <c r="F1593" s="94"/>
      <c r="G1593" s="94"/>
      <c r="H1593" s="94"/>
      <c r="I1593" s="94"/>
      <c r="J1593" s="94"/>
      <c r="K1593" s="311"/>
      <c r="L1593" s="63"/>
      <c r="M1593" s="63"/>
      <c r="N1593" s="63"/>
      <c r="O1593" s="46"/>
      <c r="P1593" s="46"/>
      <c r="Q1593" s="64"/>
      <c r="R1593" s="45"/>
      <c r="S1593" s="45"/>
      <c r="T1593" s="45"/>
      <c r="U1593" s="46"/>
      <c r="V1593" s="46"/>
      <c r="W1593" s="319"/>
      <c r="X1593" s="128"/>
    </row>
    <row r="1594" spans="1:24">
      <c r="A1594" s="93"/>
      <c r="B1594" s="94"/>
      <c r="C1594" s="94"/>
      <c r="D1594" s="94"/>
      <c r="E1594" s="94"/>
      <c r="F1594" s="94"/>
      <c r="G1594" s="94"/>
      <c r="H1594" s="94"/>
      <c r="I1594" s="94"/>
      <c r="J1594" s="94"/>
      <c r="K1594" s="311"/>
      <c r="L1594" s="63"/>
      <c r="M1594" s="63"/>
      <c r="N1594" s="63"/>
      <c r="O1594" s="46"/>
      <c r="P1594" s="46"/>
      <c r="Q1594" s="64"/>
      <c r="R1594" s="45"/>
      <c r="S1594" s="45"/>
      <c r="T1594" s="45"/>
      <c r="U1594" s="46"/>
      <c r="V1594" s="46"/>
      <c r="W1594" s="319"/>
      <c r="X1594" s="128"/>
    </row>
    <row r="1595" spans="1:24">
      <c r="A1595" s="93"/>
      <c r="B1595" s="94"/>
      <c r="C1595" s="94"/>
      <c r="D1595" s="94"/>
      <c r="E1595" s="94"/>
      <c r="F1595" s="94"/>
      <c r="G1595" s="94"/>
      <c r="H1595" s="94"/>
      <c r="I1595" s="94"/>
      <c r="J1595" s="94"/>
      <c r="K1595" s="311"/>
      <c r="L1595" s="63"/>
      <c r="M1595" s="63"/>
      <c r="N1595" s="63"/>
      <c r="O1595" s="46"/>
      <c r="P1595" s="46"/>
      <c r="Q1595" s="64"/>
      <c r="R1595" s="45"/>
      <c r="S1595" s="45"/>
      <c r="T1595" s="45"/>
      <c r="U1595" s="46"/>
      <c r="V1595" s="46"/>
      <c r="W1595" s="319"/>
      <c r="X1595" s="128"/>
    </row>
    <row r="1596" spans="1:24">
      <c r="A1596" s="93"/>
      <c r="B1596" s="94"/>
      <c r="C1596" s="94"/>
      <c r="D1596" s="94"/>
      <c r="E1596" s="94"/>
      <c r="F1596" s="94"/>
      <c r="G1596" s="94"/>
      <c r="H1596" s="94"/>
      <c r="I1596" s="94"/>
      <c r="J1596" s="94"/>
      <c r="K1596" s="311"/>
      <c r="L1596" s="63"/>
      <c r="M1596" s="63"/>
      <c r="N1596" s="63"/>
      <c r="O1596" s="46"/>
      <c r="P1596" s="46"/>
      <c r="Q1596" s="64"/>
      <c r="R1596" s="45"/>
      <c r="S1596" s="45"/>
      <c r="T1596" s="45"/>
      <c r="U1596" s="46"/>
      <c r="V1596" s="46"/>
      <c r="W1596" s="319"/>
      <c r="X1596" s="128"/>
    </row>
    <row r="1597" spans="1:24">
      <c r="A1597" s="93"/>
      <c r="B1597" s="94"/>
      <c r="C1597" s="94"/>
      <c r="D1597" s="94"/>
      <c r="E1597" s="94"/>
      <c r="F1597" s="94"/>
      <c r="G1597" s="94"/>
      <c r="H1597" s="94"/>
      <c r="I1597" s="94"/>
      <c r="J1597" s="94"/>
      <c r="K1597" s="311"/>
      <c r="L1597" s="63"/>
      <c r="M1597" s="63"/>
      <c r="N1597" s="63"/>
      <c r="O1597" s="46"/>
      <c r="P1597" s="46"/>
      <c r="Q1597" s="64"/>
      <c r="R1597" s="45"/>
      <c r="S1597" s="45"/>
      <c r="T1597" s="45"/>
      <c r="U1597" s="46"/>
      <c r="V1597" s="46"/>
      <c r="W1597" s="319"/>
      <c r="X1597" s="128"/>
    </row>
    <row r="1598" spans="1:24">
      <c r="A1598" s="93"/>
      <c r="B1598" s="94"/>
      <c r="C1598" s="94"/>
      <c r="D1598" s="94"/>
      <c r="E1598" s="94"/>
      <c r="F1598" s="94"/>
      <c r="G1598" s="94"/>
      <c r="H1598" s="94"/>
      <c r="I1598" s="94"/>
      <c r="J1598" s="94"/>
      <c r="K1598" s="311"/>
      <c r="L1598" s="63"/>
      <c r="M1598" s="63"/>
      <c r="N1598" s="63"/>
      <c r="O1598" s="46"/>
      <c r="P1598" s="46"/>
      <c r="Q1598" s="64"/>
      <c r="R1598" s="45"/>
      <c r="S1598" s="45"/>
      <c r="T1598" s="45"/>
      <c r="U1598" s="46"/>
      <c r="V1598" s="46"/>
      <c r="W1598" s="319"/>
      <c r="X1598" s="128"/>
    </row>
    <row r="1599" spans="1:24">
      <c r="A1599" s="93"/>
      <c r="B1599" s="94"/>
      <c r="C1599" s="94"/>
      <c r="D1599" s="94"/>
      <c r="E1599" s="94"/>
      <c r="F1599" s="94"/>
      <c r="G1599" s="94"/>
      <c r="H1599" s="94"/>
      <c r="I1599" s="94"/>
      <c r="J1599" s="94"/>
      <c r="K1599" s="311"/>
      <c r="L1599" s="63"/>
      <c r="M1599" s="63"/>
      <c r="N1599" s="63"/>
      <c r="O1599" s="46"/>
      <c r="P1599" s="46"/>
      <c r="Q1599" s="64"/>
      <c r="R1599" s="45"/>
      <c r="S1599" s="45"/>
      <c r="T1599" s="45"/>
      <c r="U1599" s="46"/>
      <c r="V1599" s="46"/>
      <c r="W1599" s="319"/>
      <c r="X1599" s="128"/>
    </row>
    <row r="1600" spans="1:24">
      <c r="A1600" s="93"/>
      <c r="B1600" s="94"/>
      <c r="C1600" s="94"/>
      <c r="D1600" s="94"/>
      <c r="E1600" s="94"/>
      <c r="F1600" s="94"/>
      <c r="G1600" s="94"/>
      <c r="H1600" s="94"/>
      <c r="I1600" s="94"/>
      <c r="J1600" s="94"/>
      <c r="K1600" s="311"/>
      <c r="L1600" s="63"/>
      <c r="M1600" s="63"/>
      <c r="N1600" s="63"/>
      <c r="O1600" s="46"/>
      <c r="P1600" s="46"/>
      <c r="Q1600" s="64"/>
      <c r="R1600" s="45"/>
      <c r="S1600" s="45"/>
      <c r="T1600" s="45"/>
      <c r="U1600" s="46"/>
      <c r="V1600" s="46"/>
      <c r="W1600" s="319"/>
      <c r="X1600" s="128"/>
    </row>
    <row r="1601" spans="1:24">
      <c r="A1601" s="93"/>
      <c r="B1601" s="94"/>
      <c r="C1601" s="94"/>
      <c r="D1601" s="94"/>
      <c r="E1601" s="94"/>
      <c r="F1601" s="94"/>
      <c r="G1601" s="94"/>
      <c r="H1601" s="94"/>
      <c r="I1601" s="94"/>
      <c r="J1601" s="94"/>
      <c r="K1601" s="311"/>
      <c r="L1601" s="63"/>
      <c r="M1601" s="63"/>
      <c r="N1601" s="63"/>
      <c r="O1601" s="46"/>
      <c r="P1601" s="46"/>
      <c r="Q1601" s="64"/>
      <c r="R1601" s="45"/>
      <c r="S1601" s="45"/>
      <c r="T1601" s="45"/>
      <c r="U1601" s="46"/>
      <c r="V1601" s="46"/>
      <c r="W1601" s="319"/>
      <c r="X1601" s="128"/>
    </row>
    <row r="1602" spans="1:24">
      <c r="A1602" s="93"/>
      <c r="B1602" s="94"/>
      <c r="C1602" s="94"/>
      <c r="D1602" s="94"/>
      <c r="E1602" s="94"/>
      <c r="F1602" s="94"/>
      <c r="G1602" s="94"/>
      <c r="H1602" s="94"/>
      <c r="I1602" s="94"/>
      <c r="J1602" s="94"/>
      <c r="K1602" s="311"/>
      <c r="L1602" s="63"/>
      <c r="M1602" s="63"/>
      <c r="N1602" s="63"/>
      <c r="O1602" s="46"/>
      <c r="P1602" s="46"/>
      <c r="Q1602" s="64"/>
      <c r="R1602" s="45"/>
      <c r="S1602" s="45"/>
      <c r="T1602" s="45"/>
      <c r="U1602" s="46"/>
      <c r="V1602" s="46"/>
      <c r="W1602" s="319"/>
      <c r="X1602" s="128"/>
    </row>
    <row r="1603" spans="1:24">
      <c r="A1603" s="93"/>
      <c r="B1603" s="94"/>
      <c r="C1603" s="94"/>
      <c r="D1603" s="94"/>
      <c r="E1603" s="94"/>
      <c r="F1603" s="94"/>
      <c r="G1603" s="94"/>
      <c r="H1603" s="94"/>
      <c r="I1603" s="94"/>
      <c r="J1603" s="94"/>
      <c r="K1603" s="311"/>
      <c r="L1603" s="63"/>
      <c r="M1603" s="63"/>
      <c r="N1603" s="63"/>
      <c r="O1603" s="46"/>
      <c r="P1603" s="46"/>
      <c r="Q1603" s="64"/>
      <c r="R1603" s="45"/>
      <c r="S1603" s="45"/>
      <c r="T1603" s="45"/>
      <c r="U1603" s="46"/>
      <c r="V1603" s="46"/>
      <c r="W1603" s="319"/>
      <c r="X1603" s="128"/>
    </row>
    <row r="1604" spans="1:24">
      <c r="A1604" s="93"/>
      <c r="B1604" s="94"/>
      <c r="C1604" s="94"/>
      <c r="D1604" s="94"/>
      <c r="E1604" s="94"/>
      <c r="F1604" s="94"/>
      <c r="G1604" s="94"/>
      <c r="H1604" s="94"/>
      <c r="I1604" s="94"/>
      <c r="J1604" s="94"/>
      <c r="K1604" s="311"/>
      <c r="L1604" s="63"/>
      <c r="M1604" s="63"/>
      <c r="N1604" s="63"/>
      <c r="O1604" s="46"/>
      <c r="P1604" s="46"/>
      <c r="Q1604" s="64"/>
      <c r="R1604" s="45"/>
      <c r="S1604" s="45"/>
      <c r="T1604" s="45"/>
      <c r="U1604" s="46"/>
      <c r="V1604" s="46"/>
      <c r="W1604" s="319"/>
      <c r="X1604" s="128"/>
    </row>
    <row r="1605" spans="1:24">
      <c r="A1605" s="93"/>
      <c r="B1605" s="94"/>
      <c r="C1605" s="94"/>
      <c r="D1605" s="94"/>
      <c r="E1605" s="94"/>
      <c r="F1605" s="94"/>
      <c r="G1605" s="94"/>
      <c r="H1605" s="94"/>
      <c r="I1605" s="94"/>
      <c r="J1605" s="94"/>
      <c r="K1605" s="311"/>
      <c r="L1605" s="63"/>
      <c r="M1605" s="63"/>
      <c r="N1605" s="63"/>
      <c r="O1605" s="46"/>
      <c r="P1605" s="46"/>
      <c r="Q1605" s="64"/>
      <c r="R1605" s="45"/>
      <c r="S1605" s="45"/>
      <c r="T1605" s="45"/>
      <c r="U1605" s="46"/>
      <c r="V1605" s="46"/>
      <c r="W1605" s="319"/>
      <c r="X1605" s="128"/>
    </row>
    <row r="1606" spans="1:24">
      <c r="A1606" s="93"/>
      <c r="B1606" s="94"/>
      <c r="C1606" s="94"/>
      <c r="D1606" s="94"/>
      <c r="E1606" s="94"/>
      <c r="F1606" s="94"/>
      <c r="G1606" s="94"/>
      <c r="H1606" s="94"/>
      <c r="I1606" s="94"/>
      <c r="J1606" s="94"/>
      <c r="O1606" s="46"/>
      <c r="P1606" s="46"/>
      <c r="Q1606" s="64"/>
      <c r="R1606" s="45"/>
      <c r="S1606" s="45"/>
      <c r="T1606" s="45"/>
      <c r="U1606" s="46"/>
      <c r="V1606" s="46"/>
      <c r="W1606" s="319"/>
      <c r="X1606" s="128"/>
    </row>
  </sheetData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tabSelected="1" zoomScaleNormal="100" workbookViewId="0">
      <pane ySplit="4" topLeftCell="A40" activePane="bottomLeft" state="frozen"/>
      <selection pane="bottomLeft" activeCell="A51" sqref="A5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83" t="s">
        <v>519</v>
      </c>
      <c r="B1" s="483"/>
      <c r="C1" s="483"/>
      <c r="D1" s="483"/>
      <c r="E1" s="483"/>
      <c r="F1" s="483"/>
      <c r="G1" s="483"/>
      <c r="H1" s="483"/>
    </row>
    <row r="2" spans="1:8" ht="15.75" customHeight="1" thickBot="1">
      <c r="A2" s="483"/>
      <c r="B2" s="483"/>
      <c r="C2" s="483"/>
      <c r="D2" s="483"/>
      <c r="E2" s="483"/>
      <c r="F2" s="483"/>
      <c r="G2" s="483"/>
      <c r="H2" s="483"/>
    </row>
    <row r="3" spans="1:8">
      <c r="A3" s="484" t="s">
        <v>514</v>
      </c>
      <c r="B3" s="486" t="s">
        <v>515</v>
      </c>
      <c r="C3" s="488" t="s">
        <v>516</v>
      </c>
      <c r="D3" s="490" t="s">
        <v>3</v>
      </c>
      <c r="E3" s="490" t="s">
        <v>58</v>
      </c>
      <c r="F3" s="492" t="s">
        <v>517</v>
      </c>
      <c r="G3" s="493"/>
      <c r="H3" s="481" t="s">
        <v>518</v>
      </c>
    </row>
    <row r="4" spans="1:8" ht="15.75" thickBot="1">
      <c r="A4" s="485"/>
      <c r="B4" s="487"/>
      <c r="C4" s="489"/>
      <c r="D4" s="491"/>
      <c r="E4" s="491"/>
      <c r="F4" s="246" t="s">
        <v>3</v>
      </c>
      <c r="G4" s="247" t="s">
        <v>203</v>
      </c>
      <c r="H4" s="482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1" t="s">
        <v>62</v>
      </c>
      <c r="B6" s="362"/>
      <c r="C6" s="363"/>
      <c r="D6" s="371">
        <f>SUM(D5:D5)</f>
        <v>0</v>
      </c>
      <c r="E6" s="372">
        <f>SUM(E5:E5)</f>
        <v>0</v>
      </c>
      <c r="F6" s="373">
        <v>0</v>
      </c>
      <c r="G6" s="374">
        <f>SUM(G5:G5)</f>
        <v>0</v>
      </c>
      <c r="H6" s="375"/>
    </row>
    <row r="7" spans="1:8">
      <c r="A7" s="382"/>
      <c r="B7" s="111"/>
      <c r="C7" s="36"/>
      <c r="D7" s="383"/>
      <c r="E7" s="38"/>
      <c r="F7" s="132"/>
      <c r="G7" s="384"/>
      <c r="H7" s="385"/>
    </row>
    <row r="8" spans="1:8">
      <c r="A8" s="382"/>
      <c r="B8" s="111"/>
      <c r="C8" s="36"/>
      <c r="D8" s="383"/>
      <c r="E8" s="38"/>
      <c r="F8" s="132"/>
      <c r="G8" s="384"/>
      <c r="H8" s="385"/>
    </row>
    <row r="9" spans="1:8">
      <c r="A9" s="382"/>
      <c r="B9" s="111"/>
      <c r="C9" s="36"/>
      <c r="D9" s="383"/>
      <c r="E9" s="38"/>
      <c r="F9" s="132"/>
      <c r="G9" s="384"/>
      <c r="H9" s="385"/>
    </row>
    <row r="10" spans="1:8">
      <c r="A10" s="382"/>
      <c r="B10" s="111"/>
      <c r="C10" s="36"/>
      <c r="D10" s="383"/>
      <c r="E10" s="38"/>
      <c r="F10" s="132"/>
      <c r="G10" s="384"/>
      <c r="H10" s="385"/>
    </row>
    <row r="11" spans="1:8">
      <c r="A11" s="382"/>
      <c r="B11" s="111"/>
      <c r="C11" s="36"/>
      <c r="D11" s="383"/>
      <c r="E11" s="38"/>
      <c r="F11" s="132"/>
      <c r="G11" s="384"/>
      <c r="H11" s="385"/>
    </row>
    <row r="12" spans="1:8">
      <c r="A12" s="382"/>
      <c r="B12" s="111"/>
      <c r="C12" s="36"/>
      <c r="D12" s="383"/>
      <c r="E12" s="38"/>
      <c r="F12" s="132"/>
      <c r="G12" s="384"/>
      <c r="H12" s="385"/>
    </row>
    <row r="13" spans="1:8">
      <c r="A13" s="382"/>
      <c r="B13" s="111"/>
      <c r="C13" s="36"/>
      <c r="D13" s="383"/>
      <c r="E13" s="38"/>
      <c r="F13" s="132"/>
      <c r="G13" s="384"/>
      <c r="H13" s="385"/>
    </row>
    <row r="14" spans="1:8">
      <c r="A14" s="365" t="s">
        <v>63</v>
      </c>
      <c r="B14" s="366"/>
      <c r="C14" s="367"/>
      <c r="D14" s="368">
        <f>SUM(D7:D13)</f>
        <v>0</v>
      </c>
      <c r="E14" s="369">
        <f>SUM(E7:E13)</f>
        <v>0</v>
      </c>
      <c r="F14" s="368">
        <f>SUM(F7:F13)</f>
        <v>0</v>
      </c>
      <c r="G14" s="369">
        <f>SUM(G7:G13)</f>
        <v>0</v>
      </c>
      <c r="H14" s="370"/>
    </row>
    <row r="15" spans="1:8">
      <c r="A15" s="382"/>
      <c r="B15" s="111"/>
      <c r="C15" s="36"/>
      <c r="D15" s="383"/>
      <c r="E15" s="38"/>
      <c r="F15" s="132"/>
      <c r="G15" s="384"/>
      <c r="H15" s="385"/>
    </row>
    <row r="16" spans="1:8">
      <c r="A16" s="382"/>
      <c r="B16" s="111"/>
      <c r="C16" s="36"/>
      <c r="D16" s="383"/>
      <c r="E16" s="38"/>
      <c r="F16" s="132"/>
      <c r="G16" s="384"/>
      <c r="H16" s="385"/>
    </row>
    <row r="17" spans="1:8">
      <c r="A17" s="382"/>
      <c r="B17" s="111"/>
      <c r="C17" s="36"/>
      <c r="D17" s="383"/>
      <c r="E17" s="38"/>
      <c r="F17" s="132"/>
      <c r="G17" s="384"/>
      <c r="H17" s="385"/>
    </row>
    <row r="18" spans="1:8">
      <c r="A18" s="382"/>
      <c r="B18" s="111"/>
      <c r="C18" s="36"/>
      <c r="D18" s="383"/>
      <c r="E18" s="38"/>
      <c r="F18" s="132"/>
      <c r="G18" s="384"/>
      <c r="H18" s="385"/>
    </row>
    <row r="19" spans="1:8">
      <c r="A19" s="382"/>
      <c r="B19" s="111"/>
      <c r="C19" s="36"/>
      <c r="D19" s="383"/>
      <c r="E19" s="38"/>
      <c r="F19" s="132"/>
      <c r="G19" s="384"/>
      <c r="H19" s="385"/>
    </row>
    <row r="20" spans="1:8">
      <c r="A20" s="382"/>
      <c r="B20" s="111"/>
      <c r="C20" s="36"/>
      <c r="D20" s="383"/>
      <c r="E20" s="38"/>
      <c r="F20" s="132"/>
      <c r="G20" s="384"/>
      <c r="H20" s="385"/>
    </row>
    <row r="21" spans="1:8">
      <c r="A21" s="382"/>
      <c r="B21" s="111"/>
      <c r="C21" s="36"/>
      <c r="D21" s="383"/>
      <c r="E21" s="38"/>
      <c r="F21" s="132"/>
      <c r="G21" s="384"/>
      <c r="H21" s="385"/>
    </row>
    <row r="22" spans="1:8">
      <c r="A22" s="382"/>
      <c r="B22" s="111"/>
      <c r="C22" s="36"/>
      <c r="D22" s="383"/>
      <c r="E22" s="38"/>
      <c r="F22" s="132"/>
      <c r="G22" s="384"/>
      <c r="H22" s="385"/>
    </row>
    <row r="23" spans="1:8" ht="15.75" thickBot="1">
      <c r="A23" s="376" t="s">
        <v>64</v>
      </c>
      <c r="B23" s="377"/>
      <c r="C23" s="378"/>
      <c r="D23" s="379">
        <f>SUM(D15:D22)</f>
        <v>0</v>
      </c>
      <c r="E23" s="380">
        <f>SUM(E15:E22)</f>
        <v>0</v>
      </c>
      <c r="F23" s="379">
        <f>SUM(F15:F22)</f>
        <v>0</v>
      </c>
      <c r="G23" s="380">
        <f>SUM(G15:G22)</f>
        <v>0</v>
      </c>
      <c r="H23" s="381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1425</v>
      </c>
      <c r="B33" s="267" t="s">
        <v>9</v>
      </c>
      <c r="C33" s="36" t="s">
        <v>1426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1427</v>
      </c>
      <c r="B34" s="269" t="s">
        <v>9</v>
      </c>
      <c r="C34" s="36" t="s">
        <v>1449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1450</v>
      </c>
      <c r="B35" s="264" t="s">
        <v>9</v>
      </c>
      <c r="C35" s="36" t="s">
        <v>1477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1450</v>
      </c>
      <c r="B36" s="269" t="s">
        <v>9</v>
      </c>
      <c r="C36" s="36" t="s">
        <v>1476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1479</v>
      </c>
      <c r="B37" s="269" t="s">
        <v>9</v>
      </c>
      <c r="C37" s="36" t="s">
        <v>1494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1495</v>
      </c>
      <c r="B38" s="269" t="s">
        <v>9</v>
      </c>
      <c r="C38" s="36" t="s">
        <v>1521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1522</v>
      </c>
      <c r="B39" s="269" t="s">
        <v>9</v>
      </c>
      <c r="C39" s="36" t="s">
        <v>1538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1539</v>
      </c>
      <c r="B40" s="269" t="s">
        <v>9</v>
      </c>
      <c r="C40" s="36" t="s">
        <v>1562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1569</v>
      </c>
      <c r="B41" s="269" t="s">
        <v>129</v>
      </c>
      <c r="C41" s="36" t="s">
        <v>1596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1585</v>
      </c>
      <c r="B42" s="269" t="s">
        <v>9</v>
      </c>
      <c r="C42" s="36" t="s">
        <v>1595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1611</v>
      </c>
      <c r="B43" s="269" t="s">
        <v>9</v>
      </c>
      <c r="C43" s="36" t="s">
        <v>1612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1" t="s">
        <v>67</v>
      </c>
      <c r="B46" s="362"/>
      <c r="C46" s="363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4" t="s">
        <v>1613</v>
      </c>
      <c r="B47" s="19" t="s">
        <v>9</v>
      </c>
      <c r="C47" s="36" t="s">
        <v>1645</v>
      </c>
      <c r="D47" s="20">
        <v>507</v>
      </c>
      <c r="E47" s="268">
        <v>17782.400000000001</v>
      </c>
      <c r="F47" s="130"/>
      <c r="G47" s="321"/>
      <c r="H47" s="261"/>
    </row>
    <row r="48" spans="1:8">
      <c r="A48" s="364" t="s">
        <v>1625</v>
      </c>
      <c r="B48" s="19" t="s">
        <v>129</v>
      </c>
      <c r="C48" s="36" t="s">
        <v>1646</v>
      </c>
      <c r="D48" s="20">
        <v>208</v>
      </c>
      <c r="E48" s="268">
        <v>7181.3</v>
      </c>
      <c r="F48" s="130"/>
      <c r="G48" s="321"/>
      <c r="H48" s="261"/>
    </row>
    <row r="49" spans="1:8">
      <c r="A49" s="98" t="s">
        <v>1647</v>
      </c>
      <c r="B49" s="269" t="s">
        <v>129</v>
      </c>
      <c r="C49" s="36" t="s">
        <v>1655</v>
      </c>
      <c r="D49" s="19">
        <v>150</v>
      </c>
      <c r="E49" s="39">
        <v>4896.1000000000004</v>
      </c>
      <c r="F49" s="131"/>
      <c r="G49" s="322"/>
      <c r="H49" s="265"/>
    </row>
    <row r="50" spans="1:8">
      <c r="A50" s="98" t="s">
        <v>1656</v>
      </c>
      <c r="B50" s="269" t="s">
        <v>9</v>
      </c>
      <c r="C50" s="36" t="s">
        <v>1663</v>
      </c>
      <c r="D50" s="19">
        <v>235</v>
      </c>
      <c r="E50" s="39">
        <v>6430</v>
      </c>
      <c r="F50" s="131"/>
      <c r="G50" s="322"/>
      <c r="H50" s="265"/>
    </row>
    <row r="51" spans="1:8">
      <c r="A51" s="98"/>
      <c r="B51" s="269"/>
      <c r="C51" s="36"/>
      <c r="D51" s="19"/>
      <c r="E51" s="39"/>
      <c r="F51" s="131"/>
      <c r="G51" s="322"/>
      <c r="H51" s="265"/>
    </row>
    <row r="52" spans="1:8">
      <c r="A52" s="98"/>
      <c r="B52" s="269"/>
      <c r="C52" s="36"/>
      <c r="D52" s="19"/>
      <c r="E52" s="39"/>
      <c r="F52" s="131"/>
      <c r="G52" s="322"/>
      <c r="H52" s="265"/>
    </row>
    <row r="53" spans="1:8">
      <c r="A53" s="98"/>
      <c r="B53" s="269"/>
      <c r="C53" s="36"/>
      <c r="D53" s="19"/>
      <c r="E53" s="39"/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>
      <c r="A57" s="98"/>
      <c r="B57" s="269"/>
      <c r="C57" s="36"/>
      <c r="D57" s="19"/>
      <c r="E57" s="39"/>
      <c r="F57" s="131"/>
      <c r="G57" s="322"/>
      <c r="H57" s="265"/>
    </row>
    <row r="58" spans="1:8">
      <c r="A58" s="98"/>
      <c r="B58" s="269"/>
      <c r="C58" s="36"/>
      <c r="D58" s="19"/>
      <c r="E58" s="39"/>
      <c r="F58" s="131"/>
      <c r="G58" s="322"/>
      <c r="H58" s="265"/>
    </row>
    <row r="59" spans="1:8">
      <c r="A59" s="98"/>
      <c r="B59" s="269"/>
      <c r="C59" s="36"/>
      <c r="D59" s="19"/>
      <c r="E59" s="39"/>
      <c r="F59" s="131"/>
      <c r="G59" s="322"/>
      <c r="H59" s="265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1"/>
      <c r="G61" s="322"/>
      <c r="H61" s="265"/>
    </row>
    <row r="62" spans="1:8">
      <c r="A62" s="98"/>
      <c r="B62" s="269"/>
      <c r="C62" s="36"/>
      <c r="D62" s="19"/>
      <c r="E62" s="39"/>
      <c r="F62" s="131"/>
      <c r="G62" s="323"/>
      <c r="H62" s="265"/>
    </row>
    <row r="63" spans="1:8">
      <c r="A63" s="98"/>
      <c r="B63" s="269"/>
      <c r="C63" s="36"/>
      <c r="D63" s="19"/>
      <c r="E63" s="39"/>
      <c r="F63" s="131"/>
      <c r="G63" s="322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98"/>
      <c r="B65" s="269"/>
      <c r="C65" s="36"/>
      <c r="D65" s="19"/>
      <c r="E65" s="39"/>
      <c r="F65" s="131"/>
      <c r="G65" s="322"/>
      <c r="H65" s="265"/>
    </row>
    <row r="66" spans="1:8" ht="15.75" thickBot="1">
      <c r="A66" s="98"/>
      <c r="B66" s="269"/>
      <c r="C66" s="36"/>
      <c r="D66" s="19"/>
      <c r="E66" s="39"/>
      <c r="F66" s="131"/>
      <c r="G66" s="322"/>
      <c r="H66" s="265"/>
    </row>
    <row r="67" spans="1:8" ht="15.75" thickBot="1">
      <c r="A67" s="255" t="s">
        <v>66</v>
      </c>
      <c r="B67" s="256"/>
      <c r="C67" s="257"/>
      <c r="D67" s="258">
        <f>SUM(D47:D66)</f>
        <v>1100</v>
      </c>
      <c r="E67" s="259">
        <f>SUM(E47:E66)</f>
        <v>36289.800000000003</v>
      </c>
      <c r="F67" s="258">
        <f>SUM(F47:F66)</f>
        <v>0</v>
      </c>
      <c r="G67" s="259">
        <f>SUM(G47:G66)</f>
        <v>0</v>
      </c>
      <c r="H67" s="260"/>
    </row>
    <row r="68" spans="1:8">
      <c r="A68" s="266"/>
      <c r="B68" s="267"/>
      <c r="C68" s="36"/>
      <c r="D68" s="20"/>
      <c r="E68" s="268"/>
      <c r="F68" s="130"/>
      <c r="G68" s="321"/>
      <c r="H68" s="261"/>
    </row>
    <row r="69" spans="1:8">
      <c r="A69" s="98"/>
      <c r="B69" s="269"/>
      <c r="C69" s="36"/>
      <c r="D69" s="19"/>
      <c r="E69" s="39"/>
      <c r="F69" s="131"/>
      <c r="G69" s="322"/>
      <c r="H69" s="265"/>
    </row>
    <row r="70" spans="1:8">
      <c r="A70" s="98"/>
      <c r="B70" s="269"/>
      <c r="C70" s="36"/>
      <c r="D70" s="19"/>
      <c r="E70" s="39"/>
      <c r="F70" s="134"/>
      <c r="G70" s="323"/>
      <c r="H70" s="265"/>
    </row>
    <row r="71" spans="1:8">
      <c r="A71" s="98"/>
      <c r="B71" s="269"/>
      <c r="C71" s="36"/>
      <c r="D71" s="19"/>
      <c r="E71" s="39"/>
      <c r="F71" s="131"/>
      <c r="G71" s="322"/>
      <c r="H71" s="265"/>
    </row>
    <row r="72" spans="1:8">
      <c r="A72" s="98"/>
      <c r="B72" s="269"/>
      <c r="C72" s="36"/>
      <c r="D72" s="19"/>
      <c r="E72" s="39"/>
      <c r="F72" s="131"/>
      <c r="G72" s="323"/>
      <c r="H72" s="265"/>
    </row>
    <row r="73" spans="1:8">
      <c r="A73" s="98"/>
      <c r="B73" s="269"/>
      <c r="C73" s="36"/>
      <c r="D73" s="19"/>
      <c r="E73" s="39"/>
      <c r="F73" s="131"/>
      <c r="G73" s="322"/>
      <c r="H73" s="265"/>
    </row>
    <row r="74" spans="1:8">
      <c r="A74" s="271"/>
      <c r="B74" s="272"/>
      <c r="C74" s="36"/>
      <c r="D74" s="273"/>
      <c r="E74" s="274"/>
      <c r="F74" s="275"/>
      <c r="G74" s="324"/>
      <c r="H74" s="263"/>
    </row>
    <row r="75" spans="1:8">
      <c r="A75" s="271"/>
      <c r="B75" s="272"/>
      <c r="C75" s="36"/>
      <c r="D75" s="273"/>
      <c r="E75" s="274"/>
      <c r="F75" s="275"/>
      <c r="G75" s="324"/>
      <c r="H75" s="263"/>
    </row>
    <row r="76" spans="1:8">
      <c r="A76" s="271"/>
      <c r="B76" s="272"/>
      <c r="C76" s="36"/>
      <c r="D76" s="273"/>
      <c r="E76" s="274"/>
      <c r="F76" s="275"/>
      <c r="G76" s="324"/>
      <c r="H76" s="263"/>
    </row>
    <row r="77" spans="1:8">
      <c r="A77" s="271"/>
      <c r="B77" s="272"/>
      <c r="C77" s="262"/>
      <c r="D77" s="273"/>
      <c r="E77" s="274"/>
      <c r="F77" s="275"/>
      <c r="G77" s="324"/>
      <c r="H77" s="263"/>
    </row>
    <row r="78" spans="1:8">
      <c r="A78" s="477"/>
      <c r="B78" s="272"/>
      <c r="C78" s="479"/>
      <c r="D78" s="273"/>
      <c r="E78" s="274"/>
      <c r="F78" s="275"/>
      <c r="G78" s="324"/>
      <c r="H78" s="263"/>
    </row>
    <row r="79" spans="1:8">
      <c r="A79" s="478"/>
      <c r="B79" s="272"/>
      <c r="C79" s="480"/>
      <c r="D79" s="273"/>
      <c r="E79" s="274"/>
      <c r="F79" s="275"/>
      <c r="G79" s="324"/>
      <c r="H79" s="263"/>
    </row>
    <row r="80" spans="1:8">
      <c r="A80" s="271"/>
      <c r="B80" s="272"/>
      <c r="C80" s="262"/>
      <c r="D80" s="273"/>
      <c r="E80" s="274"/>
      <c r="F80" s="275"/>
      <c r="G80" s="324"/>
      <c r="H80" s="263"/>
    </row>
    <row r="81" spans="1:8" ht="15.75" thickBot="1">
      <c r="A81" s="271"/>
      <c r="B81" s="272"/>
      <c r="C81" s="262"/>
      <c r="D81" s="273"/>
      <c r="E81" s="274"/>
      <c r="F81" s="275"/>
      <c r="G81" s="324"/>
      <c r="H81" s="263"/>
    </row>
    <row r="82" spans="1:8" ht="15.75" thickBot="1">
      <c r="A82" s="255" t="s">
        <v>68</v>
      </c>
      <c r="B82" s="256"/>
      <c r="C82" s="257"/>
      <c r="D82" s="258">
        <f>SUM(D68:D81)</f>
        <v>0</v>
      </c>
      <c r="E82" s="276">
        <f>SUM(E68:E81)</f>
        <v>0</v>
      </c>
      <c r="F82" s="258">
        <f>SUM(F68:F81)</f>
        <v>0</v>
      </c>
      <c r="G82" s="259">
        <f>SUM(G68:G81)</f>
        <v>0</v>
      </c>
      <c r="H82" s="260"/>
    </row>
    <row r="83" spans="1:8">
      <c r="A83" s="266"/>
      <c r="B83" s="267"/>
      <c r="C83" s="262"/>
      <c r="D83" s="20"/>
      <c r="E83" s="268"/>
      <c r="F83" s="130"/>
      <c r="G83" s="321"/>
      <c r="H83" s="261"/>
    </row>
    <row r="84" spans="1:8" ht="14.25" customHeight="1">
      <c r="A84" s="98"/>
      <c r="B84" s="269"/>
      <c r="C84" s="262"/>
      <c r="D84" s="19"/>
      <c r="E84" s="39"/>
      <c r="F84" s="134"/>
      <c r="G84" s="323"/>
      <c r="H84" s="265"/>
    </row>
    <row r="85" spans="1:8">
      <c r="A85" s="98"/>
      <c r="B85" s="269"/>
      <c r="C85" s="36"/>
      <c r="D85" s="19"/>
      <c r="E85" s="39"/>
      <c r="F85" s="131"/>
      <c r="G85" s="322"/>
      <c r="H85" s="265"/>
    </row>
    <row r="86" spans="1:8">
      <c r="A86" s="98"/>
      <c r="B86" s="269"/>
      <c r="C86" s="36"/>
      <c r="D86" s="19"/>
      <c r="E86" s="39"/>
      <c r="F86" s="131"/>
      <c r="G86" s="322"/>
      <c r="H86" s="265"/>
    </row>
    <row r="87" spans="1:8">
      <c r="A87" s="98"/>
      <c r="B87" s="269"/>
      <c r="C87" s="36"/>
      <c r="D87" s="19"/>
      <c r="E87" s="301"/>
      <c r="F87" s="131"/>
      <c r="G87" s="322"/>
      <c r="H87" s="265"/>
    </row>
    <row r="88" spans="1:8">
      <c r="A88" s="98"/>
      <c r="B88" s="269"/>
      <c r="C88" s="36"/>
      <c r="D88" s="19"/>
      <c r="E88" s="39"/>
      <c r="F88" s="131"/>
      <c r="G88" s="322"/>
      <c r="H88" s="265"/>
    </row>
    <row r="89" spans="1:8">
      <c r="A89" s="98"/>
      <c r="B89" s="269"/>
      <c r="C89" s="36"/>
      <c r="D89" s="19"/>
      <c r="E89" s="39"/>
      <c r="F89" s="131"/>
      <c r="G89" s="323"/>
      <c r="H89" s="265"/>
    </row>
    <row r="90" spans="1:8">
      <c r="A90" s="98"/>
      <c r="B90" s="269"/>
      <c r="C90" s="36"/>
      <c r="D90" s="19"/>
      <c r="E90" s="39"/>
      <c r="F90" s="131"/>
      <c r="G90" s="322"/>
      <c r="H90" s="265"/>
    </row>
    <row r="91" spans="1:8" ht="15.75" thickBot="1">
      <c r="A91" s="98"/>
      <c r="B91" s="269"/>
      <c r="C91" s="36"/>
      <c r="D91" s="19"/>
      <c r="E91" s="39"/>
      <c r="F91" s="131"/>
      <c r="G91" s="322"/>
      <c r="H91" s="265"/>
    </row>
    <row r="92" spans="1:8" ht="15.75" thickBot="1">
      <c r="A92" s="255" t="s">
        <v>69</v>
      </c>
      <c r="B92" s="256"/>
      <c r="C92" s="257"/>
      <c r="D92" s="258">
        <f>SUM(D83:D91)</f>
        <v>0</v>
      </c>
      <c r="E92" s="276">
        <f>SUM(E83:E91)</f>
        <v>0</v>
      </c>
      <c r="F92" s="258">
        <f>SUM(F83:F91)</f>
        <v>0</v>
      </c>
      <c r="G92" s="259">
        <f>SUM(G83:G91)</f>
        <v>0</v>
      </c>
      <c r="H92" s="260"/>
    </row>
    <row r="93" spans="1:8">
      <c r="A93" s="266"/>
      <c r="B93" s="267"/>
      <c r="C93" s="37"/>
      <c r="D93" s="20"/>
      <c r="E93" s="268"/>
      <c r="F93" s="277"/>
      <c r="G93" s="325"/>
      <c r="H93" s="261"/>
    </row>
    <row r="94" spans="1:8">
      <c r="A94" s="98"/>
      <c r="B94" s="269"/>
      <c r="C94" s="37"/>
      <c r="D94" s="19"/>
      <c r="E94" s="39"/>
      <c r="F94" s="131"/>
      <c r="G94" s="323"/>
      <c r="H94" s="265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>
      <c r="A99" s="98"/>
      <c r="B99" s="269"/>
      <c r="C99" s="37"/>
      <c r="D99" s="19"/>
      <c r="E99" s="39"/>
      <c r="F99" s="131"/>
      <c r="G99" s="322"/>
      <c r="H99" s="265"/>
    </row>
    <row r="100" spans="1:8">
      <c r="A100" s="98"/>
      <c r="B100" s="269"/>
      <c r="C100" s="37"/>
      <c r="D100" s="19"/>
      <c r="E100" s="39"/>
      <c r="F100" s="131"/>
      <c r="G100" s="322"/>
      <c r="H100" s="265"/>
    </row>
    <row r="101" spans="1:8" ht="15.75" thickBot="1">
      <c r="A101" s="98"/>
      <c r="B101" s="269"/>
      <c r="C101" s="37"/>
      <c r="D101" s="19"/>
      <c r="E101" s="39"/>
      <c r="F101" s="131"/>
      <c r="G101" s="322"/>
      <c r="H101" s="265"/>
    </row>
    <row r="102" spans="1:8" ht="15.75" thickBot="1">
      <c r="A102" s="255" t="s">
        <v>70</v>
      </c>
      <c r="B102" s="256"/>
      <c r="C102" s="257"/>
      <c r="D102" s="258">
        <f>SUM(D93:D101)</f>
        <v>0</v>
      </c>
      <c r="E102" s="276">
        <f>SUM(E93:E101)</f>
        <v>0</v>
      </c>
      <c r="F102" s="258">
        <f>SUM(F93:F101)</f>
        <v>0</v>
      </c>
      <c r="G102" s="259">
        <f>SUM(G93:G101)</f>
        <v>0</v>
      </c>
      <c r="H102" s="260"/>
    </row>
    <row r="103" spans="1:8">
      <c r="A103" s="266"/>
      <c r="B103" s="267"/>
      <c r="C103" s="37"/>
      <c r="D103" s="20"/>
      <c r="E103" s="268"/>
      <c r="F103" s="130"/>
      <c r="G103" s="321"/>
      <c r="H103" s="261"/>
    </row>
    <row r="104" spans="1:8">
      <c r="A104" s="98"/>
      <c r="B104" s="269"/>
      <c r="C104" s="37"/>
      <c r="D104" s="19"/>
      <c r="E104" s="39"/>
      <c r="F104" s="131"/>
      <c r="G104" s="322"/>
      <c r="H104" s="265"/>
    </row>
    <row r="105" spans="1:8">
      <c r="A105" s="98"/>
      <c r="B105" s="269"/>
      <c r="C105" s="37"/>
      <c r="D105" s="19"/>
      <c r="E105" s="39"/>
      <c r="F105" s="131"/>
      <c r="G105" s="322"/>
      <c r="H105" s="265"/>
    </row>
    <row r="106" spans="1:8">
      <c r="A106" s="98"/>
      <c r="B106" s="269"/>
      <c r="C106" s="37"/>
      <c r="D106" s="19"/>
      <c r="E106" s="39"/>
      <c r="F106" s="131"/>
      <c r="G106" s="322"/>
      <c r="H106" s="265"/>
    </row>
    <row r="107" spans="1:8">
      <c r="A107" s="98"/>
      <c r="B107" s="269"/>
      <c r="C107" s="37"/>
      <c r="D107" s="19"/>
      <c r="E107" s="39"/>
      <c r="F107" s="131"/>
      <c r="G107" s="322"/>
      <c r="H107" s="265"/>
    </row>
    <row r="108" spans="1:8" ht="15.75" thickBot="1">
      <c r="A108" s="98"/>
      <c r="B108" s="269"/>
      <c r="C108" s="37"/>
      <c r="D108" s="19"/>
      <c r="E108" s="39"/>
      <c r="F108" s="131"/>
      <c r="G108" s="322"/>
      <c r="H108" s="265"/>
    </row>
    <row r="109" spans="1:8" ht="15.75" thickBot="1">
      <c r="A109" s="255" t="s">
        <v>73</v>
      </c>
      <c r="B109" s="256"/>
      <c r="C109" s="257"/>
      <c r="D109" s="278">
        <f>SUM(D103:D108)</f>
        <v>0</v>
      </c>
      <c r="E109" s="259">
        <f>SUM(E103:E108)</f>
        <v>0</v>
      </c>
      <c r="F109" s="278">
        <f>SUM(F103:F108)</f>
        <v>0</v>
      </c>
      <c r="G109" s="259">
        <f>SUM(G103:G108)</f>
        <v>0</v>
      </c>
      <c r="H109" s="260"/>
    </row>
    <row r="110" spans="1:8">
      <c r="A110" s="279"/>
      <c r="B110" s="280"/>
      <c r="C110" s="37"/>
      <c r="D110" s="281"/>
      <c r="E110" s="282"/>
      <c r="F110" s="283"/>
      <c r="G110" s="326"/>
      <c r="H110" s="261"/>
    </row>
    <row r="111" spans="1:8">
      <c r="A111" s="99"/>
      <c r="B111" s="284"/>
      <c r="C111" s="37"/>
      <c r="D111" s="41"/>
      <c r="E111" s="40"/>
      <c r="F111" s="133"/>
      <c r="G111" s="327"/>
      <c r="H111" s="265"/>
    </row>
    <row r="112" spans="1:8">
      <c r="A112" s="99"/>
      <c r="B112" s="284"/>
      <c r="C112" s="37"/>
      <c r="D112" s="41"/>
      <c r="E112" s="40"/>
      <c r="F112" s="133"/>
      <c r="G112" s="327"/>
      <c r="H112" s="265"/>
    </row>
    <row r="113" spans="1:8">
      <c r="A113" s="99"/>
      <c r="B113" s="284"/>
      <c r="C113" s="37"/>
      <c r="D113" s="41"/>
      <c r="E113" s="40"/>
      <c r="F113" s="133"/>
      <c r="G113" s="327"/>
      <c r="H113" s="265"/>
    </row>
    <row r="114" spans="1:8">
      <c r="A114" s="99"/>
      <c r="B114" s="284"/>
      <c r="C114" s="37"/>
      <c r="D114" s="41"/>
      <c r="E114" s="40"/>
      <c r="F114" s="133"/>
      <c r="G114" s="327"/>
      <c r="H114" s="265"/>
    </row>
    <row r="115" spans="1:8">
      <c r="A115" s="99"/>
      <c r="B115" s="284"/>
      <c r="C115" s="37"/>
      <c r="D115" s="41"/>
      <c r="E115" s="40"/>
      <c r="F115" s="133"/>
      <c r="G115" s="327"/>
      <c r="H115" s="265"/>
    </row>
    <row r="116" spans="1:8">
      <c r="A116" s="99"/>
      <c r="B116" s="284"/>
      <c r="C116" s="37"/>
      <c r="D116" s="41"/>
      <c r="E116" s="40"/>
      <c r="F116" s="133"/>
      <c r="G116" s="327"/>
      <c r="H116" s="265"/>
    </row>
    <row r="117" spans="1:8">
      <c r="A117" s="99"/>
      <c r="B117" s="284"/>
      <c r="C117" s="37"/>
      <c r="D117" s="41"/>
      <c r="E117" s="40"/>
      <c r="F117" s="133"/>
      <c r="G117" s="327"/>
      <c r="H117" s="265"/>
    </row>
    <row r="118" spans="1:8" ht="15.75" thickBot="1">
      <c r="A118" s="99"/>
      <c r="B118" s="284"/>
      <c r="C118" s="37"/>
      <c r="D118" s="41"/>
      <c r="E118" s="40"/>
      <c r="F118" s="133"/>
      <c r="G118" s="327"/>
      <c r="H118" s="265"/>
    </row>
    <row r="119" spans="1:8" ht="15.75" thickBot="1">
      <c r="A119" s="255" t="s">
        <v>74</v>
      </c>
      <c r="B119" s="256"/>
      <c r="C119" s="257"/>
      <c r="D119" s="278">
        <f>SUM(D110:D118)</f>
        <v>0</v>
      </c>
      <c r="E119" s="276">
        <f>SUM(E110:E118)</f>
        <v>0</v>
      </c>
      <c r="F119" s="278">
        <f>SUM(F110:F118)</f>
        <v>0</v>
      </c>
      <c r="G119" s="259">
        <f>SUM(G110:G118)</f>
        <v>0</v>
      </c>
      <c r="H119" s="260"/>
    </row>
    <row r="120" spans="1:8">
      <c r="A120" s="279"/>
      <c r="B120" s="280"/>
      <c r="C120" s="37"/>
      <c r="D120" s="281"/>
      <c r="E120" s="282"/>
      <c r="F120" s="283"/>
      <c r="G120" s="326"/>
      <c r="H120" s="261"/>
    </row>
    <row r="121" spans="1:8">
      <c r="A121" s="279"/>
      <c r="B121" s="280"/>
      <c r="C121" s="37"/>
      <c r="D121" s="281"/>
      <c r="E121" s="282"/>
      <c r="F121" s="283"/>
      <c r="G121" s="326"/>
      <c r="H121" s="261"/>
    </row>
    <row r="122" spans="1:8">
      <c r="A122" s="279"/>
      <c r="B122" s="280"/>
      <c r="C122" s="37"/>
      <c r="D122" s="281"/>
      <c r="E122" s="282"/>
      <c r="F122" s="283"/>
      <c r="G122" s="326"/>
      <c r="H122" s="261"/>
    </row>
    <row r="123" spans="1:8">
      <c r="A123" s="279"/>
      <c r="B123" s="280"/>
      <c r="C123" s="37"/>
      <c r="D123" s="281"/>
      <c r="E123" s="282"/>
      <c r="F123" s="283"/>
      <c r="G123" s="326"/>
      <c r="H123" s="261"/>
    </row>
    <row r="124" spans="1:8">
      <c r="A124" s="279"/>
      <c r="B124" s="280"/>
      <c r="C124" s="37"/>
      <c r="D124" s="281"/>
      <c r="E124" s="282"/>
      <c r="F124" s="283"/>
      <c r="G124" s="326"/>
      <c r="H124" s="261"/>
    </row>
    <row r="125" spans="1:8">
      <c r="A125" s="279"/>
      <c r="B125" s="280"/>
      <c r="C125" s="37"/>
      <c r="D125" s="281"/>
      <c r="E125" s="282"/>
      <c r="F125" s="283"/>
      <c r="G125" s="326"/>
      <c r="H125" s="261"/>
    </row>
    <row r="126" spans="1:8">
      <c r="A126" s="279"/>
      <c r="B126" s="280"/>
      <c r="C126" s="37"/>
      <c r="D126" s="281"/>
      <c r="E126" s="282"/>
      <c r="F126" s="283"/>
      <c r="G126" s="326"/>
      <c r="H126" s="261"/>
    </row>
    <row r="127" spans="1:8">
      <c r="A127" s="279"/>
      <c r="B127" s="280"/>
      <c r="C127" s="37"/>
      <c r="D127" s="281"/>
      <c r="E127" s="282"/>
      <c r="F127" s="283"/>
      <c r="G127" s="326"/>
      <c r="H127" s="261"/>
    </row>
    <row r="128" spans="1:8">
      <c r="A128" s="279"/>
      <c r="B128" s="280"/>
      <c r="C128" s="37"/>
      <c r="D128" s="281"/>
      <c r="E128" s="282"/>
      <c r="F128" s="283"/>
      <c r="G128" s="326"/>
      <c r="H128" s="261"/>
    </row>
    <row r="129" spans="1:10" ht="15.75" thickBot="1">
      <c r="A129" s="99"/>
      <c r="B129" s="284"/>
      <c r="C129" s="37"/>
      <c r="D129" s="41"/>
      <c r="E129" s="40"/>
      <c r="F129" s="133"/>
      <c r="G129" s="327"/>
      <c r="H129" s="265"/>
    </row>
    <row r="130" spans="1:10" ht="15.75" thickBot="1">
      <c r="A130" s="255" t="s">
        <v>76</v>
      </c>
      <c r="B130" s="256"/>
      <c r="C130" s="257"/>
      <c r="D130" s="278">
        <f>SUM(D120:D129)</f>
        <v>0</v>
      </c>
      <c r="E130" s="276">
        <f>SUM(E120:E129)</f>
        <v>0</v>
      </c>
      <c r="F130" s="278">
        <f>SUM(F120:F129)</f>
        <v>0</v>
      </c>
      <c r="G130" s="259">
        <f>SUM(G120:G129)</f>
        <v>0</v>
      </c>
      <c r="H130" s="260"/>
    </row>
    <row r="131" spans="1:10" ht="15.75" thickBot="1">
      <c r="A131" s="285" t="s">
        <v>520</v>
      </c>
      <c r="B131" s="286"/>
      <c r="C131" s="287"/>
      <c r="D131" s="288">
        <f>D6+D14+D23+D32+D46+D67+D82+D92+D102+D109+D119+D130</f>
        <v>5419</v>
      </c>
      <c r="E131" s="289">
        <f>E6+E14+E23+E32+E46+E67+E82+E92+E102+E109+E119+E130</f>
        <v>183556.3</v>
      </c>
      <c r="F131" s="290">
        <f>F6+F14+F23+F32+F46+F67+F82+F92+F102+F109+F119+F130</f>
        <v>0</v>
      </c>
      <c r="G131" s="291">
        <f>G6+G14+G23+G32+G46+G67+G82+G92+G102+G109+G119+G130</f>
        <v>0</v>
      </c>
      <c r="H131" s="292"/>
    </row>
    <row r="132" spans="1:10">
      <c r="A132" s="100" t="s">
        <v>59</v>
      </c>
      <c r="B132" s="42"/>
      <c r="C132" s="42"/>
      <c r="D132" s="43">
        <f>'VARGIN TEA AC-2020-21'!G1487</f>
        <v>192502.89999999997</v>
      </c>
      <c r="E132" s="135"/>
      <c r="F132" s="101"/>
    </row>
    <row r="133" spans="1:10" ht="15.75" thickBot="1">
      <c r="A133" s="102" t="s">
        <v>61</v>
      </c>
      <c r="B133" s="103"/>
      <c r="C133" s="103"/>
      <c r="D133" s="104">
        <f>E131-D132</f>
        <v>-8946.5999999999767</v>
      </c>
      <c r="E133" s="136"/>
      <c r="F133" s="105"/>
      <c r="J133" s="293"/>
    </row>
    <row r="135" spans="1:10">
      <c r="D135" s="44"/>
      <c r="E135" s="137"/>
    </row>
    <row r="136" spans="1:10">
      <c r="D136" s="44"/>
      <c r="E136" s="137"/>
    </row>
    <row r="137" spans="1:10">
      <c r="D137" s="44"/>
      <c r="E137" s="137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8"/>
  <sheetViews>
    <sheetView zoomScaleNormal="100" workbookViewId="0">
      <pane ySplit="3" topLeftCell="A14" activePane="bottomLeft" state="frozen"/>
      <selection pane="bottomLeft" activeCell="S25" sqref="S25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494" t="s">
        <v>494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139"/>
    </row>
    <row r="2" spans="1:20" s="189" customFormat="1" ht="15.75" customHeight="1">
      <c r="A2" s="495" t="s">
        <v>507</v>
      </c>
      <c r="B2" s="497" t="s">
        <v>486</v>
      </c>
      <c r="C2" s="497"/>
      <c r="D2" s="497"/>
      <c r="E2" s="498"/>
      <c r="F2" s="499" t="s">
        <v>487</v>
      </c>
      <c r="G2" s="500"/>
      <c r="H2" s="500"/>
      <c r="I2" s="500"/>
      <c r="J2" s="501" t="s">
        <v>488</v>
      </c>
      <c r="K2" s="502"/>
      <c r="L2" s="502"/>
      <c r="M2" s="503"/>
      <c r="N2" s="504" t="s">
        <v>489</v>
      </c>
      <c r="O2" s="505"/>
      <c r="P2" s="505"/>
      <c r="Q2" s="506"/>
    </row>
    <row r="3" spans="1:20" s="206" customFormat="1" ht="16.5" thickBot="1">
      <c r="A3" s="496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60" t="s">
        <v>1383</v>
      </c>
      <c r="B4" s="398" t="s">
        <v>1382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60" t="s">
        <v>1386</v>
      </c>
      <c r="B5" s="398" t="s">
        <v>1384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60" t="s">
        <v>1387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401" t="s">
        <v>1382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60" t="s">
        <v>1388</v>
      </c>
      <c r="B7" s="242"/>
      <c r="C7" s="232"/>
      <c r="D7" s="243"/>
      <c r="E7" s="237"/>
      <c r="F7" s="402" t="s">
        <v>1382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60" t="s">
        <v>1391</v>
      </c>
      <c r="B8" s="398" t="s">
        <v>1389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60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3">
        <f>SUM(Q6:Q9)</f>
        <v>142.5</v>
      </c>
      <c r="R10"/>
      <c r="S10"/>
    </row>
    <row r="11" spans="1:20" ht="15.75">
      <c r="A11" s="360" t="s">
        <v>1392</v>
      </c>
      <c r="B11" s="398"/>
      <c r="C11" s="232"/>
      <c r="D11" s="243"/>
      <c r="E11" s="237"/>
      <c r="F11" s="240"/>
      <c r="G11" s="232"/>
      <c r="H11" s="233"/>
      <c r="I11" s="237"/>
      <c r="J11" s="402" t="s">
        <v>1382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60" t="s">
        <v>1394</v>
      </c>
      <c r="B12" s="398" t="s">
        <v>1393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1408</v>
      </c>
      <c r="T12" s="293">
        <f>326076.1</f>
        <v>326076.09999999998</v>
      </c>
    </row>
    <row r="13" spans="1:20" ht="15.75">
      <c r="A13" s="360"/>
      <c r="B13" s="242"/>
      <c r="C13" s="232"/>
      <c r="D13" s="243"/>
      <c r="E13" s="237"/>
      <c r="F13" s="402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1409</v>
      </c>
      <c r="T13" s="293">
        <f>'VARGIN TEA AC-2020-21'!G1481</f>
        <v>229103.09999999919</v>
      </c>
    </row>
    <row r="14" spans="1:20">
      <c r="A14" s="178" t="s">
        <v>496</v>
      </c>
      <c r="B14" s="177"/>
      <c r="C14" s="151">
        <f>SUM(C11:C13)</f>
        <v>1065</v>
      </c>
      <c r="D14" s="404">
        <f>SUM(D11:D13)</f>
        <v>35224</v>
      </c>
      <c r="E14" s="405">
        <f>SUM(E11:E13)</f>
        <v>140.9</v>
      </c>
      <c r="F14" s="168"/>
      <c r="G14" s="151">
        <f>SUM(G11:G13)</f>
        <v>0</v>
      </c>
      <c r="H14" s="404">
        <f>SUM(H11:H13)</f>
        <v>0</v>
      </c>
      <c r="I14" s="404">
        <f>SUM(I11:I13)</f>
        <v>0</v>
      </c>
      <c r="J14" s="150"/>
      <c r="K14" s="151">
        <f>SUM(K11:K13)</f>
        <v>498</v>
      </c>
      <c r="L14" s="404">
        <f>SUM(L11:L13)</f>
        <v>16000.7</v>
      </c>
      <c r="M14" s="404">
        <f>SUM(M11:M13)</f>
        <v>64.002799999999993</v>
      </c>
      <c r="N14" s="168"/>
      <c r="O14" s="151">
        <f>SUM(O11:O13)</f>
        <v>0</v>
      </c>
      <c r="P14" s="404">
        <f>SUM(P11:P13)</f>
        <v>0</v>
      </c>
      <c r="Q14" s="403">
        <f>SUM(Q11:Q13)</f>
        <v>0</v>
      </c>
      <c r="S14" t="s">
        <v>1410</v>
      </c>
      <c r="T14" s="293">
        <f>D20+D24+D26+H22+P19+P23+P25+P29</f>
        <v>276709.5</v>
      </c>
    </row>
    <row r="15" spans="1:20" ht="15.75">
      <c r="A15" s="294" t="s">
        <v>1395</v>
      </c>
      <c r="B15" s="402"/>
      <c r="C15" s="412"/>
      <c r="D15" s="421"/>
      <c r="E15" s="422"/>
      <c r="F15" s="413"/>
      <c r="G15" s="414"/>
      <c r="H15" s="421"/>
      <c r="I15" s="422"/>
      <c r="J15" s="242"/>
      <c r="K15" s="414"/>
      <c r="L15" s="421"/>
      <c r="M15" s="422"/>
      <c r="N15" s="415" t="s">
        <v>1384</v>
      </c>
      <c r="O15" s="414">
        <v>1076</v>
      </c>
      <c r="P15" s="421">
        <v>35320</v>
      </c>
      <c r="Q15" s="423">
        <v>141.28</v>
      </c>
      <c r="T15" s="293"/>
    </row>
    <row r="16" spans="1:20" ht="15.75">
      <c r="A16" s="294" t="s">
        <v>1397</v>
      </c>
      <c r="B16" s="402" t="s">
        <v>1396</v>
      </c>
      <c r="C16" s="414">
        <v>1087</v>
      </c>
      <c r="D16" s="421">
        <v>37289.5</v>
      </c>
      <c r="E16" s="422">
        <v>149.15799999999999</v>
      </c>
      <c r="F16" s="415"/>
      <c r="G16" s="412"/>
      <c r="H16" s="421"/>
      <c r="I16" s="422"/>
      <c r="J16" s="242"/>
      <c r="K16" s="414"/>
      <c r="L16" s="421"/>
      <c r="M16" s="422"/>
      <c r="N16" s="415"/>
      <c r="O16" s="412"/>
      <c r="P16" s="414"/>
      <c r="Q16" s="423"/>
    </row>
    <row r="17" spans="1:20" ht="15.75">
      <c r="A17" s="230" t="s">
        <v>1399</v>
      </c>
      <c r="B17" s="416"/>
      <c r="C17" s="417"/>
      <c r="D17" s="419"/>
      <c r="E17" s="424"/>
      <c r="F17" s="418"/>
      <c r="G17" s="419"/>
      <c r="H17" s="425"/>
      <c r="I17" s="426"/>
      <c r="J17" s="420" t="s">
        <v>1384</v>
      </c>
      <c r="K17" s="417">
        <v>540</v>
      </c>
      <c r="L17" s="425">
        <v>18585</v>
      </c>
      <c r="M17" s="426">
        <v>74.34</v>
      </c>
      <c r="N17" s="415"/>
      <c r="O17" s="412"/>
      <c r="P17" s="414"/>
      <c r="Q17" s="427"/>
    </row>
    <row r="18" spans="1:20" ht="15.75">
      <c r="A18" s="230" t="s">
        <v>1400</v>
      </c>
      <c r="B18" s="416" t="s">
        <v>1398</v>
      </c>
      <c r="C18" s="417">
        <v>1080</v>
      </c>
      <c r="D18" s="419">
        <v>37533.699999999997</v>
      </c>
      <c r="E18" s="424">
        <v>150.13</v>
      </c>
      <c r="F18" s="418"/>
      <c r="G18" s="419"/>
      <c r="H18" s="425"/>
      <c r="I18" s="426"/>
      <c r="J18" s="420"/>
      <c r="K18" s="417"/>
      <c r="L18" s="425"/>
      <c r="M18" s="426"/>
      <c r="N18" s="415"/>
      <c r="O18" s="412"/>
      <c r="P18" s="414"/>
      <c r="Q18" s="427"/>
      <c r="S18" t="s">
        <v>1411</v>
      </c>
      <c r="T18" s="293">
        <f>T13+T14-T12</f>
        <v>179736.49999999919</v>
      </c>
    </row>
    <row r="19" spans="1:20" ht="15.75">
      <c r="A19" s="230"/>
      <c r="B19" s="416"/>
      <c r="C19" s="417"/>
      <c r="D19" s="419"/>
      <c r="E19" s="424"/>
      <c r="F19" s="418"/>
      <c r="G19" s="419"/>
      <c r="H19" s="425"/>
      <c r="I19" s="426"/>
      <c r="J19" s="420"/>
      <c r="K19" s="417"/>
      <c r="L19" s="425"/>
      <c r="M19" s="426"/>
      <c r="N19" s="415" t="s">
        <v>1389</v>
      </c>
      <c r="O19" s="412">
        <v>1062</v>
      </c>
      <c r="P19" s="414">
        <f>35881-28</f>
        <v>35853</v>
      </c>
      <c r="Q19" s="427">
        <v>147</v>
      </c>
    </row>
    <row r="20" spans="1:20" ht="15" customHeight="1">
      <c r="A20" s="230"/>
      <c r="B20" s="416" t="s">
        <v>1402</v>
      </c>
      <c r="C20" s="417">
        <v>1095</v>
      </c>
      <c r="D20" s="419">
        <v>37522.300000000003</v>
      </c>
      <c r="E20" s="424">
        <v>153.84</v>
      </c>
      <c r="F20" s="418"/>
      <c r="G20" s="419"/>
      <c r="H20" s="425"/>
      <c r="I20" s="426"/>
      <c r="J20" s="420"/>
      <c r="K20" s="417"/>
      <c r="L20" s="425"/>
      <c r="M20" s="426"/>
      <c r="N20" s="420"/>
      <c r="O20" s="417"/>
      <c r="P20" s="425"/>
      <c r="Q20" s="428"/>
    </row>
    <row r="21" spans="1:20" ht="15" customHeight="1">
      <c r="A21" s="178" t="s">
        <v>497</v>
      </c>
      <c r="B21" s="177"/>
      <c r="C21" s="151">
        <f>SUM(C15:C20)</f>
        <v>3262</v>
      </c>
      <c r="D21" s="404">
        <f>SUM(D15:D20)</f>
        <v>112345.5</v>
      </c>
      <c r="E21" s="405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4">
        <f>SUM(L17:L20)</f>
        <v>18585</v>
      </c>
      <c r="M21" s="404">
        <f>SUM(M17:M20)</f>
        <v>74.34</v>
      </c>
      <c r="N21" s="168"/>
      <c r="O21" s="151">
        <f>SUM(O15:O20)</f>
        <v>2138</v>
      </c>
      <c r="P21" s="404">
        <f>SUM(P15:P20)</f>
        <v>71173</v>
      </c>
      <c r="Q21" s="403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20" t="s">
        <v>1384</v>
      </c>
      <c r="G22" s="420">
        <v>528</v>
      </c>
      <c r="H22" s="420">
        <v>18143.8</v>
      </c>
      <c r="I22" s="420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20"/>
      <c r="G23" s="420"/>
      <c r="H23" s="420"/>
      <c r="I23" s="420"/>
      <c r="J23" s="148"/>
      <c r="K23" s="147"/>
      <c r="L23" s="112"/>
      <c r="M23" s="161"/>
      <c r="N23" s="140" t="s">
        <v>1393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1403</v>
      </c>
      <c r="C24" s="141">
        <v>1093</v>
      </c>
      <c r="D24" s="142">
        <v>37929.300000000003</v>
      </c>
      <c r="E24" s="170">
        <v>159.30000000000001</v>
      </c>
      <c r="F24" s="420"/>
      <c r="G24" s="420"/>
      <c r="H24" s="420"/>
      <c r="I24" s="420"/>
      <c r="J24" s="140" t="s">
        <v>1389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20"/>
      <c r="G25" s="420"/>
      <c r="H25" s="420"/>
      <c r="I25" s="420"/>
      <c r="J25" s="140"/>
      <c r="K25" s="141"/>
      <c r="L25" s="112"/>
      <c r="M25" s="161"/>
      <c r="N25" s="140" t="s">
        <v>1396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1406</v>
      </c>
      <c r="C26" s="141">
        <v>1090</v>
      </c>
      <c r="D26" s="142">
        <v>37658.300000000003</v>
      </c>
      <c r="E26" s="170"/>
      <c r="F26" s="420"/>
      <c r="G26" s="420"/>
      <c r="H26" s="420"/>
      <c r="I26" s="420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20"/>
      <c r="G27" s="420"/>
      <c r="H27" s="420"/>
      <c r="I27" s="420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4">
        <f>SUM(D22:D27)</f>
        <v>75587.600000000006</v>
      </c>
      <c r="E28" s="405">
        <f>SUM(E22:E27)</f>
        <v>159.30000000000001</v>
      </c>
      <c r="F28" s="168"/>
      <c r="G28" s="151">
        <f>SUM(G22:G27)</f>
        <v>528</v>
      </c>
      <c r="H28" s="404">
        <f>SUM(H22:H27)</f>
        <v>18143.8</v>
      </c>
      <c r="I28" s="404">
        <f>SUM(I22:I27)</f>
        <v>76.239999999999995</v>
      </c>
      <c r="J28" s="150"/>
      <c r="K28" s="151">
        <f>SUM(K22:K27)</f>
        <v>260</v>
      </c>
      <c r="L28" s="404">
        <f>SUM(L22:L27)</f>
        <v>9214.7999999999993</v>
      </c>
      <c r="M28" s="404">
        <f>SUM(M22:M27)</f>
        <v>0</v>
      </c>
      <c r="N28" s="168"/>
      <c r="O28" s="151">
        <f>SUM(O22:O27)</f>
        <v>2160</v>
      </c>
      <c r="P28" s="404">
        <f>SUM(P22:P27)</f>
        <v>73678</v>
      </c>
      <c r="Q28" s="403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1398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4">
        <f>SUM(D29:D34)</f>
        <v>0</v>
      </c>
      <c r="E35" s="405">
        <f>SUM(E29:E34)</f>
        <v>0</v>
      </c>
      <c r="F35" s="168"/>
      <c r="G35" s="151">
        <f>SUM(G29:G34)</f>
        <v>0</v>
      </c>
      <c r="H35" s="404">
        <f>SUM((H29:H34))</f>
        <v>0</v>
      </c>
      <c r="I35" s="404">
        <f>SUM(I29:I34)</f>
        <v>0</v>
      </c>
      <c r="J35" s="150"/>
      <c r="K35" s="151">
        <f>SUM(K29:K34)</f>
        <v>0</v>
      </c>
      <c r="L35" s="404">
        <f>SUM(L29:L34)</f>
        <v>0</v>
      </c>
      <c r="M35" s="404">
        <f>SUM(M29:M34)</f>
        <v>0</v>
      </c>
      <c r="N35" s="168"/>
      <c r="O35" s="151">
        <f>SUM(O29:O34)</f>
        <v>1066</v>
      </c>
      <c r="P35" s="404">
        <f>SUM(P29:P34)</f>
        <v>35924.800000000003</v>
      </c>
      <c r="Q35" s="403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/>
      <c r="C37" s="147"/>
      <c r="D37" s="142"/>
      <c r="E37" s="170"/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/>
      <c r="C38" s="147"/>
      <c r="D38" s="142"/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8"/>
      <c r="K39" s="147"/>
      <c r="L39" s="112"/>
      <c r="M39" s="161"/>
      <c r="N39" s="148"/>
      <c r="O39" s="147"/>
      <c r="P39" s="112"/>
      <c r="Q39" s="145"/>
    </row>
    <row r="40" spans="1:17">
      <c r="A40" s="230"/>
      <c r="B40" s="167"/>
      <c r="C40" s="147"/>
      <c r="D40" s="142"/>
      <c r="E40" s="170"/>
      <c r="F40" s="169"/>
      <c r="G40" s="143"/>
      <c r="H40" s="112"/>
      <c r="I40" s="161"/>
      <c r="J40" s="148"/>
      <c r="K40" s="147"/>
      <c r="L40" s="112"/>
      <c r="M40" s="161"/>
      <c r="N40" s="140"/>
      <c r="O40" s="147"/>
      <c r="P40" s="112"/>
      <c r="Q40" s="314"/>
    </row>
    <row r="41" spans="1:17">
      <c r="A41" s="178" t="s">
        <v>500</v>
      </c>
      <c r="B41" s="177"/>
      <c r="C41" s="151">
        <f>SUM(C36:C40)</f>
        <v>0</v>
      </c>
      <c r="D41" s="404">
        <f>SUM(D36:D40)</f>
        <v>0</v>
      </c>
      <c r="E41" s="405">
        <f>SUM(E36:E40)</f>
        <v>0</v>
      </c>
      <c r="F41" s="168"/>
      <c r="G41" s="151">
        <f>SUM(G36:G40)</f>
        <v>0</v>
      </c>
      <c r="H41" s="404">
        <f>SUM(H36:H40)</f>
        <v>0</v>
      </c>
      <c r="I41" s="404">
        <f>SUM(I36:I40)</f>
        <v>0</v>
      </c>
      <c r="J41" s="150"/>
      <c r="K41" s="151">
        <f>SUM(K36:K40)</f>
        <v>0</v>
      </c>
      <c r="L41" s="404">
        <f>SUM(L36:L40)</f>
        <v>0</v>
      </c>
      <c r="M41" s="404">
        <f>SUM(M36:M40)</f>
        <v>0</v>
      </c>
      <c r="N41" s="168"/>
      <c r="O41" s="151">
        <f>SUM(O36:O40)</f>
        <v>0</v>
      </c>
      <c r="P41" s="404">
        <f>SUM(P36:P40)</f>
        <v>0</v>
      </c>
      <c r="Q41" s="403">
        <f>SUM(Q36:Q40)</f>
        <v>0</v>
      </c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8"/>
      <c r="O42" s="147"/>
      <c r="P42" s="112"/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0"/>
      <c r="K43" s="147"/>
      <c r="L43" s="112"/>
      <c r="M43" s="161"/>
      <c r="N43" s="140"/>
      <c r="O43" s="147"/>
      <c r="P43" s="112"/>
      <c r="Q43" s="145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8"/>
      <c r="K44" s="147"/>
      <c r="L44" s="112"/>
      <c r="M44" s="161"/>
      <c r="N44" s="140"/>
      <c r="O44" s="147"/>
      <c r="P44" s="112"/>
      <c r="Q44" s="314"/>
    </row>
    <row r="45" spans="1:17">
      <c r="A45" s="230"/>
      <c r="B45" s="167"/>
      <c r="C45" s="147"/>
      <c r="D45" s="142"/>
      <c r="E45" s="170"/>
      <c r="F45" s="169"/>
      <c r="G45" s="143"/>
      <c r="H45" s="112"/>
      <c r="I45" s="161"/>
      <c r="J45" s="140"/>
      <c r="K45" s="147"/>
      <c r="L45" s="112"/>
      <c r="M45" s="161"/>
      <c r="N45" s="140"/>
      <c r="O45" s="147"/>
      <c r="P45" s="112"/>
      <c r="Q45" s="145"/>
    </row>
    <row r="46" spans="1:17">
      <c r="A46" s="178" t="s">
        <v>501</v>
      </c>
      <c r="B46" s="177"/>
      <c r="C46" s="151">
        <f>SUM(C42:C45)</f>
        <v>0</v>
      </c>
      <c r="D46" s="404">
        <f>SUM(D42:D45)</f>
        <v>0</v>
      </c>
      <c r="E46" s="405">
        <f>SUM(E42:E45)</f>
        <v>0</v>
      </c>
      <c r="F46" s="168"/>
      <c r="G46" s="151">
        <f>SUM(G42:G45)</f>
        <v>0</v>
      </c>
      <c r="H46" s="404">
        <f>SUM(H42:H45)</f>
        <v>0</v>
      </c>
      <c r="I46" s="404">
        <f>SUM(I42:I45)</f>
        <v>0</v>
      </c>
      <c r="J46" s="150"/>
      <c r="K46" s="151">
        <f>SUM(K42:K45)</f>
        <v>0</v>
      </c>
      <c r="L46" s="404">
        <f>SUM(L42:L45)</f>
        <v>0</v>
      </c>
      <c r="M46" s="404">
        <f>SUM(M42:M45)</f>
        <v>0</v>
      </c>
      <c r="N46" s="168"/>
      <c r="O46" s="151">
        <f>SUM(O42:O45)</f>
        <v>0</v>
      </c>
      <c r="P46" s="404">
        <f>SUM(P42:P45)</f>
        <v>0</v>
      </c>
      <c r="Q46" s="403">
        <f>SUM(Q42:Q45)</f>
        <v>0</v>
      </c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8"/>
      <c r="K47" s="147"/>
      <c r="L47" s="112"/>
      <c r="M47" s="161"/>
      <c r="N47" s="148"/>
      <c r="O47" s="147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0"/>
      <c r="K48" s="147"/>
      <c r="L48" s="112"/>
      <c r="M48" s="162"/>
      <c r="N48" s="140"/>
      <c r="O48" s="141"/>
      <c r="P48" s="112"/>
      <c r="Q48" s="145"/>
    </row>
    <row r="49" spans="1:17">
      <c r="A49" s="230"/>
      <c r="B49" s="167"/>
      <c r="C49" s="147"/>
      <c r="D49" s="142"/>
      <c r="E49" s="170"/>
      <c r="F49" s="169"/>
      <c r="G49" s="143"/>
      <c r="H49" s="112"/>
      <c r="I49" s="161"/>
      <c r="J49" s="148"/>
      <c r="K49" s="147"/>
      <c r="L49" s="112"/>
      <c r="M49" s="161"/>
      <c r="N49" s="140"/>
      <c r="O49" s="141"/>
      <c r="P49" s="112"/>
      <c r="Q49" s="314"/>
    </row>
    <row r="50" spans="1:17">
      <c r="A50" s="178" t="s">
        <v>502</v>
      </c>
      <c r="B50" s="177"/>
      <c r="C50" s="151">
        <f>SUM(C47:C49)</f>
        <v>0</v>
      </c>
      <c r="D50" s="404">
        <f>SUM(D47:D49)</f>
        <v>0</v>
      </c>
      <c r="E50" s="405">
        <f>SUM(E47:E49)</f>
        <v>0</v>
      </c>
      <c r="F50" s="168"/>
      <c r="G50" s="151">
        <f>SUM(G47:G49)</f>
        <v>0</v>
      </c>
      <c r="H50" s="404">
        <f>SUM(H47:H49)</f>
        <v>0</v>
      </c>
      <c r="I50" s="404">
        <f>SUM(I47:I49)</f>
        <v>0</v>
      </c>
      <c r="J50" s="150"/>
      <c r="K50" s="151">
        <f>SUM(K47:K49)</f>
        <v>0</v>
      </c>
      <c r="L50" s="404">
        <f>SUM(L47:L49)</f>
        <v>0</v>
      </c>
      <c r="M50" s="404">
        <f>SUM(M47:M49)</f>
        <v>0</v>
      </c>
      <c r="N50" s="168"/>
      <c r="O50" s="151">
        <f>SUM(O47:O49)</f>
        <v>0</v>
      </c>
      <c r="P50" s="404">
        <f>SUM(P47:P49)</f>
        <v>0</v>
      </c>
      <c r="Q50" s="403">
        <f>SUM(Q47:Q49)</f>
        <v>0</v>
      </c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8"/>
      <c r="K51" s="147"/>
      <c r="L51" s="112"/>
      <c r="M51" s="161"/>
      <c r="N51" s="148"/>
      <c r="O51" s="147"/>
      <c r="P51" s="112"/>
      <c r="Q51" s="145"/>
    </row>
    <row r="52" spans="1:17">
      <c r="A52" s="230"/>
      <c r="B52" s="167"/>
      <c r="C52" s="147"/>
      <c r="D52" s="142"/>
      <c r="E52" s="170"/>
      <c r="F52" s="169"/>
      <c r="G52" s="143"/>
      <c r="H52" s="112"/>
      <c r="I52" s="161"/>
      <c r="J52" s="140"/>
      <c r="K52" s="141"/>
      <c r="L52" s="112"/>
      <c r="M52" s="161"/>
      <c r="N52" s="148"/>
      <c r="O52" s="147"/>
      <c r="P52" s="112"/>
      <c r="Q52" s="314"/>
    </row>
    <row r="53" spans="1:17">
      <c r="A53" s="230"/>
      <c r="B53" s="167"/>
      <c r="C53" s="147"/>
      <c r="D53" s="142"/>
      <c r="E53" s="170"/>
      <c r="F53" s="172"/>
      <c r="G53" s="146"/>
      <c r="H53" s="144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145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314"/>
    </row>
    <row r="56" spans="1:17">
      <c r="A56" s="230"/>
      <c r="B56" s="167"/>
      <c r="C56" s="147"/>
      <c r="D56" s="142"/>
      <c r="E56" s="170"/>
      <c r="F56" s="172"/>
      <c r="G56" s="146"/>
      <c r="H56" s="109"/>
      <c r="I56" s="162"/>
      <c r="J56" s="148"/>
      <c r="K56" s="147"/>
      <c r="L56" s="112"/>
      <c r="M56" s="161"/>
      <c r="N56" s="148"/>
      <c r="O56" s="147"/>
      <c r="P56" s="112"/>
      <c r="Q56" s="145"/>
    </row>
    <row r="57" spans="1:17">
      <c r="A57" s="178" t="s">
        <v>503</v>
      </c>
      <c r="B57" s="177"/>
      <c r="C57" s="151">
        <f>SUM(C51:C56)</f>
        <v>0</v>
      </c>
      <c r="D57" s="404">
        <f>SUM(D51:D56)</f>
        <v>0</v>
      </c>
      <c r="E57" s="405">
        <f>SUM(E51:E56)</f>
        <v>0</v>
      </c>
      <c r="F57" s="168"/>
      <c r="G57" s="151">
        <f>SUM(G51:G56)</f>
        <v>0</v>
      </c>
      <c r="H57" s="404">
        <f>SUM(H51:H56)</f>
        <v>0</v>
      </c>
      <c r="I57" s="404">
        <f>SUM(I51:I56)</f>
        <v>0</v>
      </c>
      <c r="J57" s="150"/>
      <c r="K57" s="151">
        <f>SUM(K51:K56)</f>
        <v>0</v>
      </c>
      <c r="L57" s="406">
        <f>SUM(L51:L56)</f>
        <v>0</v>
      </c>
      <c r="M57" s="404">
        <f>SUM(M51:M56)</f>
        <v>0</v>
      </c>
      <c r="N57" s="150"/>
      <c r="O57" s="151">
        <f>SUM(O51:O56)</f>
        <v>0</v>
      </c>
      <c r="P57" s="404">
        <f>SUM(P51:P56)</f>
        <v>0</v>
      </c>
      <c r="Q57" s="403">
        <f>SUM(Q51:Q56)</f>
        <v>0</v>
      </c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0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2"/>
      <c r="E59" s="170"/>
      <c r="F59" s="169"/>
      <c r="G59" s="143"/>
      <c r="H59" s="112"/>
      <c r="I59" s="161"/>
      <c r="J59" s="148"/>
      <c r="K59" s="147"/>
      <c r="L59" s="112"/>
      <c r="M59" s="161"/>
      <c r="N59" s="148"/>
      <c r="O59" s="147"/>
      <c r="P59" s="112"/>
      <c r="Q59" s="145"/>
    </row>
    <row r="60" spans="1:17">
      <c r="A60" s="230"/>
      <c r="B60" s="167"/>
      <c r="C60" s="147"/>
      <c r="D60" s="149"/>
      <c r="E60" s="171"/>
      <c r="F60" s="169"/>
      <c r="G60" s="143"/>
      <c r="H60" s="109"/>
      <c r="I60" s="162"/>
      <c r="J60" s="148"/>
      <c r="K60" s="147"/>
      <c r="L60" s="112"/>
      <c r="M60" s="161"/>
      <c r="N60" s="148"/>
      <c r="O60" s="147"/>
      <c r="P60" s="112"/>
      <c r="Q60" s="314"/>
    </row>
    <row r="61" spans="1:17">
      <c r="A61" s="230"/>
      <c r="B61" s="167"/>
      <c r="C61" s="147"/>
      <c r="D61" s="142"/>
      <c r="E61" s="170"/>
      <c r="F61" s="173"/>
      <c r="G61" s="152"/>
      <c r="H61" s="112"/>
      <c r="I61" s="161"/>
      <c r="J61" s="148"/>
      <c r="K61" s="147"/>
      <c r="L61" s="112"/>
      <c r="M61" s="161"/>
      <c r="N61" s="148"/>
      <c r="O61" s="147"/>
      <c r="P61" s="112"/>
      <c r="Q61" s="145"/>
    </row>
    <row r="62" spans="1:17">
      <c r="A62" s="178" t="s">
        <v>504</v>
      </c>
      <c r="B62" s="177"/>
      <c r="C62" s="151">
        <f>SUM(C58:C61)</f>
        <v>0</v>
      </c>
      <c r="D62" s="404">
        <f>SUM(D58:D61)</f>
        <v>0</v>
      </c>
      <c r="E62" s="405">
        <f>SUM(E58:E61)</f>
        <v>0</v>
      </c>
      <c r="F62" s="168"/>
      <c r="G62" s="151">
        <f>SUM(G58:G61)</f>
        <v>0</v>
      </c>
      <c r="H62" s="404">
        <f>SUM(H58:H61)</f>
        <v>0</v>
      </c>
      <c r="I62" s="404">
        <f>SUM(I58:I61)</f>
        <v>0</v>
      </c>
      <c r="J62" s="150"/>
      <c r="K62" s="151">
        <f>SUM(K58:K61)</f>
        <v>0</v>
      </c>
      <c r="L62" s="404">
        <f>SUM(L58:L61)</f>
        <v>0</v>
      </c>
      <c r="M62" s="404">
        <f>SUM(M58:M61)</f>
        <v>0</v>
      </c>
      <c r="N62" s="150"/>
      <c r="O62" s="151">
        <f>SUM(O58:O61)</f>
        <v>0</v>
      </c>
      <c r="P62" s="404">
        <f>SUM(P58:P61)</f>
        <v>0</v>
      </c>
      <c r="Q62" s="403">
        <f>SUM(Q58:Q61)</f>
        <v>0</v>
      </c>
    </row>
    <row r="63" spans="1:17">
      <c r="A63" s="230"/>
      <c r="B63" s="167"/>
      <c r="C63" s="147"/>
      <c r="D63" s="142"/>
      <c r="E63" s="170"/>
      <c r="F63" s="174"/>
      <c r="G63" s="155"/>
      <c r="H63" s="110"/>
      <c r="I63" s="163"/>
      <c r="J63" s="159"/>
      <c r="K63" s="156"/>
      <c r="L63" s="110"/>
      <c r="M63" s="163"/>
      <c r="N63" s="148"/>
      <c r="O63" s="147"/>
      <c r="P63" s="112"/>
      <c r="Q63" s="314"/>
    </row>
    <row r="64" spans="1:17">
      <c r="A64" s="230"/>
      <c r="B64" s="167"/>
      <c r="C64" s="147"/>
      <c r="D64" s="142"/>
      <c r="E64" s="170"/>
      <c r="F64" s="175"/>
      <c r="G64" s="160"/>
      <c r="H64" s="157"/>
      <c r="I64" s="165"/>
      <c r="J64" s="153"/>
      <c r="K64" s="154"/>
      <c r="L64" s="110"/>
      <c r="M64" s="163"/>
      <c r="N64" s="148"/>
      <c r="O64" s="147"/>
      <c r="P64" s="112"/>
      <c r="Q64" s="145"/>
    </row>
    <row r="65" spans="1:17" ht="15" customHeight="1">
      <c r="A65" s="178" t="s">
        <v>505</v>
      </c>
      <c r="B65" s="177"/>
      <c r="C65" s="151">
        <f>SUM(C63:C64)</f>
        <v>0</v>
      </c>
      <c r="D65" s="404">
        <f>SUM(D63:D64)</f>
        <v>0</v>
      </c>
      <c r="E65" s="405">
        <f>SUM(E63:E64)</f>
        <v>0</v>
      </c>
      <c r="F65" s="168"/>
      <c r="G65" s="151">
        <f>SUM(G63:G64)</f>
        <v>0</v>
      </c>
      <c r="H65" s="404">
        <f>SUM(H63:H64)</f>
        <v>0</v>
      </c>
      <c r="I65" s="404">
        <f>SUM(I63:I64)</f>
        <v>0</v>
      </c>
      <c r="J65" s="150"/>
      <c r="K65" s="151">
        <f>SUM(K63:K64)</f>
        <v>0</v>
      </c>
      <c r="L65" s="404">
        <f>SUM(L63:L64)</f>
        <v>0</v>
      </c>
      <c r="M65" s="404">
        <f>SUM(M63:M64)</f>
        <v>0</v>
      </c>
      <c r="N65" s="150"/>
      <c r="O65" s="151">
        <f>SUM(O63:O64)</f>
        <v>0</v>
      </c>
      <c r="P65" s="404">
        <f>SUM(P63:P64)</f>
        <v>0</v>
      </c>
      <c r="Q65" s="403">
        <f>SUM(Q63:Q64)</f>
        <v>0</v>
      </c>
    </row>
    <row r="66" spans="1:17" ht="15" customHeight="1">
      <c r="A66" s="230"/>
      <c r="B66" s="176"/>
      <c r="C66" s="156"/>
      <c r="D66" s="149"/>
      <c r="E66" s="170"/>
      <c r="F66" s="169"/>
      <c r="G66" s="143"/>
      <c r="H66" s="112"/>
      <c r="I66" s="161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72"/>
      <c r="G67" s="143"/>
      <c r="H67" s="109"/>
      <c r="I67" s="162"/>
      <c r="J67" s="148"/>
      <c r="K67" s="147"/>
      <c r="L67" s="112"/>
      <c r="M67" s="161"/>
      <c r="N67" s="148"/>
      <c r="O67" s="147"/>
      <c r="P67" s="112"/>
      <c r="Q67" s="145"/>
    </row>
    <row r="68" spans="1:17" ht="15" customHeight="1">
      <c r="A68" s="230"/>
      <c r="B68" s="176"/>
      <c r="C68" s="156"/>
      <c r="D68" s="149"/>
      <c r="E68" s="170"/>
      <c r="F68" s="169"/>
      <c r="G68" s="143"/>
      <c r="H68" s="112"/>
      <c r="I68" s="161"/>
      <c r="J68" s="148"/>
      <c r="K68" s="147"/>
      <c r="L68" s="112"/>
      <c r="M68" s="161"/>
      <c r="N68" s="148"/>
      <c r="O68" s="147"/>
      <c r="P68" s="112"/>
      <c r="Q68" s="314"/>
    </row>
    <row r="69" spans="1:17" ht="15.75" thickBot="1">
      <c r="A69" s="332"/>
      <c r="B69" s="333"/>
      <c r="C69" s="334"/>
      <c r="D69" s="335"/>
      <c r="E69" s="336"/>
      <c r="F69" s="337"/>
      <c r="G69" s="338"/>
      <c r="H69" s="339"/>
      <c r="I69" s="340"/>
      <c r="J69" s="341"/>
      <c r="K69" s="342"/>
      <c r="L69" s="339"/>
      <c r="M69" s="343"/>
      <c r="N69" s="344"/>
      <c r="O69" s="342"/>
      <c r="P69" s="339"/>
      <c r="Q69" s="345"/>
    </row>
    <row r="70" spans="1:17" ht="15.75" thickBot="1">
      <c r="A70" s="346" t="s">
        <v>506</v>
      </c>
      <c r="B70" s="347"/>
      <c r="C70" s="348">
        <f>SUM(C66:C69)</f>
        <v>0</v>
      </c>
      <c r="D70" s="407">
        <f>SUM(D66:D69)</f>
        <v>0</v>
      </c>
      <c r="E70" s="408">
        <f>SUM(E66:E69)</f>
        <v>0</v>
      </c>
      <c r="F70" s="349"/>
      <c r="G70" s="350">
        <f>SUM(G66:G69)</f>
        <v>0</v>
      </c>
      <c r="H70" s="409">
        <f>SUM(H66:H69)</f>
        <v>0</v>
      </c>
      <c r="I70" s="409">
        <f>SUM(I66:I69)</f>
        <v>0</v>
      </c>
      <c r="J70" s="351"/>
      <c r="K70" s="350">
        <f>SUM(K66:K69)</f>
        <v>0</v>
      </c>
      <c r="L70" s="350">
        <f>SUM(L66:L69)</f>
        <v>0</v>
      </c>
      <c r="M70" s="409">
        <f>SUM(M66:M69)</f>
        <v>0</v>
      </c>
      <c r="N70" s="351"/>
      <c r="O70" s="350">
        <f>SUM(O66:O69)</f>
        <v>0</v>
      </c>
      <c r="P70" s="409">
        <f>SUM(P66:P69)</f>
        <v>0</v>
      </c>
      <c r="Q70" s="410">
        <f>SUM(Q66:Q69)</f>
        <v>0</v>
      </c>
    </row>
    <row r="71" spans="1:17" ht="15.75" thickBot="1">
      <c r="A71" s="411" t="s">
        <v>53</v>
      </c>
      <c r="B71" s="179"/>
      <c r="C71" s="211">
        <f>C10+C14+C21+C28+C35+C41+C46+C50+C57+C62+C65+C70</f>
        <v>9716</v>
      </c>
      <c r="D71" s="211">
        <f>D10+D14+D21+D28+D35+D41+D46+D50+D57+D62+D65+D70</f>
        <v>332333.90000000002</v>
      </c>
      <c r="E71" s="213">
        <f>E10+E14+E21+E28+E35+E41+E46+E50+E57+E62+E65+E70</f>
        <v>1190.5179999999998</v>
      </c>
      <c r="F71" s="212"/>
      <c r="G71" s="211">
        <f>G10+G14+G21+G28+G35+G41+G46+G50+G57+G62+G65+G70</f>
        <v>983</v>
      </c>
      <c r="H71" s="213">
        <f>H10+H14+H21+H28+H35+H41+H46+H50+H57+H62+H65+H70</f>
        <v>33356.6</v>
      </c>
      <c r="I71" s="213">
        <f>I10+I14+I21+I28+I35+I41+I46+I50+I57+I62+I65+I70</f>
        <v>137.09</v>
      </c>
      <c r="J71" s="214"/>
      <c r="K71" s="211">
        <f>K10+K14+K21+K28+K35+K41+K46+K50+K57+K62+K65+K70</f>
        <v>1298</v>
      </c>
      <c r="L71" s="213">
        <f>L10+L14+L21+L28+L35+L41+L46+L50+L57+L62+L65+L70</f>
        <v>43800.5</v>
      </c>
      <c r="M71" s="213">
        <f>M10+M14+M21+M28+M35+M41+M46+M50+M57+M62+M65+M70</f>
        <v>138.34280000000001</v>
      </c>
      <c r="N71" s="328"/>
      <c r="O71" s="329">
        <f>O10+O14+O21+O28+O35+O41+O46+O50+O57+O62+O65+O70</f>
        <v>6434</v>
      </c>
      <c r="P71" s="289">
        <f>P10+P14+P21+P28+P35+P41+P46+P50+P57+P62+P65+P70</f>
        <v>216428.09999999998</v>
      </c>
      <c r="Q71" s="330">
        <f>Q10+Q14+Q21+Q28+Q35+Q41+Q46+Q50+Q57+Q62+Q65+Q70</f>
        <v>585.43999999999994</v>
      </c>
    </row>
    <row r="72" spans="1:17">
      <c r="A72" s="183" t="s">
        <v>60</v>
      </c>
      <c r="B72" s="181"/>
      <c r="C72" s="215">
        <f>'VARGIN TEA AC-2020-21'!P1483</f>
        <v>9716</v>
      </c>
      <c r="D72" s="207">
        <f>'VARGIN TEA AC-2020-21'!G1483</f>
        <v>332333.90000000043</v>
      </c>
      <c r="E72" s="216"/>
      <c r="F72" s="217"/>
      <c r="G72" s="215">
        <f>'VARGIN TEA AC-2020-21'!S1484</f>
        <v>983</v>
      </c>
      <c r="H72" s="208">
        <f>'VARGIN TEA AC-2020-21'!G1484</f>
        <v>33356.600000000006</v>
      </c>
      <c r="I72" s="218"/>
      <c r="J72" s="219"/>
      <c r="K72" s="215">
        <f>'VARGIN TEA AC-2020-21'!V1485</f>
        <v>1298</v>
      </c>
      <c r="L72" s="208">
        <f>'VARGIN TEA AC-2020-21'!G1485</f>
        <v>43800.500000000022</v>
      </c>
      <c r="M72" s="220"/>
      <c r="N72" s="221"/>
      <c r="O72" s="215">
        <f>'VARGIN TEA AC-2020-21'!M1482</f>
        <v>6434</v>
      </c>
      <c r="P72" s="208">
        <f>'VARGIN TEA AC-2020-21'!G1482</f>
        <v>216439.19999999943</v>
      </c>
      <c r="Q72" s="218"/>
    </row>
    <row r="73" spans="1:17" ht="15.75" thickBot="1">
      <c r="A73" s="184" t="s">
        <v>61</v>
      </c>
      <c r="B73" s="182"/>
      <c r="C73" s="210">
        <f>C71-C72</f>
        <v>0</v>
      </c>
      <c r="D73" s="180">
        <f>D71-D72</f>
        <v>0</v>
      </c>
      <c r="E73" s="185"/>
      <c r="F73" s="222"/>
      <c r="G73" s="210">
        <f>G71-G72</f>
        <v>0</v>
      </c>
      <c r="H73" s="223">
        <f>H71-H72</f>
        <v>0</v>
      </c>
      <c r="I73" s="224"/>
      <c r="J73" s="225"/>
      <c r="K73" s="210">
        <f>K71-K72</f>
        <v>0</v>
      </c>
      <c r="L73" s="223">
        <f>L71-L72</f>
        <v>0</v>
      </c>
      <c r="M73" s="226"/>
      <c r="N73" s="227"/>
      <c r="O73" s="210">
        <f>O71-O72</f>
        <v>0</v>
      </c>
      <c r="P73" s="223">
        <f>P71-P72</f>
        <v>-11.099999999452848</v>
      </c>
      <c r="Q73" s="224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D77" s="113"/>
      <c r="E77" s="113"/>
    </row>
    <row r="78" spans="1:17">
      <c r="L78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17" sqref="G17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07" t="s">
        <v>1412</v>
      </c>
      <c r="B1" s="508"/>
      <c r="C1" s="508"/>
      <c r="D1" s="508"/>
      <c r="E1" s="508"/>
      <c r="F1" s="508"/>
      <c r="G1" s="508"/>
      <c r="H1" s="508"/>
      <c r="I1" s="508"/>
      <c r="J1" s="508"/>
      <c r="K1" s="509"/>
    </row>
    <row r="2" spans="1:11" s="434" customFormat="1" ht="36.75" thickBot="1">
      <c r="A2" s="439" t="s">
        <v>45</v>
      </c>
      <c r="B2" s="440" t="s">
        <v>0</v>
      </c>
      <c r="C2" s="441" t="s">
        <v>46</v>
      </c>
      <c r="D2" s="440" t="s">
        <v>1</v>
      </c>
      <c r="E2" s="441" t="s">
        <v>47</v>
      </c>
      <c r="F2" s="441" t="s">
        <v>80</v>
      </c>
      <c r="G2" s="440" t="s">
        <v>81</v>
      </c>
      <c r="H2" s="440" t="s">
        <v>2</v>
      </c>
      <c r="I2" s="440" t="s">
        <v>3</v>
      </c>
      <c r="J2" s="440" t="s">
        <v>4</v>
      </c>
      <c r="K2" s="442" t="s">
        <v>43</v>
      </c>
    </row>
    <row r="3" spans="1:11">
      <c r="A3" s="435" t="s">
        <v>1381</v>
      </c>
      <c r="B3" s="436" t="s">
        <v>129</v>
      </c>
      <c r="C3" s="436">
        <v>36</v>
      </c>
      <c r="D3" s="436" t="s">
        <v>7</v>
      </c>
      <c r="E3" s="436">
        <v>5006</v>
      </c>
      <c r="F3" s="436" t="s">
        <v>763</v>
      </c>
      <c r="G3" s="436" t="s">
        <v>773</v>
      </c>
      <c r="H3" s="436" t="s">
        <v>190</v>
      </c>
      <c r="I3" s="436">
        <v>20</v>
      </c>
      <c r="J3" s="437" t="s">
        <v>551</v>
      </c>
      <c r="K3" s="438">
        <v>397.5</v>
      </c>
    </row>
    <row r="4" spans="1:11">
      <c r="A4" s="429" t="s">
        <v>1381</v>
      </c>
      <c r="B4" s="431" t="s">
        <v>129</v>
      </c>
      <c r="C4" s="431">
        <v>41</v>
      </c>
      <c r="D4" s="431" t="s">
        <v>7</v>
      </c>
      <c r="E4" s="430">
        <v>5026</v>
      </c>
      <c r="F4" s="431" t="s">
        <v>901</v>
      </c>
      <c r="G4" s="431" t="s">
        <v>774</v>
      </c>
      <c r="H4" s="430" t="s">
        <v>550</v>
      </c>
      <c r="I4" s="430">
        <v>10</v>
      </c>
      <c r="J4" s="432" t="s">
        <v>907</v>
      </c>
      <c r="K4" s="433">
        <v>216</v>
      </c>
    </row>
    <row r="5" spans="1:11">
      <c r="A5" s="429" t="s">
        <v>1381</v>
      </c>
      <c r="B5" s="431" t="s">
        <v>129</v>
      </c>
      <c r="C5" s="431">
        <v>41</v>
      </c>
      <c r="D5" s="431" t="s">
        <v>7</v>
      </c>
      <c r="E5" s="430">
        <v>5052</v>
      </c>
      <c r="F5" s="431" t="s">
        <v>902</v>
      </c>
      <c r="G5" s="431" t="s">
        <v>547</v>
      </c>
      <c r="H5" s="430" t="s">
        <v>549</v>
      </c>
      <c r="I5" s="430">
        <v>10</v>
      </c>
      <c r="J5" s="432" t="s">
        <v>908</v>
      </c>
      <c r="K5" s="433">
        <v>197.4</v>
      </c>
    </row>
    <row r="6" spans="1:11">
      <c r="A6" s="429" t="s">
        <v>1381</v>
      </c>
      <c r="B6" s="431" t="s">
        <v>129</v>
      </c>
      <c r="C6" s="431">
        <v>41</v>
      </c>
      <c r="D6" s="431" t="s">
        <v>7</v>
      </c>
      <c r="E6" s="430">
        <v>5064</v>
      </c>
      <c r="F6" s="431" t="s">
        <v>903</v>
      </c>
      <c r="G6" s="431" t="s">
        <v>547</v>
      </c>
      <c r="H6" s="430" t="s">
        <v>778</v>
      </c>
      <c r="I6" s="430">
        <v>20</v>
      </c>
      <c r="J6" s="432" t="s">
        <v>909</v>
      </c>
      <c r="K6" s="433">
        <v>497.4</v>
      </c>
    </row>
    <row r="7" spans="1:11">
      <c r="A7" s="429" t="s">
        <v>1381</v>
      </c>
      <c r="B7" s="431" t="s">
        <v>129</v>
      </c>
      <c r="C7" s="431">
        <v>41</v>
      </c>
      <c r="D7" s="431" t="s">
        <v>7</v>
      </c>
      <c r="E7" s="430">
        <v>5073</v>
      </c>
      <c r="F7" s="431" t="s">
        <v>904</v>
      </c>
      <c r="G7" s="431" t="s">
        <v>775</v>
      </c>
      <c r="H7" s="430" t="s">
        <v>778</v>
      </c>
      <c r="I7" s="430">
        <v>10</v>
      </c>
      <c r="J7" s="432" t="s">
        <v>910</v>
      </c>
      <c r="K7" s="433">
        <v>196</v>
      </c>
    </row>
    <row r="8" spans="1:11">
      <c r="A8" s="429" t="s">
        <v>1381</v>
      </c>
      <c r="B8" s="431" t="s">
        <v>6</v>
      </c>
      <c r="C8" s="431" t="s">
        <v>309</v>
      </c>
      <c r="D8" s="431"/>
      <c r="E8" s="430"/>
      <c r="F8" s="431" t="s">
        <v>1022</v>
      </c>
      <c r="G8" s="431" t="s">
        <v>374</v>
      </c>
      <c r="H8" s="430" t="s">
        <v>330</v>
      </c>
      <c r="I8" s="430">
        <v>15</v>
      </c>
      <c r="J8" s="432" t="s">
        <v>1037</v>
      </c>
      <c r="K8" s="433">
        <v>356.4</v>
      </c>
    </row>
    <row r="9" spans="1:11">
      <c r="A9" s="429" t="s">
        <v>1381</v>
      </c>
      <c r="B9" s="431" t="s">
        <v>6</v>
      </c>
      <c r="C9" s="431">
        <v>47</v>
      </c>
      <c r="D9" s="431" t="s">
        <v>83</v>
      </c>
      <c r="E9" s="431">
        <v>5339</v>
      </c>
      <c r="F9" s="431" t="s">
        <v>1051</v>
      </c>
      <c r="G9" s="431" t="s">
        <v>1064</v>
      </c>
      <c r="H9" s="431" t="s">
        <v>190</v>
      </c>
      <c r="I9" s="431">
        <v>0</v>
      </c>
      <c r="J9" s="432" t="s">
        <v>1073</v>
      </c>
      <c r="K9" s="433">
        <v>4.0999999999999996</v>
      </c>
    </row>
    <row r="10" spans="1:11" ht="15.75" thickBot="1">
      <c r="A10" s="443" t="s">
        <v>1381</v>
      </c>
      <c r="B10" s="444" t="s">
        <v>6</v>
      </c>
      <c r="C10" s="444">
        <v>47</v>
      </c>
      <c r="D10" s="444" t="s">
        <v>83</v>
      </c>
      <c r="E10" s="444">
        <v>6918</v>
      </c>
      <c r="F10" s="444" t="s">
        <v>1059</v>
      </c>
      <c r="G10" s="444" t="s">
        <v>546</v>
      </c>
      <c r="H10" s="444" t="s">
        <v>8</v>
      </c>
      <c r="I10" s="444">
        <v>0</v>
      </c>
      <c r="J10" s="445" t="s">
        <v>1080</v>
      </c>
      <c r="K10" s="446">
        <v>7</v>
      </c>
    </row>
    <row r="11" spans="1:11" ht="15.75" thickBot="1">
      <c r="A11" s="447" t="s">
        <v>53</v>
      </c>
      <c r="B11" s="448"/>
      <c r="C11" s="448"/>
      <c r="D11" s="448"/>
      <c r="E11" s="448"/>
      <c r="F11" s="448"/>
      <c r="G11" s="448"/>
      <c r="H11" s="448"/>
      <c r="I11" s="449">
        <f>SUM(I3:I10)</f>
        <v>85</v>
      </c>
      <c r="J11" s="448"/>
      <c r="K11" s="450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VARGIN TEA AC-2020-21</vt:lpstr>
      <vt:lpstr>ARRIVEL-2020-21</vt:lpstr>
      <vt:lpstr>BLEND PAPER USED-2020-21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2021-10-01T06:41:54Z</dcterms:modified>
</cp:coreProperties>
</file>