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ya\Downloads\excel-main\excel-main\"/>
    </mc:Choice>
  </mc:AlternateContent>
  <xr:revisionPtr revIDLastSave="0" documentId="13_ncr:1_{91A930EC-A37C-443E-805D-49BB6E9D37A2}" xr6:coauthVersionLast="45" xr6:coauthVersionMax="45" xr10:uidLastSave="{00000000-0000-0000-0000-000000000000}"/>
  <bookViews>
    <workbookView xWindow="-120" yWindow="-120" windowWidth="20730" windowHeight="11160" activeTab="2" xr2:uid="{00000000-000D-0000-FFFF-FFFF00000000}"/>
  </bookViews>
  <sheets>
    <sheet name="April 2021-22" sheetId="79" r:id="rId1"/>
    <sheet name="May 2021" sheetId="80" r:id="rId2"/>
    <sheet name="June 2021" sheetId="81" r:id="rId3"/>
  </sheets>
  <externalReferences>
    <externalReference r:id="rId4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3" i="81" l="1"/>
  <c r="E36" i="81" l="1"/>
  <c r="E35" i="81"/>
  <c r="E34" i="81"/>
  <c r="E33" i="81"/>
  <c r="E32" i="81"/>
  <c r="E31" i="81"/>
  <c r="E30" i="81"/>
  <c r="E29" i="81"/>
  <c r="E27" i="81"/>
  <c r="E26" i="81"/>
  <c r="E25" i="81"/>
  <c r="E24" i="81"/>
  <c r="E23" i="81"/>
  <c r="E22" i="81"/>
  <c r="E21" i="81"/>
  <c r="E19" i="81"/>
  <c r="E18" i="81"/>
  <c r="E17" i="81"/>
  <c r="E16" i="81"/>
  <c r="E15" i="81"/>
  <c r="E13" i="81"/>
  <c r="E12" i="81"/>
  <c r="E11" i="81"/>
  <c r="E10" i="81"/>
  <c r="E8" i="81"/>
  <c r="E7" i="81"/>
  <c r="E6" i="81"/>
  <c r="E5" i="81"/>
  <c r="E4" i="81"/>
  <c r="G29" i="81" l="1"/>
  <c r="I29" i="81" s="1"/>
  <c r="K29" i="81" s="1"/>
  <c r="F30" i="81"/>
  <c r="F29" i="81"/>
  <c r="F4" i="81"/>
  <c r="F25" i="81" s="1"/>
  <c r="G25" i="81" s="1"/>
  <c r="I25" i="81" s="1"/>
  <c r="K25" i="81" s="1"/>
  <c r="F11" i="81"/>
  <c r="F10" i="81"/>
  <c r="F6" i="81"/>
  <c r="F7" i="81"/>
  <c r="F18" i="81" s="1"/>
  <c r="G18" i="81" s="1"/>
  <c r="I18" i="81" s="1"/>
  <c r="K18" i="81" s="1"/>
  <c r="F8" i="81"/>
  <c r="F19" i="81" s="1"/>
  <c r="G24" i="81" s="1"/>
  <c r="I24" i="81" s="1"/>
  <c r="K24" i="81" s="1"/>
  <c r="F13" i="81"/>
  <c r="F15" i="81" s="1"/>
  <c r="G15" i="81" s="1"/>
  <c r="I15" i="81" s="1"/>
  <c r="K15" i="81" s="1"/>
  <c r="F5" i="81"/>
  <c r="F12" i="81"/>
  <c r="F22" i="81" s="1"/>
  <c r="G22" i="81" s="1"/>
  <c r="I22" i="81" s="1"/>
  <c r="K22" i="81" s="1"/>
  <c r="G12" i="81" l="1"/>
  <c r="I12" i="81" s="1"/>
  <c r="K12" i="81" s="1"/>
  <c r="G7" i="81"/>
  <c r="I7" i="81" s="1"/>
  <c r="K7" i="81" s="1"/>
  <c r="G4" i="81"/>
  <c r="I4" i="81" s="1"/>
  <c r="K4" i="81" s="1"/>
  <c r="F32" i="81"/>
  <c r="G32" i="81" s="1"/>
  <c r="I32" i="81" s="1"/>
  <c r="K32" i="81" s="1"/>
  <c r="F33" i="81"/>
  <c r="G33" i="81" s="1"/>
  <c r="I33" i="81" s="1"/>
  <c r="K33" i="81" s="1"/>
  <c r="G30" i="81"/>
  <c r="I30" i="81" s="1"/>
  <c r="K30" i="81" s="1"/>
  <c r="F36" i="81"/>
  <c r="G36" i="81" s="1"/>
  <c r="I36" i="81" s="1"/>
  <c r="K36" i="81" s="1"/>
  <c r="F31" i="81"/>
  <c r="G31" i="81" s="1"/>
  <c r="I31" i="81" s="1"/>
  <c r="K31" i="81" s="1"/>
  <c r="F34" i="81"/>
  <c r="G34" i="81" s="1"/>
  <c r="I34" i="81" s="1"/>
  <c r="K34" i="81" s="1"/>
  <c r="F35" i="81"/>
  <c r="G35" i="81" s="1"/>
  <c r="I35" i="81" s="1"/>
  <c r="K35" i="81" s="1"/>
  <c r="F16" i="81"/>
  <c r="G16" i="81" s="1"/>
  <c r="I16" i="81" s="1"/>
  <c r="K16" i="81" s="1"/>
  <c r="F27" i="81"/>
  <c r="G27" i="81" s="1"/>
  <c r="I27" i="81" s="1"/>
  <c r="K27" i="81" s="1"/>
  <c r="G11" i="81"/>
  <c r="I11" i="81" s="1"/>
  <c r="K11" i="81" s="1"/>
  <c r="G10" i="81"/>
  <c r="I10" i="81" s="1"/>
  <c r="K10" i="81" s="1"/>
  <c r="F21" i="81"/>
  <c r="G21" i="81" s="1"/>
  <c r="I21" i="81" s="1"/>
  <c r="K21" i="81" s="1"/>
  <c r="F17" i="81"/>
  <c r="G17" i="81" s="1"/>
  <c r="I17" i="81" s="1"/>
  <c r="K17" i="81" s="1"/>
  <c r="G6" i="81"/>
  <c r="I6" i="81" s="1"/>
  <c r="K6" i="81" s="1"/>
  <c r="G8" i="81"/>
  <c r="I8" i="81" s="1"/>
  <c r="K8" i="81" s="1"/>
  <c r="G19" i="81"/>
  <c r="I19" i="81" s="1"/>
  <c r="K19" i="81" s="1"/>
  <c r="F24" i="81"/>
  <c r="G13" i="81"/>
  <c r="I13" i="81" s="1"/>
  <c r="K13" i="81" s="1"/>
  <c r="G23" i="81"/>
  <c r="I23" i="81" s="1"/>
  <c r="K23" i="81" s="1"/>
  <c r="F26" i="81"/>
  <c r="G26" i="81" s="1"/>
  <c r="I26" i="81" s="1"/>
  <c r="K26" i="81" s="1"/>
  <c r="G5" i="81"/>
  <c r="I5" i="81" s="1"/>
  <c r="K5" i="81" s="1"/>
  <c r="F38" i="81"/>
  <c r="F30" i="80"/>
  <c r="F29" i="80"/>
  <c r="F13" i="80"/>
  <c r="F12" i="80"/>
  <c r="F11" i="80"/>
  <c r="F10" i="80"/>
  <c r="F8" i="80"/>
  <c r="F7" i="80"/>
  <c r="F6" i="80"/>
  <c r="F5" i="80"/>
  <c r="F4" i="80"/>
  <c r="C13" i="80" l="1"/>
  <c r="F25" i="80" l="1"/>
  <c r="G25" i="80" s="1"/>
  <c r="I25" i="80" s="1"/>
  <c r="E36" i="80"/>
  <c r="E35" i="80"/>
  <c r="E34" i="80"/>
  <c r="E33" i="80"/>
  <c r="E32" i="80"/>
  <c r="E31" i="80"/>
  <c r="G30" i="80"/>
  <c r="I30" i="80" s="1"/>
  <c r="E30" i="80"/>
  <c r="G29" i="80"/>
  <c r="I29" i="80" s="1"/>
  <c r="F35" i="80"/>
  <c r="G35" i="80" s="1"/>
  <c r="I35" i="80" s="1"/>
  <c r="E29" i="80"/>
  <c r="E27" i="80"/>
  <c r="E26" i="80"/>
  <c r="E25" i="80"/>
  <c r="E24" i="80"/>
  <c r="E23" i="80"/>
  <c r="E22" i="80"/>
  <c r="E21" i="80"/>
  <c r="E19" i="80"/>
  <c r="E18" i="80"/>
  <c r="E17" i="80"/>
  <c r="E16" i="80"/>
  <c r="F15" i="80"/>
  <c r="G15" i="80" s="1"/>
  <c r="I15" i="80" s="1"/>
  <c r="E15" i="80"/>
  <c r="G13" i="80"/>
  <c r="I13" i="80" s="1"/>
  <c r="E13" i="80"/>
  <c r="F22" i="80"/>
  <c r="G22" i="80" s="1"/>
  <c r="I22" i="80" s="1"/>
  <c r="E12" i="80"/>
  <c r="G11" i="80"/>
  <c r="I11" i="80" s="1"/>
  <c r="E11" i="80"/>
  <c r="F21" i="80"/>
  <c r="G21" i="80" s="1"/>
  <c r="I21" i="80" s="1"/>
  <c r="E10" i="80"/>
  <c r="F19" i="80"/>
  <c r="G19" i="80" s="1"/>
  <c r="I19" i="80" s="1"/>
  <c r="E8" i="80"/>
  <c r="G7" i="80"/>
  <c r="I7" i="80" s="1"/>
  <c r="E7" i="80"/>
  <c r="G6" i="80"/>
  <c r="I6" i="80" s="1"/>
  <c r="E6" i="80"/>
  <c r="G5" i="80"/>
  <c r="I5" i="80" s="1"/>
  <c r="F26" i="80"/>
  <c r="G26" i="80" s="1"/>
  <c r="I26" i="80" s="1"/>
  <c r="E5" i="80"/>
  <c r="E4" i="80"/>
  <c r="C13" i="79"/>
  <c r="F30" i="79"/>
  <c r="F29" i="79"/>
  <c r="F13" i="79"/>
  <c r="F12" i="79"/>
  <c r="F11" i="79"/>
  <c r="F10" i="79"/>
  <c r="F8" i="79"/>
  <c r="F7" i="79"/>
  <c r="G7" i="79" s="1"/>
  <c r="F6" i="79"/>
  <c r="F5" i="79"/>
  <c r="F4" i="79"/>
  <c r="G4" i="79" s="1"/>
  <c r="K22" i="80" l="1"/>
  <c r="K29" i="80"/>
  <c r="K5" i="80"/>
  <c r="K19" i="80"/>
  <c r="G23" i="80"/>
  <c r="I23" i="80" s="1"/>
  <c r="F34" i="80"/>
  <c r="G34" i="80" s="1"/>
  <c r="I34" i="80" s="1"/>
  <c r="K34" i="80" s="1"/>
  <c r="F18" i="80"/>
  <c r="G18" i="80" s="1"/>
  <c r="I18" i="80" s="1"/>
  <c r="K18" i="80" s="1"/>
  <c r="F24" i="80"/>
  <c r="G8" i="80"/>
  <c r="I8" i="80" s="1"/>
  <c r="K8" i="80" s="1"/>
  <c r="G10" i="80"/>
  <c r="I10" i="80" s="1"/>
  <c r="K10" i="80" s="1"/>
  <c r="G4" i="80"/>
  <c r="I4" i="80" s="1"/>
  <c r="K4" i="80" s="1"/>
  <c r="F16" i="80"/>
  <c r="G16" i="80" s="1"/>
  <c r="I16" i="80" s="1"/>
  <c r="K16" i="80" s="1"/>
  <c r="K23" i="80"/>
  <c r="K6" i="80"/>
  <c r="K25" i="80"/>
  <c r="K11" i="80"/>
  <c r="K13" i="80"/>
  <c r="K21" i="80"/>
  <c r="K30" i="80"/>
  <c r="K7" i="80"/>
  <c r="K15" i="80"/>
  <c r="K26" i="80"/>
  <c r="K35" i="80"/>
  <c r="G24" i="80"/>
  <c r="I24" i="80" s="1"/>
  <c r="K24" i="80" s="1"/>
  <c r="F33" i="80"/>
  <c r="G33" i="80" s="1"/>
  <c r="I33" i="80" s="1"/>
  <c r="K33" i="80" s="1"/>
  <c r="G12" i="80"/>
  <c r="I12" i="80" s="1"/>
  <c r="K12" i="80" s="1"/>
  <c r="F17" i="80"/>
  <c r="G17" i="80" s="1"/>
  <c r="I17" i="80" s="1"/>
  <c r="K17" i="80" s="1"/>
  <c r="F27" i="80"/>
  <c r="G27" i="80" s="1"/>
  <c r="I27" i="80" s="1"/>
  <c r="K27" i="80" s="1"/>
  <c r="F32" i="80"/>
  <c r="G32" i="80" s="1"/>
  <c r="I32" i="80" s="1"/>
  <c r="K32" i="80" s="1"/>
  <c r="F36" i="80"/>
  <c r="G36" i="80" s="1"/>
  <c r="I36" i="80" s="1"/>
  <c r="K36" i="80" s="1"/>
  <c r="F38" i="80"/>
  <c r="F31" i="80"/>
  <c r="G31" i="80" s="1"/>
  <c r="I31" i="80" s="1"/>
  <c r="K31" i="80" s="1"/>
  <c r="F17" i="79"/>
  <c r="G17" i="79" s="1"/>
  <c r="G6" i="79"/>
  <c r="F24" i="79"/>
  <c r="G8" i="79"/>
  <c r="G23" i="79"/>
  <c r="F38" i="79"/>
  <c r="F19" i="79"/>
  <c r="G24" i="79" s="1"/>
  <c r="G19" i="79" l="1"/>
  <c r="I8" i="79"/>
  <c r="E8" i="79"/>
  <c r="K8" i="79" l="1"/>
  <c r="F18" i="79"/>
  <c r="G5" i="79"/>
  <c r="I5" i="79" s="1"/>
  <c r="F25" i="79"/>
  <c r="G25" i="79" s="1"/>
  <c r="I25" i="79" s="1"/>
  <c r="E36" i="79"/>
  <c r="E35" i="79"/>
  <c r="E34" i="79"/>
  <c r="E33" i="79"/>
  <c r="F32" i="79"/>
  <c r="G32" i="79" s="1"/>
  <c r="I32" i="79" s="1"/>
  <c r="E32" i="79"/>
  <c r="E31" i="79"/>
  <c r="F33" i="79"/>
  <c r="G33" i="79" s="1"/>
  <c r="I33" i="79" s="1"/>
  <c r="E30" i="79"/>
  <c r="F31" i="79"/>
  <c r="G31" i="79" s="1"/>
  <c r="I31" i="79" s="1"/>
  <c r="E29" i="79"/>
  <c r="E27" i="79"/>
  <c r="E26" i="79"/>
  <c r="E25" i="79"/>
  <c r="E24" i="79"/>
  <c r="E23" i="79"/>
  <c r="E22" i="79"/>
  <c r="E21" i="79"/>
  <c r="E19" i="79"/>
  <c r="E18" i="79"/>
  <c r="E17" i="79"/>
  <c r="E16" i="79"/>
  <c r="E15" i="79"/>
  <c r="E13" i="79"/>
  <c r="F22" i="79"/>
  <c r="G22" i="79" s="1"/>
  <c r="I22" i="79" s="1"/>
  <c r="E12" i="79"/>
  <c r="G11" i="79"/>
  <c r="I11" i="79" s="1"/>
  <c r="E11" i="79"/>
  <c r="F21" i="79"/>
  <c r="G21" i="79" s="1"/>
  <c r="I21" i="79" s="1"/>
  <c r="E10" i="79"/>
  <c r="E7" i="79"/>
  <c r="E6" i="79"/>
  <c r="E5" i="79"/>
  <c r="I4" i="79"/>
  <c r="E4" i="79"/>
  <c r="G18" i="79" l="1"/>
  <c r="I18" i="79" s="1"/>
  <c r="K18" i="79" s="1"/>
  <c r="K4" i="79"/>
  <c r="I17" i="79"/>
  <c r="K17" i="79" s="1"/>
  <c r="I23" i="79"/>
  <c r="K23" i="79" s="1"/>
  <c r="F15" i="79"/>
  <c r="G15" i="79" s="1"/>
  <c r="I15" i="79" s="1"/>
  <c r="K15" i="79" s="1"/>
  <c r="I19" i="79"/>
  <c r="K19" i="79" s="1"/>
  <c r="G10" i="79"/>
  <c r="I10" i="79" s="1"/>
  <c r="K10" i="79" s="1"/>
  <c r="G13" i="79"/>
  <c r="I13" i="79" s="1"/>
  <c r="K13" i="79" s="1"/>
  <c r="F26" i="79"/>
  <c r="G26" i="79" s="1"/>
  <c r="I26" i="79" s="1"/>
  <c r="K26" i="79" s="1"/>
  <c r="G12" i="79"/>
  <c r="I12" i="79" s="1"/>
  <c r="K12" i="79" s="1"/>
  <c r="F16" i="79"/>
  <c r="G16" i="79" s="1"/>
  <c r="I16" i="79" s="1"/>
  <c r="K16" i="79" s="1"/>
  <c r="I7" i="79"/>
  <c r="K7" i="79" s="1"/>
  <c r="K32" i="79"/>
  <c r="F34" i="79"/>
  <c r="G34" i="79" s="1"/>
  <c r="I34" i="79" s="1"/>
  <c r="K34" i="79" s="1"/>
  <c r="F35" i="79"/>
  <c r="G35" i="79" s="1"/>
  <c r="I35" i="79" s="1"/>
  <c r="K35" i="79" s="1"/>
  <c r="K22" i="79"/>
  <c r="G29" i="79"/>
  <c r="I29" i="79" s="1"/>
  <c r="K29" i="79" s="1"/>
  <c r="G30" i="79"/>
  <c r="I30" i="79" s="1"/>
  <c r="K30" i="79" s="1"/>
  <c r="F36" i="79"/>
  <c r="G36" i="79" s="1"/>
  <c r="I36" i="79" s="1"/>
  <c r="K36" i="79" s="1"/>
  <c r="I24" i="79"/>
  <c r="K24" i="79" s="1"/>
  <c r="K5" i="79"/>
  <c r="K11" i="79"/>
  <c r="K25" i="79"/>
  <c r="K33" i="79"/>
  <c r="K21" i="79"/>
  <c r="K31" i="79"/>
  <c r="F27" i="79"/>
  <c r="G27" i="79" s="1"/>
  <c r="I27" i="79" s="1"/>
  <c r="K27" i="79" s="1"/>
  <c r="I6" i="79"/>
  <c r="K6" i="79" s="1"/>
</calcChain>
</file>

<file path=xl/sharedStrings.xml><?xml version="1.0" encoding="utf-8"?>
<sst xmlns="http://schemas.openxmlformats.org/spreadsheetml/2006/main" count="123" uniqueCount="44">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</sst>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0</v>
          </cell>
          <cell r="C30">
            <v>1224</v>
          </cell>
          <cell r="D30">
            <v>4410</v>
          </cell>
          <cell r="E30">
            <v>552</v>
          </cell>
          <cell r="F30">
            <v>0</v>
          </cell>
          <cell r="G30">
            <v>0</v>
          </cell>
          <cell r="H30">
            <v>1416</v>
          </cell>
          <cell r="I30">
            <v>0</v>
          </cell>
          <cell r="J30">
            <v>6192</v>
          </cell>
          <cell r="K30">
            <v>2748</v>
          </cell>
          <cell r="L3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"/>
  <sheetViews>
    <sheetView zoomScaleNormal="100" workbookViewId="0">
      <selection activeCell="M4" sqref="M4:M36"/>
    </sheetView>
  </sheetViews>
  <sheetFormatPr defaultRowHeight="15" x14ac:dyDescent="0.2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 x14ac:dyDescent="0.3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 x14ac:dyDescent="0.3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 x14ac:dyDescent="0.25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 x14ac:dyDescent="0.25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 x14ac:dyDescent="0.25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 x14ac:dyDescent="0.25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 x14ac:dyDescent="0.25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 x14ac:dyDescent="0.25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 x14ac:dyDescent="0.25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 x14ac:dyDescent="0.25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 x14ac:dyDescent="0.25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 x14ac:dyDescent="0.25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 x14ac:dyDescent="0.25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 x14ac:dyDescent="0.25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 x14ac:dyDescent="0.25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 x14ac:dyDescent="0.25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 x14ac:dyDescent="0.25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 x14ac:dyDescent="0.25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 x14ac:dyDescent="0.25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 x14ac:dyDescent="0.25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 x14ac:dyDescent="0.25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 x14ac:dyDescent="0.25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 x14ac:dyDescent="0.25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 x14ac:dyDescent="0.25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 x14ac:dyDescent="0.25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 x14ac:dyDescent="0.25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 x14ac:dyDescent="0.25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 x14ac:dyDescent="0.25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 x14ac:dyDescent="0.25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 x14ac:dyDescent="0.25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 x14ac:dyDescent="0.25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 x14ac:dyDescent="0.25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 x14ac:dyDescent="0.25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 x14ac:dyDescent="0.25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 x14ac:dyDescent="0.25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 x14ac:dyDescent="0.3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 x14ac:dyDescent="0.25">
      <c r="B37" s="41"/>
    </row>
    <row r="38" spans="1:11" x14ac:dyDescent="0.25">
      <c r="F38" s="61">
        <f>F4+F5+F6+F7+F8+F10+F11+F12+F13+F29+F30</f>
        <v>128662</v>
      </c>
    </row>
    <row r="39" spans="1:11" x14ac:dyDescent="0.25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"/>
  <sheetViews>
    <sheetView zoomScaleNormal="100" workbookViewId="0">
      <selection activeCell="A2" sqref="A2"/>
    </sheetView>
  </sheetViews>
  <sheetFormatPr defaultRowHeight="15" x14ac:dyDescent="0.2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 x14ac:dyDescent="0.3">
      <c r="A1" s="67" t="s">
        <v>42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 x14ac:dyDescent="0.3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 x14ac:dyDescent="0.25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 x14ac:dyDescent="0.25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 x14ac:dyDescent="0.25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 x14ac:dyDescent="0.25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 x14ac:dyDescent="0.25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 x14ac:dyDescent="0.25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 x14ac:dyDescent="0.25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 x14ac:dyDescent="0.25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 x14ac:dyDescent="0.25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 x14ac:dyDescent="0.25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 x14ac:dyDescent="0.25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 x14ac:dyDescent="0.25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 x14ac:dyDescent="0.25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 x14ac:dyDescent="0.25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 x14ac:dyDescent="0.25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 x14ac:dyDescent="0.25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 x14ac:dyDescent="0.25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 x14ac:dyDescent="0.25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 x14ac:dyDescent="0.25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 x14ac:dyDescent="0.25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 x14ac:dyDescent="0.25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 x14ac:dyDescent="0.25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 x14ac:dyDescent="0.25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 x14ac:dyDescent="0.25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 x14ac:dyDescent="0.25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 x14ac:dyDescent="0.25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 x14ac:dyDescent="0.25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 x14ac:dyDescent="0.25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 x14ac:dyDescent="0.25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 x14ac:dyDescent="0.25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 x14ac:dyDescent="0.25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 x14ac:dyDescent="0.25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 x14ac:dyDescent="0.25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 x14ac:dyDescent="0.3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 x14ac:dyDescent="0.25">
      <c r="B37" s="41"/>
    </row>
    <row r="38" spans="1:14" x14ac:dyDescent="0.25">
      <c r="F38" s="61">
        <f>F4+F5+F6+F7+F8+F10+F11+F12+F13+F29+F30</f>
        <v>90826</v>
      </c>
    </row>
    <row r="39" spans="1:14" x14ac:dyDescent="0.25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6FBB0-A2F6-4CA2-971A-11DA26A5DA43}">
  <dimension ref="A1:N39"/>
  <sheetViews>
    <sheetView tabSelected="1" topLeftCell="A19" zoomScaleNormal="100" workbookViewId="0">
      <selection activeCell="M9" sqref="M9"/>
    </sheetView>
  </sheetViews>
  <sheetFormatPr defaultRowHeight="15" x14ac:dyDescent="0.2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 x14ac:dyDescent="0.3">
      <c r="A1" s="67" t="s">
        <v>43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 x14ac:dyDescent="0.3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 x14ac:dyDescent="0.25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 x14ac:dyDescent="0.25">
      <c r="A4" s="7" t="s">
        <v>9</v>
      </c>
      <c r="B4" s="26">
        <v>3127.5</v>
      </c>
      <c r="C4" s="27">
        <v>3000</v>
      </c>
      <c r="D4" s="3"/>
      <c r="E4" s="28">
        <f t="shared" ref="E4:E7" si="0">B4+C4+D4</f>
        <v>6127.5</v>
      </c>
      <c r="F4" s="29">
        <f>'[1]June 2021'!$J$30</f>
        <v>6192</v>
      </c>
      <c r="G4" s="29">
        <f>F4*0.024</f>
        <v>148.608</v>
      </c>
      <c r="H4" s="28"/>
      <c r="I4" s="28">
        <f>G4+H4</f>
        <v>148.608</v>
      </c>
      <c r="J4" s="28"/>
      <c r="K4" s="29">
        <f>E4-I4-J4</f>
        <v>5978.8919999999998</v>
      </c>
      <c r="N4" s="41"/>
    </row>
    <row r="5" spans="1:14" x14ac:dyDescent="0.25">
      <c r="A5" s="7" t="s">
        <v>10</v>
      </c>
      <c r="B5" s="26">
        <v>368.73</v>
      </c>
      <c r="C5" s="27"/>
      <c r="D5" s="3"/>
      <c r="E5" s="28">
        <f t="shared" si="0"/>
        <v>368.73</v>
      </c>
      <c r="F5" s="29">
        <f>'[1]June 2021'!$C$30</f>
        <v>1224</v>
      </c>
      <c r="G5" s="29">
        <f>F5*0.024</f>
        <v>29.376000000000001</v>
      </c>
      <c r="H5" s="28"/>
      <c r="I5" s="28">
        <f t="shared" ref="I5:I6" si="1">G5+H5</f>
        <v>29.376000000000001</v>
      </c>
      <c r="J5" s="28"/>
      <c r="K5" s="28">
        <f>E5-I5-J5</f>
        <v>339.35400000000004</v>
      </c>
      <c r="N5" s="41"/>
    </row>
    <row r="6" spans="1:14" x14ac:dyDescent="0.25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 x14ac:dyDescent="0.25">
      <c r="A7" s="7" t="s">
        <v>38</v>
      </c>
      <c r="B7" s="26">
        <v>84.4</v>
      </c>
      <c r="C7" s="27"/>
      <c r="D7" s="3"/>
      <c r="E7" s="28">
        <f t="shared" si="0"/>
        <v>84.4</v>
      </c>
      <c r="F7" s="29">
        <f>'[1]June 2021'!$F$30</f>
        <v>0</v>
      </c>
      <c r="G7" s="29">
        <f>F7*0.075</f>
        <v>0</v>
      </c>
      <c r="H7" s="28"/>
      <c r="I7" s="28">
        <f>G7+H7</f>
        <v>0</v>
      </c>
      <c r="J7" s="28"/>
      <c r="K7" s="28">
        <f>E7-I7-J7</f>
        <v>84.4</v>
      </c>
      <c r="N7" s="41"/>
    </row>
    <row r="8" spans="1:14" x14ac:dyDescent="0.25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 x14ac:dyDescent="0.25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 x14ac:dyDescent="0.25">
      <c r="A10" s="7" t="s">
        <v>11</v>
      </c>
      <c r="B10" s="33">
        <v>28539</v>
      </c>
      <c r="C10" s="2">
        <v>506</v>
      </c>
      <c r="D10" s="3"/>
      <c r="E10" s="34">
        <f>B10+C10+D10</f>
        <v>29045</v>
      </c>
      <c r="F10" s="35">
        <f>'[1]June 2021'!$H$30</f>
        <v>1416</v>
      </c>
      <c r="G10" s="35">
        <f>F10*1</f>
        <v>1416</v>
      </c>
      <c r="H10" s="2"/>
      <c r="I10" s="28">
        <f t="shared" ref="I10:I13" si="4">G10+H10</f>
        <v>1416</v>
      </c>
      <c r="J10" s="28"/>
      <c r="K10" s="63">
        <f>E10-I10-J10</f>
        <v>27629</v>
      </c>
      <c r="N10" s="41"/>
    </row>
    <row r="11" spans="1:14" x14ac:dyDescent="0.25">
      <c r="A11" s="7" t="s">
        <v>26</v>
      </c>
      <c r="B11" s="33">
        <v>74085</v>
      </c>
      <c r="C11" s="2">
        <v>560</v>
      </c>
      <c r="D11" s="3"/>
      <c r="E11" s="34">
        <f>B11+C11+D11</f>
        <v>74645</v>
      </c>
      <c r="F11" s="35">
        <f>'[1]June 2021'!$I$30</f>
        <v>0</v>
      </c>
      <c r="G11" s="35">
        <f>F11*2</f>
        <v>0</v>
      </c>
      <c r="H11" s="34"/>
      <c r="I11" s="28">
        <f t="shared" si="4"/>
        <v>0</v>
      </c>
      <c r="J11" s="28"/>
      <c r="K11" s="63">
        <f>E11-I11-J11</f>
        <v>74645</v>
      </c>
      <c r="N11" s="41"/>
    </row>
    <row r="12" spans="1:14" x14ac:dyDescent="0.25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0</v>
      </c>
      <c r="G12" s="35">
        <f>F12*1</f>
        <v>0</v>
      </c>
      <c r="H12" s="34"/>
      <c r="I12" s="28">
        <f t="shared" si="4"/>
        <v>0</v>
      </c>
      <c r="J12" s="28"/>
      <c r="K12" s="63">
        <f>E12-I12-J12</f>
        <v>7584</v>
      </c>
      <c r="N12" s="41"/>
    </row>
    <row r="13" spans="1:14" x14ac:dyDescent="0.25">
      <c r="A13" s="7" t="s">
        <v>13</v>
      </c>
      <c r="B13" s="33">
        <v>3518</v>
      </c>
      <c r="C13" s="2">
        <f>2900+2350</f>
        <v>5250</v>
      </c>
      <c r="D13" s="3"/>
      <c r="E13" s="34">
        <f>B13+C13+D13</f>
        <v>8768</v>
      </c>
      <c r="F13" s="35">
        <f>'[1]June 2021'!$D$30</f>
        <v>4410</v>
      </c>
      <c r="G13" s="35">
        <f>F13/5</f>
        <v>882</v>
      </c>
      <c r="H13" s="34"/>
      <c r="I13" s="28">
        <f t="shared" si="4"/>
        <v>882</v>
      </c>
      <c r="J13" s="28"/>
      <c r="K13" s="63">
        <f>E13-I13-J13</f>
        <v>7886</v>
      </c>
      <c r="L13" s="62"/>
      <c r="N13" s="41"/>
    </row>
    <row r="14" spans="1:14" ht="16.5" customHeight="1" x14ac:dyDescent="0.25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 x14ac:dyDescent="0.25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4410</v>
      </c>
      <c r="G15" s="35">
        <f>F15/5</f>
        <v>882</v>
      </c>
      <c r="H15" s="34"/>
      <c r="I15" s="28">
        <f t="shared" ref="I15:I19" si="6">G15+H15</f>
        <v>882</v>
      </c>
      <c r="J15" s="28"/>
      <c r="K15" s="63">
        <f>E15-I15-J15</f>
        <v>96468</v>
      </c>
      <c r="N15" s="41"/>
    </row>
    <row r="16" spans="1:14" x14ac:dyDescent="0.25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7416</v>
      </c>
      <c r="G16" s="35">
        <f>F16/2</f>
        <v>3708</v>
      </c>
      <c r="H16" s="34"/>
      <c r="I16" s="28">
        <f t="shared" si="6"/>
        <v>3708</v>
      </c>
      <c r="J16" s="28"/>
      <c r="K16" s="63">
        <f>E16-I16-J16</f>
        <v>105828</v>
      </c>
      <c r="N16" s="41"/>
    </row>
    <row r="17" spans="1:14" x14ac:dyDescent="0.25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 x14ac:dyDescent="0.25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0</v>
      </c>
      <c r="G18" s="35">
        <f>(F18/22)*25</f>
        <v>0</v>
      </c>
      <c r="H18" s="34"/>
      <c r="I18" s="28">
        <f t="shared" si="6"/>
        <v>0</v>
      </c>
      <c r="J18" s="28"/>
      <c r="K18" s="63">
        <f>E18-I18-J18</f>
        <v>185639</v>
      </c>
      <c r="N18" s="41"/>
    </row>
    <row r="19" spans="1:14" x14ac:dyDescent="0.25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 x14ac:dyDescent="0.25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 x14ac:dyDescent="0.25">
      <c r="A21" s="7" t="s">
        <v>19</v>
      </c>
      <c r="B21" s="40">
        <v>200</v>
      </c>
      <c r="C21" s="2"/>
      <c r="D21" s="3"/>
      <c r="E21" s="34">
        <f t="shared" ref="E21:E27" si="7">B21+C21+D21</f>
        <v>200</v>
      </c>
      <c r="F21" s="35">
        <f>F10</f>
        <v>1416</v>
      </c>
      <c r="G21" s="35">
        <f>F21/24</f>
        <v>59</v>
      </c>
      <c r="H21" s="34"/>
      <c r="I21" s="28">
        <f t="shared" ref="I21:I26" si="8">G21+H21</f>
        <v>59</v>
      </c>
      <c r="J21" s="28"/>
      <c r="K21" s="63">
        <f t="shared" ref="K21:K27" si="9">E21-I21-J21</f>
        <v>141</v>
      </c>
      <c r="N21" s="41"/>
    </row>
    <row r="22" spans="1:14" x14ac:dyDescent="0.25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0</v>
      </c>
      <c r="G22" s="35">
        <f>F22/24</f>
        <v>0</v>
      </c>
      <c r="H22" s="34"/>
      <c r="I22" s="28">
        <f t="shared" si="8"/>
        <v>0</v>
      </c>
      <c r="J22" s="28"/>
      <c r="K22" s="63">
        <f t="shared" si="9"/>
        <v>1424</v>
      </c>
      <c r="N22" s="41"/>
    </row>
    <row r="23" spans="1:14" x14ac:dyDescent="0.25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147</v>
      </c>
      <c r="H23" s="34"/>
      <c r="I23" s="28">
        <f t="shared" si="8"/>
        <v>147</v>
      </c>
      <c r="J23" s="28"/>
      <c r="K23" s="33">
        <f t="shared" si="9"/>
        <v>5282</v>
      </c>
      <c r="L23" s="41"/>
      <c r="N23" s="41"/>
    </row>
    <row r="24" spans="1:14" x14ac:dyDescent="0.25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 x14ac:dyDescent="0.25">
      <c r="A25" s="7" t="s">
        <v>16</v>
      </c>
      <c r="B25" s="40">
        <v>2547</v>
      </c>
      <c r="C25" s="2"/>
      <c r="D25" s="3"/>
      <c r="E25" s="34">
        <f t="shared" si="7"/>
        <v>2547</v>
      </c>
      <c r="F25" s="35">
        <f>F4</f>
        <v>6192</v>
      </c>
      <c r="G25" s="35">
        <f>F25/24</f>
        <v>258</v>
      </c>
      <c r="H25" s="34"/>
      <c r="I25" s="28">
        <f t="shared" si="8"/>
        <v>258</v>
      </c>
      <c r="J25" s="28"/>
      <c r="K25" s="63">
        <f t="shared" si="9"/>
        <v>2289</v>
      </c>
      <c r="M25" s="62"/>
      <c r="N25" s="41"/>
    </row>
    <row r="26" spans="1:14" x14ac:dyDescent="0.25">
      <c r="A26" s="7" t="s">
        <v>17</v>
      </c>
      <c r="B26" s="40">
        <v>367</v>
      </c>
      <c r="C26" s="2"/>
      <c r="D26" s="3"/>
      <c r="E26" s="34">
        <f t="shared" si="7"/>
        <v>367</v>
      </c>
      <c r="F26" s="35">
        <f>F5</f>
        <v>1224</v>
      </c>
      <c r="G26" s="35">
        <f>F26/24</f>
        <v>51</v>
      </c>
      <c r="H26" s="34"/>
      <c r="I26" s="28">
        <f t="shared" si="8"/>
        <v>51</v>
      </c>
      <c r="J26" s="28"/>
      <c r="K26" s="63">
        <f t="shared" si="9"/>
        <v>316</v>
      </c>
      <c r="N26" s="41"/>
    </row>
    <row r="27" spans="1:14" x14ac:dyDescent="0.25">
      <c r="A27" s="7" t="s">
        <v>27</v>
      </c>
      <c r="B27" s="40">
        <v>154</v>
      </c>
      <c r="C27" s="2"/>
      <c r="D27" s="3"/>
      <c r="E27" s="34">
        <f t="shared" si="7"/>
        <v>154</v>
      </c>
      <c r="F27" s="35">
        <f>F11</f>
        <v>0</v>
      </c>
      <c r="G27" s="35">
        <f>F27/24</f>
        <v>0</v>
      </c>
      <c r="H27" s="34"/>
      <c r="I27" s="28">
        <f>G27+H27</f>
        <v>0</v>
      </c>
      <c r="J27" s="28"/>
      <c r="K27" s="63">
        <f t="shared" si="9"/>
        <v>154</v>
      </c>
      <c r="N27" s="41"/>
    </row>
    <row r="28" spans="1:14" x14ac:dyDescent="0.25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 x14ac:dyDescent="0.25">
      <c r="A29" s="7" t="s">
        <v>24</v>
      </c>
      <c r="B29" s="40">
        <v>21318</v>
      </c>
      <c r="C29" s="2"/>
      <c r="D29" s="3"/>
      <c r="E29" s="34">
        <f t="shared" ref="E29:E36" si="10">B29+C29+D29</f>
        <v>21318</v>
      </c>
      <c r="F29" s="44">
        <f>'[1]June 2021'!$K$30</f>
        <v>2748</v>
      </c>
      <c r="G29" s="44">
        <f>F29*2</f>
        <v>5496</v>
      </c>
      <c r="H29" s="45"/>
      <c r="I29" s="28">
        <f t="shared" ref="I29:I36" si="11">G29+H29</f>
        <v>5496</v>
      </c>
      <c r="J29" s="28"/>
      <c r="K29" s="64">
        <f t="shared" ref="K29:K35" si="12">E29-I29-J29</f>
        <v>15822</v>
      </c>
      <c r="N29" s="41"/>
    </row>
    <row r="30" spans="1:14" x14ac:dyDescent="0.25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0</v>
      </c>
      <c r="G30" s="44">
        <f>F30*4</f>
        <v>0</v>
      </c>
      <c r="H30" s="45"/>
      <c r="I30" s="28">
        <f t="shared" si="11"/>
        <v>0</v>
      </c>
      <c r="J30" s="28"/>
      <c r="K30" s="64">
        <f>E30-I30-J30</f>
        <v>21692</v>
      </c>
      <c r="N30" s="41"/>
    </row>
    <row r="31" spans="1:14" x14ac:dyDescent="0.25">
      <c r="A31" s="7" t="s">
        <v>20</v>
      </c>
      <c r="B31" s="40">
        <v>750</v>
      </c>
      <c r="C31" s="2"/>
      <c r="D31" s="3"/>
      <c r="E31" s="46">
        <f t="shared" si="10"/>
        <v>750</v>
      </c>
      <c r="F31" s="49">
        <f>F29</f>
        <v>2748</v>
      </c>
      <c r="G31" s="44">
        <f>F31/12</f>
        <v>229</v>
      </c>
      <c r="H31" s="45"/>
      <c r="I31" s="28">
        <f t="shared" si="11"/>
        <v>229</v>
      </c>
      <c r="J31" s="28"/>
      <c r="K31" s="27">
        <f t="shared" si="12"/>
        <v>521</v>
      </c>
      <c r="N31" s="41"/>
    </row>
    <row r="32" spans="1:14" x14ac:dyDescent="0.25">
      <c r="A32" s="7" t="s">
        <v>25</v>
      </c>
      <c r="B32" s="40">
        <v>115</v>
      </c>
      <c r="C32" s="4"/>
      <c r="D32" s="3"/>
      <c r="E32" s="46">
        <f t="shared" si="10"/>
        <v>115</v>
      </c>
      <c r="F32" s="49">
        <f>F30</f>
        <v>0</v>
      </c>
      <c r="G32" s="50">
        <f>F32/12</f>
        <v>0</v>
      </c>
      <c r="H32" s="51"/>
      <c r="I32" s="28">
        <f t="shared" si="11"/>
        <v>0</v>
      </c>
      <c r="J32" s="28"/>
      <c r="K32" s="27">
        <f t="shared" si="12"/>
        <v>115</v>
      </c>
      <c r="N32" s="41"/>
    </row>
    <row r="33" spans="1:14" x14ac:dyDescent="0.25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0</v>
      </c>
      <c r="G33" s="50">
        <f>F33*4</f>
        <v>0</v>
      </c>
      <c r="H33" s="48"/>
      <c r="I33" s="28">
        <f t="shared" si="11"/>
        <v>0</v>
      </c>
      <c r="J33" s="28"/>
      <c r="K33" s="27">
        <f t="shared" si="12"/>
        <v>62769</v>
      </c>
      <c r="N33" s="41"/>
    </row>
    <row r="34" spans="1:14" x14ac:dyDescent="0.25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2748</v>
      </c>
      <c r="G34" s="50">
        <f>F34*2</f>
        <v>5496</v>
      </c>
      <c r="H34" s="51"/>
      <c r="I34" s="28">
        <f t="shared" si="11"/>
        <v>5496</v>
      </c>
      <c r="J34" s="28"/>
      <c r="K34" s="27">
        <f t="shared" si="12"/>
        <v>57508</v>
      </c>
      <c r="N34" s="41"/>
    </row>
    <row r="35" spans="1:14" x14ac:dyDescent="0.25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2748</v>
      </c>
      <c r="G35" s="50">
        <f>F35*2</f>
        <v>5496</v>
      </c>
      <c r="H35" s="51"/>
      <c r="I35" s="28">
        <f t="shared" si="11"/>
        <v>5496</v>
      </c>
      <c r="J35" s="28"/>
      <c r="K35" s="27">
        <f t="shared" si="12"/>
        <v>20286</v>
      </c>
      <c r="N35" s="41"/>
    </row>
    <row r="36" spans="1:14" ht="15.75" thickBot="1" x14ac:dyDescent="0.3">
      <c r="A36" s="52" t="s">
        <v>32</v>
      </c>
      <c r="B36" s="53">
        <v>-2680</v>
      </c>
      <c r="C36" s="54"/>
      <c r="D36" s="55"/>
      <c r="E36" s="56">
        <f t="shared" si="10"/>
        <v>-2680</v>
      </c>
      <c r="F36" s="57">
        <f>F29</f>
        <v>2748</v>
      </c>
      <c r="G36" s="58">
        <f>F36*2</f>
        <v>5496</v>
      </c>
      <c r="H36" s="59"/>
      <c r="I36" s="60">
        <f t="shared" si="11"/>
        <v>5496</v>
      </c>
      <c r="J36" s="60"/>
      <c r="K36" s="66">
        <f>E36-I36-J36</f>
        <v>-8176</v>
      </c>
      <c r="N36" s="41"/>
    </row>
    <row r="37" spans="1:14" x14ac:dyDescent="0.25">
      <c r="B37" s="41"/>
    </row>
    <row r="38" spans="1:14" x14ac:dyDescent="0.25">
      <c r="F38" s="61">
        <f>F4+F5+F6+F7+F8+F10+F11+F12+F13+F29+F30</f>
        <v>16542</v>
      </c>
    </row>
    <row r="39" spans="1:14" x14ac:dyDescent="0.25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Raj</cp:lastModifiedBy>
  <cp:lastPrinted>2021-06-01T08:53:57Z</cp:lastPrinted>
  <dcterms:created xsi:type="dcterms:W3CDTF">2013-12-03T09:05:52Z</dcterms:created>
  <dcterms:modified xsi:type="dcterms:W3CDTF">2021-06-07T10:31:25Z</dcterms:modified>
</cp:coreProperties>
</file>