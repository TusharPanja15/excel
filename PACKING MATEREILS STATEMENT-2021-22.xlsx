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255" windowHeight="7935" activeTab="1"/>
  </bookViews>
  <sheets>
    <sheet name="April 2021-22" sheetId="79" r:id="rId1"/>
    <sheet name="May 2021" sheetId="80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F30" i="80"/>
  <c r="F29"/>
  <c r="F13"/>
  <c r="F12"/>
  <c r="F11"/>
  <c r="F10"/>
  <c r="F8"/>
  <c r="F7"/>
  <c r="F6"/>
  <c r="F5"/>
  <c r="F4"/>
  <c r="C13" l="1"/>
  <c r="F25" l="1"/>
  <c r="G25" s="1"/>
  <c r="I25" s="1"/>
  <c r="E36"/>
  <c r="E35"/>
  <c r="E34"/>
  <c r="E33"/>
  <c r="E32"/>
  <c r="E31"/>
  <c r="G30"/>
  <c r="I30" s="1"/>
  <c r="E30"/>
  <c r="G29"/>
  <c r="I29" s="1"/>
  <c r="F35"/>
  <c r="G35" s="1"/>
  <c r="I35" s="1"/>
  <c r="E29"/>
  <c r="E27"/>
  <c r="E26"/>
  <c r="E25"/>
  <c r="E24"/>
  <c r="E23"/>
  <c r="E22"/>
  <c r="E21"/>
  <c r="E19"/>
  <c r="E18"/>
  <c r="E17"/>
  <c r="E16"/>
  <c r="F15"/>
  <c r="G15" s="1"/>
  <c r="I15" s="1"/>
  <c r="E15"/>
  <c r="G13"/>
  <c r="I13" s="1"/>
  <c r="E13"/>
  <c r="F22"/>
  <c r="G22" s="1"/>
  <c r="I22" s="1"/>
  <c r="E12"/>
  <c r="G11"/>
  <c r="I11" s="1"/>
  <c r="E11"/>
  <c r="F21"/>
  <c r="G21" s="1"/>
  <c r="I21" s="1"/>
  <c r="E10"/>
  <c r="F19"/>
  <c r="G19" s="1"/>
  <c r="I19" s="1"/>
  <c r="E8"/>
  <c r="G7"/>
  <c r="I7" s="1"/>
  <c r="E7"/>
  <c r="G6"/>
  <c r="I6" s="1"/>
  <c r="E6"/>
  <c r="G5"/>
  <c r="I5" s="1"/>
  <c r="F26"/>
  <c r="G26" s="1"/>
  <c r="I26" s="1"/>
  <c r="E5"/>
  <c r="E4"/>
  <c r="C13" i="79"/>
  <c r="F30"/>
  <c r="F29"/>
  <c r="F13"/>
  <c r="F12"/>
  <c r="F11"/>
  <c r="F10"/>
  <c r="F8"/>
  <c r="F7"/>
  <c r="G7" s="1"/>
  <c r="F6"/>
  <c r="F5"/>
  <c r="F4"/>
  <c r="G4" s="1"/>
  <c r="K22" i="80" l="1"/>
  <c r="K29"/>
  <c r="K5"/>
  <c r="K19"/>
  <c r="G23"/>
  <c r="I23" s="1"/>
  <c r="F34"/>
  <c r="G34" s="1"/>
  <c r="I34" s="1"/>
  <c r="K34" s="1"/>
  <c r="F18"/>
  <c r="G18" s="1"/>
  <c r="I18" s="1"/>
  <c r="K18" s="1"/>
  <c r="F24"/>
  <c r="G8"/>
  <c r="I8" s="1"/>
  <c r="K8" s="1"/>
  <c r="G10"/>
  <c r="I10" s="1"/>
  <c r="K10" s="1"/>
  <c r="G4"/>
  <c r="I4" s="1"/>
  <c r="K4" s="1"/>
  <c r="F16"/>
  <c r="G16" s="1"/>
  <c r="I16" s="1"/>
  <c r="K16" s="1"/>
  <c r="K23"/>
  <c r="K6"/>
  <c r="K25"/>
  <c r="K11"/>
  <c r="K13"/>
  <c r="K21"/>
  <c r="K30"/>
  <c r="K7"/>
  <c r="K15"/>
  <c r="K26"/>
  <c r="K35"/>
  <c r="G24"/>
  <c r="I24" s="1"/>
  <c r="K24" s="1"/>
  <c r="F33"/>
  <c r="G33" s="1"/>
  <c r="I33" s="1"/>
  <c r="K33" s="1"/>
  <c r="G12"/>
  <c r="I12" s="1"/>
  <c r="K12" s="1"/>
  <c r="F17"/>
  <c r="G17" s="1"/>
  <c r="I17" s="1"/>
  <c r="K17" s="1"/>
  <c r="F27"/>
  <c r="G27" s="1"/>
  <c r="I27" s="1"/>
  <c r="K27" s="1"/>
  <c r="F32"/>
  <c r="G32" s="1"/>
  <c r="I32" s="1"/>
  <c r="K32" s="1"/>
  <c r="F36"/>
  <c r="G36" s="1"/>
  <c r="I36" s="1"/>
  <c r="K36" s="1"/>
  <c r="F38"/>
  <c r="F31"/>
  <c r="G31" s="1"/>
  <c r="I31" s="1"/>
  <c r="K31" s="1"/>
  <c r="F17" i="79"/>
  <c r="G17" s="1"/>
  <c r="G6"/>
  <c r="F24"/>
  <c r="G8"/>
  <c r="G23"/>
  <c r="F38"/>
  <c r="F19"/>
  <c r="G24" s="1"/>
  <c r="G19" l="1"/>
  <c r="I8"/>
  <c r="E8"/>
  <c r="K8" l="1"/>
  <c r="F18"/>
  <c r="G5"/>
  <c r="I5" s="1"/>
  <c r="F25"/>
  <c r="G25" s="1"/>
  <c r="I25" s="1"/>
  <c r="E36"/>
  <c r="E35"/>
  <c r="E34"/>
  <c r="E33"/>
  <c r="F32"/>
  <c r="G32" s="1"/>
  <c r="I32" s="1"/>
  <c r="E32"/>
  <c r="E31"/>
  <c r="F33"/>
  <c r="G33" s="1"/>
  <c r="I33" s="1"/>
  <c r="E30"/>
  <c r="F31"/>
  <c r="G31" s="1"/>
  <c r="I31" s="1"/>
  <c r="E29"/>
  <c r="E27"/>
  <c r="E26"/>
  <c r="E25"/>
  <c r="E24"/>
  <c r="E23"/>
  <c r="E22"/>
  <c r="E21"/>
  <c r="E19"/>
  <c r="E18"/>
  <c r="E17"/>
  <c r="E16"/>
  <c r="E15"/>
  <c r="E13"/>
  <c r="F22"/>
  <c r="G22" s="1"/>
  <c r="I22" s="1"/>
  <c r="E12"/>
  <c r="G11"/>
  <c r="I11" s="1"/>
  <c r="E11"/>
  <c r="F21"/>
  <c r="G21" s="1"/>
  <c r="I21" s="1"/>
  <c r="E10"/>
  <c r="E7"/>
  <c r="E6"/>
  <c r="E5"/>
  <c r="I4"/>
  <c r="E4"/>
  <c r="G18" l="1"/>
  <c r="I18" s="1"/>
  <c r="K18" s="1"/>
  <c r="K4"/>
  <c r="I17"/>
  <c r="K17" s="1"/>
  <c r="I23"/>
  <c r="K23" s="1"/>
  <c r="F15"/>
  <c r="G15" s="1"/>
  <c r="I15" s="1"/>
  <c r="K15" s="1"/>
  <c r="I19"/>
  <c r="K19" s="1"/>
  <c r="G10"/>
  <c r="I10" s="1"/>
  <c r="K10" s="1"/>
  <c r="G13"/>
  <c r="I13" s="1"/>
  <c r="K13" s="1"/>
  <c r="F26"/>
  <c r="G26" s="1"/>
  <c r="I26" s="1"/>
  <c r="K26" s="1"/>
  <c r="G12"/>
  <c r="I12" s="1"/>
  <c r="K12" s="1"/>
  <c r="F16"/>
  <c r="G16" s="1"/>
  <c r="I16" s="1"/>
  <c r="K16" s="1"/>
  <c r="I7"/>
  <c r="K7" s="1"/>
  <c r="K32"/>
  <c r="F34"/>
  <c r="G34" s="1"/>
  <c r="I34" s="1"/>
  <c r="K34" s="1"/>
  <c r="F35"/>
  <c r="G35" s="1"/>
  <c r="I35" s="1"/>
  <c r="K35" s="1"/>
  <c r="K22"/>
  <c r="G29"/>
  <c r="I29" s="1"/>
  <c r="K29" s="1"/>
  <c r="G30"/>
  <c r="I30" s="1"/>
  <c r="K30" s="1"/>
  <c r="F36"/>
  <c r="G36" s="1"/>
  <c r="I36" s="1"/>
  <c r="K36" s="1"/>
  <c r="I24"/>
  <c r="K24" s="1"/>
  <c r="K5"/>
  <c r="K11"/>
  <c r="K25"/>
  <c r="K33"/>
  <c r="K21"/>
  <c r="K31"/>
  <c r="F27"/>
  <c r="G27" s="1"/>
  <c r="I27" s="1"/>
  <c r="K27" s="1"/>
  <c r="I6"/>
  <c r="K6" s="1"/>
</calcChain>
</file>

<file path=xl/sharedStrings.xml><?xml version="1.0" encoding="utf-8"?>
<sst xmlns="http://schemas.openxmlformats.org/spreadsheetml/2006/main" count="82" uniqueCount="43">
  <si>
    <t>Particulars</t>
  </si>
  <si>
    <t>Opening</t>
  </si>
  <si>
    <t>Received</t>
  </si>
  <si>
    <t>Inter Trf.</t>
  </si>
  <si>
    <t>Net Available</t>
  </si>
  <si>
    <t>Production</t>
  </si>
  <si>
    <t>Consumption</t>
  </si>
  <si>
    <t>Wastage</t>
  </si>
  <si>
    <t>Total Uses</t>
  </si>
  <si>
    <t>SPECIAL 250GM LAMINATES</t>
  </si>
  <si>
    <t>PREMIUM 250GM LAMINATES</t>
  </si>
  <si>
    <t>SPECIAL 1 KG POUCH</t>
  </si>
  <si>
    <t>PREMIUM 1 KG POUCH</t>
  </si>
  <si>
    <t>5 KG PP NON WOVEN Bags</t>
  </si>
  <si>
    <t>5 KG HM POLY LINNER (5kg)</t>
  </si>
  <si>
    <t>250 GM HM LINNER (2 Kg. )</t>
  </si>
  <si>
    <t>250 GM SPECEIAL CANVES BAGS (24kg)</t>
  </si>
  <si>
    <t>250 GM PREMIUM CANVES  BAGS (24kg)</t>
  </si>
  <si>
    <t>1kg PREMIUM CANVES  BAGS (24kg)</t>
  </si>
  <si>
    <t>1kg SPSL CANVES BAG (24kg)</t>
  </si>
  <si>
    <t>500 gm JAR C F C</t>
  </si>
  <si>
    <t>250 gm CARTON</t>
  </si>
  <si>
    <t>500 gm JAR LABEL</t>
  </si>
  <si>
    <t>500 gm JAR TOP LABEL</t>
  </si>
  <si>
    <t>500GM MUKTA JAR</t>
  </si>
  <si>
    <t>250 gm CARTOON C F C</t>
  </si>
  <si>
    <t>SPECIAL 500 GM POUCH</t>
  </si>
  <si>
    <t>500 GM SPECEIAL CANVES BAGS (24kg)</t>
  </si>
  <si>
    <t>RS 5/- HM LINNER  (375gm)</t>
  </si>
  <si>
    <t>RS 10/- HM LINNER (750gm)</t>
  </si>
  <si>
    <t>BOOK BALANCE</t>
  </si>
  <si>
    <t>250 gm CARTOON  MET PET LINNER</t>
  </si>
  <si>
    <t>500 gm JAR FOIL DISK</t>
  </si>
  <si>
    <t xml:space="preserve">100  GM HM LINNER </t>
  </si>
  <si>
    <t>100 gm  LDP ZIPPER BAGS</t>
  </si>
  <si>
    <t>100 GM. LAMINATES(Rs.43/-)</t>
  </si>
  <si>
    <t>30 KG &amp;   Rs 5/- Rs 10/- LDP ZIPPER BAG</t>
  </si>
  <si>
    <t xml:space="preserve">RS 5/- LAMINATES </t>
  </si>
  <si>
    <t xml:space="preserve">RS 10/-LAMINATES </t>
  </si>
  <si>
    <t>Trf.To Dlr.</t>
  </si>
  <si>
    <t>PACKING MATERIALS STATEMENT AS ON THE MONTH OF APRIL 2021-22</t>
  </si>
  <si>
    <t>PACKING MATERIALS STATEMENT AS ON THE MONTH OF MAY 2021-22</t>
  </si>
  <si>
    <t xml:space="preserve">100 GM HM LINNER 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</si>
</sst>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i/>
      <sz val="8"/>
      <name val="Arial"/>
      <family val="2"/>
    </font>
    <font>
      <i/>
      <sz val="8"/>
      <name val="Arial"/>
      <family val="2"/>
    </font>
    <font>
      <b/>
      <sz val="9"/>
      <name val="Agency FB"/>
      <family val="2"/>
    </font>
    <font>
      <b/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2" fontId="1" fillId="3" borderId="1" xfId="0" applyNumberFormat="1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2" fontId="1" fillId="2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/>
    <xf numFmtId="49" fontId="3" fillId="2" borderId="2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vertical="center"/>
    </xf>
    <xf numFmtId="0" fontId="6" fillId="3" borderId="2" xfId="0" applyFont="1" applyFill="1" applyBorder="1"/>
    <xf numFmtId="49" fontId="3" fillId="3" borderId="2" xfId="0" applyNumberFormat="1" applyFont="1" applyFill="1" applyBorder="1" applyAlignment="1">
      <alignment vertical="center"/>
    </xf>
    <xf numFmtId="0" fontId="4" fillId="2" borderId="0" xfId="0" applyFont="1" applyFill="1"/>
    <xf numFmtId="0" fontId="4" fillId="0" borderId="0" xfId="0" applyFont="1"/>
    <xf numFmtId="0" fontId="7" fillId="0" borderId="9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/>
    </xf>
    <xf numFmtId="49" fontId="8" fillId="0" borderId="8" xfId="0" applyNumberFormat="1" applyFont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5" fillId="3" borderId="6" xfId="0" applyNumberFormat="1" applyFont="1" applyFill="1" applyBorder="1" applyAlignment="1">
      <alignment horizontal="center"/>
    </xf>
    <xf numFmtId="49" fontId="9" fillId="3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2" fontId="1" fillId="0" borderId="1" xfId="0" applyNumberFormat="1" applyFont="1" applyBorder="1" applyAlignment="1">
      <alignment horizontal="right"/>
    </xf>
    <xf numFmtId="2" fontId="1" fillId="2" borderId="1" xfId="0" applyNumberFormat="1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2" fontId="1" fillId="3" borderId="1" xfId="0" applyNumberFormat="1" applyFont="1" applyFill="1" applyBorder="1" applyAlignment="1">
      <alignment horizontal="right"/>
    </xf>
    <xf numFmtId="1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/>
    </xf>
    <xf numFmtId="2" fontId="4" fillId="0" borderId="0" xfId="0" applyNumberFormat="1" applyFont="1"/>
    <xf numFmtId="49" fontId="10" fillId="2" borderId="2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/>
    </xf>
    <xf numFmtId="2" fontId="12" fillId="0" borderId="1" xfId="0" applyNumberFormat="1" applyFont="1" applyBorder="1" applyAlignment="1">
      <alignment horizontal="right"/>
    </xf>
    <xf numFmtId="164" fontId="13" fillId="2" borderId="1" xfId="0" applyNumberFormat="1" applyFont="1" applyFill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4" fontId="12" fillId="0" borderId="1" xfId="0" applyNumberFormat="1" applyFont="1" applyBorder="1" applyAlignment="1">
      <alignment horizontal="right"/>
    </xf>
    <xf numFmtId="49" fontId="3" fillId="2" borderId="3" xfId="0" applyNumberFormat="1" applyFont="1" applyFill="1" applyBorder="1" applyAlignment="1">
      <alignment vertic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4" fillId="2" borderId="4" xfId="0" applyFont="1" applyFill="1" applyBorder="1"/>
    <xf numFmtId="2" fontId="2" fillId="0" borderId="4" xfId="0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2" fontId="1" fillId="0" borderId="4" xfId="0" applyNumberFormat="1" applyFont="1" applyBorder="1" applyAlignment="1">
      <alignment horizontal="right" vertical="center"/>
    </xf>
    <xf numFmtId="164" fontId="4" fillId="0" borderId="0" xfId="0" applyNumberFormat="1" applyFont="1"/>
    <xf numFmtId="1" fontId="4" fillId="0" borderId="0" xfId="0" applyNumberFormat="1" applyFont="1"/>
    <xf numFmtId="1" fontId="1" fillId="0" borderId="1" xfId="0" applyNumberFormat="1" applyFont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2" fontId="6" fillId="3" borderId="6" xfId="0" applyNumberFormat="1" applyFont="1" applyFill="1" applyBorder="1" applyAlignment="1"/>
    <xf numFmtId="2" fontId="1" fillId="2" borderId="4" xfId="0" applyNumberFormat="1" applyFont="1" applyFill="1" applyBorder="1" applyAlignment="1">
      <alignment horizontal="right" vertical="center"/>
    </xf>
    <xf numFmtId="49" fontId="8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PRODUCTION%20REGISTER-2021-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1-22"/>
      <sheetName val="May 2021"/>
    </sheetNames>
    <sheetDataSet>
      <sheetData sheetId="0">
        <row r="32">
          <cell r="B32">
            <v>1008</v>
          </cell>
          <cell r="C32">
            <v>7656</v>
          </cell>
          <cell r="D32">
            <v>35880</v>
          </cell>
          <cell r="E32">
            <v>552</v>
          </cell>
          <cell r="F32">
            <v>1870</v>
          </cell>
          <cell r="G32">
            <v>0</v>
          </cell>
          <cell r="H32">
            <v>10440</v>
          </cell>
          <cell r="I32">
            <v>5328</v>
          </cell>
          <cell r="J32">
            <v>58368</v>
          </cell>
          <cell r="K32">
            <v>6660</v>
          </cell>
          <cell r="L32">
            <v>900</v>
          </cell>
        </row>
      </sheetData>
      <sheetData sheetId="1">
        <row r="30">
          <cell r="B30">
            <v>1032</v>
          </cell>
          <cell r="C30">
            <v>3312</v>
          </cell>
          <cell r="D30">
            <v>22650</v>
          </cell>
          <cell r="E30">
            <v>0</v>
          </cell>
          <cell r="F30">
            <v>1166</v>
          </cell>
          <cell r="G30">
            <v>638</v>
          </cell>
          <cell r="H30">
            <v>9576</v>
          </cell>
          <cell r="I30">
            <v>4968</v>
          </cell>
          <cell r="J30">
            <v>37992</v>
          </cell>
          <cell r="K30">
            <v>4560</v>
          </cell>
          <cell r="L30">
            <v>4932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zoomScaleNormal="100" workbookViewId="0">
      <selection activeCell="M4" sqref="M4:M36"/>
    </sheetView>
  </sheetViews>
  <sheetFormatPr defaultRowHeight="15"/>
  <cols>
    <col min="1" max="1" width="31" style="12" customWidth="1"/>
    <col min="2" max="2" width="9.5703125" style="13" bestFit="1" customWidth="1"/>
    <col min="3" max="3" width="10" style="13" bestFit="1" customWidth="1"/>
    <col min="4" max="4" width="6.7109375" style="13" bestFit="1" customWidth="1"/>
    <col min="5" max="5" width="10" style="13" bestFit="1" customWidth="1"/>
    <col min="6" max="6" width="12.7109375" style="13" customWidth="1"/>
    <col min="7" max="7" width="11.7109375" style="13" bestFit="1" customWidth="1"/>
    <col min="8" max="8" width="8" style="13" customWidth="1"/>
    <col min="9" max="9" width="9.140625" style="13"/>
    <col min="10" max="10" width="6.28515625" style="13" customWidth="1"/>
    <col min="11" max="11" width="9.42578125" style="13" customWidth="1"/>
    <col min="12" max="16384" width="9.140625" style="13"/>
  </cols>
  <sheetData>
    <row r="1" spans="1:12" ht="15.75" thickBot="1">
      <c r="A1" s="67" t="s">
        <v>40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2" s="22" customFormat="1" ht="23.25" thickBot="1">
      <c r="A2" s="8" t="s">
        <v>0</v>
      </c>
      <c r="B2" s="18" t="s">
        <v>1</v>
      </c>
      <c r="C2" s="16" t="s">
        <v>2</v>
      </c>
      <c r="D2" s="19" t="s">
        <v>3</v>
      </c>
      <c r="E2" s="19" t="s">
        <v>4</v>
      </c>
      <c r="F2" s="16" t="s">
        <v>5</v>
      </c>
      <c r="G2" s="18" t="s">
        <v>6</v>
      </c>
      <c r="H2" s="18" t="s">
        <v>7</v>
      </c>
      <c r="I2" s="20" t="s">
        <v>8</v>
      </c>
      <c r="J2" s="21" t="s">
        <v>39</v>
      </c>
      <c r="K2" s="14" t="s">
        <v>30</v>
      </c>
    </row>
    <row r="3" spans="1:12">
      <c r="A3" s="15"/>
      <c r="B3" s="23"/>
      <c r="C3" s="17"/>
      <c r="D3" s="24"/>
      <c r="E3" s="17"/>
      <c r="F3" s="24"/>
      <c r="G3" s="23"/>
      <c r="H3" s="23"/>
      <c r="I3" s="25"/>
      <c r="J3" s="25"/>
      <c r="K3" s="65"/>
    </row>
    <row r="4" spans="1:12">
      <c r="A4" s="7" t="s">
        <v>9</v>
      </c>
      <c r="B4" s="26">
        <v>1394.9</v>
      </c>
      <c r="C4" s="27"/>
      <c r="D4" s="3"/>
      <c r="E4" s="28">
        <f t="shared" ref="E4:E7" si="0">B4+C4+D4</f>
        <v>1394.9</v>
      </c>
      <c r="F4" s="29">
        <f>'[1]April 2021-22'!$J$32</f>
        <v>58368</v>
      </c>
      <c r="G4" s="29">
        <f>F4*0.024</f>
        <v>1400.8320000000001</v>
      </c>
      <c r="H4" s="28"/>
      <c r="I4" s="28">
        <f>G4+H4</f>
        <v>1400.8320000000001</v>
      </c>
      <c r="J4" s="28"/>
      <c r="K4" s="28">
        <f>E4-I4-J4</f>
        <v>-5.9320000000000164</v>
      </c>
    </row>
    <row r="5" spans="1:12">
      <c r="A5" s="7" t="s">
        <v>10</v>
      </c>
      <c r="B5" s="26">
        <v>631.96</v>
      </c>
      <c r="C5" s="27"/>
      <c r="D5" s="3"/>
      <c r="E5" s="28">
        <f t="shared" si="0"/>
        <v>631.96</v>
      </c>
      <c r="F5" s="29">
        <f>'[1]April 2021-22'!$C$32</f>
        <v>7656</v>
      </c>
      <c r="G5" s="29">
        <f>F5*0.024</f>
        <v>183.744</v>
      </c>
      <c r="H5" s="28"/>
      <c r="I5" s="28">
        <f t="shared" ref="I5:I6" si="1">G5+H5</f>
        <v>183.744</v>
      </c>
      <c r="J5" s="28"/>
      <c r="K5" s="28">
        <f>E5-I5-J5</f>
        <v>448.21600000000001</v>
      </c>
    </row>
    <row r="6" spans="1:12">
      <c r="A6" s="7" t="s">
        <v>37</v>
      </c>
      <c r="B6" s="26">
        <v>0</v>
      </c>
      <c r="C6" s="27">
        <v>1086.95</v>
      </c>
      <c r="D6" s="3"/>
      <c r="E6" s="28">
        <f t="shared" si="0"/>
        <v>1086.95</v>
      </c>
      <c r="F6" s="29">
        <f>'[1]April 2021-22'!$G$32</f>
        <v>0</v>
      </c>
      <c r="G6" s="29">
        <f>F6*0.108</f>
        <v>0</v>
      </c>
      <c r="H6" s="28"/>
      <c r="I6" s="28">
        <f t="shared" si="1"/>
        <v>0</v>
      </c>
      <c r="J6" s="28"/>
      <c r="K6" s="28">
        <f>E6-I6-J6</f>
        <v>1086.95</v>
      </c>
    </row>
    <row r="7" spans="1:12">
      <c r="A7" s="7" t="s">
        <v>38</v>
      </c>
      <c r="B7" s="26">
        <v>312.10000000000002</v>
      </c>
      <c r="C7" s="27"/>
      <c r="D7" s="3"/>
      <c r="E7" s="28">
        <f t="shared" si="0"/>
        <v>312.10000000000002</v>
      </c>
      <c r="F7" s="29">
        <f>'[1]April 2021-22'!$F$32</f>
        <v>1870</v>
      </c>
      <c r="G7" s="29">
        <f>F7*0.075</f>
        <v>140.25</v>
      </c>
      <c r="H7" s="28"/>
      <c r="I7" s="28">
        <f>G7+H7</f>
        <v>140.25</v>
      </c>
      <c r="J7" s="28"/>
      <c r="K7" s="28">
        <f>E7-I7-J7</f>
        <v>171.85000000000002</v>
      </c>
    </row>
    <row r="8" spans="1:12">
      <c r="A8" s="7" t="s">
        <v>35</v>
      </c>
      <c r="B8" s="26">
        <v>695.08</v>
      </c>
      <c r="C8" s="27"/>
      <c r="D8" s="3"/>
      <c r="E8" s="28">
        <f>B8+C8+D8</f>
        <v>695.08</v>
      </c>
      <c r="F8" s="29">
        <f>'[1]April 2021-22'!$E$32</f>
        <v>552</v>
      </c>
      <c r="G8" s="29">
        <f>F8*0.035</f>
        <v>19.32</v>
      </c>
      <c r="H8" s="28"/>
      <c r="I8" s="28">
        <f t="shared" ref="I8" si="2">G8+H8</f>
        <v>19.32</v>
      </c>
      <c r="J8" s="28"/>
      <c r="K8" s="28">
        <f t="shared" ref="K8:M8" si="3">E8-I8-J8</f>
        <v>675.76</v>
      </c>
    </row>
    <row r="9" spans="1:12" ht="12.75" customHeight="1">
      <c r="A9" s="9"/>
      <c r="B9" s="30"/>
      <c r="C9" s="1"/>
      <c r="D9" s="6"/>
      <c r="E9" s="1"/>
      <c r="F9" s="31"/>
      <c r="G9" s="32"/>
      <c r="H9" s="1"/>
      <c r="I9" s="1"/>
      <c r="J9" s="1"/>
      <c r="K9" s="1"/>
    </row>
    <row r="10" spans="1:12">
      <c r="A10" s="7" t="s">
        <v>11</v>
      </c>
      <c r="B10" s="33">
        <v>48555</v>
      </c>
      <c r="C10" s="2"/>
      <c r="D10" s="3"/>
      <c r="E10" s="34">
        <f>B10+C10+D10</f>
        <v>48555</v>
      </c>
      <c r="F10" s="35">
        <f>'[1]April 2021-22'!$H$32</f>
        <v>10440</v>
      </c>
      <c r="G10" s="35">
        <f>F10*1</f>
        <v>10440</v>
      </c>
      <c r="H10" s="2"/>
      <c r="I10" s="28">
        <f t="shared" ref="I10:I13" si="4">G10+H10</f>
        <v>10440</v>
      </c>
      <c r="J10" s="28"/>
      <c r="K10" s="63">
        <f>E10-I10-J10</f>
        <v>38115</v>
      </c>
    </row>
    <row r="11" spans="1:12">
      <c r="A11" s="7" t="s">
        <v>26</v>
      </c>
      <c r="B11" s="33">
        <v>28977</v>
      </c>
      <c r="C11" s="2">
        <v>65700</v>
      </c>
      <c r="D11" s="3"/>
      <c r="E11" s="34">
        <f>B11+C11+D11</f>
        <v>94677</v>
      </c>
      <c r="F11" s="35">
        <f>'[1]April 2021-22'!$I$32</f>
        <v>5328</v>
      </c>
      <c r="G11" s="35">
        <f>F11*2</f>
        <v>10656</v>
      </c>
      <c r="H11" s="34"/>
      <c r="I11" s="28">
        <f t="shared" si="4"/>
        <v>10656</v>
      </c>
      <c r="J11" s="28"/>
      <c r="K11" s="63">
        <f>E11-I11-J11</f>
        <v>84021</v>
      </c>
    </row>
    <row r="12" spans="1:12">
      <c r="A12" s="7" t="s">
        <v>12</v>
      </c>
      <c r="B12" s="33">
        <v>9624</v>
      </c>
      <c r="C12" s="2"/>
      <c r="D12" s="3"/>
      <c r="E12" s="34">
        <f>B12+C12+D12</f>
        <v>9624</v>
      </c>
      <c r="F12" s="35">
        <f>'[1]April 2021-22'!$B$32</f>
        <v>1008</v>
      </c>
      <c r="G12" s="35">
        <f>F12*1</f>
        <v>1008</v>
      </c>
      <c r="H12" s="34"/>
      <c r="I12" s="28">
        <f t="shared" si="4"/>
        <v>1008</v>
      </c>
      <c r="J12" s="28"/>
      <c r="K12" s="63">
        <f>E12-I12-J12</f>
        <v>8616</v>
      </c>
    </row>
    <row r="13" spans="1:12">
      <c r="A13" s="7" t="s">
        <v>13</v>
      </c>
      <c r="B13" s="33">
        <v>6774</v>
      </c>
      <c r="C13" s="2">
        <f>1800+2700</f>
        <v>4500</v>
      </c>
      <c r="D13" s="3"/>
      <c r="E13" s="34">
        <f>B13+C13+D13</f>
        <v>11274</v>
      </c>
      <c r="F13" s="35">
        <f>'[1]April 2021-22'!$D$32</f>
        <v>35880</v>
      </c>
      <c r="G13" s="35">
        <f>F13/5</f>
        <v>7176</v>
      </c>
      <c r="H13" s="34"/>
      <c r="I13" s="28">
        <f t="shared" si="4"/>
        <v>7176</v>
      </c>
      <c r="J13" s="28"/>
      <c r="K13" s="63">
        <f>E13-I13-J13</f>
        <v>4098</v>
      </c>
      <c r="L13" s="62"/>
    </row>
    <row r="14" spans="1:12" ht="16.5" customHeight="1">
      <c r="A14" s="10"/>
      <c r="B14" s="36"/>
      <c r="C14" s="5"/>
      <c r="D14" s="6"/>
      <c r="E14" s="37"/>
      <c r="F14" s="37"/>
      <c r="G14" s="38"/>
      <c r="H14" s="5"/>
      <c r="I14" s="1"/>
      <c r="J14" s="1"/>
      <c r="K14" s="1"/>
    </row>
    <row r="15" spans="1:12">
      <c r="A15" s="7" t="s">
        <v>14</v>
      </c>
      <c r="B15" s="33">
        <v>109056</v>
      </c>
      <c r="C15" s="2"/>
      <c r="D15" s="3"/>
      <c r="E15" s="34">
        <f t="shared" ref="E15:E19" si="5">B15+C15+D15</f>
        <v>109056</v>
      </c>
      <c r="F15" s="35">
        <f>F13</f>
        <v>35880</v>
      </c>
      <c r="G15" s="35">
        <f>F15/5</f>
        <v>7176</v>
      </c>
      <c r="H15" s="34"/>
      <c r="I15" s="28">
        <f t="shared" ref="I15:I19" si="6">G15+H15</f>
        <v>7176</v>
      </c>
      <c r="J15" s="28"/>
      <c r="K15" s="63">
        <f>E15-I15-J15</f>
        <v>101880</v>
      </c>
    </row>
    <row r="16" spans="1:12">
      <c r="A16" s="7" t="s">
        <v>15</v>
      </c>
      <c r="B16" s="33">
        <v>42200</v>
      </c>
      <c r="C16" s="2"/>
      <c r="D16" s="3"/>
      <c r="E16" s="34">
        <f t="shared" si="5"/>
        <v>42200</v>
      </c>
      <c r="F16" s="35">
        <f>F4+F5</f>
        <v>66024</v>
      </c>
      <c r="G16" s="35">
        <f>F16/2</f>
        <v>33012</v>
      </c>
      <c r="H16" s="34"/>
      <c r="I16" s="28">
        <f t="shared" si="6"/>
        <v>33012</v>
      </c>
      <c r="J16" s="28"/>
      <c r="K16" s="63">
        <f>E16-I16-J16</f>
        <v>9188</v>
      </c>
    </row>
    <row r="17" spans="1:13">
      <c r="A17" s="7" t="s">
        <v>28</v>
      </c>
      <c r="B17" s="33">
        <v>56750</v>
      </c>
      <c r="C17" s="2"/>
      <c r="D17" s="3"/>
      <c r="E17" s="34">
        <f t="shared" si="5"/>
        <v>56750</v>
      </c>
      <c r="F17" s="35">
        <f>F6</f>
        <v>0</v>
      </c>
      <c r="G17" s="35">
        <f>(F17/22)*50</f>
        <v>0</v>
      </c>
      <c r="H17" s="34"/>
      <c r="I17" s="28">
        <f t="shared" si="6"/>
        <v>0</v>
      </c>
      <c r="J17" s="28"/>
      <c r="K17" s="63">
        <f>E17-I17-J17</f>
        <v>56750</v>
      </c>
    </row>
    <row r="18" spans="1:13">
      <c r="A18" s="7" t="s">
        <v>29</v>
      </c>
      <c r="B18" s="33">
        <v>189089</v>
      </c>
      <c r="C18" s="2"/>
      <c r="D18" s="3"/>
      <c r="E18" s="34">
        <f t="shared" si="5"/>
        <v>189089</v>
      </c>
      <c r="F18" s="39">
        <f>F7</f>
        <v>1870</v>
      </c>
      <c r="G18" s="35">
        <f>(F18/22)*25</f>
        <v>2125</v>
      </c>
      <c r="H18" s="34"/>
      <c r="I18" s="28">
        <f t="shared" si="6"/>
        <v>2125</v>
      </c>
      <c r="J18" s="28"/>
      <c r="K18" s="63">
        <f>E18-I18-J18</f>
        <v>186964</v>
      </c>
    </row>
    <row r="19" spans="1:13">
      <c r="A19" s="7" t="s">
        <v>33</v>
      </c>
      <c r="B19" s="33">
        <v>22710</v>
      </c>
      <c r="C19" s="2"/>
      <c r="D19" s="3"/>
      <c r="E19" s="34">
        <f t="shared" si="5"/>
        <v>22710</v>
      </c>
      <c r="F19" s="39">
        <f>F8</f>
        <v>552</v>
      </c>
      <c r="G19" s="35">
        <f>F19/2</f>
        <v>276</v>
      </c>
      <c r="H19" s="34"/>
      <c r="I19" s="28">
        <f t="shared" si="6"/>
        <v>276</v>
      </c>
      <c r="J19" s="28"/>
      <c r="K19" s="63">
        <f>E19-I19-J19</f>
        <v>22434</v>
      </c>
    </row>
    <row r="20" spans="1:13" ht="15" customHeight="1">
      <c r="A20" s="9"/>
      <c r="B20" s="36"/>
      <c r="C20" s="5"/>
      <c r="D20" s="6"/>
      <c r="E20" s="37"/>
      <c r="F20" s="37"/>
      <c r="G20" s="38"/>
      <c r="H20" s="5"/>
      <c r="I20" s="1"/>
      <c r="J20" s="1"/>
      <c r="K20" s="1"/>
    </row>
    <row r="21" spans="1:13">
      <c r="A21" s="7" t="s">
        <v>19</v>
      </c>
      <c r="B21" s="40">
        <v>1034</v>
      </c>
      <c r="C21" s="2"/>
      <c r="D21" s="3"/>
      <c r="E21" s="34">
        <f t="shared" ref="E21:E27" si="7">B21+C21+D21</f>
        <v>1034</v>
      </c>
      <c r="F21" s="35">
        <f>F10</f>
        <v>10440</v>
      </c>
      <c r="G21" s="35">
        <f>F21/24</f>
        <v>435</v>
      </c>
      <c r="H21" s="34"/>
      <c r="I21" s="28">
        <f t="shared" ref="I21:I26" si="8">G21+H21</f>
        <v>435</v>
      </c>
      <c r="J21" s="28"/>
      <c r="K21" s="63">
        <f t="shared" ref="K21:M27" si="9">E21-I21-J21</f>
        <v>599</v>
      </c>
    </row>
    <row r="22" spans="1:13">
      <c r="A22" s="7" t="s">
        <v>18</v>
      </c>
      <c r="B22" s="40">
        <v>1509</v>
      </c>
      <c r="C22" s="2"/>
      <c r="D22" s="3"/>
      <c r="E22" s="34">
        <f t="shared" si="7"/>
        <v>1509</v>
      </c>
      <c r="F22" s="35">
        <f>F12</f>
        <v>1008</v>
      </c>
      <c r="G22" s="35">
        <f>F22/24</f>
        <v>42</v>
      </c>
      <c r="H22" s="34"/>
      <c r="I22" s="28">
        <f t="shared" si="8"/>
        <v>42</v>
      </c>
      <c r="J22" s="28"/>
      <c r="K22" s="63">
        <f t="shared" si="9"/>
        <v>1467</v>
      </c>
    </row>
    <row r="23" spans="1:13">
      <c r="A23" s="42" t="s">
        <v>36</v>
      </c>
      <c r="B23" s="33">
        <v>7547</v>
      </c>
      <c r="C23" s="2"/>
      <c r="D23" s="3"/>
      <c r="E23" s="34">
        <f t="shared" si="7"/>
        <v>7547</v>
      </c>
      <c r="F23" s="39"/>
      <c r="G23" s="35">
        <f>(F13/30)+(F7/22)+(F6/22)</f>
        <v>1281</v>
      </c>
      <c r="H23" s="34"/>
      <c r="I23" s="28">
        <f t="shared" si="8"/>
        <v>1281</v>
      </c>
      <c r="J23" s="28"/>
      <c r="K23" s="33">
        <f t="shared" si="9"/>
        <v>6266</v>
      </c>
      <c r="L23" s="41"/>
    </row>
    <row r="24" spans="1:13">
      <c r="A24" s="7" t="s">
        <v>34</v>
      </c>
      <c r="B24" s="43">
        <v>929</v>
      </c>
      <c r="C24" s="2"/>
      <c r="D24" s="3"/>
      <c r="E24" s="34">
        <f t="shared" si="7"/>
        <v>929</v>
      </c>
      <c r="F24" s="39">
        <f>F8</f>
        <v>552</v>
      </c>
      <c r="G24" s="35">
        <f>(F19/24)</f>
        <v>23</v>
      </c>
      <c r="H24" s="34"/>
      <c r="I24" s="28">
        <f t="shared" si="8"/>
        <v>23</v>
      </c>
      <c r="J24" s="28"/>
      <c r="K24" s="63">
        <f t="shared" si="9"/>
        <v>906</v>
      </c>
    </row>
    <row r="25" spans="1:13">
      <c r="A25" s="7" t="s">
        <v>16</v>
      </c>
      <c r="B25" s="40">
        <v>3862</v>
      </c>
      <c r="C25" s="2">
        <v>2700</v>
      </c>
      <c r="D25" s="3"/>
      <c r="E25" s="34">
        <f t="shared" si="7"/>
        <v>6562</v>
      </c>
      <c r="F25" s="35">
        <f>F4</f>
        <v>58368</v>
      </c>
      <c r="G25" s="35">
        <f>F25/24</f>
        <v>2432</v>
      </c>
      <c r="H25" s="34"/>
      <c r="I25" s="28">
        <f t="shared" si="8"/>
        <v>2432</v>
      </c>
      <c r="J25" s="28"/>
      <c r="K25" s="63">
        <f t="shared" si="9"/>
        <v>4130</v>
      </c>
      <c r="M25" s="62"/>
    </row>
    <row r="26" spans="1:13">
      <c r="A26" s="7" t="s">
        <v>17</v>
      </c>
      <c r="B26" s="40">
        <v>824</v>
      </c>
      <c r="C26" s="2"/>
      <c r="D26" s="3"/>
      <c r="E26" s="34">
        <f t="shared" si="7"/>
        <v>824</v>
      </c>
      <c r="F26" s="35">
        <f>F5</f>
        <v>7656</v>
      </c>
      <c r="G26" s="35">
        <f>F26/24</f>
        <v>319</v>
      </c>
      <c r="H26" s="34"/>
      <c r="I26" s="28">
        <f t="shared" si="8"/>
        <v>319</v>
      </c>
      <c r="J26" s="28"/>
      <c r="K26" s="63">
        <f t="shared" si="9"/>
        <v>505</v>
      </c>
    </row>
    <row r="27" spans="1:13">
      <c r="A27" s="7" t="s">
        <v>27</v>
      </c>
      <c r="B27" s="40">
        <v>583</v>
      </c>
      <c r="C27" s="2"/>
      <c r="D27" s="3"/>
      <c r="E27" s="34">
        <f t="shared" si="7"/>
        <v>583</v>
      </c>
      <c r="F27" s="35">
        <f>F11</f>
        <v>5328</v>
      </c>
      <c r="G27" s="35">
        <f>F27/24</f>
        <v>222</v>
      </c>
      <c r="H27" s="34"/>
      <c r="I27" s="28">
        <f>G27+H27</f>
        <v>222</v>
      </c>
      <c r="J27" s="28"/>
      <c r="K27" s="63">
        <f t="shared" si="9"/>
        <v>361</v>
      </c>
    </row>
    <row r="28" spans="1:13">
      <c r="A28" s="11"/>
      <c r="B28" s="36"/>
      <c r="C28" s="5"/>
      <c r="D28" s="6"/>
      <c r="E28" s="37"/>
      <c r="F28" s="37"/>
      <c r="G28" s="38"/>
      <c r="H28" s="5"/>
      <c r="I28" s="1"/>
      <c r="J28" s="1"/>
      <c r="K28" s="1"/>
    </row>
    <row r="29" spans="1:13">
      <c r="A29" s="7" t="s">
        <v>24</v>
      </c>
      <c r="B29" s="40">
        <v>11358</v>
      </c>
      <c r="C29" s="2">
        <v>32400</v>
      </c>
      <c r="D29" s="3"/>
      <c r="E29" s="34">
        <f t="shared" ref="E29:E36" si="10">B29+C29+D29</f>
        <v>43758</v>
      </c>
      <c r="F29" s="44">
        <f>'[1]April 2021-22'!$K$32</f>
        <v>6660</v>
      </c>
      <c r="G29" s="44">
        <f>F29*2</f>
        <v>13320</v>
      </c>
      <c r="H29" s="45"/>
      <c r="I29" s="28">
        <f t="shared" ref="I29:I36" si="11">G29+H29</f>
        <v>13320</v>
      </c>
      <c r="J29" s="28"/>
      <c r="K29" s="64">
        <f t="shared" ref="K29:M35" si="12">E29-I29-J29</f>
        <v>30438</v>
      </c>
    </row>
    <row r="30" spans="1:13">
      <c r="A30" s="7" t="s">
        <v>31</v>
      </c>
      <c r="B30" s="40">
        <v>45020</v>
      </c>
      <c r="C30" s="2"/>
      <c r="D30" s="3"/>
      <c r="E30" s="46">
        <f t="shared" si="10"/>
        <v>45020</v>
      </c>
      <c r="F30" s="47">
        <f>'[1]April 2021-22'!$L$32</f>
        <v>900</v>
      </c>
      <c r="G30" s="44">
        <f>F30*4</f>
        <v>3600</v>
      </c>
      <c r="H30" s="45"/>
      <c r="I30" s="28">
        <f t="shared" si="11"/>
        <v>3600</v>
      </c>
      <c r="J30" s="28"/>
      <c r="K30" s="64">
        <f>E30-I30-J30</f>
        <v>41420</v>
      </c>
    </row>
    <row r="31" spans="1:13">
      <c r="A31" s="7" t="s">
        <v>20</v>
      </c>
      <c r="B31" s="40">
        <v>1685</v>
      </c>
      <c r="C31" s="2"/>
      <c r="D31" s="3"/>
      <c r="E31" s="46">
        <f t="shared" si="10"/>
        <v>1685</v>
      </c>
      <c r="F31" s="49">
        <f>F29</f>
        <v>6660</v>
      </c>
      <c r="G31" s="44">
        <f>F31/12</f>
        <v>555</v>
      </c>
      <c r="H31" s="45"/>
      <c r="I31" s="28">
        <f t="shared" si="11"/>
        <v>555</v>
      </c>
      <c r="J31" s="28"/>
      <c r="K31" s="27">
        <f t="shared" si="12"/>
        <v>1130</v>
      </c>
    </row>
    <row r="32" spans="1:13">
      <c r="A32" s="7" t="s">
        <v>25</v>
      </c>
      <c r="B32" s="40">
        <v>601</v>
      </c>
      <c r="C32" s="4"/>
      <c r="D32" s="3"/>
      <c r="E32" s="46">
        <f t="shared" si="10"/>
        <v>601</v>
      </c>
      <c r="F32" s="49">
        <f>F30</f>
        <v>900</v>
      </c>
      <c r="G32" s="50">
        <f>F32/12</f>
        <v>75</v>
      </c>
      <c r="H32" s="51"/>
      <c r="I32" s="28">
        <f t="shared" si="11"/>
        <v>75</v>
      </c>
      <c r="J32" s="28"/>
      <c r="K32" s="27">
        <f t="shared" si="12"/>
        <v>526</v>
      </c>
    </row>
    <row r="33" spans="1:11">
      <c r="A33" s="7" t="s">
        <v>21</v>
      </c>
      <c r="B33" s="40">
        <v>86097</v>
      </c>
      <c r="C33" s="2"/>
      <c r="D33" s="3"/>
      <c r="E33" s="46">
        <f t="shared" si="10"/>
        <v>86097</v>
      </c>
      <c r="F33" s="49">
        <f>F30</f>
        <v>900</v>
      </c>
      <c r="G33" s="50">
        <f>F33*4</f>
        <v>3600</v>
      </c>
      <c r="H33" s="48"/>
      <c r="I33" s="28">
        <f t="shared" si="11"/>
        <v>3600</v>
      </c>
      <c r="J33" s="28"/>
      <c r="K33" s="27">
        <f t="shared" si="12"/>
        <v>82497</v>
      </c>
    </row>
    <row r="34" spans="1:11">
      <c r="A34" s="7" t="s">
        <v>22</v>
      </c>
      <c r="B34" s="40">
        <v>85444</v>
      </c>
      <c r="C34" s="4"/>
      <c r="D34" s="3"/>
      <c r="E34" s="46">
        <f t="shared" si="10"/>
        <v>85444</v>
      </c>
      <c r="F34" s="49">
        <f>F29</f>
        <v>6660</v>
      </c>
      <c r="G34" s="50">
        <f>F34*2</f>
        <v>13320</v>
      </c>
      <c r="H34" s="51"/>
      <c r="I34" s="28">
        <f t="shared" si="11"/>
        <v>13320</v>
      </c>
      <c r="J34" s="28"/>
      <c r="K34" s="27">
        <f t="shared" si="12"/>
        <v>72124</v>
      </c>
    </row>
    <row r="35" spans="1:11">
      <c r="A35" s="7" t="s">
        <v>23</v>
      </c>
      <c r="B35" s="40">
        <v>48222</v>
      </c>
      <c r="C35" s="4"/>
      <c r="D35" s="3"/>
      <c r="E35" s="46">
        <f t="shared" si="10"/>
        <v>48222</v>
      </c>
      <c r="F35" s="49">
        <f>F29</f>
        <v>6660</v>
      </c>
      <c r="G35" s="50">
        <f>F35*2</f>
        <v>13320</v>
      </c>
      <c r="H35" s="51"/>
      <c r="I35" s="28">
        <f t="shared" si="11"/>
        <v>13320</v>
      </c>
      <c r="J35" s="28"/>
      <c r="K35" s="27">
        <f t="shared" si="12"/>
        <v>34902</v>
      </c>
    </row>
    <row r="36" spans="1:11" ht="15.75" thickBot="1">
      <c r="A36" s="52" t="s">
        <v>32</v>
      </c>
      <c r="B36" s="53">
        <v>19760</v>
      </c>
      <c r="C36" s="54"/>
      <c r="D36" s="55"/>
      <c r="E36" s="56">
        <f t="shared" si="10"/>
        <v>19760</v>
      </c>
      <c r="F36" s="57">
        <f>F29</f>
        <v>6660</v>
      </c>
      <c r="G36" s="58">
        <f>F36*2</f>
        <v>13320</v>
      </c>
      <c r="H36" s="59"/>
      <c r="I36" s="60">
        <f t="shared" si="11"/>
        <v>13320</v>
      </c>
      <c r="J36" s="60"/>
      <c r="K36" s="66">
        <f>E36-I36-J36</f>
        <v>6440</v>
      </c>
    </row>
    <row r="37" spans="1:11">
      <c r="B37" s="41"/>
    </row>
    <row r="38" spans="1:11">
      <c r="F38" s="61">
        <f>F4+F5+F6+F7+F8+F10+F11+F12+F13+F29+F30</f>
        <v>128662</v>
      </c>
    </row>
    <row r="39" spans="1:11">
      <c r="F39" s="41"/>
      <c r="H39" s="61"/>
      <c r="J39" s="61"/>
    </row>
  </sheetData>
  <mergeCells count="1">
    <mergeCell ref="A1:K1"/>
  </mergeCells>
  <pageMargins left="0.27" right="0.34" top="0.28000000000000003" bottom="0.21" header="0.23" footer="0.16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9"/>
  <sheetViews>
    <sheetView tabSelected="1" zoomScaleNormal="100" workbookViewId="0">
      <selection activeCell="O13" sqref="O13"/>
    </sheetView>
  </sheetViews>
  <sheetFormatPr defaultRowHeight="15"/>
  <cols>
    <col min="1" max="1" width="31" style="12" customWidth="1"/>
    <col min="2" max="2" width="9.5703125" style="13" bestFit="1" customWidth="1"/>
    <col min="3" max="3" width="10.28515625" style="13" customWidth="1"/>
    <col min="4" max="4" width="6.7109375" style="13" bestFit="1" customWidth="1"/>
    <col min="5" max="5" width="10.42578125" style="13" bestFit="1" customWidth="1"/>
    <col min="6" max="6" width="12.7109375" style="13" customWidth="1"/>
    <col min="7" max="7" width="11.7109375" style="13" bestFit="1" customWidth="1"/>
    <col min="8" max="8" width="8" style="13" customWidth="1"/>
    <col min="9" max="9" width="9.140625" style="13"/>
    <col min="10" max="10" width="6.28515625" style="13" customWidth="1"/>
    <col min="11" max="11" width="9.42578125" style="13" customWidth="1"/>
    <col min="12" max="16384" width="9.140625" style="13"/>
  </cols>
  <sheetData>
    <row r="1" spans="1:14" ht="15.75" thickBot="1">
      <c r="A1" s="67" t="s">
        <v>41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4" s="22" customFormat="1" ht="23.25" thickBot="1">
      <c r="A2" s="8" t="s">
        <v>0</v>
      </c>
      <c r="B2" s="18" t="s">
        <v>1</v>
      </c>
      <c r="C2" s="16" t="s">
        <v>2</v>
      </c>
      <c r="D2" s="19" t="s">
        <v>3</v>
      </c>
      <c r="E2" s="19" t="s">
        <v>4</v>
      </c>
      <c r="F2" s="16" t="s">
        <v>5</v>
      </c>
      <c r="G2" s="18" t="s">
        <v>6</v>
      </c>
      <c r="H2" s="18" t="s">
        <v>7</v>
      </c>
      <c r="I2" s="20" t="s">
        <v>8</v>
      </c>
      <c r="J2" s="21" t="s">
        <v>39</v>
      </c>
      <c r="K2" s="14" t="s">
        <v>30</v>
      </c>
    </row>
    <row r="3" spans="1:14">
      <c r="A3" s="15"/>
      <c r="B3" s="23"/>
      <c r="C3" s="17"/>
      <c r="D3" s="24"/>
      <c r="E3" s="17"/>
      <c r="F3" s="24"/>
      <c r="G3" s="23"/>
      <c r="H3" s="23"/>
      <c r="I3" s="25"/>
      <c r="J3" s="25"/>
      <c r="K3" s="65"/>
    </row>
    <row r="4" spans="1:14">
      <c r="A4" s="7" t="s">
        <v>9</v>
      </c>
      <c r="B4" s="26">
        <v>-5.93</v>
      </c>
      <c r="C4" s="27">
        <v>4045.27</v>
      </c>
      <c r="D4" s="3"/>
      <c r="E4" s="28">
        <f t="shared" ref="E4:E7" si="0">B4+C4+D4</f>
        <v>4039.34</v>
      </c>
      <c r="F4" s="29">
        <f>'[1]May 2021'!$J$30</f>
        <v>37992</v>
      </c>
      <c r="G4" s="29">
        <f>F4*0.024</f>
        <v>911.80799999999999</v>
      </c>
      <c r="H4" s="28"/>
      <c r="I4" s="28">
        <f>G4+H4</f>
        <v>911.80799999999999</v>
      </c>
      <c r="J4" s="28"/>
      <c r="K4" s="29">
        <f>E4-I4-J4</f>
        <v>3127.5320000000002</v>
      </c>
      <c r="N4" s="41"/>
    </row>
    <row r="5" spans="1:14">
      <c r="A5" s="7" t="s">
        <v>10</v>
      </c>
      <c r="B5" s="26">
        <v>448.22</v>
      </c>
      <c r="C5" s="27"/>
      <c r="D5" s="3"/>
      <c r="E5" s="28">
        <f t="shared" si="0"/>
        <v>448.22</v>
      </c>
      <c r="F5" s="29">
        <f>'[1]May 2021'!$C$30</f>
        <v>3312</v>
      </c>
      <c r="G5" s="29">
        <f>F5*0.024</f>
        <v>79.488</v>
      </c>
      <c r="H5" s="28"/>
      <c r="I5" s="28">
        <f t="shared" ref="I5:I6" si="1">G5+H5</f>
        <v>79.488</v>
      </c>
      <c r="J5" s="28"/>
      <c r="K5" s="28">
        <f>E5-I5-J5</f>
        <v>368.73200000000003</v>
      </c>
      <c r="N5" s="41"/>
    </row>
    <row r="6" spans="1:14">
      <c r="A6" s="7" t="s">
        <v>37</v>
      </c>
      <c r="B6" s="26">
        <v>1086.95</v>
      </c>
      <c r="C6" s="27"/>
      <c r="D6" s="3"/>
      <c r="E6" s="28">
        <f t="shared" si="0"/>
        <v>1086.95</v>
      </c>
      <c r="F6" s="29">
        <f>'[1]May 2021'!$G$30</f>
        <v>638</v>
      </c>
      <c r="G6" s="29">
        <f>F6*0.108</f>
        <v>68.903999999999996</v>
      </c>
      <c r="H6" s="28"/>
      <c r="I6" s="28">
        <f t="shared" si="1"/>
        <v>68.903999999999996</v>
      </c>
      <c r="J6" s="28"/>
      <c r="K6" s="28">
        <f>E6-I6-J6</f>
        <v>1018.046</v>
      </c>
      <c r="N6" s="41"/>
    </row>
    <row r="7" spans="1:14">
      <c r="A7" s="7" t="s">
        <v>38</v>
      </c>
      <c r="B7" s="26">
        <v>171.85</v>
      </c>
      <c r="C7" s="27"/>
      <c r="D7" s="3"/>
      <c r="E7" s="28">
        <f t="shared" si="0"/>
        <v>171.85</v>
      </c>
      <c r="F7" s="29">
        <f>'[1]May 2021'!$F$30</f>
        <v>1166</v>
      </c>
      <c r="G7" s="29">
        <f>F7*0.075</f>
        <v>87.45</v>
      </c>
      <c r="H7" s="28"/>
      <c r="I7" s="28">
        <f>G7+H7</f>
        <v>87.45</v>
      </c>
      <c r="J7" s="28"/>
      <c r="K7" s="28">
        <f>E7-I7-J7</f>
        <v>84.399999999999991</v>
      </c>
      <c r="N7" s="41"/>
    </row>
    <row r="8" spans="1:14">
      <c r="A8" s="7" t="s">
        <v>35</v>
      </c>
      <c r="B8" s="26">
        <v>675.76</v>
      </c>
      <c r="C8" s="27"/>
      <c r="D8" s="3"/>
      <c r="E8" s="28">
        <f>B8+C8+D8</f>
        <v>675.76</v>
      </c>
      <c r="F8" s="29">
        <f>'[1]May 2021'!$E$30</f>
        <v>0</v>
      </c>
      <c r="G8" s="29">
        <f>F8*0.035</f>
        <v>0</v>
      </c>
      <c r="H8" s="28"/>
      <c r="I8" s="28">
        <f t="shared" ref="I8" si="2">G8+H8</f>
        <v>0</v>
      </c>
      <c r="J8" s="28"/>
      <c r="K8" s="28">
        <f t="shared" ref="K8" si="3">E8-I8-J8</f>
        <v>675.76</v>
      </c>
      <c r="N8" s="41"/>
    </row>
    <row r="9" spans="1:14" ht="12.75" customHeight="1">
      <c r="A9" s="9"/>
      <c r="B9" s="30"/>
      <c r="C9" s="1"/>
      <c r="D9" s="6"/>
      <c r="E9" s="1"/>
      <c r="F9" s="31"/>
      <c r="G9" s="32"/>
      <c r="H9" s="1"/>
      <c r="I9" s="1"/>
      <c r="J9" s="1"/>
      <c r="K9" s="1"/>
      <c r="N9" s="41"/>
    </row>
    <row r="10" spans="1:14">
      <c r="A10" s="7" t="s">
        <v>11</v>
      </c>
      <c r="B10" s="33">
        <v>38115</v>
      </c>
      <c r="C10" s="2"/>
      <c r="D10" s="3"/>
      <c r="E10" s="34">
        <f>B10+C10+D10</f>
        <v>38115</v>
      </c>
      <c r="F10" s="35">
        <f>'[1]May 2021'!$H$30</f>
        <v>9576</v>
      </c>
      <c r="G10" s="35">
        <f>F10*1</f>
        <v>9576</v>
      </c>
      <c r="H10" s="2"/>
      <c r="I10" s="28">
        <f t="shared" ref="I10:I13" si="4">G10+H10</f>
        <v>9576</v>
      </c>
      <c r="J10" s="28"/>
      <c r="K10" s="63">
        <f>E10-I10-J10</f>
        <v>28539</v>
      </c>
      <c r="N10" s="41"/>
    </row>
    <row r="11" spans="1:14">
      <c r="A11" s="7" t="s">
        <v>26</v>
      </c>
      <c r="B11" s="33">
        <v>84021</v>
      </c>
      <c r="C11" s="2"/>
      <c r="D11" s="3"/>
      <c r="E11" s="34">
        <f>B11+C11+D11</f>
        <v>84021</v>
      </c>
      <c r="F11" s="35">
        <f>'[1]May 2021'!$I$30</f>
        <v>4968</v>
      </c>
      <c r="G11" s="35">
        <f>F11*2</f>
        <v>9936</v>
      </c>
      <c r="H11" s="34"/>
      <c r="I11" s="28">
        <f t="shared" si="4"/>
        <v>9936</v>
      </c>
      <c r="J11" s="28"/>
      <c r="K11" s="63">
        <f>E11-I11-J11</f>
        <v>74085</v>
      </c>
      <c r="N11" s="41"/>
    </row>
    <row r="12" spans="1:14">
      <c r="A12" s="7" t="s">
        <v>12</v>
      </c>
      <c r="B12" s="33">
        <v>8616</v>
      </c>
      <c r="C12" s="2"/>
      <c r="D12" s="3"/>
      <c r="E12" s="34">
        <f>B12+C12+D12</f>
        <v>8616</v>
      </c>
      <c r="F12" s="35">
        <f>'[1]May 2021'!$B$30</f>
        <v>1032</v>
      </c>
      <c r="G12" s="35">
        <f>F12*1</f>
        <v>1032</v>
      </c>
      <c r="H12" s="34"/>
      <c r="I12" s="28">
        <f t="shared" si="4"/>
        <v>1032</v>
      </c>
      <c r="J12" s="28"/>
      <c r="K12" s="63">
        <f>E12-I12-J12</f>
        <v>7584</v>
      </c>
      <c r="N12" s="41"/>
    </row>
    <row r="13" spans="1:14">
      <c r="A13" s="7" t="s">
        <v>13</v>
      </c>
      <c r="B13" s="33">
        <v>4098</v>
      </c>
      <c r="C13" s="2">
        <f>2700+1250</f>
        <v>3950</v>
      </c>
      <c r="D13" s="3"/>
      <c r="E13" s="34">
        <f>B13+C13+D13</f>
        <v>8048</v>
      </c>
      <c r="F13" s="35">
        <f>'[1]May 2021'!$D$30</f>
        <v>22650</v>
      </c>
      <c r="G13" s="35">
        <f>F13/5</f>
        <v>4530</v>
      </c>
      <c r="H13" s="34"/>
      <c r="I13" s="28">
        <f t="shared" si="4"/>
        <v>4530</v>
      </c>
      <c r="J13" s="28"/>
      <c r="K13" s="63">
        <f>E13-I13-J13</f>
        <v>3518</v>
      </c>
      <c r="L13" s="62"/>
      <c r="N13" s="41"/>
    </row>
    <row r="14" spans="1:14" ht="16.5" customHeight="1">
      <c r="A14" s="10"/>
      <c r="B14" s="36"/>
      <c r="C14" s="5"/>
      <c r="D14" s="6"/>
      <c r="E14" s="37"/>
      <c r="F14" s="37"/>
      <c r="G14" s="38"/>
      <c r="H14" s="5"/>
      <c r="I14" s="1"/>
      <c r="J14" s="1"/>
      <c r="K14" s="1"/>
      <c r="N14" s="41"/>
    </row>
    <row r="15" spans="1:14">
      <c r="A15" s="7" t="s">
        <v>14</v>
      </c>
      <c r="B15" s="33">
        <v>101880</v>
      </c>
      <c r="C15" s="2"/>
      <c r="D15" s="3"/>
      <c r="E15" s="34">
        <f t="shared" ref="E15:E19" si="5">B15+C15+D15</f>
        <v>101880</v>
      </c>
      <c r="F15" s="35">
        <f>F13</f>
        <v>22650</v>
      </c>
      <c r="G15" s="35">
        <f>F15/5</f>
        <v>4530</v>
      </c>
      <c r="H15" s="34"/>
      <c r="I15" s="28">
        <f t="shared" ref="I15:I19" si="6">G15+H15</f>
        <v>4530</v>
      </c>
      <c r="J15" s="28"/>
      <c r="K15" s="63">
        <f>E15-I15-J15</f>
        <v>97350</v>
      </c>
      <c r="N15" s="41"/>
    </row>
    <row r="16" spans="1:14">
      <c r="A16" s="7" t="s">
        <v>15</v>
      </c>
      <c r="B16" s="33">
        <v>9188</v>
      </c>
      <c r="C16" s="2">
        <v>100000</v>
      </c>
      <c r="D16" s="3">
        <v>21000</v>
      </c>
      <c r="E16" s="34">
        <f t="shared" si="5"/>
        <v>130188</v>
      </c>
      <c r="F16" s="35">
        <f>F4+F5</f>
        <v>41304</v>
      </c>
      <c r="G16" s="35">
        <f>F16/2</f>
        <v>20652</v>
      </c>
      <c r="H16" s="34"/>
      <c r="I16" s="28">
        <f t="shared" si="6"/>
        <v>20652</v>
      </c>
      <c r="J16" s="28"/>
      <c r="K16" s="63">
        <f>E16-I16-J16</f>
        <v>109536</v>
      </c>
      <c r="N16" s="41"/>
    </row>
    <row r="17" spans="1:14">
      <c r="A17" s="7" t="s">
        <v>28</v>
      </c>
      <c r="B17" s="33">
        <v>56750</v>
      </c>
      <c r="C17" s="2"/>
      <c r="D17" s="3"/>
      <c r="E17" s="34">
        <f t="shared" si="5"/>
        <v>56750</v>
      </c>
      <c r="F17" s="35">
        <f>F6</f>
        <v>638</v>
      </c>
      <c r="G17" s="35">
        <f>(F17/22)*50</f>
        <v>1450</v>
      </c>
      <c r="H17" s="34"/>
      <c r="I17" s="28">
        <f t="shared" si="6"/>
        <v>1450</v>
      </c>
      <c r="J17" s="28"/>
      <c r="K17" s="63">
        <f>E17-I17-J17</f>
        <v>55300</v>
      </c>
      <c r="N17" s="41"/>
    </row>
    <row r="18" spans="1:14">
      <c r="A18" s="7" t="s">
        <v>29</v>
      </c>
      <c r="B18" s="33">
        <v>186964</v>
      </c>
      <c r="C18" s="2"/>
      <c r="D18" s="3"/>
      <c r="E18" s="34">
        <f t="shared" si="5"/>
        <v>186964</v>
      </c>
      <c r="F18" s="39">
        <f>F7</f>
        <v>1166</v>
      </c>
      <c r="G18" s="35">
        <f>(F18/22)*25</f>
        <v>1325</v>
      </c>
      <c r="H18" s="34"/>
      <c r="I18" s="28">
        <f t="shared" si="6"/>
        <v>1325</v>
      </c>
      <c r="J18" s="28"/>
      <c r="K18" s="63">
        <f>E18-I18-J18</f>
        <v>185639</v>
      </c>
      <c r="N18" s="41"/>
    </row>
    <row r="19" spans="1:14">
      <c r="A19" s="7" t="s">
        <v>42</v>
      </c>
      <c r="B19" s="33">
        <v>22434</v>
      </c>
      <c r="C19" s="2"/>
      <c r="D19" s="3">
        <v>-21000</v>
      </c>
      <c r="E19" s="34">
        <f t="shared" si="5"/>
        <v>1434</v>
      </c>
      <c r="F19" s="39">
        <f>F8</f>
        <v>0</v>
      </c>
      <c r="G19" s="35">
        <f>F19/2</f>
        <v>0</v>
      </c>
      <c r="H19" s="34"/>
      <c r="I19" s="28">
        <f t="shared" si="6"/>
        <v>0</v>
      </c>
      <c r="J19" s="28"/>
      <c r="K19" s="63">
        <f>E19-I19-J19</f>
        <v>1434</v>
      </c>
      <c r="N19" s="41"/>
    </row>
    <row r="20" spans="1:14" ht="15" customHeight="1">
      <c r="A20" s="9"/>
      <c r="B20" s="36"/>
      <c r="C20" s="5"/>
      <c r="D20" s="6"/>
      <c r="E20" s="37"/>
      <c r="F20" s="37"/>
      <c r="G20" s="38"/>
      <c r="H20" s="5"/>
      <c r="I20" s="1"/>
      <c r="J20" s="1"/>
      <c r="K20" s="1"/>
      <c r="N20" s="41"/>
    </row>
    <row r="21" spans="1:14">
      <c r="A21" s="7" t="s">
        <v>19</v>
      </c>
      <c r="B21" s="40">
        <v>599</v>
      </c>
      <c r="C21" s="2"/>
      <c r="D21" s="3"/>
      <c r="E21" s="34">
        <f t="shared" ref="E21:E27" si="7">B21+C21+D21</f>
        <v>599</v>
      </c>
      <c r="F21" s="35">
        <f>F10</f>
        <v>9576</v>
      </c>
      <c r="G21" s="35">
        <f>F21/24</f>
        <v>399</v>
      </c>
      <c r="H21" s="34"/>
      <c r="I21" s="28">
        <f t="shared" ref="I21:I26" si="8">G21+H21</f>
        <v>399</v>
      </c>
      <c r="J21" s="28"/>
      <c r="K21" s="63">
        <f t="shared" ref="K21:K27" si="9">E21-I21-J21</f>
        <v>200</v>
      </c>
      <c r="N21" s="41"/>
    </row>
    <row r="22" spans="1:14">
      <c r="A22" s="7" t="s">
        <v>18</v>
      </c>
      <c r="B22" s="40">
        <v>1467</v>
      </c>
      <c r="C22" s="2"/>
      <c r="D22" s="3"/>
      <c r="E22" s="34">
        <f t="shared" si="7"/>
        <v>1467</v>
      </c>
      <c r="F22" s="35">
        <f>F12</f>
        <v>1032</v>
      </c>
      <c r="G22" s="35">
        <f>F22/24</f>
        <v>43</v>
      </c>
      <c r="H22" s="34"/>
      <c r="I22" s="28">
        <f t="shared" si="8"/>
        <v>43</v>
      </c>
      <c r="J22" s="28"/>
      <c r="K22" s="63">
        <f t="shared" si="9"/>
        <v>1424</v>
      </c>
      <c r="N22" s="41"/>
    </row>
    <row r="23" spans="1:14">
      <c r="A23" s="42" t="s">
        <v>36</v>
      </c>
      <c r="B23" s="33">
        <v>6266</v>
      </c>
      <c r="C23" s="2"/>
      <c r="D23" s="3"/>
      <c r="E23" s="34">
        <f t="shared" si="7"/>
        <v>6266</v>
      </c>
      <c r="F23" s="39"/>
      <c r="G23" s="35">
        <f>(F13/30)+(F7/22)+(F6/22)</f>
        <v>837</v>
      </c>
      <c r="H23" s="34"/>
      <c r="I23" s="28">
        <f t="shared" si="8"/>
        <v>837</v>
      </c>
      <c r="J23" s="28"/>
      <c r="K23" s="33">
        <f t="shared" si="9"/>
        <v>5429</v>
      </c>
      <c r="L23" s="41"/>
      <c r="N23" s="41"/>
    </row>
    <row r="24" spans="1:14">
      <c r="A24" s="7" t="s">
        <v>34</v>
      </c>
      <c r="B24" s="43">
        <v>906</v>
      </c>
      <c r="C24" s="2"/>
      <c r="D24" s="3"/>
      <c r="E24" s="34">
        <f t="shared" si="7"/>
        <v>906</v>
      </c>
      <c r="F24" s="39">
        <f>F8</f>
        <v>0</v>
      </c>
      <c r="G24" s="35">
        <f>(F19/24)</f>
        <v>0</v>
      </c>
      <c r="H24" s="34"/>
      <c r="I24" s="28">
        <f t="shared" si="8"/>
        <v>0</v>
      </c>
      <c r="J24" s="28"/>
      <c r="K24" s="63">
        <f t="shared" si="9"/>
        <v>906</v>
      </c>
      <c r="N24" s="41"/>
    </row>
    <row r="25" spans="1:14">
      <c r="A25" s="7" t="s">
        <v>16</v>
      </c>
      <c r="B25" s="40">
        <v>4130</v>
      </c>
      <c r="C25" s="2"/>
      <c r="D25" s="3"/>
      <c r="E25" s="34">
        <f t="shared" si="7"/>
        <v>4130</v>
      </c>
      <c r="F25" s="35">
        <f>F4</f>
        <v>37992</v>
      </c>
      <c r="G25" s="35">
        <f>F25/24</f>
        <v>1583</v>
      </c>
      <c r="H25" s="34"/>
      <c r="I25" s="28">
        <f t="shared" si="8"/>
        <v>1583</v>
      </c>
      <c r="J25" s="28"/>
      <c r="K25" s="63">
        <f t="shared" si="9"/>
        <v>2547</v>
      </c>
      <c r="M25" s="62"/>
      <c r="N25" s="41"/>
    </row>
    <row r="26" spans="1:14">
      <c r="A26" s="7" t="s">
        <v>17</v>
      </c>
      <c r="B26" s="40">
        <v>505</v>
      </c>
      <c r="C26" s="2"/>
      <c r="D26" s="3"/>
      <c r="E26" s="34">
        <f t="shared" si="7"/>
        <v>505</v>
      </c>
      <c r="F26" s="35">
        <f>F5</f>
        <v>3312</v>
      </c>
      <c r="G26" s="35">
        <f>F26/24</f>
        <v>138</v>
      </c>
      <c r="H26" s="34"/>
      <c r="I26" s="28">
        <f t="shared" si="8"/>
        <v>138</v>
      </c>
      <c r="J26" s="28"/>
      <c r="K26" s="63">
        <f t="shared" si="9"/>
        <v>367</v>
      </c>
      <c r="N26" s="41"/>
    </row>
    <row r="27" spans="1:14">
      <c r="A27" s="7" t="s">
        <v>27</v>
      </c>
      <c r="B27" s="40">
        <v>361</v>
      </c>
      <c r="C27" s="2"/>
      <c r="D27" s="3"/>
      <c r="E27" s="34">
        <f t="shared" si="7"/>
        <v>361</v>
      </c>
      <c r="F27" s="35">
        <f>F11</f>
        <v>4968</v>
      </c>
      <c r="G27" s="35">
        <f>F27/24</f>
        <v>207</v>
      </c>
      <c r="H27" s="34"/>
      <c r="I27" s="28">
        <f>G27+H27</f>
        <v>207</v>
      </c>
      <c r="J27" s="28"/>
      <c r="K27" s="63">
        <f t="shared" si="9"/>
        <v>154</v>
      </c>
      <c r="N27" s="41"/>
    </row>
    <row r="28" spans="1:14">
      <c r="A28" s="11"/>
      <c r="B28" s="36"/>
      <c r="C28" s="5"/>
      <c r="D28" s="6"/>
      <c r="E28" s="37"/>
      <c r="F28" s="37"/>
      <c r="G28" s="38"/>
      <c r="H28" s="5"/>
      <c r="I28" s="1"/>
      <c r="J28" s="1"/>
      <c r="K28" s="1"/>
      <c r="N28" s="41"/>
    </row>
    <row r="29" spans="1:14">
      <c r="A29" s="7" t="s">
        <v>24</v>
      </c>
      <c r="B29" s="40">
        <v>30438</v>
      </c>
      <c r="C29" s="2"/>
      <c r="D29" s="3"/>
      <c r="E29" s="34">
        <f t="shared" ref="E29:E36" si="10">B29+C29+D29</f>
        <v>30438</v>
      </c>
      <c r="F29" s="44">
        <f>'[1]May 2021'!$K$30</f>
        <v>4560</v>
      </c>
      <c r="G29" s="44">
        <f>F29*2</f>
        <v>9120</v>
      </c>
      <c r="H29" s="45"/>
      <c r="I29" s="28">
        <f t="shared" ref="I29:I36" si="11">G29+H29</f>
        <v>9120</v>
      </c>
      <c r="J29" s="28"/>
      <c r="K29" s="64">
        <f t="shared" ref="K29:K35" si="12">E29-I29-J29</f>
        <v>21318</v>
      </c>
      <c r="N29" s="41"/>
    </row>
    <row r="30" spans="1:14">
      <c r="A30" s="7" t="s">
        <v>31</v>
      </c>
      <c r="B30" s="40">
        <v>41420</v>
      </c>
      <c r="C30" s="2"/>
      <c r="D30" s="3"/>
      <c r="E30" s="46">
        <f t="shared" si="10"/>
        <v>41420</v>
      </c>
      <c r="F30" s="47">
        <f>'[1]May 2021'!$L$30</f>
        <v>4932</v>
      </c>
      <c r="G30" s="44">
        <f>F30*4</f>
        <v>19728</v>
      </c>
      <c r="H30" s="45"/>
      <c r="I30" s="28">
        <f t="shared" si="11"/>
        <v>19728</v>
      </c>
      <c r="J30" s="28"/>
      <c r="K30" s="64">
        <f>E30-I30-J30</f>
        <v>21692</v>
      </c>
      <c r="N30" s="41"/>
    </row>
    <row r="31" spans="1:14">
      <c r="A31" s="7" t="s">
        <v>20</v>
      </c>
      <c r="B31" s="40">
        <v>1130</v>
      </c>
      <c r="C31" s="2"/>
      <c r="D31" s="3"/>
      <c r="E31" s="46">
        <f t="shared" si="10"/>
        <v>1130</v>
      </c>
      <c r="F31" s="49">
        <f>F29</f>
        <v>4560</v>
      </c>
      <c r="G31" s="44">
        <f>F31/12</f>
        <v>380</v>
      </c>
      <c r="H31" s="45"/>
      <c r="I31" s="28">
        <f t="shared" si="11"/>
        <v>380</v>
      </c>
      <c r="J31" s="28"/>
      <c r="K31" s="27">
        <f t="shared" si="12"/>
        <v>750</v>
      </c>
      <c r="N31" s="41"/>
    </row>
    <row r="32" spans="1:14">
      <c r="A32" s="7" t="s">
        <v>25</v>
      </c>
      <c r="B32" s="40">
        <v>526</v>
      </c>
      <c r="C32" s="4"/>
      <c r="D32" s="3"/>
      <c r="E32" s="46">
        <f t="shared" si="10"/>
        <v>526</v>
      </c>
      <c r="F32" s="49">
        <f>F30</f>
        <v>4932</v>
      </c>
      <c r="G32" s="50">
        <f>F32/12</f>
        <v>411</v>
      </c>
      <c r="H32" s="51"/>
      <c r="I32" s="28">
        <f t="shared" si="11"/>
        <v>411</v>
      </c>
      <c r="J32" s="28"/>
      <c r="K32" s="27">
        <f t="shared" si="12"/>
        <v>115</v>
      </c>
      <c r="N32" s="41"/>
    </row>
    <row r="33" spans="1:14">
      <c r="A33" s="7" t="s">
        <v>21</v>
      </c>
      <c r="B33" s="40">
        <v>82497</v>
      </c>
      <c r="C33" s="2"/>
      <c r="D33" s="3"/>
      <c r="E33" s="46">
        <f t="shared" si="10"/>
        <v>82497</v>
      </c>
      <c r="F33" s="49">
        <f>F30</f>
        <v>4932</v>
      </c>
      <c r="G33" s="50">
        <f>F33*4</f>
        <v>19728</v>
      </c>
      <c r="H33" s="48"/>
      <c r="I33" s="28">
        <f t="shared" si="11"/>
        <v>19728</v>
      </c>
      <c r="J33" s="28"/>
      <c r="K33" s="27">
        <f t="shared" si="12"/>
        <v>62769</v>
      </c>
      <c r="N33" s="41"/>
    </row>
    <row r="34" spans="1:14">
      <c r="A34" s="7" t="s">
        <v>22</v>
      </c>
      <c r="B34" s="40">
        <v>72124</v>
      </c>
      <c r="C34" s="4"/>
      <c r="D34" s="3"/>
      <c r="E34" s="46">
        <f t="shared" si="10"/>
        <v>72124</v>
      </c>
      <c r="F34" s="49">
        <f>F29</f>
        <v>4560</v>
      </c>
      <c r="G34" s="50">
        <f>F34*2</f>
        <v>9120</v>
      </c>
      <c r="H34" s="51"/>
      <c r="I34" s="28">
        <f t="shared" si="11"/>
        <v>9120</v>
      </c>
      <c r="J34" s="28"/>
      <c r="K34" s="27">
        <f t="shared" si="12"/>
        <v>63004</v>
      </c>
      <c r="N34" s="41"/>
    </row>
    <row r="35" spans="1:14">
      <c r="A35" s="7" t="s">
        <v>23</v>
      </c>
      <c r="B35" s="40">
        <v>34902</v>
      </c>
      <c r="C35" s="4"/>
      <c r="D35" s="3"/>
      <c r="E35" s="46">
        <f t="shared" si="10"/>
        <v>34902</v>
      </c>
      <c r="F35" s="49">
        <f>F29</f>
        <v>4560</v>
      </c>
      <c r="G35" s="50">
        <f>F35*2</f>
        <v>9120</v>
      </c>
      <c r="H35" s="51"/>
      <c r="I35" s="28">
        <f t="shared" si="11"/>
        <v>9120</v>
      </c>
      <c r="J35" s="28"/>
      <c r="K35" s="27">
        <f t="shared" si="12"/>
        <v>25782</v>
      </c>
      <c r="N35" s="41"/>
    </row>
    <row r="36" spans="1:14" ht="15.75" thickBot="1">
      <c r="A36" s="52" t="s">
        <v>32</v>
      </c>
      <c r="B36" s="53">
        <v>6440</v>
      </c>
      <c r="C36" s="54"/>
      <c r="D36" s="55"/>
      <c r="E36" s="56">
        <f t="shared" si="10"/>
        <v>6440</v>
      </c>
      <c r="F36" s="57">
        <f>F29</f>
        <v>4560</v>
      </c>
      <c r="G36" s="58">
        <f>F36*2</f>
        <v>9120</v>
      </c>
      <c r="H36" s="59"/>
      <c r="I36" s="60">
        <f t="shared" si="11"/>
        <v>9120</v>
      </c>
      <c r="J36" s="60"/>
      <c r="K36" s="66">
        <f>E36-I36-J36</f>
        <v>-2680</v>
      </c>
      <c r="N36" s="41"/>
    </row>
    <row r="37" spans="1:14">
      <c r="B37" s="41"/>
    </row>
    <row r="38" spans="1:14">
      <c r="F38" s="61">
        <f>F4+F5+F6+F7+F8+F10+F11+F12+F13+F29+F30</f>
        <v>90826</v>
      </c>
    </row>
    <row r="39" spans="1:14">
      <c r="F39" s="41"/>
      <c r="H39" s="61"/>
      <c r="J39" s="61"/>
    </row>
  </sheetData>
  <mergeCells count="1">
    <mergeCell ref="A1:K1"/>
  </mergeCells>
  <pageMargins left="0.27" right="0.34" top="0.28000000000000003" bottom="0.21" header="0.23" footer="0.16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2021-22</vt:lpstr>
      <vt:lpstr>May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sarowar</dc:creator>
  <cp:lastModifiedBy>pataka</cp:lastModifiedBy>
  <cp:lastPrinted>2021-06-01T08:53:57Z</cp:lastPrinted>
  <dcterms:created xsi:type="dcterms:W3CDTF">2013-12-03T09:05:52Z</dcterms:created>
  <dcterms:modified xsi:type="dcterms:W3CDTF">2021-06-01T09:01:41Z</dcterms:modified>
</cp:coreProperties>
</file>