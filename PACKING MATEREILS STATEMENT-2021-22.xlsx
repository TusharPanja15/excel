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75" windowWidth="15255" windowHeight="7935" activeTab="1"/>
  </bookViews>
  <sheets>
    <sheet name="April 2021-22" sheetId="79" r:id="rId1"/>
    <sheet name="May 2021" sheetId="80" r:id="rId2"/>
  </sheets>
  <externalReferences>
    <externalReference r:id="rId3"/>
  </externalReferences>
  <calcPr calcId="125725"/>
</workbook>
</file>

<file path=xl/calcChain.xml><?xml version="1.0" encoding="utf-8"?>
<calcChain xmlns="http://schemas.openxmlformats.org/spreadsheetml/2006/main">
  <c r="E36" i="80"/>
  <c r="E35"/>
  <c r="F34"/>
  <c r="G34" s="1"/>
  <c r="I34" s="1"/>
  <c r="E34"/>
  <c r="E33"/>
  <c r="E32"/>
  <c r="E31"/>
  <c r="F30"/>
  <c r="G30" s="1"/>
  <c r="I30" s="1"/>
  <c r="E30"/>
  <c r="G29"/>
  <c r="I29" s="1"/>
  <c r="F29"/>
  <c r="F35" s="1"/>
  <c r="G35" s="1"/>
  <c r="I35" s="1"/>
  <c r="E29"/>
  <c r="K29" s="1"/>
  <c r="E27"/>
  <c r="E26"/>
  <c r="F25"/>
  <c r="G25" s="1"/>
  <c r="I25" s="1"/>
  <c r="E25"/>
  <c r="F24"/>
  <c r="E24"/>
  <c r="E23"/>
  <c r="E22"/>
  <c r="K22" s="1"/>
  <c r="E21"/>
  <c r="F19"/>
  <c r="G19" s="1"/>
  <c r="I19" s="1"/>
  <c r="E19"/>
  <c r="K19" s="1"/>
  <c r="G18"/>
  <c r="I18" s="1"/>
  <c r="F18"/>
  <c r="E18"/>
  <c r="E17"/>
  <c r="E16"/>
  <c r="K16" s="1"/>
  <c r="F15"/>
  <c r="G15" s="1"/>
  <c r="I15" s="1"/>
  <c r="E15"/>
  <c r="G13"/>
  <c r="I13" s="1"/>
  <c r="F13"/>
  <c r="G23" s="1"/>
  <c r="I23" s="1"/>
  <c r="E13"/>
  <c r="F12"/>
  <c r="F22" s="1"/>
  <c r="G22" s="1"/>
  <c r="I22" s="1"/>
  <c r="E12"/>
  <c r="F11"/>
  <c r="G11" s="1"/>
  <c r="I11" s="1"/>
  <c r="E11"/>
  <c r="G10"/>
  <c r="I10" s="1"/>
  <c r="F10"/>
  <c r="F21" s="1"/>
  <c r="G21" s="1"/>
  <c r="I21" s="1"/>
  <c r="E10"/>
  <c r="K10" s="1"/>
  <c r="I8"/>
  <c r="G8"/>
  <c r="F8"/>
  <c r="E8"/>
  <c r="K8" s="1"/>
  <c r="F7"/>
  <c r="G7" s="1"/>
  <c r="I7" s="1"/>
  <c r="E7"/>
  <c r="F6"/>
  <c r="G6" s="1"/>
  <c r="I6" s="1"/>
  <c r="E6"/>
  <c r="G5"/>
  <c r="I5" s="1"/>
  <c r="F5"/>
  <c r="F26" s="1"/>
  <c r="G26" s="1"/>
  <c r="I26" s="1"/>
  <c r="E5"/>
  <c r="K5" s="1"/>
  <c r="I4"/>
  <c r="G4"/>
  <c r="F4"/>
  <c r="F16" s="1"/>
  <c r="G16" s="1"/>
  <c r="I16" s="1"/>
  <c r="E4"/>
  <c r="K4" s="1"/>
  <c r="C13" i="79"/>
  <c r="F30"/>
  <c r="F29"/>
  <c r="F13"/>
  <c r="F12"/>
  <c r="F11"/>
  <c r="F10"/>
  <c r="F8"/>
  <c r="F7"/>
  <c r="G7" s="1"/>
  <c r="F6"/>
  <c r="F5"/>
  <c r="F4"/>
  <c r="G4" s="1"/>
  <c r="K23" i="80" l="1"/>
  <c r="K31"/>
  <c r="K6"/>
  <c r="K25"/>
  <c r="K34"/>
  <c r="K11"/>
  <c r="K13"/>
  <c r="K21"/>
  <c r="K30"/>
  <c r="K33"/>
  <c r="K7"/>
  <c r="K15"/>
  <c r="K18"/>
  <c r="K26"/>
  <c r="K32"/>
  <c r="K35"/>
  <c r="G24"/>
  <c r="I24" s="1"/>
  <c r="K24" s="1"/>
  <c r="F33"/>
  <c r="G33" s="1"/>
  <c r="I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F36"/>
  <c r="G36" s="1"/>
  <c r="I36" s="1"/>
  <c r="K36" s="1"/>
  <c r="F38"/>
  <c r="F31"/>
  <c r="G31" s="1"/>
  <c r="I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I18" l="1"/>
  <c r="G18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K18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<sst xmlns="http://schemas.openxmlformats.org/spreadsheetml/2006/main" count="82" uniqueCount="41">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</sst>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zoomScaleNormal="100" workbookViewId="0">
      <selection activeCell="M6" sqref="M6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67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9"/>
  <sheetViews>
    <sheetView tabSelected="1" zoomScaleNormal="100" workbookViewId="0">
      <selection activeCell="M12" sqref="M12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67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-5.9</v>
      </c>
      <c r="C4" s="64">
        <v>4045270</v>
      </c>
      <c r="D4" s="3"/>
      <c r="E4" s="28">
        <f t="shared" ref="E4:E7" si="0">B4+C4+D4</f>
        <v>4045264.1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9">
        <f>E4-I4-J4</f>
        <v>4043863.2680000002</v>
      </c>
    </row>
    <row r="5" spans="1:12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264.476</v>
      </c>
    </row>
    <row r="6" spans="1:12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31.599999999999994</v>
      </c>
    </row>
    <row r="8" spans="1:12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27675</v>
      </c>
    </row>
    <row r="11" spans="1:12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73365</v>
      </c>
    </row>
    <row r="12" spans="1:12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7608</v>
      </c>
    </row>
    <row r="13" spans="1:12">
      <c r="A13" s="7" t="s">
        <v>13</v>
      </c>
      <c r="B13" s="33">
        <v>4098</v>
      </c>
      <c r="C13" s="2">
        <v>2700</v>
      </c>
      <c r="D13" s="3"/>
      <c r="E13" s="34">
        <f>B13+C13+D13</f>
        <v>6798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-378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94704</v>
      </c>
    </row>
    <row r="16" spans="1:12">
      <c r="A16" s="7" t="s">
        <v>15</v>
      </c>
      <c r="B16" s="33">
        <v>9188</v>
      </c>
      <c r="C16" s="2"/>
      <c r="D16" s="3"/>
      <c r="E16" s="34">
        <f t="shared" si="5"/>
        <v>9188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-23824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184839</v>
      </c>
    </row>
    <row r="19" spans="1:13">
      <c r="A19" s="7" t="s">
        <v>33</v>
      </c>
      <c r="B19" s="33">
        <v>22434</v>
      </c>
      <c r="C19" s="2"/>
      <c r="D19" s="3"/>
      <c r="E19" s="34">
        <f t="shared" si="5"/>
        <v>22434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22158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599</v>
      </c>
      <c r="C21" s="2"/>
      <c r="D21" s="3"/>
      <c r="E21" s="34">
        <f t="shared" ref="E21:E28" si="7">B21+C21+D21</f>
        <v>599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164</v>
      </c>
    </row>
    <row r="22" spans="1:13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1425</v>
      </c>
    </row>
    <row r="23" spans="1:13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4985</v>
      </c>
      <c r="L23" s="41"/>
    </row>
    <row r="24" spans="1:13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</row>
    <row r="25" spans="1:13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1698</v>
      </c>
      <c r="M25" s="62"/>
    </row>
    <row r="26" spans="1:13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186</v>
      </c>
    </row>
    <row r="27" spans="1:13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139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17118</v>
      </c>
    </row>
    <row r="30" spans="1:13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37820</v>
      </c>
    </row>
    <row r="31" spans="1:13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575</v>
      </c>
    </row>
    <row r="32" spans="1:13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451</v>
      </c>
    </row>
    <row r="33" spans="1:11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78897</v>
      </c>
    </row>
    <row r="34" spans="1:11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58804</v>
      </c>
    </row>
    <row r="35" spans="1:11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21582</v>
      </c>
    </row>
    <row r="36" spans="1:11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-6880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2021-05-03T10:27:06Z</cp:lastPrinted>
  <dcterms:created xsi:type="dcterms:W3CDTF">2013-12-03T09:05:52Z</dcterms:created>
  <dcterms:modified xsi:type="dcterms:W3CDTF">2021-05-15T09:25:01Z</dcterms:modified>
</cp:coreProperties>
</file>