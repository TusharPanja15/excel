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2"/>
  </bookViews>
  <sheets>
    <sheet name="April 2021-22" sheetId="79" r:id="rId1"/>
    <sheet name="May 2021" sheetId="80" r:id="rId2"/>
    <sheet name="June 2021" sheetId="81" r:id="rId3"/>
  </sheets>
  <externalReferences>
    <externalReference r:id="rId4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81"/>
  <c r="E36" l="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29" l="1"/>
  <c r="I29" s="1"/>
  <c r="K29" s="1"/>
  <c r="F30"/>
  <c r="F29"/>
  <c r="F4"/>
  <c r="F25" s="1"/>
  <c r="G25" s="1"/>
  <c r="I25" s="1"/>
  <c r="K25" s="1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G12" l="1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8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<sst xmlns="http://schemas.openxmlformats.org/spreadsheetml/2006/main" count="123" uniqueCount="44">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</sst>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0</v>
          </cell>
          <cell r="C30">
            <v>1224</v>
          </cell>
          <cell r="D30">
            <v>18000</v>
          </cell>
          <cell r="E30">
            <v>552</v>
          </cell>
          <cell r="F30">
            <v>22</v>
          </cell>
          <cell r="G30">
            <v>0</v>
          </cell>
          <cell r="H30">
            <v>4296</v>
          </cell>
          <cell r="I30">
            <v>2016</v>
          </cell>
          <cell r="J30">
            <v>23112</v>
          </cell>
          <cell r="K30">
            <v>7716</v>
          </cell>
          <cell r="L30">
            <v>612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E14" sqref="E14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>
        <v>3000</v>
      </c>
      <c r="D4" s="3"/>
      <c r="E4" s="28">
        <f t="shared" ref="E4:E7" si="0">B4+C4+D4</f>
        <v>6127.5</v>
      </c>
      <c r="F4" s="29">
        <f>'[1]June 2021'!$J$30</f>
        <v>23112</v>
      </c>
      <c r="G4" s="29">
        <f>F4*0.024</f>
        <v>554.68799999999999</v>
      </c>
      <c r="H4" s="28"/>
      <c r="I4" s="28">
        <f>G4+H4</f>
        <v>554.68799999999999</v>
      </c>
      <c r="J4" s="28"/>
      <c r="K4" s="29">
        <f>E4-I4-J4</f>
        <v>5572.8119999999999</v>
      </c>
      <c r="N4" s="41"/>
    </row>
    <row r="5" spans="1:14">
      <c r="A5" s="7" t="s">
        <v>10</v>
      </c>
      <c r="B5" s="26">
        <v>368.73</v>
      </c>
      <c r="C5" s="27"/>
      <c r="D5" s="3"/>
      <c r="E5" s="28">
        <f t="shared" si="0"/>
        <v>368.73</v>
      </c>
      <c r="F5" s="29">
        <f>'[1]June 2021'!$C$30</f>
        <v>1224</v>
      </c>
      <c r="G5" s="29">
        <f>F5*0.024</f>
        <v>29.376000000000001</v>
      </c>
      <c r="H5" s="28"/>
      <c r="I5" s="28">
        <f t="shared" ref="I5:I6" si="1">G5+H5</f>
        <v>29.376000000000001</v>
      </c>
      <c r="J5" s="28"/>
      <c r="K5" s="28">
        <f>E5-I5-J5</f>
        <v>339.35400000000004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113650</v>
      </c>
      <c r="D7" s="3"/>
      <c r="E7" s="28">
        <f t="shared" si="0"/>
        <v>113734.39999999999</v>
      </c>
      <c r="F7" s="29">
        <f>'[1]June 2021'!$F$30</f>
        <v>22</v>
      </c>
      <c r="G7" s="29">
        <f>F7*0.075</f>
        <v>1.65</v>
      </c>
      <c r="H7" s="28"/>
      <c r="I7" s="28">
        <f>G7+H7</f>
        <v>1.65</v>
      </c>
      <c r="J7" s="28"/>
      <c r="K7" s="28">
        <f>E7-I7-J7</f>
        <v>113732.75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506</v>
      </c>
      <c r="D10" s="3"/>
      <c r="E10" s="34">
        <f>B10+C10+D10</f>
        <v>29045</v>
      </c>
      <c r="F10" s="35">
        <f>'[1]June 2021'!$H$30</f>
        <v>4296</v>
      </c>
      <c r="G10" s="35">
        <f>F10*1</f>
        <v>4296</v>
      </c>
      <c r="H10" s="2"/>
      <c r="I10" s="28">
        <f t="shared" ref="I10:I13" si="4">G10+H10</f>
        <v>4296</v>
      </c>
      <c r="J10" s="28"/>
      <c r="K10" s="63">
        <f>E10-I10-J10</f>
        <v>24749</v>
      </c>
      <c r="N10" s="41"/>
    </row>
    <row r="11" spans="1:14">
      <c r="A11" s="7" t="s">
        <v>26</v>
      </c>
      <c r="B11" s="33">
        <v>74085</v>
      </c>
      <c r="C11" s="2">
        <v>560</v>
      </c>
      <c r="D11" s="3"/>
      <c r="E11" s="34">
        <f>B11+C11+D11</f>
        <v>74645</v>
      </c>
      <c r="F11" s="35">
        <f>'[1]June 2021'!$I$30</f>
        <v>2016</v>
      </c>
      <c r="G11" s="35">
        <f>F11*2</f>
        <v>4032</v>
      </c>
      <c r="H11" s="34"/>
      <c r="I11" s="28">
        <f t="shared" si="4"/>
        <v>4032</v>
      </c>
      <c r="J11" s="28"/>
      <c r="K11" s="63">
        <f>E11-I11-J11</f>
        <v>70613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0</v>
      </c>
      <c r="G12" s="35">
        <f>F12*1</f>
        <v>0</v>
      </c>
      <c r="H12" s="34"/>
      <c r="I12" s="28">
        <f t="shared" si="4"/>
        <v>0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3518</v>
      </c>
      <c r="C13" s="2">
        <f>2900+2350</f>
        <v>5250</v>
      </c>
      <c r="D13" s="3"/>
      <c r="E13" s="34">
        <f>B13+C13+D13</f>
        <v>8768</v>
      </c>
      <c r="F13" s="35">
        <f>'[1]June 2021'!$D$30</f>
        <v>18000</v>
      </c>
      <c r="G13" s="35">
        <f>F13/5</f>
        <v>3600</v>
      </c>
      <c r="H13" s="34"/>
      <c r="I13" s="28">
        <f t="shared" si="4"/>
        <v>3600</v>
      </c>
      <c r="J13" s="28"/>
      <c r="K13" s="63">
        <f>E13-I13-J13</f>
        <v>5168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18000</v>
      </c>
      <c r="G15" s="35">
        <f>F15/5</f>
        <v>3600</v>
      </c>
      <c r="H15" s="34"/>
      <c r="I15" s="28">
        <f t="shared" ref="I15:I19" si="6">G15+H15</f>
        <v>3600</v>
      </c>
      <c r="J15" s="28"/>
      <c r="K15" s="63">
        <f>E15-I15-J15</f>
        <v>93750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24336</v>
      </c>
      <c r="G16" s="35">
        <f>F16/2</f>
        <v>12168</v>
      </c>
      <c r="H16" s="34"/>
      <c r="I16" s="28">
        <f t="shared" si="6"/>
        <v>12168</v>
      </c>
      <c r="J16" s="28"/>
      <c r="K16" s="63">
        <f>E16-I16-J16</f>
        <v>97368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22</v>
      </c>
      <c r="G18" s="35">
        <f>(F18/22)*25</f>
        <v>25</v>
      </c>
      <c r="H18" s="34"/>
      <c r="I18" s="28">
        <f t="shared" si="6"/>
        <v>25</v>
      </c>
      <c r="J18" s="28"/>
      <c r="K18" s="63">
        <f>E18-I18-J18</f>
        <v>185614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/>
      <c r="D21" s="3"/>
      <c r="E21" s="34">
        <f t="shared" ref="E21:E27" si="7">B21+C21+D21</f>
        <v>200</v>
      </c>
      <c r="F21" s="35">
        <f>F10</f>
        <v>4296</v>
      </c>
      <c r="G21" s="35">
        <f>F21/24</f>
        <v>179</v>
      </c>
      <c r="H21" s="34"/>
      <c r="I21" s="28">
        <f t="shared" ref="I21:I26" si="8">G21+H21</f>
        <v>179</v>
      </c>
      <c r="J21" s="28"/>
      <c r="K21" s="63">
        <f t="shared" ref="K21:K27" si="9">E21-I21-J21</f>
        <v>21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0</v>
      </c>
      <c r="G22" s="35">
        <f>F22/24</f>
        <v>0</v>
      </c>
      <c r="H22" s="34"/>
      <c r="I22" s="28">
        <f t="shared" si="8"/>
        <v>0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601</v>
      </c>
      <c r="H23" s="34"/>
      <c r="I23" s="28">
        <f t="shared" si="8"/>
        <v>601</v>
      </c>
      <c r="J23" s="28"/>
      <c r="K23" s="33">
        <f t="shared" si="9"/>
        <v>4828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/>
      <c r="D25" s="3"/>
      <c r="E25" s="34">
        <f t="shared" si="7"/>
        <v>2547</v>
      </c>
      <c r="F25" s="35">
        <f>F4</f>
        <v>23112</v>
      </c>
      <c r="G25" s="35">
        <f>F25/24</f>
        <v>963</v>
      </c>
      <c r="H25" s="34"/>
      <c r="I25" s="28">
        <f t="shared" si="8"/>
        <v>963</v>
      </c>
      <c r="J25" s="28"/>
      <c r="K25" s="63">
        <f t="shared" si="9"/>
        <v>1584</v>
      </c>
      <c r="M25" s="62"/>
      <c r="N25" s="41"/>
    </row>
    <row r="26" spans="1:14">
      <c r="A26" s="7" t="s">
        <v>17</v>
      </c>
      <c r="B26" s="40">
        <v>367</v>
      </c>
      <c r="C26" s="2"/>
      <c r="D26" s="3"/>
      <c r="E26" s="34">
        <f t="shared" si="7"/>
        <v>367</v>
      </c>
      <c r="F26" s="35">
        <f>F5</f>
        <v>1224</v>
      </c>
      <c r="G26" s="35">
        <f>F26/24</f>
        <v>51</v>
      </c>
      <c r="H26" s="34"/>
      <c r="I26" s="28">
        <f t="shared" si="8"/>
        <v>51</v>
      </c>
      <c r="J26" s="28"/>
      <c r="K26" s="63">
        <f t="shared" si="9"/>
        <v>316</v>
      </c>
      <c r="N26" s="41"/>
    </row>
    <row r="27" spans="1:14">
      <c r="A27" s="7" t="s">
        <v>27</v>
      </c>
      <c r="B27" s="40">
        <v>154</v>
      </c>
      <c r="C27" s="2"/>
      <c r="D27" s="3"/>
      <c r="E27" s="34">
        <f t="shared" si="7"/>
        <v>154</v>
      </c>
      <c r="F27" s="35">
        <f>F11</f>
        <v>2016</v>
      </c>
      <c r="G27" s="35">
        <f>F27/24</f>
        <v>84</v>
      </c>
      <c r="H27" s="34"/>
      <c r="I27" s="28">
        <f>G27+H27</f>
        <v>84</v>
      </c>
      <c r="J27" s="28"/>
      <c r="K27" s="63">
        <f t="shared" si="9"/>
        <v>70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/>
      <c r="D29" s="3"/>
      <c r="E29" s="34">
        <f t="shared" ref="E29:E36" si="10">B29+C29+D29</f>
        <v>21318</v>
      </c>
      <c r="F29" s="44">
        <f>'[1]June 2021'!$K$30</f>
        <v>7716</v>
      </c>
      <c r="G29" s="44">
        <f>F29*2</f>
        <v>15432</v>
      </c>
      <c r="H29" s="45"/>
      <c r="I29" s="28">
        <f t="shared" ref="I29:I36" si="11">G29+H29</f>
        <v>15432</v>
      </c>
      <c r="J29" s="28"/>
      <c r="K29" s="64">
        <f t="shared" ref="K29:K35" si="12">E29-I29-J29</f>
        <v>5886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/>
      <c r="D31" s="3"/>
      <c r="E31" s="46">
        <f t="shared" si="10"/>
        <v>750</v>
      </c>
      <c r="F31" s="49">
        <f>F29</f>
        <v>7716</v>
      </c>
      <c r="G31" s="44">
        <f>F31/12</f>
        <v>643</v>
      </c>
      <c r="H31" s="45"/>
      <c r="I31" s="28">
        <f t="shared" si="11"/>
        <v>643</v>
      </c>
      <c r="J31" s="28"/>
      <c r="K31" s="27">
        <f t="shared" si="12"/>
        <v>107</v>
      </c>
      <c r="N31" s="41"/>
    </row>
    <row r="32" spans="1:14">
      <c r="A32" s="7" t="s">
        <v>25</v>
      </c>
      <c r="B32" s="40">
        <v>115</v>
      </c>
      <c r="C32" s="4"/>
      <c r="D32" s="3"/>
      <c r="E32" s="46">
        <f t="shared" si="10"/>
        <v>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7716</v>
      </c>
      <c r="G34" s="50">
        <f>F34*2</f>
        <v>15432</v>
      </c>
      <c r="H34" s="51"/>
      <c r="I34" s="28">
        <f t="shared" si="11"/>
        <v>15432</v>
      </c>
      <c r="J34" s="28"/>
      <c r="K34" s="27">
        <f t="shared" si="12"/>
        <v>47572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7716</v>
      </c>
      <c r="G35" s="50">
        <f>F35*2</f>
        <v>15432</v>
      </c>
      <c r="H35" s="51"/>
      <c r="I35" s="28">
        <f t="shared" si="11"/>
        <v>15432</v>
      </c>
      <c r="J35" s="28"/>
      <c r="K35" s="27">
        <f t="shared" si="12"/>
        <v>10350</v>
      </c>
      <c r="N35" s="41"/>
    </row>
    <row r="36" spans="1:14" ht="15.75" thickBot="1">
      <c r="A36" s="52" t="s">
        <v>32</v>
      </c>
      <c r="B36" s="53">
        <v>-2680</v>
      </c>
      <c r="C36" s="54"/>
      <c r="D36" s="55"/>
      <c r="E36" s="56">
        <f t="shared" si="10"/>
        <v>-2680</v>
      </c>
      <c r="F36" s="57">
        <f>F29</f>
        <v>7716</v>
      </c>
      <c r="G36" s="58">
        <f>F36*2</f>
        <v>15432</v>
      </c>
      <c r="H36" s="59"/>
      <c r="I36" s="60">
        <f t="shared" si="11"/>
        <v>15432</v>
      </c>
      <c r="J36" s="60"/>
      <c r="K36" s="66">
        <f>E36-I36-J36</f>
        <v>-18112</v>
      </c>
      <c r="N36" s="41"/>
    </row>
    <row r="37" spans="1:14">
      <c r="B37" s="41"/>
    </row>
    <row r="38" spans="1:14">
      <c r="F38" s="61">
        <f>F4+F5+F6+F7+F8+F10+F11+F12+F13+F29+F30</f>
        <v>57550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2021-06-01T08:53:57Z</cp:lastPrinted>
  <dcterms:created xsi:type="dcterms:W3CDTF">2013-12-03T09:05:52Z</dcterms:created>
  <dcterms:modified xsi:type="dcterms:W3CDTF">2021-06-19T07:03:41Z</dcterms:modified>
</cp:coreProperties>
</file>