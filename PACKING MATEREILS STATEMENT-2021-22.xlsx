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activeTab="2"/>
  </bookViews>
  <sheets>
    <sheet name="April 2021-22" sheetId="79" r:id="rId1"/>
    <sheet name="May 2021" sheetId="80" r:id="rId2"/>
    <sheet name="June 2021" sheetId="81" r:id="rId3"/>
  </sheets>
  <externalReferences>
    <externalReference r:id="rId4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" i="81"/>
  <c r="C4"/>
  <c r="C11"/>
  <c r="C10"/>
  <c r="C13"/>
  <c r="E36" l="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F30" l="1"/>
  <c r="F29"/>
  <c r="G29" s="1"/>
  <c r="I29" s="1"/>
  <c r="K29" s="1"/>
  <c r="F4"/>
  <c r="F25" s="1"/>
  <c r="G25" s="1"/>
  <c r="I25" s="1"/>
  <c r="K25" s="1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G12" l="1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8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<sst xmlns="http://schemas.openxmlformats.org/spreadsheetml/2006/main" count="123" uniqueCount="44">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</sst>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C6" sqref="C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67" t="s">
        <v>43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>
        <f>3000+325+1920</f>
        <v>5245</v>
      </c>
      <c r="D4" s="3"/>
      <c r="E4" s="28">
        <f t="shared" ref="E4:E7" si="0">B4+C4+D4</f>
        <v>8372.5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7374.8680000000004</v>
      </c>
      <c r="N4" s="41"/>
    </row>
    <row r="5" spans="1:14">
      <c r="A5" s="7" t="s">
        <v>10</v>
      </c>
      <c r="B5" s="26">
        <v>368.73</v>
      </c>
      <c r="C5" s="27">
        <f>1027.71+200+304</f>
        <v>1531.71</v>
      </c>
      <c r="D5" s="3"/>
      <c r="E5" s="28">
        <f t="shared" si="0"/>
        <v>1900.44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1793.3040000000001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1136.5</v>
      </c>
      <c r="D7" s="3"/>
      <c r="E7" s="28">
        <f t="shared" si="0"/>
        <v>1220.9000000000001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1112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f>506+64925+200+908</f>
        <v>66539</v>
      </c>
      <c r="D10" s="3"/>
      <c r="E10" s="34">
        <f>B10+C10+D10</f>
        <v>95078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84422</v>
      </c>
      <c r="N10" s="41"/>
    </row>
    <row r="11" spans="1:14">
      <c r="A11" s="7" t="s">
        <v>26</v>
      </c>
      <c r="B11" s="33">
        <v>74085</v>
      </c>
      <c r="C11" s="2">
        <f>560+200+269</f>
        <v>1029</v>
      </c>
      <c r="D11" s="3"/>
      <c r="E11" s="34">
        <f>B11+C11+D11</f>
        <v>75114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65226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/>
      <c r="D21" s="3"/>
      <c r="E21" s="34">
        <f t="shared" ref="E21:E27" si="7">B21+C21+D21</f>
        <v>200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-244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/>
      <c r="D25" s="3"/>
      <c r="E25" s="34">
        <f t="shared" si="7"/>
        <v>2547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815</v>
      </c>
      <c r="M25" s="62"/>
      <c r="N25" s="41"/>
    </row>
    <row r="26" spans="1:14">
      <c r="A26" s="7" t="s">
        <v>17</v>
      </c>
      <c r="B26" s="40">
        <v>367</v>
      </c>
      <c r="C26" s="2"/>
      <c r="D26" s="3"/>
      <c r="E26" s="34">
        <f t="shared" si="7"/>
        <v>367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181</v>
      </c>
      <c r="N26" s="41"/>
    </row>
    <row r="27" spans="1:14">
      <c r="A27" s="7" t="s">
        <v>27</v>
      </c>
      <c r="B27" s="40">
        <v>154</v>
      </c>
      <c r="C27" s="2"/>
      <c r="D27" s="3"/>
      <c r="E27" s="34">
        <f t="shared" si="7"/>
        <v>154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-52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2021-06-01T08:53:57Z</cp:lastPrinted>
  <dcterms:created xsi:type="dcterms:W3CDTF">2013-12-03T09:05:52Z</dcterms:created>
  <dcterms:modified xsi:type="dcterms:W3CDTF">2021-07-01T05:27:00Z</dcterms:modified>
</cp:coreProperties>
</file>