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-22" sheetId="79" r:id="rId1"/>
    <sheet name="May 2021" sheetId="80" r:id="rId2"/>
    <sheet name="June 2021" sheetId="81" r:id="rId3"/>
    <sheet name="july" sheetId="82" r:id="rId4"/>
    <sheet name="AUGUST" sheetId="83" r:id="rId5"/>
    <sheet name="september" sheetId="84" r:id="rId6"/>
  </sheets>
  <externalReferences>
    <externalReference r:id="rId7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9" i="84"/>
  <c r="F4"/>
  <c r="F25" s="1"/>
  <c r="G25" s="1"/>
  <c r="I25" s="1"/>
  <c r="C13"/>
  <c r="E13"/>
  <c r="C35"/>
  <c r="C34"/>
  <c r="E35"/>
  <c r="F30"/>
  <c r="F32" s="1"/>
  <c r="G32" s="1"/>
  <c r="I32" s="1"/>
  <c r="G29"/>
  <c r="I29" s="1"/>
  <c r="F13"/>
  <c r="F15" s="1"/>
  <c r="G15" s="1"/>
  <c r="I15" s="1"/>
  <c r="F12"/>
  <c r="F22" s="1"/>
  <c r="G22" s="1"/>
  <c r="I22" s="1"/>
  <c r="F11"/>
  <c r="F27" s="1"/>
  <c r="G27" s="1"/>
  <c r="I27" s="1"/>
  <c r="F10"/>
  <c r="G10" s="1"/>
  <c r="I10" s="1"/>
  <c r="F8"/>
  <c r="F19" s="1"/>
  <c r="F7"/>
  <c r="G7" s="1"/>
  <c r="I7" s="1"/>
  <c r="F6"/>
  <c r="F17" s="1"/>
  <c r="G17" s="1"/>
  <c r="I17" s="1"/>
  <c r="F5"/>
  <c r="G5" s="1"/>
  <c r="I5" s="1"/>
  <c r="E36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2"/>
  <c r="G11"/>
  <c r="I11" s="1"/>
  <c r="E11"/>
  <c r="E10"/>
  <c r="E8"/>
  <c r="E7"/>
  <c r="G6"/>
  <c r="I6" s="1"/>
  <c r="E6"/>
  <c r="E5"/>
  <c r="E4"/>
  <c r="G4" l="1"/>
  <c r="I4" s="1"/>
  <c r="K4" s="1"/>
  <c r="F33"/>
  <c r="G33" s="1"/>
  <c r="I33" s="1"/>
  <c r="K33" s="1"/>
  <c r="G12"/>
  <c r="I12" s="1"/>
  <c r="K12" s="1"/>
  <c r="F18"/>
  <c r="G18" s="1"/>
  <c r="I18" s="1"/>
  <c r="K18" s="1"/>
  <c r="K11"/>
  <c r="F24"/>
  <c r="G8"/>
  <c r="I8" s="1"/>
  <c r="K8" s="1"/>
  <c r="K7"/>
  <c r="K17"/>
  <c r="K25"/>
  <c r="G24"/>
  <c r="I24" s="1"/>
  <c r="K24" s="1"/>
  <c r="G19"/>
  <c r="I19" s="1"/>
  <c r="K19" s="1"/>
  <c r="K5"/>
  <c r="K10"/>
  <c r="K22"/>
  <c r="K27"/>
  <c r="K32"/>
  <c r="K6"/>
  <c r="K15"/>
  <c r="K29"/>
  <c r="G23"/>
  <c r="I23" s="1"/>
  <c r="K23" s="1"/>
  <c r="F36"/>
  <c r="G36" s="1"/>
  <c r="I36" s="1"/>
  <c r="K36" s="1"/>
  <c r="F31"/>
  <c r="G31" s="1"/>
  <c r="I31" s="1"/>
  <c r="K31" s="1"/>
  <c r="F35"/>
  <c r="G35" s="1"/>
  <c r="I35" s="1"/>
  <c r="K35" s="1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4"/>
  <c r="G34" s="1"/>
  <c r="I34" s="1"/>
  <c r="K34" s="1"/>
  <c r="G13"/>
  <c r="I13" s="1"/>
  <c r="K13" s="1"/>
  <c r="F30" i="83"/>
  <c r="F29"/>
  <c r="F13"/>
  <c r="F12"/>
  <c r="F11"/>
  <c r="F10"/>
  <c r="F8"/>
  <c r="F7"/>
  <c r="F6"/>
  <c r="F5"/>
  <c r="F4"/>
  <c r="C31"/>
  <c r="C13"/>
  <c r="C36" i="82" l="1"/>
  <c r="C35"/>
  <c r="E36" i="83"/>
  <c r="E35"/>
  <c r="E34"/>
  <c r="E33"/>
  <c r="E32"/>
  <c r="E31"/>
  <c r="F33"/>
  <c r="G33" s="1"/>
  <c r="I33" s="1"/>
  <c r="E30"/>
  <c r="F34"/>
  <c r="G34" s="1"/>
  <c r="I34" s="1"/>
  <c r="E29"/>
  <c r="E27"/>
  <c r="E26"/>
  <c r="E25"/>
  <c r="E24"/>
  <c r="E23"/>
  <c r="E22"/>
  <c r="E21"/>
  <c r="E19"/>
  <c r="F18"/>
  <c r="G18" s="1"/>
  <c r="I18" s="1"/>
  <c r="E18"/>
  <c r="E17"/>
  <c r="E16"/>
  <c r="E15"/>
  <c r="F15"/>
  <c r="G15" s="1"/>
  <c r="I15" s="1"/>
  <c r="E13"/>
  <c r="F22"/>
  <c r="G22" s="1"/>
  <c r="I22" s="1"/>
  <c r="E12"/>
  <c r="G11"/>
  <c r="I11" s="1"/>
  <c r="F27"/>
  <c r="G27" s="1"/>
  <c r="I27" s="1"/>
  <c r="E11"/>
  <c r="G10"/>
  <c r="I10" s="1"/>
  <c r="E10"/>
  <c r="F19"/>
  <c r="E8"/>
  <c r="I7"/>
  <c r="G7"/>
  <c r="E7"/>
  <c r="G6"/>
  <c r="I6" s="1"/>
  <c r="F17"/>
  <c r="G17" s="1"/>
  <c r="I17" s="1"/>
  <c r="E6"/>
  <c r="G5"/>
  <c r="I5" s="1"/>
  <c r="E5"/>
  <c r="F25"/>
  <c r="G25" s="1"/>
  <c r="I25" s="1"/>
  <c r="E4"/>
  <c r="C13" i="82"/>
  <c r="K6" i="83" l="1"/>
  <c r="K7"/>
  <c r="K18"/>
  <c r="K22"/>
  <c r="K33"/>
  <c r="G4"/>
  <c r="I4" s="1"/>
  <c r="K4" s="1"/>
  <c r="K17"/>
  <c r="K25"/>
  <c r="G24"/>
  <c r="I24" s="1"/>
  <c r="K24" s="1"/>
  <c r="G19"/>
  <c r="I19" s="1"/>
  <c r="K19" s="1"/>
  <c r="K5"/>
  <c r="K10"/>
  <c r="K11"/>
  <c r="K15"/>
  <c r="K27"/>
  <c r="K34"/>
  <c r="G12"/>
  <c r="I12" s="1"/>
  <c r="K12" s="1"/>
  <c r="F32"/>
  <c r="G32" s="1"/>
  <c r="I32" s="1"/>
  <c r="K32" s="1"/>
  <c r="F36"/>
  <c r="G36" s="1"/>
  <c r="I36" s="1"/>
  <c r="K36" s="1"/>
  <c r="F38"/>
  <c r="F16"/>
  <c r="G16" s="1"/>
  <c r="I16" s="1"/>
  <c r="K16" s="1"/>
  <c r="F21"/>
  <c r="G21" s="1"/>
  <c r="I21" s="1"/>
  <c r="K21" s="1"/>
  <c r="F26"/>
  <c r="G26" s="1"/>
  <c r="I26" s="1"/>
  <c r="K26" s="1"/>
  <c r="G30"/>
  <c r="I30" s="1"/>
  <c r="K30" s="1"/>
  <c r="F31"/>
  <c r="G31" s="1"/>
  <c r="I31" s="1"/>
  <c r="K31" s="1"/>
  <c r="F35"/>
  <c r="G35" s="1"/>
  <c r="I35" s="1"/>
  <c r="K35" s="1"/>
  <c r="G8"/>
  <c r="I8" s="1"/>
  <c r="K8" s="1"/>
  <c r="G23"/>
  <c r="I23" s="1"/>
  <c r="K23" s="1"/>
  <c r="F24"/>
  <c r="G13"/>
  <c r="I13" s="1"/>
  <c r="K13" s="1"/>
  <c r="G29"/>
  <c r="I29" s="1"/>
  <c r="K29" s="1"/>
  <c r="F30" i="82"/>
  <c r="F29"/>
  <c r="F13"/>
  <c r="F12"/>
  <c r="F11"/>
  <c r="F10"/>
  <c r="F8"/>
  <c r="F7"/>
  <c r="F6"/>
  <c r="F5"/>
  <c r="F4"/>
  <c r="F36" l="1"/>
  <c r="G36" s="1"/>
  <c r="I36" s="1"/>
  <c r="E36"/>
  <c r="E35"/>
  <c r="E34"/>
  <c r="E33"/>
  <c r="E32"/>
  <c r="E31"/>
  <c r="G30"/>
  <c r="I30" s="1"/>
  <c r="F33"/>
  <c r="G33" s="1"/>
  <c r="I33" s="1"/>
  <c r="E30"/>
  <c r="G29"/>
  <c r="I29" s="1"/>
  <c r="F35"/>
  <c r="G35" s="1"/>
  <c r="I35" s="1"/>
  <c r="E29"/>
  <c r="E27"/>
  <c r="F26"/>
  <c r="G26" s="1"/>
  <c r="I26" s="1"/>
  <c r="E26"/>
  <c r="E25"/>
  <c r="E24"/>
  <c r="E23"/>
  <c r="E22"/>
  <c r="E21"/>
  <c r="E19"/>
  <c r="E18"/>
  <c r="F17"/>
  <c r="G17" s="1"/>
  <c r="I17" s="1"/>
  <c r="E17"/>
  <c r="E16"/>
  <c r="E15"/>
  <c r="G13"/>
  <c r="I13" s="1"/>
  <c r="E13"/>
  <c r="G12"/>
  <c r="I12" s="1"/>
  <c r="F22"/>
  <c r="G22" s="1"/>
  <c r="I22" s="1"/>
  <c r="E12"/>
  <c r="G11"/>
  <c r="I11" s="1"/>
  <c r="F27"/>
  <c r="G27" s="1"/>
  <c r="I27" s="1"/>
  <c r="E11"/>
  <c r="G10"/>
  <c r="I10" s="1"/>
  <c r="F21"/>
  <c r="G21" s="1"/>
  <c r="I21" s="1"/>
  <c r="E10"/>
  <c r="F24"/>
  <c r="E8"/>
  <c r="G7"/>
  <c r="I7" s="1"/>
  <c r="F18"/>
  <c r="G18" s="1"/>
  <c r="I18" s="1"/>
  <c r="E7"/>
  <c r="G6"/>
  <c r="I6" s="1"/>
  <c r="E6"/>
  <c r="G5"/>
  <c r="I5" s="1"/>
  <c r="E5"/>
  <c r="G4"/>
  <c r="I4" s="1"/>
  <c r="E4"/>
  <c r="C13" i="81"/>
  <c r="K13" i="82" l="1"/>
  <c r="K7"/>
  <c r="K6"/>
  <c r="K5"/>
  <c r="K22"/>
  <c r="K27"/>
  <c r="K35"/>
  <c r="F31"/>
  <c r="G31" s="1"/>
  <c r="I31" s="1"/>
  <c r="K31" s="1"/>
  <c r="K29"/>
  <c r="K30"/>
  <c r="F32"/>
  <c r="G32" s="1"/>
  <c r="I32" s="1"/>
  <c r="K32" s="1"/>
  <c r="K10"/>
  <c r="K11"/>
  <c r="K12"/>
  <c r="G23"/>
  <c r="I23" s="1"/>
  <c r="K23" s="1"/>
  <c r="F15"/>
  <c r="G15" s="1"/>
  <c r="I15" s="1"/>
  <c r="K15" s="1"/>
  <c r="F34"/>
  <c r="G34" s="1"/>
  <c r="I34" s="1"/>
  <c r="K34" s="1"/>
  <c r="K18"/>
  <c r="K33"/>
  <c r="K36"/>
  <c r="K4"/>
  <c r="K17"/>
  <c r="K21"/>
  <c r="K26"/>
  <c r="F38"/>
  <c r="F19"/>
  <c r="F16"/>
  <c r="G16" s="1"/>
  <c r="I16" s="1"/>
  <c r="K16" s="1"/>
  <c r="F25"/>
  <c r="G25" s="1"/>
  <c r="I25" s="1"/>
  <c r="K25" s="1"/>
  <c r="G8"/>
  <c r="I8" s="1"/>
  <c r="K8" s="1"/>
  <c r="E36" i="81"/>
  <c r="E35"/>
  <c r="E34"/>
  <c r="E33"/>
  <c r="E32"/>
  <c r="E31"/>
  <c r="E30"/>
  <c r="E29"/>
  <c r="E27"/>
  <c r="E26"/>
  <c r="E25"/>
  <c r="E24"/>
  <c r="E23"/>
  <c r="E22"/>
  <c r="E21"/>
  <c r="E19"/>
  <c r="E18"/>
  <c r="E17"/>
  <c r="E16"/>
  <c r="E15"/>
  <c r="E13"/>
  <c r="E12"/>
  <c r="E11"/>
  <c r="E10"/>
  <c r="E8"/>
  <c r="E7"/>
  <c r="E6"/>
  <c r="E5"/>
  <c r="E4"/>
  <c r="G19" i="82" l="1"/>
  <c r="I19" s="1"/>
  <c r="K19" s="1"/>
  <c r="G24"/>
  <c r="I24" s="1"/>
  <c r="K24" s="1"/>
  <c r="F30" i="81"/>
  <c r="F29"/>
  <c r="G29" s="1"/>
  <c r="I29" s="1"/>
  <c r="K29" s="1"/>
  <c r="F4"/>
  <c r="F11"/>
  <c r="F10"/>
  <c r="F6"/>
  <c r="F7"/>
  <c r="F18" s="1"/>
  <c r="G18" s="1"/>
  <c r="I18" s="1"/>
  <c r="K18" s="1"/>
  <c r="F8"/>
  <c r="F19" s="1"/>
  <c r="G24" s="1"/>
  <c r="I24" s="1"/>
  <c r="K24" s="1"/>
  <c r="F13"/>
  <c r="F15" s="1"/>
  <c r="G15" s="1"/>
  <c r="I15" s="1"/>
  <c r="K15" s="1"/>
  <c r="F5"/>
  <c r="F12"/>
  <c r="F22" s="1"/>
  <c r="G22" s="1"/>
  <c r="I22" s="1"/>
  <c r="K22" s="1"/>
  <c r="F25" l="1"/>
  <c r="G25" s="1"/>
  <c r="I25" s="1"/>
  <c r="K25" s="1"/>
  <c r="F38"/>
  <c r="G12"/>
  <c r="I12" s="1"/>
  <c r="K12" s="1"/>
  <c r="G7"/>
  <c r="I7" s="1"/>
  <c r="K7" s="1"/>
  <c r="G4"/>
  <c r="I4" s="1"/>
  <c r="K4" s="1"/>
  <c r="F32"/>
  <c r="G32" s="1"/>
  <c r="I32" s="1"/>
  <c r="K32" s="1"/>
  <c r="F33"/>
  <c r="G33" s="1"/>
  <c r="I33" s="1"/>
  <c r="K33" s="1"/>
  <c r="G30"/>
  <c r="I30" s="1"/>
  <c r="K30" s="1"/>
  <c r="F36"/>
  <c r="G36" s="1"/>
  <c r="I36" s="1"/>
  <c r="K36" s="1"/>
  <c r="F31"/>
  <c r="G31" s="1"/>
  <c r="I31" s="1"/>
  <c r="K31" s="1"/>
  <c r="F34"/>
  <c r="G34" s="1"/>
  <c r="I34" s="1"/>
  <c r="K34" s="1"/>
  <c r="F35"/>
  <c r="G35" s="1"/>
  <c r="I35" s="1"/>
  <c r="K35" s="1"/>
  <c r="F16"/>
  <c r="G16" s="1"/>
  <c r="I16" s="1"/>
  <c r="K16" s="1"/>
  <c r="F27"/>
  <c r="G27" s="1"/>
  <c r="I27" s="1"/>
  <c r="K27" s="1"/>
  <c r="G11"/>
  <c r="I11" s="1"/>
  <c r="K11" s="1"/>
  <c r="G10"/>
  <c r="I10" s="1"/>
  <c r="K10" s="1"/>
  <c r="F21"/>
  <c r="G21" s="1"/>
  <c r="I21" s="1"/>
  <c r="K21" s="1"/>
  <c r="F17"/>
  <c r="G17" s="1"/>
  <c r="I17" s="1"/>
  <c r="K17" s="1"/>
  <c r="G6"/>
  <c r="I6" s="1"/>
  <c r="K6" s="1"/>
  <c r="G8"/>
  <c r="I8" s="1"/>
  <c r="K8" s="1"/>
  <c r="G19"/>
  <c r="I19" s="1"/>
  <c r="K19" s="1"/>
  <c r="F24"/>
  <c r="G13"/>
  <c r="I13" s="1"/>
  <c r="K13" s="1"/>
  <c r="G23"/>
  <c r="I23" s="1"/>
  <c r="K23" s="1"/>
  <c r="F26"/>
  <c r="G26" s="1"/>
  <c r="I26" s="1"/>
  <c r="K26" s="1"/>
  <c r="G5"/>
  <c r="I5" s="1"/>
  <c r="K5" s="1"/>
  <c r="F30" i="80"/>
  <c r="F29"/>
  <c r="F13"/>
  <c r="F12"/>
  <c r="F11"/>
  <c r="F10"/>
  <c r="F8"/>
  <c r="F7"/>
  <c r="F6"/>
  <c r="F5"/>
  <c r="F4"/>
  <c r="C13" l="1"/>
  <c r="F25" l="1"/>
  <c r="G25" s="1"/>
  <c r="I25" s="1"/>
  <c r="E36"/>
  <c r="E35"/>
  <c r="E34"/>
  <c r="E33"/>
  <c r="E32"/>
  <c r="E31"/>
  <c r="G30"/>
  <c r="I30" s="1"/>
  <c r="E30"/>
  <c r="G29"/>
  <c r="I29" s="1"/>
  <c r="F35"/>
  <c r="G35" s="1"/>
  <c r="I35" s="1"/>
  <c r="E29"/>
  <c r="E27"/>
  <c r="E26"/>
  <c r="E25"/>
  <c r="E24"/>
  <c r="E23"/>
  <c r="E22"/>
  <c r="E21"/>
  <c r="E19"/>
  <c r="E18"/>
  <c r="E17"/>
  <c r="E16"/>
  <c r="F15"/>
  <c r="G15" s="1"/>
  <c r="I15" s="1"/>
  <c r="E15"/>
  <c r="G13"/>
  <c r="I13" s="1"/>
  <c r="E13"/>
  <c r="F22"/>
  <c r="G22" s="1"/>
  <c r="I22" s="1"/>
  <c r="E12"/>
  <c r="G11"/>
  <c r="I11" s="1"/>
  <c r="E11"/>
  <c r="F21"/>
  <c r="G21" s="1"/>
  <c r="I21" s="1"/>
  <c r="E10"/>
  <c r="F19"/>
  <c r="G19" s="1"/>
  <c r="I19" s="1"/>
  <c r="E8"/>
  <c r="G7"/>
  <c r="I7" s="1"/>
  <c r="E7"/>
  <c r="G6"/>
  <c r="I6" s="1"/>
  <c r="E6"/>
  <c r="G5"/>
  <c r="I5" s="1"/>
  <c r="F26"/>
  <c r="G26" s="1"/>
  <c r="I26" s="1"/>
  <c r="E5"/>
  <c r="E4"/>
  <c r="C13" i="79"/>
  <c r="F30"/>
  <c r="F29"/>
  <c r="F13"/>
  <c r="F12"/>
  <c r="F11"/>
  <c r="F10"/>
  <c r="F8"/>
  <c r="F7"/>
  <c r="G7" s="1"/>
  <c r="F6"/>
  <c r="F5"/>
  <c r="F4"/>
  <c r="G4" s="1"/>
  <c r="K22" i="80" l="1"/>
  <c r="K29"/>
  <c r="K5"/>
  <c r="K19"/>
  <c r="G23"/>
  <c r="I23" s="1"/>
  <c r="F34"/>
  <c r="G34" s="1"/>
  <c r="I34" s="1"/>
  <c r="K34" s="1"/>
  <c r="F18"/>
  <c r="G18" s="1"/>
  <c r="I18" s="1"/>
  <c r="K18" s="1"/>
  <c r="F24"/>
  <c r="G8"/>
  <c r="I8" s="1"/>
  <c r="K8" s="1"/>
  <c r="G10"/>
  <c r="I10" s="1"/>
  <c r="K10" s="1"/>
  <c r="G4"/>
  <c r="I4" s="1"/>
  <c r="K4" s="1"/>
  <c r="F16"/>
  <c r="G16" s="1"/>
  <c r="I16" s="1"/>
  <c r="K16" s="1"/>
  <c r="K23"/>
  <c r="K6"/>
  <c r="K25"/>
  <c r="K11"/>
  <c r="K13"/>
  <c r="K21"/>
  <c r="K30"/>
  <c r="K7"/>
  <c r="K15"/>
  <c r="K26"/>
  <c r="K35"/>
  <c r="G24"/>
  <c r="I24" s="1"/>
  <c r="K24" s="1"/>
  <c r="F33"/>
  <c r="G33" s="1"/>
  <c r="I33" s="1"/>
  <c r="K33" s="1"/>
  <c r="G12"/>
  <c r="I12" s="1"/>
  <c r="K12" s="1"/>
  <c r="F17"/>
  <c r="G17" s="1"/>
  <c r="I17" s="1"/>
  <c r="K17" s="1"/>
  <c r="F27"/>
  <c r="G27" s="1"/>
  <c r="I27" s="1"/>
  <c r="K27" s="1"/>
  <c r="F32"/>
  <c r="G32" s="1"/>
  <c r="I32" s="1"/>
  <c r="K32" s="1"/>
  <c r="F36"/>
  <c r="G36" s="1"/>
  <c r="I36" s="1"/>
  <c r="K36" s="1"/>
  <c r="F38"/>
  <c r="F31"/>
  <c r="G31" s="1"/>
  <c r="I31" s="1"/>
  <c r="K31" s="1"/>
  <c r="F17" i="79"/>
  <c r="G17" s="1"/>
  <c r="G6"/>
  <c r="F24"/>
  <c r="G8"/>
  <c r="G23"/>
  <c r="F38"/>
  <c r="F19"/>
  <c r="G24" s="1"/>
  <c r="G19" l="1"/>
  <c r="I8"/>
  <c r="E8"/>
  <c r="K8" l="1"/>
  <c r="F18"/>
  <c r="G5"/>
  <c r="I5" s="1"/>
  <c r="F25"/>
  <c r="G25" s="1"/>
  <c r="I25" s="1"/>
  <c r="E36"/>
  <c r="E35"/>
  <c r="E34"/>
  <c r="E33"/>
  <c r="F32"/>
  <c r="G32" s="1"/>
  <c r="I32" s="1"/>
  <c r="E32"/>
  <c r="E31"/>
  <c r="F33"/>
  <c r="G33" s="1"/>
  <c r="I33" s="1"/>
  <c r="E30"/>
  <c r="F31"/>
  <c r="G31" s="1"/>
  <c r="I31" s="1"/>
  <c r="E29"/>
  <c r="E27"/>
  <c r="E26"/>
  <c r="E25"/>
  <c r="E24"/>
  <c r="E23"/>
  <c r="E22"/>
  <c r="E21"/>
  <c r="E19"/>
  <c r="E18"/>
  <c r="E17"/>
  <c r="E16"/>
  <c r="E15"/>
  <c r="E13"/>
  <c r="F22"/>
  <c r="G22" s="1"/>
  <c r="I22" s="1"/>
  <c r="E12"/>
  <c r="G11"/>
  <c r="I11" s="1"/>
  <c r="E11"/>
  <c r="F21"/>
  <c r="G21" s="1"/>
  <c r="I21" s="1"/>
  <c r="E10"/>
  <c r="E7"/>
  <c r="E6"/>
  <c r="E5"/>
  <c r="I4"/>
  <c r="E4"/>
  <c r="G18" l="1"/>
  <c r="I18" s="1"/>
  <c r="K18" s="1"/>
  <c r="K4"/>
  <c r="I17"/>
  <c r="K17" s="1"/>
  <c r="I23"/>
  <c r="K23" s="1"/>
  <c r="F15"/>
  <c r="G15" s="1"/>
  <c r="I15" s="1"/>
  <c r="K15" s="1"/>
  <c r="I19"/>
  <c r="K19" s="1"/>
  <c r="G10"/>
  <c r="I10" s="1"/>
  <c r="K10" s="1"/>
  <c r="G13"/>
  <c r="I13" s="1"/>
  <c r="K13" s="1"/>
  <c r="F26"/>
  <c r="G26" s="1"/>
  <c r="I26" s="1"/>
  <c r="K26" s="1"/>
  <c r="G12"/>
  <c r="I12" s="1"/>
  <c r="K12" s="1"/>
  <c r="F16"/>
  <c r="G16" s="1"/>
  <c r="I16" s="1"/>
  <c r="K16" s="1"/>
  <c r="I7"/>
  <c r="K7" s="1"/>
  <c r="K32"/>
  <c r="F34"/>
  <c r="G34" s="1"/>
  <c r="I34" s="1"/>
  <c r="K34" s="1"/>
  <c r="F35"/>
  <c r="G35" s="1"/>
  <c r="I35" s="1"/>
  <c r="K35" s="1"/>
  <c r="K22"/>
  <c r="G29"/>
  <c r="I29" s="1"/>
  <c r="K29" s="1"/>
  <c r="G30"/>
  <c r="I30" s="1"/>
  <c r="K30" s="1"/>
  <c r="F36"/>
  <c r="G36" s="1"/>
  <c r="I36" s="1"/>
  <c r="K36" s="1"/>
  <c r="I24"/>
  <c r="K24" s="1"/>
  <c r="K5"/>
  <c r="K11"/>
  <c r="K25"/>
  <c r="K33"/>
  <c r="K21"/>
  <c r="K31"/>
  <c r="F27"/>
  <c r="G27" s="1"/>
  <c r="I27" s="1"/>
  <c r="K27" s="1"/>
  <c r="I6"/>
  <c r="K6" s="1"/>
</calcChain>
</file>

<file path=xl/sharedStrings.xml><?xml version="1.0" encoding="utf-8"?>
<sst xmlns="http://schemas.openxmlformats.org/spreadsheetml/2006/main" count="246" uniqueCount="47">
  <si>
    <t>Particulars</t>
  </si>
  <si>
    <t>Opening</t>
  </si>
  <si>
    <t>Received</t>
  </si>
  <si>
    <t>Inter Trf.</t>
  </si>
  <si>
    <t>Net Available</t>
  </si>
  <si>
    <t>Production</t>
  </si>
  <si>
    <t>Consumption</t>
  </si>
  <si>
    <t>Wastage</t>
  </si>
  <si>
    <t>Total Uses</t>
  </si>
  <si>
    <t>SPECIAL 250GM LAMINATES</t>
  </si>
  <si>
    <t>PREMIUM 250GM LAMINATES</t>
  </si>
  <si>
    <t>SPECIAL 1 KG POUCH</t>
  </si>
  <si>
    <t>PREMIUM 1 KG POUCH</t>
  </si>
  <si>
    <t>5 KG PP NON WOVEN Bags</t>
  </si>
  <si>
    <t>5 KG HM POLY LINNER (5kg)</t>
  </si>
  <si>
    <t>250 GM HM LINNER (2 Kg. )</t>
  </si>
  <si>
    <t>250 GM SPECEIAL CANVES BAGS (24kg)</t>
  </si>
  <si>
    <t>250 GM PREMIUM CANVES  BAGS (24kg)</t>
  </si>
  <si>
    <t>1kg PREMIUM CANVES  BAGS (24kg)</t>
  </si>
  <si>
    <t>1kg SPSL CANVES BAG (24kg)</t>
  </si>
  <si>
    <t>500 gm JAR C F C</t>
  </si>
  <si>
    <t>250 gm CARTON</t>
  </si>
  <si>
    <t>500 gm JAR LABEL</t>
  </si>
  <si>
    <t>500 gm JAR TOP LABEL</t>
  </si>
  <si>
    <t>500GM MUKTA JAR</t>
  </si>
  <si>
    <t>250 gm CARTOON C F C</t>
  </si>
  <si>
    <t>SPECIAL 500 GM POUCH</t>
  </si>
  <si>
    <t>500 GM SPECEIAL CANVES BAGS (24kg)</t>
  </si>
  <si>
    <t>RS 5/- HM LINNER  (375gm)</t>
  </si>
  <si>
    <t>RS 10/- HM LINNER (750gm)</t>
  </si>
  <si>
    <t>BOOK BALANCE</t>
  </si>
  <si>
    <t>250 gm CARTOON  MET PET LINNER</t>
  </si>
  <si>
    <t>500 gm JAR FOIL DISK</t>
  </si>
  <si>
    <t xml:space="preserve">100  GM HM LINNER </t>
  </si>
  <si>
    <t>100 gm  LDP ZIPPER BAGS</t>
  </si>
  <si>
    <t>100 GM. LAMINATES(Rs.43/-)</t>
  </si>
  <si>
    <t>30 KG &amp;   Rs 5/- Rs 10/- LDP ZIPPER BAG</t>
  </si>
  <si>
    <t xml:space="preserve">RS 5/- LAMINATES </t>
  </si>
  <si>
    <t xml:space="preserve">RS 10/-LAMINATES </t>
  </si>
  <si>
    <t>Trf.To Dlr.</t>
  </si>
  <si>
    <t>PACKING MATERIALS STATEMENT AS ON THE MONTH OF APRIL 2021-22</t>
  </si>
  <si>
    <t xml:space="preserve">100 GM HM LINNER </t>
  </si>
  <si>
    <t>PACKING MATERIALS STATEMENT AS ON THE MONTH OF MAY 2021</t>
  </si>
  <si>
    <t>PACKING MATERIALS STATEMENT AS ON THE MONTH OF JUNE 2021</t>
  </si>
  <si>
    <t>PACKING MATERIALS STATEMENT AS ON THE MONTH OF JULY 2021</t>
  </si>
  <si>
    <t xml:space="preserve">PACKING MATERIALS STATEMENT AS ON THE MONTH OF AUGUST 2021   </t>
  </si>
  <si>
    <t xml:space="preserve">PACKING MATERIALS STATEMENT AS ON THE MONTH OF SEPTEMBER 2021   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</si>
</sst>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9"/>
      <name val="Arial"/>
      <family val="2"/>
    </font>
    <font>
      <b/>
      <i/>
      <sz val="9"/>
      <name val="Arial"/>
      <family val="2"/>
    </font>
    <font>
      <b/>
      <sz val="8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b/>
      <i/>
      <sz val="8"/>
      <name val="Arial"/>
      <family val="2"/>
    </font>
    <font>
      <i/>
      <sz val="8"/>
      <name val="Arial"/>
      <family val="2"/>
    </font>
    <font>
      <b/>
      <sz val="9"/>
      <name val="Agency FB"/>
      <family val="2"/>
    </font>
    <font>
      <b/>
      <i/>
      <sz val="11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2" fontId="1" fillId="3" borderId="1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4" fillId="2" borderId="1" xfId="0" applyFont="1" applyFill="1" applyBorder="1"/>
    <xf numFmtId="2" fontId="1" fillId="2" borderId="1" xfId="0" applyNumberFormat="1" applyFont="1" applyFill="1" applyBorder="1" applyAlignment="1">
      <alignment horizontal="right"/>
    </xf>
    <xf numFmtId="2" fontId="2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/>
    <xf numFmtId="49" fontId="3" fillId="2" borderId="2" xfId="0" applyNumberFormat="1" applyFont="1" applyFill="1" applyBorder="1" applyAlignment="1">
      <alignment vertical="center"/>
    </xf>
    <xf numFmtId="49" fontId="3" fillId="2" borderId="5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49" fontId="3" fillId="3" borderId="2" xfId="0" applyNumberFormat="1" applyFont="1" applyFill="1" applyBorder="1" applyAlignment="1">
      <alignment vertical="center"/>
    </xf>
    <xf numFmtId="0" fontId="4" fillId="2" borderId="0" xfId="0" applyFont="1" applyFill="1"/>
    <xf numFmtId="0" fontId="4" fillId="0" borderId="0" xfId="0" applyFont="1"/>
    <xf numFmtId="0" fontId="7" fillId="0" borderId="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/>
    </xf>
    <xf numFmtId="49" fontId="8" fillId="0" borderId="8" xfId="0" applyNumberFormat="1" applyFont="1" applyBorder="1" applyAlignment="1">
      <alignment horizontal="center" vertical="center"/>
    </xf>
    <xf numFmtId="2" fontId="9" fillId="3" borderId="6" xfId="0" applyNumberFormat="1" applyFont="1" applyFill="1" applyBorder="1" applyAlignment="1">
      <alignment horizontal="center"/>
    </xf>
    <xf numFmtId="49" fontId="3" fillId="0" borderId="8" xfId="0" applyNumberFormat="1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 vertical="center" wrapText="1"/>
    </xf>
    <xf numFmtId="49" fontId="3" fillId="0" borderId="8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49" fontId="5" fillId="3" borderId="6" xfId="0" applyNumberFormat="1" applyFont="1" applyFill="1" applyBorder="1" applyAlignment="1">
      <alignment horizontal="center"/>
    </xf>
    <xf numFmtId="49" fontId="9" fillId="3" borderId="6" xfId="0" applyNumberFormat="1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 wrapText="1"/>
    </xf>
    <xf numFmtId="2" fontId="1" fillId="0" borderId="1" xfId="0" applyNumberFormat="1" applyFont="1" applyBorder="1" applyAlignment="1">
      <alignment horizontal="right"/>
    </xf>
    <xf numFmtId="2" fontId="1" fillId="2" borderId="1" xfId="0" applyNumberFormat="1" applyFont="1" applyFill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164" fontId="1" fillId="0" borderId="1" xfId="0" applyNumberFormat="1" applyFont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/>
    </xf>
    <xf numFmtId="1" fontId="1" fillId="3" borderId="1" xfId="0" applyNumberFormat="1" applyFont="1" applyFill="1" applyBorder="1" applyAlignment="1">
      <alignment horizontal="right" vertical="center"/>
    </xf>
    <xf numFmtId="164" fontId="1" fillId="3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" fontId="1" fillId="3" borderId="1" xfId="0" applyNumberFormat="1" applyFont="1" applyFill="1" applyBorder="1" applyAlignment="1">
      <alignment horizontal="right"/>
    </xf>
    <xf numFmtId="1" fontId="2" fillId="3" borderId="1" xfId="0" applyNumberFormat="1" applyFont="1" applyFill="1" applyBorder="1" applyAlignment="1">
      <alignment horizontal="right" vertical="center"/>
    </xf>
    <xf numFmtId="164" fontId="2" fillId="3" borderId="1" xfId="0" applyNumberFormat="1" applyFont="1" applyFill="1" applyBorder="1" applyAlignment="1">
      <alignment horizontal="right" vertical="center"/>
    </xf>
    <xf numFmtId="1" fontId="2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/>
    </xf>
    <xf numFmtId="2" fontId="4" fillId="0" borderId="0" xfId="0" applyNumberFormat="1" applyFont="1"/>
    <xf numFmtId="49" fontId="10" fillId="2" borderId="2" xfId="0" applyNumberFormat="1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164" fontId="2" fillId="2" borderId="1" xfId="0" applyNumberFormat="1" applyFont="1" applyFill="1" applyBorder="1" applyAlignment="1">
      <alignment horizontal="right" vertical="center"/>
    </xf>
    <xf numFmtId="4" fontId="2" fillId="2" borderId="1" xfId="0" applyNumberFormat="1" applyFont="1" applyFill="1" applyBorder="1" applyAlignment="1">
      <alignment horizontal="right" vertical="center"/>
    </xf>
    <xf numFmtId="2" fontId="2" fillId="0" borderId="1" xfId="0" applyNumberFormat="1" applyFont="1" applyFill="1" applyBorder="1" applyAlignment="1">
      <alignment horizontal="right" vertical="center"/>
    </xf>
    <xf numFmtId="164" fontId="11" fillId="2" borderId="1" xfId="0" applyNumberFormat="1" applyFont="1" applyFill="1" applyBorder="1" applyAlignment="1">
      <alignment horizontal="right"/>
    </xf>
    <xf numFmtId="2" fontId="12" fillId="0" borderId="1" xfId="0" applyNumberFormat="1" applyFont="1" applyBorder="1" applyAlignment="1">
      <alignment horizontal="right"/>
    </xf>
    <xf numFmtId="164" fontId="13" fillId="2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4" fontId="12" fillId="0" borderId="1" xfId="0" applyNumberFormat="1" applyFont="1" applyBorder="1" applyAlignment="1">
      <alignment horizontal="right"/>
    </xf>
    <xf numFmtId="49" fontId="3" fillId="2" borderId="3" xfId="0" applyNumberFormat="1" applyFont="1" applyFill="1" applyBorder="1" applyAlignment="1">
      <alignment vertical="center"/>
    </xf>
    <xf numFmtId="1" fontId="1" fillId="2" borderId="4" xfId="0" applyNumberFormat="1" applyFont="1" applyFill="1" applyBorder="1" applyAlignment="1">
      <alignment horizontal="right"/>
    </xf>
    <xf numFmtId="2" fontId="1" fillId="2" borderId="4" xfId="0" applyNumberFormat="1" applyFont="1" applyFill="1" applyBorder="1" applyAlignment="1">
      <alignment horizontal="right"/>
    </xf>
    <xf numFmtId="0" fontId="4" fillId="2" borderId="4" xfId="0" applyFont="1" applyFill="1" applyBorder="1"/>
    <xf numFmtId="2" fontId="2" fillId="0" borderId="4" xfId="0" applyNumberFormat="1" applyFont="1" applyFill="1" applyBorder="1" applyAlignment="1">
      <alignment horizontal="right" vertical="center"/>
    </xf>
    <xf numFmtId="164" fontId="13" fillId="2" borderId="4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4" fontId="12" fillId="0" borderId="4" xfId="0" applyNumberFormat="1" applyFont="1" applyBorder="1" applyAlignment="1">
      <alignment horizontal="right"/>
    </xf>
    <xf numFmtId="2" fontId="1" fillId="0" borderId="4" xfId="0" applyNumberFormat="1" applyFont="1" applyBorder="1" applyAlignment="1">
      <alignment horizontal="right" vertical="center"/>
    </xf>
    <xf numFmtId="164" fontId="4" fillId="0" borderId="0" xfId="0" applyNumberFormat="1" applyFont="1"/>
    <xf numFmtId="1" fontId="4" fillId="0" borderId="0" xfId="0" applyNumberFormat="1" applyFont="1"/>
    <xf numFmtId="1" fontId="1" fillId="0" borderId="1" xfId="0" applyNumberFormat="1" applyFont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2" fontId="6" fillId="3" borderId="6" xfId="0" applyNumberFormat="1" applyFont="1" applyFill="1" applyBorder="1" applyAlignment="1"/>
    <xf numFmtId="2" fontId="1" fillId="2" borderId="4" xfId="0" applyNumberFormat="1" applyFont="1" applyFill="1" applyBorder="1" applyAlignment="1">
      <alignment horizontal="right" vertical="center"/>
    </xf>
    <xf numFmtId="0" fontId="13" fillId="0" borderId="0" xfId="0" applyFont="1"/>
    <xf numFmtId="0" fontId="13" fillId="3" borderId="1" xfId="0" applyFont="1" applyFill="1" applyBorder="1"/>
    <xf numFmtId="0" fontId="13" fillId="0" borderId="1" xfId="0" applyFont="1" applyBorder="1"/>
    <xf numFmtId="1" fontId="13" fillId="0" borderId="1" xfId="0" applyNumberFormat="1" applyFont="1" applyBorder="1"/>
    <xf numFmtId="0" fontId="13" fillId="0" borderId="4" xfId="0" applyFont="1" applyBorder="1"/>
    <xf numFmtId="49" fontId="8" fillId="0" borderId="0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9"/>
  <sheetViews>
    <sheetView topLeftCell="A13" zoomScaleNormal="100" workbookViewId="0">
      <selection activeCell="M4" sqref="M4:M36"/>
    </sheetView>
  </sheetViews>
  <sheetFormatPr defaultRowHeight="15"/>
  <cols>
    <col min="1" max="1" width="31" style="12" customWidth="1"/>
    <col min="2" max="2" width="9.5703125" style="13" bestFit="1" customWidth="1"/>
    <col min="3" max="3" width="10" style="13" bestFit="1" customWidth="1"/>
    <col min="4" max="4" width="6.7109375" style="13" bestFit="1" customWidth="1"/>
    <col min="5" max="5" width="10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2" ht="15.75" thickBot="1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2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2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2">
      <c r="A4" s="7" t="s">
        <v>9</v>
      </c>
      <c r="B4" s="26">
        <v>1394.9</v>
      </c>
      <c r="C4" s="27"/>
      <c r="D4" s="3"/>
      <c r="E4" s="28">
        <f t="shared" ref="E4:E7" si="0">B4+C4+D4</f>
        <v>1394.9</v>
      </c>
      <c r="F4" s="29">
        <f>'[1]April 2021-22'!$J$32</f>
        <v>58368</v>
      </c>
      <c r="G4" s="29">
        <f>F4*0.024</f>
        <v>1400.8320000000001</v>
      </c>
      <c r="H4" s="28"/>
      <c r="I4" s="28">
        <f>G4+H4</f>
        <v>1400.8320000000001</v>
      </c>
      <c r="J4" s="28"/>
      <c r="K4" s="28">
        <f>E4-I4-J4</f>
        <v>-5.9320000000000164</v>
      </c>
    </row>
    <row r="5" spans="1:12">
      <c r="A5" s="7" t="s">
        <v>10</v>
      </c>
      <c r="B5" s="26">
        <v>631.96</v>
      </c>
      <c r="C5" s="27"/>
      <c r="D5" s="3"/>
      <c r="E5" s="28">
        <f t="shared" si="0"/>
        <v>631.96</v>
      </c>
      <c r="F5" s="29">
        <f>'[1]April 2021-22'!$C$32</f>
        <v>7656</v>
      </c>
      <c r="G5" s="29">
        <f>F5*0.024</f>
        <v>183.744</v>
      </c>
      <c r="H5" s="28"/>
      <c r="I5" s="28">
        <f t="shared" ref="I5:I6" si="1">G5+H5</f>
        <v>183.744</v>
      </c>
      <c r="J5" s="28"/>
      <c r="K5" s="28">
        <f>E5-I5-J5</f>
        <v>448.21600000000001</v>
      </c>
    </row>
    <row r="6" spans="1:12">
      <c r="A6" s="7" t="s">
        <v>37</v>
      </c>
      <c r="B6" s="26">
        <v>0</v>
      </c>
      <c r="C6" s="27">
        <v>1086.95</v>
      </c>
      <c r="D6" s="3"/>
      <c r="E6" s="28">
        <f t="shared" si="0"/>
        <v>1086.95</v>
      </c>
      <c r="F6" s="29">
        <f>'[1]April 2021-22'!$G$32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1086.95</v>
      </c>
    </row>
    <row r="7" spans="1:12">
      <c r="A7" s="7" t="s">
        <v>38</v>
      </c>
      <c r="B7" s="26">
        <v>312.10000000000002</v>
      </c>
      <c r="C7" s="27"/>
      <c r="D7" s="3"/>
      <c r="E7" s="28">
        <f t="shared" si="0"/>
        <v>312.10000000000002</v>
      </c>
      <c r="F7" s="29">
        <f>'[1]April 2021-22'!$F$32</f>
        <v>1870</v>
      </c>
      <c r="G7" s="29">
        <f>F7*0.075</f>
        <v>140.25</v>
      </c>
      <c r="H7" s="28"/>
      <c r="I7" s="28">
        <f>G7+H7</f>
        <v>140.25</v>
      </c>
      <c r="J7" s="28"/>
      <c r="K7" s="28">
        <f>E7-I7-J7</f>
        <v>171.85000000000002</v>
      </c>
    </row>
    <row r="8" spans="1:12">
      <c r="A8" s="7" t="s">
        <v>35</v>
      </c>
      <c r="B8" s="26">
        <v>695.08</v>
      </c>
      <c r="C8" s="27"/>
      <c r="D8" s="3"/>
      <c r="E8" s="28">
        <f>B8+C8+D8</f>
        <v>695.08</v>
      </c>
      <c r="F8" s="29">
        <f>'[1]April 2021-22'!$E$32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675.76</v>
      </c>
    </row>
    <row r="9" spans="1:12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</row>
    <row r="10" spans="1:12">
      <c r="A10" s="7" t="s">
        <v>11</v>
      </c>
      <c r="B10" s="33">
        <v>48555</v>
      </c>
      <c r="C10" s="2"/>
      <c r="D10" s="3"/>
      <c r="E10" s="34">
        <f>B10+C10+D10</f>
        <v>48555</v>
      </c>
      <c r="F10" s="35">
        <f>'[1]April 2021-22'!$H$32</f>
        <v>10440</v>
      </c>
      <c r="G10" s="35">
        <f>F10*1</f>
        <v>10440</v>
      </c>
      <c r="H10" s="2"/>
      <c r="I10" s="28">
        <f t="shared" ref="I10:I13" si="4">G10+H10</f>
        <v>10440</v>
      </c>
      <c r="J10" s="28"/>
      <c r="K10" s="63">
        <f>E10-I10-J10</f>
        <v>38115</v>
      </c>
    </row>
    <row r="11" spans="1:12">
      <c r="A11" s="7" t="s">
        <v>26</v>
      </c>
      <c r="B11" s="33">
        <v>28977</v>
      </c>
      <c r="C11" s="2">
        <v>65700</v>
      </c>
      <c r="D11" s="3"/>
      <c r="E11" s="34">
        <f>B11+C11+D11</f>
        <v>94677</v>
      </c>
      <c r="F11" s="35">
        <f>'[1]April 2021-22'!$I$32</f>
        <v>5328</v>
      </c>
      <c r="G11" s="35">
        <f>F11*2</f>
        <v>10656</v>
      </c>
      <c r="H11" s="34"/>
      <c r="I11" s="28">
        <f t="shared" si="4"/>
        <v>10656</v>
      </c>
      <c r="J11" s="28"/>
      <c r="K11" s="63">
        <f>E11-I11-J11</f>
        <v>84021</v>
      </c>
    </row>
    <row r="12" spans="1:12">
      <c r="A12" s="7" t="s">
        <v>12</v>
      </c>
      <c r="B12" s="33">
        <v>9624</v>
      </c>
      <c r="C12" s="2"/>
      <c r="D12" s="3"/>
      <c r="E12" s="34">
        <f>B12+C12+D12</f>
        <v>9624</v>
      </c>
      <c r="F12" s="35">
        <f>'[1]April 2021-22'!$B$32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8616</v>
      </c>
    </row>
    <row r="13" spans="1:12">
      <c r="A13" s="7" t="s">
        <v>13</v>
      </c>
      <c r="B13" s="33">
        <v>6774</v>
      </c>
      <c r="C13" s="2">
        <f>1800+2700</f>
        <v>4500</v>
      </c>
      <c r="D13" s="3"/>
      <c r="E13" s="34">
        <f>B13+C13+D13</f>
        <v>11274</v>
      </c>
      <c r="F13" s="35">
        <f>'[1]April 2021-22'!$D$32</f>
        <v>35880</v>
      </c>
      <c r="G13" s="35">
        <f>F13/5</f>
        <v>7176</v>
      </c>
      <c r="H13" s="34"/>
      <c r="I13" s="28">
        <f t="shared" si="4"/>
        <v>7176</v>
      </c>
      <c r="J13" s="28"/>
      <c r="K13" s="63">
        <f>E13-I13-J13</f>
        <v>4098</v>
      </c>
      <c r="L13" s="62"/>
    </row>
    <row r="14" spans="1:12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</row>
    <row r="15" spans="1:12">
      <c r="A15" s="7" t="s">
        <v>14</v>
      </c>
      <c r="B15" s="33">
        <v>109056</v>
      </c>
      <c r="C15" s="2"/>
      <c r="D15" s="3"/>
      <c r="E15" s="34">
        <f t="shared" ref="E15:E19" si="5">B15+C15+D15</f>
        <v>109056</v>
      </c>
      <c r="F15" s="35">
        <f>F13</f>
        <v>35880</v>
      </c>
      <c r="G15" s="35">
        <f>F15/5</f>
        <v>7176</v>
      </c>
      <c r="H15" s="34"/>
      <c r="I15" s="28">
        <f t="shared" ref="I15:I19" si="6">G15+H15</f>
        <v>7176</v>
      </c>
      <c r="J15" s="28"/>
      <c r="K15" s="63">
        <f>E15-I15-J15</f>
        <v>101880</v>
      </c>
    </row>
    <row r="16" spans="1:12">
      <c r="A16" s="7" t="s">
        <v>15</v>
      </c>
      <c r="B16" s="33">
        <v>42200</v>
      </c>
      <c r="C16" s="2"/>
      <c r="D16" s="3"/>
      <c r="E16" s="34">
        <f t="shared" si="5"/>
        <v>42200</v>
      </c>
      <c r="F16" s="35">
        <f>F4+F5</f>
        <v>66024</v>
      </c>
      <c r="G16" s="35">
        <f>F16/2</f>
        <v>33012</v>
      </c>
      <c r="H16" s="34"/>
      <c r="I16" s="28">
        <f t="shared" si="6"/>
        <v>33012</v>
      </c>
      <c r="J16" s="28"/>
      <c r="K16" s="63">
        <f>E16-I16-J16</f>
        <v>9188</v>
      </c>
    </row>
    <row r="17" spans="1:13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56750</v>
      </c>
    </row>
    <row r="18" spans="1:13">
      <c r="A18" s="7" t="s">
        <v>29</v>
      </c>
      <c r="B18" s="33">
        <v>189089</v>
      </c>
      <c r="C18" s="2"/>
      <c r="D18" s="3"/>
      <c r="E18" s="34">
        <f t="shared" si="5"/>
        <v>189089</v>
      </c>
      <c r="F18" s="39">
        <f>F7</f>
        <v>1870</v>
      </c>
      <c r="G18" s="35">
        <f>(F18/22)*25</f>
        <v>2125</v>
      </c>
      <c r="H18" s="34"/>
      <c r="I18" s="28">
        <f t="shared" si="6"/>
        <v>2125</v>
      </c>
      <c r="J18" s="28"/>
      <c r="K18" s="63">
        <f>E18-I18-J18</f>
        <v>186964</v>
      </c>
    </row>
    <row r="19" spans="1:13">
      <c r="A19" s="7" t="s">
        <v>33</v>
      </c>
      <c r="B19" s="33">
        <v>22710</v>
      </c>
      <c r="C19" s="2"/>
      <c r="D19" s="3"/>
      <c r="E19" s="34">
        <f t="shared" si="5"/>
        <v>22710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22434</v>
      </c>
    </row>
    <row r="20" spans="1:13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</row>
    <row r="21" spans="1:13">
      <c r="A21" s="7" t="s">
        <v>19</v>
      </c>
      <c r="B21" s="40">
        <v>1034</v>
      </c>
      <c r="C21" s="2"/>
      <c r="D21" s="3"/>
      <c r="E21" s="34">
        <f t="shared" ref="E21:E27" si="7">B21+C21+D21</f>
        <v>1034</v>
      </c>
      <c r="F21" s="35">
        <f>F10</f>
        <v>10440</v>
      </c>
      <c r="G21" s="35">
        <f>F21/24</f>
        <v>435</v>
      </c>
      <c r="H21" s="34"/>
      <c r="I21" s="28">
        <f t="shared" ref="I21:I26" si="8">G21+H21</f>
        <v>435</v>
      </c>
      <c r="J21" s="28"/>
      <c r="K21" s="63">
        <f t="shared" ref="K21:K27" si="9">E21-I21-J21</f>
        <v>599</v>
      </c>
    </row>
    <row r="22" spans="1:13">
      <c r="A22" s="7" t="s">
        <v>18</v>
      </c>
      <c r="B22" s="40">
        <v>1509</v>
      </c>
      <c r="C22" s="2"/>
      <c r="D22" s="3"/>
      <c r="E22" s="34">
        <f t="shared" si="7"/>
        <v>1509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1467</v>
      </c>
    </row>
    <row r="23" spans="1:13">
      <c r="A23" s="42" t="s">
        <v>36</v>
      </c>
      <c r="B23" s="33">
        <v>7547</v>
      </c>
      <c r="C23" s="2"/>
      <c r="D23" s="3"/>
      <c r="E23" s="34">
        <f t="shared" si="7"/>
        <v>7547</v>
      </c>
      <c r="F23" s="39"/>
      <c r="G23" s="35">
        <f>(F13/30)+(F7/22)+(F6/22)</f>
        <v>1281</v>
      </c>
      <c r="H23" s="34"/>
      <c r="I23" s="28">
        <f t="shared" si="8"/>
        <v>1281</v>
      </c>
      <c r="J23" s="28"/>
      <c r="K23" s="33">
        <f t="shared" si="9"/>
        <v>6266</v>
      </c>
      <c r="L23" s="41"/>
    </row>
    <row r="24" spans="1:13">
      <c r="A24" s="7" t="s">
        <v>34</v>
      </c>
      <c r="B24" s="43">
        <v>929</v>
      </c>
      <c r="C24" s="2"/>
      <c r="D24" s="3"/>
      <c r="E24" s="34">
        <f t="shared" si="7"/>
        <v>929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906</v>
      </c>
    </row>
    <row r="25" spans="1:13">
      <c r="A25" s="7" t="s">
        <v>16</v>
      </c>
      <c r="B25" s="40">
        <v>3862</v>
      </c>
      <c r="C25" s="2">
        <v>2700</v>
      </c>
      <c r="D25" s="3"/>
      <c r="E25" s="34">
        <f t="shared" si="7"/>
        <v>6562</v>
      </c>
      <c r="F25" s="35">
        <f>F4</f>
        <v>58368</v>
      </c>
      <c r="G25" s="35">
        <f>F25/24</f>
        <v>2432</v>
      </c>
      <c r="H25" s="34"/>
      <c r="I25" s="28">
        <f t="shared" si="8"/>
        <v>2432</v>
      </c>
      <c r="J25" s="28"/>
      <c r="K25" s="63">
        <f t="shared" si="9"/>
        <v>4130</v>
      </c>
      <c r="M25" s="62"/>
    </row>
    <row r="26" spans="1:13">
      <c r="A26" s="7" t="s">
        <v>17</v>
      </c>
      <c r="B26" s="40">
        <v>824</v>
      </c>
      <c r="C26" s="2"/>
      <c r="D26" s="3"/>
      <c r="E26" s="34">
        <f t="shared" si="7"/>
        <v>824</v>
      </c>
      <c r="F26" s="35">
        <f>F5</f>
        <v>7656</v>
      </c>
      <c r="G26" s="35">
        <f>F26/24</f>
        <v>319</v>
      </c>
      <c r="H26" s="34"/>
      <c r="I26" s="28">
        <f t="shared" si="8"/>
        <v>319</v>
      </c>
      <c r="J26" s="28"/>
      <c r="K26" s="63">
        <f t="shared" si="9"/>
        <v>505</v>
      </c>
    </row>
    <row r="27" spans="1:13">
      <c r="A27" s="7" t="s">
        <v>27</v>
      </c>
      <c r="B27" s="40">
        <v>583</v>
      </c>
      <c r="C27" s="2"/>
      <c r="D27" s="3"/>
      <c r="E27" s="34">
        <f t="shared" si="7"/>
        <v>583</v>
      </c>
      <c r="F27" s="35">
        <f>F11</f>
        <v>5328</v>
      </c>
      <c r="G27" s="35">
        <f>F27/24</f>
        <v>222</v>
      </c>
      <c r="H27" s="34"/>
      <c r="I27" s="28">
        <f>G27+H27</f>
        <v>222</v>
      </c>
      <c r="J27" s="28"/>
      <c r="K27" s="63">
        <f t="shared" si="9"/>
        <v>361</v>
      </c>
    </row>
    <row r="28" spans="1:13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</row>
    <row r="29" spans="1:13">
      <c r="A29" s="7" t="s">
        <v>24</v>
      </c>
      <c r="B29" s="40">
        <v>11358</v>
      </c>
      <c r="C29" s="2">
        <v>32400</v>
      </c>
      <c r="D29" s="3"/>
      <c r="E29" s="34">
        <f t="shared" ref="E29:E36" si="10">B29+C29+D29</f>
        <v>43758</v>
      </c>
      <c r="F29" s="44">
        <f>'[1]April 2021-22'!$K$32</f>
        <v>6660</v>
      </c>
      <c r="G29" s="44">
        <f>F29*2</f>
        <v>13320</v>
      </c>
      <c r="H29" s="45"/>
      <c r="I29" s="28">
        <f t="shared" ref="I29:I36" si="11">G29+H29</f>
        <v>13320</v>
      </c>
      <c r="J29" s="28"/>
      <c r="K29" s="64">
        <f t="shared" ref="K29:K35" si="12">E29-I29-J29</f>
        <v>30438</v>
      </c>
    </row>
    <row r="30" spans="1:13">
      <c r="A30" s="7" t="s">
        <v>31</v>
      </c>
      <c r="B30" s="40">
        <v>45020</v>
      </c>
      <c r="C30" s="2"/>
      <c r="D30" s="3"/>
      <c r="E30" s="46">
        <f t="shared" si="10"/>
        <v>45020</v>
      </c>
      <c r="F30" s="47">
        <f>'[1]April 2021-22'!$L$32</f>
        <v>900</v>
      </c>
      <c r="G30" s="44">
        <f>F30*4</f>
        <v>3600</v>
      </c>
      <c r="H30" s="45"/>
      <c r="I30" s="28">
        <f t="shared" si="11"/>
        <v>3600</v>
      </c>
      <c r="J30" s="28"/>
      <c r="K30" s="64">
        <f>E30-I30-J30</f>
        <v>41420</v>
      </c>
    </row>
    <row r="31" spans="1:13">
      <c r="A31" s="7" t="s">
        <v>20</v>
      </c>
      <c r="B31" s="40">
        <v>1685</v>
      </c>
      <c r="C31" s="2"/>
      <c r="D31" s="3"/>
      <c r="E31" s="46">
        <f t="shared" si="10"/>
        <v>1685</v>
      </c>
      <c r="F31" s="49">
        <f>F29</f>
        <v>6660</v>
      </c>
      <c r="G31" s="44">
        <f>F31/12</f>
        <v>555</v>
      </c>
      <c r="H31" s="45"/>
      <c r="I31" s="28">
        <f t="shared" si="11"/>
        <v>555</v>
      </c>
      <c r="J31" s="28"/>
      <c r="K31" s="27">
        <f t="shared" si="12"/>
        <v>1130</v>
      </c>
    </row>
    <row r="32" spans="1:13">
      <c r="A32" s="7" t="s">
        <v>25</v>
      </c>
      <c r="B32" s="40">
        <v>601</v>
      </c>
      <c r="C32" s="4"/>
      <c r="D32" s="3"/>
      <c r="E32" s="46">
        <f t="shared" si="10"/>
        <v>601</v>
      </c>
      <c r="F32" s="49">
        <f>F30</f>
        <v>900</v>
      </c>
      <c r="G32" s="50">
        <f>F32/12</f>
        <v>75</v>
      </c>
      <c r="H32" s="51"/>
      <c r="I32" s="28">
        <f t="shared" si="11"/>
        <v>75</v>
      </c>
      <c r="J32" s="28"/>
      <c r="K32" s="27">
        <f t="shared" si="12"/>
        <v>526</v>
      </c>
    </row>
    <row r="33" spans="1:11">
      <c r="A33" s="7" t="s">
        <v>21</v>
      </c>
      <c r="B33" s="40">
        <v>86097</v>
      </c>
      <c r="C33" s="2"/>
      <c r="D33" s="3"/>
      <c r="E33" s="46">
        <f t="shared" si="10"/>
        <v>86097</v>
      </c>
      <c r="F33" s="49">
        <f>F30</f>
        <v>900</v>
      </c>
      <c r="G33" s="50">
        <f>F33*4</f>
        <v>3600</v>
      </c>
      <c r="H33" s="48"/>
      <c r="I33" s="28">
        <f t="shared" si="11"/>
        <v>3600</v>
      </c>
      <c r="J33" s="28"/>
      <c r="K33" s="27">
        <f t="shared" si="12"/>
        <v>82497</v>
      </c>
    </row>
    <row r="34" spans="1:11">
      <c r="A34" s="7" t="s">
        <v>22</v>
      </c>
      <c r="B34" s="40">
        <v>85444</v>
      </c>
      <c r="C34" s="4"/>
      <c r="D34" s="3"/>
      <c r="E34" s="46">
        <f t="shared" si="10"/>
        <v>85444</v>
      </c>
      <c r="F34" s="49">
        <f>F29</f>
        <v>6660</v>
      </c>
      <c r="G34" s="50">
        <f>F34*2</f>
        <v>13320</v>
      </c>
      <c r="H34" s="51"/>
      <c r="I34" s="28">
        <f t="shared" si="11"/>
        <v>13320</v>
      </c>
      <c r="J34" s="28"/>
      <c r="K34" s="27">
        <f t="shared" si="12"/>
        <v>72124</v>
      </c>
    </row>
    <row r="35" spans="1:11">
      <c r="A35" s="7" t="s">
        <v>23</v>
      </c>
      <c r="B35" s="40">
        <v>48222</v>
      </c>
      <c r="C35" s="4"/>
      <c r="D35" s="3"/>
      <c r="E35" s="46">
        <f t="shared" si="10"/>
        <v>48222</v>
      </c>
      <c r="F35" s="49">
        <f>F29</f>
        <v>6660</v>
      </c>
      <c r="G35" s="50">
        <f>F35*2</f>
        <v>13320</v>
      </c>
      <c r="H35" s="51"/>
      <c r="I35" s="28">
        <f t="shared" si="11"/>
        <v>13320</v>
      </c>
      <c r="J35" s="28"/>
      <c r="K35" s="27">
        <f t="shared" si="12"/>
        <v>34902</v>
      </c>
    </row>
    <row r="36" spans="1:11" ht="15.75" thickBot="1">
      <c r="A36" s="52" t="s">
        <v>32</v>
      </c>
      <c r="B36" s="53">
        <v>19760</v>
      </c>
      <c r="C36" s="54"/>
      <c r="D36" s="55"/>
      <c r="E36" s="56">
        <f t="shared" si="10"/>
        <v>19760</v>
      </c>
      <c r="F36" s="57">
        <f>F29</f>
        <v>6660</v>
      </c>
      <c r="G36" s="58">
        <f>F36*2</f>
        <v>13320</v>
      </c>
      <c r="H36" s="59"/>
      <c r="I36" s="60">
        <f t="shared" si="11"/>
        <v>13320</v>
      </c>
      <c r="J36" s="60"/>
      <c r="K36" s="66">
        <f>E36-I36-J36</f>
        <v>6440</v>
      </c>
    </row>
    <row r="37" spans="1:11">
      <c r="B37" s="41"/>
    </row>
    <row r="38" spans="1:11">
      <c r="F38" s="61">
        <f>F4+F5+F6+F7+F8+F10+F11+F12+F13+F29+F30</f>
        <v>128662</v>
      </c>
    </row>
    <row r="39" spans="1:11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"/>
  <sheetViews>
    <sheetView topLeftCell="A19" zoomScaleNormal="100" workbookViewId="0">
      <selection activeCell="A2" sqref="A2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42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-5.93</v>
      </c>
      <c r="C4" s="27">
        <v>4045.27</v>
      </c>
      <c r="D4" s="3"/>
      <c r="E4" s="28">
        <f t="shared" ref="E4:E7" si="0">B4+C4+D4</f>
        <v>4039.34</v>
      </c>
      <c r="F4" s="29">
        <f>'[1]May 2021'!$J$30</f>
        <v>37992</v>
      </c>
      <c r="G4" s="29">
        <f>F4*0.024</f>
        <v>911.80799999999999</v>
      </c>
      <c r="H4" s="28"/>
      <c r="I4" s="28">
        <f>G4+H4</f>
        <v>911.80799999999999</v>
      </c>
      <c r="J4" s="28"/>
      <c r="K4" s="29">
        <f>E4-I4-J4</f>
        <v>3127.5320000000002</v>
      </c>
      <c r="N4" s="41"/>
    </row>
    <row r="5" spans="1:14">
      <c r="A5" s="7" t="s">
        <v>10</v>
      </c>
      <c r="B5" s="26">
        <v>448.22</v>
      </c>
      <c r="C5" s="27"/>
      <c r="D5" s="3"/>
      <c r="E5" s="28">
        <f t="shared" si="0"/>
        <v>448.22</v>
      </c>
      <c r="F5" s="29">
        <f>'[1]May 2021'!$C$30</f>
        <v>3312</v>
      </c>
      <c r="G5" s="29">
        <f>F5*0.024</f>
        <v>79.488</v>
      </c>
      <c r="H5" s="28"/>
      <c r="I5" s="28">
        <f t="shared" ref="I5:I6" si="1">G5+H5</f>
        <v>79.488</v>
      </c>
      <c r="J5" s="28"/>
      <c r="K5" s="28">
        <f>E5-I5-J5</f>
        <v>368.73200000000003</v>
      </c>
      <c r="N5" s="41"/>
    </row>
    <row r="6" spans="1:14">
      <c r="A6" s="7" t="s">
        <v>37</v>
      </c>
      <c r="B6" s="26">
        <v>1086.95</v>
      </c>
      <c r="C6" s="27"/>
      <c r="D6" s="3"/>
      <c r="E6" s="28">
        <f t="shared" si="0"/>
        <v>1086.95</v>
      </c>
      <c r="F6" s="29">
        <f>'[1]May 2021'!$G$30</f>
        <v>638</v>
      </c>
      <c r="G6" s="29">
        <f>F6*0.108</f>
        <v>68.903999999999996</v>
      </c>
      <c r="H6" s="28"/>
      <c r="I6" s="28">
        <f t="shared" si="1"/>
        <v>68.903999999999996</v>
      </c>
      <c r="J6" s="28"/>
      <c r="K6" s="28">
        <f>E6-I6-J6</f>
        <v>1018.046</v>
      </c>
      <c r="N6" s="41"/>
    </row>
    <row r="7" spans="1:14">
      <c r="A7" s="7" t="s">
        <v>38</v>
      </c>
      <c r="B7" s="26">
        <v>171.85</v>
      </c>
      <c r="C7" s="27"/>
      <c r="D7" s="3"/>
      <c r="E7" s="28">
        <f t="shared" si="0"/>
        <v>171.85</v>
      </c>
      <c r="F7" s="29">
        <f>'[1]May 2021'!$F$30</f>
        <v>1166</v>
      </c>
      <c r="G7" s="29">
        <f>F7*0.075</f>
        <v>87.45</v>
      </c>
      <c r="H7" s="28"/>
      <c r="I7" s="28">
        <f>G7+H7</f>
        <v>87.45</v>
      </c>
      <c r="J7" s="28"/>
      <c r="K7" s="28">
        <f>E7-I7-J7</f>
        <v>84.399999999999991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'[1]May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675.76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38115</v>
      </c>
      <c r="C10" s="2"/>
      <c r="D10" s="3"/>
      <c r="E10" s="34">
        <f>B10+C10+D10</f>
        <v>38115</v>
      </c>
      <c r="F10" s="35">
        <f>'[1]May 2021'!$H$30</f>
        <v>9576</v>
      </c>
      <c r="G10" s="35">
        <f>F10*1</f>
        <v>9576</v>
      </c>
      <c r="H10" s="2"/>
      <c r="I10" s="28">
        <f t="shared" ref="I10:I13" si="4">G10+H10</f>
        <v>9576</v>
      </c>
      <c r="J10" s="28"/>
      <c r="K10" s="63">
        <f>E10-I10-J10</f>
        <v>28539</v>
      </c>
      <c r="N10" s="41"/>
    </row>
    <row r="11" spans="1:14">
      <c r="A11" s="7" t="s">
        <v>26</v>
      </c>
      <c r="B11" s="33">
        <v>84021</v>
      </c>
      <c r="C11" s="2"/>
      <c r="D11" s="3"/>
      <c r="E11" s="34">
        <f>B11+C11+D11</f>
        <v>84021</v>
      </c>
      <c r="F11" s="35">
        <f>'[1]May 2021'!$I$30</f>
        <v>4968</v>
      </c>
      <c r="G11" s="35">
        <f>F11*2</f>
        <v>9936</v>
      </c>
      <c r="H11" s="34"/>
      <c r="I11" s="28">
        <f t="shared" si="4"/>
        <v>9936</v>
      </c>
      <c r="J11" s="28"/>
      <c r="K11" s="63">
        <f>E11-I11-J11</f>
        <v>74085</v>
      </c>
      <c r="N11" s="41"/>
    </row>
    <row r="12" spans="1:14">
      <c r="A12" s="7" t="s">
        <v>12</v>
      </c>
      <c r="B12" s="33">
        <v>8616</v>
      </c>
      <c r="C12" s="2"/>
      <c r="D12" s="3"/>
      <c r="E12" s="34">
        <f>B12+C12+D12</f>
        <v>8616</v>
      </c>
      <c r="F12" s="35">
        <f>'[1]May 2021'!$B$30</f>
        <v>1032</v>
      </c>
      <c r="G12" s="35">
        <f>F12*1</f>
        <v>1032</v>
      </c>
      <c r="H12" s="34"/>
      <c r="I12" s="28">
        <f t="shared" si="4"/>
        <v>1032</v>
      </c>
      <c r="J12" s="28"/>
      <c r="K12" s="63">
        <f>E12-I12-J12</f>
        <v>7584</v>
      </c>
      <c r="N12" s="41"/>
    </row>
    <row r="13" spans="1:14">
      <c r="A13" s="7" t="s">
        <v>13</v>
      </c>
      <c r="B13" s="33">
        <v>4098</v>
      </c>
      <c r="C13" s="2">
        <f>2700+1250</f>
        <v>3950</v>
      </c>
      <c r="D13" s="3"/>
      <c r="E13" s="34">
        <f>B13+C13+D13</f>
        <v>8048</v>
      </c>
      <c r="F13" s="35">
        <f>'[1]May 2021'!$D$30</f>
        <v>22650</v>
      </c>
      <c r="G13" s="35">
        <f>F13/5</f>
        <v>4530</v>
      </c>
      <c r="H13" s="34"/>
      <c r="I13" s="28">
        <f t="shared" si="4"/>
        <v>4530</v>
      </c>
      <c r="J13" s="28"/>
      <c r="K13" s="63">
        <f>E13-I13-J13</f>
        <v>3518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101880</v>
      </c>
      <c r="C15" s="2"/>
      <c r="D15" s="3"/>
      <c r="E15" s="34">
        <f t="shared" ref="E15:E19" si="5">B15+C15+D15</f>
        <v>101880</v>
      </c>
      <c r="F15" s="35">
        <f>F13</f>
        <v>22650</v>
      </c>
      <c r="G15" s="35">
        <f>F15/5</f>
        <v>4530</v>
      </c>
      <c r="H15" s="34"/>
      <c r="I15" s="28">
        <f t="shared" ref="I15:I19" si="6">G15+H15</f>
        <v>4530</v>
      </c>
      <c r="J15" s="28"/>
      <c r="K15" s="63">
        <f>E15-I15-J15</f>
        <v>97350</v>
      </c>
      <c r="N15" s="41"/>
    </row>
    <row r="16" spans="1:14">
      <c r="A16" s="7" t="s">
        <v>15</v>
      </c>
      <c r="B16" s="33">
        <v>9188</v>
      </c>
      <c r="C16" s="2">
        <v>100000</v>
      </c>
      <c r="D16" s="3">
        <v>21000</v>
      </c>
      <c r="E16" s="34">
        <f t="shared" si="5"/>
        <v>130188</v>
      </c>
      <c r="F16" s="35">
        <f>F4+F5</f>
        <v>41304</v>
      </c>
      <c r="G16" s="35">
        <f>F16/2</f>
        <v>20652</v>
      </c>
      <c r="H16" s="34"/>
      <c r="I16" s="28">
        <f t="shared" si="6"/>
        <v>20652</v>
      </c>
      <c r="J16" s="28"/>
      <c r="K16" s="63">
        <f>E16-I16-J16</f>
        <v>109536</v>
      </c>
      <c r="N16" s="41"/>
    </row>
    <row r="17" spans="1:14">
      <c r="A17" s="7" t="s">
        <v>28</v>
      </c>
      <c r="B17" s="33">
        <v>56750</v>
      </c>
      <c r="C17" s="2"/>
      <c r="D17" s="3"/>
      <c r="E17" s="34">
        <f t="shared" si="5"/>
        <v>56750</v>
      </c>
      <c r="F17" s="35">
        <f>F6</f>
        <v>638</v>
      </c>
      <c r="G17" s="35">
        <f>(F17/22)*50</f>
        <v>1450</v>
      </c>
      <c r="H17" s="34"/>
      <c r="I17" s="28">
        <f t="shared" si="6"/>
        <v>1450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186964</v>
      </c>
      <c r="C18" s="2"/>
      <c r="D18" s="3"/>
      <c r="E18" s="34">
        <f t="shared" si="5"/>
        <v>186964</v>
      </c>
      <c r="F18" s="39">
        <f>F7</f>
        <v>1166</v>
      </c>
      <c r="G18" s="35">
        <f>(F18/22)*25</f>
        <v>1325</v>
      </c>
      <c r="H18" s="34"/>
      <c r="I18" s="28">
        <f t="shared" si="6"/>
        <v>1325</v>
      </c>
      <c r="J18" s="28"/>
      <c r="K18" s="63">
        <f>E18-I18-J18</f>
        <v>185639</v>
      </c>
      <c r="N18" s="41"/>
    </row>
    <row r="19" spans="1:14">
      <c r="A19" s="7" t="s">
        <v>41</v>
      </c>
      <c r="B19" s="33">
        <v>22434</v>
      </c>
      <c r="C19" s="2"/>
      <c r="D19" s="3">
        <v>-21000</v>
      </c>
      <c r="E19" s="34">
        <f t="shared" si="5"/>
        <v>1434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1434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599</v>
      </c>
      <c r="C21" s="2"/>
      <c r="D21" s="3"/>
      <c r="E21" s="34">
        <f t="shared" ref="E21:E27" si="7">B21+C21+D21</f>
        <v>599</v>
      </c>
      <c r="F21" s="35">
        <f>F10</f>
        <v>9576</v>
      </c>
      <c r="G21" s="35">
        <f>F21/24</f>
        <v>399</v>
      </c>
      <c r="H21" s="34"/>
      <c r="I21" s="28">
        <f t="shared" ref="I21:I26" si="8">G21+H21</f>
        <v>399</v>
      </c>
      <c r="J21" s="28"/>
      <c r="K21" s="63">
        <f t="shared" ref="K21:K27" si="9">E21-I21-J21</f>
        <v>200</v>
      </c>
      <c r="N21" s="41"/>
    </row>
    <row r="22" spans="1:14">
      <c r="A22" s="7" t="s">
        <v>18</v>
      </c>
      <c r="B22" s="40">
        <v>1467</v>
      </c>
      <c r="C22" s="2"/>
      <c r="D22" s="3"/>
      <c r="E22" s="34">
        <f t="shared" si="7"/>
        <v>1467</v>
      </c>
      <c r="F22" s="35">
        <f>F12</f>
        <v>1032</v>
      </c>
      <c r="G22" s="35">
        <f>F22/24</f>
        <v>43</v>
      </c>
      <c r="H22" s="34"/>
      <c r="I22" s="28">
        <f t="shared" si="8"/>
        <v>43</v>
      </c>
      <c r="J22" s="28"/>
      <c r="K22" s="63">
        <f t="shared" si="9"/>
        <v>1424</v>
      </c>
      <c r="N22" s="41"/>
    </row>
    <row r="23" spans="1:14">
      <c r="A23" s="42" t="s">
        <v>36</v>
      </c>
      <c r="B23" s="33">
        <v>6266</v>
      </c>
      <c r="C23" s="2"/>
      <c r="D23" s="3"/>
      <c r="E23" s="34">
        <f t="shared" si="7"/>
        <v>6266</v>
      </c>
      <c r="F23" s="39"/>
      <c r="G23" s="35">
        <f>(F13/30)+(F7/22)+(F6/22)</f>
        <v>837</v>
      </c>
      <c r="H23" s="34"/>
      <c r="I23" s="28">
        <f t="shared" si="8"/>
        <v>837</v>
      </c>
      <c r="J23" s="28"/>
      <c r="K23" s="33">
        <f t="shared" si="9"/>
        <v>5429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906</v>
      </c>
      <c r="N24" s="41"/>
    </row>
    <row r="25" spans="1:14">
      <c r="A25" s="7" t="s">
        <v>16</v>
      </c>
      <c r="B25" s="40">
        <v>4130</v>
      </c>
      <c r="C25" s="2"/>
      <c r="D25" s="3"/>
      <c r="E25" s="34">
        <f t="shared" si="7"/>
        <v>4130</v>
      </c>
      <c r="F25" s="35">
        <f>F4</f>
        <v>37992</v>
      </c>
      <c r="G25" s="35">
        <f>F25/24</f>
        <v>1583</v>
      </c>
      <c r="H25" s="34"/>
      <c r="I25" s="28">
        <f t="shared" si="8"/>
        <v>1583</v>
      </c>
      <c r="J25" s="28"/>
      <c r="K25" s="63">
        <f t="shared" si="9"/>
        <v>2547</v>
      </c>
      <c r="M25" s="62"/>
      <c r="N25" s="41"/>
    </row>
    <row r="26" spans="1:14">
      <c r="A26" s="7" t="s">
        <v>17</v>
      </c>
      <c r="B26" s="40">
        <v>505</v>
      </c>
      <c r="C26" s="2"/>
      <c r="D26" s="3"/>
      <c r="E26" s="34">
        <f t="shared" si="7"/>
        <v>505</v>
      </c>
      <c r="F26" s="35">
        <f>F5</f>
        <v>3312</v>
      </c>
      <c r="G26" s="35">
        <f>F26/24</f>
        <v>138</v>
      </c>
      <c r="H26" s="34"/>
      <c r="I26" s="28">
        <f t="shared" si="8"/>
        <v>138</v>
      </c>
      <c r="J26" s="28"/>
      <c r="K26" s="63">
        <f t="shared" si="9"/>
        <v>367</v>
      </c>
      <c r="N26" s="41"/>
    </row>
    <row r="27" spans="1:14">
      <c r="A27" s="7" t="s">
        <v>27</v>
      </c>
      <c r="B27" s="40">
        <v>361</v>
      </c>
      <c r="C27" s="2"/>
      <c r="D27" s="3"/>
      <c r="E27" s="34">
        <f t="shared" si="7"/>
        <v>361</v>
      </c>
      <c r="F27" s="35">
        <f>F11</f>
        <v>4968</v>
      </c>
      <c r="G27" s="35">
        <f>F27/24</f>
        <v>207</v>
      </c>
      <c r="H27" s="34"/>
      <c r="I27" s="28">
        <f>G27+H27</f>
        <v>207</v>
      </c>
      <c r="J27" s="28"/>
      <c r="K27" s="63">
        <f t="shared" si="9"/>
        <v>154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30438</v>
      </c>
      <c r="C29" s="2"/>
      <c r="D29" s="3"/>
      <c r="E29" s="34">
        <f t="shared" ref="E29:E36" si="10">B29+C29+D29</f>
        <v>30438</v>
      </c>
      <c r="F29" s="44">
        <f>'[1]May 2021'!$K$30</f>
        <v>4560</v>
      </c>
      <c r="G29" s="44">
        <f>F29*2</f>
        <v>9120</v>
      </c>
      <c r="H29" s="45"/>
      <c r="I29" s="28">
        <f t="shared" ref="I29:I36" si="11">G29+H29</f>
        <v>9120</v>
      </c>
      <c r="J29" s="28"/>
      <c r="K29" s="64">
        <f t="shared" ref="K29:K35" si="12">E29-I29-J29</f>
        <v>21318</v>
      </c>
      <c r="N29" s="41"/>
    </row>
    <row r="30" spans="1:14">
      <c r="A30" s="7" t="s">
        <v>31</v>
      </c>
      <c r="B30" s="40">
        <v>41420</v>
      </c>
      <c r="C30" s="2"/>
      <c r="D30" s="3"/>
      <c r="E30" s="46">
        <f t="shared" si="10"/>
        <v>41420</v>
      </c>
      <c r="F30" s="47">
        <f>'[1]May 2021'!$L$30</f>
        <v>4932</v>
      </c>
      <c r="G30" s="44">
        <f>F30*4</f>
        <v>19728</v>
      </c>
      <c r="H30" s="45"/>
      <c r="I30" s="28">
        <f t="shared" si="11"/>
        <v>19728</v>
      </c>
      <c r="J30" s="28"/>
      <c r="K30" s="64">
        <f>E30-I30-J30</f>
        <v>21692</v>
      </c>
      <c r="N30" s="41"/>
    </row>
    <row r="31" spans="1:14">
      <c r="A31" s="7" t="s">
        <v>20</v>
      </c>
      <c r="B31" s="40">
        <v>1130</v>
      </c>
      <c r="C31" s="2"/>
      <c r="D31" s="3"/>
      <c r="E31" s="46">
        <f t="shared" si="10"/>
        <v>1130</v>
      </c>
      <c r="F31" s="49">
        <f>F29</f>
        <v>4560</v>
      </c>
      <c r="G31" s="44">
        <f>F31/12</f>
        <v>380</v>
      </c>
      <c r="H31" s="45"/>
      <c r="I31" s="28">
        <f t="shared" si="11"/>
        <v>380</v>
      </c>
      <c r="J31" s="28"/>
      <c r="K31" s="27">
        <f t="shared" si="12"/>
        <v>750</v>
      </c>
      <c r="N31" s="41"/>
    </row>
    <row r="32" spans="1:14">
      <c r="A32" s="7" t="s">
        <v>25</v>
      </c>
      <c r="B32" s="40">
        <v>526</v>
      </c>
      <c r="C32" s="4"/>
      <c r="D32" s="3"/>
      <c r="E32" s="46">
        <f t="shared" si="10"/>
        <v>526</v>
      </c>
      <c r="F32" s="49">
        <f>F30</f>
        <v>4932</v>
      </c>
      <c r="G32" s="50">
        <f>F32/12</f>
        <v>411</v>
      </c>
      <c r="H32" s="51"/>
      <c r="I32" s="28">
        <f t="shared" si="11"/>
        <v>411</v>
      </c>
      <c r="J32" s="28"/>
      <c r="K32" s="27">
        <f t="shared" si="12"/>
        <v>115</v>
      </c>
      <c r="N32" s="41"/>
    </row>
    <row r="33" spans="1:14">
      <c r="A33" s="7" t="s">
        <v>21</v>
      </c>
      <c r="B33" s="40">
        <v>82497</v>
      </c>
      <c r="C33" s="2"/>
      <c r="D33" s="3"/>
      <c r="E33" s="46">
        <f t="shared" si="10"/>
        <v>82497</v>
      </c>
      <c r="F33" s="49">
        <f>F30</f>
        <v>4932</v>
      </c>
      <c r="G33" s="50">
        <f>F33*4</f>
        <v>19728</v>
      </c>
      <c r="H33" s="48"/>
      <c r="I33" s="28">
        <f t="shared" si="11"/>
        <v>19728</v>
      </c>
      <c r="J33" s="28"/>
      <c r="K33" s="27">
        <f t="shared" si="12"/>
        <v>62769</v>
      </c>
      <c r="N33" s="41"/>
    </row>
    <row r="34" spans="1:14">
      <c r="A34" s="7" t="s">
        <v>22</v>
      </c>
      <c r="B34" s="40">
        <v>72124</v>
      </c>
      <c r="C34" s="4"/>
      <c r="D34" s="3"/>
      <c r="E34" s="46">
        <f t="shared" si="10"/>
        <v>72124</v>
      </c>
      <c r="F34" s="49">
        <f>F29</f>
        <v>4560</v>
      </c>
      <c r="G34" s="50">
        <f>F34*2</f>
        <v>9120</v>
      </c>
      <c r="H34" s="51"/>
      <c r="I34" s="28">
        <f t="shared" si="11"/>
        <v>9120</v>
      </c>
      <c r="J34" s="28"/>
      <c r="K34" s="27">
        <f t="shared" si="12"/>
        <v>63004</v>
      </c>
      <c r="N34" s="41"/>
    </row>
    <row r="35" spans="1:14">
      <c r="A35" s="7" t="s">
        <v>23</v>
      </c>
      <c r="B35" s="40">
        <v>34902</v>
      </c>
      <c r="C35" s="4"/>
      <c r="D35" s="3"/>
      <c r="E35" s="46">
        <f t="shared" si="10"/>
        <v>34902</v>
      </c>
      <c r="F35" s="49">
        <f>F29</f>
        <v>4560</v>
      </c>
      <c r="G35" s="50">
        <f>F35*2</f>
        <v>9120</v>
      </c>
      <c r="H35" s="51"/>
      <c r="I35" s="28">
        <f t="shared" si="11"/>
        <v>9120</v>
      </c>
      <c r="J35" s="28"/>
      <c r="K35" s="27">
        <f t="shared" si="12"/>
        <v>25782</v>
      </c>
      <c r="N35" s="41"/>
    </row>
    <row r="36" spans="1:14" ht="15.75" thickBot="1">
      <c r="A36" s="52" t="s">
        <v>32</v>
      </c>
      <c r="B36" s="53">
        <v>6440</v>
      </c>
      <c r="C36" s="54"/>
      <c r="D36" s="55"/>
      <c r="E36" s="56">
        <f t="shared" si="10"/>
        <v>6440</v>
      </c>
      <c r="F36" s="57">
        <f>F29</f>
        <v>4560</v>
      </c>
      <c r="G36" s="58">
        <f>F36*2</f>
        <v>9120</v>
      </c>
      <c r="H36" s="59"/>
      <c r="I36" s="60">
        <f t="shared" si="11"/>
        <v>9120</v>
      </c>
      <c r="J36" s="60"/>
      <c r="K36" s="66">
        <f>E36-I36-J36</f>
        <v>-2680</v>
      </c>
      <c r="N36" s="41"/>
    </row>
    <row r="37" spans="1:14">
      <c r="B37" s="41"/>
    </row>
    <row r="38" spans="1:14">
      <c r="F38" s="61">
        <f>F4+F5+F6+F7+F8+F10+F11+F12+F13+F29+F30</f>
        <v>90826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9"/>
  <sheetViews>
    <sheetView zoomScaleNormal="100" workbookViewId="0">
      <selection activeCell="C21" sqref="C21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3127.5</v>
      </c>
      <c r="C4" s="27"/>
      <c r="D4" s="3"/>
      <c r="E4" s="28">
        <f t="shared" ref="E4:E7" si="0">B4+C4+D4</f>
        <v>3127.5</v>
      </c>
      <c r="F4" s="29">
        <f>'[1]June 2021'!$J$30</f>
        <v>41568</v>
      </c>
      <c r="G4" s="29">
        <f>F4*0.024</f>
        <v>997.63200000000006</v>
      </c>
      <c r="H4" s="28"/>
      <c r="I4" s="28">
        <f>G4+H4</f>
        <v>997.63200000000006</v>
      </c>
      <c r="J4" s="28"/>
      <c r="K4" s="29">
        <f>E4-I4-J4</f>
        <v>2129.8679999999999</v>
      </c>
      <c r="N4" s="41"/>
    </row>
    <row r="5" spans="1:14">
      <c r="A5" s="7" t="s">
        <v>10</v>
      </c>
      <c r="B5" s="26">
        <v>368.73</v>
      </c>
      <c r="C5" s="27">
        <v>1027.71</v>
      </c>
      <c r="D5" s="3"/>
      <c r="E5" s="28">
        <f t="shared" si="0"/>
        <v>1396.44</v>
      </c>
      <c r="F5" s="29">
        <f>'[1]June 2021'!$C$30</f>
        <v>4464</v>
      </c>
      <c r="G5" s="29">
        <f>F5*0.024</f>
        <v>107.136</v>
      </c>
      <c r="H5" s="28"/>
      <c r="I5" s="28">
        <f t="shared" ref="I5:I6" si="1">G5+H5</f>
        <v>107.136</v>
      </c>
      <c r="J5" s="28"/>
      <c r="K5" s="28">
        <f>E5-I5-J5</f>
        <v>1289.3040000000001</v>
      </c>
      <c r="N5" s="41"/>
    </row>
    <row r="6" spans="1:14">
      <c r="A6" s="7" t="s">
        <v>37</v>
      </c>
      <c r="B6" s="26">
        <v>1018.05</v>
      </c>
      <c r="C6" s="27"/>
      <c r="D6" s="3"/>
      <c r="E6" s="28">
        <f t="shared" si="0"/>
        <v>1018.05</v>
      </c>
      <c r="F6" s="29">
        <f>'[1]June 2021'!$G$30</f>
        <v>0</v>
      </c>
      <c r="G6" s="29">
        <f>F6*0.108</f>
        <v>0</v>
      </c>
      <c r="H6" s="28"/>
      <c r="I6" s="28">
        <f t="shared" si="1"/>
        <v>0</v>
      </c>
      <c r="J6" s="28"/>
      <c r="K6" s="28">
        <f>E6-I6-J6</f>
        <v>1018.05</v>
      </c>
      <c r="N6" s="41"/>
    </row>
    <row r="7" spans="1:14">
      <c r="A7" s="7" t="s">
        <v>38</v>
      </c>
      <c r="B7" s="26">
        <v>84.4</v>
      </c>
      <c r="C7" s="27">
        <v>1113.6500000000001</v>
      </c>
      <c r="D7" s="3"/>
      <c r="E7" s="28">
        <f t="shared" si="0"/>
        <v>1198.0500000000002</v>
      </c>
      <c r="F7" s="29">
        <f>'[1]June 2021'!$F$30</f>
        <v>1452</v>
      </c>
      <c r="G7" s="29">
        <f>F7*0.075</f>
        <v>108.89999999999999</v>
      </c>
      <c r="H7" s="28"/>
      <c r="I7" s="28">
        <f>G7+H7</f>
        <v>108.89999999999999</v>
      </c>
      <c r="J7" s="28"/>
      <c r="K7" s="28">
        <f>E7-I7-J7</f>
        <v>1089.1500000000001</v>
      </c>
      <c r="N7" s="41"/>
    </row>
    <row r="8" spans="1:14">
      <c r="A8" s="7" t="s">
        <v>35</v>
      </c>
      <c r="B8" s="26">
        <v>675.76</v>
      </c>
      <c r="C8" s="27"/>
      <c r="D8" s="3"/>
      <c r="E8" s="28">
        <f>B8+C8+D8</f>
        <v>675.76</v>
      </c>
      <c r="F8" s="29">
        <f>'[1]June 2021'!$E$30</f>
        <v>552</v>
      </c>
      <c r="G8" s="29">
        <f>F8*0.035</f>
        <v>19.32</v>
      </c>
      <c r="H8" s="28"/>
      <c r="I8" s="28">
        <f t="shared" ref="I8" si="2">G8+H8</f>
        <v>19.32</v>
      </c>
      <c r="J8" s="28"/>
      <c r="K8" s="28">
        <f t="shared" ref="K8" si="3">E8-I8-J8</f>
        <v>656.43999999999994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28539</v>
      </c>
      <c r="C10" s="2">
        <v>64925</v>
      </c>
      <c r="D10" s="3"/>
      <c r="E10" s="34">
        <f>B10+C10+D10</f>
        <v>93464</v>
      </c>
      <c r="F10" s="35">
        <f>'[1]June 2021'!$H$30</f>
        <v>10656</v>
      </c>
      <c r="G10" s="35">
        <f>F10*1</f>
        <v>10656</v>
      </c>
      <c r="H10" s="2"/>
      <c r="I10" s="28">
        <f t="shared" ref="I10:I13" si="4">G10+H10</f>
        <v>10656</v>
      </c>
      <c r="J10" s="28"/>
      <c r="K10" s="63">
        <f>E10-I10-J10</f>
        <v>82808</v>
      </c>
      <c r="N10" s="41"/>
    </row>
    <row r="11" spans="1:14">
      <c r="A11" s="7" t="s">
        <v>26</v>
      </c>
      <c r="B11" s="33">
        <v>74085</v>
      </c>
      <c r="C11" s="2"/>
      <c r="D11" s="3"/>
      <c r="E11" s="34">
        <f>B11+C11+D11</f>
        <v>74085</v>
      </c>
      <c r="F11" s="35">
        <f>'[1]June 2021'!$I$30</f>
        <v>4944</v>
      </c>
      <c r="G11" s="35">
        <f>F11*2</f>
        <v>9888</v>
      </c>
      <c r="H11" s="34"/>
      <c r="I11" s="28">
        <f t="shared" si="4"/>
        <v>9888</v>
      </c>
      <c r="J11" s="28"/>
      <c r="K11" s="63">
        <f>E11-I11-J11</f>
        <v>64197</v>
      </c>
      <c r="N11" s="41"/>
    </row>
    <row r="12" spans="1:14">
      <c r="A12" s="7" t="s">
        <v>12</v>
      </c>
      <c r="B12" s="33">
        <v>7584</v>
      </c>
      <c r="C12" s="2"/>
      <c r="D12" s="3"/>
      <c r="E12" s="34">
        <f>B12+C12+D12</f>
        <v>7584</v>
      </c>
      <c r="F12" s="35">
        <f>'[1]June 2021'!$B$30</f>
        <v>576</v>
      </c>
      <c r="G12" s="35">
        <f>F12*1</f>
        <v>576</v>
      </c>
      <c r="H12" s="34"/>
      <c r="I12" s="28">
        <f t="shared" si="4"/>
        <v>576</v>
      </c>
      <c r="J12" s="28"/>
      <c r="K12" s="63">
        <f>E12-I12-J12</f>
        <v>7008</v>
      </c>
      <c r="N12" s="41"/>
    </row>
    <row r="13" spans="1:14">
      <c r="A13" s="7" t="s">
        <v>13</v>
      </c>
      <c r="B13" s="33">
        <v>3518</v>
      </c>
      <c r="C13" s="2">
        <f>2900+2350+3000</f>
        <v>8250</v>
      </c>
      <c r="D13" s="3"/>
      <c r="E13" s="34">
        <f>B13+C13+D13</f>
        <v>11768</v>
      </c>
      <c r="F13" s="35">
        <f>'[1]June 2021'!$D$30</f>
        <v>31050</v>
      </c>
      <c r="G13" s="35">
        <f>F13/5</f>
        <v>6210</v>
      </c>
      <c r="H13" s="34"/>
      <c r="I13" s="28">
        <f t="shared" si="4"/>
        <v>6210</v>
      </c>
      <c r="J13" s="28"/>
      <c r="K13" s="63">
        <f>E13-I13-J13</f>
        <v>5558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97350</v>
      </c>
      <c r="C15" s="2"/>
      <c r="D15" s="3"/>
      <c r="E15" s="34">
        <f t="shared" ref="E15:E19" si="5">B15+C15+D15</f>
        <v>97350</v>
      </c>
      <c r="F15" s="35">
        <f>F13</f>
        <v>31050</v>
      </c>
      <c r="G15" s="35">
        <f>F15/5</f>
        <v>6210</v>
      </c>
      <c r="H15" s="34"/>
      <c r="I15" s="28">
        <f t="shared" ref="I15:I19" si="6">G15+H15</f>
        <v>6210</v>
      </c>
      <c r="J15" s="28"/>
      <c r="K15" s="63">
        <f>E15-I15-J15</f>
        <v>91140</v>
      </c>
      <c r="N15" s="41"/>
    </row>
    <row r="16" spans="1:14">
      <c r="A16" s="7" t="s">
        <v>15</v>
      </c>
      <c r="B16" s="33">
        <v>109536</v>
      </c>
      <c r="C16" s="2"/>
      <c r="D16" s="3"/>
      <c r="E16" s="34">
        <f t="shared" si="5"/>
        <v>109536</v>
      </c>
      <c r="F16" s="35">
        <f>F4+F5</f>
        <v>46032</v>
      </c>
      <c r="G16" s="35">
        <f>F16/2</f>
        <v>23016</v>
      </c>
      <c r="H16" s="34"/>
      <c r="I16" s="28">
        <f t="shared" si="6"/>
        <v>23016</v>
      </c>
      <c r="J16" s="28"/>
      <c r="K16" s="63">
        <f>E16-I16-J16</f>
        <v>86520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0</v>
      </c>
      <c r="G17" s="35">
        <f>(F17/22)*50</f>
        <v>0</v>
      </c>
      <c r="H17" s="34"/>
      <c r="I17" s="28">
        <f t="shared" si="6"/>
        <v>0</v>
      </c>
      <c r="J17" s="28"/>
      <c r="K17" s="63">
        <f>E17-I17-J17</f>
        <v>55300</v>
      </c>
      <c r="N17" s="41"/>
    </row>
    <row r="18" spans="1:14">
      <c r="A18" s="7" t="s">
        <v>29</v>
      </c>
      <c r="B18" s="33">
        <v>185639</v>
      </c>
      <c r="C18" s="2"/>
      <c r="D18" s="3"/>
      <c r="E18" s="34">
        <f t="shared" si="5"/>
        <v>185639</v>
      </c>
      <c r="F18" s="39">
        <f>F7</f>
        <v>1452</v>
      </c>
      <c r="G18" s="35">
        <f>(F18/22)*25</f>
        <v>1650</v>
      </c>
      <c r="H18" s="34"/>
      <c r="I18" s="28">
        <f t="shared" si="6"/>
        <v>1650</v>
      </c>
      <c r="J18" s="28"/>
      <c r="K18" s="63">
        <f>E18-I18-J18</f>
        <v>183989</v>
      </c>
      <c r="N18" s="41"/>
    </row>
    <row r="19" spans="1:14">
      <c r="A19" s="7" t="s">
        <v>41</v>
      </c>
      <c r="B19" s="33">
        <v>1434</v>
      </c>
      <c r="C19" s="2"/>
      <c r="D19" s="3"/>
      <c r="E19" s="34">
        <f t="shared" si="5"/>
        <v>1434</v>
      </c>
      <c r="F19" s="39">
        <f>F8</f>
        <v>552</v>
      </c>
      <c r="G19" s="35">
        <f>F19/2</f>
        <v>276</v>
      </c>
      <c r="H19" s="34"/>
      <c r="I19" s="28">
        <f t="shared" si="6"/>
        <v>276</v>
      </c>
      <c r="J19" s="28"/>
      <c r="K19" s="63">
        <f>E19-I19-J19</f>
        <v>1158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200</v>
      </c>
      <c r="C21" s="2">
        <v>1614</v>
      </c>
      <c r="D21" s="3"/>
      <c r="E21" s="34">
        <f t="shared" ref="E21:E27" si="7">B21+C21+D21</f>
        <v>1814</v>
      </c>
      <c r="F21" s="35">
        <f>F10</f>
        <v>10656</v>
      </c>
      <c r="G21" s="35">
        <f>F21/24</f>
        <v>444</v>
      </c>
      <c r="H21" s="34"/>
      <c r="I21" s="28">
        <f t="shared" ref="I21:I26" si="8">G21+H21</f>
        <v>444</v>
      </c>
      <c r="J21" s="28"/>
      <c r="K21" s="63">
        <f t="shared" ref="K21:K27" si="9">E21-I21-J21</f>
        <v>1370</v>
      </c>
      <c r="N21" s="41"/>
    </row>
    <row r="22" spans="1:14">
      <c r="A22" s="7" t="s">
        <v>18</v>
      </c>
      <c r="B22" s="40">
        <v>1424</v>
      </c>
      <c r="C22" s="2"/>
      <c r="D22" s="3"/>
      <c r="E22" s="34">
        <f t="shared" si="7"/>
        <v>1424</v>
      </c>
      <c r="F22" s="35">
        <f>F12</f>
        <v>576</v>
      </c>
      <c r="G22" s="35">
        <f>F22/24</f>
        <v>24</v>
      </c>
      <c r="H22" s="34"/>
      <c r="I22" s="28">
        <f t="shared" si="8"/>
        <v>24</v>
      </c>
      <c r="J22" s="28"/>
      <c r="K22" s="63">
        <f t="shared" si="9"/>
        <v>1400</v>
      </c>
      <c r="N22" s="41"/>
    </row>
    <row r="23" spans="1:14">
      <c r="A23" s="42" t="s">
        <v>36</v>
      </c>
      <c r="B23" s="33">
        <v>5429</v>
      </c>
      <c r="C23" s="2"/>
      <c r="D23" s="3"/>
      <c r="E23" s="34">
        <f t="shared" si="7"/>
        <v>5429</v>
      </c>
      <c r="F23" s="39"/>
      <c r="G23" s="35">
        <f>(F13/30)+(F7/22)+(F6/22)</f>
        <v>1101</v>
      </c>
      <c r="H23" s="34"/>
      <c r="I23" s="28">
        <f t="shared" si="8"/>
        <v>1101</v>
      </c>
      <c r="J23" s="28"/>
      <c r="K23" s="33">
        <f t="shared" si="9"/>
        <v>4328</v>
      </c>
      <c r="L23" s="41"/>
      <c r="N23" s="41"/>
    </row>
    <row r="24" spans="1:14">
      <c r="A24" s="7" t="s">
        <v>34</v>
      </c>
      <c r="B24" s="43">
        <v>906</v>
      </c>
      <c r="C24" s="2"/>
      <c r="D24" s="3"/>
      <c r="E24" s="34">
        <f t="shared" si="7"/>
        <v>906</v>
      </c>
      <c r="F24" s="39">
        <f>F8</f>
        <v>552</v>
      </c>
      <c r="G24" s="35">
        <f>(F19/24)</f>
        <v>23</v>
      </c>
      <c r="H24" s="34"/>
      <c r="I24" s="28">
        <f t="shared" si="8"/>
        <v>23</v>
      </c>
      <c r="J24" s="28"/>
      <c r="K24" s="63">
        <f t="shared" si="9"/>
        <v>883</v>
      </c>
      <c r="N24" s="41"/>
    </row>
    <row r="25" spans="1:14">
      <c r="A25" s="7" t="s">
        <v>16</v>
      </c>
      <c r="B25" s="40">
        <v>2547</v>
      </c>
      <c r="C25" s="2">
        <v>5245</v>
      </c>
      <c r="D25" s="3"/>
      <c r="E25" s="34">
        <f t="shared" si="7"/>
        <v>7792</v>
      </c>
      <c r="F25" s="35">
        <f>F4</f>
        <v>41568</v>
      </c>
      <c r="G25" s="35">
        <f>F25/24</f>
        <v>1732</v>
      </c>
      <c r="H25" s="34"/>
      <c r="I25" s="28">
        <f t="shared" si="8"/>
        <v>1732</v>
      </c>
      <c r="J25" s="28"/>
      <c r="K25" s="63">
        <f t="shared" si="9"/>
        <v>6060</v>
      </c>
      <c r="M25" s="62"/>
      <c r="N25" s="41"/>
    </row>
    <row r="26" spans="1:14">
      <c r="A26" s="7" t="s">
        <v>17</v>
      </c>
      <c r="B26" s="40">
        <v>367</v>
      </c>
      <c r="C26" s="2">
        <v>504</v>
      </c>
      <c r="D26" s="3"/>
      <c r="E26" s="34">
        <f t="shared" si="7"/>
        <v>871</v>
      </c>
      <c r="F26" s="35">
        <f>F5</f>
        <v>4464</v>
      </c>
      <c r="G26" s="35">
        <f>F26/24</f>
        <v>186</v>
      </c>
      <c r="H26" s="34"/>
      <c r="I26" s="28">
        <f t="shared" si="8"/>
        <v>186</v>
      </c>
      <c r="J26" s="28"/>
      <c r="K26" s="63">
        <f t="shared" si="9"/>
        <v>685</v>
      </c>
      <c r="N26" s="41"/>
    </row>
    <row r="27" spans="1:14">
      <c r="A27" s="7" t="s">
        <v>27</v>
      </c>
      <c r="B27" s="40">
        <v>154</v>
      </c>
      <c r="C27" s="2">
        <v>1029</v>
      </c>
      <c r="D27" s="3"/>
      <c r="E27" s="34">
        <f t="shared" si="7"/>
        <v>1183</v>
      </c>
      <c r="F27" s="35">
        <f>F11</f>
        <v>4944</v>
      </c>
      <c r="G27" s="35">
        <f>F27/24</f>
        <v>206</v>
      </c>
      <c r="H27" s="34"/>
      <c r="I27" s="28">
        <f>G27+H27</f>
        <v>206</v>
      </c>
      <c r="J27" s="28"/>
      <c r="K27" s="63">
        <f t="shared" si="9"/>
        <v>977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21318</v>
      </c>
      <c r="C29" s="2">
        <v>30942</v>
      </c>
      <c r="D29" s="3"/>
      <c r="E29" s="34">
        <f t="shared" ref="E29:E36" si="10">B29+C29+D29</f>
        <v>52260</v>
      </c>
      <c r="F29" s="44">
        <f>'[1]June 2021'!$K$30</f>
        <v>10944</v>
      </c>
      <c r="G29" s="44">
        <f>F29*2</f>
        <v>21888</v>
      </c>
      <c r="H29" s="45"/>
      <c r="I29" s="28">
        <f t="shared" ref="I29:I36" si="11">G29+H29</f>
        <v>21888</v>
      </c>
      <c r="J29" s="28"/>
      <c r="K29" s="64">
        <f t="shared" ref="K29:K35" si="12">E29-I29-J29</f>
        <v>30372</v>
      </c>
      <c r="N29" s="41"/>
    </row>
    <row r="30" spans="1:14">
      <c r="A30" s="7" t="s">
        <v>31</v>
      </c>
      <c r="B30" s="40">
        <v>21692</v>
      </c>
      <c r="C30" s="2"/>
      <c r="D30" s="3"/>
      <c r="E30" s="46">
        <f t="shared" si="10"/>
        <v>21692</v>
      </c>
      <c r="F30" s="47">
        <f>'[1]June 2021'!$L$30</f>
        <v>612</v>
      </c>
      <c r="G30" s="44">
        <f>F30*4</f>
        <v>2448</v>
      </c>
      <c r="H30" s="45"/>
      <c r="I30" s="28">
        <f t="shared" si="11"/>
        <v>2448</v>
      </c>
      <c r="J30" s="28"/>
      <c r="K30" s="64">
        <f>E30-I30-J30</f>
        <v>19244</v>
      </c>
      <c r="N30" s="41"/>
    </row>
    <row r="31" spans="1:14">
      <c r="A31" s="7" t="s">
        <v>20</v>
      </c>
      <c r="B31" s="40">
        <v>750</v>
      </c>
      <c r="C31" s="2">
        <v>1400</v>
      </c>
      <c r="D31" s="3"/>
      <c r="E31" s="46">
        <f t="shared" si="10"/>
        <v>2150</v>
      </c>
      <c r="F31" s="49">
        <f>F29</f>
        <v>10944</v>
      </c>
      <c r="G31" s="44">
        <f>F31/12</f>
        <v>912</v>
      </c>
      <c r="H31" s="45"/>
      <c r="I31" s="28">
        <f t="shared" si="11"/>
        <v>912</v>
      </c>
      <c r="J31" s="28"/>
      <c r="K31" s="27">
        <f t="shared" si="12"/>
        <v>1238</v>
      </c>
      <c r="N31" s="41"/>
    </row>
    <row r="32" spans="1:14">
      <c r="A32" s="7" t="s">
        <v>25</v>
      </c>
      <c r="B32" s="40">
        <v>115</v>
      </c>
      <c r="C32" s="4">
        <v>1000</v>
      </c>
      <c r="D32" s="3"/>
      <c r="E32" s="46">
        <f t="shared" si="10"/>
        <v>1115</v>
      </c>
      <c r="F32" s="49">
        <f>F30</f>
        <v>612</v>
      </c>
      <c r="G32" s="50">
        <f>F32/12</f>
        <v>51</v>
      </c>
      <c r="H32" s="51"/>
      <c r="I32" s="28">
        <f t="shared" si="11"/>
        <v>51</v>
      </c>
      <c r="J32" s="28"/>
      <c r="K32" s="27">
        <f t="shared" si="12"/>
        <v>1064</v>
      </c>
      <c r="N32" s="41"/>
    </row>
    <row r="33" spans="1:14">
      <c r="A33" s="7" t="s">
        <v>21</v>
      </c>
      <c r="B33" s="40">
        <v>62769</v>
      </c>
      <c r="C33" s="2"/>
      <c r="D33" s="3"/>
      <c r="E33" s="46">
        <f t="shared" si="10"/>
        <v>62769</v>
      </c>
      <c r="F33" s="49">
        <f>F30</f>
        <v>612</v>
      </c>
      <c r="G33" s="50">
        <f>F33*4</f>
        <v>2448</v>
      </c>
      <c r="H33" s="48"/>
      <c r="I33" s="28">
        <f t="shared" si="11"/>
        <v>2448</v>
      </c>
      <c r="J33" s="28"/>
      <c r="K33" s="27">
        <f t="shared" si="12"/>
        <v>60321</v>
      </c>
      <c r="N33" s="41"/>
    </row>
    <row r="34" spans="1:14">
      <c r="A34" s="7" t="s">
        <v>22</v>
      </c>
      <c r="B34" s="40">
        <v>63004</v>
      </c>
      <c r="C34" s="4"/>
      <c r="D34" s="3"/>
      <c r="E34" s="46">
        <f t="shared" si="10"/>
        <v>63004</v>
      </c>
      <c r="F34" s="49">
        <f>F29</f>
        <v>10944</v>
      </c>
      <c r="G34" s="50">
        <f>F34*2</f>
        <v>21888</v>
      </c>
      <c r="H34" s="51"/>
      <c r="I34" s="28">
        <f t="shared" si="11"/>
        <v>21888</v>
      </c>
      <c r="J34" s="28"/>
      <c r="K34" s="27">
        <f t="shared" si="12"/>
        <v>41116</v>
      </c>
      <c r="N34" s="41"/>
    </row>
    <row r="35" spans="1:14">
      <c r="A35" s="7" t="s">
        <v>23</v>
      </c>
      <c r="B35" s="40">
        <v>25782</v>
      </c>
      <c r="C35" s="4"/>
      <c r="D35" s="3"/>
      <c r="E35" s="46">
        <f t="shared" si="10"/>
        <v>25782</v>
      </c>
      <c r="F35" s="49">
        <f>F29</f>
        <v>10944</v>
      </c>
      <c r="G35" s="50">
        <f>F35*2</f>
        <v>21888</v>
      </c>
      <c r="H35" s="51"/>
      <c r="I35" s="28">
        <f t="shared" si="11"/>
        <v>21888</v>
      </c>
      <c r="J35" s="28"/>
      <c r="K35" s="27">
        <f t="shared" si="12"/>
        <v>3894</v>
      </c>
      <c r="N35" s="41"/>
    </row>
    <row r="36" spans="1:14" ht="15.75" thickBot="1">
      <c r="A36" s="52" t="s">
        <v>32</v>
      </c>
      <c r="B36" s="53">
        <v>-2680</v>
      </c>
      <c r="C36" s="54">
        <v>25000</v>
      </c>
      <c r="D36" s="55"/>
      <c r="E36" s="56">
        <f t="shared" si="10"/>
        <v>22320</v>
      </c>
      <c r="F36" s="57">
        <f>F29</f>
        <v>10944</v>
      </c>
      <c r="G36" s="58">
        <f>F36*2</f>
        <v>21888</v>
      </c>
      <c r="H36" s="59"/>
      <c r="I36" s="60">
        <f t="shared" si="11"/>
        <v>21888</v>
      </c>
      <c r="J36" s="60"/>
      <c r="K36" s="66">
        <f>E36-I36-J36</f>
        <v>432</v>
      </c>
      <c r="N36" s="41"/>
    </row>
    <row r="37" spans="1:14">
      <c r="B37" s="41"/>
    </row>
    <row r="38" spans="1:14">
      <c r="F38" s="61">
        <f>F4+F5+F6+F7+F8+F10+F11+F12+F13+F29+F30</f>
        <v>106818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9"/>
  <sheetViews>
    <sheetView topLeftCell="A16" zoomScaleNormal="100" workbookViewId="0">
      <selection activeCell="C37" sqref="C37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44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2129.9</v>
      </c>
      <c r="C4" s="27"/>
      <c r="D4" s="3"/>
      <c r="E4" s="28">
        <f t="shared" ref="E4:E7" si="0">B4+C4+D4</f>
        <v>2129.9</v>
      </c>
      <c r="F4" s="29">
        <f>'[1]July 2020'!$J$30</f>
        <v>52176</v>
      </c>
      <c r="G4" s="29">
        <f>F4*0.024</f>
        <v>1252.2239999999999</v>
      </c>
      <c r="H4" s="28"/>
      <c r="I4" s="28">
        <f>G4+H4</f>
        <v>1252.2239999999999</v>
      </c>
      <c r="J4" s="28"/>
      <c r="K4" s="29">
        <f>E4-I4-J4</f>
        <v>877.67600000000016</v>
      </c>
      <c r="N4" s="41"/>
    </row>
    <row r="5" spans="1:14">
      <c r="A5" s="7" t="s">
        <v>10</v>
      </c>
      <c r="B5" s="26">
        <v>1289.3</v>
      </c>
      <c r="C5" s="27"/>
      <c r="D5" s="3"/>
      <c r="E5" s="28">
        <f t="shared" si="0"/>
        <v>1289.3</v>
      </c>
      <c r="F5" s="29">
        <f>'[1]July 2020'!$C$30</f>
        <v>3936</v>
      </c>
      <c r="G5" s="29">
        <f>F5*0.024</f>
        <v>94.463999999999999</v>
      </c>
      <c r="H5" s="28"/>
      <c r="I5" s="28">
        <f t="shared" ref="I5:I6" si="1">G5+H5</f>
        <v>94.463999999999999</v>
      </c>
      <c r="J5" s="28"/>
      <c r="K5" s="28">
        <f>E5-I5-J5</f>
        <v>1194.836</v>
      </c>
      <c r="N5" s="41"/>
    </row>
    <row r="6" spans="1:14">
      <c r="A6" s="7" t="s">
        <v>37</v>
      </c>
      <c r="B6" s="26">
        <v>1018.5</v>
      </c>
      <c r="C6" s="27"/>
      <c r="D6" s="3"/>
      <c r="E6" s="28">
        <f t="shared" si="0"/>
        <v>1018.5</v>
      </c>
      <c r="F6" s="29">
        <f>'[1]July 2020'!$G$30</f>
        <v>308</v>
      </c>
      <c r="G6" s="29">
        <f>F6*0.108</f>
        <v>33.264000000000003</v>
      </c>
      <c r="H6" s="28"/>
      <c r="I6" s="28">
        <f t="shared" si="1"/>
        <v>33.264000000000003</v>
      </c>
      <c r="J6" s="28"/>
      <c r="K6" s="28">
        <f>E6-I6-J6</f>
        <v>985.23599999999999</v>
      </c>
      <c r="N6" s="41"/>
    </row>
    <row r="7" spans="1:14">
      <c r="A7" s="7" t="s">
        <v>38</v>
      </c>
      <c r="B7" s="26">
        <v>1089.1500000000001</v>
      </c>
      <c r="C7" s="27"/>
      <c r="D7" s="3"/>
      <c r="E7" s="28">
        <f t="shared" si="0"/>
        <v>1089.1500000000001</v>
      </c>
      <c r="F7" s="29">
        <f>'[1]July 2020'!$F$30</f>
        <v>2156</v>
      </c>
      <c r="G7" s="29">
        <f>F7*0.075</f>
        <v>161.69999999999999</v>
      </c>
      <c r="H7" s="28"/>
      <c r="I7" s="28">
        <f>G7+H7</f>
        <v>161.69999999999999</v>
      </c>
      <c r="J7" s="28"/>
      <c r="K7" s="28">
        <f>E7-I7-J7</f>
        <v>927.45</v>
      </c>
      <c r="N7" s="41"/>
    </row>
    <row r="8" spans="1:14">
      <c r="A8" s="7" t="s">
        <v>35</v>
      </c>
      <c r="B8" s="26">
        <v>656.44</v>
      </c>
      <c r="C8" s="27"/>
      <c r="D8" s="3"/>
      <c r="E8" s="28">
        <f>B8+C8+D8</f>
        <v>656.44</v>
      </c>
      <c r="F8" s="29">
        <f>'[1]July 2020'!$E$30</f>
        <v>744</v>
      </c>
      <c r="G8" s="29">
        <f>F8*0.035</f>
        <v>26.040000000000003</v>
      </c>
      <c r="H8" s="28"/>
      <c r="I8" s="28">
        <f t="shared" ref="I8" si="2">G8+H8</f>
        <v>26.040000000000003</v>
      </c>
      <c r="J8" s="28"/>
      <c r="K8" s="28">
        <f t="shared" ref="K8" si="3">E8-I8-J8</f>
        <v>630.40000000000009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82808</v>
      </c>
      <c r="C10" s="2"/>
      <c r="D10" s="3"/>
      <c r="E10" s="34">
        <f>B10+C10+D10</f>
        <v>82808</v>
      </c>
      <c r="F10" s="35">
        <f>'[1]July 2020'!$H$30</f>
        <v>9480</v>
      </c>
      <c r="G10" s="35">
        <f>F10*1</f>
        <v>9480</v>
      </c>
      <c r="H10" s="2"/>
      <c r="I10" s="28">
        <f t="shared" ref="I10:I13" si="4">G10+H10</f>
        <v>9480</v>
      </c>
      <c r="J10" s="28"/>
      <c r="K10" s="63">
        <f>E10-I10-J10</f>
        <v>73328</v>
      </c>
      <c r="N10" s="41"/>
    </row>
    <row r="11" spans="1:14">
      <c r="A11" s="7" t="s">
        <v>26</v>
      </c>
      <c r="B11" s="33">
        <v>64197</v>
      </c>
      <c r="C11" s="2"/>
      <c r="D11" s="3"/>
      <c r="E11" s="34">
        <f>B11+C11+D11</f>
        <v>64197</v>
      </c>
      <c r="F11" s="35">
        <f>'[1]July 2020'!$I$30</f>
        <v>6696</v>
      </c>
      <c r="G11" s="35">
        <f>F11*2</f>
        <v>13392</v>
      </c>
      <c r="H11" s="34"/>
      <c r="I11" s="28">
        <f t="shared" si="4"/>
        <v>13392</v>
      </c>
      <c r="J11" s="28"/>
      <c r="K11" s="63">
        <f>E11-I11-J11</f>
        <v>50805</v>
      </c>
      <c r="N11" s="41"/>
    </row>
    <row r="12" spans="1:14">
      <c r="A12" s="7" t="s">
        <v>12</v>
      </c>
      <c r="B12" s="33">
        <v>7008</v>
      </c>
      <c r="C12" s="2"/>
      <c r="D12" s="3"/>
      <c r="E12" s="34">
        <f>B12+C12+D12</f>
        <v>7008</v>
      </c>
      <c r="F12" s="35">
        <f>'[1]July 2020'!$B$30</f>
        <v>1008</v>
      </c>
      <c r="G12" s="35">
        <f>F12*1</f>
        <v>1008</v>
      </c>
      <c r="H12" s="34"/>
      <c r="I12" s="28">
        <f t="shared" si="4"/>
        <v>1008</v>
      </c>
      <c r="J12" s="28"/>
      <c r="K12" s="63">
        <f>E12-I12-J12</f>
        <v>6000</v>
      </c>
      <c r="N12" s="41"/>
    </row>
    <row r="13" spans="1:14">
      <c r="A13" s="7" t="s">
        <v>13</v>
      </c>
      <c r="B13" s="33">
        <v>5558</v>
      </c>
      <c r="C13" s="2">
        <f>4200+2600+1900</f>
        <v>8700</v>
      </c>
      <c r="D13" s="3"/>
      <c r="E13" s="34">
        <f>B13+C13+D13</f>
        <v>14258</v>
      </c>
      <c r="F13" s="35">
        <f>'[1]July 2020'!$D$30</f>
        <v>41880</v>
      </c>
      <c r="G13" s="35">
        <f>F13/5</f>
        <v>8376</v>
      </c>
      <c r="H13" s="34"/>
      <c r="I13" s="28">
        <f t="shared" si="4"/>
        <v>8376</v>
      </c>
      <c r="J13" s="28"/>
      <c r="K13" s="63">
        <f>E13-I13-J13</f>
        <v>5882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91140</v>
      </c>
      <c r="C15" s="2"/>
      <c r="D15" s="3"/>
      <c r="E15" s="34">
        <f t="shared" ref="E15:E19" si="5">B15+C15+D15</f>
        <v>91140</v>
      </c>
      <c r="F15" s="35">
        <f>F13</f>
        <v>41880</v>
      </c>
      <c r="G15" s="35">
        <f>F15/5</f>
        <v>8376</v>
      </c>
      <c r="H15" s="34"/>
      <c r="I15" s="28">
        <f t="shared" ref="I15:I19" si="6">G15+H15</f>
        <v>8376</v>
      </c>
      <c r="J15" s="28"/>
      <c r="K15" s="63">
        <f>E15-I15-J15</f>
        <v>82764</v>
      </c>
      <c r="N15" s="41"/>
    </row>
    <row r="16" spans="1:14">
      <c r="A16" s="7" t="s">
        <v>15</v>
      </c>
      <c r="B16" s="33">
        <v>86520</v>
      </c>
      <c r="C16" s="2"/>
      <c r="D16" s="3"/>
      <c r="E16" s="34">
        <f t="shared" si="5"/>
        <v>86520</v>
      </c>
      <c r="F16" s="35">
        <f>F4+F5</f>
        <v>56112</v>
      </c>
      <c r="G16" s="35">
        <f>F16/2</f>
        <v>28056</v>
      </c>
      <c r="H16" s="34"/>
      <c r="I16" s="28">
        <f t="shared" si="6"/>
        <v>28056</v>
      </c>
      <c r="J16" s="28"/>
      <c r="K16" s="63">
        <f>E16-I16-J16</f>
        <v>58464</v>
      </c>
      <c r="N16" s="41"/>
    </row>
    <row r="17" spans="1:14">
      <c r="A17" s="7" t="s">
        <v>28</v>
      </c>
      <c r="B17" s="33">
        <v>55300</v>
      </c>
      <c r="C17" s="2"/>
      <c r="D17" s="3"/>
      <c r="E17" s="34">
        <f t="shared" si="5"/>
        <v>55300</v>
      </c>
      <c r="F17" s="35">
        <f>F6</f>
        <v>308</v>
      </c>
      <c r="G17" s="35">
        <f>(F17/22)*50</f>
        <v>700</v>
      </c>
      <c r="H17" s="34"/>
      <c r="I17" s="28">
        <f t="shared" si="6"/>
        <v>700</v>
      </c>
      <c r="J17" s="28"/>
      <c r="K17" s="63">
        <f>E17-I17-J17</f>
        <v>54600</v>
      </c>
      <c r="N17" s="41"/>
    </row>
    <row r="18" spans="1:14">
      <c r="A18" s="7" t="s">
        <v>29</v>
      </c>
      <c r="B18" s="33">
        <v>183989</v>
      </c>
      <c r="C18" s="2"/>
      <c r="D18" s="3"/>
      <c r="E18" s="34">
        <f t="shared" si="5"/>
        <v>183989</v>
      </c>
      <c r="F18" s="39">
        <f>F7</f>
        <v>2156</v>
      </c>
      <c r="G18" s="35">
        <f>(F18/22)*25</f>
        <v>2450</v>
      </c>
      <c r="H18" s="34"/>
      <c r="I18" s="28">
        <f t="shared" si="6"/>
        <v>2450</v>
      </c>
      <c r="J18" s="28"/>
      <c r="K18" s="63">
        <f>E18-I18-J18</f>
        <v>181539</v>
      </c>
      <c r="N18" s="41"/>
    </row>
    <row r="19" spans="1:14">
      <c r="A19" s="7" t="s">
        <v>41</v>
      </c>
      <c r="B19" s="33">
        <v>1158</v>
      </c>
      <c r="C19" s="2"/>
      <c r="D19" s="3"/>
      <c r="E19" s="34">
        <f t="shared" si="5"/>
        <v>1158</v>
      </c>
      <c r="F19" s="39">
        <f>F8</f>
        <v>744</v>
      </c>
      <c r="G19" s="35">
        <f>F19/2</f>
        <v>372</v>
      </c>
      <c r="H19" s="34"/>
      <c r="I19" s="28">
        <f t="shared" si="6"/>
        <v>372</v>
      </c>
      <c r="J19" s="28"/>
      <c r="K19" s="63">
        <f>E19-I19-J19</f>
        <v>786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1370</v>
      </c>
      <c r="C21" s="2"/>
      <c r="D21" s="3"/>
      <c r="E21" s="34">
        <f t="shared" ref="E21:E27" si="7">B21+C21+D21</f>
        <v>1370</v>
      </c>
      <c r="F21" s="35">
        <f>F10</f>
        <v>9480</v>
      </c>
      <c r="G21" s="35">
        <f>F21/24</f>
        <v>395</v>
      </c>
      <c r="H21" s="34"/>
      <c r="I21" s="28">
        <f t="shared" ref="I21:I26" si="8">G21+H21</f>
        <v>395</v>
      </c>
      <c r="J21" s="28"/>
      <c r="K21" s="63">
        <f t="shared" ref="K21:K27" si="9">E21-I21-J21</f>
        <v>975</v>
      </c>
      <c r="N21" s="41"/>
    </row>
    <row r="22" spans="1:14">
      <c r="A22" s="7" t="s">
        <v>18</v>
      </c>
      <c r="B22" s="40">
        <v>1400</v>
      </c>
      <c r="C22" s="2"/>
      <c r="D22" s="3"/>
      <c r="E22" s="34">
        <f t="shared" si="7"/>
        <v>1400</v>
      </c>
      <c r="F22" s="35">
        <f>F12</f>
        <v>1008</v>
      </c>
      <c r="G22" s="35">
        <f>F22/24</f>
        <v>42</v>
      </c>
      <c r="H22" s="34"/>
      <c r="I22" s="28">
        <f t="shared" si="8"/>
        <v>42</v>
      </c>
      <c r="J22" s="28"/>
      <c r="K22" s="63">
        <f t="shared" si="9"/>
        <v>1358</v>
      </c>
      <c r="N22" s="41"/>
    </row>
    <row r="23" spans="1:14">
      <c r="A23" s="42" t="s">
        <v>36</v>
      </c>
      <c r="B23" s="33">
        <v>4328</v>
      </c>
      <c r="C23" s="2"/>
      <c r="D23" s="3"/>
      <c r="E23" s="34">
        <f t="shared" si="7"/>
        <v>4328</v>
      </c>
      <c r="F23" s="39"/>
      <c r="G23" s="35">
        <f>(F13/30)+(F7/22)+(F6/22)</f>
        <v>1508</v>
      </c>
      <c r="H23" s="34"/>
      <c r="I23" s="28">
        <f t="shared" si="8"/>
        <v>1508</v>
      </c>
      <c r="J23" s="28"/>
      <c r="K23" s="33">
        <f t="shared" si="9"/>
        <v>2820</v>
      </c>
      <c r="L23" s="41"/>
      <c r="N23" s="41"/>
    </row>
    <row r="24" spans="1:14">
      <c r="A24" s="7" t="s">
        <v>34</v>
      </c>
      <c r="B24" s="43">
        <v>883</v>
      </c>
      <c r="C24" s="2"/>
      <c r="D24" s="3"/>
      <c r="E24" s="34">
        <f t="shared" si="7"/>
        <v>883</v>
      </c>
      <c r="F24" s="39">
        <f>F8</f>
        <v>744</v>
      </c>
      <c r="G24" s="35">
        <f>(F19/24)</f>
        <v>31</v>
      </c>
      <c r="H24" s="34"/>
      <c r="I24" s="28">
        <f t="shared" si="8"/>
        <v>31</v>
      </c>
      <c r="J24" s="28"/>
      <c r="K24" s="63">
        <f t="shared" si="9"/>
        <v>852</v>
      </c>
      <c r="N24" s="41"/>
    </row>
    <row r="25" spans="1:14">
      <c r="A25" s="7" t="s">
        <v>16</v>
      </c>
      <c r="B25" s="40">
        <v>6060</v>
      </c>
      <c r="C25" s="2">
        <v>1500</v>
      </c>
      <c r="D25" s="3"/>
      <c r="E25" s="34">
        <f t="shared" si="7"/>
        <v>7560</v>
      </c>
      <c r="F25" s="35">
        <f>F4</f>
        <v>52176</v>
      </c>
      <c r="G25" s="35">
        <f>F25/24</f>
        <v>2174</v>
      </c>
      <c r="H25" s="34"/>
      <c r="I25" s="28">
        <f t="shared" si="8"/>
        <v>2174</v>
      </c>
      <c r="J25" s="28"/>
      <c r="K25" s="63">
        <f t="shared" si="9"/>
        <v>5386</v>
      </c>
      <c r="M25" s="62"/>
      <c r="N25" s="41"/>
    </row>
    <row r="26" spans="1:14">
      <c r="A26" s="7" t="s">
        <v>17</v>
      </c>
      <c r="B26" s="40">
        <v>685</v>
      </c>
      <c r="C26" s="2"/>
      <c r="D26" s="3"/>
      <c r="E26" s="34">
        <f t="shared" si="7"/>
        <v>685</v>
      </c>
      <c r="F26" s="35">
        <f>F5</f>
        <v>3936</v>
      </c>
      <c r="G26" s="35">
        <f>F26/24</f>
        <v>164</v>
      </c>
      <c r="H26" s="34"/>
      <c r="I26" s="28">
        <f t="shared" si="8"/>
        <v>164</v>
      </c>
      <c r="J26" s="28"/>
      <c r="K26" s="63">
        <f t="shared" si="9"/>
        <v>521</v>
      </c>
      <c r="N26" s="41"/>
    </row>
    <row r="27" spans="1:14">
      <c r="A27" s="7" t="s">
        <v>27</v>
      </c>
      <c r="B27" s="40">
        <v>977</v>
      </c>
      <c r="C27" s="2"/>
      <c r="D27" s="3"/>
      <c r="E27" s="34">
        <f t="shared" si="7"/>
        <v>977</v>
      </c>
      <c r="F27" s="35">
        <f>F11</f>
        <v>6696</v>
      </c>
      <c r="G27" s="35">
        <f>F27/24</f>
        <v>279</v>
      </c>
      <c r="H27" s="34"/>
      <c r="I27" s="28">
        <f>G27+H27</f>
        <v>279</v>
      </c>
      <c r="J27" s="28"/>
      <c r="K27" s="63">
        <f t="shared" si="9"/>
        <v>698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30372</v>
      </c>
      <c r="C29" s="2"/>
      <c r="D29" s="3"/>
      <c r="E29" s="34">
        <f t="shared" ref="E29:E36" si="10">B29+C29+D29</f>
        <v>30372</v>
      </c>
      <c r="F29" s="44">
        <f>'[1]July 2020'!$K$30</f>
        <v>10596</v>
      </c>
      <c r="G29" s="44">
        <f>F29*2</f>
        <v>21192</v>
      </c>
      <c r="H29" s="45"/>
      <c r="I29" s="28">
        <f t="shared" ref="I29:I36" si="11">G29+H29</f>
        <v>21192</v>
      </c>
      <c r="J29" s="28"/>
      <c r="K29" s="64">
        <f t="shared" ref="K29:K35" si="12">E29-I29-J29</f>
        <v>9180</v>
      </c>
      <c r="N29" s="41"/>
    </row>
    <row r="30" spans="1:14">
      <c r="A30" s="7" t="s">
        <v>31</v>
      </c>
      <c r="B30" s="40">
        <v>19244</v>
      </c>
      <c r="C30" s="2"/>
      <c r="D30" s="3"/>
      <c r="E30" s="46">
        <f t="shared" si="10"/>
        <v>19244</v>
      </c>
      <c r="F30" s="47">
        <f>'[1]July 2020'!$L$30</f>
        <v>12</v>
      </c>
      <c r="G30" s="44">
        <f>F30*4</f>
        <v>48</v>
      </c>
      <c r="H30" s="45"/>
      <c r="I30" s="28">
        <f t="shared" si="11"/>
        <v>48</v>
      </c>
      <c r="J30" s="28"/>
      <c r="K30" s="64">
        <f>E30-I30-J30</f>
        <v>19196</v>
      </c>
      <c r="N30" s="41"/>
    </row>
    <row r="31" spans="1:14">
      <c r="A31" s="7" t="s">
        <v>20</v>
      </c>
      <c r="B31" s="40">
        <v>1238</v>
      </c>
      <c r="C31" s="2">
        <v>550</v>
      </c>
      <c r="D31" s="3"/>
      <c r="E31" s="46">
        <f t="shared" si="10"/>
        <v>1788</v>
      </c>
      <c r="F31" s="49">
        <f>F29</f>
        <v>10596</v>
      </c>
      <c r="G31" s="44">
        <f>F31/12</f>
        <v>883</v>
      </c>
      <c r="H31" s="45"/>
      <c r="I31" s="28">
        <f t="shared" si="11"/>
        <v>883</v>
      </c>
      <c r="J31" s="28"/>
      <c r="K31" s="27">
        <f t="shared" si="12"/>
        <v>905</v>
      </c>
      <c r="N31" s="41"/>
    </row>
    <row r="32" spans="1:14">
      <c r="A32" s="7" t="s">
        <v>25</v>
      </c>
      <c r="B32" s="40">
        <v>1064</v>
      </c>
      <c r="C32" s="4"/>
      <c r="D32" s="3"/>
      <c r="E32" s="46">
        <f t="shared" si="10"/>
        <v>1064</v>
      </c>
      <c r="F32" s="49">
        <f>F30</f>
        <v>12</v>
      </c>
      <c r="G32" s="50">
        <f>F32/12</f>
        <v>1</v>
      </c>
      <c r="H32" s="51"/>
      <c r="I32" s="28">
        <f t="shared" si="11"/>
        <v>1</v>
      </c>
      <c r="J32" s="28"/>
      <c r="K32" s="27">
        <f t="shared" si="12"/>
        <v>1063</v>
      </c>
      <c r="N32" s="41"/>
    </row>
    <row r="33" spans="1:14">
      <c r="A33" s="7" t="s">
        <v>21</v>
      </c>
      <c r="B33" s="40">
        <v>60321</v>
      </c>
      <c r="C33" s="2"/>
      <c r="D33" s="3"/>
      <c r="E33" s="46">
        <f t="shared" si="10"/>
        <v>60321</v>
      </c>
      <c r="F33" s="49">
        <f>F30</f>
        <v>12</v>
      </c>
      <c r="G33" s="50">
        <f>F33*4</f>
        <v>48</v>
      </c>
      <c r="H33" s="48"/>
      <c r="I33" s="28">
        <f t="shared" si="11"/>
        <v>48</v>
      </c>
      <c r="J33" s="28"/>
      <c r="K33" s="27">
        <f t="shared" si="12"/>
        <v>60273</v>
      </c>
      <c r="N33" s="41"/>
    </row>
    <row r="34" spans="1:14">
      <c r="A34" s="7" t="s">
        <v>22</v>
      </c>
      <c r="B34" s="40">
        <v>41116</v>
      </c>
      <c r="C34" s="4"/>
      <c r="D34" s="3"/>
      <c r="E34" s="46">
        <f t="shared" si="10"/>
        <v>41116</v>
      </c>
      <c r="F34" s="49">
        <f>F29</f>
        <v>10596</v>
      </c>
      <c r="G34" s="50">
        <f>F34*2</f>
        <v>21192</v>
      </c>
      <c r="H34" s="51"/>
      <c r="I34" s="28">
        <f t="shared" si="11"/>
        <v>21192</v>
      </c>
      <c r="J34" s="28"/>
      <c r="K34" s="27">
        <f t="shared" si="12"/>
        <v>19924</v>
      </c>
      <c r="N34" s="41"/>
    </row>
    <row r="35" spans="1:14">
      <c r="A35" s="7" t="s">
        <v>23</v>
      </c>
      <c r="B35" s="40">
        <v>3894</v>
      </c>
      <c r="C35" s="4">
        <f>102000+10000</f>
        <v>112000</v>
      </c>
      <c r="D35" s="3"/>
      <c r="E35" s="46">
        <f t="shared" si="10"/>
        <v>115894</v>
      </c>
      <c r="F35" s="49">
        <f>F29</f>
        <v>10596</v>
      </c>
      <c r="G35" s="50">
        <f>F35*2</f>
        <v>21192</v>
      </c>
      <c r="H35" s="51"/>
      <c r="I35" s="28">
        <f t="shared" si="11"/>
        <v>21192</v>
      </c>
      <c r="J35" s="28"/>
      <c r="K35" s="27">
        <f t="shared" si="12"/>
        <v>94702</v>
      </c>
      <c r="N35" s="41"/>
    </row>
    <row r="36" spans="1:14" ht="15.75" thickBot="1">
      <c r="A36" s="52" t="s">
        <v>32</v>
      </c>
      <c r="B36" s="53">
        <v>432</v>
      </c>
      <c r="C36" s="54">
        <f>24000+10000</f>
        <v>34000</v>
      </c>
      <c r="D36" s="55"/>
      <c r="E36" s="56">
        <f t="shared" si="10"/>
        <v>34432</v>
      </c>
      <c r="F36" s="57">
        <f>F29</f>
        <v>10596</v>
      </c>
      <c r="G36" s="58">
        <f>F36*2</f>
        <v>21192</v>
      </c>
      <c r="H36" s="59"/>
      <c r="I36" s="60">
        <f t="shared" si="11"/>
        <v>21192</v>
      </c>
      <c r="J36" s="60"/>
      <c r="K36" s="66">
        <f>E36-I36-J36</f>
        <v>13240</v>
      </c>
      <c r="N36" s="41"/>
    </row>
    <row r="37" spans="1:14">
      <c r="B37" s="41"/>
    </row>
    <row r="38" spans="1:14">
      <c r="F38" s="61">
        <f>F4+F5+F6+F7+F8+F10+F11+F12+F13+F29+F30</f>
        <v>128992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39"/>
  <sheetViews>
    <sheetView topLeftCell="A15" zoomScaleNormal="100" workbookViewId="0">
      <selection activeCell="M36" sqref="M36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45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26">
        <v>877.7</v>
      </c>
      <c r="C4" s="27">
        <v>4036.79</v>
      </c>
      <c r="D4" s="3"/>
      <c r="E4" s="28">
        <f t="shared" ref="E4:E7" si="0">B4+C4+D4</f>
        <v>4914.49</v>
      </c>
      <c r="F4" s="29">
        <f>'[1]August 2021'!$J$30</f>
        <v>47040</v>
      </c>
      <c r="G4" s="29">
        <f>F4*0.024</f>
        <v>1128.96</v>
      </c>
      <c r="H4" s="28"/>
      <c r="I4" s="28">
        <f>G4+H4</f>
        <v>1128.96</v>
      </c>
      <c r="J4" s="28"/>
      <c r="K4" s="29">
        <f>E4-I4-J4</f>
        <v>3785.5299999999997</v>
      </c>
      <c r="M4" s="13">
        <v>3785.5</v>
      </c>
      <c r="N4" s="41"/>
    </row>
    <row r="5" spans="1:14">
      <c r="A5" s="7" t="s">
        <v>10</v>
      </c>
      <c r="B5" s="26">
        <v>1195.4100000000001</v>
      </c>
      <c r="C5" s="27"/>
      <c r="D5" s="3"/>
      <c r="E5" s="28">
        <f t="shared" si="0"/>
        <v>1195.4100000000001</v>
      </c>
      <c r="F5" s="29">
        <f>'[1]August 2021'!$C$30</f>
        <v>7728</v>
      </c>
      <c r="G5" s="29">
        <f>F5*0.024</f>
        <v>185.47200000000001</v>
      </c>
      <c r="H5" s="28"/>
      <c r="I5" s="28">
        <f t="shared" ref="I5:I6" si="1">G5+H5</f>
        <v>185.47200000000001</v>
      </c>
      <c r="J5" s="28"/>
      <c r="K5" s="28">
        <f>E5-I5-J5</f>
        <v>1009.9380000000001</v>
      </c>
      <c r="M5" s="13">
        <v>1009.94</v>
      </c>
      <c r="N5" s="41"/>
    </row>
    <row r="6" spans="1:14">
      <c r="A6" s="7" t="s">
        <v>37</v>
      </c>
      <c r="B6" s="26">
        <v>985.24</v>
      </c>
      <c r="C6" s="27"/>
      <c r="D6" s="3"/>
      <c r="E6" s="28">
        <f t="shared" si="0"/>
        <v>985.24</v>
      </c>
      <c r="F6" s="29">
        <f>'[1]August 2021'!$G$30</f>
        <v>330</v>
      </c>
      <c r="G6" s="29">
        <f>F6*0.108</f>
        <v>35.64</v>
      </c>
      <c r="H6" s="28"/>
      <c r="I6" s="28">
        <f t="shared" si="1"/>
        <v>35.64</v>
      </c>
      <c r="J6" s="28"/>
      <c r="K6" s="28">
        <f>E6-I6-J6</f>
        <v>949.6</v>
      </c>
      <c r="M6" s="13">
        <v>949.6</v>
      </c>
      <c r="N6" s="41"/>
    </row>
    <row r="7" spans="1:14">
      <c r="A7" s="7" t="s">
        <v>38</v>
      </c>
      <c r="B7" s="26">
        <v>927.45</v>
      </c>
      <c r="C7" s="27"/>
      <c r="D7" s="3"/>
      <c r="E7" s="28">
        <f t="shared" si="0"/>
        <v>927.45</v>
      </c>
      <c r="F7" s="29">
        <f>'[1]August 2021'!$F$30</f>
        <v>2222</v>
      </c>
      <c r="G7" s="29">
        <f>F7*0.075</f>
        <v>166.65</v>
      </c>
      <c r="H7" s="28"/>
      <c r="I7" s="28">
        <f>G7+H7</f>
        <v>166.65</v>
      </c>
      <c r="J7" s="28"/>
      <c r="K7" s="28">
        <f>E7-I7-J7</f>
        <v>760.80000000000007</v>
      </c>
      <c r="M7" s="13">
        <v>760.8</v>
      </c>
      <c r="N7" s="41"/>
    </row>
    <row r="8" spans="1:14">
      <c r="A8" s="7" t="s">
        <v>35</v>
      </c>
      <c r="B8" s="26">
        <v>630.4</v>
      </c>
      <c r="C8" s="27"/>
      <c r="D8" s="3"/>
      <c r="E8" s="28">
        <f>B8+C8+D8</f>
        <v>630.4</v>
      </c>
      <c r="F8" s="29">
        <f>'[1]August 2021'!$E$30</f>
        <v>696</v>
      </c>
      <c r="G8" s="29">
        <f>F8*0.035</f>
        <v>24.360000000000003</v>
      </c>
      <c r="H8" s="28"/>
      <c r="I8" s="28">
        <f t="shared" ref="I8" si="2">G8+H8</f>
        <v>24.360000000000003</v>
      </c>
      <c r="J8" s="28"/>
      <c r="K8" s="28">
        <f t="shared" ref="K8" si="3">E8-I8-J8</f>
        <v>606.04</v>
      </c>
      <c r="M8" s="13"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33">
        <v>73328</v>
      </c>
      <c r="C10" s="2"/>
      <c r="D10" s="3"/>
      <c r="E10" s="34">
        <f>B10+C10+D10</f>
        <v>73328</v>
      </c>
      <c r="F10" s="35">
        <f>'[1]August 2021'!$H$30</f>
        <v>6960</v>
      </c>
      <c r="G10" s="35">
        <f>F10*1</f>
        <v>6960</v>
      </c>
      <c r="H10" s="2"/>
      <c r="I10" s="28">
        <f t="shared" ref="I10:I13" si="4">G10+H10</f>
        <v>6960</v>
      </c>
      <c r="J10" s="28"/>
      <c r="K10" s="63">
        <f>E10-I10-J10</f>
        <v>66368</v>
      </c>
      <c r="M10" s="13">
        <v>66368</v>
      </c>
      <c r="N10" s="41"/>
    </row>
    <row r="11" spans="1:14">
      <c r="A11" s="7" t="s">
        <v>26</v>
      </c>
      <c r="B11" s="33">
        <v>50805</v>
      </c>
      <c r="C11" s="2"/>
      <c r="D11" s="3"/>
      <c r="E11" s="34">
        <f>B11+C11+D11</f>
        <v>50805</v>
      </c>
      <c r="F11" s="35">
        <f>'[1]August 2021'!$I$30</f>
        <v>3624</v>
      </c>
      <c r="G11" s="35">
        <f>F11*2</f>
        <v>7248</v>
      </c>
      <c r="H11" s="34"/>
      <c r="I11" s="28">
        <f t="shared" si="4"/>
        <v>7248</v>
      </c>
      <c r="J11" s="28"/>
      <c r="K11" s="63">
        <f>E11-I11-J11</f>
        <v>43557</v>
      </c>
      <c r="M11" s="13">
        <v>43557</v>
      </c>
      <c r="N11" s="41"/>
    </row>
    <row r="12" spans="1:14">
      <c r="A12" s="7" t="s">
        <v>12</v>
      </c>
      <c r="B12" s="33">
        <v>6000</v>
      </c>
      <c r="C12" s="2"/>
      <c r="D12" s="3"/>
      <c r="E12" s="34">
        <f>B12+C12+D12</f>
        <v>6000</v>
      </c>
      <c r="F12" s="35">
        <f>'[1]August 2021'!$B$30</f>
        <v>768</v>
      </c>
      <c r="G12" s="35">
        <f>F12*1</f>
        <v>768</v>
      </c>
      <c r="H12" s="34"/>
      <c r="I12" s="28">
        <f t="shared" si="4"/>
        <v>768</v>
      </c>
      <c r="J12" s="28"/>
      <c r="K12" s="63">
        <f>E12-I12-J12</f>
        <v>5232</v>
      </c>
      <c r="M12" s="13">
        <v>5232</v>
      </c>
      <c r="N12" s="41"/>
    </row>
    <row r="13" spans="1:14">
      <c r="A13" s="7" t="s">
        <v>13</v>
      </c>
      <c r="B13" s="33">
        <v>5882</v>
      </c>
      <c r="C13" s="2">
        <f>2000</f>
        <v>2000</v>
      </c>
      <c r="D13" s="3"/>
      <c r="E13" s="34">
        <f>B13+C13+D13</f>
        <v>7882</v>
      </c>
      <c r="F13" s="35">
        <f>'[1]August 2021'!$D$30</f>
        <v>39900</v>
      </c>
      <c r="G13" s="35">
        <f>F13/5</f>
        <v>7980</v>
      </c>
      <c r="H13" s="34"/>
      <c r="I13" s="28">
        <f t="shared" si="4"/>
        <v>7980</v>
      </c>
      <c r="J13" s="28"/>
      <c r="K13" s="63">
        <f>E13-I13-J13</f>
        <v>-98</v>
      </c>
      <c r="L13" s="62"/>
      <c r="M13" s="13">
        <v>-98</v>
      </c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33">
        <v>82764</v>
      </c>
      <c r="C15" s="2"/>
      <c r="D15" s="3"/>
      <c r="E15" s="34">
        <f t="shared" ref="E15:E19" si="5">B15+C15+D15</f>
        <v>82764</v>
      </c>
      <c r="F15" s="35">
        <f>F13</f>
        <v>39900</v>
      </c>
      <c r="G15" s="35">
        <f>F15/5</f>
        <v>7980</v>
      </c>
      <c r="H15" s="34"/>
      <c r="I15" s="28">
        <f t="shared" ref="I15:I19" si="6">G15+H15</f>
        <v>7980</v>
      </c>
      <c r="J15" s="28"/>
      <c r="K15" s="63">
        <f>E15-I15-J15</f>
        <v>74784</v>
      </c>
      <c r="M15" s="13">
        <v>74784</v>
      </c>
      <c r="N15" s="41"/>
    </row>
    <row r="16" spans="1:14">
      <c r="A16" s="7" t="s">
        <v>15</v>
      </c>
      <c r="B16" s="33">
        <v>58476</v>
      </c>
      <c r="C16" s="2">
        <v>100000</v>
      </c>
      <c r="D16" s="3"/>
      <c r="E16" s="34">
        <f t="shared" si="5"/>
        <v>158476</v>
      </c>
      <c r="F16" s="35">
        <f>F4+F5</f>
        <v>54768</v>
      </c>
      <c r="G16" s="35">
        <f>F16/2</f>
        <v>27384</v>
      </c>
      <c r="H16" s="34"/>
      <c r="I16" s="28">
        <f t="shared" si="6"/>
        <v>27384</v>
      </c>
      <c r="J16" s="28"/>
      <c r="K16" s="63">
        <f>E16-I16-J16</f>
        <v>131092</v>
      </c>
      <c r="M16" s="13">
        <v>131092</v>
      </c>
      <c r="N16" s="41"/>
    </row>
    <row r="17" spans="1:14">
      <c r="A17" s="7" t="s">
        <v>28</v>
      </c>
      <c r="B17" s="33">
        <v>54600</v>
      </c>
      <c r="C17" s="2"/>
      <c r="D17" s="3"/>
      <c r="E17" s="34">
        <f t="shared" si="5"/>
        <v>54600</v>
      </c>
      <c r="F17" s="35">
        <f>F6</f>
        <v>330</v>
      </c>
      <c r="G17" s="35">
        <f>(F17/22)*50</f>
        <v>750</v>
      </c>
      <c r="H17" s="34"/>
      <c r="I17" s="28">
        <f t="shared" si="6"/>
        <v>750</v>
      </c>
      <c r="J17" s="28"/>
      <c r="K17" s="63">
        <f>E17-I17-J17</f>
        <v>53850</v>
      </c>
      <c r="M17" s="13">
        <v>53850</v>
      </c>
      <c r="N17" s="41"/>
    </row>
    <row r="18" spans="1:14">
      <c r="A18" s="7" t="s">
        <v>29</v>
      </c>
      <c r="B18" s="33">
        <v>181539</v>
      </c>
      <c r="C18" s="2"/>
      <c r="D18" s="3"/>
      <c r="E18" s="34">
        <f t="shared" si="5"/>
        <v>181539</v>
      </c>
      <c r="F18" s="39">
        <f>F7</f>
        <v>2222</v>
      </c>
      <c r="G18" s="35">
        <f>(F18/22)*25</f>
        <v>2525</v>
      </c>
      <c r="H18" s="34"/>
      <c r="I18" s="28">
        <f t="shared" si="6"/>
        <v>2525</v>
      </c>
      <c r="J18" s="28"/>
      <c r="K18" s="63">
        <f>E18-I18-J18</f>
        <v>179014</v>
      </c>
      <c r="M18" s="13">
        <v>179014</v>
      </c>
      <c r="N18" s="41"/>
    </row>
    <row r="19" spans="1:14">
      <c r="A19" s="7" t="s">
        <v>41</v>
      </c>
      <c r="B19" s="33">
        <v>786</v>
      </c>
      <c r="C19" s="2"/>
      <c r="D19" s="3"/>
      <c r="E19" s="34">
        <f t="shared" si="5"/>
        <v>786</v>
      </c>
      <c r="F19" s="39">
        <f>F8</f>
        <v>696</v>
      </c>
      <c r="G19" s="35">
        <f>F19/2</f>
        <v>348</v>
      </c>
      <c r="H19" s="34"/>
      <c r="I19" s="28">
        <f t="shared" si="6"/>
        <v>348</v>
      </c>
      <c r="J19" s="28"/>
      <c r="K19" s="63">
        <f>E19-I19-J19</f>
        <v>438</v>
      </c>
      <c r="M19" s="13">
        <v>438</v>
      </c>
      <c r="N19" s="41"/>
    </row>
    <row r="20" spans="1:14" ht="15" customHeight="1">
      <c r="A20" s="9"/>
      <c r="B20" s="36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40">
        <v>975</v>
      </c>
      <c r="C21" s="2"/>
      <c r="D21" s="3"/>
      <c r="E21" s="34">
        <f t="shared" ref="E21:E27" si="7">B21+C21+D21</f>
        <v>975</v>
      </c>
      <c r="F21" s="35">
        <f>F10</f>
        <v>6960</v>
      </c>
      <c r="G21" s="35">
        <f>F21/24</f>
        <v>290</v>
      </c>
      <c r="H21" s="34"/>
      <c r="I21" s="28">
        <f t="shared" ref="I21:I26" si="8">G21+H21</f>
        <v>290</v>
      </c>
      <c r="J21" s="28"/>
      <c r="K21" s="63">
        <f t="shared" ref="K21:K27" si="9">E21-I21-J21</f>
        <v>685</v>
      </c>
      <c r="M21" s="13">
        <v>685</v>
      </c>
      <c r="N21" s="41"/>
    </row>
    <row r="22" spans="1:14">
      <c r="A22" s="7" t="s">
        <v>18</v>
      </c>
      <c r="B22" s="40">
        <v>1358</v>
      </c>
      <c r="C22" s="2"/>
      <c r="D22" s="3"/>
      <c r="E22" s="34">
        <f t="shared" si="7"/>
        <v>1358</v>
      </c>
      <c r="F22" s="35">
        <f>F12</f>
        <v>768</v>
      </c>
      <c r="G22" s="35">
        <f>F22/24</f>
        <v>32</v>
      </c>
      <c r="H22" s="34"/>
      <c r="I22" s="28">
        <f t="shared" si="8"/>
        <v>32</v>
      </c>
      <c r="J22" s="28"/>
      <c r="K22" s="63">
        <f t="shared" si="9"/>
        <v>1326</v>
      </c>
      <c r="M22" s="13">
        <v>1326</v>
      </c>
      <c r="N22" s="41"/>
    </row>
    <row r="23" spans="1:14">
      <c r="A23" s="42" t="s">
        <v>36</v>
      </c>
      <c r="B23" s="33">
        <v>2820</v>
      </c>
      <c r="C23" s="2"/>
      <c r="D23" s="3"/>
      <c r="E23" s="34">
        <f t="shared" si="7"/>
        <v>2820</v>
      </c>
      <c r="F23" s="39"/>
      <c r="G23" s="35">
        <f>(F13/30)+(F7/22)+(F6/22)</f>
        <v>1446</v>
      </c>
      <c r="H23" s="34"/>
      <c r="I23" s="28">
        <f t="shared" si="8"/>
        <v>1446</v>
      </c>
      <c r="J23" s="28"/>
      <c r="K23" s="33">
        <f t="shared" si="9"/>
        <v>1374</v>
      </c>
      <c r="L23" s="41"/>
      <c r="M23" s="13">
        <v>1374</v>
      </c>
      <c r="N23" s="41"/>
    </row>
    <row r="24" spans="1:14">
      <c r="A24" s="7" t="s">
        <v>34</v>
      </c>
      <c r="B24" s="43">
        <v>852</v>
      </c>
      <c r="C24" s="2"/>
      <c r="D24" s="3"/>
      <c r="E24" s="34">
        <f t="shared" si="7"/>
        <v>852</v>
      </c>
      <c r="F24" s="39">
        <f>F8</f>
        <v>696</v>
      </c>
      <c r="G24" s="35">
        <f>(F19/24)</f>
        <v>29</v>
      </c>
      <c r="H24" s="34"/>
      <c r="I24" s="28">
        <f t="shared" si="8"/>
        <v>29</v>
      </c>
      <c r="J24" s="28"/>
      <c r="K24" s="63">
        <f t="shared" si="9"/>
        <v>823</v>
      </c>
      <c r="M24" s="13">
        <v>832</v>
      </c>
      <c r="N24" s="41"/>
    </row>
    <row r="25" spans="1:14">
      <c r="A25" s="7" t="s">
        <v>16</v>
      </c>
      <c r="B25" s="40">
        <v>5386</v>
      </c>
      <c r="C25" s="2"/>
      <c r="D25" s="3"/>
      <c r="E25" s="34">
        <f t="shared" si="7"/>
        <v>5386</v>
      </c>
      <c r="F25" s="35">
        <f>F4</f>
        <v>47040</v>
      </c>
      <c r="G25" s="35">
        <f>F25/24</f>
        <v>1960</v>
      </c>
      <c r="H25" s="34"/>
      <c r="I25" s="28">
        <f t="shared" si="8"/>
        <v>1960</v>
      </c>
      <c r="J25" s="28"/>
      <c r="K25" s="63">
        <f t="shared" si="9"/>
        <v>3426</v>
      </c>
      <c r="M25" s="62">
        <v>3426</v>
      </c>
      <c r="N25" s="41"/>
    </row>
    <row r="26" spans="1:14">
      <c r="A26" s="7" t="s">
        <v>17</v>
      </c>
      <c r="B26" s="40">
        <v>522</v>
      </c>
      <c r="C26" s="2"/>
      <c r="D26" s="3"/>
      <c r="E26" s="34">
        <f t="shared" si="7"/>
        <v>522</v>
      </c>
      <c r="F26" s="35">
        <f>F5</f>
        <v>7728</v>
      </c>
      <c r="G26" s="35">
        <f>F26/24</f>
        <v>322</v>
      </c>
      <c r="H26" s="34"/>
      <c r="I26" s="28">
        <f t="shared" si="8"/>
        <v>322</v>
      </c>
      <c r="J26" s="28"/>
      <c r="K26" s="63">
        <f t="shared" si="9"/>
        <v>200</v>
      </c>
      <c r="M26" s="13">
        <v>200</v>
      </c>
      <c r="N26" s="41"/>
    </row>
    <row r="27" spans="1:14">
      <c r="A27" s="7" t="s">
        <v>27</v>
      </c>
      <c r="B27" s="40">
        <v>698</v>
      </c>
      <c r="C27" s="2"/>
      <c r="D27" s="3"/>
      <c r="E27" s="34">
        <f t="shared" si="7"/>
        <v>698</v>
      </c>
      <c r="F27" s="35">
        <f>F11</f>
        <v>3624</v>
      </c>
      <c r="G27" s="35">
        <f>F27/24</f>
        <v>151</v>
      </c>
      <c r="H27" s="34"/>
      <c r="I27" s="28">
        <f>G27+H27</f>
        <v>151</v>
      </c>
      <c r="J27" s="28"/>
      <c r="K27" s="63">
        <f t="shared" si="9"/>
        <v>547</v>
      </c>
      <c r="M27" s="13">
        <v>547</v>
      </c>
      <c r="N27" s="41"/>
    </row>
    <row r="28" spans="1:14">
      <c r="A28" s="11"/>
      <c r="B28" s="36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40">
        <v>9180</v>
      </c>
      <c r="C29" s="2">
        <v>31104</v>
      </c>
      <c r="D29" s="3"/>
      <c r="E29" s="34">
        <f t="shared" ref="E29:E36" si="10">B29+C29+D29</f>
        <v>40284</v>
      </c>
      <c r="F29" s="44">
        <f>'[1]August 2021'!$K$30</f>
        <v>8952</v>
      </c>
      <c r="G29" s="44">
        <f>F29*2</f>
        <v>17904</v>
      </c>
      <c r="H29" s="45"/>
      <c r="I29" s="28">
        <f t="shared" ref="I29:I36" si="11">G29+H29</f>
        <v>17904</v>
      </c>
      <c r="J29" s="28"/>
      <c r="K29" s="64">
        <f t="shared" ref="K29:K35" si="12">E29-I29-J29</f>
        <v>22380</v>
      </c>
      <c r="M29" s="13">
        <v>22380</v>
      </c>
      <c r="N29" s="41"/>
    </row>
    <row r="30" spans="1:14">
      <c r="A30" s="7" t="s">
        <v>31</v>
      </c>
      <c r="B30" s="40">
        <v>19196</v>
      </c>
      <c r="C30" s="2"/>
      <c r="D30" s="3"/>
      <c r="E30" s="46">
        <f t="shared" si="10"/>
        <v>19196</v>
      </c>
      <c r="F30" s="47">
        <f>'[1]August 2021'!$L$30</f>
        <v>600</v>
      </c>
      <c r="G30" s="44">
        <f>F30*4</f>
        <v>2400</v>
      </c>
      <c r="H30" s="45"/>
      <c r="I30" s="28">
        <f t="shared" si="11"/>
        <v>2400</v>
      </c>
      <c r="J30" s="28"/>
      <c r="K30" s="64">
        <f>E30-I30-J30</f>
        <v>16796</v>
      </c>
      <c r="M30" s="13">
        <v>16796</v>
      </c>
      <c r="N30" s="41"/>
    </row>
    <row r="31" spans="1:14">
      <c r="A31" s="7" t="s">
        <v>20</v>
      </c>
      <c r="B31" s="40">
        <v>905</v>
      </c>
      <c r="C31" s="2">
        <f>700+1300+2300+664</f>
        <v>4964</v>
      </c>
      <c r="D31" s="3"/>
      <c r="E31" s="46">
        <f t="shared" si="10"/>
        <v>5869</v>
      </c>
      <c r="F31" s="49">
        <f>F29</f>
        <v>8952</v>
      </c>
      <c r="G31" s="44">
        <f>F31/12</f>
        <v>746</v>
      </c>
      <c r="H31" s="45"/>
      <c r="I31" s="28">
        <f t="shared" si="11"/>
        <v>746</v>
      </c>
      <c r="J31" s="28"/>
      <c r="K31" s="27">
        <f t="shared" si="12"/>
        <v>5123</v>
      </c>
      <c r="M31" s="13">
        <v>5123</v>
      </c>
      <c r="N31" s="41"/>
    </row>
    <row r="32" spans="1:14">
      <c r="A32" s="7" t="s">
        <v>25</v>
      </c>
      <c r="B32" s="40">
        <v>1063</v>
      </c>
      <c r="C32" s="4"/>
      <c r="D32" s="3"/>
      <c r="E32" s="46">
        <f t="shared" si="10"/>
        <v>1063</v>
      </c>
      <c r="F32" s="49">
        <f>F30</f>
        <v>600</v>
      </c>
      <c r="G32" s="50">
        <f>F32/12</f>
        <v>50</v>
      </c>
      <c r="H32" s="51"/>
      <c r="I32" s="28">
        <f t="shared" si="11"/>
        <v>50</v>
      </c>
      <c r="J32" s="28"/>
      <c r="K32" s="27">
        <f t="shared" si="12"/>
        <v>1013</v>
      </c>
      <c r="M32" s="13">
        <v>1013</v>
      </c>
      <c r="N32" s="41"/>
    </row>
    <row r="33" spans="1:14">
      <c r="A33" s="7" t="s">
        <v>21</v>
      </c>
      <c r="B33" s="40">
        <v>60273</v>
      </c>
      <c r="C33" s="2"/>
      <c r="D33" s="3"/>
      <c r="E33" s="46">
        <f t="shared" si="10"/>
        <v>60273</v>
      </c>
      <c r="F33" s="49">
        <f>F30</f>
        <v>600</v>
      </c>
      <c r="G33" s="50">
        <f>F33*4</f>
        <v>2400</v>
      </c>
      <c r="H33" s="48"/>
      <c r="I33" s="28">
        <f t="shared" si="11"/>
        <v>2400</v>
      </c>
      <c r="J33" s="28"/>
      <c r="K33" s="27">
        <f t="shared" si="12"/>
        <v>57873</v>
      </c>
      <c r="M33" s="13">
        <v>57873</v>
      </c>
      <c r="N33" s="41"/>
    </row>
    <row r="34" spans="1:14">
      <c r="A34" s="7" t="s">
        <v>22</v>
      </c>
      <c r="B34" s="40">
        <v>19924</v>
      </c>
      <c r="C34" s="4"/>
      <c r="D34" s="3"/>
      <c r="E34" s="46">
        <f t="shared" si="10"/>
        <v>19924</v>
      </c>
      <c r="F34" s="49">
        <f>F29</f>
        <v>8952</v>
      </c>
      <c r="G34" s="50">
        <f>F34*2</f>
        <v>17904</v>
      </c>
      <c r="H34" s="51"/>
      <c r="I34" s="28">
        <f t="shared" si="11"/>
        <v>17904</v>
      </c>
      <c r="J34" s="28"/>
      <c r="K34" s="27">
        <f t="shared" si="12"/>
        <v>2020</v>
      </c>
      <c r="M34" s="13">
        <v>2020</v>
      </c>
      <c r="N34" s="41"/>
    </row>
    <row r="35" spans="1:14">
      <c r="A35" s="7" t="s">
        <v>23</v>
      </c>
      <c r="B35" s="40">
        <v>94702</v>
      </c>
      <c r="C35" s="4"/>
      <c r="D35" s="3"/>
      <c r="E35" s="46">
        <f t="shared" si="10"/>
        <v>94702</v>
      </c>
      <c r="F35" s="49">
        <f>F29</f>
        <v>8952</v>
      </c>
      <c r="G35" s="50">
        <f>F35*2</f>
        <v>17904</v>
      </c>
      <c r="H35" s="51"/>
      <c r="I35" s="28">
        <f t="shared" si="11"/>
        <v>17904</v>
      </c>
      <c r="J35" s="28"/>
      <c r="K35" s="27">
        <f t="shared" si="12"/>
        <v>76798</v>
      </c>
      <c r="M35" s="13">
        <v>76798</v>
      </c>
      <c r="N35" s="41"/>
    </row>
    <row r="36" spans="1:14" ht="15.75" thickBot="1">
      <c r="A36" s="52" t="s">
        <v>32</v>
      </c>
      <c r="B36" s="53">
        <v>13240</v>
      </c>
      <c r="C36" s="54">
        <v>52000</v>
      </c>
      <c r="D36" s="55"/>
      <c r="E36" s="56">
        <f t="shared" si="10"/>
        <v>65240</v>
      </c>
      <c r="F36" s="57">
        <f>F29</f>
        <v>8952</v>
      </c>
      <c r="G36" s="58">
        <f>F36*2</f>
        <v>17904</v>
      </c>
      <c r="H36" s="59"/>
      <c r="I36" s="60">
        <f t="shared" si="11"/>
        <v>17904</v>
      </c>
      <c r="J36" s="60"/>
      <c r="K36" s="66">
        <f>E36-I36-J36</f>
        <v>47336</v>
      </c>
      <c r="M36" s="13">
        <v>47336</v>
      </c>
      <c r="N36" s="41"/>
    </row>
    <row r="37" spans="1:14">
      <c r="B37" s="41"/>
    </row>
    <row r="38" spans="1:14">
      <c r="F38" s="61">
        <f>F4+F5+F6+F7+F8+F10+F11+F12+F13+F29+F30</f>
        <v>118820</v>
      </c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9"/>
  <sheetViews>
    <sheetView tabSelected="1" zoomScaleNormal="100" workbookViewId="0">
      <selection activeCell="N8" sqref="N8"/>
    </sheetView>
  </sheetViews>
  <sheetFormatPr defaultRowHeight="15"/>
  <cols>
    <col min="1" max="1" width="31" style="12" customWidth="1"/>
    <col min="2" max="2" width="9.5703125" style="13" bestFit="1" customWidth="1"/>
    <col min="3" max="3" width="10.28515625" style="13" customWidth="1"/>
    <col min="4" max="4" width="6.7109375" style="13" bestFit="1" customWidth="1"/>
    <col min="5" max="5" width="10.42578125" style="13" bestFit="1" customWidth="1"/>
    <col min="6" max="6" width="12.7109375" style="13" customWidth="1"/>
    <col min="7" max="7" width="11.7109375" style="13" bestFit="1" customWidth="1"/>
    <col min="8" max="8" width="8" style="13" customWidth="1"/>
    <col min="9" max="9" width="9.140625" style="13"/>
    <col min="10" max="10" width="6.28515625" style="13" customWidth="1"/>
    <col min="11" max="11" width="9.42578125" style="13" customWidth="1"/>
    <col min="12" max="16384" width="9.140625" style="13"/>
  </cols>
  <sheetData>
    <row r="1" spans="1:14" ht="15.75" thickBot="1">
      <c r="A1" s="72" t="s">
        <v>46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spans="1:14" s="22" customFormat="1" ht="23.25" thickBot="1">
      <c r="A2" s="8" t="s">
        <v>0</v>
      </c>
      <c r="B2" s="18" t="s">
        <v>1</v>
      </c>
      <c r="C2" s="16" t="s">
        <v>2</v>
      </c>
      <c r="D2" s="19" t="s">
        <v>3</v>
      </c>
      <c r="E2" s="19" t="s">
        <v>4</v>
      </c>
      <c r="F2" s="16" t="s">
        <v>5</v>
      </c>
      <c r="G2" s="18" t="s">
        <v>6</v>
      </c>
      <c r="H2" s="18" t="s">
        <v>7</v>
      </c>
      <c r="I2" s="20" t="s">
        <v>8</v>
      </c>
      <c r="J2" s="21" t="s">
        <v>39</v>
      </c>
      <c r="K2" s="14" t="s">
        <v>30</v>
      </c>
    </row>
    <row r="3" spans="1:14">
      <c r="A3" s="15"/>
      <c r="B3" s="23"/>
      <c r="C3" s="17"/>
      <c r="D3" s="24"/>
      <c r="E3" s="17"/>
      <c r="F3" s="24"/>
      <c r="G3" s="23"/>
      <c r="H3" s="23"/>
      <c r="I3" s="25"/>
      <c r="J3" s="25"/>
      <c r="K3" s="65"/>
    </row>
    <row r="4" spans="1:14">
      <c r="A4" s="7" t="s">
        <v>9</v>
      </c>
      <c r="B4" s="69">
        <v>3785.5</v>
      </c>
      <c r="C4" s="27"/>
      <c r="D4" s="3"/>
      <c r="E4" s="28">
        <f t="shared" ref="E4:E7" si="0">B4+C4+D4</f>
        <v>3785.5</v>
      </c>
      <c r="F4" s="29">
        <f>'[1]September 2021'!$J$30</f>
        <v>50208</v>
      </c>
      <c r="G4" s="29">
        <f>F4*0.024</f>
        <v>1204.992</v>
      </c>
      <c r="H4" s="28"/>
      <c r="I4" s="28">
        <f>G4+H4</f>
        <v>1204.992</v>
      </c>
      <c r="J4" s="28"/>
      <c r="K4" s="29">
        <f>E4-I4-J4</f>
        <v>2580.5079999999998</v>
      </c>
      <c r="N4" s="41"/>
    </row>
    <row r="5" spans="1:14">
      <c r="A5" s="7" t="s">
        <v>10</v>
      </c>
      <c r="B5" s="69">
        <v>1009.94</v>
      </c>
      <c r="C5" s="27"/>
      <c r="D5" s="3"/>
      <c r="E5" s="28">
        <f t="shared" si="0"/>
        <v>1009.94</v>
      </c>
      <c r="F5" s="29">
        <f>'[1]September 2021'!$C$30</f>
        <v>2712</v>
      </c>
      <c r="G5" s="29">
        <f>F5*0.024</f>
        <v>65.088000000000008</v>
      </c>
      <c r="H5" s="28"/>
      <c r="I5" s="28">
        <f t="shared" ref="I5:I6" si="1">G5+H5</f>
        <v>65.088000000000008</v>
      </c>
      <c r="J5" s="28"/>
      <c r="K5" s="28">
        <f>E5-I5-J5</f>
        <v>944.85200000000009</v>
      </c>
      <c r="N5" s="41"/>
    </row>
    <row r="6" spans="1:14">
      <c r="A6" s="7" t="s">
        <v>37</v>
      </c>
      <c r="B6" s="69">
        <v>949.6</v>
      </c>
      <c r="C6" s="27"/>
      <c r="D6" s="3"/>
      <c r="E6" s="28">
        <f t="shared" si="0"/>
        <v>949.6</v>
      </c>
      <c r="F6" s="29">
        <f>'[1]September 2021'!$G$30</f>
        <v>616</v>
      </c>
      <c r="G6" s="29">
        <f>F6*0.108</f>
        <v>66.528000000000006</v>
      </c>
      <c r="H6" s="28"/>
      <c r="I6" s="28">
        <f t="shared" si="1"/>
        <v>66.528000000000006</v>
      </c>
      <c r="J6" s="28"/>
      <c r="K6" s="28">
        <f>E6-I6-J6</f>
        <v>883.072</v>
      </c>
      <c r="N6" s="41"/>
    </row>
    <row r="7" spans="1:14">
      <c r="A7" s="7" t="s">
        <v>38</v>
      </c>
      <c r="B7" s="69">
        <v>760.8</v>
      </c>
      <c r="C7" s="27"/>
      <c r="D7" s="3"/>
      <c r="E7" s="28">
        <f t="shared" si="0"/>
        <v>760.8</v>
      </c>
      <c r="F7" s="29">
        <f>'[1]September 2021'!$F$30</f>
        <v>1342</v>
      </c>
      <c r="G7" s="29">
        <f>F7*0.075</f>
        <v>100.64999999999999</v>
      </c>
      <c r="H7" s="28"/>
      <c r="I7" s="28">
        <f>G7+H7</f>
        <v>100.64999999999999</v>
      </c>
      <c r="J7" s="28"/>
      <c r="K7" s="28">
        <f>E7-I7-J7</f>
        <v>660.15</v>
      </c>
      <c r="N7" s="41"/>
    </row>
    <row r="8" spans="1:14">
      <c r="A8" s="7" t="s">
        <v>35</v>
      </c>
      <c r="B8" s="69">
        <v>606.04</v>
      </c>
      <c r="C8" s="27"/>
      <c r="D8" s="3"/>
      <c r="E8" s="28">
        <f>B8+C8+D8</f>
        <v>606.04</v>
      </c>
      <c r="F8" s="29">
        <f>'[1]September 2021'!$E$30</f>
        <v>0</v>
      </c>
      <c r="G8" s="29">
        <f>F8*0.035</f>
        <v>0</v>
      </c>
      <c r="H8" s="28"/>
      <c r="I8" s="28">
        <f t="shared" ref="I8" si="2">G8+H8</f>
        <v>0</v>
      </c>
      <c r="J8" s="28"/>
      <c r="K8" s="28">
        <f t="shared" ref="K8" si="3">E8-I8-J8</f>
        <v>606.04</v>
      </c>
      <c r="N8" s="41"/>
    </row>
    <row r="9" spans="1:14" ht="12.75" customHeight="1">
      <c r="A9" s="9"/>
      <c r="B9" s="30"/>
      <c r="C9" s="1"/>
      <c r="D9" s="6"/>
      <c r="E9" s="1"/>
      <c r="F9" s="31"/>
      <c r="G9" s="32"/>
      <c r="H9" s="1"/>
      <c r="I9" s="1"/>
      <c r="J9" s="1"/>
      <c r="K9" s="1"/>
      <c r="N9" s="41"/>
    </row>
    <row r="10" spans="1:14">
      <c r="A10" s="7" t="s">
        <v>11</v>
      </c>
      <c r="B10" s="69">
        <v>66368</v>
      </c>
      <c r="C10" s="2"/>
      <c r="D10" s="3"/>
      <c r="E10" s="34">
        <f>B10+C10+D10</f>
        <v>66368</v>
      </c>
      <c r="F10" s="35">
        <f>'[1]September 2021'!$H$30</f>
        <v>7944</v>
      </c>
      <c r="G10" s="35">
        <f>F10*1</f>
        <v>7944</v>
      </c>
      <c r="H10" s="2"/>
      <c r="I10" s="28">
        <f t="shared" ref="I10:I13" si="4">G10+H10</f>
        <v>7944</v>
      </c>
      <c r="J10" s="28"/>
      <c r="K10" s="63">
        <f>E10-I10-J10</f>
        <v>58424</v>
      </c>
      <c r="N10" s="41"/>
    </row>
    <row r="11" spans="1:14">
      <c r="A11" s="7" t="s">
        <v>26</v>
      </c>
      <c r="B11" s="69">
        <v>43557</v>
      </c>
      <c r="C11" s="2"/>
      <c r="D11" s="3"/>
      <c r="E11" s="34">
        <f>B11+C11+D11</f>
        <v>43557</v>
      </c>
      <c r="F11" s="35">
        <f>'[1]September 2021'!$I$30</f>
        <v>5976</v>
      </c>
      <c r="G11" s="35">
        <f>F11*2</f>
        <v>11952</v>
      </c>
      <c r="H11" s="34"/>
      <c r="I11" s="28">
        <f t="shared" si="4"/>
        <v>11952</v>
      </c>
      <c r="J11" s="28"/>
      <c r="K11" s="63">
        <f>E11-I11-J11</f>
        <v>31605</v>
      </c>
      <c r="N11" s="41"/>
    </row>
    <row r="12" spans="1:14">
      <c r="A12" s="7" t="s">
        <v>12</v>
      </c>
      <c r="B12" s="69">
        <v>5232</v>
      </c>
      <c r="C12" s="2"/>
      <c r="D12" s="3"/>
      <c r="E12" s="34">
        <f>B12+C12+D12</f>
        <v>5232</v>
      </c>
      <c r="F12" s="35">
        <f>'[1]September 2021'!$B$30</f>
        <v>1608</v>
      </c>
      <c r="G12" s="35">
        <f>F12*1</f>
        <v>1608</v>
      </c>
      <c r="H12" s="34"/>
      <c r="I12" s="28">
        <f t="shared" si="4"/>
        <v>1608</v>
      </c>
      <c r="J12" s="28"/>
      <c r="K12" s="63">
        <f>E12-I12-J12</f>
        <v>3624</v>
      </c>
      <c r="N12" s="41"/>
    </row>
    <row r="13" spans="1:14">
      <c r="A13" s="7" t="s">
        <v>13</v>
      </c>
      <c r="B13" s="69">
        <v>-98</v>
      </c>
      <c r="C13" s="2">
        <f>9560</f>
        <v>9560</v>
      </c>
      <c r="D13" s="3"/>
      <c r="E13" s="34">
        <f>B13+C13+D13</f>
        <v>9462</v>
      </c>
      <c r="F13" s="35">
        <f>'[1]September 2021'!$D$30</f>
        <v>40200</v>
      </c>
      <c r="G13" s="35">
        <f>F13/5</f>
        <v>8040</v>
      </c>
      <c r="H13" s="34"/>
      <c r="I13" s="28">
        <f t="shared" si="4"/>
        <v>8040</v>
      </c>
      <c r="J13" s="28"/>
      <c r="K13" s="63">
        <f>E13-I13-J13</f>
        <v>1422</v>
      </c>
      <c r="L13" s="62"/>
      <c r="N13" s="41"/>
    </row>
    <row r="14" spans="1:14" ht="16.5" customHeight="1">
      <c r="A14" s="10"/>
      <c r="B14" s="36"/>
      <c r="C14" s="5"/>
      <c r="D14" s="6"/>
      <c r="E14" s="37"/>
      <c r="F14" s="37"/>
      <c r="G14" s="38"/>
      <c r="H14" s="5"/>
      <c r="I14" s="1"/>
      <c r="J14" s="1"/>
      <c r="K14" s="1"/>
      <c r="N14" s="41"/>
    </row>
    <row r="15" spans="1:14">
      <c r="A15" s="7" t="s">
        <v>14</v>
      </c>
      <c r="B15" s="67">
        <v>74784</v>
      </c>
      <c r="C15" s="2"/>
      <c r="D15" s="3"/>
      <c r="E15" s="34">
        <f t="shared" ref="E15:E19" si="5">B15+C15+D15</f>
        <v>74784</v>
      </c>
      <c r="F15" s="35">
        <f>F13</f>
        <v>40200</v>
      </c>
      <c r="G15" s="35">
        <f>F15/5</f>
        <v>8040</v>
      </c>
      <c r="H15" s="34"/>
      <c r="I15" s="28">
        <f t="shared" ref="I15:I19" si="6">G15+H15</f>
        <v>8040</v>
      </c>
      <c r="J15" s="28"/>
      <c r="K15" s="63">
        <f>E15-I15-J15</f>
        <v>66744</v>
      </c>
      <c r="N15" s="41"/>
    </row>
    <row r="16" spans="1:14">
      <c r="A16" s="7" t="s">
        <v>15</v>
      </c>
      <c r="B16" s="69">
        <v>131092</v>
      </c>
      <c r="C16" s="2"/>
      <c r="D16" s="3"/>
      <c r="E16" s="34">
        <f t="shared" si="5"/>
        <v>131092</v>
      </c>
      <c r="F16" s="35">
        <f>F4+F5</f>
        <v>52920</v>
      </c>
      <c r="G16" s="35">
        <f>F16/2</f>
        <v>26460</v>
      </c>
      <c r="H16" s="34"/>
      <c r="I16" s="28">
        <f t="shared" si="6"/>
        <v>26460</v>
      </c>
      <c r="J16" s="28"/>
      <c r="K16" s="63">
        <f>E16-I16-J16</f>
        <v>104632</v>
      </c>
      <c r="N16" s="41"/>
    </row>
    <row r="17" spans="1:14">
      <c r="A17" s="7" t="s">
        <v>28</v>
      </c>
      <c r="B17" s="69">
        <v>53850</v>
      </c>
      <c r="C17" s="2"/>
      <c r="D17" s="3"/>
      <c r="E17" s="34">
        <f t="shared" si="5"/>
        <v>53850</v>
      </c>
      <c r="F17" s="35">
        <f>F6</f>
        <v>616</v>
      </c>
      <c r="G17" s="35">
        <f>(F17/22)*50</f>
        <v>1400</v>
      </c>
      <c r="H17" s="34"/>
      <c r="I17" s="28">
        <f t="shared" si="6"/>
        <v>1400</v>
      </c>
      <c r="J17" s="28"/>
      <c r="K17" s="63">
        <f>E17-I17-J17</f>
        <v>52450</v>
      </c>
      <c r="N17" s="41"/>
    </row>
    <row r="18" spans="1:14">
      <c r="A18" s="7" t="s">
        <v>29</v>
      </c>
      <c r="B18" s="69">
        <v>179014</v>
      </c>
      <c r="C18" s="2"/>
      <c r="D18" s="3"/>
      <c r="E18" s="34">
        <f t="shared" si="5"/>
        <v>179014</v>
      </c>
      <c r="F18" s="39">
        <f>F7</f>
        <v>1342</v>
      </c>
      <c r="G18" s="35">
        <f>(F18/22)*25</f>
        <v>1525</v>
      </c>
      <c r="H18" s="34"/>
      <c r="I18" s="28">
        <f t="shared" si="6"/>
        <v>1525</v>
      </c>
      <c r="J18" s="28"/>
      <c r="K18" s="63">
        <f>E18-I18-J18</f>
        <v>177489</v>
      </c>
      <c r="N18" s="41"/>
    </row>
    <row r="19" spans="1:14">
      <c r="A19" s="7" t="s">
        <v>41</v>
      </c>
      <c r="B19" s="69">
        <v>438</v>
      </c>
      <c r="C19" s="2"/>
      <c r="D19" s="3"/>
      <c r="E19" s="34">
        <f t="shared" si="5"/>
        <v>438</v>
      </c>
      <c r="F19" s="39">
        <f>F8</f>
        <v>0</v>
      </c>
      <c r="G19" s="35">
        <f>F19/2</f>
        <v>0</v>
      </c>
      <c r="H19" s="34"/>
      <c r="I19" s="28">
        <f t="shared" si="6"/>
        <v>0</v>
      </c>
      <c r="J19" s="28"/>
      <c r="K19" s="63">
        <f>E19-I19-J19</f>
        <v>438</v>
      </c>
      <c r="N19" s="41"/>
    </row>
    <row r="20" spans="1:14" ht="15" customHeight="1">
      <c r="A20" s="9"/>
      <c r="B20" s="68"/>
      <c r="C20" s="5"/>
      <c r="D20" s="6"/>
      <c r="E20" s="37"/>
      <c r="F20" s="37"/>
      <c r="G20" s="38"/>
      <c r="H20" s="5"/>
      <c r="I20" s="1"/>
      <c r="J20" s="1"/>
      <c r="K20" s="1"/>
      <c r="N20" s="41"/>
    </row>
    <row r="21" spans="1:14">
      <c r="A21" s="7" t="s">
        <v>19</v>
      </c>
      <c r="B21" s="69">
        <v>685</v>
      </c>
      <c r="C21" s="2"/>
      <c r="D21" s="3"/>
      <c r="E21" s="34">
        <f t="shared" ref="E21:E27" si="7">B21+C21+D21</f>
        <v>685</v>
      </c>
      <c r="F21" s="35">
        <f>F10</f>
        <v>7944</v>
      </c>
      <c r="G21" s="35">
        <f>F21/24</f>
        <v>331</v>
      </c>
      <c r="H21" s="34"/>
      <c r="I21" s="28">
        <f t="shared" ref="I21:I26" si="8">G21+H21</f>
        <v>331</v>
      </c>
      <c r="J21" s="28"/>
      <c r="K21" s="63">
        <f t="shared" ref="K21:K27" si="9">E21-I21-J21</f>
        <v>354</v>
      </c>
      <c r="N21" s="41"/>
    </row>
    <row r="22" spans="1:14">
      <c r="A22" s="7" t="s">
        <v>18</v>
      </c>
      <c r="B22" s="69">
        <v>1326</v>
      </c>
      <c r="C22" s="2"/>
      <c r="D22" s="3"/>
      <c r="E22" s="34">
        <f t="shared" si="7"/>
        <v>1326</v>
      </c>
      <c r="F22" s="35">
        <f>F12</f>
        <v>1608</v>
      </c>
      <c r="G22" s="35">
        <f>F22/24</f>
        <v>67</v>
      </c>
      <c r="H22" s="34"/>
      <c r="I22" s="28">
        <f t="shared" si="8"/>
        <v>67</v>
      </c>
      <c r="J22" s="28"/>
      <c r="K22" s="63">
        <f t="shared" si="9"/>
        <v>1259</v>
      </c>
      <c r="N22" s="41"/>
    </row>
    <row r="23" spans="1:14">
      <c r="A23" s="42" t="s">
        <v>36</v>
      </c>
      <c r="B23" s="69">
        <v>1374</v>
      </c>
      <c r="C23" s="2">
        <v>3050</v>
      </c>
      <c r="D23" s="3"/>
      <c r="E23" s="34">
        <f t="shared" si="7"/>
        <v>4424</v>
      </c>
      <c r="F23" s="39"/>
      <c r="G23" s="35">
        <f>(F13/30)+(F7/22)+(F6/22)</f>
        <v>1429</v>
      </c>
      <c r="H23" s="34"/>
      <c r="I23" s="28">
        <f t="shared" si="8"/>
        <v>1429</v>
      </c>
      <c r="J23" s="28"/>
      <c r="K23" s="33">
        <f t="shared" si="9"/>
        <v>2995</v>
      </c>
      <c r="L23" s="41"/>
      <c r="N23" s="41"/>
    </row>
    <row r="24" spans="1:14">
      <c r="A24" s="7" t="s">
        <v>34</v>
      </c>
      <c r="B24" s="69">
        <v>832</v>
      </c>
      <c r="C24" s="2"/>
      <c r="D24" s="3"/>
      <c r="E24" s="34">
        <f t="shared" si="7"/>
        <v>832</v>
      </c>
      <c r="F24" s="39">
        <f>F8</f>
        <v>0</v>
      </c>
      <c r="G24" s="35">
        <f>(F19/24)</f>
        <v>0</v>
      </c>
      <c r="H24" s="34"/>
      <c r="I24" s="28">
        <f t="shared" si="8"/>
        <v>0</v>
      </c>
      <c r="J24" s="28"/>
      <c r="K24" s="63">
        <f t="shared" si="9"/>
        <v>832</v>
      </c>
      <c r="N24" s="41"/>
    </row>
    <row r="25" spans="1:14">
      <c r="A25" s="7" t="s">
        <v>16</v>
      </c>
      <c r="B25" s="70">
        <v>3426</v>
      </c>
      <c r="C25" s="2">
        <v>3497</v>
      </c>
      <c r="D25" s="3"/>
      <c r="E25" s="34">
        <f t="shared" si="7"/>
        <v>6923</v>
      </c>
      <c r="F25" s="35">
        <f>F4</f>
        <v>50208</v>
      </c>
      <c r="G25" s="35">
        <f>F25/24</f>
        <v>2092</v>
      </c>
      <c r="H25" s="34"/>
      <c r="I25" s="28">
        <f t="shared" si="8"/>
        <v>2092</v>
      </c>
      <c r="J25" s="28"/>
      <c r="K25" s="63">
        <f t="shared" si="9"/>
        <v>4831</v>
      </c>
      <c r="M25" s="62"/>
      <c r="N25" s="41"/>
    </row>
    <row r="26" spans="1:14">
      <c r="A26" s="7" t="s">
        <v>17</v>
      </c>
      <c r="B26" s="69">
        <v>200</v>
      </c>
      <c r="C26" s="2"/>
      <c r="D26" s="3"/>
      <c r="E26" s="34">
        <f t="shared" si="7"/>
        <v>200</v>
      </c>
      <c r="F26" s="35">
        <f>F5</f>
        <v>2712</v>
      </c>
      <c r="G26" s="35">
        <f>F26/24</f>
        <v>113</v>
      </c>
      <c r="H26" s="34"/>
      <c r="I26" s="28">
        <f t="shared" si="8"/>
        <v>113</v>
      </c>
      <c r="J26" s="28"/>
      <c r="K26" s="63">
        <f t="shared" si="9"/>
        <v>87</v>
      </c>
      <c r="N26" s="41"/>
    </row>
    <row r="27" spans="1:14">
      <c r="A27" s="7" t="s">
        <v>27</v>
      </c>
      <c r="B27" s="69">
        <v>547</v>
      </c>
      <c r="C27" s="2"/>
      <c r="D27" s="3"/>
      <c r="E27" s="34">
        <f t="shared" si="7"/>
        <v>547</v>
      </c>
      <c r="F27" s="35">
        <f>F11</f>
        <v>5976</v>
      </c>
      <c r="G27" s="35">
        <f>F27/24</f>
        <v>249</v>
      </c>
      <c r="H27" s="34"/>
      <c r="I27" s="28">
        <f>G27+H27</f>
        <v>249</v>
      </c>
      <c r="J27" s="28"/>
      <c r="K27" s="63">
        <f t="shared" si="9"/>
        <v>298</v>
      </c>
      <c r="N27" s="41"/>
    </row>
    <row r="28" spans="1:14">
      <c r="A28" s="11"/>
      <c r="B28" s="68"/>
      <c r="C28" s="5"/>
      <c r="D28" s="6"/>
      <c r="E28" s="37"/>
      <c r="F28" s="37"/>
      <c r="G28" s="38"/>
      <c r="H28" s="5"/>
      <c r="I28" s="1"/>
      <c r="J28" s="1"/>
      <c r="K28" s="1"/>
      <c r="N28" s="41"/>
    </row>
    <row r="29" spans="1:14">
      <c r="A29" s="7" t="s">
        <v>24</v>
      </c>
      <c r="B29" s="69">
        <v>22380</v>
      </c>
      <c r="C29" s="2"/>
      <c r="D29" s="3"/>
      <c r="E29" s="34">
        <f t="shared" ref="E29:E36" si="10">B29+C29+D29</f>
        <v>22380</v>
      </c>
      <c r="F29" s="44">
        <f>'[1]September 2021'!$K$30</f>
        <v>8184</v>
      </c>
      <c r="G29" s="44">
        <f>F29*2</f>
        <v>16368</v>
      </c>
      <c r="H29" s="45"/>
      <c r="I29" s="28">
        <f t="shared" ref="I29:I36" si="11">G29+H29</f>
        <v>16368</v>
      </c>
      <c r="J29" s="28"/>
      <c r="K29" s="64">
        <f t="shared" ref="K29:K35" si="12">E29-I29-J29</f>
        <v>6012</v>
      </c>
      <c r="N29" s="41"/>
    </row>
    <row r="30" spans="1:14">
      <c r="A30" s="7" t="s">
        <v>31</v>
      </c>
      <c r="B30" s="69">
        <v>16796</v>
      </c>
      <c r="C30" s="2">
        <v>45500</v>
      </c>
      <c r="D30" s="3"/>
      <c r="E30" s="46">
        <f t="shared" si="10"/>
        <v>62296</v>
      </c>
      <c r="F30" s="47">
        <f>'[1]September 2021'!$L$30</f>
        <v>7212</v>
      </c>
      <c r="G30" s="44">
        <f>F30*4</f>
        <v>28848</v>
      </c>
      <c r="H30" s="45"/>
      <c r="I30" s="28">
        <f t="shared" si="11"/>
        <v>28848</v>
      </c>
      <c r="J30" s="28"/>
      <c r="K30" s="64">
        <f>E30-I30-J30</f>
        <v>33448</v>
      </c>
      <c r="N30" s="41"/>
    </row>
    <row r="31" spans="1:14">
      <c r="A31" s="7" t="s">
        <v>20</v>
      </c>
      <c r="B31" s="69">
        <v>5123</v>
      </c>
      <c r="C31" s="2"/>
      <c r="D31" s="3"/>
      <c r="E31" s="46">
        <f t="shared" si="10"/>
        <v>5123</v>
      </c>
      <c r="F31" s="49">
        <f>F29</f>
        <v>8184</v>
      </c>
      <c r="G31" s="44">
        <f>F31/12</f>
        <v>682</v>
      </c>
      <c r="H31" s="45"/>
      <c r="I31" s="28">
        <f t="shared" si="11"/>
        <v>682</v>
      </c>
      <c r="J31" s="28"/>
      <c r="K31" s="27">
        <f t="shared" si="12"/>
        <v>4441</v>
      </c>
      <c r="N31" s="41"/>
    </row>
    <row r="32" spans="1:14">
      <c r="A32" s="7" t="s">
        <v>25</v>
      </c>
      <c r="B32" s="69">
        <v>1013</v>
      </c>
      <c r="C32" s="4"/>
      <c r="D32" s="3"/>
      <c r="E32" s="46">
        <f t="shared" si="10"/>
        <v>1013</v>
      </c>
      <c r="F32" s="49">
        <f>F30</f>
        <v>7212</v>
      </c>
      <c r="G32" s="50">
        <f>F32/12</f>
        <v>601</v>
      </c>
      <c r="H32" s="51"/>
      <c r="I32" s="28">
        <f t="shared" si="11"/>
        <v>601</v>
      </c>
      <c r="J32" s="28"/>
      <c r="K32" s="27">
        <f t="shared" si="12"/>
        <v>412</v>
      </c>
      <c r="N32" s="41"/>
    </row>
    <row r="33" spans="1:14">
      <c r="A33" s="7" t="s">
        <v>21</v>
      </c>
      <c r="B33" s="69">
        <v>57873</v>
      </c>
      <c r="C33" s="2"/>
      <c r="D33" s="3"/>
      <c r="E33" s="46">
        <f t="shared" si="10"/>
        <v>57873</v>
      </c>
      <c r="F33" s="49">
        <f>F30</f>
        <v>7212</v>
      </c>
      <c r="G33" s="50">
        <f>F33*4</f>
        <v>28848</v>
      </c>
      <c r="H33" s="48"/>
      <c r="I33" s="28">
        <f t="shared" si="11"/>
        <v>28848</v>
      </c>
      <c r="J33" s="28"/>
      <c r="K33" s="27">
        <f t="shared" si="12"/>
        <v>29025</v>
      </c>
      <c r="N33" s="41"/>
    </row>
    <row r="34" spans="1:14">
      <c r="A34" s="7" t="s">
        <v>22</v>
      </c>
      <c r="B34" s="69">
        <v>2020</v>
      </c>
      <c r="C34" s="4">
        <f>57500+20000</f>
        <v>77500</v>
      </c>
      <c r="D34" s="3"/>
      <c r="E34" s="46">
        <f t="shared" si="10"/>
        <v>79520</v>
      </c>
      <c r="F34" s="49">
        <f>F29</f>
        <v>8184</v>
      </c>
      <c r="G34" s="50">
        <f>F34*2</f>
        <v>16368</v>
      </c>
      <c r="H34" s="51"/>
      <c r="I34" s="28">
        <f t="shared" si="11"/>
        <v>16368</v>
      </c>
      <c r="J34" s="28"/>
      <c r="K34" s="27">
        <f t="shared" si="12"/>
        <v>63152</v>
      </c>
      <c r="N34" s="41"/>
    </row>
    <row r="35" spans="1:14">
      <c r="A35" s="7" t="s">
        <v>23</v>
      </c>
      <c r="B35" s="69">
        <v>76798</v>
      </c>
      <c r="C35" s="4">
        <f>39000+39000</f>
        <v>78000</v>
      </c>
      <c r="D35" s="3"/>
      <c r="E35" s="46">
        <f t="shared" si="10"/>
        <v>154798</v>
      </c>
      <c r="F35" s="49">
        <f>F29</f>
        <v>8184</v>
      </c>
      <c r="G35" s="50">
        <f>F35*2</f>
        <v>16368</v>
      </c>
      <c r="H35" s="51"/>
      <c r="I35" s="28">
        <f t="shared" si="11"/>
        <v>16368</v>
      </c>
      <c r="J35" s="28"/>
      <c r="K35" s="27">
        <f t="shared" si="12"/>
        <v>138430</v>
      </c>
      <c r="N35" s="41"/>
    </row>
    <row r="36" spans="1:14" ht="15.75" thickBot="1">
      <c r="A36" s="52" t="s">
        <v>32</v>
      </c>
      <c r="B36" s="71">
        <v>47336</v>
      </c>
      <c r="C36" s="54"/>
      <c r="D36" s="55"/>
      <c r="E36" s="56">
        <f t="shared" si="10"/>
        <v>47336</v>
      </c>
      <c r="F36" s="57">
        <f>F29</f>
        <v>8184</v>
      </c>
      <c r="G36" s="58">
        <f>F36*2</f>
        <v>16368</v>
      </c>
      <c r="H36" s="59"/>
      <c r="I36" s="60">
        <f t="shared" si="11"/>
        <v>16368</v>
      </c>
      <c r="J36" s="60"/>
      <c r="K36" s="66">
        <f>E36-I36-J36</f>
        <v>30968</v>
      </c>
      <c r="N36" s="41"/>
    </row>
    <row r="37" spans="1:14">
      <c r="B37" s="41"/>
    </row>
    <row r="38" spans="1:14">
      <c r="F38" s="61"/>
    </row>
    <row r="39" spans="1:14">
      <c r="F39" s="41"/>
      <c r="H39" s="61"/>
      <c r="J39" s="61"/>
    </row>
  </sheetData>
  <mergeCells count="1">
    <mergeCell ref="A1:K1"/>
  </mergeCells>
  <pageMargins left="0.27" right="0.34" top="0.28000000000000003" bottom="0.21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</vt:lpstr>
      <vt:lpstr>AUGUST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2021-10-01T09:31:28Z</cp:lastPrinted>
  <dcterms:created xsi:type="dcterms:W3CDTF">2013-12-03T09:05:52Z</dcterms:created>
  <dcterms:modified xsi:type="dcterms:W3CDTF">2021-10-01T09:32:00Z</dcterms:modified>
</cp:coreProperties>
</file>