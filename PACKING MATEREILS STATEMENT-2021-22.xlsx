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1" activeTab="8"/>
  </bookViews>
  <sheets>
    <sheet name="April 2021-22" sheetId="79" r:id="rId1"/>
    <sheet name="May 2021" sheetId="80" r:id="rId2"/>
    <sheet name="June 2021" sheetId="81" r:id="rId3"/>
    <sheet name="july" sheetId="82" r:id="rId4"/>
    <sheet name="AUGUST" sheetId="83" r:id="rId5"/>
    <sheet name="september" sheetId="84" r:id="rId6"/>
    <sheet name="October 2021" sheetId="86" r:id="rId7"/>
    <sheet name="November 2021" sheetId="87" r:id="rId8"/>
    <sheet name="December 21-22" sheetId="88" r:id="rId9"/>
  </sheets>
  <externalReferences>
    <externalReference r:id="rId10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0" i="88"/>
  <c r="F33" s="1"/>
  <c r="G33" s="1"/>
  <c r="I33" s="1"/>
  <c r="F12"/>
  <c r="F22" s="1"/>
  <c r="G22" s="1"/>
  <c r="I22" s="1"/>
  <c r="F8"/>
  <c r="F24" s="1"/>
  <c r="E36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G12"/>
  <c r="I12" s="1"/>
  <c r="E12"/>
  <c r="E11"/>
  <c r="E10"/>
  <c r="E8"/>
  <c r="E7"/>
  <c r="E6"/>
  <c r="E5"/>
  <c r="E4"/>
  <c r="C13" i="87"/>
  <c r="C36"/>
  <c r="G30" i="88" l="1"/>
  <c r="I30" s="1"/>
  <c r="F32"/>
  <c r="G32" s="1"/>
  <c r="I32" s="1"/>
  <c r="K30"/>
  <c r="K12"/>
  <c r="K22"/>
  <c r="F19"/>
  <c r="G24" s="1"/>
  <c r="I24" s="1"/>
  <c r="K24" s="1"/>
  <c r="G8"/>
  <c r="I8" s="1"/>
  <c r="K8" s="1"/>
  <c r="K33"/>
  <c r="K32"/>
  <c r="G19"/>
  <c r="I19" s="1"/>
  <c r="K19" s="1"/>
  <c r="C27" i="87"/>
  <c r="E27" s="1"/>
  <c r="F30"/>
  <c r="F33" s="1"/>
  <c r="G33" s="1"/>
  <c r="I33" s="1"/>
  <c r="F29"/>
  <c r="F36" s="1"/>
  <c r="G36" s="1"/>
  <c r="I36" s="1"/>
  <c r="F12"/>
  <c r="F22" s="1"/>
  <c r="G22" s="1"/>
  <c r="I22" s="1"/>
  <c r="F11"/>
  <c r="G11" s="1"/>
  <c r="I11" s="1"/>
  <c r="F8"/>
  <c r="G8" s="1"/>
  <c r="I8" s="1"/>
  <c r="F7"/>
  <c r="F18" s="1"/>
  <c r="G18" s="1"/>
  <c r="I18" s="1"/>
  <c r="F6"/>
  <c r="G6" s="1"/>
  <c r="I6" s="1"/>
  <c r="F5"/>
  <c r="G5" s="1"/>
  <c r="I5" s="1"/>
  <c r="E36"/>
  <c r="E35"/>
  <c r="E34"/>
  <c r="E33"/>
  <c r="E32"/>
  <c r="E31"/>
  <c r="E30"/>
  <c r="E29"/>
  <c r="E26"/>
  <c r="E25"/>
  <c r="E24"/>
  <c r="E23"/>
  <c r="E22"/>
  <c r="E21"/>
  <c r="E19"/>
  <c r="E18"/>
  <c r="E17"/>
  <c r="E16"/>
  <c r="E15"/>
  <c r="E13"/>
  <c r="E12"/>
  <c r="E11"/>
  <c r="E10"/>
  <c r="F19"/>
  <c r="E8"/>
  <c r="E7"/>
  <c r="E6"/>
  <c r="E5"/>
  <c r="E4"/>
  <c r="C13" i="86"/>
  <c r="C25"/>
  <c r="K36" i="87" l="1"/>
  <c r="G30"/>
  <c r="I30" s="1"/>
  <c r="K30" s="1"/>
  <c r="G12"/>
  <c r="I12" s="1"/>
  <c r="K12" s="1"/>
  <c r="G7"/>
  <c r="I7" s="1"/>
  <c r="K7" s="1"/>
  <c r="F34"/>
  <c r="G34" s="1"/>
  <c r="I34" s="1"/>
  <c r="K34" s="1"/>
  <c r="K6"/>
  <c r="F35"/>
  <c r="G35" s="1"/>
  <c r="I35" s="1"/>
  <c r="K35" s="1"/>
  <c r="F24"/>
  <c r="F27"/>
  <c r="G27" s="1"/>
  <c r="I27" s="1"/>
  <c r="K27" s="1"/>
  <c r="F31"/>
  <c r="G31" s="1"/>
  <c r="I31" s="1"/>
  <c r="K31" s="1"/>
  <c r="K22"/>
  <c r="F32"/>
  <c r="G32" s="1"/>
  <c r="I32" s="1"/>
  <c r="K32" s="1"/>
  <c r="G24"/>
  <c r="I24" s="1"/>
  <c r="K24" s="1"/>
  <c r="G19"/>
  <c r="I19" s="1"/>
  <c r="K19" s="1"/>
  <c r="K33"/>
  <c r="K11"/>
  <c r="K18"/>
  <c r="K5"/>
  <c r="K8"/>
  <c r="F17"/>
  <c r="G17" s="1"/>
  <c r="I17" s="1"/>
  <c r="K17" s="1"/>
  <c r="F26"/>
  <c r="G26" s="1"/>
  <c r="I26" s="1"/>
  <c r="K26" s="1"/>
  <c r="G29"/>
  <c r="I29" s="1"/>
  <c r="K29" s="1"/>
  <c r="C33" i="86"/>
  <c r="F30"/>
  <c r="F29"/>
  <c r="F13"/>
  <c r="F12"/>
  <c r="F11"/>
  <c r="F10"/>
  <c r="F8"/>
  <c r="F7"/>
  <c r="F6"/>
  <c r="F4"/>
  <c r="E36" l="1"/>
  <c r="E35"/>
  <c r="E34"/>
  <c r="E33"/>
  <c r="E32"/>
  <c r="E31"/>
  <c r="G30"/>
  <c r="I30" s="1"/>
  <c r="E30"/>
  <c r="F36"/>
  <c r="G36" s="1"/>
  <c r="I36" s="1"/>
  <c r="E29"/>
  <c r="E27"/>
  <c r="E26"/>
  <c r="E25"/>
  <c r="E24"/>
  <c r="E23"/>
  <c r="E22"/>
  <c r="E21"/>
  <c r="E19"/>
  <c r="E18"/>
  <c r="E17"/>
  <c r="E16"/>
  <c r="E15"/>
  <c r="F15"/>
  <c r="G15" s="1"/>
  <c r="I15" s="1"/>
  <c r="E13"/>
  <c r="F22"/>
  <c r="G22" s="1"/>
  <c r="I22" s="1"/>
  <c r="E12"/>
  <c r="G11"/>
  <c r="I11" s="1"/>
  <c r="E11"/>
  <c r="G10"/>
  <c r="I10" s="1"/>
  <c r="F21"/>
  <c r="G21" s="1"/>
  <c r="I21" s="1"/>
  <c r="E10"/>
  <c r="G8"/>
  <c r="I8" s="1"/>
  <c r="F19"/>
  <c r="G24" s="1"/>
  <c r="I24" s="1"/>
  <c r="E8"/>
  <c r="G7"/>
  <c r="I7" s="1"/>
  <c r="E7"/>
  <c r="G6"/>
  <c r="I6" s="1"/>
  <c r="E6"/>
  <c r="E5"/>
  <c r="G4"/>
  <c r="I4" s="1"/>
  <c r="F25"/>
  <c r="G25" s="1"/>
  <c r="I25" s="1"/>
  <c r="E4"/>
  <c r="K36" l="1"/>
  <c r="K7"/>
  <c r="F18"/>
  <c r="G18" s="1"/>
  <c r="I18" s="1"/>
  <c r="K18" s="1"/>
  <c r="K21"/>
  <c r="F24"/>
  <c r="K8"/>
  <c r="F33"/>
  <c r="G33" s="1"/>
  <c r="I33" s="1"/>
  <c r="K33" s="1"/>
  <c r="K4"/>
  <c r="K24"/>
  <c r="K6"/>
  <c r="K10"/>
  <c r="K30"/>
  <c r="K11"/>
  <c r="K15"/>
  <c r="K22"/>
  <c r="K25"/>
  <c r="G23"/>
  <c r="I23" s="1"/>
  <c r="K2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5"/>
  <c r="G35" s="1"/>
  <c r="I35" s="1"/>
  <c r="K35" s="1"/>
  <c r="G19"/>
  <c r="I19" s="1"/>
  <c r="K19" s="1"/>
  <c r="F31"/>
  <c r="G31" s="1"/>
  <c r="I31" s="1"/>
  <c r="K31" s="1"/>
  <c r="F34"/>
  <c r="G34" s="1"/>
  <c r="I34" s="1"/>
  <c r="K34" s="1"/>
  <c r="G13"/>
  <c r="I13" s="1"/>
  <c r="K13" s="1"/>
  <c r="G29"/>
  <c r="I29" s="1"/>
  <c r="K29" s="1"/>
  <c r="C13" i="84"/>
  <c r="N11"/>
  <c r="F29" l="1"/>
  <c r="G29" s="1"/>
  <c r="I29" s="1"/>
  <c r="F4"/>
  <c r="F25" s="1"/>
  <c r="G25" s="1"/>
  <c r="I25" s="1"/>
  <c r="E13"/>
  <c r="C35"/>
  <c r="C34"/>
  <c r="E35"/>
  <c r="F30"/>
  <c r="F32" s="1"/>
  <c r="G32" s="1"/>
  <c r="I32" s="1"/>
  <c r="F13"/>
  <c r="F15" s="1"/>
  <c r="G15" s="1"/>
  <c r="I15" s="1"/>
  <c r="F12"/>
  <c r="F22" s="1"/>
  <c r="G22" s="1"/>
  <c r="I22" s="1"/>
  <c r="F11"/>
  <c r="F27" s="1"/>
  <c r="G27" s="1"/>
  <c r="I27" s="1"/>
  <c r="F10"/>
  <c r="G10" s="1"/>
  <c r="I10" s="1"/>
  <c r="F8"/>
  <c r="F19" s="1"/>
  <c r="F7"/>
  <c r="G7" s="1"/>
  <c r="I7" s="1"/>
  <c r="F6"/>
  <c r="F17" s="1"/>
  <c r="G17" s="1"/>
  <c r="I17" s="1"/>
  <c r="F5"/>
  <c r="G5" s="1"/>
  <c r="I5" s="1"/>
  <c r="E36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2"/>
  <c r="E11"/>
  <c r="E10"/>
  <c r="E8"/>
  <c r="E7"/>
  <c r="E6"/>
  <c r="E5"/>
  <c r="E4"/>
  <c r="G11" l="1"/>
  <c r="I11" s="1"/>
  <c r="K11" s="1"/>
  <c r="G6"/>
  <c r="I6" s="1"/>
  <c r="K6" s="1"/>
  <c r="G4"/>
  <c r="I4" s="1"/>
  <c r="K4" s="1"/>
  <c r="F33"/>
  <c r="G33" s="1"/>
  <c r="I33" s="1"/>
  <c r="K33" s="1"/>
  <c r="G12"/>
  <c r="I12" s="1"/>
  <c r="K12" s="1"/>
  <c r="F18"/>
  <c r="G18" s="1"/>
  <c r="I18" s="1"/>
  <c r="K18" s="1"/>
  <c r="F24"/>
  <c r="G8"/>
  <c r="I8" s="1"/>
  <c r="K8" s="1"/>
  <c r="K7"/>
  <c r="K17"/>
  <c r="K25"/>
  <c r="G24"/>
  <c r="I24" s="1"/>
  <c r="K24" s="1"/>
  <c r="G19"/>
  <c r="I19" s="1"/>
  <c r="K19" s="1"/>
  <c r="K5"/>
  <c r="K10"/>
  <c r="K22"/>
  <c r="K27"/>
  <c r="K32"/>
  <c r="K15"/>
  <c r="K29"/>
  <c r="G23"/>
  <c r="I23" s="1"/>
  <c r="K23" s="1"/>
  <c r="F36"/>
  <c r="G36" s="1"/>
  <c r="I36" s="1"/>
  <c r="K36" s="1"/>
  <c r="F31"/>
  <c r="G31" s="1"/>
  <c r="I31" s="1"/>
  <c r="K31" s="1"/>
  <c r="F35"/>
  <c r="G35" s="1"/>
  <c r="I35" s="1"/>
  <c r="K35" s="1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4"/>
  <c r="G34" s="1"/>
  <c r="I34" s="1"/>
  <c r="K34" s="1"/>
  <c r="G13"/>
  <c r="I13" s="1"/>
  <c r="K13" s="1"/>
  <c r="F30" i="83"/>
  <c r="F29"/>
  <c r="F13"/>
  <c r="F12"/>
  <c r="F11"/>
  <c r="F10"/>
  <c r="F8"/>
  <c r="F7"/>
  <c r="F6"/>
  <c r="F5"/>
  <c r="F4"/>
  <c r="C31"/>
  <c r="C13"/>
  <c r="C36" i="82" l="1"/>
  <c r="C35"/>
  <c r="E36" i="83"/>
  <c r="E35"/>
  <c r="E34"/>
  <c r="E33"/>
  <c r="E32"/>
  <c r="E31"/>
  <c r="F33"/>
  <c r="G33" s="1"/>
  <c r="I33" s="1"/>
  <c r="E30"/>
  <c r="F34"/>
  <c r="G34" s="1"/>
  <c r="I34" s="1"/>
  <c r="E29"/>
  <c r="E27"/>
  <c r="E26"/>
  <c r="E25"/>
  <c r="E24"/>
  <c r="E23"/>
  <c r="E22"/>
  <c r="E21"/>
  <c r="E19"/>
  <c r="F18"/>
  <c r="G18" s="1"/>
  <c r="I18" s="1"/>
  <c r="E18"/>
  <c r="E17"/>
  <c r="E16"/>
  <c r="E15"/>
  <c r="F15"/>
  <c r="G15" s="1"/>
  <c r="I15" s="1"/>
  <c r="E13"/>
  <c r="F22"/>
  <c r="G22" s="1"/>
  <c r="I22" s="1"/>
  <c r="E12"/>
  <c r="G11"/>
  <c r="I11" s="1"/>
  <c r="F27"/>
  <c r="G27" s="1"/>
  <c r="I27" s="1"/>
  <c r="E11"/>
  <c r="G10"/>
  <c r="I10" s="1"/>
  <c r="E10"/>
  <c r="F19"/>
  <c r="E8"/>
  <c r="G7"/>
  <c r="I7" s="1"/>
  <c r="E7"/>
  <c r="G6"/>
  <c r="I6" s="1"/>
  <c r="F17"/>
  <c r="G17" s="1"/>
  <c r="I17" s="1"/>
  <c r="E6"/>
  <c r="G5"/>
  <c r="I5" s="1"/>
  <c r="E5"/>
  <c r="F25"/>
  <c r="G25" s="1"/>
  <c r="I25" s="1"/>
  <c r="E4"/>
  <c r="C13" i="82"/>
  <c r="K6" i="83" l="1"/>
  <c r="K7"/>
  <c r="K18"/>
  <c r="K22"/>
  <c r="K33"/>
  <c r="G4"/>
  <c r="I4" s="1"/>
  <c r="K4" s="1"/>
  <c r="K17"/>
  <c r="K25"/>
  <c r="G24"/>
  <c r="I24" s="1"/>
  <c r="K24" s="1"/>
  <c r="G19"/>
  <c r="I19" s="1"/>
  <c r="K19" s="1"/>
  <c r="K5"/>
  <c r="K10"/>
  <c r="K11"/>
  <c r="K15"/>
  <c r="K27"/>
  <c r="K34"/>
  <c r="G12"/>
  <c r="I12" s="1"/>
  <c r="K12" s="1"/>
  <c r="F32"/>
  <c r="G32" s="1"/>
  <c r="I32" s="1"/>
  <c r="K32" s="1"/>
  <c r="F36"/>
  <c r="G36" s="1"/>
  <c r="I36" s="1"/>
  <c r="K36" s="1"/>
  <c r="F38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1"/>
  <c r="G31" s="1"/>
  <c r="I31" s="1"/>
  <c r="K31" s="1"/>
  <c r="F35"/>
  <c r="G35" s="1"/>
  <c r="I35" s="1"/>
  <c r="K35" s="1"/>
  <c r="G8"/>
  <c r="I8" s="1"/>
  <c r="K8" s="1"/>
  <c r="G23"/>
  <c r="I23" s="1"/>
  <c r="K23" s="1"/>
  <c r="F24"/>
  <c r="G13"/>
  <c r="I13" s="1"/>
  <c r="K13" s="1"/>
  <c r="G29"/>
  <c r="I29" s="1"/>
  <c r="K29" s="1"/>
  <c r="F30" i="82"/>
  <c r="F29"/>
  <c r="F13"/>
  <c r="F12"/>
  <c r="F11"/>
  <c r="F10"/>
  <c r="F8"/>
  <c r="F7"/>
  <c r="F6"/>
  <c r="F5"/>
  <c r="F4"/>
  <c r="F36" l="1"/>
  <c r="G36" s="1"/>
  <c r="I36" s="1"/>
  <c r="E36"/>
  <c r="E35"/>
  <c r="E34"/>
  <c r="E33"/>
  <c r="E32"/>
  <c r="E31"/>
  <c r="G30"/>
  <c r="I30" s="1"/>
  <c r="F33"/>
  <c r="G33" s="1"/>
  <c r="I33" s="1"/>
  <c r="E30"/>
  <c r="G29"/>
  <c r="I29" s="1"/>
  <c r="F35"/>
  <c r="G35" s="1"/>
  <c r="I35" s="1"/>
  <c r="E29"/>
  <c r="E27"/>
  <c r="F26"/>
  <c r="G26" s="1"/>
  <c r="I26" s="1"/>
  <c r="E26"/>
  <c r="E25"/>
  <c r="E24"/>
  <c r="E23"/>
  <c r="E22"/>
  <c r="E21"/>
  <c r="E19"/>
  <c r="E18"/>
  <c r="F17"/>
  <c r="G17" s="1"/>
  <c r="I17" s="1"/>
  <c r="E17"/>
  <c r="E16"/>
  <c r="E15"/>
  <c r="G13"/>
  <c r="I13" s="1"/>
  <c r="E13"/>
  <c r="G12"/>
  <c r="I12" s="1"/>
  <c r="F22"/>
  <c r="G22" s="1"/>
  <c r="I22" s="1"/>
  <c r="E12"/>
  <c r="G11"/>
  <c r="I11" s="1"/>
  <c r="F27"/>
  <c r="G27" s="1"/>
  <c r="I27" s="1"/>
  <c r="E11"/>
  <c r="G10"/>
  <c r="I10" s="1"/>
  <c r="F21"/>
  <c r="G21" s="1"/>
  <c r="I21" s="1"/>
  <c r="E10"/>
  <c r="F24"/>
  <c r="E8"/>
  <c r="G7"/>
  <c r="I7" s="1"/>
  <c r="F18"/>
  <c r="G18" s="1"/>
  <c r="I18" s="1"/>
  <c r="E7"/>
  <c r="G6"/>
  <c r="I6" s="1"/>
  <c r="E6"/>
  <c r="G5"/>
  <c r="I5" s="1"/>
  <c r="E5"/>
  <c r="G4"/>
  <c r="I4" s="1"/>
  <c r="E4"/>
  <c r="C13" i="81"/>
  <c r="K13" i="82" l="1"/>
  <c r="K7"/>
  <c r="K6"/>
  <c r="K5"/>
  <c r="K22"/>
  <c r="K27"/>
  <c r="K35"/>
  <c r="F31"/>
  <c r="G31" s="1"/>
  <c r="I31" s="1"/>
  <c r="K31" s="1"/>
  <c r="K29"/>
  <c r="K30"/>
  <c r="F32"/>
  <c r="G32" s="1"/>
  <c r="I32" s="1"/>
  <c r="K32" s="1"/>
  <c r="K10"/>
  <c r="K11"/>
  <c r="K12"/>
  <c r="G23"/>
  <c r="I23" s="1"/>
  <c r="K23" s="1"/>
  <c r="F15"/>
  <c r="G15" s="1"/>
  <c r="I15" s="1"/>
  <c r="K15" s="1"/>
  <c r="F34"/>
  <c r="G34" s="1"/>
  <c r="I34" s="1"/>
  <c r="K34" s="1"/>
  <c r="K18"/>
  <c r="K33"/>
  <c r="K36"/>
  <c r="K4"/>
  <c r="K17"/>
  <c r="K21"/>
  <c r="K26"/>
  <c r="F38"/>
  <c r="F19"/>
  <c r="F16"/>
  <c r="G16" s="1"/>
  <c r="I16" s="1"/>
  <c r="K16" s="1"/>
  <c r="F25"/>
  <c r="G25" s="1"/>
  <c r="I25" s="1"/>
  <c r="K25" s="1"/>
  <c r="G8"/>
  <c r="I8" s="1"/>
  <c r="K8" s="1"/>
  <c r="E36" i="8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G19" i="82" l="1"/>
  <c r="I19" s="1"/>
  <c r="K19" s="1"/>
  <c r="G24"/>
  <c r="I24" s="1"/>
  <c r="K24" s="1"/>
  <c r="F30" i="81"/>
  <c r="F29"/>
  <c r="G29" s="1"/>
  <c r="I29" s="1"/>
  <c r="K29" s="1"/>
  <c r="F4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F25" l="1"/>
  <c r="G25" s="1"/>
  <c r="I25" s="1"/>
  <c r="K25" s="1"/>
  <c r="F38"/>
  <c r="G12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K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  <c r="F5" i="86" l="1"/>
  <c r="F26" l="1"/>
  <c r="G26" s="1"/>
  <c r="I26" s="1"/>
  <c r="K26" s="1"/>
  <c r="G5"/>
  <c r="I5" s="1"/>
  <c r="K5" s="1"/>
  <c r="F16"/>
  <c r="G16" s="1"/>
  <c r="I16" s="1"/>
  <c r="K16" s="1"/>
  <c r="F4" i="87" l="1"/>
  <c r="F10"/>
  <c r="F13"/>
  <c r="F25" l="1"/>
  <c r="G25" s="1"/>
  <c r="I25" s="1"/>
  <c r="K25" s="1"/>
  <c r="G4"/>
  <c r="I4" s="1"/>
  <c r="K4" s="1"/>
  <c r="F16"/>
  <c r="G16" s="1"/>
  <c r="I16" s="1"/>
  <c r="K16" s="1"/>
  <c r="G10"/>
  <c r="I10" s="1"/>
  <c r="K10" s="1"/>
  <c r="F21"/>
  <c r="G21" s="1"/>
  <c r="I21" s="1"/>
  <c r="K21" s="1"/>
  <c r="F15"/>
  <c r="G15" s="1"/>
  <c r="I15" s="1"/>
  <c r="K15" s="1"/>
  <c r="G13"/>
  <c r="I13" s="1"/>
  <c r="K13" s="1"/>
  <c r="G23"/>
  <c r="I23" s="1"/>
  <c r="K23" s="1"/>
  <c r="F11" i="88" l="1"/>
  <c r="F29"/>
  <c r="F4"/>
  <c r="F10"/>
  <c r="F6"/>
  <c r="F7"/>
  <c r="F5"/>
  <c r="F13"/>
  <c r="G11" l="1"/>
  <c r="I11" s="1"/>
  <c r="K11" s="1"/>
  <c r="F27"/>
  <c r="G27" s="1"/>
  <c r="I27" s="1"/>
  <c r="K27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G29"/>
  <c r="I29" s="1"/>
  <c r="K29" s="1"/>
  <c r="G4"/>
  <c r="I4" s="1"/>
  <c r="K4" s="1"/>
  <c r="F25"/>
  <c r="G25" s="1"/>
  <c r="I25" s="1"/>
  <c r="K25" s="1"/>
  <c r="G10"/>
  <c r="I10" s="1"/>
  <c r="K10" s="1"/>
  <c r="F21"/>
  <c r="G21" s="1"/>
  <c r="I21" s="1"/>
  <c r="K21" s="1"/>
  <c r="G6"/>
  <c r="I6" s="1"/>
  <c r="K6" s="1"/>
  <c r="F17"/>
  <c r="G17" s="1"/>
  <c r="I17" s="1"/>
  <c r="K17" s="1"/>
  <c r="F18"/>
  <c r="G18" s="1"/>
  <c r="I18" s="1"/>
  <c r="K18" s="1"/>
  <c r="G7"/>
  <c r="I7" s="1"/>
  <c r="K7" s="1"/>
  <c r="G5"/>
  <c r="I5" s="1"/>
  <c r="K5" s="1"/>
  <c r="F16"/>
  <c r="G16" s="1"/>
  <c r="I16" s="1"/>
  <c r="K16" s="1"/>
  <c r="F26"/>
  <c r="G26" s="1"/>
  <c r="I26" s="1"/>
  <c r="K26" s="1"/>
  <c r="F15"/>
  <c r="G15" s="1"/>
  <c r="I15" s="1"/>
  <c r="K15" s="1"/>
  <c r="G13"/>
  <c r="I13" s="1"/>
  <c r="K13" s="1"/>
  <c r="G23"/>
  <c r="I23" s="1"/>
  <c r="K23" s="1"/>
</calcChain>
</file>

<file path=xl/sharedStrings.xml><?xml version="1.0" encoding="utf-8"?>
<sst xmlns="http://schemas.openxmlformats.org/spreadsheetml/2006/main" count="374" uniqueCount="53">
  <si>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</si>
  <si>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</si>
  <si>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</si>
  <si>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</si>
  <si>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</si>
  <si>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</si>
  <si>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</si>
  <si>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</si>
  <si>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</si>
  <si>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</si>
  <si>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</si>
  <si>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</si>
  <si>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</si>
  <si>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</si>
  <si>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</si>
  <si>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</si>
  <si>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</si>
  <si>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</si>
  <si>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</si>
  <si>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</si>
  <si>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</si>
  <si>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</si>
  <si>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</si>
  <si>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</si>
  <si>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</si>
  <si>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</si>
  <si>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</si>
  <si>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</si>
  <si>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</si>
  <si>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</si>
  <si>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</si>
  <si>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</si>
  <si>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</si>
  <si>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</si>
  <si>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</si>
  <si>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</si>
  <si>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</si>
  <si>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</si>
  <si>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</si>
  <si>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</si>
  <si>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</si>
  <si>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</si>
  <si>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</si>
  <si>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</si>
  <si>
    <t>PACKING MATERIALS STATEMENT AS ON THE MONTH OF JULY 2021</t>
  </si>
  <si>
    <t xml:space="preserve">PACKING MATERIALS STATEMENT AS ON THE MONTH OF AUGUST 2021   </t>
  </si>
  <si>
    <t xml:space="preserve">PACKING MATERIALS STATEMENT AS ON THE MONTH OF SEPTEMBER 2021   </t>
  </si>
  <si>
    <t xml:space="preserve">PACKING MATERIALS STATEMENT AS ON THE MONTH OF OCTOBER 2021   </t>
  </si>
  <si>
    <t>PR</t>
  </si>
  <si>
    <t xml:space="preserve">PACKING MATERIALS STATEMENT AS ON THE MONTH OF NOVEMBER 2021   </t>
  </si>
  <si>
    <t>PMT RECEPIT-2021-22.xlsx</t>
  </si>
  <si>
    <t>DAILY PRODUCTION REGISTER-2021-22.xlsx</t>
  </si>
  <si>
    <t xml:space="preserve">PACKING MATERIALS STATEMENT AS ON THE MONTH OF DECEMBER 2021   </t>
  </si>
</sst>
</file>

<file path=xl/styles.xml><?xml version="1.0" encoding="utf-8"?>
<styleSheet xmlns="http://schemas.openxmlformats.org/spreadsheetml/2006/main">
  <numFmts count="1">
    <numFmt numFmtId="164" formatCode="0.0"/>
  </numFmts>
  <fonts count="15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</cellStyleXfs>
  <cellXfs count="74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0" fontId="13" fillId="0" borderId="0" xfId="0" applyFont="1"/>
    <xf numFmtId="0" fontId="13" fillId="3" borderId="1" xfId="0" applyFont="1" applyFill="1" applyBorder="1"/>
    <xf numFmtId="0" fontId="13" fillId="0" borderId="1" xfId="0" applyFont="1" applyBorder="1"/>
    <xf numFmtId="1" fontId="13" fillId="0" borderId="1" xfId="0" applyNumberFormat="1" applyFont="1" applyBorder="1"/>
    <xf numFmtId="0" fontId="13" fillId="0" borderId="4" xfId="0" applyFont="1" applyBorder="1"/>
    <xf numFmtId="0" fontId="14" fillId="0" borderId="0" xfId="1" applyAlignment="1" applyProtection="1"/>
    <xf numFmtId="49" fontId="8" fillId="0" borderId="0" xfId="0" applyNumberFormat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  <sheetName val="November 2021"/>
      <sheetName val="Decem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1344</v>
          </cell>
          <cell r="C30">
            <v>5832</v>
          </cell>
          <cell r="D30">
            <v>44820</v>
          </cell>
          <cell r="E30">
            <v>1080</v>
          </cell>
          <cell r="F30">
            <v>836</v>
          </cell>
          <cell r="G30">
            <v>198</v>
          </cell>
          <cell r="H30">
            <v>10896</v>
          </cell>
          <cell r="I30">
            <v>6912</v>
          </cell>
          <cell r="J30">
            <v>52560</v>
          </cell>
          <cell r="K30">
            <v>10188</v>
          </cell>
          <cell r="L30">
            <v>132</v>
          </cell>
        </row>
      </sheetData>
      <sheetData sheetId="7">
        <row r="30">
          <cell r="B30">
            <v>264</v>
          </cell>
          <cell r="C30">
            <v>6552</v>
          </cell>
          <cell r="D30">
            <v>45390</v>
          </cell>
          <cell r="E30">
            <v>0</v>
          </cell>
          <cell r="F30">
            <v>1430</v>
          </cell>
          <cell r="G30">
            <v>308</v>
          </cell>
          <cell r="H30">
            <v>12072</v>
          </cell>
          <cell r="I30">
            <v>4776</v>
          </cell>
          <cell r="J30">
            <v>53376</v>
          </cell>
          <cell r="K30">
            <v>7368</v>
          </cell>
          <cell r="L30">
            <v>0</v>
          </cell>
        </row>
      </sheetData>
      <sheetData sheetId="8">
        <row r="30">
          <cell r="B30">
            <v>960</v>
          </cell>
          <cell r="C30">
            <v>1440</v>
          </cell>
          <cell r="D30">
            <v>5970</v>
          </cell>
          <cell r="E30">
            <v>0</v>
          </cell>
          <cell r="F30">
            <v>638</v>
          </cell>
          <cell r="G30">
            <v>110</v>
          </cell>
          <cell r="H30">
            <v>2760</v>
          </cell>
          <cell r="I30">
            <v>1008</v>
          </cell>
          <cell r="J30">
            <v>11592</v>
          </cell>
          <cell r="K30">
            <v>2016</v>
          </cell>
          <cell r="L3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DAILY%20PRODUCTION%20REGISTER-2021-22.xlsx" TargetMode="External"/><Relationship Id="rId1" Type="http://schemas.openxmlformats.org/officeDocument/2006/relationships/hyperlink" Target="PMT%20RECEPIT-2021-22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DAILY%20PRODUCTION%20REGISTER-2021-22.xlsx" TargetMode="External"/><Relationship Id="rId1" Type="http://schemas.openxmlformats.org/officeDocument/2006/relationships/hyperlink" Target="PMT%20RECEPIT-2021-22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M39"/>
  <sheetViews>
    <sheetView zoomScaleNormal="100" workbookViewId="0">
      <selection activeCell="C11" sqref="C11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73" t="s">
        <v>40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N39"/>
  <sheetViews>
    <sheetView zoomScaleNormal="100" workbookViewId="0">
      <selection activeCell="C13" sqref="C13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42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N39"/>
  <sheetViews>
    <sheetView topLeftCell="A3" zoomScaleNormal="100" workbookViewId="0">
      <selection activeCell="C21" sqref="C2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43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/>
      <c r="D4" s="3"/>
      <c r="E4" s="28">
        <f t="shared" ref="E4:E7" si="0">B4+C4+D4</f>
        <v>3127.5</v>
      </c>
      <c r="F4" s="29">
        <f>'[1]June 2021'!$J$30</f>
        <v>41568</v>
      </c>
      <c r="G4" s="29">
        <f>F4*0.024</f>
        <v>997.63200000000006</v>
      </c>
      <c r="H4" s="28"/>
      <c r="I4" s="28">
        <f>G4+H4</f>
        <v>997.63200000000006</v>
      </c>
      <c r="J4" s="28"/>
      <c r="K4" s="29">
        <f>E4-I4-J4</f>
        <v>2129.8679999999999</v>
      </c>
      <c r="N4" s="41"/>
    </row>
    <row r="5" spans="1:14">
      <c r="A5" s="7" t="s">
        <v>10</v>
      </c>
      <c r="B5" s="26">
        <v>368.73</v>
      </c>
      <c r="C5" s="27">
        <v>1027.71</v>
      </c>
      <c r="D5" s="3"/>
      <c r="E5" s="28">
        <f t="shared" si="0"/>
        <v>1396.44</v>
      </c>
      <c r="F5" s="29">
        <f>'[1]June 2021'!$C$30</f>
        <v>4464</v>
      </c>
      <c r="G5" s="29">
        <f>F5*0.024</f>
        <v>107.136</v>
      </c>
      <c r="H5" s="28"/>
      <c r="I5" s="28">
        <f t="shared" ref="I5:I6" si="1">G5+H5</f>
        <v>107.136</v>
      </c>
      <c r="J5" s="28"/>
      <c r="K5" s="28">
        <f>E5-I5-J5</f>
        <v>1289.3040000000001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1113.6500000000001</v>
      </c>
      <c r="D7" s="3"/>
      <c r="E7" s="28">
        <f t="shared" si="0"/>
        <v>1198.0500000000002</v>
      </c>
      <c r="F7" s="29">
        <f>'[1]June 2021'!$F$30</f>
        <v>1452</v>
      </c>
      <c r="G7" s="29">
        <f>F7*0.075</f>
        <v>108.89999999999999</v>
      </c>
      <c r="H7" s="28"/>
      <c r="I7" s="28">
        <f>G7+H7</f>
        <v>108.89999999999999</v>
      </c>
      <c r="J7" s="28"/>
      <c r="K7" s="28">
        <f>E7-I7-J7</f>
        <v>1089.1500000000001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v>64925</v>
      </c>
      <c r="D10" s="3"/>
      <c r="E10" s="34">
        <f>B10+C10+D10</f>
        <v>93464</v>
      </c>
      <c r="F10" s="35">
        <f>'[1]June 2021'!$H$30</f>
        <v>10656</v>
      </c>
      <c r="G10" s="35">
        <f>F10*1</f>
        <v>10656</v>
      </c>
      <c r="H10" s="2"/>
      <c r="I10" s="28">
        <f t="shared" ref="I10:I13" si="4">G10+H10</f>
        <v>10656</v>
      </c>
      <c r="J10" s="28"/>
      <c r="K10" s="63">
        <f>E10-I10-J10</f>
        <v>82808</v>
      </c>
      <c r="N10" s="41"/>
    </row>
    <row r="11" spans="1:14">
      <c r="A11" s="7" t="s">
        <v>26</v>
      </c>
      <c r="B11" s="33">
        <v>74085</v>
      </c>
      <c r="C11" s="2"/>
      <c r="D11" s="3"/>
      <c r="E11" s="34">
        <f>B11+C11+D11</f>
        <v>74085</v>
      </c>
      <c r="F11" s="35">
        <f>'[1]June 2021'!$I$30</f>
        <v>4944</v>
      </c>
      <c r="G11" s="35">
        <f>F11*2</f>
        <v>9888</v>
      </c>
      <c r="H11" s="34"/>
      <c r="I11" s="28">
        <f t="shared" si="4"/>
        <v>9888</v>
      </c>
      <c r="J11" s="28"/>
      <c r="K11" s="63">
        <f>E11-I11-J11</f>
        <v>64197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576</v>
      </c>
      <c r="G12" s="35">
        <f>F12*1</f>
        <v>576</v>
      </c>
      <c r="H12" s="34"/>
      <c r="I12" s="28">
        <f t="shared" si="4"/>
        <v>576</v>
      </c>
      <c r="J12" s="28"/>
      <c r="K12" s="63">
        <f>E12-I12-J12</f>
        <v>7008</v>
      </c>
      <c r="N12" s="41"/>
    </row>
    <row r="13" spans="1:14">
      <c r="A13" s="7" t="s">
        <v>13</v>
      </c>
      <c r="B13" s="33">
        <v>3518</v>
      </c>
      <c r="C13" s="2">
        <f>2900+2350+3000</f>
        <v>8250</v>
      </c>
      <c r="D13" s="3"/>
      <c r="E13" s="34">
        <f>B13+C13+D13</f>
        <v>11768</v>
      </c>
      <c r="F13" s="35">
        <f>'[1]June 2021'!$D$30</f>
        <v>31050</v>
      </c>
      <c r="G13" s="35">
        <f>F13/5</f>
        <v>6210</v>
      </c>
      <c r="H13" s="34"/>
      <c r="I13" s="28">
        <f t="shared" si="4"/>
        <v>6210</v>
      </c>
      <c r="J13" s="28"/>
      <c r="K13" s="63">
        <f>E13-I13-J13</f>
        <v>5558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31050</v>
      </c>
      <c r="G15" s="35">
        <f>F15/5</f>
        <v>6210</v>
      </c>
      <c r="H15" s="34"/>
      <c r="I15" s="28">
        <f t="shared" ref="I15:I19" si="6">G15+H15</f>
        <v>6210</v>
      </c>
      <c r="J15" s="28"/>
      <c r="K15" s="63">
        <f>E15-I15-J15</f>
        <v>91140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46032</v>
      </c>
      <c r="G16" s="35">
        <f>F16/2</f>
        <v>23016</v>
      </c>
      <c r="H16" s="34"/>
      <c r="I16" s="28">
        <f t="shared" si="6"/>
        <v>23016</v>
      </c>
      <c r="J16" s="28"/>
      <c r="K16" s="63">
        <f>E16-I16-J16</f>
        <v>86520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1452</v>
      </c>
      <c r="G18" s="35">
        <f>(F18/22)*25</f>
        <v>1650</v>
      </c>
      <c r="H18" s="34"/>
      <c r="I18" s="28">
        <f t="shared" si="6"/>
        <v>1650</v>
      </c>
      <c r="J18" s="28"/>
      <c r="K18" s="63">
        <f>E18-I18-J18</f>
        <v>183989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>
        <v>1614</v>
      </c>
      <c r="D21" s="3"/>
      <c r="E21" s="34">
        <f t="shared" ref="E21:E27" si="7">B21+C21+D21</f>
        <v>1814</v>
      </c>
      <c r="F21" s="35">
        <f>F10</f>
        <v>10656</v>
      </c>
      <c r="G21" s="35">
        <f>F21/24</f>
        <v>444</v>
      </c>
      <c r="H21" s="34"/>
      <c r="I21" s="28">
        <f t="shared" ref="I21:I26" si="8">G21+H21</f>
        <v>444</v>
      </c>
      <c r="J21" s="28"/>
      <c r="K21" s="63">
        <f t="shared" ref="K21:K27" si="9">E21-I21-J21</f>
        <v>1370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576</v>
      </c>
      <c r="G22" s="35">
        <f>F22/24</f>
        <v>24</v>
      </c>
      <c r="H22" s="34"/>
      <c r="I22" s="28">
        <f t="shared" si="8"/>
        <v>24</v>
      </c>
      <c r="J22" s="28"/>
      <c r="K22" s="63">
        <f t="shared" si="9"/>
        <v>1400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1101</v>
      </c>
      <c r="H23" s="34"/>
      <c r="I23" s="28">
        <f t="shared" si="8"/>
        <v>1101</v>
      </c>
      <c r="J23" s="28"/>
      <c r="K23" s="33">
        <f t="shared" si="9"/>
        <v>4328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>
        <v>5245</v>
      </c>
      <c r="D25" s="3"/>
      <c r="E25" s="34">
        <f t="shared" si="7"/>
        <v>7792</v>
      </c>
      <c r="F25" s="35">
        <f>F4</f>
        <v>41568</v>
      </c>
      <c r="G25" s="35">
        <f>F25/24</f>
        <v>1732</v>
      </c>
      <c r="H25" s="34"/>
      <c r="I25" s="28">
        <f t="shared" si="8"/>
        <v>1732</v>
      </c>
      <c r="J25" s="28"/>
      <c r="K25" s="63">
        <f t="shared" si="9"/>
        <v>6060</v>
      </c>
      <c r="M25" s="62"/>
      <c r="N25" s="41"/>
    </row>
    <row r="26" spans="1:14">
      <c r="A26" s="7" t="s">
        <v>17</v>
      </c>
      <c r="B26" s="40">
        <v>367</v>
      </c>
      <c r="C26" s="2">
        <v>504</v>
      </c>
      <c r="D26" s="3"/>
      <c r="E26" s="34">
        <f t="shared" si="7"/>
        <v>871</v>
      </c>
      <c r="F26" s="35">
        <f>F5</f>
        <v>4464</v>
      </c>
      <c r="G26" s="35">
        <f>F26/24</f>
        <v>186</v>
      </c>
      <c r="H26" s="34"/>
      <c r="I26" s="28">
        <f t="shared" si="8"/>
        <v>186</v>
      </c>
      <c r="J26" s="28"/>
      <c r="K26" s="63">
        <f t="shared" si="9"/>
        <v>685</v>
      </c>
      <c r="N26" s="41"/>
    </row>
    <row r="27" spans="1:14">
      <c r="A27" s="7" t="s">
        <v>27</v>
      </c>
      <c r="B27" s="40">
        <v>154</v>
      </c>
      <c r="C27" s="2">
        <v>1029</v>
      </c>
      <c r="D27" s="3"/>
      <c r="E27" s="34">
        <f t="shared" si="7"/>
        <v>1183</v>
      </c>
      <c r="F27" s="35">
        <f>F11</f>
        <v>4944</v>
      </c>
      <c r="G27" s="35">
        <f>F27/24</f>
        <v>206</v>
      </c>
      <c r="H27" s="34"/>
      <c r="I27" s="28">
        <f>G27+H27</f>
        <v>206</v>
      </c>
      <c r="J27" s="28"/>
      <c r="K27" s="63">
        <f t="shared" si="9"/>
        <v>977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>
        <v>30942</v>
      </c>
      <c r="D29" s="3"/>
      <c r="E29" s="34">
        <f t="shared" ref="E29:E36" si="10">B29+C29+D29</f>
        <v>52260</v>
      </c>
      <c r="F29" s="44">
        <f>'[1]June 2021'!$K$30</f>
        <v>10944</v>
      </c>
      <c r="G29" s="44">
        <f>F29*2</f>
        <v>21888</v>
      </c>
      <c r="H29" s="45"/>
      <c r="I29" s="28">
        <f t="shared" ref="I29:I36" si="11">G29+H29</f>
        <v>21888</v>
      </c>
      <c r="J29" s="28"/>
      <c r="K29" s="64">
        <f t="shared" ref="K29:K35" si="12">E29-I29-J29</f>
        <v>30372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>
        <v>1400</v>
      </c>
      <c r="D31" s="3"/>
      <c r="E31" s="46">
        <f t="shared" si="10"/>
        <v>2150</v>
      </c>
      <c r="F31" s="49">
        <f>F29</f>
        <v>10944</v>
      </c>
      <c r="G31" s="44">
        <f>F31/12</f>
        <v>912</v>
      </c>
      <c r="H31" s="45"/>
      <c r="I31" s="28">
        <f t="shared" si="11"/>
        <v>912</v>
      </c>
      <c r="J31" s="28"/>
      <c r="K31" s="27">
        <f t="shared" si="12"/>
        <v>1238</v>
      </c>
      <c r="N31" s="41"/>
    </row>
    <row r="32" spans="1:14">
      <c r="A32" s="7" t="s">
        <v>25</v>
      </c>
      <c r="B32" s="40">
        <v>115</v>
      </c>
      <c r="C32" s="4">
        <v>1000</v>
      </c>
      <c r="D32" s="3"/>
      <c r="E32" s="46">
        <f t="shared" si="10"/>
        <v>1115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1064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10944</v>
      </c>
      <c r="G34" s="50">
        <f>F34*2</f>
        <v>21888</v>
      </c>
      <c r="H34" s="51"/>
      <c r="I34" s="28">
        <f t="shared" si="11"/>
        <v>21888</v>
      </c>
      <c r="J34" s="28"/>
      <c r="K34" s="27">
        <f t="shared" si="12"/>
        <v>41116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10944</v>
      </c>
      <c r="G35" s="50">
        <f>F35*2</f>
        <v>21888</v>
      </c>
      <c r="H35" s="51"/>
      <c r="I35" s="28">
        <f t="shared" si="11"/>
        <v>21888</v>
      </c>
      <c r="J35" s="28"/>
      <c r="K35" s="27">
        <f t="shared" si="12"/>
        <v>3894</v>
      </c>
      <c r="N35" s="41"/>
    </row>
    <row r="36" spans="1:14" ht="15.75" thickBot="1">
      <c r="A36" s="52" t="s">
        <v>32</v>
      </c>
      <c r="B36" s="53">
        <v>-2680</v>
      </c>
      <c r="C36" s="54">
        <v>25000</v>
      </c>
      <c r="D36" s="55"/>
      <c r="E36" s="56">
        <f t="shared" si="10"/>
        <v>22320</v>
      </c>
      <c r="F36" s="57">
        <f>F29</f>
        <v>10944</v>
      </c>
      <c r="G36" s="58">
        <f>F36*2</f>
        <v>21888</v>
      </c>
      <c r="H36" s="59"/>
      <c r="I36" s="60">
        <f t="shared" si="11"/>
        <v>21888</v>
      </c>
      <c r="J36" s="60"/>
      <c r="K36" s="66">
        <f>E36-I36-J36</f>
        <v>432</v>
      </c>
      <c r="N36" s="41"/>
    </row>
    <row r="37" spans="1:14">
      <c r="B37" s="41"/>
    </row>
    <row r="38" spans="1:14">
      <c r="F38" s="61">
        <f>F4+F5+F6+F7+F8+F10+F11+F12+F13+F29+F30</f>
        <v>106818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N39"/>
  <sheetViews>
    <sheetView topLeftCell="A16" zoomScaleNormal="100" workbookViewId="0">
      <selection activeCell="C37" sqref="C3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44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2129.9</v>
      </c>
      <c r="C4" s="27"/>
      <c r="D4" s="3"/>
      <c r="E4" s="28">
        <f t="shared" ref="E4:E7" si="0">B4+C4+D4</f>
        <v>2129.9</v>
      </c>
      <c r="F4" s="29">
        <f>'[1]July 2020'!$J$30</f>
        <v>52176</v>
      </c>
      <c r="G4" s="29">
        <f>F4*0.024</f>
        <v>1252.2239999999999</v>
      </c>
      <c r="H4" s="28"/>
      <c r="I4" s="28">
        <f>G4+H4</f>
        <v>1252.2239999999999</v>
      </c>
      <c r="J4" s="28"/>
      <c r="K4" s="29">
        <f>E4-I4-J4</f>
        <v>877.67600000000016</v>
      </c>
      <c r="N4" s="41"/>
    </row>
    <row r="5" spans="1:14">
      <c r="A5" s="7" t="s">
        <v>10</v>
      </c>
      <c r="B5" s="26">
        <v>1289.3</v>
      </c>
      <c r="C5" s="27"/>
      <c r="D5" s="3"/>
      <c r="E5" s="28">
        <f t="shared" si="0"/>
        <v>1289.3</v>
      </c>
      <c r="F5" s="29">
        <f>'[1]July 2020'!$C$30</f>
        <v>3936</v>
      </c>
      <c r="G5" s="29">
        <f>F5*0.024</f>
        <v>94.463999999999999</v>
      </c>
      <c r="H5" s="28"/>
      <c r="I5" s="28">
        <f t="shared" ref="I5:I6" si="1">G5+H5</f>
        <v>94.463999999999999</v>
      </c>
      <c r="J5" s="28"/>
      <c r="K5" s="28">
        <f>E5-I5-J5</f>
        <v>1194.836</v>
      </c>
      <c r="N5" s="41"/>
    </row>
    <row r="6" spans="1:14">
      <c r="A6" s="7" t="s">
        <v>37</v>
      </c>
      <c r="B6" s="26">
        <v>1018.5</v>
      </c>
      <c r="C6" s="27"/>
      <c r="D6" s="3"/>
      <c r="E6" s="28">
        <f t="shared" si="0"/>
        <v>1018.5</v>
      </c>
      <c r="F6" s="29">
        <f>'[1]July 2020'!$G$30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985.23599999999999</v>
      </c>
      <c r="N6" s="41"/>
    </row>
    <row r="7" spans="1:14">
      <c r="A7" s="7" t="s">
        <v>38</v>
      </c>
      <c r="B7" s="26">
        <v>1089.1500000000001</v>
      </c>
      <c r="C7" s="27"/>
      <c r="D7" s="3"/>
      <c r="E7" s="28">
        <f t="shared" si="0"/>
        <v>1089.1500000000001</v>
      </c>
      <c r="F7" s="29">
        <f>'[1]July 2020'!$F$30</f>
        <v>2156</v>
      </c>
      <c r="G7" s="29">
        <f>F7*0.075</f>
        <v>161.69999999999999</v>
      </c>
      <c r="H7" s="28"/>
      <c r="I7" s="28">
        <f>G7+H7</f>
        <v>161.69999999999999</v>
      </c>
      <c r="J7" s="28"/>
      <c r="K7" s="28">
        <f>E7-I7-J7</f>
        <v>927.45</v>
      </c>
      <c r="N7" s="41"/>
    </row>
    <row r="8" spans="1:14">
      <c r="A8" s="7" t="s">
        <v>35</v>
      </c>
      <c r="B8" s="26">
        <v>656.44</v>
      </c>
      <c r="C8" s="27"/>
      <c r="D8" s="3"/>
      <c r="E8" s="28">
        <f>B8+C8+D8</f>
        <v>656.44</v>
      </c>
      <c r="F8" s="29">
        <f>'[1]July 2020'!$E$30</f>
        <v>744</v>
      </c>
      <c r="G8" s="29">
        <f>F8*0.035</f>
        <v>26.040000000000003</v>
      </c>
      <c r="H8" s="28"/>
      <c r="I8" s="28">
        <f t="shared" ref="I8" si="2">G8+H8</f>
        <v>26.040000000000003</v>
      </c>
      <c r="J8" s="28"/>
      <c r="K8" s="28">
        <f t="shared" ref="K8" si="3">E8-I8-J8</f>
        <v>630.40000000000009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82808</v>
      </c>
      <c r="C10" s="2"/>
      <c r="D10" s="3"/>
      <c r="E10" s="34">
        <f>B10+C10+D10</f>
        <v>82808</v>
      </c>
      <c r="F10" s="35">
        <f>'[1]July 2020'!$H$30</f>
        <v>9480</v>
      </c>
      <c r="G10" s="35">
        <f>F10*1</f>
        <v>9480</v>
      </c>
      <c r="H10" s="2"/>
      <c r="I10" s="28">
        <f t="shared" ref="I10:I13" si="4">G10+H10</f>
        <v>9480</v>
      </c>
      <c r="J10" s="28"/>
      <c r="K10" s="63">
        <f>E10-I10-J10</f>
        <v>73328</v>
      </c>
      <c r="N10" s="41"/>
    </row>
    <row r="11" spans="1:14">
      <c r="A11" s="7" t="s">
        <v>26</v>
      </c>
      <c r="B11" s="33">
        <v>64197</v>
      </c>
      <c r="C11" s="2"/>
      <c r="D11" s="3"/>
      <c r="E11" s="34">
        <f>B11+C11+D11</f>
        <v>64197</v>
      </c>
      <c r="F11" s="35">
        <f>'[1]July 2020'!$I$30</f>
        <v>6696</v>
      </c>
      <c r="G11" s="35">
        <f>F11*2</f>
        <v>13392</v>
      </c>
      <c r="H11" s="34"/>
      <c r="I11" s="28">
        <f t="shared" si="4"/>
        <v>13392</v>
      </c>
      <c r="J11" s="28"/>
      <c r="K11" s="63">
        <f>E11-I11-J11</f>
        <v>50805</v>
      </c>
      <c r="N11" s="41"/>
    </row>
    <row r="12" spans="1:14">
      <c r="A12" s="7" t="s">
        <v>12</v>
      </c>
      <c r="B12" s="33">
        <v>7008</v>
      </c>
      <c r="C12" s="2"/>
      <c r="D12" s="3"/>
      <c r="E12" s="34">
        <f>B12+C12+D12</f>
        <v>7008</v>
      </c>
      <c r="F12" s="35">
        <f>'[1]July 2020'!$B$30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6000</v>
      </c>
      <c r="N12" s="41"/>
    </row>
    <row r="13" spans="1:14">
      <c r="A13" s="7" t="s">
        <v>13</v>
      </c>
      <c r="B13" s="33">
        <v>5558</v>
      </c>
      <c r="C13" s="2">
        <f>4200+2600+1900</f>
        <v>8700</v>
      </c>
      <c r="D13" s="3"/>
      <c r="E13" s="34">
        <f>B13+C13+D13</f>
        <v>14258</v>
      </c>
      <c r="F13" s="35">
        <f>'[1]July 2020'!$D$30</f>
        <v>41880</v>
      </c>
      <c r="G13" s="35">
        <f>F13/5</f>
        <v>8376</v>
      </c>
      <c r="H13" s="34"/>
      <c r="I13" s="28">
        <f t="shared" si="4"/>
        <v>8376</v>
      </c>
      <c r="J13" s="28"/>
      <c r="K13" s="63">
        <f>E13-I13-J13</f>
        <v>5882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91140</v>
      </c>
      <c r="C15" s="2"/>
      <c r="D15" s="3"/>
      <c r="E15" s="34">
        <f t="shared" ref="E15:E19" si="5">B15+C15+D15</f>
        <v>91140</v>
      </c>
      <c r="F15" s="35">
        <f>F13</f>
        <v>41880</v>
      </c>
      <c r="G15" s="35">
        <f>F15/5</f>
        <v>8376</v>
      </c>
      <c r="H15" s="34"/>
      <c r="I15" s="28">
        <f t="shared" ref="I15:I19" si="6">G15+H15</f>
        <v>8376</v>
      </c>
      <c r="J15" s="28"/>
      <c r="K15" s="63">
        <f>E15-I15-J15</f>
        <v>82764</v>
      </c>
      <c r="N15" s="41"/>
    </row>
    <row r="16" spans="1:14">
      <c r="A16" s="7" t="s">
        <v>15</v>
      </c>
      <c r="B16" s="33">
        <v>86520</v>
      </c>
      <c r="C16" s="2"/>
      <c r="D16" s="3"/>
      <c r="E16" s="34">
        <f t="shared" si="5"/>
        <v>86520</v>
      </c>
      <c r="F16" s="35">
        <f>F4+F5</f>
        <v>56112</v>
      </c>
      <c r="G16" s="35">
        <f>F16/2</f>
        <v>28056</v>
      </c>
      <c r="H16" s="34"/>
      <c r="I16" s="28">
        <f t="shared" si="6"/>
        <v>28056</v>
      </c>
      <c r="J16" s="28"/>
      <c r="K16" s="63">
        <f>E16-I16-J16</f>
        <v>58464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54600</v>
      </c>
      <c r="N17" s="41"/>
    </row>
    <row r="18" spans="1:14">
      <c r="A18" s="7" t="s">
        <v>29</v>
      </c>
      <c r="B18" s="33">
        <v>183989</v>
      </c>
      <c r="C18" s="2"/>
      <c r="D18" s="3"/>
      <c r="E18" s="34">
        <f t="shared" si="5"/>
        <v>183989</v>
      </c>
      <c r="F18" s="39">
        <f>F7</f>
        <v>2156</v>
      </c>
      <c r="G18" s="35">
        <f>(F18/22)*25</f>
        <v>2450</v>
      </c>
      <c r="H18" s="34"/>
      <c r="I18" s="28">
        <f t="shared" si="6"/>
        <v>2450</v>
      </c>
      <c r="J18" s="28"/>
      <c r="K18" s="63">
        <f>E18-I18-J18</f>
        <v>181539</v>
      </c>
      <c r="N18" s="41"/>
    </row>
    <row r="19" spans="1:14">
      <c r="A19" s="7" t="s">
        <v>41</v>
      </c>
      <c r="B19" s="33">
        <v>1158</v>
      </c>
      <c r="C19" s="2"/>
      <c r="D19" s="3"/>
      <c r="E19" s="34">
        <f t="shared" si="5"/>
        <v>1158</v>
      </c>
      <c r="F19" s="39">
        <f>F8</f>
        <v>744</v>
      </c>
      <c r="G19" s="35">
        <f>F19/2</f>
        <v>372</v>
      </c>
      <c r="H19" s="34"/>
      <c r="I19" s="28">
        <f t="shared" si="6"/>
        <v>372</v>
      </c>
      <c r="J19" s="28"/>
      <c r="K19" s="63">
        <f>E19-I19-J19</f>
        <v>786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1370</v>
      </c>
      <c r="C21" s="2"/>
      <c r="D21" s="3"/>
      <c r="E21" s="34">
        <f t="shared" ref="E21:E27" si="7">B21+C21+D21</f>
        <v>1370</v>
      </c>
      <c r="F21" s="35">
        <f>F10</f>
        <v>9480</v>
      </c>
      <c r="G21" s="35">
        <f>F21/24</f>
        <v>395</v>
      </c>
      <c r="H21" s="34"/>
      <c r="I21" s="28">
        <f t="shared" ref="I21:I26" si="8">G21+H21</f>
        <v>395</v>
      </c>
      <c r="J21" s="28"/>
      <c r="K21" s="63">
        <f t="shared" ref="K21:K27" si="9">E21-I21-J21</f>
        <v>975</v>
      </c>
      <c r="N21" s="41"/>
    </row>
    <row r="22" spans="1:14">
      <c r="A22" s="7" t="s">
        <v>18</v>
      </c>
      <c r="B22" s="40">
        <v>1400</v>
      </c>
      <c r="C22" s="2"/>
      <c r="D22" s="3"/>
      <c r="E22" s="34">
        <f t="shared" si="7"/>
        <v>1400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1358</v>
      </c>
      <c r="N22" s="41"/>
    </row>
    <row r="23" spans="1:14">
      <c r="A23" s="42" t="s">
        <v>36</v>
      </c>
      <c r="B23" s="33">
        <v>4328</v>
      </c>
      <c r="C23" s="2"/>
      <c r="D23" s="3"/>
      <c r="E23" s="34">
        <f t="shared" si="7"/>
        <v>4328</v>
      </c>
      <c r="F23" s="39"/>
      <c r="G23" s="35">
        <f>(F13/30)+(F7/22)+(F6/22)</f>
        <v>1508</v>
      </c>
      <c r="H23" s="34"/>
      <c r="I23" s="28">
        <f t="shared" si="8"/>
        <v>1508</v>
      </c>
      <c r="J23" s="28"/>
      <c r="K23" s="33">
        <f t="shared" si="9"/>
        <v>2820</v>
      </c>
      <c r="L23" s="41"/>
      <c r="N23" s="41"/>
    </row>
    <row r="24" spans="1:14">
      <c r="A24" s="7" t="s">
        <v>34</v>
      </c>
      <c r="B24" s="43">
        <v>883</v>
      </c>
      <c r="C24" s="2"/>
      <c r="D24" s="3"/>
      <c r="E24" s="34">
        <f t="shared" si="7"/>
        <v>883</v>
      </c>
      <c r="F24" s="39">
        <f>F8</f>
        <v>744</v>
      </c>
      <c r="G24" s="35">
        <f>(F19/24)</f>
        <v>31</v>
      </c>
      <c r="H24" s="34"/>
      <c r="I24" s="28">
        <f t="shared" si="8"/>
        <v>31</v>
      </c>
      <c r="J24" s="28"/>
      <c r="K24" s="63">
        <f t="shared" si="9"/>
        <v>852</v>
      </c>
      <c r="N24" s="41"/>
    </row>
    <row r="25" spans="1:14">
      <c r="A25" s="7" t="s">
        <v>16</v>
      </c>
      <c r="B25" s="40">
        <v>6060</v>
      </c>
      <c r="C25" s="2">
        <v>1500</v>
      </c>
      <c r="D25" s="3"/>
      <c r="E25" s="34">
        <f t="shared" si="7"/>
        <v>7560</v>
      </c>
      <c r="F25" s="35">
        <f>F4</f>
        <v>52176</v>
      </c>
      <c r="G25" s="35">
        <f>F25/24</f>
        <v>2174</v>
      </c>
      <c r="H25" s="34"/>
      <c r="I25" s="28">
        <f t="shared" si="8"/>
        <v>2174</v>
      </c>
      <c r="J25" s="28"/>
      <c r="K25" s="63">
        <f t="shared" si="9"/>
        <v>5386</v>
      </c>
      <c r="M25" s="62"/>
      <c r="N25" s="41"/>
    </row>
    <row r="26" spans="1:14">
      <c r="A26" s="7" t="s">
        <v>17</v>
      </c>
      <c r="B26" s="40">
        <v>685</v>
      </c>
      <c r="C26" s="2"/>
      <c r="D26" s="3"/>
      <c r="E26" s="34">
        <f t="shared" si="7"/>
        <v>685</v>
      </c>
      <c r="F26" s="35">
        <f>F5</f>
        <v>3936</v>
      </c>
      <c r="G26" s="35">
        <f>F26/24</f>
        <v>164</v>
      </c>
      <c r="H26" s="34"/>
      <c r="I26" s="28">
        <f t="shared" si="8"/>
        <v>164</v>
      </c>
      <c r="J26" s="28"/>
      <c r="K26" s="63">
        <f t="shared" si="9"/>
        <v>521</v>
      </c>
      <c r="N26" s="41"/>
    </row>
    <row r="27" spans="1:14">
      <c r="A27" s="7" t="s">
        <v>27</v>
      </c>
      <c r="B27" s="40">
        <v>977</v>
      </c>
      <c r="C27" s="2"/>
      <c r="D27" s="3"/>
      <c r="E27" s="34">
        <f t="shared" si="7"/>
        <v>977</v>
      </c>
      <c r="F27" s="35">
        <f>F11</f>
        <v>6696</v>
      </c>
      <c r="G27" s="35">
        <f>F27/24</f>
        <v>279</v>
      </c>
      <c r="H27" s="34"/>
      <c r="I27" s="28">
        <f>G27+H27</f>
        <v>279</v>
      </c>
      <c r="J27" s="28"/>
      <c r="K27" s="63">
        <f t="shared" si="9"/>
        <v>698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30372</v>
      </c>
      <c r="C29" s="2"/>
      <c r="D29" s="3"/>
      <c r="E29" s="34">
        <f t="shared" ref="E29:E36" si="10">B29+C29+D29</f>
        <v>30372</v>
      </c>
      <c r="F29" s="44">
        <f>'[1]July 2020'!$K$30</f>
        <v>10596</v>
      </c>
      <c r="G29" s="44">
        <f>F29*2</f>
        <v>21192</v>
      </c>
      <c r="H29" s="45"/>
      <c r="I29" s="28">
        <f t="shared" ref="I29:I36" si="11">G29+H29</f>
        <v>21192</v>
      </c>
      <c r="J29" s="28"/>
      <c r="K29" s="64">
        <f t="shared" ref="K29:K35" si="12">E29-I29-J29</f>
        <v>9180</v>
      </c>
      <c r="N29" s="41"/>
    </row>
    <row r="30" spans="1:14">
      <c r="A30" s="7" t="s">
        <v>31</v>
      </c>
      <c r="B30" s="40">
        <v>19244</v>
      </c>
      <c r="C30" s="2"/>
      <c r="D30" s="3"/>
      <c r="E30" s="46">
        <f t="shared" si="10"/>
        <v>19244</v>
      </c>
      <c r="F30" s="47">
        <f>'[1]July 2020'!$L$30</f>
        <v>12</v>
      </c>
      <c r="G30" s="44">
        <f>F30*4</f>
        <v>48</v>
      </c>
      <c r="H30" s="45"/>
      <c r="I30" s="28">
        <f t="shared" si="11"/>
        <v>48</v>
      </c>
      <c r="J30" s="28"/>
      <c r="K30" s="64">
        <f>E30-I30-J30</f>
        <v>19196</v>
      </c>
      <c r="N30" s="41"/>
    </row>
    <row r="31" spans="1:14">
      <c r="A31" s="7" t="s">
        <v>20</v>
      </c>
      <c r="B31" s="40">
        <v>1238</v>
      </c>
      <c r="C31" s="2">
        <v>550</v>
      </c>
      <c r="D31" s="3"/>
      <c r="E31" s="46">
        <f t="shared" si="10"/>
        <v>1788</v>
      </c>
      <c r="F31" s="49">
        <f>F29</f>
        <v>10596</v>
      </c>
      <c r="G31" s="44">
        <f>F31/12</f>
        <v>883</v>
      </c>
      <c r="H31" s="45"/>
      <c r="I31" s="28">
        <f t="shared" si="11"/>
        <v>883</v>
      </c>
      <c r="J31" s="28"/>
      <c r="K31" s="27">
        <f t="shared" si="12"/>
        <v>905</v>
      </c>
      <c r="N31" s="41"/>
    </row>
    <row r="32" spans="1:14">
      <c r="A32" s="7" t="s">
        <v>25</v>
      </c>
      <c r="B32" s="40">
        <v>1064</v>
      </c>
      <c r="C32" s="4"/>
      <c r="D32" s="3"/>
      <c r="E32" s="46">
        <f t="shared" si="10"/>
        <v>1064</v>
      </c>
      <c r="F32" s="49">
        <f>F30</f>
        <v>12</v>
      </c>
      <c r="G32" s="50">
        <f>F32/12</f>
        <v>1</v>
      </c>
      <c r="H32" s="51"/>
      <c r="I32" s="28">
        <f t="shared" si="11"/>
        <v>1</v>
      </c>
      <c r="J32" s="28"/>
      <c r="K32" s="27">
        <f t="shared" si="12"/>
        <v>1063</v>
      </c>
      <c r="N32" s="41"/>
    </row>
    <row r="33" spans="1:14">
      <c r="A33" s="7" t="s">
        <v>21</v>
      </c>
      <c r="B33" s="40">
        <v>60321</v>
      </c>
      <c r="C33" s="2"/>
      <c r="D33" s="3"/>
      <c r="E33" s="46">
        <f t="shared" si="10"/>
        <v>60321</v>
      </c>
      <c r="F33" s="49">
        <f>F30</f>
        <v>12</v>
      </c>
      <c r="G33" s="50">
        <f>F33*4</f>
        <v>48</v>
      </c>
      <c r="H33" s="48"/>
      <c r="I33" s="28">
        <f t="shared" si="11"/>
        <v>48</v>
      </c>
      <c r="J33" s="28"/>
      <c r="K33" s="27">
        <f t="shared" si="12"/>
        <v>60273</v>
      </c>
      <c r="N33" s="41"/>
    </row>
    <row r="34" spans="1:14">
      <c r="A34" s="7" t="s">
        <v>22</v>
      </c>
      <c r="B34" s="40">
        <v>41116</v>
      </c>
      <c r="C34" s="4"/>
      <c r="D34" s="3"/>
      <c r="E34" s="46">
        <f t="shared" si="10"/>
        <v>41116</v>
      </c>
      <c r="F34" s="49">
        <f>F29</f>
        <v>10596</v>
      </c>
      <c r="G34" s="50">
        <f>F34*2</f>
        <v>21192</v>
      </c>
      <c r="H34" s="51"/>
      <c r="I34" s="28">
        <f t="shared" si="11"/>
        <v>21192</v>
      </c>
      <c r="J34" s="28"/>
      <c r="K34" s="27">
        <f t="shared" si="12"/>
        <v>19924</v>
      </c>
      <c r="N34" s="41"/>
    </row>
    <row r="35" spans="1:14">
      <c r="A35" s="7" t="s">
        <v>23</v>
      </c>
      <c r="B35" s="40">
        <v>3894</v>
      </c>
      <c r="C35" s="4">
        <f>102000+10000</f>
        <v>112000</v>
      </c>
      <c r="D35" s="3"/>
      <c r="E35" s="46">
        <f t="shared" si="10"/>
        <v>115894</v>
      </c>
      <c r="F35" s="49">
        <f>F29</f>
        <v>10596</v>
      </c>
      <c r="G35" s="50">
        <f>F35*2</f>
        <v>21192</v>
      </c>
      <c r="H35" s="51"/>
      <c r="I35" s="28">
        <f t="shared" si="11"/>
        <v>21192</v>
      </c>
      <c r="J35" s="28"/>
      <c r="K35" s="27">
        <f t="shared" si="12"/>
        <v>94702</v>
      </c>
      <c r="N35" s="41"/>
    </row>
    <row r="36" spans="1:14" ht="15.75" thickBot="1">
      <c r="A36" s="52" t="s">
        <v>32</v>
      </c>
      <c r="B36" s="53">
        <v>432</v>
      </c>
      <c r="C36" s="54">
        <f>24000+10000</f>
        <v>34000</v>
      </c>
      <c r="D36" s="55"/>
      <c r="E36" s="56">
        <f t="shared" si="10"/>
        <v>34432</v>
      </c>
      <c r="F36" s="57">
        <f>F29</f>
        <v>10596</v>
      </c>
      <c r="G36" s="58">
        <f>F36*2</f>
        <v>21192</v>
      </c>
      <c r="H36" s="59"/>
      <c r="I36" s="60">
        <f t="shared" si="11"/>
        <v>21192</v>
      </c>
      <c r="J36" s="60"/>
      <c r="K36" s="66">
        <f>E36-I36-J36</f>
        <v>13240</v>
      </c>
      <c r="N36" s="41"/>
    </row>
    <row r="37" spans="1:14">
      <c r="B37" s="41"/>
    </row>
    <row r="38" spans="1:14">
      <c r="F38" s="61">
        <f>F4+F5+F6+F7+F8+F10+F11+F12+F13+F29+F30</f>
        <v>128992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N39"/>
  <sheetViews>
    <sheetView zoomScaleNormal="100" workbookViewId="0">
      <selection activeCell="A11" sqref="A1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45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877.7</v>
      </c>
      <c r="C4" s="27">
        <v>4036.79</v>
      </c>
      <c r="D4" s="3"/>
      <c r="E4" s="28">
        <f t="shared" ref="E4:E7" si="0">B4+C4+D4</f>
        <v>4914.49</v>
      </c>
      <c r="F4" s="29">
        <f>'[1]August 2021'!$J$30</f>
        <v>47040</v>
      </c>
      <c r="G4" s="29">
        <f>F4*0.024</f>
        <v>1128.96</v>
      </c>
      <c r="H4" s="28"/>
      <c r="I4" s="28">
        <f>G4+H4</f>
        <v>1128.96</v>
      </c>
      <c r="J4" s="28"/>
      <c r="K4" s="29">
        <f>E4-I4-J4</f>
        <v>3785.5299999999997</v>
      </c>
      <c r="M4" s="13">
        <v>3785.5</v>
      </c>
      <c r="N4" s="41"/>
    </row>
    <row r="5" spans="1:14">
      <c r="A5" s="7" t="s">
        <v>10</v>
      </c>
      <c r="B5" s="26">
        <v>1195.4100000000001</v>
      </c>
      <c r="C5" s="27"/>
      <c r="D5" s="3"/>
      <c r="E5" s="28">
        <f t="shared" si="0"/>
        <v>1195.4100000000001</v>
      </c>
      <c r="F5" s="29">
        <f>'[1]August 2021'!$C$30</f>
        <v>7728</v>
      </c>
      <c r="G5" s="29">
        <f>F5*0.024</f>
        <v>185.47200000000001</v>
      </c>
      <c r="H5" s="28"/>
      <c r="I5" s="28">
        <f t="shared" ref="I5:I6" si="1">G5+H5</f>
        <v>185.47200000000001</v>
      </c>
      <c r="J5" s="28"/>
      <c r="K5" s="28">
        <f>E5-I5-J5</f>
        <v>1009.9380000000001</v>
      </c>
      <c r="M5" s="13">
        <v>1009.94</v>
      </c>
      <c r="N5" s="41"/>
    </row>
    <row r="6" spans="1:14">
      <c r="A6" s="7" t="s">
        <v>37</v>
      </c>
      <c r="B6" s="26">
        <v>985.24</v>
      </c>
      <c r="C6" s="27"/>
      <c r="D6" s="3"/>
      <c r="E6" s="28">
        <f t="shared" si="0"/>
        <v>985.24</v>
      </c>
      <c r="F6" s="29">
        <f>'[1]August 2021'!$G$30</f>
        <v>330</v>
      </c>
      <c r="G6" s="29">
        <f>F6*0.108</f>
        <v>35.64</v>
      </c>
      <c r="H6" s="28"/>
      <c r="I6" s="28">
        <f t="shared" si="1"/>
        <v>35.64</v>
      </c>
      <c r="J6" s="28"/>
      <c r="K6" s="28">
        <f>E6-I6-J6</f>
        <v>949.6</v>
      </c>
      <c r="M6" s="13">
        <v>949.6</v>
      </c>
      <c r="N6" s="41"/>
    </row>
    <row r="7" spans="1:14">
      <c r="A7" s="7" t="s">
        <v>38</v>
      </c>
      <c r="B7" s="26">
        <v>927.45</v>
      </c>
      <c r="C7" s="27"/>
      <c r="D7" s="3"/>
      <c r="E7" s="28">
        <f t="shared" si="0"/>
        <v>927.45</v>
      </c>
      <c r="F7" s="29">
        <f>'[1]August 2021'!$F$30</f>
        <v>2222</v>
      </c>
      <c r="G7" s="29">
        <f>F7*0.075</f>
        <v>166.65</v>
      </c>
      <c r="H7" s="28"/>
      <c r="I7" s="28">
        <f>G7+H7</f>
        <v>166.65</v>
      </c>
      <c r="J7" s="28"/>
      <c r="K7" s="28">
        <f>E7-I7-J7</f>
        <v>760.80000000000007</v>
      </c>
      <c r="M7" s="13">
        <v>760.8</v>
      </c>
      <c r="N7" s="41"/>
    </row>
    <row r="8" spans="1:14">
      <c r="A8" s="7" t="s">
        <v>35</v>
      </c>
      <c r="B8" s="26">
        <v>630.4</v>
      </c>
      <c r="C8" s="27"/>
      <c r="D8" s="3"/>
      <c r="E8" s="28">
        <f>B8+C8+D8</f>
        <v>630.4</v>
      </c>
      <c r="F8" s="29">
        <f>'[1]August 2021'!$E$30</f>
        <v>696</v>
      </c>
      <c r="G8" s="29">
        <f>F8*0.035</f>
        <v>24.360000000000003</v>
      </c>
      <c r="H8" s="28"/>
      <c r="I8" s="28">
        <f t="shared" ref="I8" si="2">G8+H8</f>
        <v>24.360000000000003</v>
      </c>
      <c r="J8" s="28"/>
      <c r="K8" s="28">
        <f t="shared" ref="K8" si="3">E8-I8-J8</f>
        <v>606.04</v>
      </c>
      <c r="M8" s="13"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73328</v>
      </c>
      <c r="C10" s="2"/>
      <c r="D10" s="3"/>
      <c r="E10" s="34">
        <f>B10+C10+D10</f>
        <v>73328</v>
      </c>
      <c r="F10" s="35">
        <f>'[1]August 2021'!$H$30</f>
        <v>6960</v>
      </c>
      <c r="G10" s="35">
        <f>F10*1</f>
        <v>6960</v>
      </c>
      <c r="H10" s="2"/>
      <c r="I10" s="28">
        <f t="shared" ref="I10:I13" si="4">G10+H10</f>
        <v>6960</v>
      </c>
      <c r="J10" s="28"/>
      <c r="K10" s="63">
        <f>E10-I10-J10</f>
        <v>66368</v>
      </c>
      <c r="M10" s="13">
        <v>66368</v>
      </c>
      <c r="N10" s="41"/>
    </row>
    <row r="11" spans="1:14">
      <c r="A11" s="7" t="s">
        <v>26</v>
      </c>
      <c r="B11" s="33">
        <v>50805</v>
      </c>
      <c r="C11" s="2"/>
      <c r="D11" s="3"/>
      <c r="E11" s="34">
        <f>B11+C11+D11</f>
        <v>50805</v>
      </c>
      <c r="F11" s="35">
        <f>'[1]August 2021'!$I$30</f>
        <v>3624</v>
      </c>
      <c r="G11" s="35">
        <f>F11*2</f>
        <v>7248</v>
      </c>
      <c r="H11" s="34"/>
      <c r="I11" s="28">
        <f t="shared" si="4"/>
        <v>7248</v>
      </c>
      <c r="J11" s="28"/>
      <c r="K11" s="63">
        <f>E11-I11-J11</f>
        <v>43557</v>
      </c>
      <c r="M11" s="13">
        <v>43557</v>
      </c>
      <c r="N11" s="41"/>
    </row>
    <row r="12" spans="1:14">
      <c r="A12" s="7" t="s">
        <v>12</v>
      </c>
      <c r="B12" s="33">
        <v>6000</v>
      </c>
      <c r="C12" s="2"/>
      <c r="D12" s="3"/>
      <c r="E12" s="34">
        <f>B12+C12+D12</f>
        <v>6000</v>
      </c>
      <c r="F12" s="35">
        <f>'[1]August 2021'!$B$30</f>
        <v>768</v>
      </c>
      <c r="G12" s="35">
        <f>F12*1</f>
        <v>768</v>
      </c>
      <c r="H12" s="34"/>
      <c r="I12" s="28">
        <f t="shared" si="4"/>
        <v>768</v>
      </c>
      <c r="J12" s="28"/>
      <c r="K12" s="63">
        <f>E12-I12-J12</f>
        <v>5232</v>
      </c>
      <c r="M12" s="13">
        <v>5232</v>
      </c>
      <c r="N12" s="41"/>
    </row>
    <row r="13" spans="1:14">
      <c r="A13" s="7" t="s">
        <v>13</v>
      </c>
      <c r="B13" s="33">
        <v>5882</v>
      </c>
      <c r="C13" s="2">
        <f>2000</f>
        <v>2000</v>
      </c>
      <c r="D13" s="3"/>
      <c r="E13" s="34">
        <f>B13+C13+D13</f>
        <v>7882</v>
      </c>
      <c r="F13" s="35">
        <f>'[1]August 2021'!$D$30</f>
        <v>39900</v>
      </c>
      <c r="G13" s="35">
        <f>F13/5</f>
        <v>7980</v>
      </c>
      <c r="H13" s="34"/>
      <c r="I13" s="28">
        <f t="shared" si="4"/>
        <v>7980</v>
      </c>
      <c r="J13" s="28"/>
      <c r="K13" s="63">
        <f>E13-I13-J13</f>
        <v>-98</v>
      </c>
      <c r="L13" s="62"/>
      <c r="M13" s="13">
        <v>-98</v>
      </c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82764</v>
      </c>
      <c r="C15" s="2"/>
      <c r="D15" s="3"/>
      <c r="E15" s="34">
        <f t="shared" ref="E15:E19" si="5">B15+C15+D15</f>
        <v>82764</v>
      </c>
      <c r="F15" s="35">
        <f>F13</f>
        <v>39900</v>
      </c>
      <c r="G15" s="35">
        <f>F15/5</f>
        <v>7980</v>
      </c>
      <c r="H15" s="34"/>
      <c r="I15" s="28">
        <f t="shared" ref="I15:I19" si="6">G15+H15</f>
        <v>7980</v>
      </c>
      <c r="J15" s="28"/>
      <c r="K15" s="63">
        <f>E15-I15-J15</f>
        <v>74784</v>
      </c>
      <c r="M15" s="13">
        <v>74784</v>
      </c>
      <c r="N15" s="41"/>
    </row>
    <row r="16" spans="1:14">
      <c r="A16" s="7" t="s">
        <v>15</v>
      </c>
      <c r="B16" s="33">
        <v>58476</v>
      </c>
      <c r="C16" s="2">
        <v>100000</v>
      </c>
      <c r="D16" s="3"/>
      <c r="E16" s="34">
        <f t="shared" si="5"/>
        <v>158476</v>
      </c>
      <c r="F16" s="35">
        <f>F4+F5</f>
        <v>54768</v>
      </c>
      <c r="G16" s="35">
        <f>F16/2</f>
        <v>27384</v>
      </c>
      <c r="H16" s="34"/>
      <c r="I16" s="28">
        <f t="shared" si="6"/>
        <v>27384</v>
      </c>
      <c r="J16" s="28"/>
      <c r="K16" s="63">
        <f>E16-I16-J16</f>
        <v>131092</v>
      </c>
      <c r="M16" s="13">
        <v>131092</v>
      </c>
      <c r="N16" s="41"/>
    </row>
    <row r="17" spans="1:14">
      <c r="A17" s="7" t="s">
        <v>28</v>
      </c>
      <c r="B17" s="33">
        <v>54600</v>
      </c>
      <c r="C17" s="2"/>
      <c r="D17" s="3"/>
      <c r="E17" s="34">
        <f t="shared" si="5"/>
        <v>54600</v>
      </c>
      <c r="F17" s="35">
        <f>F6</f>
        <v>330</v>
      </c>
      <c r="G17" s="35">
        <f>(F17/22)*50</f>
        <v>750</v>
      </c>
      <c r="H17" s="34"/>
      <c r="I17" s="28">
        <f t="shared" si="6"/>
        <v>750</v>
      </c>
      <c r="J17" s="28"/>
      <c r="K17" s="63">
        <f>E17-I17-J17</f>
        <v>53850</v>
      </c>
      <c r="M17" s="13">
        <v>53850</v>
      </c>
      <c r="N17" s="41"/>
    </row>
    <row r="18" spans="1:14">
      <c r="A18" s="7" t="s">
        <v>29</v>
      </c>
      <c r="B18" s="33">
        <v>181539</v>
      </c>
      <c r="C18" s="2"/>
      <c r="D18" s="3"/>
      <c r="E18" s="34">
        <f t="shared" si="5"/>
        <v>181539</v>
      </c>
      <c r="F18" s="39">
        <f>F7</f>
        <v>2222</v>
      </c>
      <c r="G18" s="35">
        <f>(F18/22)*25</f>
        <v>2525</v>
      </c>
      <c r="H18" s="34"/>
      <c r="I18" s="28">
        <f t="shared" si="6"/>
        <v>2525</v>
      </c>
      <c r="J18" s="28"/>
      <c r="K18" s="63">
        <f>E18-I18-J18</f>
        <v>179014</v>
      </c>
      <c r="M18" s="13">
        <v>179014</v>
      </c>
      <c r="N18" s="41"/>
    </row>
    <row r="19" spans="1:14">
      <c r="A19" s="7" t="s">
        <v>41</v>
      </c>
      <c r="B19" s="33">
        <v>786</v>
      </c>
      <c r="C19" s="2"/>
      <c r="D19" s="3"/>
      <c r="E19" s="34">
        <f t="shared" si="5"/>
        <v>786</v>
      </c>
      <c r="F19" s="39">
        <f>F8</f>
        <v>696</v>
      </c>
      <c r="G19" s="35">
        <f>F19/2</f>
        <v>348</v>
      </c>
      <c r="H19" s="34"/>
      <c r="I19" s="28">
        <f t="shared" si="6"/>
        <v>348</v>
      </c>
      <c r="J19" s="28"/>
      <c r="K19" s="63">
        <f>E19-I19-J19</f>
        <v>438</v>
      </c>
      <c r="M19" s="13">
        <v>438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975</v>
      </c>
      <c r="C21" s="2"/>
      <c r="D21" s="3"/>
      <c r="E21" s="34">
        <f t="shared" ref="E21:E27" si="7">B21+C21+D21</f>
        <v>975</v>
      </c>
      <c r="F21" s="35">
        <f>F10</f>
        <v>6960</v>
      </c>
      <c r="G21" s="35">
        <f>F21/24</f>
        <v>290</v>
      </c>
      <c r="H21" s="34"/>
      <c r="I21" s="28">
        <f t="shared" ref="I21:I26" si="8">G21+H21</f>
        <v>290</v>
      </c>
      <c r="J21" s="28"/>
      <c r="K21" s="63">
        <f t="shared" ref="K21:K27" si="9">E21-I21-J21</f>
        <v>685</v>
      </c>
      <c r="M21" s="13">
        <v>685</v>
      </c>
      <c r="N21" s="41"/>
    </row>
    <row r="22" spans="1:14">
      <c r="A22" s="7" t="s">
        <v>18</v>
      </c>
      <c r="B22" s="40">
        <v>1358</v>
      </c>
      <c r="C22" s="2"/>
      <c r="D22" s="3"/>
      <c r="E22" s="34">
        <f t="shared" si="7"/>
        <v>1358</v>
      </c>
      <c r="F22" s="35">
        <f>F12</f>
        <v>768</v>
      </c>
      <c r="G22" s="35">
        <f>F22/24</f>
        <v>32</v>
      </c>
      <c r="H22" s="34"/>
      <c r="I22" s="28">
        <f t="shared" si="8"/>
        <v>32</v>
      </c>
      <c r="J22" s="28"/>
      <c r="K22" s="63">
        <f t="shared" si="9"/>
        <v>1326</v>
      </c>
      <c r="M22" s="13">
        <v>1326</v>
      </c>
      <c r="N22" s="41"/>
    </row>
    <row r="23" spans="1:14">
      <c r="A23" s="42" t="s">
        <v>36</v>
      </c>
      <c r="B23" s="33">
        <v>2820</v>
      </c>
      <c r="C23" s="2"/>
      <c r="D23" s="3"/>
      <c r="E23" s="34">
        <f t="shared" si="7"/>
        <v>2820</v>
      </c>
      <c r="F23" s="39"/>
      <c r="G23" s="35">
        <f>(F13/30)+(F7/22)+(F6/22)</f>
        <v>1446</v>
      </c>
      <c r="H23" s="34"/>
      <c r="I23" s="28">
        <f t="shared" si="8"/>
        <v>1446</v>
      </c>
      <c r="J23" s="28"/>
      <c r="K23" s="33">
        <f t="shared" si="9"/>
        <v>1374</v>
      </c>
      <c r="L23" s="41"/>
      <c r="M23" s="13">
        <v>1374</v>
      </c>
      <c r="N23" s="41"/>
    </row>
    <row r="24" spans="1:14">
      <c r="A24" s="7" t="s">
        <v>34</v>
      </c>
      <c r="B24" s="43">
        <v>852</v>
      </c>
      <c r="C24" s="2"/>
      <c r="D24" s="3"/>
      <c r="E24" s="34">
        <f t="shared" si="7"/>
        <v>852</v>
      </c>
      <c r="F24" s="39">
        <f>F8</f>
        <v>696</v>
      </c>
      <c r="G24" s="35">
        <f>(F19/24)</f>
        <v>29</v>
      </c>
      <c r="H24" s="34"/>
      <c r="I24" s="28">
        <f t="shared" si="8"/>
        <v>29</v>
      </c>
      <c r="J24" s="28"/>
      <c r="K24" s="63">
        <f t="shared" si="9"/>
        <v>823</v>
      </c>
      <c r="M24" s="13">
        <v>832</v>
      </c>
      <c r="N24" s="41"/>
    </row>
    <row r="25" spans="1:14">
      <c r="A25" s="7" t="s">
        <v>16</v>
      </c>
      <c r="B25" s="40">
        <v>5386</v>
      </c>
      <c r="C25" s="2"/>
      <c r="D25" s="3"/>
      <c r="E25" s="34">
        <f t="shared" si="7"/>
        <v>5386</v>
      </c>
      <c r="F25" s="35">
        <f>F4</f>
        <v>47040</v>
      </c>
      <c r="G25" s="35">
        <f>F25/24</f>
        <v>1960</v>
      </c>
      <c r="H25" s="34"/>
      <c r="I25" s="28">
        <f t="shared" si="8"/>
        <v>1960</v>
      </c>
      <c r="J25" s="28"/>
      <c r="K25" s="63">
        <f t="shared" si="9"/>
        <v>3426</v>
      </c>
      <c r="M25" s="62">
        <v>3426</v>
      </c>
      <c r="N25" s="41"/>
    </row>
    <row r="26" spans="1:14">
      <c r="A26" s="7" t="s">
        <v>17</v>
      </c>
      <c r="B26" s="40">
        <v>522</v>
      </c>
      <c r="C26" s="2"/>
      <c r="D26" s="3"/>
      <c r="E26" s="34">
        <f t="shared" si="7"/>
        <v>522</v>
      </c>
      <c r="F26" s="35">
        <f>F5</f>
        <v>7728</v>
      </c>
      <c r="G26" s="35">
        <f>F26/24</f>
        <v>322</v>
      </c>
      <c r="H26" s="34"/>
      <c r="I26" s="28">
        <f t="shared" si="8"/>
        <v>322</v>
      </c>
      <c r="J26" s="28"/>
      <c r="K26" s="63">
        <f t="shared" si="9"/>
        <v>200</v>
      </c>
      <c r="M26" s="13">
        <v>200</v>
      </c>
      <c r="N26" s="41"/>
    </row>
    <row r="27" spans="1:14">
      <c r="A27" s="7" t="s">
        <v>27</v>
      </c>
      <c r="B27" s="40">
        <v>698</v>
      </c>
      <c r="C27" s="2"/>
      <c r="D27" s="3"/>
      <c r="E27" s="34">
        <f t="shared" si="7"/>
        <v>698</v>
      </c>
      <c r="F27" s="35">
        <f>F11</f>
        <v>3624</v>
      </c>
      <c r="G27" s="35">
        <f>F27/24</f>
        <v>151</v>
      </c>
      <c r="H27" s="34"/>
      <c r="I27" s="28">
        <f>G27+H27</f>
        <v>151</v>
      </c>
      <c r="J27" s="28"/>
      <c r="K27" s="63">
        <f t="shared" si="9"/>
        <v>547</v>
      </c>
      <c r="M27" s="13">
        <v>547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9180</v>
      </c>
      <c r="C29" s="2">
        <v>31104</v>
      </c>
      <c r="D29" s="3"/>
      <c r="E29" s="34">
        <f t="shared" ref="E29:E36" si="10">B29+C29+D29</f>
        <v>40284</v>
      </c>
      <c r="F29" s="44">
        <f>'[1]August 2021'!$K$30</f>
        <v>8952</v>
      </c>
      <c r="G29" s="44">
        <f>F29*2</f>
        <v>17904</v>
      </c>
      <c r="H29" s="45"/>
      <c r="I29" s="28">
        <f t="shared" ref="I29:I36" si="11">G29+H29</f>
        <v>17904</v>
      </c>
      <c r="J29" s="28"/>
      <c r="K29" s="64">
        <f t="shared" ref="K29:K35" si="12">E29-I29-J29</f>
        <v>22380</v>
      </c>
      <c r="M29" s="13">
        <v>22380</v>
      </c>
      <c r="N29" s="41"/>
    </row>
    <row r="30" spans="1:14">
      <c r="A30" s="7" t="s">
        <v>31</v>
      </c>
      <c r="B30" s="40">
        <v>19196</v>
      </c>
      <c r="C30" s="2"/>
      <c r="D30" s="3"/>
      <c r="E30" s="46">
        <f t="shared" si="10"/>
        <v>19196</v>
      </c>
      <c r="F30" s="47">
        <f>'[1]August 2021'!$L$30</f>
        <v>600</v>
      </c>
      <c r="G30" s="44">
        <f>F30*4</f>
        <v>2400</v>
      </c>
      <c r="H30" s="45"/>
      <c r="I30" s="28">
        <f t="shared" si="11"/>
        <v>2400</v>
      </c>
      <c r="J30" s="28"/>
      <c r="K30" s="64">
        <f>E30-I30-J30</f>
        <v>16796</v>
      </c>
      <c r="M30" s="13">
        <v>16796</v>
      </c>
      <c r="N30" s="41"/>
    </row>
    <row r="31" spans="1:14">
      <c r="A31" s="7" t="s">
        <v>20</v>
      </c>
      <c r="B31" s="40">
        <v>905</v>
      </c>
      <c r="C31" s="2">
        <f>700+1300+2300+664</f>
        <v>4964</v>
      </c>
      <c r="D31" s="3"/>
      <c r="E31" s="46">
        <f t="shared" si="10"/>
        <v>5869</v>
      </c>
      <c r="F31" s="49">
        <f>F29</f>
        <v>8952</v>
      </c>
      <c r="G31" s="44">
        <f>F31/12</f>
        <v>746</v>
      </c>
      <c r="H31" s="45"/>
      <c r="I31" s="28">
        <f t="shared" si="11"/>
        <v>746</v>
      </c>
      <c r="J31" s="28"/>
      <c r="K31" s="27">
        <f t="shared" si="12"/>
        <v>5123</v>
      </c>
      <c r="M31" s="13">
        <v>5123</v>
      </c>
      <c r="N31" s="41"/>
    </row>
    <row r="32" spans="1:14">
      <c r="A32" s="7" t="s">
        <v>25</v>
      </c>
      <c r="B32" s="40">
        <v>1063</v>
      </c>
      <c r="C32" s="4"/>
      <c r="D32" s="3"/>
      <c r="E32" s="46">
        <f t="shared" si="10"/>
        <v>1063</v>
      </c>
      <c r="F32" s="49">
        <f>F30</f>
        <v>600</v>
      </c>
      <c r="G32" s="50">
        <f>F32/12</f>
        <v>50</v>
      </c>
      <c r="H32" s="51"/>
      <c r="I32" s="28">
        <f t="shared" si="11"/>
        <v>50</v>
      </c>
      <c r="J32" s="28"/>
      <c r="K32" s="27">
        <f t="shared" si="12"/>
        <v>1013</v>
      </c>
      <c r="M32" s="13">
        <v>1013</v>
      </c>
      <c r="N32" s="41"/>
    </row>
    <row r="33" spans="1:14">
      <c r="A33" s="7" t="s">
        <v>21</v>
      </c>
      <c r="B33" s="40">
        <v>60273</v>
      </c>
      <c r="C33" s="2"/>
      <c r="D33" s="3"/>
      <c r="E33" s="46">
        <f t="shared" si="10"/>
        <v>60273</v>
      </c>
      <c r="F33" s="49">
        <f>F30</f>
        <v>600</v>
      </c>
      <c r="G33" s="50">
        <f>F33*4</f>
        <v>2400</v>
      </c>
      <c r="H33" s="48"/>
      <c r="I33" s="28">
        <f t="shared" si="11"/>
        <v>2400</v>
      </c>
      <c r="J33" s="28"/>
      <c r="K33" s="27">
        <f t="shared" si="12"/>
        <v>57873</v>
      </c>
      <c r="M33" s="13">
        <v>57873</v>
      </c>
      <c r="N33" s="41"/>
    </row>
    <row r="34" spans="1:14">
      <c r="A34" s="7" t="s">
        <v>22</v>
      </c>
      <c r="B34" s="40">
        <v>19924</v>
      </c>
      <c r="C34" s="4"/>
      <c r="D34" s="3"/>
      <c r="E34" s="46">
        <f t="shared" si="10"/>
        <v>19924</v>
      </c>
      <c r="F34" s="49">
        <f>F29</f>
        <v>8952</v>
      </c>
      <c r="G34" s="50">
        <f>F34*2</f>
        <v>17904</v>
      </c>
      <c r="H34" s="51"/>
      <c r="I34" s="28">
        <f t="shared" si="11"/>
        <v>17904</v>
      </c>
      <c r="J34" s="28"/>
      <c r="K34" s="27">
        <f t="shared" si="12"/>
        <v>2020</v>
      </c>
      <c r="M34" s="13">
        <v>2020</v>
      </c>
      <c r="N34" s="41"/>
    </row>
    <row r="35" spans="1:14">
      <c r="A35" s="7" t="s">
        <v>23</v>
      </c>
      <c r="B35" s="40">
        <v>94702</v>
      </c>
      <c r="C35" s="4"/>
      <c r="D35" s="3"/>
      <c r="E35" s="46">
        <f t="shared" si="10"/>
        <v>94702</v>
      </c>
      <c r="F35" s="49">
        <f>F29</f>
        <v>8952</v>
      </c>
      <c r="G35" s="50">
        <f>F35*2</f>
        <v>17904</v>
      </c>
      <c r="H35" s="51"/>
      <c r="I35" s="28">
        <f t="shared" si="11"/>
        <v>17904</v>
      </c>
      <c r="J35" s="28"/>
      <c r="K35" s="27">
        <f t="shared" si="12"/>
        <v>76798</v>
      </c>
      <c r="M35" s="13">
        <v>76798</v>
      </c>
      <c r="N35" s="41"/>
    </row>
    <row r="36" spans="1:14" ht="15.75" thickBot="1">
      <c r="A36" s="52" t="s">
        <v>32</v>
      </c>
      <c r="B36" s="53">
        <v>13240</v>
      </c>
      <c r="C36" s="54">
        <v>52000</v>
      </c>
      <c r="D36" s="55"/>
      <c r="E36" s="56">
        <f t="shared" si="10"/>
        <v>65240</v>
      </c>
      <c r="F36" s="57">
        <f>F29</f>
        <v>8952</v>
      </c>
      <c r="G36" s="58">
        <f>F36*2</f>
        <v>17904</v>
      </c>
      <c r="H36" s="59"/>
      <c r="I36" s="60">
        <f t="shared" si="11"/>
        <v>17904</v>
      </c>
      <c r="J36" s="60"/>
      <c r="K36" s="66">
        <f>E36-I36-J36</f>
        <v>47336</v>
      </c>
      <c r="M36" s="13">
        <v>47336</v>
      </c>
      <c r="N36" s="41"/>
    </row>
    <row r="37" spans="1:14">
      <c r="B37" s="41"/>
    </row>
    <row r="38" spans="1:14">
      <c r="F38" s="61">
        <f>F4+F5+F6+F7+F8+F10+F11+F12+F13+F29+F30</f>
        <v>118820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  <pageSetUpPr fitToPage="1"/>
  </sheetPr>
  <dimension ref="A1:N39"/>
  <sheetViews>
    <sheetView zoomScaleNormal="100" workbookViewId="0">
      <selection activeCell="C30" sqref="C30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46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3785.5</v>
      </c>
      <c r="C4" s="27"/>
      <c r="D4" s="3"/>
      <c r="E4" s="28">
        <f t="shared" ref="E4:E7" si="0">B4+C4+D4</f>
        <v>3785.5</v>
      </c>
      <c r="F4" s="29">
        <f>'[1]September 2021'!$J$30</f>
        <v>50208</v>
      </c>
      <c r="G4" s="29">
        <f>F4*0.024</f>
        <v>1204.992</v>
      </c>
      <c r="H4" s="28"/>
      <c r="I4" s="28">
        <f>G4+H4</f>
        <v>1204.992</v>
      </c>
      <c r="J4" s="28"/>
      <c r="K4" s="29">
        <f>E4-I4-J4</f>
        <v>2580.5079999999998</v>
      </c>
      <c r="N4" s="41"/>
    </row>
    <row r="5" spans="1:14">
      <c r="A5" s="7" t="s">
        <v>10</v>
      </c>
      <c r="B5" s="69">
        <v>1009.94</v>
      </c>
      <c r="C5" s="27"/>
      <c r="D5" s="3"/>
      <c r="E5" s="28">
        <f t="shared" si="0"/>
        <v>1009.94</v>
      </c>
      <c r="F5" s="29">
        <f>'[1]September 2021'!$C$30</f>
        <v>2712</v>
      </c>
      <c r="G5" s="29">
        <f>F5*0.024</f>
        <v>65.088000000000008</v>
      </c>
      <c r="H5" s="28"/>
      <c r="I5" s="28">
        <f t="shared" ref="I5:I6" si="1">G5+H5</f>
        <v>65.088000000000008</v>
      </c>
      <c r="J5" s="28"/>
      <c r="K5" s="28">
        <f>E5-I5-J5</f>
        <v>944.85200000000009</v>
      </c>
      <c r="N5" s="41"/>
    </row>
    <row r="6" spans="1:14">
      <c r="A6" s="7" t="s">
        <v>37</v>
      </c>
      <c r="B6" s="69">
        <v>949.6</v>
      </c>
      <c r="C6" s="27"/>
      <c r="D6" s="3"/>
      <c r="E6" s="28">
        <f t="shared" si="0"/>
        <v>949.6</v>
      </c>
      <c r="F6" s="29">
        <f>'[1]September 2021'!$G$30</f>
        <v>616</v>
      </c>
      <c r="G6" s="29">
        <f>F6*0.108</f>
        <v>66.528000000000006</v>
      </c>
      <c r="H6" s="28"/>
      <c r="I6" s="28">
        <f t="shared" si="1"/>
        <v>66.528000000000006</v>
      </c>
      <c r="J6" s="28"/>
      <c r="K6" s="28">
        <f>E6-I6-J6</f>
        <v>883.072</v>
      </c>
      <c r="N6" s="41"/>
    </row>
    <row r="7" spans="1:14">
      <c r="A7" s="7" t="s">
        <v>38</v>
      </c>
      <c r="B7" s="69">
        <v>760.8</v>
      </c>
      <c r="C7" s="27"/>
      <c r="D7" s="3"/>
      <c r="E7" s="28">
        <f t="shared" si="0"/>
        <v>760.8</v>
      </c>
      <c r="F7" s="29">
        <f>'[1]September 2021'!$F$30</f>
        <v>1342</v>
      </c>
      <c r="G7" s="29">
        <f>F7*0.075</f>
        <v>100.64999999999999</v>
      </c>
      <c r="H7" s="28"/>
      <c r="I7" s="28">
        <f>G7+H7</f>
        <v>100.64999999999999</v>
      </c>
      <c r="J7" s="28"/>
      <c r="K7" s="28">
        <f>E7-I7-J7</f>
        <v>660.15</v>
      </c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'[1]September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69">
        <v>66368</v>
      </c>
      <c r="C10" s="2"/>
      <c r="D10" s="3"/>
      <c r="E10" s="34">
        <f>B10+C10+D10</f>
        <v>66368</v>
      </c>
      <c r="F10" s="35">
        <f>'[1]September 2021'!$H$30</f>
        <v>7944</v>
      </c>
      <c r="G10" s="35">
        <f>F10*1</f>
        <v>7944</v>
      </c>
      <c r="H10" s="2"/>
      <c r="I10" s="28">
        <f t="shared" ref="I10:I13" si="4">G10+H10</f>
        <v>7944</v>
      </c>
      <c r="J10" s="28"/>
      <c r="K10" s="63">
        <f>E10-I10-J10</f>
        <v>58424</v>
      </c>
      <c r="M10" s="13" t="s">
        <v>48</v>
      </c>
      <c r="N10" s="41"/>
    </row>
    <row r="11" spans="1:14">
      <c r="A11" s="7" t="s">
        <v>26</v>
      </c>
      <c r="B11" s="69">
        <v>43557</v>
      </c>
      <c r="C11" s="2"/>
      <c r="D11" s="3"/>
      <c r="E11" s="34">
        <f>B11+C11+D11</f>
        <v>43557</v>
      </c>
      <c r="F11" s="35">
        <f>'[1]September 2021'!$I$30</f>
        <v>5976</v>
      </c>
      <c r="G11" s="35">
        <f>F11*2</f>
        <v>11952</v>
      </c>
      <c r="H11" s="34"/>
      <c r="I11" s="28">
        <f t="shared" si="4"/>
        <v>11952</v>
      </c>
      <c r="J11" s="28"/>
      <c r="K11" s="63">
        <f>E11-I11-J11</f>
        <v>31605</v>
      </c>
      <c r="M11" s="13">
        <v>500</v>
      </c>
      <c r="N11" s="41">
        <f>M11/5</f>
        <v>100</v>
      </c>
    </row>
    <row r="12" spans="1:14">
      <c r="A12" s="7" t="s">
        <v>12</v>
      </c>
      <c r="B12" s="69">
        <v>5232</v>
      </c>
      <c r="C12" s="2"/>
      <c r="D12" s="3"/>
      <c r="E12" s="34">
        <f>B12+C12+D12</f>
        <v>5232</v>
      </c>
      <c r="F12" s="35">
        <f>'[1]September 2021'!$B$30</f>
        <v>1608</v>
      </c>
      <c r="G12" s="35">
        <f>F12*1</f>
        <v>1608</v>
      </c>
      <c r="H12" s="34"/>
      <c r="I12" s="28">
        <f t="shared" si="4"/>
        <v>1608</v>
      </c>
      <c r="J12" s="28"/>
      <c r="K12" s="63">
        <f>E12-I12-J12</f>
        <v>3624</v>
      </c>
      <c r="N12" s="41"/>
    </row>
    <row r="13" spans="1:14">
      <c r="A13" s="7" t="s">
        <v>13</v>
      </c>
      <c r="B13" s="69">
        <v>-98</v>
      </c>
      <c r="C13" s="2">
        <f>9560</f>
        <v>9560</v>
      </c>
      <c r="D13" s="3"/>
      <c r="E13" s="34">
        <f>B13+C13+D13</f>
        <v>9462</v>
      </c>
      <c r="F13" s="35">
        <f>'[1]September 2021'!$D$30</f>
        <v>40200</v>
      </c>
      <c r="G13" s="35">
        <f>F13/5</f>
        <v>8040</v>
      </c>
      <c r="H13" s="34"/>
      <c r="I13" s="28">
        <f t="shared" si="4"/>
        <v>8040</v>
      </c>
      <c r="J13" s="28"/>
      <c r="K13" s="63">
        <f>E13-I13-J13</f>
        <v>1422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67">
        <v>74784</v>
      </c>
      <c r="C15" s="2"/>
      <c r="D15" s="3"/>
      <c r="E15" s="34">
        <f t="shared" ref="E15:E19" si="5">B15+C15+D15</f>
        <v>74784</v>
      </c>
      <c r="F15" s="35">
        <f>F13</f>
        <v>40200</v>
      </c>
      <c r="G15" s="35">
        <f>F15/5</f>
        <v>8040</v>
      </c>
      <c r="H15" s="34"/>
      <c r="I15" s="28">
        <f t="shared" ref="I15:I19" si="6">G15+H15</f>
        <v>8040</v>
      </c>
      <c r="J15" s="28"/>
      <c r="K15" s="63">
        <f>E15-I15-J15</f>
        <v>66744</v>
      </c>
      <c r="N15" s="41"/>
    </row>
    <row r="16" spans="1:14">
      <c r="A16" s="7" t="s">
        <v>15</v>
      </c>
      <c r="B16" s="69">
        <v>131092</v>
      </c>
      <c r="C16" s="2"/>
      <c r="D16" s="3"/>
      <c r="E16" s="34">
        <f t="shared" si="5"/>
        <v>131092</v>
      </c>
      <c r="F16" s="35">
        <f>F4+F5</f>
        <v>52920</v>
      </c>
      <c r="G16" s="35">
        <f>F16/2</f>
        <v>26460</v>
      </c>
      <c r="H16" s="34"/>
      <c r="I16" s="28">
        <f t="shared" si="6"/>
        <v>26460</v>
      </c>
      <c r="J16" s="28"/>
      <c r="K16" s="63">
        <f>E16-I16-J16</f>
        <v>104632</v>
      </c>
      <c r="N16" s="41"/>
    </row>
    <row r="17" spans="1:14">
      <c r="A17" s="7" t="s">
        <v>28</v>
      </c>
      <c r="B17" s="69">
        <v>53850</v>
      </c>
      <c r="C17" s="2"/>
      <c r="D17" s="3"/>
      <c r="E17" s="34">
        <f t="shared" si="5"/>
        <v>53850</v>
      </c>
      <c r="F17" s="35">
        <f>F6</f>
        <v>616</v>
      </c>
      <c r="G17" s="35">
        <f>(F17/22)*50</f>
        <v>1400</v>
      </c>
      <c r="H17" s="34"/>
      <c r="I17" s="28">
        <f t="shared" si="6"/>
        <v>1400</v>
      </c>
      <c r="J17" s="28"/>
      <c r="K17" s="63">
        <f>E17-I17-J17</f>
        <v>52450</v>
      </c>
      <c r="N17" s="41"/>
    </row>
    <row r="18" spans="1:14">
      <c r="A18" s="7" t="s">
        <v>29</v>
      </c>
      <c r="B18" s="69">
        <v>179014</v>
      </c>
      <c r="C18" s="2"/>
      <c r="D18" s="3"/>
      <c r="E18" s="34">
        <f t="shared" si="5"/>
        <v>179014</v>
      </c>
      <c r="F18" s="39">
        <f>F7</f>
        <v>1342</v>
      </c>
      <c r="G18" s="35">
        <f>(F18/22)*25</f>
        <v>1525</v>
      </c>
      <c r="H18" s="34"/>
      <c r="I18" s="28">
        <f t="shared" si="6"/>
        <v>1525</v>
      </c>
      <c r="J18" s="28"/>
      <c r="K18" s="63">
        <f>E18-I18-J18</f>
        <v>177489</v>
      </c>
      <c r="N18" s="41"/>
    </row>
    <row r="19" spans="1:14">
      <c r="A19" s="7" t="s">
        <v>41</v>
      </c>
      <c r="B19" s="69">
        <v>438</v>
      </c>
      <c r="C19" s="2"/>
      <c r="D19" s="3"/>
      <c r="E19" s="34">
        <f t="shared" si="5"/>
        <v>438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438</v>
      </c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69">
        <v>685</v>
      </c>
      <c r="C21" s="2"/>
      <c r="D21" s="3"/>
      <c r="E21" s="34">
        <f t="shared" ref="E21:E27" si="7">B21+C21+D21</f>
        <v>685</v>
      </c>
      <c r="F21" s="35">
        <f>F10</f>
        <v>7944</v>
      </c>
      <c r="G21" s="35">
        <f>F21/24</f>
        <v>331</v>
      </c>
      <c r="H21" s="34"/>
      <c r="I21" s="28">
        <f t="shared" ref="I21:I26" si="8">G21+H21</f>
        <v>331</v>
      </c>
      <c r="J21" s="28"/>
      <c r="K21" s="63">
        <f t="shared" ref="K21:K27" si="9">E21-I21-J21</f>
        <v>354</v>
      </c>
      <c r="N21" s="41"/>
    </row>
    <row r="22" spans="1:14">
      <c r="A22" s="7" t="s">
        <v>18</v>
      </c>
      <c r="B22" s="69">
        <v>1326</v>
      </c>
      <c r="C22" s="2"/>
      <c r="D22" s="3"/>
      <c r="E22" s="34">
        <f t="shared" si="7"/>
        <v>1326</v>
      </c>
      <c r="F22" s="35">
        <f>F12</f>
        <v>1608</v>
      </c>
      <c r="G22" s="35">
        <f>F22/24</f>
        <v>67</v>
      </c>
      <c r="H22" s="34"/>
      <c r="I22" s="28">
        <f t="shared" si="8"/>
        <v>67</v>
      </c>
      <c r="J22" s="28"/>
      <c r="K22" s="63">
        <f t="shared" si="9"/>
        <v>1259</v>
      </c>
      <c r="N22" s="41"/>
    </row>
    <row r="23" spans="1:14">
      <c r="A23" s="42" t="s">
        <v>36</v>
      </c>
      <c r="B23" s="69">
        <v>1374</v>
      </c>
      <c r="C23" s="2">
        <v>3050</v>
      </c>
      <c r="D23" s="3"/>
      <c r="E23" s="34">
        <f t="shared" si="7"/>
        <v>4424</v>
      </c>
      <c r="F23" s="39"/>
      <c r="G23" s="35">
        <f>(F13/30)+(F7/22)+(F6/22)</f>
        <v>1429</v>
      </c>
      <c r="H23" s="34"/>
      <c r="I23" s="28">
        <f t="shared" si="8"/>
        <v>1429</v>
      </c>
      <c r="J23" s="28"/>
      <c r="K23" s="33">
        <f t="shared" si="9"/>
        <v>2995</v>
      </c>
      <c r="L23" s="41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832</v>
      </c>
      <c r="N24" s="41"/>
    </row>
    <row r="25" spans="1:14">
      <c r="A25" s="7" t="s">
        <v>16</v>
      </c>
      <c r="B25" s="70">
        <v>3426</v>
      </c>
      <c r="C25" s="2">
        <v>3497</v>
      </c>
      <c r="D25" s="3"/>
      <c r="E25" s="34">
        <f t="shared" si="7"/>
        <v>6923</v>
      </c>
      <c r="F25" s="35">
        <f>F4</f>
        <v>50208</v>
      </c>
      <c r="G25" s="35">
        <f>F25/24</f>
        <v>2092</v>
      </c>
      <c r="H25" s="34"/>
      <c r="I25" s="28">
        <f t="shared" si="8"/>
        <v>2092</v>
      </c>
      <c r="J25" s="28"/>
      <c r="K25" s="63">
        <f t="shared" si="9"/>
        <v>4831</v>
      </c>
      <c r="M25" s="62"/>
      <c r="N25" s="41"/>
    </row>
    <row r="26" spans="1:14">
      <c r="A26" s="7" t="s">
        <v>17</v>
      </c>
      <c r="B26" s="69">
        <v>200</v>
      </c>
      <c r="C26" s="2"/>
      <c r="D26" s="3"/>
      <c r="E26" s="34">
        <f t="shared" si="7"/>
        <v>200</v>
      </c>
      <c r="F26" s="35">
        <f>F5</f>
        <v>2712</v>
      </c>
      <c r="G26" s="35">
        <f>F26/24</f>
        <v>113</v>
      </c>
      <c r="H26" s="34"/>
      <c r="I26" s="28">
        <f t="shared" si="8"/>
        <v>113</v>
      </c>
      <c r="J26" s="28"/>
      <c r="K26" s="63">
        <f t="shared" si="9"/>
        <v>87</v>
      </c>
      <c r="N26" s="41"/>
    </row>
    <row r="27" spans="1:14">
      <c r="A27" s="7" t="s">
        <v>27</v>
      </c>
      <c r="B27" s="69">
        <v>547</v>
      </c>
      <c r="C27" s="2"/>
      <c r="D27" s="3"/>
      <c r="E27" s="34">
        <f t="shared" si="7"/>
        <v>547</v>
      </c>
      <c r="F27" s="35">
        <f>F11</f>
        <v>5976</v>
      </c>
      <c r="G27" s="35">
        <f>F27/24</f>
        <v>249</v>
      </c>
      <c r="H27" s="34"/>
      <c r="I27" s="28">
        <f>G27+H27</f>
        <v>249</v>
      </c>
      <c r="J27" s="28"/>
      <c r="K27" s="63">
        <f t="shared" si="9"/>
        <v>298</v>
      </c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69">
        <v>22380</v>
      </c>
      <c r="C29" s="2"/>
      <c r="D29" s="3"/>
      <c r="E29" s="34">
        <f t="shared" ref="E29:E36" si="10">B29+C29+D29</f>
        <v>22380</v>
      </c>
      <c r="F29" s="44">
        <f>'[1]September 2021'!$K$30</f>
        <v>8184</v>
      </c>
      <c r="G29" s="44">
        <f>F29*2</f>
        <v>16368</v>
      </c>
      <c r="H29" s="45"/>
      <c r="I29" s="28">
        <f t="shared" ref="I29:I36" si="11">G29+H29</f>
        <v>16368</v>
      </c>
      <c r="J29" s="28"/>
      <c r="K29" s="64">
        <f t="shared" ref="K29:K35" si="12">E29-I29-J29</f>
        <v>6012</v>
      </c>
      <c r="N29" s="41"/>
    </row>
    <row r="30" spans="1:14">
      <c r="A30" s="7" t="s">
        <v>31</v>
      </c>
      <c r="B30" s="69">
        <v>16796</v>
      </c>
      <c r="C30" s="2">
        <v>45500</v>
      </c>
      <c r="D30" s="3"/>
      <c r="E30" s="46">
        <f t="shared" si="10"/>
        <v>62296</v>
      </c>
      <c r="F30" s="47">
        <f>'[1]September 2021'!$L$30</f>
        <v>7212</v>
      </c>
      <c r="G30" s="44">
        <f>F30*4</f>
        <v>28848</v>
      </c>
      <c r="H30" s="45"/>
      <c r="I30" s="28">
        <f t="shared" si="11"/>
        <v>28848</v>
      </c>
      <c r="J30" s="28"/>
      <c r="K30" s="64">
        <f>E30-I30-J30</f>
        <v>33448</v>
      </c>
      <c r="N30" s="41"/>
    </row>
    <row r="31" spans="1:14">
      <c r="A31" s="7" t="s">
        <v>20</v>
      </c>
      <c r="B31" s="69">
        <v>5123</v>
      </c>
      <c r="C31" s="2"/>
      <c r="D31" s="3"/>
      <c r="E31" s="46">
        <f t="shared" si="10"/>
        <v>5123</v>
      </c>
      <c r="F31" s="49">
        <f>F29</f>
        <v>8184</v>
      </c>
      <c r="G31" s="44">
        <f>F31/12</f>
        <v>682</v>
      </c>
      <c r="H31" s="45"/>
      <c r="I31" s="28">
        <f t="shared" si="11"/>
        <v>682</v>
      </c>
      <c r="J31" s="28"/>
      <c r="K31" s="27">
        <f t="shared" si="12"/>
        <v>4441</v>
      </c>
      <c r="N31" s="41"/>
    </row>
    <row r="32" spans="1:14">
      <c r="A32" s="7" t="s">
        <v>25</v>
      </c>
      <c r="B32" s="69">
        <v>1013</v>
      </c>
      <c r="C32" s="4"/>
      <c r="D32" s="3"/>
      <c r="E32" s="46">
        <f t="shared" si="10"/>
        <v>1013</v>
      </c>
      <c r="F32" s="49">
        <f>F30</f>
        <v>7212</v>
      </c>
      <c r="G32" s="50">
        <f>F32/12</f>
        <v>601</v>
      </c>
      <c r="H32" s="51"/>
      <c r="I32" s="28">
        <f t="shared" si="11"/>
        <v>601</v>
      </c>
      <c r="J32" s="28"/>
      <c r="K32" s="27">
        <f t="shared" si="12"/>
        <v>412</v>
      </c>
      <c r="N32" s="41"/>
    </row>
    <row r="33" spans="1:14">
      <c r="A33" s="7" t="s">
        <v>21</v>
      </c>
      <c r="B33" s="69">
        <v>57873</v>
      </c>
      <c r="C33" s="2"/>
      <c r="D33" s="3"/>
      <c r="E33" s="46">
        <f t="shared" si="10"/>
        <v>57873</v>
      </c>
      <c r="F33" s="49">
        <f>F30</f>
        <v>7212</v>
      </c>
      <c r="G33" s="50">
        <f>F33*4</f>
        <v>28848</v>
      </c>
      <c r="H33" s="48"/>
      <c r="I33" s="28">
        <f t="shared" si="11"/>
        <v>28848</v>
      </c>
      <c r="J33" s="28"/>
      <c r="K33" s="27">
        <f t="shared" si="12"/>
        <v>29025</v>
      </c>
      <c r="N33" s="41"/>
    </row>
    <row r="34" spans="1:14">
      <c r="A34" s="7" t="s">
        <v>22</v>
      </c>
      <c r="B34" s="69">
        <v>2020</v>
      </c>
      <c r="C34" s="4">
        <f>57500+20000</f>
        <v>77500</v>
      </c>
      <c r="D34" s="3"/>
      <c r="E34" s="46">
        <f t="shared" si="10"/>
        <v>79520</v>
      </c>
      <c r="F34" s="49">
        <f>F29</f>
        <v>8184</v>
      </c>
      <c r="G34" s="50">
        <f>F34*2</f>
        <v>16368</v>
      </c>
      <c r="H34" s="51"/>
      <c r="I34" s="28">
        <f t="shared" si="11"/>
        <v>16368</v>
      </c>
      <c r="J34" s="28"/>
      <c r="K34" s="27">
        <f t="shared" si="12"/>
        <v>63152</v>
      </c>
      <c r="N34" s="41"/>
    </row>
    <row r="35" spans="1:14">
      <c r="A35" s="7" t="s">
        <v>23</v>
      </c>
      <c r="B35" s="69">
        <v>76798</v>
      </c>
      <c r="C35" s="4">
        <f>39000+39000</f>
        <v>78000</v>
      </c>
      <c r="D35" s="3"/>
      <c r="E35" s="46">
        <f t="shared" si="10"/>
        <v>154798</v>
      </c>
      <c r="F35" s="49">
        <f>F29</f>
        <v>8184</v>
      </c>
      <c r="G35" s="50">
        <f>F35*2</f>
        <v>16368</v>
      </c>
      <c r="H35" s="51"/>
      <c r="I35" s="28">
        <f t="shared" si="11"/>
        <v>16368</v>
      </c>
      <c r="J35" s="28"/>
      <c r="K35" s="27">
        <f t="shared" si="12"/>
        <v>138430</v>
      </c>
      <c r="N35" s="41"/>
    </row>
    <row r="36" spans="1:14" ht="15.75" thickBot="1">
      <c r="A36" s="52" t="s">
        <v>32</v>
      </c>
      <c r="B36" s="71">
        <v>47336</v>
      </c>
      <c r="C36" s="54"/>
      <c r="D36" s="55"/>
      <c r="E36" s="56">
        <f t="shared" si="10"/>
        <v>47336</v>
      </c>
      <c r="F36" s="57">
        <f>F29</f>
        <v>8184</v>
      </c>
      <c r="G36" s="58">
        <f>F36*2</f>
        <v>16368</v>
      </c>
      <c r="H36" s="59"/>
      <c r="I36" s="60">
        <f t="shared" si="11"/>
        <v>16368</v>
      </c>
      <c r="J36" s="60"/>
      <c r="K36" s="66">
        <f>E36-I36-J36</f>
        <v>30968</v>
      </c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paperSize="9" scale="77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  <pageSetUpPr fitToPage="1"/>
  </sheetPr>
  <dimension ref="A1:N39"/>
  <sheetViews>
    <sheetView zoomScaleNormal="100" workbookViewId="0">
      <selection activeCell="N34" sqref="N34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3" t="s">
        <v>47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2580.5</v>
      </c>
      <c r="C4" s="27"/>
      <c r="D4" s="3"/>
      <c r="E4" s="28">
        <f t="shared" ref="E4:E7" si="0">B4+C4+D4</f>
        <v>2580.5</v>
      </c>
      <c r="F4" s="29">
        <f>'[1]October 2021'!$J$30</f>
        <v>52560</v>
      </c>
      <c r="G4" s="29">
        <f>F4*0.024</f>
        <v>1261.44</v>
      </c>
      <c r="H4" s="28"/>
      <c r="I4" s="28">
        <f>G4+H4</f>
        <v>1261.44</v>
      </c>
      <c r="J4" s="28"/>
      <c r="K4" s="29">
        <f>E4-I4-J4</f>
        <v>1319.06</v>
      </c>
      <c r="M4"/>
      <c r="N4" s="41"/>
    </row>
    <row r="5" spans="1:14">
      <c r="A5" s="7" t="s">
        <v>10</v>
      </c>
      <c r="B5" s="69">
        <v>944.85</v>
      </c>
      <c r="C5" s="27"/>
      <c r="D5" s="3"/>
      <c r="E5" s="28">
        <f t="shared" si="0"/>
        <v>944.85</v>
      </c>
      <c r="F5" s="29">
        <f>'[1]October 2021'!$C$30</f>
        <v>5832</v>
      </c>
      <c r="G5" s="29">
        <f>F5*0.024</f>
        <v>139.96799999999999</v>
      </c>
      <c r="H5" s="28"/>
      <c r="I5" s="28">
        <f t="shared" ref="I5:I6" si="1">G5+H5</f>
        <v>139.96799999999999</v>
      </c>
      <c r="J5" s="28"/>
      <c r="K5" s="28">
        <f>E5-I5-J5</f>
        <v>804.88200000000006</v>
      </c>
      <c r="M5"/>
      <c r="N5" s="41"/>
    </row>
    <row r="6" spans="1:14">
      <c r="A6" s="7" t="s">
        <v>37</v>
      </c>
      <c r="B6" s="69">
        <v>883.07</v>
      </c>
      <c r="C6" s="27"/>
      <c r="D6" s="3"/>
      <c r="E6" s="28">
        <f t="shared" si="0"/>
        <v>883.07</v>
      </c>
      <c r="F6" s="29">
        <f>'[1]October 2021'!$G$30</f>
        <v>198</v>
      </c>
      <c r="G6" s="29">
        <f>F6*0.108</f>
        <v>21.384</v>
      </c>
      <c r="H6" s="28"/>
      <c r="I6" s="28">
        <f t="shared" si="1"/>
        <v>21.384</v>
      </c>
      <c r="J6" s="28"/>
      <c r="K6" s="28">
        <f>E6-I6-J6</f>
        <v>861.68600000000004</v>
      </c>
      <c r="M6"/>
      <c r="N6" s="41"/>
    </row>
    <row r="7" spans="1:14">
      <c r="A7" s="7" t="s">
        <v>38</v>
      </c>
      <c r="B7" s="69">
        <v>660.15</v>
      </c>
      <c r="C7" s="27"/>
      <c r="D7" s="3"/>
      <c r="E7" s="28">
        <f t="shared" si="0"/>
        <v>660.15</v>
      </c>
      <c r="F7" s="29">
        <f>'[1]October 2021'!$F$30</f>
        <v>836</v>
      </c>
      <c r="G7" s="29">
        <f>F7*0.075</f>
        <v>62.699999999999996</v>
      </c>
      <c r="H7" s="28"/>
      <c r="I7" s="28">
        <f>G7+H7</f>
        <v>62.699999999999996</v>
      </c>
      <c r="J7" s="28"/>
      <c r="K7" s="28">
        <f>E7-I7-J7</f>
        <v>597.44999999999993</v>
      </c>
      <c r="M7"/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'[1]October 2021'!$E$30</f>
        <v>1080</v>
      </c>
      <c r="G8" s="29">
        <f>F8*0.035</f>
        <v>37.800000000000004</v>
      </c>
      <c r="H8" s="28"/>
      <c r="I8" s="28">
        <f t="shared" ref="I8" si="2">G8+H8</f>
        <v>37.800000000000004</v>
      </c>
      <c r="J8" s="28"/>
      <c r="K8" s="28">
        <f t="shared" ref="K8" si="3">E8-I8-J8</f>
        <v>568.24</v>
      </c>
      <c r="M8"/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M9"/>
      <c r="N9" s="41"/>
    </row>
    <row r="10" spans="1:14">
      <c r="A10" s="7" t="s">
        <v>11</v>
      </c>
      <c r="B10" s="69">
        <v>58424</v>
      </c>
      <c r="C10" s="2"/>
      <c r="D10" s="3"/>
      <c r="E10" s="34">
        <f>B10+C10+D10</f>
        <v>58424</v>
      </c>
      <c r="F10" s="35">
        <f>'[1]October 2021'!$H$30</f>
        <v>10896</v>
      </c>
      <c r="G10" s="35">
        <f>F10*1</f>
        <v>10896</v>
      </c>
      <c r="H10" s="2"/>
      <c r="I10" s="28">
        <f t="shared" ref="I10:I13" si="4">G10+H10</f>
        <v>10896</v>
      </c>
      <c r="J10" s="28"/>
      <c r="K10" s="63">
        <f>E10-I10-J10</f>
        <v>47528</v>
      </c>
      <c r="M10"/>
      <c r="N10" s="41"/>
    </row>
    <row r="11" spans="1:14">
      <c r="A11" s="7" t="s">
        <v>26</v>
      </c>
      <c r="B11" s="69">
        <v>31605</v>
      </c>
      <c r="C11" s="2"/>
      <c r="D11" s="3"/>
      <c r="E11" s="34">
        <f>B11+C11+D11</f>
        <v>31605</v>
      </c>
      <c r="F11" s="35">
        <f>'[1]October 2021'!$I$30</f>
        <v>6912</v>
      </c>
      <c r="G11" s="35">
        <f>F11*2</f>
        <v>13824</v>
      </c>
      <c r="H11" s="34"/>
      <c r="I11" s="28">
        <f t="shared" si="4"/>
        <v>13824</v>
      </c>
      <c r="J11" s="28"/>
      <c r="K11" s="63">
        <f>E11-I11-J11</f>
        <v>17781</v>
      </c>
      <c r="M11"/>
      <c r="N11" s="41">
        <v>4</v>
      </c>
    </row>
    <row r="12" spans="1:14">
      <c r="A12" s="7" t="s">
        <v>12</v>
      </c>
      <c r="B12" s="69">
        <v>3624</v>
      </c>
      <c r="C12" s="2"/>
      <c r="D12" s="3"/>
      <c r="E12" s="34">
        <f>B12+C12+D12</f>
        <v>3624</v>
      </c>
      <c r="F12" s="35">
        <f>'[1]October 2021'!$B$30</f>
        <v>1344</v>
      </c>
      <c r="G12" s="35">
        <f>F12*1</f>
        <v>1344</v>
      </c>
      <c r="H12" s="34"/>
      <c r="I12" s="28">
        <f t="shared" si="4"/>
        <v>1344</v>
      </c>
      <c r="J12" s="28"/>
      <c r="K12" s="63">
        <f>E12-I12-J12</f>
        <v>2280</v>
      </c>
      <c r="M12"/>
      <c r="N12" s="41"/>
    </row>
    <row r="13" spans="1:14">
      <c r="A13" s="7" t="s">
        <v>13</v>
      </c>
      <c r="B13" s="69">
        <v>1422</v>
      </c>
      <c r="C13" s="2">
        <f>1300+2200</f>
        <v>3500</v>
      </c>
      <c r="D13" s="3"/>
      <c r="E13" s="34">
        <f>B13+C13+D13</f>
        <v>4922</v>
      </c>
      <c r="F13" s="35">
        <f>'[1]October 2021'!$D$30</f>
        <v>44820</v>
      </c>
      <c r="G13" s="35">
        <f>F13/5</f>
        <v>8964</v>
      </c>
      <c r="H13" s="34"/>
      <c r="I13" s="28">
        <f t="shared" si="4"/>
        <v>8964</v>
      </c>
      <c r="J13" s="28"/>
      <c r="K13" s="63">
        <f>E13-I13-J13</f>
        <v>-4042</v>
      </c>
      <c r="L13" s="62"/>
      <c r="M13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M14"/>
      <c r="N14" s="41"/>
    </row>
    <row r="15" spans="1:14">
      <c r="A15" s="7" t="s">
        <v>14</v>
      </c>
      <c r="B15" s="67">
        <v>66744</v>
      </c>
      <c r="C15" s="2"/>
      <c r="D15" s="3"/>
      <c r="E15" s="34">
        <f t="shared" ref="E15:E19" si="5">B15+C15+D15</f>
        <v>66744</v>
      </c>
      <c r="F15" s="35">
        <f>F13</f>
        <v>44820</v>
      </c>
      <c r="G15" s="35">
        <f>F15/5</f>
        <v>8964</v>
      </c>
      <c r="H15" s="34"/>
      <c r="I15" s="28">
        <f t="shared" ref="I15:I19" si="6">G15+H15</f>
        <v>8964</v>
      </c>
      <c r="J15" s="28"/>
      <c r="K15" s="63">
        <f>E15-I15-J15</f>
        <v>57780</v>
      </c>
      <c r="M15"/>
      <c r="N15" s="41"/>
    </row>
    <row r="16" spans="1:14">
      <c r="A16" s="7" t="s">
        <v>15</v>
      </c>
      <c r="B16" s="69">
        <v>104632</v>
      </c>
      <c r="C16" s="2"/>
      <c r="D16" s="3"/>
      <c r="E16" s="34">
        <f t="shared" si="5"/>
        <v>104632</v>
      </c>
      <c r="F16" s="35">
        <f>F4+F5</f>
        <v>58392</v>
      </c>
      <c r="G16" s="35">
        <f>F16/2</f>
        <v>29196</v>
      </c>
      <c r="H16" s="34"/>
      <c r="I16" s="28">
        <f t="shared" si="6"/>
        <v>29196</v>
      </c>
      <c r="J16" s="28"/>
      <c r="K16" s="63">
        <f>E16-I16-J16</f>
        <v>75436</v>
      </c>
      <c r="M16"/>
      <c r="N16" s="41"/>
    </row>
    <row r="17" spans="1:14">
      <c r="A17" s="7" t="s">
        <v>28</v>
      </c>
      <c r="B17" s="69">
        <v>52450</v>
      </c>
      <c r="C17" s="2"/>
      <c r="D17" s="3"/>
      <c r="E17" s="34">
        <f t="shared" si="5"/>
        <v>52450</v>
      </c>
      <c r="F17" s="35">
        <f>F6</f>
        <v>198</v>
      </c>
      <c r="G17" s="35">
        <f>(F17/22)*50</f>
        <v>450</v>
      </c>
      <c r="H17" s="34"/>
      <c r="I17" s="28">
        <f t="shared" si="6"/>
        <v>450</v>
      </c>
      <c r="J17" s="28"/>
      <c r="K17" s="63">
        <f>E17-I17-J17</f>
        <v>52000</v>
      </c>
      <c r="M17"/>
      <c r="N17" s="41"/>
    </row>
    <row r="18" spans="1:14">
      <c r="A18" s="7" t="s">
        <v>29</v>
      </c>
      <c r="B18" s="69">
        <v>177489</v>
      </c>
      <c r="C18" s="2"/>
      <c r="D18" s="3"/>
      <c r="E18" s="34">
        <f t="shared" si="5"/>
        <v>177489</v>
      </c>
      <c r="F18" s="39">
        <f>F7</f>
        <v>836</v>
      </c>
      <c r="G18" s="35">
        <f>(F18/22)*25</f>
        <v>950</v>
      </c>
      <c r="H18" s="34"/>
      <c r="I18" s="28">
        <f t="shared" si="6"/>
        <v>950</v>
      </c>
      <c r="J18" s="28"/>
      <c r="K18" s="63">
        <f>E18-I18-J18</f>
        <v>176539</v>
      </c>
      <c r="M18"/>
      <c r="N18" s="41"/>
    </row>
    <row r="19" spans="1:14">
      <c r="A19" s="7" t="s">
        <v>41</v>
      </c>
      <c r="B19" s="69">
        <v>438</v>
      </c>
      <c r="C19" s="2">
        <v>45660</v>
      </c>
      <c r="D19" s="3"/>
      <c r="E19" s="34">
        <f t="shared" si="5"/>
        <v>46098</v>
      </c>
      <c r="F19" s="39">
        <f>F8</f>
        <v>1080</v>
      </c>
      <c r="G19" s="35">
        <f>F19/2</f>
        <v>540</v>
      </c>
      <c r="H19" s="34"/>
      <c r="I19" s="28">
        <f t="shared" si="6"/>
        <v>540</v>
      </c>
      <c r="J19" s="28"/>
      <c r="K19" s="63">
        <f>E19-I19-J19</f>
        <v>45558</v>
      </c>
      <c r="M19"/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M20"/>
      <c r="N20" s="41"/>
    </row>
    <row r="21" spans="1:14">
      <c r="A21" s="7" t="s">
        <v>19</v>
      </c>
      <c r="B21" s="69">
        <v>354</v>
      </c>
      <c r="C21" s="2">
        <v>1087</v>
      </c>
      <c r="D21" s="3"/>
      <c r="E21" s="34">
        <f t="shared" ref="E21:E27" si="7">B21+C21+D21</f>
        <v>1441</v>
      </c>
      <c r="F21" s="35">
        <f>F10</f>
        <v>10896</v>
      </c>
      <c r="G21" s="35">
        <f>F21/24</f>
        <v>454</v>
      </c>
      <c r="H21" s="34"/>
      <c r="I21" s="28">
        <f t="shared" ref="I21:I26" si="8">G21+H21</f>
        <v>454</v>
      </c>
      <c r="J21" s="28"/>
      <c r="K21" s="63">
        <f t="shared" ref="K21:K27" si="9">E21-I21-J21</f>
        <v>987</v>
      </c>
      <c r="M21"/>
      <c r="N21" s="41"/>
    </row>
    <row r="22" spans="1:14">
      <c r="A22" s="7" t="s">
        <v>18</v>
      </c>
      <c r="B22" s="69">
        <v>1259</v>
      </c>
      <c r="C22" s="2"/>
      <c r="D22" s="3"/>
      <c r="E22" s="34">
        <f t="shared" si="7"/>
        <v>1259</v>
      </c>
      <c r="F22" s="35">
        <f>F12</f>
        <v>1344</v>
      </c>
      <c r="G22" s="35">
        <f>F22/24</f>
        <v>56</v>
      </c>
      <c r="H22" s="34"/>
      <c r="I22" s="28">
        <f t="shared" si="8"/>
        <v>56</v>
      </c>
      <c r="J22" s="28"/>
      <c r="K22" s="63">
        <f t="shared" si="9"/>
        <v>1203</v>
      </c>
      <c r="M22"/>
      <c r="N22" s="41"/>
    </row>
    <row r="23" spans="1:14">
      <c r="A23" s="42" t="s">
        <v>36</v>
      </c>
      <c r="B23" s="69">
        <v>2995</v>
      </c>
      <c r="C23" s="2"/>
      <c r="D23" s="3"/>
      <c r="E23" s="34">
        <f t="shared" si="7"/>
        <v>2995</v>
      </c>
      <c r="F23" s="39"/>
      <c r="G23" s="35">
        <f>(F13/30)+(F7/22)+(F6/22)</f>
        <v>1541</v>
      </c>
      <c r="H23" s="34"/>
      <c r="I23" s="28">
        <f t="shared" si="8"/>
        <v>1541</v>
      </c>
      <c r="J23" s="28"/>
      <c r="K23" s="33">
        <f t="shared" si="9"/>
        <v>1454</v>
      </c>
      <c r="L23" s="41"/>
      <c r="M23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1080</v>
      </c>
      <c r="G24" s="35">
        <f>(F19/24)</f>
        <v>45</v>
      </c>
      <c r="H24" s="34"/>
      <c r="I24" s="28">
        <f t="shared" si="8"/>
        <v>45</v>
      </c>
      <c r="J24" s="28"/>
      <c r="K24" s="63">
        <f t="shared" si="9"/>
        <v>787</v>
      </c>
      <c r="M24"/>
      <c r="N24" s="41"/>
    </row>
    <row r="25" spans="1:14">
      <c r="A25" s="7" t="s">
        <v>16</v>
      </c>
      <c r="B25" s="70">
        <v>4831</v>
      </c>
      <c r="C25" s="2">
        <f>1247+830</f>
        <v>2077</v>
      </c>
      <c r="D25" s="3"/>
      <c r="E25" s="34">
        <f t="shared" si="7"/>
        <v>6908</v>
      </c>
      <c r="F25" s="35">
        <f>F4</f>
        <v>52560</v>
      </c>
      <c r="G25" s="35">
        <f>F25/24</f>
        <v>2190</v>
      </c>
      <c r="H25" s="34"/>
      <c r="I25" s="28">
        <f t="shared" si="8"/>
        <v>2190</v>
      </c>
      <c r="J25" s="28"/>
      <c r="K25" s="63">
        <f t="shared" si="9"/>
        <v>4718</v>
      </c>
      <c r="M25"/>
      <c r="N25" s="41"/>
    </row>
    <row r="26" spans="1:14">
      <c r="A26" s="7" t="s">
        <v>17</v>
      </c>
      <c r="B26" s="69">
        <v>87</v>
      </c>
      <c r="C26" s="2">
        <v>1085</v>
      </c>
      <c r="D26" s="3"/>
      <c r="E26" s="34">
        <f t="shared" si="7"/>
        <v>1172</v>
      </c>
      <c r="F26" s="35">
        <f>F5</f>
        <v>5832</v>
      </c>
      <c r="G26" s="35">
        <f>F26/24</f>
        <v>243</v>
      </c>
      <c r="H26" s="34"/>
      <c r="I26" s="28">
        <f t="shared" si="8"/>
        <v>243</v>
      </c>
      <c r="J26" s="28"/>
      <c r="K26" s="63">
        <f t="shared" si="9"/>
        <v>929</v>
      </c>
      <c r="M26"/>
      <c r="N26" s="41"/>
    </row>
    <row r="27" spans="1:14">
      <c r="A27" s="7" t="s">
        <v>27</v>
      </c>
      <c r="B27" s="69">
        <v>298</v>
      </c>
      <c r="C27" s="2"/>
      <c r="D27" s="3"/>
      <c r="E27" s="34">
        <f t="shared" si="7"/>
        <v>298</v>
      </c>
      <c r="F27" s="35">
        <f>F11</f>
        <v>6912</v>
      </c>
      <c r="G27" s="35">
        <f>F27/24</f>
        <v>288</v>
      </c>
      <c r="H27" s="34"/>
      <c r="I27" s="28">
        <f>G27+H27</f>
        <v>288</v>
      </c>
      <c r="J27" s="28"/>
      <c r="K27" s="63">
        <f t="shared" si="9"/>
        <v>10</v>
      </c>
      <c r="M27"/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M28"/>
      <c r="N28" s="41"/>
    </row>
    <row r="29" spans="1:14">
      <c r="A29" s="7" t="s">
        <v>24</v>
      </c>
      <c r="B29" s="69">
        <v>6012</v>
      </c>
      <c r="C29" s="2">
        <v>30564</v>
      </c>
      <c r="D29" s="3"/>
      <c r="E29" s="34">
        <f t="shared" ref="E29:E36" si="10">B29+C29+D29</f>
        <v>36576</v>
      </c>
      <c r="F29" s="44">
        <f>'[1]October 2021'!$K$30</f>
        <v>10188</v>
      </c>
      <c r="G29" s="44">
        <f>F29*2</f>
        <v>20376</v>
      </c>
      <c r="H29" s="45"/>
      <c r="I29" s="28">
        <f t="shared" ref="I29:I36" si="11">G29+H29</f>
        <v>20376</v>
      </c>
      <c r="J29" s="28"/>
      <c r="K29" s="64">
        <f t="shared" ref="K29:K35" si="12">E29-I29-J29</f>
        <v>16200</v>
      </c>
      <c r="M29"/>
      <c r="N29" s="41"/>
    </row>
    <row r="30" spans="1:14">
      <c r="A30" s="7" t="s">
        <v>31</v>
      </c>
      <c r="B30" s="69">
        <v>33448</v>
      </c>
      <c r="C30" s="2"/>
      <c r="D30" s="3"/>
      <c r="E30" s="46">
        <f t="shared" si="10"/>
        <v>33448</v>
      </c>
      <c r="F30" s="47">
        <f>'[1]October 2021'!$L$30</f>
        <v>132</v>
      </c>
      <c r="G30" s="44">
        <f>F30*4</f>
        <v>528</v>
      </c>
      <c r="H30" s="45"/>
      <c r="I30" s="28">
        <f t="shared" si="11"/>
        <v>528</v>
      </c>
      <c r="J30" s="28"/>
      <c r="K30" s="64">
        <f>E30-I30-J30</f>
        <v>32920</v>
      </c>
      <c r="M30"/>
      <c r="N30" s="41"/>
    </row>
    <row r="31" spans="1:14">
      <c r="A31" s="7" t="s">
        <v>20</v>
      </c>
      <c r="B31" s="69">
        <v>4441</v>
      </c>
      <c r="C31" s="2"/>
      <c r="D31" s="3"/>
      <c r="E31" s="46">
        <f t="shared" si="10"/>
        <v>4441</v>
      </c>
      <c r="F31" s="49">
        <f>F29</f>
        <v>10188</v>
      </c>
      <c r="G31" s="44">
        <f>F31/12</f>
        <v>849</v>
      </c>
      <c r="H31" s="45"/>
      <c r="I31" s="28">
        <f t="shared" si="11"/>
        <v>849</v>
      </c>
      <c r="J31" s="28"/>
      <c r="K31" s="27">
        <f t="shared" si="12"/>
        <v>3592</v>
      </c>
      <c r="M31"/>
      <c r="N31" s="41"/>
    </row>
    <row r="32" spans="1:14">
      <c r="A32" s="7" t="s">
        <v>25</v>
      </c>
      <c r="B32" s="69">
        <v>412</v>
      </c>
      <c r="C32" s="4"/>
      <c r="D32" s="3"/>
      <c r="E32" s="46">
        <f t="shared" si="10"/>
        <v>412</v>
      </c>
      <c r="F32" s="49">
        <f>F30</f>
        <v>132</v>
      </c>
      <c r="G32" s="50">
        <f>F32/12</f>
        <v>11</v>
      </c>
      <c r="H32" s="51"/>
      <c r="I32" s="28">
        <f t="shared" si="11"/>
        <v>11</v>
      </c>
      <c r="J32" s="28"/>
      <c r="K32" s="27">
        <f t="shared" si="12"/>
        <v>401</v>
      </c>
      <c r="M32"/>
      <c r="N32" s="41"/>
    </row>
    <row r="33" spans="1:14">
      <c r="A33" s="7" t="s">
        <v>21</v>
      </c>
      <c r="B33" s="69">
        <v>29025</v>
      </c>
      <c r="C33" s="2">
        <f>45900+50000</f>
        <v>95900</v>
      </c>
      <c r="D33" s="3"/>
      <c r="E33" s="46">
        <f t="shared" si="10"/>
        <v>124925</v>
      </c>
      <c r="F33" s="49">
        <f>F30</f>
        <v>132</v>
      </c>
      <c r="G33" s="50">
        <f>F33*4</f>
        <v>528</v>
      </c>
      <c r="H33" s="48"/>
      <c r="I33" s="28">
        <f t="shared" si="11"/>
        <v>528</v>
      </c>
      <c r="J33" s="28"/>
      <c r="K33" s="27">
        <f t="shared" si="12"/>
        <v>124397</v>
      </c>
      <c r="M33"/>
      <c r="N33" s="41"/>
    </row>
    <row r="34" spans="1:14">
      <c r="A34" s="7" t="s">
        <v>22</v>
      </c>
      <c r="B34" s="69">
        <v>63152</v>
      </c>
      <c r="C34" s="4"/>
      <c r="D34" s="3"/>
      <c r="E34" s="46">
        <f t="shared" si="10"/>
        <v>63152</v>
      </c>
      <c r="F34" s="49">
        <f>F29</f>
        <v>10188</v>
      </c>
      <c r="G34" s="50">
        <f>F34*2</f>
        <v>20376</v>
      </c>
      <c r="H34" s="51"/>
      <c r="I34" s="28">
        <f t="shared" si="11"/>
        <v>20376</v>
      </c>
      <c r="J34" s="28"/>
      <c r="K34" s="27">
        <f t="shared" si="12"/>
        <v>42776</v>
      </c>
      <c r="M34"/>
      <c r="N34" s="41"/>
    </row>
    <row r="35" spans="1:14">
      <c r="A35" s="7" t="s">
        <v>23</v>
      </c>
      <c r="B35" s="69">
        <v>138430</v>
      </c>
      <c r="C35" s="4"/>
      <c r="D35" s="3"/>
      <c r="E35" s="46">
        <f t="shared" si="10"/>
        <v>138430</v>
      </c>
      <c r="F35" s="49">
        <f>F29</f>
        <v>10188</v>
      </c>
      <c r="G35" s="50">
        <f>F35*2</f>
        <v>20376</v>
      </c>
      <c r="H35" s="51"/>
      <c r="I35" s="28">
        <f t="shared" si="11"/>
        <v>20376</v>
      </c>
      <c r="J35" s="28"/>
      <c r="K35" s="27">
        <f t="shared" si="12"/>
        <v>118054</v>
      </c>
      <c r="M35"/>
      <c r="N35" s="41"/>
    </row>
    <row r="36" spans="1:14" ht="15.75" thickBot="1">
      <c r="A36" s="52" t="s">
        <v>32</v>
      </c>
      <c r="B36" s="71">
        <v>30968</v>
      </c>
      <c r="C36" s="54"/>
      <c r="D36" s="55"/>
      <c r="E36" s="56">
        <f t="shared" si="10"/>
        <v>30968</v>
      </c>
      <c r="F36" s="57">
        <f>F29</f>
        <v>10188</v>
      </c>
      <c r="G36" s="58">
        <f>F36*2</f>
        <v>20376</v>
      </c>
      <c r="H36" s="59"/>
      <c r="I36" s="60">
        <f t="shared" si="11"/>
        <v>20376</v>
      </c>
      <c r="J36" s="60"/>
      <c r="K36" s="66">
        <f>E36-I36-J36</f>
        <v>10592</v>
      </c>
      <c r="M36"/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paperSize="9" scale="92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  <pageSetUpPr fitToPage="1"/>
  </sheetPr>
  <dimension ref="A1:R39"/>
  <sheetViews>
    <sheetView zoomScaleNormal="100" workbookViewId="0">
      <selection activeCell="I38" sqref="I38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8" ht="15.75" thickBot="1">
      <c r="A1" s="73" t="s">
        <v>49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8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8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8">
      <c r="A4" s="7" t="s">
        <v>9</v>
      </c>
      <c r="B4" s="69">
        <v>1319.1</v>
      </c>
      <c r="C4" s="27">
        <v>3100.13</v>
      </c>
      <c r="D4" s="3"/>
      <c r="E4" s="28">
        <f t="shared" ref="E4:E7" si="0">B4+C4+D4</f>
        <v>4419.2299999999996</v>
      </c>
      <c r="F4" s="29">
        <f>'[1]November 2021'!$J$30</f>
        <v>53376</v>
      </c>
      <c r="G4" s="29">
        <f>F4*0.024</f>
        <v>1281.0240000000001</v>
      </c>
      <c r="H4" s="28"/>
      <c r="I4" s="28">
        <f>G4+H4</f>
        <v>1281.0240000000001</v>
      </c>
      <c r="J4" s="28"/>
      <c r="K4" s="29">
        <f>E4-I4-J4</f>
        <v>3138.2059999999992</v>
      </c>
      <c r="M4"/>
      <c r="N4" s="41"/>
    </row>
    <row r="5" spans="1:18">
      <c r="A5" s="7" t="s">
        <v>10</v>
      </c>
      <c r="B5" s="69">
        <v>804.88</v>
      </c>
      <c r="C5" s="27"/>
      <c r="D5" s="3"/>
      <c r="E5" s="28">
        <f t="shared" si="0"/>
        <v>804.88</v>
      </c>
      <c r="F5" s="29">
        <f>'[1]November 2021'!$C$30</f>
        <v>6552</v>
      </c>
      <c r="G5" s="29">
        <f>F5*0.024</f>
        <v>157.24799999999999</v>
      </c>
      <c r="H5" s="28"/>
      <c r="I5" s="28">
        <f t="shared" ref="I5:I6" si="1">G5+H5</f>
        <v>157.24799999999999</v>
      </c>
      <c r="J5" s="28"/>
      <c r="K5" s="28">
        <f>E5-I5-J5</f>
        <v>647.63200000000006</v>
      </c>
      <c r="M5"/>
      <c r="N5" s="41"/>
    </row>
    <row r="6" spans="1:18">
      <c r="A6" s="7" t="s">
        <v>37</v>
      </c>
      <c r="B6" s="69">
        <v>861.69</v>
      </c>
      <c r="C6" s="27"/>
      <c r="D6" s="3"/>
      <c r="E6" s="28">
        <f t="shared" si="0"/>
        <v>861.69</v>
      </c>
      <c r="F6" s="29">
        <f>'[1]November 2021'!$G$30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828.42600000000004</v>
      </c>
      <c r="M6"/>
      <c r="N6" s="41"/>
    </row>
    <row r="7" spans="1:18">
      <c r="A7" s="7" t="s">
        <v>38</v>
      </c>
      <c r="B7" s="69">
        <v>597.45000000000005</v>
      </c>
      <c r="C7" s="27"/>
      <c r="D7" s="3"/>
      <c r="E7" s="28">
        <f t="shared" si="0"/>
        <v>597.45000000000005</v>
      </c>
      <c r="F7" s="29">
        <f>'[1]November 2021'!$F$30</f>
        <v>1430</v>
      </c>
      <c r="G7" s="29">
        <f>F7*0.075</f>
        <v>107.25</v>
      </c>
      <c r="H7" s="28"/>
      <c r="I7" s="28">
        <f>G7+H7</f>
        <v>107.25</v>
      </c>
      <c r="J7" s="28"/>
      <c r="K7" s="28">
        <f>E7-I7-J7</f>
        <v>490.20000000000005</v>
      </c>
      <c r="M7"/>
      <c r="N7" s="41"/>
    </row>
    <row r="8" spans="1:18">
      <c r="A8" s="7" t="s">
        <v>35</v>
      </c>
      <c r="B8" s="69">
        <v>568.24</v>
      </c>
      <c r="C8" s="27"/>
      <c r="D8" s="3"/>
      <c r="E8" s="28">
        <f>B8+C8+D8</f>
        <v>568.24</v>
      </c>
      <c r="F8" s="29">
        <f>'[1]November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568.24</v>
      </c>
      <c r="M8" s="72"/>
      <c r="N8"/>
      <c r="O8"/>
      <c r="P8"/>
      <c r="Q8"/>
      <c r="R8"/>
    </row>
    <row r="9" spans="1:18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M9" s="72"/>
      <c r="N9"/>
      <c r="O9"/>
      <c r="P9"/>
      <c r="Q9"/>
      <c r="R9"/>
    </row>
    <row r="10" spans="1:18">
      <c r="A10" s="7" t="s">
        <v>11</v>
      </c>
      <c r="B10" s="69">
        <v>47528</v>
      </c>
      <c r="C10" s="2"/>
      <c r="D10" s="3"/>
      <c r="E10" s="34">
        <f>B10+C10+D10</f>
        <v>47528</v>
      </c>
      <c r="F10" s="35">
        <f>'[1]November 2021'!$H$30</f>
        <v>12072</v>
      </c>
      <c r="G10" s="35">
        <f>F10*1</f>
        <v>12072</v>
      </c>
      <c r="H10" s="2"/>
      <c r="I10" s="28">
        <f t="shared" ref="I10:I13" si="4">G10+H10</f>
        <v>12072</v>
      </c>
      <c r="J10" s="28"/>
      <c r="K10" s="63">
        <f>E10-I10-J10</f>
        <v>35456</v>
      </c>
      <c r="M10" s="72"/>
      <c r="N10"/>
      <c r="O10"/>
      <c r="P10"/>
      <c r="Q10"/>
      <c r="R10"/>
    </row>
    <row r="11" spans="1:18">
      <c r="A11" s="7" t="s">
        <v>26</v>
      </c>
      <c r="B11" s="69">
        <v>17781</v>
      </c>
      <c r="C11" s="2">
        <v>51475</v>
      </c>
      <c r="D11" s="3"/>
      <c r="E11" s="34">
        <f>B11+C11+D11</f>
        <v>69256</v>
      </c>
      <c r="F11" s="35">
        <f>'[1]November 2021'!$I$30</f>
        <v>4776</v>
      </c>
      <c r="G11" s="35">
        <f>F11*2</f>
        <v>9552</v>
      </c>
      <c r="H11" s="34"/>
      <c r="I11" s="28">
        <f t="shared" si="4"/>
        <v>9552</v>
      </c>
      <c r="J11" s="28"/>
      <c r="K11" s="63">
        <f>E11-I11-J11</f>
        <v>59704</v>
      </c>
      <c r="M11" s="72"/>
      <c r="N11"/>
      <c r="O11"/>
      <c r="P11"/>
      <c r="Q11"/>
      <c r="R11"/>
    </row>
    <row r="12" spans="1:18">
      <c r="A12" s="7" t="s">
        <v>12</v>
      </c>
      <c r="B12" s="69">
        <v>2280</v>
      </c>
      <c r="C12" s="2"/>
      <c r="D12" s="3"/>
      <c r="E12" s="34">
        <f>B12+C12+D12</f>
        <v>2280</v>
      </c>
      <c r="F12" s="35">
        <f>'[1]November 2021'!$B$30</f>
        <v>264</v>
      </c>
      <c r="G12" s="35">
        <f>F12*1</f>
        <v>264</v>
      </c>
      <c r="H12" s="34"/>
      <c r="I12" s="28">
        <f t="shared" si="4"/>
        <v>264</v>
      </c>
      <c r="J12" s="28"/>
      <c r="K12" s="63">
        <f>E12-I12-J12</f>
        <v>2016</v>
      </c>
      <c r="M12" s="72" t="s">
        <v>50</v>
      </c>
      <c r="N12"/>
      <c r="O12"/>
      <c r="P12"/>
      <c r="Q12"/>
      <c r="R12"/>
    </row>
    <row r="13" spans="1:18">
      <c r="A13" s="7" t="s">
        <v>13</v>
      </c>
      <c r="B13" s="69">
        <v>4042</v>
      </c>
      <c r="C13" s="2">
        <f>1000+2800+3000+1443+8000</f>
        <v>16243</v>
      </c>
      <c r="D13" s="3"/>
      <c r="E13" s="34">
        <f>B13+C13+D13</f>
        <v>20285</v>
      </c>
      <c r="F13" s="35">
        <f>'[1]November 2021'!$D$30</f>
        <v>45390</v>
      </c>
      <c r="G13" s="35">
        <f>F13/5</f>
        <v>9078</v>
      </c>
      <c r="H13" s="34"/>
      <c r="I13" s="28">
        <f t="shared" si="4"/>
        <v>9078</v>
      </c>
      <c r="J13" s="28"/>
      <c r="K13" s="63">
        <f>E13-I13-J13</f>
        <v>11207</v>
      </c>
      <c r="L13" s="62"/>
      <c r="M13" s="72" t="s">
        <v>51</v>
      </c>
      <c r="N13"/>
      <c r="O13"/>
      <c r="P13"/>
      <c r="Q13"/>
      <c r="R13"/>
    </row>
    <row r="14" spans="1:18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M14" s="72"/>
      <c r="N14"/>
      <c r="O14"/>
      <c r="P14"/>
      <c r="Q14"/>
      <c r="R14"/>
    </row>
    <row r="15" spans="1:18">
      <c r="A15" s="7" t="s">
        <v>14</v>
      </c>
      <c r="B15" s="67">
        <v>57780</v>
      </c>
      <c r="C15" s="2"/>
      <c r="D15" s="3"/>
      <c r="E15" s="34">
        <f t="shared" ref="E15:E19" si="5">B15+C15+D15</f>
        <v>57780</v>
      </c>
      <c r="F15" s="35">
        <f>F13</f>
        <v>45390</v>
      </c>
      <c r="G15" s="35">
        <f>F15/5</f>
        <v>9078</v>
      </c>
      <c r="H15" s="34"/>
      <c r="I15" s="28">
        <f t="shared" ref="I15:I19" si="6">G15+H15</f>
        <v>9078</v>
      </c>
      <c r="J15" s="28"/>
      <c r="K15" s="63">
        <f>E15-I15-J15</f>
        <v>48702</v>
      </c>
      <c r="M15"/>
      <c r="N15" s="41"/>
    </row>
    <row r="16" spans="1:18">
      <c r="A16" s="7" t="s">
        <v>15</v>
      </c>
      <c r="B16" s="69">
        <v>75436</v>
      </c>
      <c r="C16" s="2"/>
      <c r="D16" s="3"/>
      <c r="E16" s="34">
        <f t="shared" si="5"/>
        <v>75436</v>
      </c>
      <c r="F16" s="35">
        <f>F4+F5</f>
        <v>59928</v>
      </c>
      <c r="G16" s="35">
        <f>F16/2</f>
        <v>29964</v>
      </c>
      <c r="H16" s="34"/>
      <c r="I16" s="28">
        <f t="shared" si="6"/>
        <v>29964</v>
      </c>
      <c r="J16" s="28"/>
      <c r="K16" s="63">
        <f>E16-I16-J16</f>
        <v>45472</v>
      </c>
      <c r="M16"/>
      <c r="N16" s="41"/>
    </row>
    <row r="17" spans="1:14">
      <c r="A17" s="7" t="s">
        <v>28</v>
      </c>
      <c r="B17" s="69">
        <v>52000</v>
      </c>
      <c r="C17" s="2"/>
      <c r="D17" s="3"/>
      <c r="E17" s="34">
        <f t="shared" si="5"/>
        <v>52000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51300</v>
      </c>
      <c r="M17"/>
      <c r="N17" s="41"/>
    </row>
    <row r="18" spans="1:14">
      <c r="A18" s="7" t="s">
        <v>29</v>
      </c>
      <c r="B18" s="69">
        <v>176539</v>
      </c>
      <c r="C18" s="2"/>
      <c r="D18" s="3"/>
      <c r="E18" s="34">
        <f t="shared" si="5"/>
        <v>176539</v>
      </c>
      <c r="F18" s="39">
        <f>F7</f>
        <v>1430</v>
      </c>
      <c r="G18" s="35">
        <f>(F18/22)*25</f>
        <v>1625</v>
      </c>
      <c r="H18" s="34"/>
      <c r="I18" s="28">
        <f t="shared" si="6"/>
        <v>1625</v>
      </c>
      <c r="J18" s="28"/>
      <c r="K18" s="63">
        <f>E18-I18-J18</f>
        <v>174914</v>
      </c>
      <c r="M18"/>
      <c r="N18" s="41"/>
    </row>
    <row r="19" spans="1:14">
      <c r="A19" s="7" t="s">
        <v>41</v>
      </c>
      <c r="B19" s="69">
        <v>45558</v>
      </c>
      <c r="C19" s="2"/>
      <c r="D19" s="3"/>
      <c r="E19" s="34">
        <f t="shared" si="5"/>
        <v>45558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45558</v>
      </c>
      <c r="M19"/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M20"/>
      <c r="N20" s="41"/>
    </row>
    <row r="21" spans="1:14">
      <c r="A21" s="7" t="s">
        <v>19</v>
      </c>
      <c r="B21" s="69">
        <v>987</v>
      </c>
      <c r="C21" s="2"/>
      <c r="D21" s="3"/>
      <c r="E21" s="34">
        <f t="shared" ref="E21:E27" si="7">B21+C21+D21</f>
        <v>987</v>
      </c>
      <c r="F21" s="35">
        <f>F10</f>
        <v>12072</v>
      </c>
      <c r="G21" s="35">
        <f>F21/24</f>
        <v>503</v>
      </c>
      <c r="H21" s="34"/>
      <c r="I21" s="28">
        <f t="shared" ref="I21:I26" si="8">G21+H21</f>
        <v>503</v>
      </c>
      <c r="J21" s="28"/>
      <c r="K21" s="63">
        <f t="shared" ref="K21:K27" si="9">E21-I21-J21</f>
        <v>484</v>
      </c>
      <c r="M21"/>
      <c r="N21" s="41"/>
    </row>
    <row r="22" spans="1:14">
      <c r="A22" s="7" t="s">
        <v>18</v>
      </c>
      <c r="B22" s="69">
        <v>1203</v>
      </c>
      <c r="C22" s="2"/>
      <c r="D22" s="3"/>
      <c r="E22" s="34">
        <f t="shared" si="7"/>
        <v>1203</v>
      </c>
      <c r="F22" s="35">
        <f>F12</f>
        <v>264</v>
      </c>
      <c r="G22" s="35">
        <f>F22/24</f>
        <v>11</v>
      </c>
      <c r="H22" s="34"/>
      <c r="I22" s="28">
        <f t="shared" si="8"/>
        <v>11</v>
      </c>
      <c r="J22" s="28"/>
      <c r="K22" s="63">
        <f t="shared" si="9"/>
        <v>1192</v>
      </c>
      <c r="M22"/>
      <c r="N22" s="41"/>
    </row>
    <row r="23" spans="1:14">
      <c r="A23" s="42" t="s">
        <v>36</v>
      </c>
      <c r="B23" s="69">
        <v>1454</v>
      </c>
      <c r="C23" s="2">
        <v>3045</v>
      </c>
      <c r="D23" s="3"/>
      <c r="E23" s="34">
        <f t="shared" si="7"/>
        <v>4499</v>
      </c>
      <c r="F23" s="39"/>
      <c r="G23" s="35">
        <f>(F13/30)+(F7/22)+(F6/22)</f>
        <v>1592</v>
      </c>
      <c r="H23" s="34"/>
      <c r="I23" s="28">
        <f t="shared" si="8"/>
        <v>1592</v>
      </c>
      <c r="J23" s="28"/>
      <c r="K23" s="33">
        <f t="shared" si="9"/>
        <v>2907</v>
      </c>
      <c r="L23" s="41"/>
      <c r="M23"/>
      <c r="N23" s="41"/>
    </row>
    <row r="24" spans="1:14">
      <c r="A24" s="7" t="s">
        <v>34</v>
      </c>
      <c r="B24" s="69">
        <v>787</v>
      </c>
      <c r="C24" s="2"/>
      <c r="D24" s="3"/>
      <c r="E24" s="34">
        <f t="shared" si="7"/>
        <v>787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787</v>
      </c>
      <c r="M24"/>
      <c r="N24" s="41"/>
    </row>
    <row r="25" spans="1:14">
      <c r="A25" s="7" t="s">
        <v>16</v>
      </c>
      <c r="B25" s="70">
        <v>4718</v>
      </c>
      <c r="C25" s="2"/>
      <c r="D25" s="3"/>
      <c r="E25" s="34">
        <f t="shared" si="7"/>
        <v>4718</v>
      </c>
      <c r="F25" s="35">
        <f>F4</f>
        <v>53376</v>
      </c>
      <c r="G25" s="35">
        <f>F25/24</f>
        <v>2224</v>
      </c>
      <c r="H25" s="34"/>
      <c r="I25" s="28">
        <f t="shared" si="8"/>
        <v>2224</v>
      </c>
      <c r="J25" s="28"/>
      <c r="K25" s="63">
        <f t="shared" si="9"/>
        <v>2494</v>
      </c>
      <c r="M25"/>
      <c r="N25" s="41"/>
    </row>
    <row r="26" spans="1:14">
      <c r="A26" s="7" t="s">
        <v>17</v>
      </c>
      <c r="B26" s="69">
        <v>929</v>
      </c>
      <c r="C26" s="2"/>
      <c r="D26" s="3"/>
      <c r="E26" s="34">
        <f t="shared" si="7"/>
        <v>929</v>
      </c>
      <c r="F26" s="35">
        <f>F5</f>
        <v>6552</v>
      </c>
      <c r="G26" s="35">
        <f>F26/24</f>
        <v>273</v>
      </c>
      <c r="H26" s="34"/>
      <c r="I26" s="28">
        <f t="shared" si="8"/>
        <v>273</v>
      </c>
      <c r="J26" s="28"/>
      <c r="K26" s="63">
        <f t="shared" si="9"/>
        <v>656</v>
      </c>
      <c r="M26"/>
      <c r="N26" s="41"/>
    </row>
    <row r="27" spans="1:14">
      <c r="A27" s="7" t="s">
        <v>27</v>
      </c>
      <c r="B27" s="69">
        <v>10</v>
      </c>
      <c r="C27" s="2">
        <f>100+300</f>
        <v>400</v>
      </c>
      <c r="D27" s="3"/>
      <c r="E27" s="34">
        <f t="shared" si="7"/>
        <v>410</v>
      </c>
      <c r="F27" s="35">
        <f>F11</f>
        <v>4776</v>
      </c>
      <c r="G27" s="35">
        <f>F27/24</f>
        <v>199</v>
      </c>
      <c r="H27" s="34"/>
      <c r="I27" s="28">
        <f>G27+H27</f>
        <v>199</v>
      </c>
      <c r="J27" s="28"/>
      <c r="K27" s="63">
        <f t="shared" si="9"/>
        <v>211</v>
      </c>
      <c r="M27"/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M28"/>
      <c r="N28" s="41"/>
    </row>
    <row r="29" spans="1:14">
      <c r="A29" s="7" t="s">
        <v>24</v>
      </c>
      <c r="B29" s="69">
        <v>16200</v>
      </c>
      <c r="C29" s="2">
        <v>31104</v>
      </c>
      <c r="D29" s="3"/>
      <c r="E29" s="34">
        <f t="shared" ref="E29:E36" si="10">B29+C29+D29</f>
        <v>47304</v>
      </c>
      <c r="F29" s="44">
        <f>'[1]November 2021'!$K$30</f>
        <v>7368</v>
      </c>
      <c r="G29" s="44">
        <f>F29*2</f>
        <v>14736</v>
      </c>
      <c r="H29" s="45"/>
      <c r="I29" s="28">
        <f t="shared" ref="I29:I36" si="11">G29+H29</f>
        <v>14736</v>
      </c>
      <c r="J29" s="28"/>
      <c r="K29" s="64">
        <f t="shared" ref="K29:K35" si="12">E29-I29-J29</f>
        <v>32568</v>
      </c>
      <c r="M29"/>
      <c r="N29" s="41"/>
    </row>
    <row r="30" spans="1:14">
      <c r="A30" s="7" t="s">
        <v>31</v>
      </c>
      <c r="B30" s="69">
        <v>32920</v>
      </c>
      <c r="C30" s="2">
        <v>68500</v>
      </c>
      <c r="D30" s="3"/>
      <c r="E30" s="46">
        <f t="shared" si="10"/>
        <v>101420</v>
      </c>
      <c r="F30" s="47">
        <f>'[1]November 2021'!$L$30</f>
        <v>0</v>
      </c>
      <c r="G30" s="44">
        <f>F30*4</f>
        <v>0</v>
      </c>
      <c r="H30" s="45"/>
      <c r="I30" s="28">
        <f t="shared" si="11"/>
        <v>0</v>
      </c>
      <c r="J30" s="28"/>
      <c r="K30" s="64">
        <f>E30-I30-J30</f>
        <v>101420</v>
      </c>
      <c r="M30"/>
      <c r="N30" s="41"/>
    </row>
    <row r="31" spans="1:14">
      <c r="A31" s="7" t="s">
        <v>20</v>
      </c>
      <c r="B31" s="69">
        <v>3592</v>
      </c>
      <c r="C31" s="2">
        <v>1018</v>
      </c>
      <c r="D31" s="3"/>
      <c r="E31" s="46">
        <f t="shared" si="10"/>
        <v>4610</v>
      </c>
      <c r="F31" s="49">
        <f>F29</f>
        <v>7368</v>
      </c>
      <c r="G31" s="44">
        <f>F31/12</f>
        <v>614</v>
      </c>
      <c r="H31" s="45"/>
      <c r="I31" s="28">
        <f t="shared" si="11"/>
        <v>614</v>
      </c>
      <c r="J31" s="28"/>
      <c r="K31" s="27">
        <f t="shared" si="12"/>
        <v>3996</v>
      </c>
      <c r="M31"/>
      <c r="N31" s="41"/>
    </row>
    <row r="32" spans="1:14">
      <c r="A32" s="7" t="s">
        <v>25</v>
      </c>
      <c r="B32" s="69">
        <v>401</v>
      </c>
      <c r="C32" s="4">
        <v>1012</v>
      </c>
      <c r="D32" s="3"/>
      <c r="E32" s="46">
        <f t="shared" si="10"/>
        <v>1413</v>
      </c>
      <c r="F32" s="49">
        <f>F30</f>
        <v>0</v>
      </c>
      <c r="G32" s="50">
        <f>F32/12</f>
        <v>0</v>
      </c>
      <c r="H32" s="51"/>
      <c r="I32" s="28">
        <f t="shared" si="11"/>
        <v>0</v>
      </c>
      <c r="J32" s="28"/>
      <c r="K32" s="27">
        <f t="shared" si="12"/>
        <v>1413</v>
      </c>
      <c r="M32"/>
      <c r="N32" s="41"/>
    </row>
    <row r="33" spans="1:14">
      <c r="A33" s="7" t="s">
        <v>21</v>
      </c>
      <c r="B33" s="69">
        <v>124397</v>
      </c>
      <c r="C33" s="2"/>
      <c r="D33" s="3"/>
      <c r="E33" s="46">
        <f t="shared" si="10"/>
        <v>124397</v>
      </c>
      <c r="F33" s="49">
        <f>F30</f>
        <v>0</v>
      </c>
      <c r="G33" s="50">
        <f>F33*4</f>
        <v>0</v>
      </c>
      <c r="H33" s="48"/>
      <c r="I33" s="28">
        <f t="shared" si="11"/>
        <v>0</v>
      </c>
      <c r="J33" s="28"/>
      <c r="K33" s="27">
        <f t="shared" si="12"/>
        <v>124397</v>
      </c>
      <c r="M33"/>
      <c r="N33" s="41"/>
    </row>
    <row r="34" spans="1:14">
      <c r="A34" s="7" t="s">
        <v>22</v>
      </c>
      <c r="B34" s="69">
        <v>42776</v>
      </c>
      <c r="C34" s="4">
        <v>120000</v>
      </c>
      <c r="D34" s="3"/>
      <c r="E34" s="46">
        <f t="shared" si="10"/>
        <v>162776</v>
      </c>
      <c r="F34" s="49">
        <f>F29</f>
        <v>7368</v>
      </c>
      <c r="G34" s="50">
        <f>F34*2</f>
        <v>14736</v>
      </c>
      <c r="H34" s="51"/>
      <c r="I34" s="28">
        <f t="shared" si="11"/>
        <v>14736</v>
      </c>
      <c r="J34" s="28"/>
      <c r="K34" s="27">
        <f t="shared" si="12"/>
        <v>148040</v>
      </c>
      <c r="M34"/>
      <c r="N34" s="41"/>
    </row>
    <row r="35" spans="1:14">
      <c r="A35" s="7" t="s">
        <v>23</v>
      </c>
      <c r="B35" s="69">
        <v>118054</v>
      </c>
      <c r="C35" s="4">
        <v>124000</v>
      </c>
      <c r="D35" s="3"/>
      <c r="E35" s="46">
        <f t="shared" si="10"/>
        <v>242054</v>
      </c>
      <c r="F35" s="49">
        <f>F29</f>
        <v>7368</v>
      </c>
      <c r="G35" s="50">
        <f>F35*2</f>
        <v>14736</v>
      </c>
      <c r="H35" s="51"/>
      <c r="I35" s="28">
        <f t="shared" si="11"/>
        <v>14736</v>
      </c>
      <c r="J35" s="28"/>
      <c r="K35" s="27">
        <f t="shared" si="12"/>
        <v>227318</v>
      </c>
      <c r="M35"/>
      <c r="N35" s="41"/>
    </row>
    <row r="36" spans="1:14" ht="15.75" thickBot="1">
      <c r="A36" s="52" t="s">
        <v>32</v>
      </c>
      <c r="B36" s="71">
        <v>10592</v>
      </c>
      <c r="C36" s="54">
        <f>91000+59000</f>
        <v>150000</v>
      </c>
      <c r="D36" s="55"/>
      <c r="E36" s="56">
        <f t="shared" si="10"/>
        <v>160592</v>
      </c>
      <c r="F36" s="57">
        <f>F29</f>
        <v>7368</v>
      </c>
      <c r="G36" s="58">
        <f>F36*2</f>
        <v>14736</v>
      </c>
      <c r="H36" s="59"/>
      <c r="I36" s="60">
        <f t="shared" si="11"/>
        <v>14736</v>
      </c>
      <c r="J36" s="60"/>
      <c r="K36" s="66">
        <f>E36-I36-J36</f>
        <v>145856</v>
      </c>
      <c r="M36"/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hyperlinks>
    <hyperlink ref="M12" r:id="rId1"/>
    <hyperlink ref="M13" r:id="rId2"/>
  </hyperlinks>
  <pageMargins left="0.27" right="0.34" top="0.28000000000000003" bottom="0.21" header="0.23" footer="0.16"/>
  <pageSetup paperSize="9" scale="82" orientation="landscape" verticalDpi="0" r:id="rId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2060"/>
    <pageSetUpPr fitToPage="1"/>
  </sheetPr>
  <dimension ref="A1:R39"/>
  <sheetViews>
    <sheetView tabSelected="1" zoomScaleNormal="100" workbookViewId="0">
      <selection activeCell="M10" sqref="M10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8" ht="15.75" thickBot="1">
      <c r="A1" s="73" t="s">
        <v>52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8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8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8">
      <c r="A4" s="7" t="s">
        <v>9</v>
      </c>
      <c r="B4" s="69">
        <v>3138.2</v>
      </c>
      <c r="C4" s="27"/>
      <c r="D4" s="3"/>
      <c r="E4" s="28">
        <f t="shared" ref="E4:E7" si="0">B4+C4+D4</f>
        <v>3138.2</v>
      </c>
      <c r="F4" s="29">
        <f>'[1]December 2021'!$J$30</f>
        <v>11592</v>
      </c>
      <c r="G4" s="29">
        <f>F4*0.024</f>
        <v>278.20800000000003</v>
      </c>
      <c r="H4" s="28"/>
      <c r="I4" s="28">
        <f>G4+H4</f>
        <v>278.20800000000003</v>
      </c>
      <c r="J4" s="28"/>
      <c r="K4" s="29">
        <f>E4-I4-J4</f>
        <v>2859.9919999999997</v>
      </c>
      <c r="M4"/>
      <c r="N4" s="41"/>
    </row>
    <row r="5" spans="1:18">
      <c r="A5" s="7" t="s">
        <v>10</v>
      </c>
      <c r="B5" s="69">
        <v>647.63</v>
      </c>
      <c r="C5" s="27"/>
      <c r="D5" s="3"/>
      <c r="E5" s="28">
        <f t="shared" si="0"/>
        <v>647.63</v>
      </c>
      <c r="F5" s="29">
        <f>'[1]December 2021'!$C$30</f>
        <v>1440</v>
      </c>
      <c r="G5" s="29">
        <f>F5*0.024</f>
        <v>34.56</v>
      </c>
      <c r="H5" s="28"/>
      <c r="I5" s="28">
        <f t="shared" ref="I5:I6" si="1">G5+H5</f>
        <v>34.56</v>
      </c>
      <c r="J5" s="28"/>
      <c r="K5" s="28">
        <f>E5-I5-J5</f>
        <v>613.06999999999994</v>
      </c>
      <c r="M5"/>
      <c r="N5" s="41"/>
    </row>
    <row r="6" spans="1:18">
      <c r="A6" s="7" t="s">
        <v>37</v>
      </c>
      <c r="B6" s="69">
        <v>828.43</v>
      </c>
      <c r="C6" s="27"/>
      <c r="D6" s="3"/>
      <c r="E6" s="28">
        <f t="shared" si="0"/>
        <v>828.43</v>
      </c>
      <c r="F6" s="29">
        <f>'[1]December 2021'!$G$30</f>
        <v>110</v>
      </c>
      <c r="G6" s="29">
        <f>F6*0.108</f>
        <v>11.879999999999999</v>
      </c>
      <c r="H6" s="28"/>
      <c r="I6" s="28">
        <f t="shared" si="1"/>
        <v>11.879999999999999</v>
      </c>
      <c r="J6" s="28"/>
      <c r="K6" s="28">
        <f>E6-I6-J6</f>
        <v>816.55</v>
      </c>
      <c r="M6"/>
      <c r="N6" s="41"/>
    </row>
    <row r="7" spans="1:18">
      <c r="A7" s="7" t="s">
        <v>38</v>
      </c>
      <c r="B7" s="69">
        <v>490.2</v>
      </c>
      <c r="C7" s="27"/>
      <c r="D7" s="3"/>
      <c r="E7" s="28">
        <f t="shared" si="0"/>
        <v>490.2</v>
      </c>
      <c r="F7" s="29">
        <f>'[1]December 2021'!$F$30</f>
        <v>638</v>
      </c>
      <c r="G7" s="29">
        <f>F7*0.075</f>
        <v>47.85</v>
      </c>
      <c r="H7" s="28"/>
      <c r="I7" s="28">
        <f>G7+H7</f>
        <v>47.85</v>
      </c>
      <c r="J7" s="28"/>
      <c r="K7" s="28">
        <f>E7-I7-J7</f>
        <v>442.34999999999997</v>
      </c>
      <c r="M7"/>
      <c r="N7" s="41"/>
    </row>
    <row r="8" spans="1:18">
      <c r="A8" s="7" t="s">
        <v>35</v>
      </c>
      <c r="B8" s="69">
        <v>568.24</v>
      </c>
      <c r="C8" s="27"/>
      <c r="D8" s="3"/>
      <c r="E8" s="28">
        <f>B8+C8+D8</f>
        <v>568.24</v>
      </c>
      <c r="F8" s="29">
        <f>'[1]December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568.24</v>
      </c>
      <c r="M8" s="72"/>
      <c r="N8"/>
      <c r="O8"/>
      <c r="P8"/>
      <c r="Q8"/>
      <c r="R8"/>
    </row>
    <row r="9" spans="1:18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M9" s="72"/>
      <c r="N9"/>
      <c r="O9"/>
      <c r="P9"/>
      <c r="Q9"/>
      <c r="R9"/>
    </row>
    <row r="10" spans="1:18">
      <c r="A10" s="7" t="s">
        <v>11</v>
      </c>
      <c r="B10" s="69">
        <v>35456</v>
      </c>
      <c r="C10" s="2"/>
      <c r="D10" s="3"/>
      <c r="E10" s="34">
        <f>B10+C10+D10</f>
        <v>35456</v>
      </c>
      <c r="F10" s="35">
        <f>'[1]December 2021'!$H$30</f>
        <v>2760</v>
      </c>
      <c r="G10" s="35">
        <f>F10*1</f>
        <v>2760</v>
      </c>
      <c r="H10" s="2"/>
      <c r="I10" s="28">
        <f t="shared" ref="I10:I13" si="4">G10+H10</f>
        <v>2760</v>
      </c>
      <c r="J10" s="28"/>
      <c r="K10" s="63">
        <f>E10-I10-J10</f>
        <v>32696</v>
      </c>
      <c r="M10" s="72"/>
      <c r="N10"/>
      <c r="O10"/>
      <c r="P10"/>
      <c r="Q10"/>
      <c r="R10"/>
    </row>
    <row r="11" spans="1:18">
      <c r="A11" s="7" t="s">
        <v>26</v>
      </c>
      <c r="B11" s="69">
        <v>59704</v>
      </c>
      <c r="C11" s="2"/>
      <c r="D11" s="3"/>
      <c r="E11" s="34">
        <f>B11+C11+D11</f>
        <v>59704</v>
      </c>
      <c r="F11" s="35">
        <f>'[1]December 2021'!$I$30</f>
        <v>1008</v>
      </c>
      <c r="G11" s="35">
        <f>F11*2</f>
        <v>2016</v>
      </c>
      <c r="H11" s="34"/>
      <c r="I11" s="28">
        <f t="shared" si="4"/>
        <v>2016</v>
      </c>
      <c r="J11" s="28"/>
      <c r="K11" s="63">
        <f>E11-I11-J11</f>
        <v>57688</v>
      </c>
      <c r="M11" s="72"/>
      <c r="N11"/>
      <c r="O11"/>
      <c r="P11"/>
      <c r="Q11"/>
      <c r="R11"/>
    </row>
    <row r="12" spans="1:18">
      <c r="A12" s="7" t="s">
        <v>12</v>
      </c>
      <c r="B12" s="69">
        <v>2016</v>
      </c>
      <c r="C12" s="2"/>
      <c r="D12" s="3"/>
      <c r="E12" s="34">
        <f>B12+C12+D12</f>
        <v>2016</v>
      </c>
      <c r="F12" s="35">
        <f>'[1]December 2021'!$B$30</f>
        <v>960</v>
      </c>
      <c r="G12" s="35">
        <f>F12*1</f>
        <v>960</v>
      </c>
      <c r="H12" s="34"/>
      <c r="I12" s="28">
        <f t="shared" si="4"/>
        <v>960</v>
      </c>
      <c r="J12" s="28"/>
      <c r="K12" s="63">
        <f>E12-I12-J12</f>
        <v>1056</v>
      </c>
      <c r="M12" s="72" t="s">
        <v>50</v>
      </c>
      <c r="N12"/>
      <c r="O12"/>
      <c r="P12"/>
      <c r="Q12"/>
      <c r="R12"/>
    </row>
    <row r="13" spans="1:18">
      <c r="A13" s="7" t="s">
        <v>13</v>
      </c>
      <c r="B13" s="69">
        <v>11207</v>
      </c>
      <c r="C13" s="2"/>
      <c r="D13" s="3"/>
      <c r="E13" s="34">
        <f>B13+C13+D13</f>
        <v>11207</v>
      </c>
      <c r="F13" s="35">
        <f>'[1]December 2021'!$D$30</f>
        <v>5970</v>
      </c>
      <c r="G13" s="35">
        <f>F13/5</f>
        <v>1194</v>
      </c>
      <c r="H13" s="34"/>
      <c r="I13" s="28">
        <f t="shared" si="4"/>
        <v>1194</v>
      </c>
      <c r="J13" s="28"/>
      <c r="K13" s="63">
        <f>E13-I13-J13</f>
        <v>10013</v>
      </c>
      <c r="L13" s="62"/>
      <c r="M13" s="72" t="s">
        <v>51</v>
      </c>
      <c r="N13"/>
      <c r="O13"/>
      <c r="P13"/>
      <c r="Q13"/>
      <c r="R13"/>
    </row>
    <row r="14" spans="1:18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M14" s="72"/>
      <c r="N14"/>
      <c r="O14"/>
      <c r="P14"/>
      <c r="Q14"/>
      <c r="R14"/>
    </row>
    <row r="15" spans="1:18">
      <c r="A15" s="7" t="s">
        <v>14</v>
      </c>
      <c r="B15" s="67">
        <v>48702</v>
      </c>
      <c r="C15" s="2"/>
      <c r="D15" s="3"/>
      <c r="E15" s="34">
        <f t="shared" ref="E15:E19" si="5">B15+C15+D15</f>
        <v>48702</v>
      </c>
      <c r="F15" s="35">
        <f>F13</f>
        <v>5970</v>
      </c>
      <c r="G15" s="35">
        <f>F15/5</f>
        <v>1194</v>
      </c>
      <c r="H15" s="34"/>
      <c r="I15" s="28">
        <f t="shared" ref="I15:I19" si="6">G15+H15</f>
        <v>1194</v>
      </c>
      <c r="J15" s="28"/>
      <c r="K15" s="63">
        <f>E15-I15-J15</f>
        <v>47508</v>
      </c>
      <c r="M15"/>
      <c r="N15" s="41"/>
    </row>
    <row r="16" spans="1:18">
      <c r="A16" s="7" t="s">
        <v>15</v>
      </c>
      <c r="B16" s="69">
        <v>45472</v>
      </c>
      <c r="C16" s="2"/>
      <c r="D16" s="3"/>
      <c r="E16" s="34">
        <f t="shared" si="5"/>
        <v>45472</v>
      </c>
      <c r="F16" s="35">
        <f>F4+F5</f>
        <v>13032</v>
      </c>
      <c r="G16" s="35">
        <f>F16/2</f>
        <v>6516</v>
      </c>
      <c r="H16" s="34"/>
      <c r="I16" s="28">
        <f t="shared" si="6"/>
        <v>6516</v>
      </c>
      <c r="J16" s="28"/>
      <c r="K16" s="63">
        <f>E16-I16-J16</f>
        <v>38956</v>
      </c>
      <c r="M16"/>
      <c r="N16" s="41"/>
    </row>
    <row r="17" spans="1:14">
      <c r="A17" s="7" t="s">
        <v>28</v>
      </c>
      <c r="B17" s="69">
        <v>51300</v>
      </c>
      <c r="C17" s="2"/>
      <c r="D17" s="3"/>
      <c r="E17" s="34">
        <f t="shared" si="5"/>
        <v>51300</v>
      </c>
      <c r="F17" s="35">
        <f>F6</f>
        <v>110</v>
      </c>
      <c r="G17" s="35">
        <f>(F17/22)*50</f>
        <v>250</v>
      </c>
      <c r="H17" s="34"/>
      <c r="I17" s="28">
        <f t="shared" si="6"/>
        <v>250</v>
      </c>
      <c r="J17" s="28"/>
      <c r="K17" s="63">
        <f>E17-I17-J17</f>
        <v>51050</v>
      </c>
      <c r="M17"/>
      <c r="N17" s="41"/>
    </row>
    <row r="18" spans="1:14">
      <c r="A18" s="7" t="s">
        <v>29</v>
      </c>
      <c r="B18" s="69">
        <v>174914</v>
      </c>
      <c r="C18" s="2"/>
      <c r="D18" s="3"/>
      <c r="E18" s="34">
        <f t="shared" si="5"/>
        <v>174914</v>
      </c>
      <c r="F18" s="39">
        <f>F7</f>
        <v>638</v>
      </c>
      <c r="G18" s="35">
        <f>(F18/22)*25</f>
        <v>725</v>
      </c>
      <c r="H18" s="34"/>
      <c r="I18" s="28">
        <f t="shared" si="6"/>
        <v>725</v>
      </c>
      <c r="J18" s="28"/>
      <c r="K18" s="63">
        <f>E18-I18-J18</f>
        <v>174189</v>
      </c>
      <c r="M18"/>
      <c r="N18" s="41"/>
    </row>
    <row r="19" spans="1:14">
      <c r="A19" s="7" t="s">
        <v>41</v>
      </c>
      <c r="B19" s="69">
        <v>45558</v>
      </c>
      <c r="C19" s="2"/>
      <c r="D19" s="3"/>
      <c r="E19" s="34">
        <f t="shared" si="5"/>
        <v>45558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45558</v>
      </c>
      <c r="M19"/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M20"/>
      <c r="N20" s="41"/>
    </row>
    <row r="21" spans="1:14">
      <c r="A21" s="7" t="s">
        <v>19</v>
      </c>
      <c r="B21" s="69">
        <v>484</v>
      </c>
      <c r="C21" s="2"/>
      <c r="D21" s="3"/>
      <c r="E21" s="34">
        <f t="shared" ref="E21:E27" si="7">B21+C21+D21</f>
        <v>484</v>
      </c>
      <c r="F21" s="35">
        <f>F10</f>
        <v>2760</v>
      </c>
      <c r="G21" s="35">
        <f>F21/24</f>
        <v>115</v>
      </c>
      <c r="H21" s="34"/>
      <c r="I21" s="28">
        <f t="shared" ref="I21:I26" si="8">G21+H21</f>
        <v>115</v>
      </c>
      <c r="J21" s="28"/>
      <c r="K21" s="63">
        <f t="shared" ref="K21:K27" si="9">E21-I21-J21</f>
        <v>369</v>
      </c>
      <c r="M21"/>
      <c r="N21" s="41"/>
    </row>
    <row r="22" spans="1:14">
      <c r="A22" s="7" t="s">
        <v>18</v>
      </c>
      <c r="B22" s="69">
        <v>1192</v>
      </c>
      <c r="C22" s="2"/>
      <c r="D22" s="3"/>
      <c r="E22" s="34">
        <f t="shared" si="7"/>
        <v>1192</v>
      </c>
      <c r="F22" s="35">
        <f>F12</f>
        <v>960</v>
      </c>
      <c r="G22" s="35">
        <f>F22/24</f>
        <v>40</v>
      </c>
      <c r="H22" s="34"/>
      <c r="I22" s="28">
        <f t="shared" si="8"/>
        <v>40</v>
      </c>
      <c r="J22" s="28"/>
      <c r="K22" s="63">
        <f t="shared" si="9"/>
        <v>1152</v>
      </c>
      <c r="M22"/>
      <c r="N22" s="41"/>
    </row>
    <row r="23" spans="1:14">
      <c r="A23" s="42" t="s">
        <v>36</v>
      </c>
      <c r="B23" s="69">
        <v>2907</v>
      </c>
      <c r="C23" s="2"/>
      <c r="D23" s="3"/>
      <c r="E23" s="34">
        <f t="shared" si="7"/>
        <v>2907</v>
      </c>
      <c r="F23" s="39"/>
      <c r="G23" s="35">
        <f>(F13/30)+(F7/22)+(F6/22)</f>
        <v>233</v>
      </c>
      <c r="H23" s="34"/>
      <c r="I23" s="28">
        <f t="shared" si="8"/>
        <v>233</v>
      </c>
      <c r="J23" s="28"/>
      <c r="K23" s="33">
        <f t="shared" si="9"/>
        <v>2674</v>
      </c>
      <c r="L23" s="41"/>
      <c r="M23"/>
      <c r="N23" s="41"/>
    </row>
    <row r="24" spans="1:14">
      <c r="A24" s="7" t="s">
        <v>34</v>
      </c>
      <c r="B24" s="69">
        <v>787</v>
      </c>
      <c r="C24" s="2"/>
      <c r="D24" s="3"/>
      <c r="E24" s="34">
        <f t="shared" si="7"/>
        <v>787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787</v>
      </c>
      <c r="M24"/>
      <c r="N24" s="41"/>
    </row>
    <row r="25" spans="1:14">
      <c r="A25" s="7" t="s">
        <v>16</v>
      </c>
      <c r="B25" s="70">
        <v>2494</v>
      </c>
      <c r="C25" s="2"/>
      <c r="D25" s="3"/>
      <c r="E25" s="34">
        <f t="shared" si="7"/>
        <v>2494</v>
      </c>
      <c r="F25" s="35">
        <f>F4</f>
        <v>11592</v>
      </c>
      <c r="G25" s="35">
        <f>F25/24</f>
        <v>483</v>
      </c>
      <c r="H25" s="34"/>
      <c r="I25" s="28">
        <f t="shared" si="8"/>
        <v>483</v>
      </c>
      <c r="J25" s="28"/>
      <c r="K25" s="63">
        <f t="shared" si="9"/>
        <v>2011</v>
      </c>
      <c r="M25"/>
      <c r="N25" s="41"/>
    </row>
    <row r="26" spans="1:14">
      <c r="A26" s="7" t="s">
        <v>17</v>
      </c>
      <c r="B26" s="69">
        <v>656</v>
      </c>
      <c r="C26" s="2"/>
      <c r="D26" s="3"/>
      <c r="E26" s="34">
        <f t="shared" si="7"/>
        <v>656</v>
      </c>
      <c r="F26" s="35">
        <f>F5</f>
        <v>1440</v>
      </c>
      <c r="G26" s="35">
        <f>F26/24</f>
        <v>60</v>
      </c>
      <c r="H26" s="34"/>
      <c r="I26" s="28">
        <f t="shared" si="8"/>
        <v>60</v>
      </c>
      <c r="J26" s="28"/>
      <c r="K26" s="63">
        <f t="shared" si="9"/>
        <v>596</v>
      </c>
      <c r="M26"/>
      <c r="N26" s="41"/>
    </row>
    <row r="27" spans="1:14">
      <c r="A27" s="7" t="s">
        <v>27</v>
      </c>
      <c r="B27" s="69">
        <v>211</v>
      </c>
      <c r="C27" s="2"/>
      <c r="D27" s="3"/>
      <c r="E27" s="34">
        <f t="shared" si="7"/>
        <v>211</v>
      </c>
      <c r="F27" s="35">
        <f>F11</f>
        <v>1008</v>
      </c>
      <c r="G27" s="35">
        <f>F27/24</f>
        <v>42</v>
      </c>
      <c r="H27" s="34"/>
      <c r="I27" s="28">
        <f>G27+H27</f>
        <v>42</v>
      </c>
      <c r="J27" s="28"/>
      <c r="K27" s="63">
        <f t="shared" si="9"/>
        <v>169</v>
      </c>
      <c r="M27"/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M28"/>
      <c r="N28" s="41"/>
    </row>
    <row r="29" spans="1:14">
      <c r="A29" s="7" t="s">
        <v>24</v>
      </c>
      <c r="B29" s="69">
        <v>32568</v>
      </c>
      <c r="C29" s="2"/>
      <c r="D29" s="3"/>
      <c r="E29" s="34">
        <f t="shared" ref="E29:E36" si="10">B29+C29+D29</f>
        <v>32568</v>
      </c>
      <c r="F29" s="44">
        <f>'[1]December 2021'!$K$30</f>
        <v>2016</v>
      </c>
      <c r="G29" s="44">
        <f>F29*2</f>
        <v>4032</v>
      </c>
      <c r="H29" s="45"/>
      <c r="I29" s="28">
        <f t="shared" ref="I29:I36" si="11">G29+H29</f>
        <v>4032</v>
      </c>
      <c r="J29" s="28"/>
      <c r="K29" s="64">
        <f t="shared" ref="K29:K35" si="12">E29-I29-J29</f>
        <v>28536</v>
      </c>
      <c r="M29"/>
      <c r="N29" s="41"/>
    </row>
    <row r="30" spans="1:14">
      <c r="A30" s="7" t="s">
        <v>31</v>
      </c>
      <c r="B30" s="69">
        <v>101420</v>
      </c>
      <c r="C30" s="2"/>
      <c r="D30" s="3"/>
      <c r="E30" s="46">
        <f t="shared" si="10"/>
        <v>101420</v>
      </c>
      <c r="F30" s="47">
        <f>'[1]December 2021'!$L$30</f>
        <v>0</v>
      </c>
      <c r="G30" s="44">
        <f>F30*4</f>
        <v>0</v>
      </c>
      <c r="H30" s="45"/>
      <c r="I30" s="28">
        <f t="shared" si="11"/>
        <v>0</v>
      </c>
      <c r="J30" s="28"/>
      <c r="K30" s="64">
        <f>E30-I30-J30</f>
        <v>101420</v>
      </c>
      <c r="M30"/>
      <c r="N30" s="41"/>
    </row>
    <row r="31" spans="1:14">
      <c r="A31" s="7" t="s">
        <v>20</v>
      </c>
      <c r="B31" s="69">
        <v>3996</v>
      </c>
      <c r="C31" s="2"/>
      <c r="D31" s="3"/>
      <c r="E31" s="46">
        <f t="shared" si="10"/>
        <v>3996</v>
      </c>
      <c r="F31" s="49">
        <f>F29</f>
        <v>2016</v>
      </c>
      <c r="G31" s="44">
        <f>F31/12</f>
        <v>168</v>
      </c>
      <c r="H31" s="45"/>
      <c r="I31" s="28">
        <f t="shared" si="11"/>
        <v>168</v>
      </c>
      <c r="J31" s="28"/>
      <c r="K31" s="27">
        <f t="shared" si="12"/>
        <v>3828</v>
      </c>
      <c r="M31"/>
      <c r="N31" s="41"/>
    </row>
    <row r="32" spans="1:14">
      <c r="A32" s="7" t="s">
        <v>25</v>
      </c>
      <c r="B32" s="69">
        <v>1413</v>
      </c>
      <c r="C32" s="4"/>
      <c r="D32" s="3"/>
      <c r="E32" s="46">
        <f t="shared" si="10"/>
        <v>1413</v>
      </c>
      <c r="F32" s="49">
        <f>F30</f>
        <v>0</v>
      </c>
      <c r="G32" s="50">
        <f>F32/12</f>
        <v>0</v>
      </c>
      <c r="H32" s="51"/>
      <c r="I32" s="28">
        <f t="shared" si="11"/>
        <v>0</v>
      </c>
      <c r="J32" s="28"/>
      <c r="K32" s="27">
        <f t="shared" si="12"/>
        <v>1413</v>
      </c>
      <c r="M32"/>
      <c r="N32" s="41"/>
    </row>
    <row r="33" spans="1:14">
      <c r="A33" s="7" t="s">
        <v>21</v>
      </c>
      <c r="B33" s="69">
        <v>124397</v>
      </c>
      <c r="C33" s="2"/>
      <c r="D33" s="3"/>
      <c r="E33" s="46">
        <f t="shared" si="10"/>
        <v>124397</v>
      </c>
      <c r="F33" s="49">
        <f>F30</f>
        <v>0</v>
      </c>
      <c r="G33" s="50">
        <f>F33*4</f>
        <v>0</v>
      </c>
      <c r="H33" s="48"/>
      <c r="I33" s="28">
        <f t="shared" si="11"/>
        <v>0</v>
      </c>
      <c r="J33" s="28"/>
      <c r="K33" s="27">
        <f t="shared" si="12"/>
        <v>124397</v>
      </c>
      <c r="M33"/>
      <c r="N33" s="41"/>
    </row>
    <row r="34" spans="1:14">
      <c r="A34" s="7" t="s">
        <v>22</v>
      </c>
      <c r="B34" s="69">
        <v>148040</v>
      </c>
      <c r="C34" s="4"/>
      <c r="D34" s="3"/>
      <c r="E34" s="46">
        <f t="shared" si="10"/>
        <v>148040</v>
      </c>
      <c r="F34" s="49">
        <f>F29</f>
        <v>2016</v>
      </c>
      <c r="G34" s="50">
        <f>F34*2</f>
        <v>4032</v>
      </c>
      <c r="H34" s="51"/>
      <c r="I34" s="28">
        <f t="shared" si="11"/>
        <v>4032</v>
      </c>
      <c r="J34" s="28"/>
      <c r="K34" s="27">
        <f t="shared" si="12"/>
        <v>144008</v>
      </c>
      <c r="M34"/>
      <c r="N34" s="41"/>
    </row>
    <row r="35" spans="1:14">
      <c r="A35" s="7" t="s">
        <v>23</v>
      </c>
      <c r="B35" s="69">
        <v>227318</v>
      </c>
      <c r="C35" s="4"/>
      <c r="D35" s="3"/>
      <c r="E35" s="46">
        <f t="shared" si="10"/>
        <v>227318</v>
      </c>
      <c r="F35" s="49">
        <f>F29</f>
        <v>2016</v>
      </c>
      <c r="G35" s="50">
        <f>F35*2</f>
        <v>4032</v>
      </c>
      <c r="H35" s="51"/>
      <c r="I35" s="28">
        <f t="shared" si="11"/>
        <v>4032</v>
      </c>
      <c r="J35" s="28"/>
      <c r="K35" s="27">
        <f t="shared" si="12"/>
        <v>223286</v>
      </c>
      <c r="M35"/>
      <c r="N35" s="41"/>
    </row>
    <row r="36" spans="1:14" ht="15.75" thickBot="1">
      <c r="A36" s="52" t="s">
        <v>32</v>
      </c>
      <c r="B36" s="71">
        <v>145856</v>
      </c>
      <c r="C36" s="54"/>
      <c r="D36" s="55"/>
      <c r="E36" s="56">
        <f t="shared" si="10"/>
        <v>145856</v>
      </c>
      <c r="F36" s="57">
        <f>F29</f>
        <v>2016</v>
      </c>
      <c r="G36" s="58">
        <f>F36*2</f>
        <v>4032</v>
      </c>
      <c r="H36" s="59"/>
      <c r="I36" s="60">
        <f t="shared" si="11"/>
        <v>4032</v>
      </c>
      <c r="J36" s="60"/>
      <c r="K36" s="66">
        <f>E36-I36-J36</f>
        <v>141824</v>
      </c>
      <c r="M36"/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hyperlinks>
    <hyperlink ref="M12" r:id="rId1"/>
    <hyperlink ref="M13" r:id="rId2"/>
  </hyperlinks>
  <pageMargins left="0.27" right="0.34" top="0.28000000000000003" bottom="0.21" header="0.23" footer="0.16"/>
  <pageSetup paperSize="9" scale="82" orientation="landscape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 2021-22</vt:lpstr>
      <vt:lpstr>May 2021</vt:lpstr>
      <vt:lpstr>June 2021</vt:lpstr>
      <vt:lpstr>july</vt:lpstr>
      <vt:lpstr>AUGUST</vt:lpstr>
      <vt:lpstr>september</vt:lpstr>
      <vt:lpstr>October 2021</vt:lpstr>
      <vt:lpstr>November 2021</vt:lpstr>
      <vt:lpstr>December 21-22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2021-12-01T10:13:35Z</cp:lastPrinted>
  <dcterms:created xsi:type="dcterms:W3CDTF">2013-12-03T09:05:52Z</dcterms:created>
  <dcterms:modified xsi:type="dcterms:W3CDTF">2021-12-08T04:03:05Z</dcterms:modified>
</cp:coreProperties>
</file>