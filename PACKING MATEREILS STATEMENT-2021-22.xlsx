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5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</sheets>
  <externalReferences>
    <externalReference r:id="rId7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5" i="84"/>
  <c r="E35" s="1"/>
  <c r="F30"/>
  <c r="F29"/>
  <c r="G29" s="1"/>
  <c r="I29" s="1"/>
  <c r="F13"/>
  <c r="F12"/>
  <c r="F11"/>
  <c r="F10"/>
  <c r="F8"/>
  <c r="F19" s="1"/>
  <c r="F7"/>
  <c r="G7" s="1"/>
  <c r="I7" s="1"/>
  <c r="F6"/>
  <c r="F5"/>
  <c r="G5" s="1"/>
  <c r="I5" s="1"/>
  <c r="F4"/>
  <c r="E36"/>
  <c r="E34"/>
  <c r="E33"/>
  <c r="F32"/>
  <c r="G32" s="1"/>
  <c r="I32" s="1"/>
  <c r="E32"/>
  <c r="E31"/>
  <c r="F33"/>
  <c r="G33" s="1"/>
  <c r="I33" s="1"/>
  <c r="E30"/>
  <c r="E29"/>
  <c r="F27"/>
  <c r="G27" s="1"/>
  <c r="I27" s="1"/>
  <c r="E27"/>
  <c r="E26"/>
  <c r="E25"/>
  <c r="E24"/>
  <c r="E23"/>
  <c r="F22"/>
  <c r="G22" s="1"/>
  <c r="I22" s="1"/>
  <c r="E22"/>
  <c r="E21"/>
  <c r="E19"/>
  <c r="F18"/>
  <c r="G18" s="1"/>
  <c r="I18" s="1"/>
  <c r="E18"/>
  <c r="F17"/>
  <c r="G17" s="1"/>
  <c r="I17" s="1"/>
  <c r="E17"/>
  <c r="E16"/>
  <c r="E15"/>
  <c r="F15"/>
  <c r="G15" s="1"/>
  <c r="I15" s="1"/>
  <c r="E13"/>
  <c r="I12"/>
  <c r="G12"/>
  <c r="E12"/>
  <c r="G11"/>
  <c r="I11" s="1"/>
  <c r="E11"/>
  <c r="G10"/>
  <c r="I10" s="1"/>
  <c r="E10"/>
  <c r="E8"/>
  <c r="E7"/>
  <c r="G6"/>
  <c r="I6" s="1"/>
  <c r="E6"/>
  <c r="E5"/>
  <c r="G4"/>
  <c r="I4" s="1"/>
  <c r="F25"/>
  <c r="G25" s="1"/>
  <c r="I25" s="1"/>
  <c r="E4"/>
  <c r="K12" l="1"/>
  <c r="K11"/>
  <c r="F24"/>
  <c r="G8"/>
  <c r="I8" s="1"/>
  <c r="K8" s="1"/>
  <c r="K7"/>
  <c r="K17"/>
  <c r="K4"/>
  <c r="K25"/>
  <c r="G24"/>
  <c r="I24" s="1"/>
  <c r="G19"/>
  <c r="I19" s="1"/>
  <c r="K19" s="1"/>
  <c r="K5"/>
  <c r="K36"/>
  <c r="K10"/>
  <c r="K18"/>
  <c r="K22"/>
  <c r="K24"/>
  <c r="K27"/>
  <c r="K32"/>
  <c r="K35"/>
  <c r="K6"/>
  <c r="K15"/>
  <c r="K29"/>
  <c r="K34"/>
  <c r="K33"/>
  <c r="G23"/>
  <c r="I23" s="1"/>
  <c r="K23" s="1"/>
  <c r="F36"/>
  <c r="G36" s="1"/>
  <c r="I36" s="1"/>
  <c r="F31"/>
  <c r="G31" s="1"/>
  <c r="I31" s="1"/>
  <c r="K31" s="1"/>
  <c r="F35"/>
  <c r="G35" s="1"/>
  <c r="I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F38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<sst xmlns="http://schemas.openxmlformats.org/spreadsheetml/2006/main" count="246" uniqueCount="47">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</sst>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1248</v>
          </cell>
          <cell r="C30">
            <v>2184</v>
          </cell>
          <cell r="D30">
            <v>16380</v>
          </cell>
          <cell r="E30">
            <v>0</v>
          </cell>
          <cell r="F30">
            <v>660</v>
          </cell>
          <cell r="G30">
            <v>616</v>
          </cell>
          <cell r="H30">
            <v>4608</v>
          </cell>
          <cell r="I30">
            <v>2808</v>
          </cell>
          <cell r="J30">
            <v>23736</v>
          </cell>
          <cell r="K30">
            <v>2148</v>
          </cell>
          <cell r="L30">
            <v>3852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3"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44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5" zoomScaleNormal="100" workbookViewId="0">
      <selection activeCell="M36" sqref="M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45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P17" sqref="P1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46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70">
        <v>3785.5</v>
      </c>
      <c r="C4" s="27"/>
      <c r="D4" s="3"/>
      <c r="E4" s="28">
        <f t="shared" ref="E4:E7" si="0">B4+C4+D4</f>
        <v>3785.5</v>
      </c>
      <c r="F4" s="29">
        <f>'[1]September 2021'!$J$30</f>
        <v>23736</v>
      </c>
      <c r="G4" s="29">
        <f>F4*0.024</f>
        <v>569.66399999999999</v>
      </c>
      <c r="H4" s="28"/>
      <c r="I4" s="28">
        <f>G4+H4</f>
        <v>569.66399999999999</v>
      </c>
      <c r="J4" s="28"/>
      <c r="K4" s="29">
        <f>E4-I4-J4</f>
        <v>3215.8360000000002</v>
      </c>
      <c r="N4" s="41"/>
    </row>
    <row r="5" spans="1:14">
      <c r="A5" s="7" t="s">
        <v>10</v>
      </c>
      <c r="B5" s="70">
        <v>1009.94</v>
      </c>
      <c r="C5" s="27"/>
      <c r="D5" s="3"/>
      <c r="E5" s="28">
        <f t="shared" si="0"/>
        <v>1009.94</v>
      </c>
      <c r="F5" s="29">
        <f>'[1]September 2021'!$C$30</f>
        <v>2184</v>
      </c>
      <c r="G5" s="29">
        <f>F5*0.024</f>
        <v>52.416000000000004</v>
      </c>
      <c r="H5" s="28"/>
      <c r="I5" s="28">
        <f t="shared" ref="I5:I6" si="1">G5+H5</f>
        <v>52.416000000000004</v>
      </c>
      <c r="J5" s="28"/>
      <c r="K5" s="28">
        <f>E5-I5-J5</f>
        <v>957.524</v>
      </c>
      <c r="N5" s="41"/>
    </row>
    <row r="6" spans="1:14">
      <c r="A6" s="7" t="s">
        <v>37</v>
      </c>
      <c r="B6" s="70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70">
        <v>760.8</v>
      </c>
      <c r="C7" s="27"/>
      <c r="D7" s="3"/>
      <c r="E7" s="28">
        <f t="shared" si="0"/>
        <v>760.8</v>
      </c>
      <c r="F7" s="29">
        <f>'[1]September 2021'!$F$30</f>
        <v>660</v>
      </c>
      <c r="G7" s="29">
        <f>F7*0.075</f>
        <v>49.5</v>
      </c>
      <c r="H7" s="28"/>
      <c r="I7" s="28">
        <f>G7+H7</f>
        <v>49.5</v>
      </c>
      <c r="J7" s="28"/>
      <c r="K7" s="28">
        <f>E7-I7-J7</f>
        <v>711.3</v>
      </c>
      <c r="N7" s="41"/>
    </row>
    <row r="8" spans="1:14">
      <c r="A8" s="7" t="s">
        <v>35</v>
      </c>
      <c r="B8" s="70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70">
        <v>66368</v>
      </c>
      <c r="C10" s="2"/>
      <c r="D10" s="3"/>
      <c r="E10" s="34">
        <f>B10+C10+D10</f>
        <v>66368</v>
      </c>
      <c r="F10" s="35">
        <f>'[1]September 2021'!$H$30</f>
        <v>4608</v>
      </c>
      <c r="G10" s="35">
        <f>F10*1</f>
        <v>4608</v>
      </c>
      <c r="H10" s="2"/>
      <c r="I10" s="28">
        <f t="shared" ref="I10:I13" si="4">G10+H10</f>
        <v>4608</v>
      </c>
      <c r="J10" s="28"/>
      <c r="K10" s="63">
        <f>E10-I10-J10</f>
        <v>61760</v>
      </c>
      <c r="N10" s="41"/>
    </row>
    <row r="11" spans="1:14">
      <c r="A11" s="7" t="s">
        <v>26</v>
      </c>
      <c r="B11" s="70">
        <v>43557</v>
      </c>
      <c r="C11" s="2"/>
      <c r="D11" s="3"/>
      <c r="E11" s="34">
        <f>B11+C11+D11</f>
        <v>43557</v>
      </c>
      <c r="F11" s="35">
        <f>'[1]September 2021'!$I$30</f>
        <v>2808</v>
      </c>
      <c r="G11" s="35">
        <f>F11*2</f>
        <v>5616</v>
      </c>
      <c r="H11" s="34"/>
      <c r="I11" s="28">
        <f t="shared" si="4"/>
        <v>5616</v>
      </c>
      <c r="J11" s="28"/>
      <c r="K11" s="63">
        <f>E11-I11-J11</f>
        <v>37941</v>
      </c>
      <c r="N11" s="41"/>
    </row>
    <row r="12" spans="1:14">
      <c r="A12" s="7" t="s">
        <v>12</v>
      </c>
      <c r="B12" s="70">
        <v>5232</v>
      </c>
      <c r="C12" s="2"/>
      <c r="D12" s="3"/>
      <c r="E12" s="34">
        <f>B12+C12+D12</f>
        <v>5232</v>
      </c>
      <c r="F12" s="35">
        <f>'[1]September 2021'!$B$30</f>
        <v>1248</v>
      </c>
      <c r="G12" s="35">
        <f>F12*1</f>
        <v>1248</v>
      </c>
      <c r="H12" s="34"/>
      <c r="I12" s="28">
        <f t="shared" si="4"/>
        <v>1248</v>
      </c>
      <c r="J12" s="28"/>
      <c r="K12" s="63">
        <f>E12-I12-J12</f>
        <v>3984</v>
      </c>
      <c r="N12" s="41"/>
    </row>
    <row r="13" spans="1:14">
      <c r="A13" s="7" t="s">
        <v>13</v>
      </c>
      <c r="B13" s="70">
        <v>-98</v>
      </c>
      <c r="C13" s="2">
        <v>3050</v>
      </c>
      <c r="D13" s="3"/>
      <c r="E13" s="34">
        <f>B13+C13+D13</f>
        <v>2952</v>
      </c>
      <c r="F13" s="35">
        <f>'[1]September 2021'!$D$30</f>
        <v>16380</v>
      </c>
      <c r="G13" s="35">
        <f>F13/5</f>
        <v>3276</v>
      </c>
      <c r="H13" s="34"/>
      <c r="I13" s="28">
        <f t="shared" si="4"/>
        <v>3276</v>
      </c>
      <c r="J13" s="28"/>
      <c r="K13" s="63">
        <f>E13-I13-J13</f>
        <v>-324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8">
        <v>74784</v>
      </c>
      <c r="C15" s="2"/>
      <c r="D15" s="3"/>
      <c r="E15" s="34">
        <f t="shared" ref="E15:E19" si="5">B15+C15+D15</f>
        <v>74784</v>
      </c>
      <c r="F15" s="35">
        <f>F13</f>
        <v>16380</v>
      </c>
      <c r="G15" s="35">
        <f>F15/5</f>
        <v>3276</v>
      </c>
      <c r="H15" s="34"/>
      <c r="I15" s="28">
        <f t="shared" ref="I15:I19" si="6">G15+H15</f>
        <v>3276</v>
      </c>
      <c r="J15" s="28"/>
      <c r="K15" s="63">
        <f>E15-I15-J15</f>
        <v>71508</v>
      </c>
      <c r="N15" s="41"/>
    </row>
    <row r="16" spans="1:14">
      <c r="A16" s="7" t="s">
        <v>15</v>
      </c>
      <c r="B16" s="70">
        <v>131092</v>
      </c>
      <c r="C16" s="2"/>
      <c r="D16" s="3"/>
      <c r="E16" s="34">
        <f t="shared" si="5"/>
        <v>131092</v>
      </c>
      <c r="F16" s="35">
        <f>F4+F5</f>
        <v>25920</v>
      </c>
      <c r="G16" s="35">
        <f>F16/2</f>
        <v>12960</v>
      </c>
      <c r="H16" s="34"/>
      <c r="I16" s="28">
        <f t="shared" si="6"/>
        <v>12960</v>
      </c>
      <c r="J16" s="28"/>
      <c r="K16" s="63">
        <f>E16-I16-J16</f>
        <v>118132</v>
      </c>
      <c r="N16" s="41"/>
    </row>
    <row r="17" spans="1:14">
      <c r="A17" s="7" t="s">
        <v>28</v>
      </c>
      <c r="B17" s="70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70">
        <v>179014</v>
      </c>
      <c r="C18" s="2"/>
      <c r="D18" s="3"/>
      <c r="E18" s="34">
        <f t="shared" si="5"/>
        <v>179014</v>
      </c>
      <c r="F18" s="39">
        <f>F7</f>
        <v>660</v>
      </c>
      <c r="G18" s="35">
        <f>(F18/22)*25</f>
        <v>750</v>
      </c>
      <c r="H18" s="34"/>
      <c r="I18" s="28">
        <f t="shared" si="6"/>
        <v>750</v>
      </c>
      <c r="J18" s="28"/>
      <c r="K18" s="63">
        <f>E18-I18-J18</f>
        <v>178264</v>
      </c>
      <c r="N18" s="41"/>
    </row>
    <row r="19" spans="1:14">
      <c r="A19" s="7" t="s">
        <v>41</v>
      </c>
      <c r="B19" s="70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9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70">
        <v>685</v>
      </c>
      <c r="C21" s="2"/>
      <c r="D21" s="3"/>
      <c r="E21" s="34">
        <f t="shared" ref="E21:E27" si="7">B21+C21+D21</f>
        <v>685</v>
      </c>
      <c r="F21" s="35">
        <f>F10</f>
        <v>4608</v>
      </c>
      <c r="G21" s="35">
        <f>F21/24</f>
        <v>192</v>
      </c>
      <c r="H21" s="34"/>
      <c r="I21" s="28">
        <f t="shared" ref="I21:I26" si="8">G21+H21</f>
        <v>192</v>
      </c>
      <c r="J21" s="28"/>
      <c r="K21" s="63">
        <f t="shared" ref="K21:K27" si="9">E21-I21-J21</f>
        <v>493</v>
      </c>
      <c r="N21" s="41"/>
    </row>
    <row r="22" spans="1:14">
      <c r="A22" s="7" t="s">
        <v>18</v>
      </c>
      <c r="B22" s="70">
        <v>1326</v>
      </c>
      <c r="C22" s="2"/>
      <c r="D22" s="3"/>
      <c r="E22" s="34">
        <f t="shared" si="7"/>
        <v>1326</v>
      </c>
      <c r="F22" s="35">
        <f>F12</f>
        <v>1248</v>
      </c>
      <c r="G22" s="35">
        <f>F22/24</f>
        <v>52</v>
      </c>
      <c r="H22" s="34"/>
      <c r="I22" s="28">
        <f t="shared" si="8"/>
        <v>52</v>
      </c>
      <c r="J22" s="28"/>
      <c r="K22" s="63">
        <f t="shared" si="9"/>
        <v>1274</v>
      </c>
      <c r="N22" s="41"/>
    </row>
    <row r="23" spans="1:14">
      <c r="A23" s="42" t="s">
        <v>36</v>
      </c>
      <c r="B23" s="70">
        <v>1374</v>
      </c>
      <c r="C23" s="2"/>
      <c r="D23" s="3"/>
      <c r="E23" s="34">
        <f t="shared" si="7"/>
        <v>1374</v>
      </c>
      <c r="F23" s="39"/>
      <c r="G23" s="35">
        <f>(F13/30)+(F7/22)+(F6/22)</f>
        <v>604</v>
      </c>
      <c r="H23" s="34"/>
      <c r="I23" s="28">
        <f t="shared" si="8"/>
        <v>604</v>
      </c>
      <c r="J23" s="28"/>
      <c r="K23" s="33">
        <f t="shared" si="9"/>
        <v>770</v>
      </c>
      <c r="L23" s="41"/>
      <c r="N23" s="41"/>
    </row>
    <row r="24" spans="1:14">
      <c r="A24" s="7" t="s">
        <v>34</v>
      </c>
      <c r="B24" s="70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1">
        <v>3426</v>
      </c>
      <c r="C25" s="2"/>
      <c r="D25" s="3"/>
      <c r="E25" s="34">
        <f t="shared" si="7"/>
        <v>3426</v>
      </c>
      <c r="F25" s="35">
        <f>F4</f>
        <v>23736</v>
      </c>
      <c r="G25" s="35">
        <f>F25/24</f>
        <v>989</v>
      </c>
      <c r="H25" s="34"/>
      <c r="I25" s="28">
        <f t="shared" si="8"/>
        <v>989</v>
      </c>
      <c r="J25" s="28"/>
      <c r="K25" s="63">
        <f t="shared" si="9"/>
        <v>2437</v>
      </c>
      <c r="M25" s="62"/>
      <c r="N25" s="41"/>
    </row>
    <row r="26" spans="1:14">
      <c r="A26" s="7" t="s">
        <v>17</v>
      </c>
      <c r="B26" s="70">
        <v>200</v>
      </c>
      <c r="C26" s="2"/>
      <c r="D26" s="3"/>
      <c r="E26" s="34">
        <f t="shared" si="7"/>
        <v>200</v>
      </c>
      <c r="F26" s="35">
        <f>F5</f>
        <v>2184</v>
      </c>
      <c r="G26" s="35">
        <f>F26/24</f>
        <v>91</v>
      </c>
      <c r="H26" s="34"/>
      <c r="I26" s="28">
        <f t="shared" si="8"/>
        <v>91</v>
      </c>
      <c r="J26" s="28"/>
      <c r="K26" s="63">
        <f t="shared" si="9"/>
        <v>109</v>
      </c>
      <c r="N26" s="41"/>
    </row>
    <row r="27" spans="1:14">
      <c r="A27" s="7" t="s">
        <v>27</v>
      </c>
      <c r="B27" s="70">
        <v>547</v>
      </c>
      <c r="C27" s="2"/>
      <c r="D27" s="3"/>
      <c r="E27" s="34">
        <f t="shared" si="7"/>
        <v>547</v>
      </c>
      <c r="F27" s="35">
        <f>F11</f>
        <v>2808</v>
      </c>
      <c r="G27" s="35">
        <f>F27/24</f>
        <v>117</v>
      </c>
      <c r="H27" s="34"/>
      <c r="I27" s="28">
        <f>G27+H27</f>
        <v>117</v>
      </c>
      <c r="J27" s="28"/>
      <c r="K27" s="63">
        <f t="shared" si="9"/>
        <v>430</v>
      </c>
      <c r="N27" s="41"/>
    </row>
    <row r="28" spans="1:14">
      <c r="A28" s="11"/>
      <c r="B28" s="69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70">
        <v>22380</v>
      </c>
      <c r="C29" s="2">
        <v>57500</v>
      </c>
      <c r="D29" s="3"/>
      <c r="E29" s="34">
        <f t="shared" ref="E29:E36" si="10">B29+C29+D29</f>
        <v>79880</v>
      </c>
      <c r="F29" s="44">
        <f>'[1]September 2021'!$K$30</f>
        <v>2148</v>
      </c>
      <c r="G29" s="44">
        <f>F29*2</f>
        <v>4296</v>
      </c>
      <c r="H29" s="45"/>
      <c r="I29" s="28">
        <f t="shared" ref="I29:I36" si="11">G29+H29</f>
        <v>4296</v>
      </c>
      <c r="J29" s="28"/>
      <c r="K29" s="64">
        <f t="shared" ref="K29:K35" si="12">E29-I29-J29</f>
        <v>75584</v>
      </c>
      <c r="N29" s="41"/>
    </row>
    <row r="30" spans="1:14">
      <c r="A30" s="7" t="s">
        <v>31</v>
      </c>
      <c r="B30" s="70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3852</v>
      </c>
      <c r="G30" s="44">
        <f>F30*4</f>
        <v>15408</v>
      </c>
      <c r="H30" s="45"/>
      <c r="I30" s="28">
        <f t="shared" si="11"/>
        <v>15408</v>
      </c>
      <c r="J30" s="28"/>
      <c r="K30" s="64">
        <f>E30-I30-J30</f>
        <v>46888</v>
      </c>
      <c r="N30" s="41"/>
    </row>
    <row r="31" spans="1:14">
      <c r="A31" s="7" t="s">
        <v>20</v>
      </c>
      <c r="B31" s="70">
        <v>5123</v>
      </c>
      <c r="C31" s="2"/>
      <c r="D31" s="3"/>
      <c r="E31" s="46">
        <f t="shared" si="10"/>
        <v>5123</v>
      </c>
      <c r="F31" s="49">
        <f>F29</f>
        <v>2148</v>
      </c>
      <c r="G31" s="44">
        <f>F31/12</f>
        <v>179</v>
      </c>
      <c r="H31" s="45"/>
      <c r="I31" s="28">
        <f t="shared" si="11"/>
        <v>179</v>
      </c>
      <c r="J31" s="28"/>
      <c r="K31" s="27">
        <f t="shared" si="12"/>
        <v>4944</v>
      </c>
      <c r="N31" s="41"/>
    </row>
    <row r="32" spans="1:14">
      <c r="A32" s="7" t="s">
        <v>25</v>
      </c>
      <c r="B32" s="70">
        <v>1013</v>
      </c>
      <c r="C32" s="4"/>
      <c r="D32" s="3"/>
      <c r="E32" s="46">
        <f t="shared" si="10"/>
        <v>1013</v>
      </c>
      <c r="F32" s="49">
        <f>F30</f>
        <v>3852</v>
      </c>
      <c r="G32" s="50">
        <f>F32/12</f>
        <v>321</v>
      </c>
      <c r="H32" s="51"/>
      <c r="I32" s="28">
        <f t="shared" si="11"/>
        <v>321</v>
      </c>
      <c r="J32" s="28"/>
      <c r="K32" s="27">
        <f t="shared" si="12"/>
        <v>692</v>
      </c>
      <c r="N32" s="41"/>
    </row>
    <row r="33" spans="1:14">
      <c r="A33" s="7" t="s">
        <v>21</v>
      </c>
      <c r="B33" s="70">
        <v>57873</v>
      </c>
      <c r="C33" s="2"/>
      <c r="D33" s="3"/>
      <c r="E33" s="46">
        <f t="shared" si="10"/>
        <v>57873</v>
      </c>
      <c r="F33" s="49">
        <f>F30</f>
        <v>3852</v>
      </c>
      <c r="G33" s="50">
        <f>F33*4</f>
        <v>15408</v>
      </c>
      <c r="H33" s="48"/>
      <c r="I33" s="28">
        <f t="shared" si="11"/>
        <v>15408</v>
      </c>
      <c r="J33" s="28"/>
      <c r="K33" s="27">
        <f t="shared" si="12"/>
        <v>42465</v>
      </c>
      <c r="N33" s="41"/>
    </row>
    <row r="34" spans="1:14">
      <c r="A34" s="7" t="s">
        <v>22</v>
      </c>
      <c r="B34" s="70">
        <v>2020</v>
      </c>
      <c r="C34" s="4">
        <v>20000</v>
      </c>
      <c r="D34" s="3"/>
      <c r="E34" s="46">
        <f t="shared" si="10"/>
        <v>22020</v>
      </c>
      <c r="F34" s="49">
        <f>F29</f>
        <v>2148</v>
      </c>
      <c r="G34" s="50">
        <f>F34*2</f>
        <v>4296</v>
      </c>
      <c r="H34" s="51"/>
      <c r="I34" s="28">
        <f t="shared" si="11"/>
        <v>4296</v>
      </c>
      <c r="J34" s="28"/>
      <c r="K34" s="27">
        <f t="shared" si="12"/>
        <v>17724</v>
      </c>
      <c r="N34" s="41"/>
    </row>
    <row r="35" spans="1:14">
      <c r="A35" s="7" t="s">
        <v>23</v>
      </c>
      <c r="B35" s="70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2148</v>
      </c>
      <c r="G35" s="50">
        <f>F35*2</f>
        <v>4296</v>
      </c>
      <c r="H35" s="51"/>
      <c r="I35" s="28">
        <f t="shared" si="11"/>
        <v>4296</v>
      </c>
      <c r="J35" s="28"/>
      <c r="K35" s="27">
        <f t="shared" si="12"/>
        <v>150502</v>
      </c>
      <c r="N35" s="41"/>
    </row>
    <row r="36" spans="1:14" ht="15.75" thickBot="1">
      <c r="A36" s="52" t="s">
        <v>32</v>
      </c>
      <c r="B36" s="72">
        <v>47336</v>
      </c>
      <c r="C36" s="54"/>
      <c r="D36" s="55"/>
      <c r="E36" s="56">
        <f t="shared" si="10"/>
        <v>47336</v>
      </c>
      <c r="F36" s="57">
        <f>F29</f>
        <v>2148</v>
      </c>
      <c r="G36" s="58">
        <f>F36*2</f>
        <v>4296</v>
      </c>
      <c r="H36" s="59"/>
      <c r="I36" s="60">
        <f t="shared" si="11"/>
        <v>4296</v>
      </c>
      <c r="J36" s="60"/>
      <c r="K36" s="66">
        <f>E36-I36-J36</f>
        <v>43040</v>
      </c>
      <c r="N36" s="41"/>
    </row>
    <row r="37" spans="1:14">
      <c r="B37" s="41"/>
    </row>
    <row r="38" spans="1:14">
      <c r="F38" s="61">
        <f>F4+F5+F6+F7+F8+F10+F11+F12+F13+F29+F30</f>
        <v>58240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</vt:lpstr>
      <vt:lpstr>AUGUST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2021-09-18T10:05:22Z</cp:lastPrinted>
  <dcterms:created xsi:type="dcterms:W3CDTF">2013-12-03T09:05:52Z</dcterms:created>
  <dcterms:modified xsi:type="dcterms:W3CDTF">2021-09-18T10:08:36Z</dcterms:modified>
</cp:coreProperties>
</file>