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225" yWindow="315" windowWidth="20070" windowHeight="7440" firstSheet="2" activeTab="8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8" r:id="rId7"/>
    <sheet name="November 2021" sheetId="39" r:id="rId8"/>
    <sheet name="December 2021" sheetId="40" r:id="rId9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8" hidden="1">'December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7" hidden="1">'November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40"/>
  <c r="L31" s="1"/>
  <c r="K30"/>
  <c r="J30"/>
  <c r="I30"/>
  <c r="H30"/>
  <c r="G30"/>
  <c r="F30"/>
  <c r="E30"/>
  <c r="E31" s="1"/>
  <c r="D30"/>
  <c r="C30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16" i="39"/>
  <c r="I31" i="40" l="1"/>
  <c r="K31"/>
  <c r="J31"/>
  <c r="H31"/>
  <c r="G31"/>
  <c r="F31"/>
  <c r="C31"/>
  <c r="M30"/>
  <c r="M31" s="1"/>
  <c r="D31"/>
  <c r="M21" i="38"/>
  <c r="M11"/>
  <c r="L30" i="39" l="1"/>
  <c r="K30"/>
  <c r="J30"/>
  <c r="I30"/>
  <c r="H30"/>
  <c r="G30"/>
  <c r="F30"/>
  <c r="E30"/>
  <c r="D30"/>
  <c r="C30"/>
  <c r="B30"/>
  <c r="M29"/>
  <c r="M28"/>
  <c r="M27"/>
  <c r="M26"/>
  <c r="M25"/>
  <c r="M24"/>
  <c r="M23"/>
  <c r="M22"/>
  <c r="M21"/>
  <c r="M20"/>
  <c r="M19"/>
  <c r="M18"/>
  <c r="M17"/>
  <c r="M15"/>
  <c r="M14"/>
  <c r="M13"/>
  <c r="M12"/>
  <c r="M11"/>
  <c r="M10"/>
  <c r="M9"/>
  <c r="M8"/>
  <c r="M7"/>
  <c r="M6"/>
  <c r="M5"/>
  <c r="M4"/>
  <c r="L30" i="38"/>
  <c r="L31" s="1"/>
  <c r="K30"/>
  <c r="J30"/>
  <c r="I30"/>
  <c r="H30"/>
  <c r="G30"/>
  <c r="F30"/>
  <c r="E30"/>
  <c r="E31" s="1"/>
  <c r="D30"/>
  <c r="C30"/>
  <c r="B30"/>
  <c r="B31" s="1"/>
  <c r="M29"/>
  <c r="M28"/>
  <c r="M27"/>
  <c r="M26"/>
  <c r="M25"/>
  <c r="M24"/>
  <c r="M23"/>
  <c r="M22"/>
  <c r="M20"/>
  <c r="M19"/>
  <c r="M18"/>
  <c r="M17"/>
  <c r="M16"/>
  <c r="M15"/>
  <c r="M14"/>
  <c r="M13"/>
  <c r="M12"/>
  <c r="M10"/>
  <c r="M9"/>
  <c r="M8"/>
  <c r="M7"/>
  <c r="M6"/>
  <c r="M5"/>
  <c r="M4"/>
  <c r="M3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D31" i="39" l="1"/>
  <c r="L31"/>
  <c r="C31"/>
  <c r="K31"/>
  <c r="B31"/>
  <c r="F31"/>
  <c r="J31"/>
  <c r="H31"/>
  <c r="G31"/>
  <c r="E31"/>
  <c r="I31"/>
  <c r="M30"/>
  <c r="M31" s="1"/>
  <c r="C31" i="38"/>
  <c r="G31"/>
  <c r="F31"/>
  <c r="K31"/>
  <c r="J31"/>
  <c r="I31"/>
  <c r="H31"/>
  <c r="D31"/>
  <c r="M30"/>
  <c r="M31" s="1"/>
  <c r="M30" i="36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<sst xmlns="http://schemas.openxmlformats.org/spreadsheetml/2006/main" count="367" uniqueCount="239">
  <si>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</si>
  <si>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</si>
  <si>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</si>
  <si>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</si>
  <si>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</si>
  <si>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</si>
  <si>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</si>
  <si>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</si>
  <si>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</si>
  <si>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</si>
  <si>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</si>
  <si>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</si>
  <si>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</si>
  <si>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</si>
  <si>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</si>
  <si>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</si>
  <si>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</si>
  <si>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</si>
  <si>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</si>
  <si>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</si>
  <si>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</si>
  <si>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</si>
  <si>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</si>
  <si>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</si>
  <si>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</si>
  <si>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</si>
  <si>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</si>
  <si>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</si>
  <si>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</si>
  <si>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</si>
  <si>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</si>
  <si>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</si>
  <si>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</si>
  <si>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</si>
  <si>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</si>
  <si>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</si>
  <si>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</si>
  <si>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</si>
  <si>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</si>
  <si>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</si>
  <si>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</si>
  <si>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</si>
  <si>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</si>
  <si>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</si>
  <si>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</si>
  <si>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</si>
  <si>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</si>
  <si>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</si>
  <si>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</si>
  <si>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</si>
  <si>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</si>
  <si>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</si>
  <si>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</si>
  <si>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</si>
  <si>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</si>
  <si>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</si>
  <si>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</si>
  <si>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</si>
  <si>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</si>
  <si>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</si>
  <si>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</si>
  <si>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</si>
  <si>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</si>
  <si>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</si>
  <si>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</si>
  <si>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</si>
  <si>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</si>
  <si>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</si>
  <si>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</si>
  <si>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</si>
  <si>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</si>
  <si>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</si>
  <si>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</si>
  <si>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</si>
  <si>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</si>
  <si>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</si>
  <si>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</si>
  <si>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</si>
  <si>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</si>
  <si>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</si>
  <si>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</si>
  <si>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</si>
  <si>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</si>
  <si>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</si>
  <si>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</si>
  <si>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</si>
  <si>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</si>
  <si>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</si>
  <si>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</si>
  <si>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</si>
  <si>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</si>
  <si>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</si>
  <si>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</si>
  <si>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</si>
  <si>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</si>
  <si>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</si>
  <si>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</si>
  <si>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</si>
  <si>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</si>
  <si>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</si>
  <si>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</si>
  <si>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</si>
  <si>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</si>
  <si>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</si>
  <si>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</si>
  <si>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</si>
  <si>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</si>
  <si>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</si>
  <si>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</si>
  <si>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</si>
  <si>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</si>
  <si>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</si>
  <si>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</si>
  <si>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</si>
  <si>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</si>
  <si>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</si>
  <si>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</si>
  <si>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</si>
  <si>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</si>
  <si>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</si>
  <si>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</si>
  <si>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</si>
  <si>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</si>
  <si>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</si>
  <si>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</si>
  <si>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</si>
  <si>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</si>
  <si>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</si>
  <si>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</si>
  <si>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</si>
  <si>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</si>
  <si>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</si>
  <si>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</si>
  <si>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</si>
  <si>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</si>
  <si>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</si>
  <si>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</si>
  <si>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</si>
  <si>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</si>
  <si>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</si>
  <si>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</si>
  <si>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</si>
  <si>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</si>
  <si>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</si>
  <si>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</si>
  <si>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</si>
  <si>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</si>
  <si>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</si>
  <si>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</si>
  <si>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</si>
  <si>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</si>
  <si>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</si>
  <si>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</si>
  <si>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</si>
  <si>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</si>
  <si>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</si>
  <si>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</si>
  <si>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</si>
  <si>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</si>
  <si>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</si>
  <si>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</si>
  <si>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</si>
  <si>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</si>
  <si>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</si>
  <si>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</si>
  <si>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</si>
  <si>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</si>
  <si>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</si>
  <si>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</si>
  <si>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</si>
  <si>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</si>
  <si>
    <t>01.10.2021</t>
  </si>
  <si>
    <t>04.10.2021</t>
  </si>
  <si>
    <t>05.10.2021</t>
  </si>
  <si>
    <t>06.10.2021</t>
  </si>
  <si>
    <t>07.10.2021</t>
  </si>
  <si>
    <t>PRODUCTION FOR THE MONTH OF OCTOBER 2021</t>
  </si>
  <si>
    <t>08.10.2021</t>
  </si>
  <si>
    <t>09.10.2021</t>
  </si>
  <si>
    <t>11.10.2021</t>
  </si>
  <si>
    <t>12.10.2021</t>
  </si>
  <si>
    <t>13.10.2021</t>
  </si>
  <si>
    <t>14.10.2021</t>
  </si>
  <si>
    <t>16.10.2021</t>
  </si>
  <si>
    <t>18.10.2021</t>
  </si>
  <si>
    <t>19.10.2021</t>
  </si>
  <si>
    <t>20.10.2021</t>
  </si>
  <si>
    <t>21.10.2021</t>
  </si>
  <si>
    <t>22.10.2021</t>
  </si>
  <si>
    <t>23.10.2021</t>
  </si>
  <si>
    <t>25.10.2021</t>
  </si>
  <si>
    <t>26.10.2021</t>
  </si>
  <si>
    <t>27.10.2021</t>
  </si>
  <si>
    <t>28.10.2021</t>
  </si>
  <si>
    <t>29.10.2021</t>
  </si>
  <si>
    <t>30.10.2021</t>
  </si>
  <si>
    <t>PRODUCTION FOR THE MONTH OF NOVEMBER 2021</t>
  </si>
  <si>
    <t>01.11.2021</t>
  </si>
  <si>
    <t>02.11.2021</t>
  </si>
  <si>
    <t>03.11.2021</t>
  </si>
  <si>
    <t>05.11.2021</t>
  </si>
  <si>
    <t>06.11.2021</t>
  </si>
  <si>
    <t>08.11.2021</t>
  </si>
  <si>
    <t>09.11.2021</t>
  </si>
  <si>
    <t>10.11.2021</t>
  </si>
  <si>
    <t>11.11.2021</t>
  </si>
  <si>
    <t>D.K STATEMENT -2021-22.xlsx</t>
  </si>
  <si>
    <t>PACKING MATEREILS STATEMENT-2021-22.xlsx</t>
  </si>
  <si>
    <t>BLENDED TEA STOCK REGISTER 2021-22.xlsx</t>
  </si>
  <si>
    <t>12.11.2021</t>
  </si>
  <si>
    <t>13.11.2021</t>
  </si>
  <si>
    <t>15.11.2021</t>
  </si>
  <si>
    <t>16.11.2021</t>
  </si>
  <si>
    <t>17.11.2021</t>
  </si>
  <si>
    <t>18.11.2021</t>
  </si>
  <si>
    <t>19.11.2021</t>
  </si>
  <si>
    <t>20.11.2021</t>
  </si>
  <si>
    <t>23.11.2021</t>
  </si>
  <si>
    <t>22.11.2021</t>
  </si>
  <si>
    <t>24.11.2021</t>
  </si>
  <si>
    <t>26.11.2021</t>
  </si>
  <si>
    <t>25.11.2021</t>
  </si>
  <si>
    <t>27.11.2021</t>
  </si>
  <si>
    <t>29.11.2021</t>
  </si>
  <si>
    <t>30.11.2021</t>
  </si>
  <si>
    <t>PRODUCTION FOR THE MONTH OF DECEMBER 2021</t>
  </si>
  <si>
    <t>01.12.2021</t>
  </si>
  <si>
    <t>02.12.2021</t>
  </si>
  <si>
    <t>04.12.2021</t>
  </si>
  <si>
    <t>03.12.2021</t>
  </si>
  <si>
    <t>06.12.2021</t>
  </si>
  <si>
    <t>07.12.2021</t>
  </si>
  <si>
    <t>08.12.2021</t>
  </si>
  <si>
    <t>09.12.2021</t>
  </si>
  <si>
    <t>10.12.2021</t>
  </si>
  <si>
    <t>11.12.2021</t>
  </si>
  <si>
    <t>13.12.2021</t>
  </si>
  <si>
    <t>14.12.2021</t>
  </si>
  <si>
    <t>15.12.2021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</si>
</sst>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charset val="134"/>
    </font>
    <font>
      <u/>
      <sz val="11"/>
      <color rgb="FF00B050"/>
      <name val="Calibri"/>
      <family val="2"/>
    </font>
    <font>
      <u/>
      <sz val="11"/>
      <color rgb="FF002060"/>
      <name val="Calibri"/>
      <family val="2"/>
    </font>
    <font>
      <u/>
      <sz val="11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6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6" fillId="0" borderId="0" xfId="1" applyAlignment="1" applyProtection="1"/>
    <xf numFmtId="0" fontId="7" fillId="0" borderId="0" xfId="1" applyFont="1" applyAlignment="1" applyProtection="1"/>
    <xf numFmtId="0" fontId="8" fillId="0" borderId="0" xfId="1" applyFont="1" applyAlignment="1" applyProtection="1"/>
    <xf numFmtId="0" fontId="9" fillId="0" borderId="0" xfId="1" applyFont="1" applyAlignment="1" applyProtection="1"/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BLENDED%20TEA%20STOCK%20REGISTER%202021-22.xlsx" TargetMode="External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BLENDED%20TEA%20STOCK%20REGISTER%202021-22.xlsx" TargetMode="External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Relationship Id="rId4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P1943"/>
  <sheetViews>
    <sheetView workbookViewId="0">
      <pane ySplit="3" topLeftCell="A10" activePane="bottomLeft" state="frozen"/>
      <selection pane="bottomLeft" activeCell="E25" sqref="E25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40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P1943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P1943"/>
  <sheetViews>
    <sheetView workbookViewId="0">
      <pane ySplit="3" topLeftCell="A17" activePane="bottomLeft" state="frozen"/>
      <selection pane="bottomLeft" activeCell="M31" sqref="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126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P1943"/>
  <sheetViews>
    <sheetView workbookViewId="0">
      <pane ySplit="3" topLeftCell="A4" activePane="bottomLeft" state="frozen"/>
      <selection pane="bottomLeft" activeCell="M31" sqref="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165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P1943"/>
  <sheetViews>
    <sheetView workbookViewId="0">
      <pane ySplit="3" topLeftCell="A14" activePane="bottomLeft" state="frozen"/>
      <selection pane="bottomLeft" activeCell="M24" sqref="M2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8" t="s">
        <v>176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171</v>
      </c>
      <c r="B4" s="10"/>
      <c r="C4" s="11">
        <v>2736</v>
      </c>
      <c r="D4" s="10">
        <v>1800</v>
      </c>
      <c r="E4" s="32"/>
      <c r="F4" s="32"/>
      <c r="G4" s="33"/>
      <c r="H4" s="32">
        <v>408</v>
      </c>
      <c r="I4" s="12"/>
      <c r="J4" s="12">
        <v>960</v>
      </c>
      <c r="K4" s="10"/>
      <c r="L4" s="21"/>
      <c r="M4" s="24">
        <f t="shared" ref="M4:M29" si="0">SUM(B4:L4)</f>
        <v>5904</v>
      </c>
      <c r="P4" s="1"/>
    </row>
    <row r="5" spans="1:16">
      <c r="A5" s="63" t="s">
        <v>172</v>
      </c>
      <c r="B5" s="10"/>
      <c r="C5" s="11"/>
      <c r="D5" s="10"/>
      <c r="E5" s="32"/>
      <c r="F5" s="32"/>
      <c r="G5" s="33"/>
      <c r="H5" s="32">
        <v>552</v>
      </c>
      <c r="I5" s="12">
        <v>576</v>
      </c>
      <c r="J5" s="12">
        <v>2280</v>
      </c>
      <c r="K5" s="10">
        <v>660</v>
      </c>
      <c r="L5" s="21"/>
      <c r="M5" s="24">
        <f t="shared" si="0"/>
        <v>4068</v>
      </c>
      <c r="P5" s="1"/>
    </row>
    <row r="6" spans="1:16">
      <c r="A6" s="63" t="s">
        <v>173</v>
      </c>
      <c r="B6" s="51"/>
      <c r="C6" s="52"/>
      <c r="D6" s="51">
        <v>3960</v>
      </c>
      <c r="E6" s="53"/>
      <c r="F6" s="53"/>
      <c r="G6" s="54"/>
      <c r="H6" s="53"/>
      <c r="I6" s="55"/>
      <c r="J6" s="55">
        <v>2328</v>
      </c>
      <c r="K6" s="51">
        <v>1104</v>
      </c>
      <c r="L6" s="56"/>
      <c r="M6" s="24">
        <f t="shared" si="0"/>
        <v>7392</v>
      </c>
      <c r="P6" s="1"/>
    </row>
    <row r="7" spans="1:16">
      <c r="A7" s="63" t="s">
        <v>174</v>
      </c>
      <c r="B7" s="10"/>
      <c r="C7" s="13"/>
      <c r="D7" s="10">
        <v>1140</v>
      </c>
      <c r="E7" s="32">
        <v>240</v>
      </c>
      <c r="F7" s="32"/>
      <c r="G7" s="33"/>
      <c r="H7" s="32"/>
      <c r="I7" s="12"/>
      <c r="J7" s="12">
        <v>2208</v>
      </c>
      <c r="K7" s="10">
        <v>612</v>
      </c>
      <c r="L7" s="21">
        <v>132</v>
      </c>
      <c r="M7" s="24">
        <f t="shared" si="0"/>
        <v>4332</v>
      </c>
      <c r="P7" s="1"/>
    </row>
    <row r="8" spans="1:16">
      <c r="A8" s="9" t="s">
        <v>175</v>
      </c>
      <c r="B8" s="10">
        <v>1032</v>
      </c>
      <c r="C8" s="11"/>
      <c r="D8" s="10">
        <v>1560</v>
      </c>
      <c r="E8" s="32">
        <v>240</v>
      </c>
      <c r="F8" s="32"/>
      <c r="G8" s="33"/>
      <c r="H8" s="32">
        <v>192</v>
      </c>
      <c r="I8" s="12">
        <v>168</v>
      </c>
      <c r="J8" s="12">
        <v>2136</v>
      </c>
      <c r="K8" s="10"/>
      <c r="L8" s="21"/>
      <c r="M8" s="24">
        <f t="shared" si="0"/>
        <v>5328</v>
      </c>
    </row>
    <row r="9" spans="1:16">
      <c r="A9" s="9" t="s">
        <v>177</v>
      </c>
      <c r="B9" s="10"/>
      <c r="C9" s="11"/>
      <c r="D9" s="10">
        <v>1680</v>
      </c>
      <c r="E9" s="32">
        <v>96</v>
      </c>
      <c r="F9" s="32"/>
      <c r="G9" s="33"/>
      <c r="H9" s="32"/>
      <c r="I9" s="12"/>
      <c r="J9" s="12">
        <v>3864</v>
      </c>
      <c r="K9" s="10">
        <v>480</v>
      </c>
      <c r="L9" s="21"/>
      <c r="M9" s="24">
        <f t="shared" si="0"/>
        <v>6120</v>
      </c>
    </row>
    <row r="10" spans="1:16">
      <c r="A10" s="9" t="s">
        <v>178</v>
      </c>
      <c r="B10" s="10"/>
      <c r="C10" s="11"/>
      <c r="D10" s="10">
        <v>1530</v>
      </c>
      <c r="E10" s="32"/>
      <c r="F10" s="32"/>
      <c r="G10" s="33"/>
      <c r="H10" s="32">
        <v>1440</v>
      </c>
      <c r="I10" s="12">
        <v>840</v>
      </c>
      <c r="J10" s="12">
        <v>1680</v>
      </c>
      <c r="K10" s="10"/>
      <c r="L10" s="21"/>
      <c r="M10" s="24">
        <f t="shared" si="0"/>
        <v>5490</v>
      </c>
    </row>
    <row r="11" spans="1:16">
      <c r="A11" s="9" t="s">
        <v>179</v>
      </c>
      <c r="B11" s="10"/>
      <c r="C11" s="11"/>
      <c r="D11" s="10"/>
      <c r="E11" s="32"/>
      <c r="F11" s="32">
        <v>308</v>
      </c>
      <c r="G11" s="33"/>
      <c r="H11" s="32">
        <v>312</v>
      </c>
      <c r="I11" s="12">
        <v>216</v>
      </c>
      <c r="J11" s="12">
        <v>3648</v>
      </c>
      <c r="K11" s="10">
        <v>1296</v>
      </c>
      <c r="L11" s="21"/>
      <c r="M11" s="24">
        <f>SUM(B11:L11)</f>
        <v>5780</v>
      </c>
    </row>
    <row r="12" spans="1:16">
      <c r="A12" s="9" t="s">
        <v>180</v>
      </c>
      <c r="B12" s="10"/>
      <c r="C12" s="11"/>
      <c r="D12" s="10">
        <v>4410</v>
      </c>
      <c r="E12" s="32"/>
      <c r="F12" s="32"/>
      <c r="G12" s="33"/>
      <c r="H12" s="32">
        <v>624</v>
      </c>
      <c r="I12" s="12">
        <v>24</v>
      </c>
      <c r="J12" s="12"/>
      <c r="K12" s="10">
        <v>12</v>
      </c>
      <c r="L12" s="21"/>
      <c r="M12" s="24">
        <f>SUM(B12:L12)</f>
        <v>5070</v>
      </c>
    </row>
    <row r="13" spans="1:16">
      <c r="A13" s="9" t="s">
        <v>181</v>
      </c>
      <c r="B13" s="10"/>
      <c r="C13" s="11"/>
      <c r="D13" s="10"/>
      <c r="E13" s="32"/>
      <c r="F13" s="32">
        <v>198</v>
      </c>
      <c r="G13" s="33"/>
      <c r="H13" s="32">
        <v>1608</v>
      </c>
      <c r="I13" s="12">
        <v>1104</v>
      </c>
      <c r="J13" s="12">
        <v>3936</v>
      </c>
      <c r="K13" s="10"/>
      <c r="L13" s="21"/>
      <c r="M13" s="24">
        <f>SUM(B13:L13)</f>
        <v>6846</v>
      </c>
    </row>
    <row r="14" spans="1:16">
      <c r="A14" s="9" t="s">
        <v>182</v>
      </c>
      <c r="B14" s="10"/>
      <c r="C14" s="11"/>
      <c r="D14" s="10">
        <v>2850</v>
      </c>
      <c r="E14" s="32"/>
      <c r="F14" s="32"/>
      <c r="G14" s="33"/>
      <c r="H14" s="32">
        <v>552</v>
      </c>
      <c r="I14" s="12">
        <v>240</v>
      </c>
      <c r="J14" s="12">
        <v>1584</v>
      </c>
      <c r="K14" s="10">
        <v>348</v>
      </c>
      <c r="L14" s="21"/>
      <c r="M14" s="24">
        <f>SUM(B14:L14)</f>
        <v>5574</v>
      </c>
    </row>
    <row r="15" spans="1:16">
      <c r="A15" s="9" t="s">
        <v>183</v>
      </c>
      <c r="B15" s="10"/>
      <c r="C15" s="11"/>
      <c r="D15" s="10"/>
      <c r="E15" s="32"/>
      <c r="F15" s="32">
        <v>154</v>
      </c>
      <c r="G15" s="33"/>
      <c r="H15" s="32">
        <v>672</v>
      </c>
      <c r="I15" s="12">
        <v>600</v>
      </c>
      <c r="J15" s="12">
        <v>3072</v>
      </c>
      <c r="K15" s="10">
        <v>192</v>
      </c>
      <c r="L15" s="32"/>
      <c r="M15" s="24">
        <f t="shared" si="0"/>
        <v>4690</v>
      </c>
      <c r="P15" s="1"/>
    </row>
    <row r="16" spans="1:16">
      <c r="A16" s="9" t="s">
        <v>184</v>
      </c>
      <c r="B16" s="10"/>
      <c r="C16" s="11"/>
      <c r="D16" s="10"/>
      <c r="E16" s="32"/>
      <c r="F16" s="32"/>
      <c r="G16" s="33"/>
      <c r="H16" s="32"/>
      <c r="I16" s="12"/>
      <c r="J16" s="12"/>
      <c r="K16" s="10">
        <v>1200</v>
      </c>
      <c r="L16" s="21"/>
      <c r="M16" s="24">
        <f t="shared" si="0"/>
        <v>1200</v>
      </c>
      <c r="P16" s="1"/>
    </row>
    <row r="17" spans="1:16">
      <c r="A17" s="9" t="s">
        <v>185</v>
      </c>
      <c r="B17" s="10"/>
      <c r="C17" s="11"/>
      <c r="D17" s="10">
        <v>6360</v>
      </c>
      <c r="E17" s="32"/>
      <c r="F17" s="32"/>
      <c r="G17" s="33"/>
      <c r="H17" s="32"/>
      <c r="I17" s="12"/>
      <c r="J17" s="12"/>
      <c r="K17" s="10"/>
      <c r="L17" s="21"/>
      <c r="M17" s="24">
        <f t="shared" si="0"/>
        <v>6360</v>
      </c>
      <c r="P17" s="1"/>
    </row>
    <row r="18" spans="1:16">
      <c r="A18" s="9" t="s">
        <v>186</v>
      </c>
      <c r="B18" s="51"/>
      <c r="C18" s="52"/>
      <c r="D18" s="51">
        <v>1320</v>
      </c>
      <c r="E18" s="53">
        <v>264</v>
      </c>
      <c r="F18" s="53"/>
      <c r="G18" s="54"/>
      <c r="H18" s="53">
        <v>1536</v>
      </c>
      <c r="I18" s="55">
        <v>240</v>
      </c>
      <c r="J18" s="55"/>
      <c r="K18" s="51">
        <v>264</v>
      </c>
      <c r="L18" s="56"/>
      <c r="M18" s="57">
        <f>SUM(B18:L18)</f>
        <v>3624</v>
      </c>
      <c r="P18" s="1"/>
    </row>
    <row r="19" spans="1:16">
      <c r="A19" s="9" t="s">
        <v>187</v>
      </c>
      <c r="B19" s="51"/>
      <c r="C19" s="52"/>
      <c r="D19" s="51"/>
      <c r="E19" s="53">
        <v>240</v>
      </c>
      <c r="F19" s="53">
        <v>176</v>
      </c>
      <c r="G19" s="54"/>
      <c r="H19" s="53"/>
      <c r="I19" s="55">
        <v>744</v>
      </c>
      <c r="J19" s="55">
        <v>2952</v>
      </c>
      <c r="K19" s="51">
        <v>660</v>
      </c>
      <c r="L19" s="56"/>
      <c r="M19" s="57">
        <f t="shared" si="0"/>
        <v>4772</v>
      </c>
      <c r="P19" s="1"/>
    </row>
    <row r="20" spans="1:16">
      <c r="A20" s="9" t="s">
        <v>188</v>
      </c>
      <c r="B20" s="10"/>
      <c r="C20" s="11"/>
      <c r="D20" s="10">
        <v>5160</v>
      </c>
      <c r="E20" s="32"/>
      <c r="F20" s="32"/>
      <c r="G20" s="33">
        <v>110</v>
      </c>
      <c r="H20" s="32"/>
      <c r="I20" s="12"/>
      <c r="J20" s="12">
        <v>1464</v>
      </c>
      <c r="K20" s="10"/>
      <c r="L20" s="21"/>
      <c r="M20" s="24">
        <f t="shared" si="0"/>
        <v>6734</v>
      </c>
      <c r="P20" s="1"/>
    </row>
    <row r="21" spans="1:16">
      <c r="A21" s="9" t="s">
        <v>189</v>
      </c>
      <c r="B21" s="10"/>
      <c r="C21" s="11"/>
      <c r="D21" s="10">
        <v>1950</v>
      </c>
      <c r="E21" s="32"/>
      <c r="F21" s="32"/>
      <c r="G21" s="33"/>
      <c r="H21" s="32">
        <v>1104</v>
      </c>
      <c r="I21" s="12"/>
      <c r="J21" s="12">
        <v>1992</v>
      </c>
      <c r="K21" s="10">
        <v>1020</v>
      </c>
      <c r="L21" s="21"/>
      <c r="M21" s="24">
        <f t="shared" si="0"/>
        <v>6066</v>
      </c>
      <c r="P21" s="1"/>
    </row>
    <row r="22" spans="1:16">
      <c r="A22" s="9" t="s">
        <v>190</v>
      </c>
      <c r="B22" s="10"/>
      <c r="C22" s="11"/>
      <c r="D22" s="10">
        <v>1140</v>
      </c>
      <c r="E22" s="32"/>
      <c r="F22" s="32"/>
      <c r="G22" s="33"/>
      <c r="H22" s="32"/>
      <c r="I22" s="12"/>
      <c r="J22" s="12">
        <v>2856</v>
      </c>
      <c r="K22" s="10"/>
      <c r="L22" s="21"/>
      <c r="M22" s="24">
        <f>SUM(B22:L22)</f>
        <v>3996</v>
      </c>
      <c r="P22" s="1"/>
    </row>
    <row r="23" spans="1:16">
      <c r="A23" s="9" t="s">
        <v>191</v>
      </c>
      <c r="B23" s="10"/>
      <c r="C23" s="11">
        <v>2712</v>
      </c>
      <c r="D23" s="10"/>
      <c r="E23" s="32"/>
      <c r="F23" s="32"/>
      <c r="G23" s="33"/>
      <c r="H23" s="32">
        <v>360</v>
      </c>
      <c r="I23" s="12">
        <v>648</v>
      </c>
      <c r="J23" s="12">
        <v>1416</v>
      </c>
      <c r="K23" s="10"/>
      <c r="L23" s="21"/>
      <c r="M23" s="24">
        <f t="shared" si="0"/>
        <v>5136</v>
      </c>
      <c r="P23" s="1"/>
    </row>
    <row r="24" spans="1:16">
      <c r="A24" s="9" t="s">
        <v>192</v>
      </c>
      <c r="B24" s="10">
        <v>312</v>
      </c>
      <c r="C24" s="11">
        <v>384</v>
      </c>
      <c r="D24" s="10"/>
      <c r="E24" s="32"/>
      <c r="F24" s="32"/>
      <c r="G24" s="33">
        <v>88</v>
      </c>
      <c r="H24" s="32">
        <v>408</v>
      </c>
      <c r="I24" s="12">
        <v>168</v>
      </c>
      <c r="J24" s="12">
        <v>3528</v>
      </c>
      <c r="K24" s="10">
        <v>216</v>
      </c>
      <c r="L24" s="21"/>
      <c r="M24" s="24">
        <f t="shared" si="0"/>
        <v>5104</v>
      </c>
      <c r="P24" s="1"/>
    </row>
    <row r="25" spans="1:16">
      <c r="A25" s="9" t="s">
        <v>193</v>
      </c>
      <c r="B25" s="10"/>
      <c r="C25" s="11"/>
      <c r="D25" s="10">
        <v>60</v>
      </c>
      <c r="E25" s="32"/>
      <c r="F25" s="32"/>
      <c r="G25" s="33"/>
      <c r="H25" s="32"/>
      <c r="I25" s="12"/>
      <c r="J25" s="12">
        <v>4680</v>
      </c>
      <c r="K25" s="10">
        <v>144</v>
      </c>
      <c r="L25" s="21"/>
      <c r="M25" s="24">
        <f t="shared" si="0"/>
        <v>4884</v>
      </c>
      <c r="P25" s="1"/>
    </row>
    <row r="26" spans="1:16">
      <c r="A26" s="9" t="s">
        <v>194</v>
      </c>
      <c r="B26" s="10"/>
      <c r="C26" s="11"/>
      <c r="D26" s="10">
        <v>7230</v>
      </c>
      <c r="E26" s="32"/>
      <c r="F26" s="32"/>
      <c r="G26" s="33"/>
      <c r="H26" s="32"/>
      <c r="I26" s="12"/>
      <c r="J26" s="12">
        <v>3552</v>
      </c>
      <c r="K26" s="10">
        <v>1284</v>
      </c>
      <c r="L26" s="21"/>
      <c r="M26" s="24">
        <f t="shared" si="0"/>
        <v>12066</v>
      </c>
      <c r="P26" s="1"/>
    </row>
    <row r="27" spans="1:16">
      <c r="A27" s="9" t="s">
        <v>195</v>
      </c>
      <c r="B27" s="10"/>
      <c r="C27" s="11"/>
      <c r="D27" s="10">
        <v>2670</v>
      </c>
      <c r="E27" s="32"/>
      <c r="F27" s="32"/>
      <c r="G27" s="33"/>
      <c r="H27" s="32">
        <v>1128</v>
      </c>
      <c r="I27" s="12">
        <v>1344</v>
      </c>
      <c r="J27" s="12">
        <v>2424</v>
      </c>
      <c r="K27" s="10">
        <v>696</v>
      </c>
      <c r="L27" s="21"/>
      <c r="M27" s="24">
        <f t="shared" si="0"/>
        <v>8262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1344</v>
      </c>
      <c r="C30" s="15">
        <f t="shared" si="1"/>
        <v>5832</v>
      </c>
      <c r="D30" s="15">
        <f t="shared" si="1"/>
        <v>44820</v>
      </c>
      <c r="E30" s="15">
        <f t="shared" si="1"/>
        <v>1080</v>
      </c>
      <c r="F30" s="15">
        <f t="shared" si="1"/>
        <v>836</v>
      </c>
      <c r="G30" s="15">
        <f t="shared" si="1"/>
        <v>198</v>
      </c>
      <c r="H30" s="15">
        <f t="shared" si="1"/>
        <v>10896</v>
      </c>
      <c r="I30" s="15">
        <f t="shared" si="1"/>
        <v>6912</v>
      </c>
      <c r="J30" s="15">
        <f t="shared" si="1"/>
        <v>52560</v>
      </c>
      <c r="K30" s="15">
        <f t="shared" si="1"/>
        <v>10188</v>
      </c>
      <c r="L30" s="15">
        <f t="shared" si="1"/>
        <v>132</v>
      </c>
      <c r="M30" s="22">
        <f t="shared" si="1"/>
        <v>134798</v>
      </c>
      <c r="P30" s="1"/>
    </row>
    <row r="31" spans="1:16" ht="15.75" thickBot="1">
      <c r="A31" s="16" t="s">
        <v>12</v>
      </c>
      <c r="B31" s="17">
        <f t="shared" ref="B31:M31" si="2">B3+B30</f>
        <v>7344</v>
      </c>
      <c r="C31" s="17">
        <f t="shared" si="2"/>
        <v>35640</v>
      </c>
      <c r="D31" s="17">
        <f t="shared" si="2"/>
        <v>256380</v>
      </c>
      <c r="E31" s="17">
        <f t="shared" si="2"/>
        <v>3624</v>
      </c>
      <c r="F31" s="17">
        <f t="shared" si="2"/>
        <v>11044</v>
      </c>
      <c r="G31" s="17">
        <f t="shared" si="2"/>
        <v>2090</v>
      </c>
      <c r="H31" s="17">
        <f t="shared" si="2"/>
        <v>65952</v>
      </c>
      <c r="I31" s="17">
        <f t="shared" si="2"/>
        <v>38448</v>
      </c>
      <c r="J31" s="17">
        <f t="shared" si="2"/>
        <v>339912</v>
      </c>
      <c r="K31" s="17">
        <f t="shared" si="2"/>
        <v>60084</v>
      </c>
      <c r="L31" s="17">
        <f t="shared" si="2"/>
        <v>14400</v>
      </c>
      <c r="M31" s="16">
        <f t="shared" si="2"/>
        <v>834918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R1943"/>
  <sheetViews>
    <sheetView workbookViewId="0">
      <pane ySplit="3" topLeftCell="A14" activePane="bottomLeft" state="frozen"/>
      <selection pane="bottomLeft" activeCell="A18" sqref="A18:XFD18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8" ht="15.75" thickBot="1">
      <c r="A1" s="68" t="s">
        <v>196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8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8" s="1" customFormat="1" ht="15.75" thickBot="1">
      <c r="A3" s="40" t="s">
        <v>197</v>
      </c>
      <c r="B3" s="42">
        <v>7344</v>
      </c>
      <c r="C3" s="44">
        <v>35640</v>
      </c>
      <c r="D3" s="42">
        <v>256380</v>
      </c>
      <c r="E3" s="43">
        <v>3624</v>
      </c>
      <c r="F3" s="43">
        <v>11044</v>
      </c>
      <c r="G3" s="44">
        <v>2090</v>
      </c>
      <c r="H3" s="45">
        <v>65952</v>
      </c>
      <c r="I3" s="43">
        <v>38448</v>
      </c>
      <c r="J3" s="44">
        <v>339912</v>
      </c>
      <c r="K3" s="46">
        <v>60084</v>
      </c>
      <c r="L3" s="44">
        <v>14400</v>
      </c>
      <c r="M3" s="26">
        <v>834918</v>
      </c>
      <c r="N3" s="20"/>
    </row>
    <row r="4" spans="1:18">
      <c r="A4" s="63" t="s">
        <v>197</v>
      </c>
      <c r="B4" s="10"/>
      <c r="C4" s="11"/>
      <c r="D4" s="10"/>
      <c r="E4" s="32"/>
      <c r="F4" s="32"/>
      <c r="G4" s="33"/>
      <c r="H4" s="32">
        <v>600</v>
      </c>
      <c r="I4" s="12"/>
      <c r="J4" s="12">
        <v>1776</v>
      </c>
      <c r="K4" s="10">
        <v>432</v>
      </c>
      <c r="L4" s="21"/>
      <c r="M4" s="24">
        <f t="shared" ref="M4:M29" si="0">SUM(B4:L4)</f>
        <v>2808</v>
      </c>
      <c r="P4" s="1"/>
    </row>
    <row r="5" spans="1:18">
      <c r="A5" s="63" t="s">
        <v>198</v>
      </c>
      <c r="B5" s="10"/>
      <c r="C5" s="11"/>
      <c r="D5" s="10"/>
      <c r="E5" s="32"/>
      <c r="F5" s="32"/>
      <c r="G5" s="33"/>
      <c r="H5" s="32"/>
      <c r="I5" s="12"/>
      <c r="J5" s="12">
        <v>2400</v>
      </c>
      <c r="K5" s="10">
        <v>120</v>
      </c>
      <c r="L5" s="21"/>
      <c r="M5" s="24">
        <f t="shared" si="0"/>
        <v>2520</v>
      </c>
      <c r="P5" s="1"/>
      <c r="R5" s="65" t="s">
        <v>206</v>
      </c>
    </row>
    <row r="6" spans="1:18">
      <c r="A6" s="63" t="s">
        <v>199</v>
      </c>
      <c r="B6" s="51"/>
      <c r="C6" s="52"/>
      <c r="D6" s="51"/>
      <c r="E6" s="53"/>
      <c r="F6" s="53"/>
      <c r="G6" s="54">
        <v>88</v>
      </c>
      <c r="H6" s="53">
        <v>624</v>
      </c>
      <c r="I6" s="55"/>
      <c r="J6" s="55">
        <v>2016</v>
      </c>
      <c r="K6" s="51"/>
      <c r="L6" s="56"/>
      <c r="M6" s="24">
        <f t="shared" si="0"/>
        <v>2728</v>
      </c>
      <c r="P6" s="1"/>
      <c r="R6" s="66" t="s">
        <v>207</v>
      </c>
    </row>
    <row r="7" spans="1:18">
      <c r="A7" s="63" t="s">
        <v>200</v>
      </c>
      <c r="B7" s="10"/>
      <c r="C7" s="13"/>
      <c r="D7" s="10"/>
      <c r="E7" s="32"/>
      <c r="F7" s="32"/>
      <c r="G7" s="33"/>
      <c r="H7" s="32"/>
      <c r="I7" s="12"/>
      <c r="J7" s="12">
        <v>3000</v>
      </c>
      <c r="K7" s="10">
        <v>720</v>
      </c>
      <c r="L7" s="21"/>
      <c r="M7" s="24">
        <f t="shared" si="0"/>
        <v>3720</v>
      </c>
      <c r="P7" s="1"/>
      <c r="R7" s="67" t="s">
        <v>208</v>
      </c>
    </row>
    <row r="8" spans="1:18">
      <c r="A8" s="9" t="s">
        <v>201</v>
      </c>
      <c r="B8" s="10"/>
      <c r="C8" s="11">
        <v>936</v>
      </c>
      <c r="D8" s="10"/>
      <c r="E8" s="32"/>
      <c r="F8" s="32"/>
      <c r="G8" s="33"/>
      <c r="H8" s="32"/>
      <c r="I8" s="12"/>
      <c r="J8" s="12">
        <v>2304</v>
      </c>
      <c r="K8" s="10"/>
      <c r="L8" s="21"/>
      <c r="M8" s="24">
        <f t="shared" si="0"/>
        <v>3240</v>
      </c>
      <c r="R8" s="64"/>
    </row>
    <row r="9" spans="1:18">
      <c r="A9" s="9" t="s">
        <v>202</v>
      </c>
      <c r="B9" s="10"/>
      <c r="C9" s="11">
        <v>792</v>
      </c>
      <c r="D9" s="10"/>
      <c r="E9" s="32"/>
      <c r="F9" s="32"/>
      <c r="G9" s="33"/>
      <c r="H9" s="32">
        <v>984</v>
      </c>
      <c r="I9" s="12"/>
      <c r="J9" s="12"/>
      <c r="K9" s="10"/>
      <c r="L9" s="21"/>
      <c r="M9" s="24">
        <f t="shared" si="0"/>
        <v>1776</v>
      </c>
      <c r="R9" s="64"/>
    </row>
    <row r="10" spans="1:18">
      <c r="A10" s="9" t="s">
        <v>203</v>
      </c>
      <c r="B10" s="10"/>
      <c r="C10" s="11">
        <v>480</v>
      </c>
      <c r="D10" s="10">
        <v>540</v>
      </c>
      <c r="E10" s="32"/>
      <c r="F10" s="32"/>
      <c r="G10" s="33">
        <v>220</v>
      </c>
      <c r="H10" s="32">
        <v>1128</v>
      </c>
      <c r="I10" s="12"/>
      <c r="J10" s="12">
        <v>3960</v>
      </c>
      <c r="K10" s="10">
        <v>1380</v>
      </c>
      <c r="L10" s="21"/>
      <c r="M10" s="24">
        <f t="shared" si="0"/>
        <v>7708</v>
      </c>
      <c r="R10" s="64"/>
    </row>
    <row r="11" spans="1:18">
      <c r="A11" s="9" t="s">
        <v>204</v>
      </c>
      <c r="B11" s="10"/>
      <c r="C11" s="11"/>
      <c r="D11" s="10">
        <v>2130</v>
      </c>
      <c r="E11" s="32"/>
      <c r="F11" s="32">
        <v>374</v>
      </c>
      <c r="G11" s="33"/>
      <c r="H11" s="32">
        <v>744</v>
      </c>
      <c r="I11" s="12">
        <v>840</v>
      </c>
      <c r="J11" s="12"/>
      <c r="K11" s="10"/>
      <c r="L11" s="21"/>
      <c r="M11" s="24">
        <f t="shared" si="0"/>
        <v>4088</v>
      </c>
      <c r="R11" s="64"/>
    </row>
    <row r="12" spans="1:18">
      <c r="A12" s="9" t="s">
        <v>205</v>
      </c>
      <c r="B12" s="10"/>
      <c r="C12" s="11"/>
      <c r="D12" s="10">
        <v>6630</v>
      </c>
      <c r="E12" s="32"/>
      <c r="F12" s="32">
        <v>44</v>
      </c>
      <c r="G12" s="33"/>
      <c r="H12" s="32"/>
      <c r="I12" s="12">
        <v>672</v>
      </c>
      <c r="J12" s="12">
        <v>1128</v>
      </c>
      <c r="K12" s="10"/>
      <c r="L12" s="21"/>
      <c r="M12" s="24">
        <f t="shared" ref="M12:M18" si="1">SUM(B12:L12)</f>
        <v>8474</v>
      </c>
    </row>
    <row r="13" spans="1:18">
      <c r="A13" s="9" t="s">
        <v>209</v>
      </c>
      <c r="B13" s="10"/>
      <c r="C13" s="11"/>
      <c r="D13" s="10">
        <v>570</v>
      </c>
      <c r="E13" s="32"/>
      <c r="F13" s="32"/>
      <c r="G13" s="33"/>
      <c r="H13" s="32"/>
      <c r="I13" s="12">
        <v>336</v>
      </c>
      <c r="J13" s="12">
        <v>2280</v>
      </c>
      <c r="K13" s="10"/>
      <c r="L13" s="21"/>
      <c r="M13" s="24">
        <f t="shared" si="1"/>
        <v>3186</v>
      </c>
    </row>
    <row r="14" spans="1:18">
      <c r="A14" s="9" t="s">
        <v>210</v>
      </c>
      <c r="B14" s="10"/>
      <c r="C14" s="11"/>
      <c r="D14" s="10">
        <v>9750</v>
      </c>
      <c r="E14" s="32"/>
      <c r="F14" s="32">
        <v>22</v>
      </c>
      <c r="G14" s="33"/>
      <c r="H14" s="32">
        <v>2184</v>
      </c>
      <c r="I14" s="12">
        <v>672</v>
      </c>
      <c r="J14" s="12">
        <v>360</v>
      </c>
      <c r="K14" s="10"/>
      <c r="L14" s="21"/>
      <c r="M14" s="24">
        <f t="shared" si="1"/>
        <v>12988</v>
      </c>
    </row>
    <row r="15" spans="1:18">
      <c r="A15" s="9" t="s">
        <v>211</v>
      </c>
      <c r="B15" s="10">
        <v>96</v>
      </c>
      <c r="C15" s="11"/>
      <c r="D15" s="10"/>
      <c r="E15" s="32"/>
      <c r="F15" s="32">
        <v>242</v>
      </c>
      <c r="G15" s="33"/>
      <c r="H15" s="32">
        <v>480</v>
      </c>
      <c r="I15" s="12">
        <v>120</v>
      </c>
      <c r="J15" s="12">
        <v>2880</v>
      </c>
      <c r="K15" s="10"/>
      <c r="L15" s="32"/>
      <c r="M15" s="24">
        <f t="shared" si="1"/>
        <v>3818</v>
      </c>
    </row>
    <row r="16" spans="1:18">
      <c r="A16" s="9" t="s">
        <v>212</v>
      </c>
      <c r="B16" s="10"/>
      <c r="C16" s="11"/>
      <c r="D16" s="10">
        <v>1860</v>
      </c>
      <c r="E16" s="32"/>
      <c r="F16" s="32"/>
      <c r="G16" s="33"/>
      <c r="H16" s="32">
        <v>528</v>
      </c>
      <c r="I16" s="12">
        <v>288</v>
      </c>
      <c r="J16" s="12"/>
      <c r="K16" s="10">
        <v>1068</v>
      </c>
      <c r="L16" s="21"/>
      <c r="M16" s="24">
        <f t="shared" si="1"/>
        <v>3744</v>
      </c>
    </row>
    <row r="17" spans="1:16">
      <c r="A17" s="9" t="s">
        <v>213</v>
      </c>
      <c r="B17" s="10"/>
      <c r="C17" s="11">
        <v>552</v>
      </c>
      <c r="D17" s="10">
        <v>8550</v>
      </c>
      <c r="E17" s="32"/>
      <c r="F17" s="32">
        <v>198</v>
      </c>
      <c r="G17" s="33"/>
      <c r="H17" s="32"/>
      <c r="I17" s="12"/>
      <c r="J17" s="12"/>
      <c r="K17" s="10"/>
      <c r="L17" s="21"/>
      <c r="M17" s="24">
        <f t="shared" si="1"/>
        <v>9300</v>
      </c>
      <c r="P17" s="1"/>
    </row>
    <row r="18" spans="1:16">
      <c r="A18" s="9" t="s">
        <v>214</v>
      </c>
      <c r="B18" s="51">
        <v>120</v>
      </c>
      <c r="C18" s="52">
        <v>1248</v>
      </c>
      <c r="D18" s="51"/>
      <c r="E18" s="53"/>
      <c r="F18" s="53"/>
      <c r="G18" s="54"/>
      <c r="H18" s="53">
        <v>96</v>
      </c>
      <c r="I18" s="55">
        <v>288</v>
      </c>
      <c r="J18" s="55">
        <v>2688</v>
      </c>
      <c r="K18" s="51">
        <v>396</v>
      </c>
      <c r="L18" s="56"/>
      <c r="M18" s="57">
        <f t="shared" si="1"/>
        <v>4836</v>
      </c>
      <c r="P18" s="1"/>
    </row>
    <row r="19" spans="1:16">
      <c r="A19" s="9" t="s">
        <v>215</v>
      </c>
      <c r="B19" s="51">
        <v>48</v>
      </c>
      <c r="C19" s="52"/>
      <c r="D19" s="51"/>
      <c r="E19" s="53"/>
      <c r="F19" s="53"/>
      <c r="G19" s="54"/>
      <c r="H19" s="53"/>
      <c r="I19" s="55">
        <v>600</v>
      </c>
      <c r="J19" s="55">
        <v>4440</v>
      </c>
      <c r="K19" s="51"/>
      <c r="L19" s="56"/>
      <c r="M19" s="57">
        <f t="shared" si="0"/>
        <v>5088</v>
      </c>
      <c r="P19" s="1"/>
    </row>
    <row r="20" spans="1:16">
      <c r="A20" s="9" t="s">
        <v>216</v>
      </c>
      <c r="B20" s="10"/>
      <c r="C20" s="11"/>
      <c r="D20" s="10">
        <v>2850</v>
      </c>
      <c r="E20" s="32"/>
      <c r="F20" s="32"/>
      <c r="G20" s="33"/>
      <c r="H20" s="32"/>
      <c r="I20" s="12"/>
      <c r="J20" s="12">
        <v>4344</v>
      </c>
      <c r="K20" s="10"/>
      <c r="L20" s="21"/>
      <c r="M20" s="24">
        <f t="shared" si="0"/>
        <v>7194</v>
      </c>
      <c r="P20" s="1"/>
    </row>
    <row r="21" spans="1:16">
      <c r="A21" s="9" t="s">
        <v>218</v>
      </c>
      <c r="B21" s="10"/>
      <c r="C21" s="11"/>
      <c r="D21" s="10">
        <v>3600</v>
      </c>
      <c r="E21" s="32"/>
      <c r="F21" s="32"/>
      <c r="G21" s="33"/>
      <c r="H21" s="32"/>
      <c r="I21" s="12"/>
      <c r="J21" s="12">
        <v>1824</v>
      </c>
      <c r="K21" s="10">
        <v>1644</v>
      </c>
      <c r="L21" s="21"/>
      <c r="M21" s="24">
        <f t="shared" si="0"/>
        <v>7068</v>
      </c>
      <c r="P21" s="1"/>
    </row>
    <row r="22" spans="1:16">
      <c r="A22" s="9" t="s">
        <v>217</v>
      </c>
      <c r="B22" s="10"/>
      <c r="C22" s="11"/>
      <c r="D22" s="10">
        <v>2190</v>
      </c>
      <c r="E22" s="32"/>
      <c r="F22" s="32"/>
      <c r="G22" s="33"/>
      <c r="H22" s="32">
        <v>768</v>
      </c>
      <c r="I22" s="12"/>
      <c r="J22" s="12">
        <v>1536</v>
      </c>
      <c r="K22" s="10"/>
      <c r="L22" s="21"/>
      <c r="M22" s="24">
        <f>SUM(B22:L22)</f>
        <v>4494</v>
      </c>
      <c r="P22" s="1"/>
    </row>
    <row r="23" spans="1:16">
      <c r="A23" s="9" t="s">
        <v>219</v>
      </c>
      <c r="B23" s="10"/>
      <c r="C23" s="11">
        <v>1032</v>
      </c>
      <c r="D23" s="10"/>
      <c r="E23" s="32"/>
      <c r="F23" s="32"/>
      <c r="G23" s="33"/>
      <c r="H23" s="32">
        <v>96</v>
      </c>
      <c r="I23" s="12"/>
      <c r="J23" s="12">
        <v>1440</v>
      </c>
      <c r="K23" s="10">
        <v>324</v>
      </c>
      <c r="L23" s="21"/>
      <c r="M23" s="24">
        <f t="shared" si="0"/>
        <v>2892</v>
      </c>
      <c r="P23" s="1"/>
    </row>
    <row r="24" spans="1:16">
      <c r="A24" s="9" t="s">
        <v>221</v>
      </c>
      <c r="B24" s="10"/>
      <c r="C24" s="11"/>
      <c r="D24" s="10">
        <v>1230</v>
      </c>
      <c r="E24" s="32"/>
      <c r="F24" s="32">
        <v>286</v>
      </c>
      <c r="G24" s="33"/>
      <c r="H24" s="32">
        <v>552</v>
      </c>
      <c r="I24" s="12">
        <v>216</v>
      </c>
      <c r="J24" s="12">
        <v>2568</v>
      </c>
      <c r="K24" s="10">
        <v>564</v>
      </c>
      <c r="L24" s="21"/>
      <c r="M24" s="24">
        <f t="shared" si="0"/>
        <v>5416</v>
      </c>
      <c r="P24" s="1"/>
    </row>
    <row r="25" spans="1:16">
      <c r="A25" s="9" t="s">
        <v>220</v>
      </c>
      <c r="B25" s="10"/>
      <c r="C25" s="11"/>
      <c r="D25" s="10">
        <v>1770</v>
      </c>
      <c r="E25" s="32"/>
      <c r="F25" s="32"/>
      <c r="G25" s="33"/>
      <c r="H25" s="32">
        <v>1272</v>
      </c>
      <c r="I25" s="12">
        <v>744</v>
      </c>
      <c r="J25" s="12">
        <v>3600</v>
      </c>
      <c r="K25" s="10">
        <v>120</v>
      </c>
      <c r="L25" s="21"/>
      <c r="M25" s="24">
        <f t="shared" si="0"/>
        <v>7506</v>
      </c>
      <c r="P25" s="1"/>
    </row>
    <row r="26" spans="1:16">
      <c r="A26" s="9" t="s">
        <v>222</v>
      </c>
      <c r="B26" s="10"/>
      <c r="C26" s="11"/>
      <c r="D26" s="10"/>
      <c r="E26" s="32"/>
      <c r="F26" s="32">
        <v>22</v>
      </c>
      <c r="G26" s="33"/>
      <c r="H26" s="32">
        <v>984</v>
      </c>
      <c r="I26" s="12"/>
      <c r="J26" s="12">
        <v>3336</v>
      </c>
      <c r="K26" s="10">
        <v>600</v>
      </c>
      <c r="L26" s="21"/>
      <c r="M26" s="24">
        <f t="shared" si="0"/>
        <v>4942</v>
      </c>
      <c r="P26" s="1"/>
    </row>
    <row r="27" spans="1:16">
      <c r="A27" s="9" t="s">
        <v>223</v>
      </c>
      <c r="B27" s="10"/>
      <c r="C27" s="11"/>
      <c r="D27" s="10">
        <v>2190</v>
      </c>
      <c r="E27" s="32"/>
      <c r="F27" s="32"/>
      <c r="G27" s="33"/>
      <c r="H27" s="32">
        <v>1032</v>
      </c>
      <c r="I27" s="12"/>
      <c r="J27" s="12">
        <v>3336</v>
      </c>
      <c r="K27" s="10"/>
      <c r="L27" s="21"/>
      <c r="M27" s="24">
        <f t="shared" si="0"/>
        <v>6558</v>
      </c>
      <c r="P27" s="1"/>
    </row>
    <row r="28" spans="1:16">
      <c r="A28" s="9" t="s">
        <v>224</v>
      </c>
      <c r="B28" s="10"/>
      <c r="C28" s="11">
        <v>1512</v>
      </c>
      <c r="D28" s="10">
        <v>1530</v>
      </c>
      <c r="E28" s="32"/>
      <c r="F28" s="32">
        <v>242</v>
      </c>
      <c r="G28" s="33"/>
      <c r="H28" s="32"/>
      <c r="I28" s="12"/>
      <c r="J28" s="12">
        <v>2160</v>
      </c>
      <c r="K28" s="10"/>
      <c r="L28" s="21"/>
      <c r="M28" s="24">
        <f t="shared" si="0"/>
        <v>5444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2">SUM(B4:B29)</f>
        <v>264</v>
      </c>
      <c r="C30" s="15">
        <f t="shared" si="2"/>
        <v>6552</v>
      </c>
      <c r="D30" s="15">
        <f t="shared" si="2"/>
        <v>45390</v>
      </c>
      <c r="E30" s="15">
        <f t="shared" si="2"/>
        <v>0</v>
      </c>
      <c r="F30" s="15">
        <f t="shared" si="2"/>
        <v>1430</v>
      </c>
      <c r="G30" s="15">
        <f t="shared" si="2"/>
        <v>308</v>
      </c>
      <c r="H30" s="15">
        <f t="shared" si="2"/>
        <v>12072</v>
      </c>
      <c r="I30" s="15">
        <f t="shared" si="2"/>
        <v>4776</v>
      </c>
      <c r="J30" s="15">
        <f t="shared" si="2"/>
        <v>53376</v>
      </c>
      <c r="K30" s="15">
        <f t="shared" si="2"/>
        <v>7368</v>
      </c>
      <c r="L30" s="15">
        <f t="shared" si="2"/>
        <v>0</v>
      </c>
      <c r="M30" s="22">
        <f t="shared" si="2"/>
        <v>131536</v>
      </c>
      <c r="P30" s="1"/>
    </row>
    <row r="31" spans="1:16" ht="15.75" thickBot="1">
      <c r="A31" s="16" t="s">
        <v>12</v>
      </c>
      <c r="B31" s="17">
        <f t="shared" ref="B31:M31" si="3">B3+B30</f>
        <v>7608</v>
      </c>
      <c r="C31" s="17">
        <f t="shared" si="3"/>
        <v>42192</v>
      </c>
      <c r="D31" s="17">
        <f t="shared" si="3"/>
        <v>301770</v>
      </c>
      <c r="E31" s="17">
        <f t="shared" si="3"/>
        <v>3624</v>
      </c>
      <c r="F31" s="17">
        <f t="shared" si="3"/>
        <v>12474</v>
      </c>
      <c r="G31" s="17">
        <f t="shared" si="3"/>
        <v>2398</v>
      </c>
      <c r="H31" s="17">
        <f t="shared" si="3"/>
        <v>78024</v>
      </c>
      <c r="I31" s="17">
        <f t="shared" si="3"/>
        <v>43224</v>
      </c>
      <c r="J31" s="17">
        <f t="shared" si="3"/>
        <v>393288</v>
      </c>
      <c r="K31" s="17">
        <f t="shared" si="3"/>
        <v>67452</v>
      </c>
      <c r="L31" s="17">
        <f t="shared" si="3"/>
        <v>14400</v>
      </c>
      <c r="M31" s="16">
        <f t="shared" si="3"/>
        <v>966454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hyperlinks>
    <hyperlink ref="R5" r:id="rId1"/>
    <hyperlink ref="R6" r:id="rId2"/>
    <hyperlink ref="R7" r:id="rId3"/>
  </hyperlinks>
  <pageMargins left="0.75" right="0.16" top="0.75" bottom="0.75" header="0.3" footer="0.3"/>
  <pageSetup orientation="landscape" verticalDpi="300" r:id="rId4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R1943"/>
  <sheetViews>
    <sheetView tabSelected="1" workbookViewId="0">
      <pane ySplit="3" topLeftCell="A20" activePane="bottomLeft" state="frozen"/>
      <selection pane="bottomLeft" activeCell="Q30" sqref="Q3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8" ht="15.75" thickBot="1">
      <c r="A1" s="68" t="s">
        <v>225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8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8" s="1" customFormat="1" ht="15.75" thickBot="1">
      <c r="A3" s="40" t="s">
        <v>226</v>
      </c>
      <c r="B3" s="42">
        <v>7608</v>
      </c>
      <c r="C3" s="44">
        <v>42192</v>
      </c>
      <c r="D3" s="42">
        <v>301770</v>
      </c>
      <c r="E3" s="43">
        <v>3624</v>
      </c>
      <c r="F3" s="43">
        <v>12474</v>
      </c>
      <c r="G3" s="44">
        <v>2398</v>
      </c>
      <c r="H3" s="45">
        <v>78024</v>
      </c>
      <c r="I3" s="43">
        <v>43224</v>
      </c>
      <c r="J3" s="44">
        <v>393288</v>
      </c>
      <c r="K3" s="46">
        <v>67452</v>
      </c>
      <c r="L3" s="44">
        <v>14400</v>
      </c>
      <c r="M3" s="26">
        <v>966454</v>
      </c>
      <c r="N3" s="20"/>
    </row>
    <row r="4" spans="1:18">
      <c r="A4" s="63" t="s">
        <v>226</v>
      </c>
      <c r="B4" s="10"/>
      <c r="C4" s="11"/>
      <c r="D4" s="10">
        <v>1770</v>
      </c>
      <c r="E4" s="32"/>
      <c r="F4" s="32">
        <v>110</v>
      </c>
      <c r="G4" s="33"/>
      <c r="H4" s="32"/>
      <c r="I4" s="12">
        <v>720</v>
      </c>
      <c r="J4" s="12">
        <v>3456</v>
      </c>
      <c r="K4" s="10"/>
      <c r="L4" s="21"/>
      <c r="M4" s="24">
        <f t="shared" ref="M4:M29" si="0">SUM(B4:L4)</f>
        <v>6056</v>
      </c>
      <c r="P4" s="1"/>
    </row>
    <row r="5" spans="1:18">
      <c r="A5" s="63" t="s">
        <v>227</v>
      </c>
      <c r="B5" s="10"/>
      <c r="C5" s="11"/>
      <c r="D5" s="10"/>
      <c r="E5" s="32"/>
      <c r="F5" s="32"/>
      <c r="G5" s="33"/>
      <c r="H5" s="32">
        <v>960</v>
      </c>
      <c r="I5" s="12">
        <v>528</v>
      </c>
      <c r="J5" s="12">
        <v>2328</v>
      </c>
      <c r="K5" s="10">
        <v>612</v>
      </c>
      <c r="L5" s="21"/>
      <c r="M5" s="24">
        <f t="shared" si="0"/>
        <v>4428</v>
      </c>
      <c r="P5" s="1"/>
      <c r="R5" s="65" t="s">
        <v>206</v>
      </c>
    </row>
    <row r="6" spans="1:18">
      <c r="A6" s="63" t="s">
        <v>229</v>
      </c>
      <c r="B6" s="51">
        <v>432</v>
      </c>
      <c r="C6" s="52"/>
      <c r="D6" s="51">
        <v>3240</v>
      </c>
      <c r="E6" s="53"/>
      <c r="F6" s="53"/>
      <c r="G6" s="54"/>
      <c r="H6" s="53">
        <v>600</v>
      </c>
      <c r="I6" s="55">
        <v>480</v>
      </c>
      <c r="J6" s="55">
        <v>1536</v>
      </c>
      <c r="K6" s="51">
        <v>696</v>
      </c>
      <c r="L6" s="56"/>
      <c r="M6" s="24">
        <f t="shared" si="0"/>
        <v>6984</v>
      </c>
      <c r="P6" s="1"/>
      <c r="R6" s="66" t="s">
        <v>207</v>
      </c>
    </row>
    <row r="7" spans="1:18">
      <c r="A7" s="63" t="s">
        <v>228</v>
      </c>
      <c r="B7" s="10">
        <v>528</v>
      </c>
      <c r="C7" s="13"/>
      <c r="D7" s="10">
        <v>2280</v>
      </c>
      <c r="E7" s="32"/>
      <c r="F7" s="32">
        <v>352</v>
      </c>
      <c r="G7" s="33"/>
      <c r="H7" s="32"/>
      <c r="I7" s="12"/>
      <c r="J7" s="12">
        <v>3360</v>
      </c>
      <c r="K7" s="10"/>
      <c r="L7" s="21"/>
      <c r="M7" s="24">
        <f t="shared" si="0"/>
        <v>6520</v>
      </c>
      <c r="P7" s="1"/>
      <c r="R7" s="67" t="s">
        <v>208</v>
      </c>
    </row>
    <row r="8" spans="1:18">
      <c r="A8" s="9" t="s">
        <v>230</v>
      </c>
      <c r="B8" s="10"/>
      <c r="C8" s="11"/>
      <c r="D8" s="10"/>
      <c r="E8" s="32"/>
      <c r="F8" s="32">
        <v>88</v>
      </c>
      <c r="G8" s="33"/>
      <c r="H8" s="32">
        <v>1080</v>
      </c>
      <c r="I8" s="12"/>
      <c r="J8" s="12">
        <v>1008</v>
      </c>
      <c r="K8" s="10">
        <v>528</v>
      </c>
      <c r="L8" s="21"/>
      <c r="M8" s="24">
        <f t="shared" si="0"/>
        <v>2704</v>
      </c>
      <c r="R8" s="64"/>
    </row>
    <row r="9" spans="1:18">
      <c r="A9" s="9" t="s">
        <v>231</v>
      </c>
      <c r="B9" s="10"/>
      <c r="C9" s="11"/>
      <c r="D9" s="10">
        <v>6180</v>
      </c>
      <c r="E9" s="32"/>
      <c r="F9" s="32"/>
      <c r="G9" s="33"/>
      <c r="H9" s="32"/>
      <c r="I9" s="12"/>
      <c r="J9" s="12"/>
      <c r="K9" s="10">
        <v>684</v>
      </c>
      <c r="L9" s="21"/>
      <c r="M9" s="24">
        <f t="shared" si="0"/>
        <v>6864</v>
      </c>
      <c r="R9" s="64"/>
    </row>
    <row r="10" spans="1:18">
      <c r="A10" s="10" t="s">
        <v>232</v>
      </c>
      <c r="B10" s="10"/>
      <c r="C10" s="11"/>
      <c r="D10" s="10"/>
      <c r="E10" s="32"/>
      <c r="F10" s="32"/>
      <c r="G10" s="33"/>
      <c r="H10" s="32"/>
      <c r="I10" s="12">
        <v>888</v>
      </c>
      <c r="J10" s="12">
        <v>720</v>
      </c>
      <c r="K10" s="10">
        <v>756</v>
      </c>
      <c r="L10" s="21"/>
      <c r="M10" s="24">
        <f t="shared" si="0"/>
        <v>2364</v>
      </c>
      <c r="R10" s="64"/>
    </row>
    <row r="11" spans="1:18">
      <c r="A11" s="9" t="s">
        <v>233</v>
      </c>
      <c r="B11" s="10"/>
      <c r="C11" s="11"/>
      <c r="D11" s="10"/>
      <c r="E11" s="32"/>
      <c r="F11" s="32">
        <v>176</v>
      </c>
      <c r="G11" s="33">
        <v>110</v>
      </c>
      <c r="H11" s="32"/>
      <c r="I11" s="12"/>
      <c r="J11" s="12">
        <v>3600</v>
      </c>
      <c r="K11" s="10"/>
      <c r="L11" s="21"/>
      <c r="M11" s="24">
        <f t="shared" si="0"/>
        <v>3886</v>
      </c>
      <c r="R11" s="64"/>
    </row>
    <row r="12" spans="1:18">
      <c r="A12" s="9" t="s">
        <v>234</v>
      </c>
      <c r="B12" s="10"/>
      <c r="C12" s="11"/>
      <c r="D12" s="10">
        <v>3600</v>
      </c>
      <c r="E12" s="32"/>
      <c r="F12" s="32"/>
      <c r="G12" s="33"/>
      <c r="H12" s="32">
        <v>408</v>
      </c>
      <c r="I12" s="12"/>
      <c r="J12" s="12">
        <v>2376</v>
      </c>
      <c r="K12" s="10"/>
      <c r="L12" s="21"/>
      <c r="M12" s="24">
        <f t="shared" si="0"/>
        <v>6384</v>
      </c>
    </row>
    <row r="13" spans="1:18">
      <c r="A13" s="9" t="s">
        <v>235</v>
      </c>
      <c r="B13" s="10"/>
      <c r="C13" s="11">
        <v>768</v>
      </c>
      <c r="D13" s="10">
        <v>2520</v>
      </c>
      <c r="E13" s="32"/>
      <c r="F13" s="32"/>
      <c r="G13" s="33"/>
      <c r="H13" s="32"/>
      <c r="I13" s="12"/>
      <c r="J13" s="12">
        <v>2544</v>
      </c>
      <c r="K13" s="10"/>
      <c r="L13" s="21"/>
      <c r="M13" s="24">
        <f t="shared" si="0"/>
        <v>5832</v>
      </c>
    </row>
    <row r="14" spans="1:18">
      <c r="A14" s="9" t="s">
        <v>236</v>
      </c>
      <c r="B14" s="10"/>
      <c r="C14" s="11">
        <v>1608</v>
      </c>
      <c r="D14" s="10"/>
      <c r="E14" s="32"/>
      <c r="F14" s="32"/>
      <c r="G14" s="33"/>
      <c r="H14" s="32">
        <v>1536</v>
      </c>
      <c r="I14" s="12">
        <v>1224</v>
      </c>
      <c r="J14" s="12"/>
      <c r="K14" s="10">
        <v>120</v>
      </c>
      <c r="L14" s="21"/>
      <c r="M14" s="24">
        <f t="shared" si="0"/>
        <v>4488</v>
      </c>
    </row>
    <row r="15" spans="1:18">
      <c r="A15" s="9" t="s">
        <v>237</v>
      </c>
      <c r="B15" s="10"/>
      <c r="C15" s="11"/>
      <c r="D15" s="10"/>
      <c r="E15" s="32"/>
      <c r="F15" s="32"/>
      <c r="G15" s="33">
        <v>110</v>
      </c>
      <c r="H15" s="32">
        <v>624</v>
      </c>
      <c r="I15" s="12">
        <v>312</v>
      </c>
      <c r="J15" s="12">
        <v>3216</v>
      </c>
      <c r="K15" s="10">
        <v>288</v>
      </c>
      <c r="L15" s="32"/>
      <c r="M15" s="24">
        <f t="shared" si="0"/>
        <v>4550</v>
      </c>
    </row>
    <row r="16" spans="1:18">
      <c r="A16" s="9" t="s">
        <v>238</v>
      </c>
      <c r="B16" s="10"/>
      <c r="C16" s="11"/>
      <c r="D16" s="10">
        <v>1890</v>
      </c>
      <c r="E16" s="32"/>
      <c r="F16" s="32"/>
      <c r="G16" s="33"/>
      <c r="H16" s="32"/>
      <c r="I16" s="12">
        <v>552</v>
      </c>
      <c r="J16" s="12">
        <v>1824</v>
      </c>
      <c r="K16" s="10">
        <v>576</v>
      </c>
      <c r="L16" s="21"/>
      <c r="M16" s="24">
        <f t="shared" si="0"/>
        <v>4842</v>
      </c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 t="shared" si="0"/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960</v>
      </c>
      <c r="C30" s="15">
        <f t="shared" si="1"/>
        <v>2376</v>
      </c>
      <c r="D30" s="15">
        <f t="shared" si="1"/>
        <v>21480</v>
      </c>
      <c r="E30" s="15">
        <f t="shared" si="1"/>
        <v>0</v>
      </c>
      <c r="F30" s="15">
        <f t="shared" si="1"/>
        <v>726</v>
      </c>
      <c r="G30" s="15">
        <f t="shared" si="1"/>
        <v>220</v>
      </c>
      <c r="H30" s="15">
        <f t="shared" si="1"/>
        <v>5208</v>
      </c>
      <c r="I30" s="15">
        <f t="shared" si="1"/>
        <v>4704</v>
      </c>
      <c r="J30" s="15">
        <f t="shared" si="1"/>
        <v>25968</v>
      </c>
      <c r="K30" s="15">
        <f t="shared" si="1"/>
        <v>4260</v>
      </c>
      <c r="L30" s="15">
        <f t="shared" si="1"/>
        <v>0</v>
      </c>
      <c r="M30" s="22">
        <f t="shared" si="1"/>
        <v>65902</v>
      </c>
      <c r="P30" s="1"/>
    </row>
    <row r="31" spans="1:16" ht="15.75" thickBot="1">
      <c r="A31" s="16" t="s">
        <v>12</v>
      </c>
      <c r="B31" s="17">
        <f t="shared" ref="B31:M31" si="2">B3+B30</f>
        <v>8568</v>
      </c>
      <c r="C31" s="17">
        <f t="shared" si="2"/>
        <v>44568</v>
      </c>
      <c r="D31" s="17">
        <f t="shared" si="2"/>
        <v>323250</v>
      </c>
      <c r="E31" s="17">
        <f t="shared" si="2"/>
        <v>3624</v>
      </c>
      <c r="F31" s="17">
        <f t="shared" si="2"/>
        <v>13200</v>
      </c>
      <c r="G31" s="17">
        <f t="shared" si="2"/>
        <v>2618</v>
      </c>
      <c r="H31" s="17">
        <f t="shared" si="2"/>
        <v>83232</v>
      </c>
      <c r="I31" s="17">
        <f t="shared" si="2"/>
        <v>47928</v>
      </c>
      <c r="J31" s="17">
        <f t="shared" si="2"/>
        <v>419256</v>
      </c>
      <c r="K31" s="17">
        <f t="shared" si="2"/>
        <v>71712</v>
      </c>
      <c r="L31" s="17">
        <f t="shared" si="2"/>
        <v>14400</v>
      </c>
      <c r="M31" s="16">
        <f t="shared" si="2"/>
        <v>1032356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hyperlinks>
    <hyperlink ref="R5" r:id="rId1"/>
    <hyperlink ref="R6" r:id="rId2"/>
    <hyperlink ref="R7" r:id="rId3"/>
  </hyperlinks>
  <pageMargins left="0.75" right="0.16" top="0.75" bottom="0.75" header="0.3" footer="0.3"/>
  <pageSetup orientation="landscape" vertic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2021-12-17T06:11:52Z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