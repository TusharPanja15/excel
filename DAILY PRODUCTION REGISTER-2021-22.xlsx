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iya\Desktop\excel-main\excel-main\"/>
    </mc:Choice>
  </mc:AlternateContent>
  <xr:revisionPtr revIDLastSave="0" documentId="13_ncr:1_{4DF5C94D-7D00-4BED-BCB0-1DE1CC074B5A}" xr6:coauthVersionLast="45" xr6:coauthVersionMax="45" xr10:uidLastSave="{00000000-0000-0000-0000-000000000000}"/>
  <bookViews>
    <workbookView xWindow="-120" yWindow="-120" windowWidth="20730" windowHeight="11160" activeTab="2" xr2:uid="{00000000-000D-0000-FFFF-FFFF00000000}"/>
  </bookViews>
  <sheets>
    <sheet name="April 2021-22" sheetId="30" r:id="rId1"/>
    <sheet name="May 2021" sheetId="31" r:id="rId2"/>
    <sheet name="June 2021" sheetId="32" r:id="rId3"/>
  </sheets>
  <definedNames>
    <definedName name="_xlnm._FilterDatabase" localSheetId="0" hidden="1">'April 2021-22'!$A$12:$O$12</definedName>
    <definedName name="_xlnm._FilterDatabase" localSheetId="2" hidden="1">'June 2021'!$A$9:$O$9</definedName>
    <definedName name="_xlnm._FilterDatabase" localSheetId="1" hidden="1">'May 2021'!$A$9:$O$9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30" i="32" l="1"/>
  <c r="K30" i="32"/>
  <c r="J30" i="32"/>
  <c r="I30" i="32"/>
  <c r="H30" i="32"/>
  <c r="G30" i="32"/>
  <c r="F30" i="32"/>
  <c r="E30" i="32"/>
  <c r="D30" i="32"/>
  <c r="C30" i="32"/>
  <c r="B30" i="32"/>
  <c r="M28" i="32"/>
  <c r="M27" i="32"/>
  <c r="M26" i="32"/>
  <c r="M25" i="32"/>
  <c r="M24" i="32"/>
  <c r="M23" i="32"/>
  <c r="M22" i="32"/>
  <c r="M21" i="32"/>
  <c r="M20" i="32"/>
  <c r="M19" i="32"/>
  <c r="M18" i="32"/>
  <c r="M17" i="32"/>
  <c r="M16" i="32"/>
  <c r="M15" i="32"/>
  <c r="M14" i="32"/>
  <c r="M13" i="32"/>
  <c r="M12" i="32"/>
  <c r="M11" i="32"/>
  <c r="M10" i="32"/>
  <c r="M9" i="32"/>
  <c r="M8" i="32"/>
  <c r="M7" i="32"/>
  <c r="M6" i="32"/>
  <c r="M5" i="32"/>
  <c r="M4" i="32"/>
  <c r="B30" i="31"/>
  <c r="C30" i="31"/>
  <c r="D30" i="31"/>
  <c r="E30" i="31"/>
  <c r="F30" i="31"/>
  <c r="G30" i="31"/>
  <c r="H30" i="31"/>
  <c r="I30" i="31"/>
  <c r="J30" i="31"/>
  <c r="K30" i="31"/>
  <c r="L30" i="31"/>
  <c r="M27" i="31"/>
  <c r="M28" i="31"/>
  <c r="M26" i="31"/>
  <c r="M25" i="31"/>
  <c r="M24" i="31"/>
  <c r="M23" i="31"/>
  <c r="M22" i="31"/>
  <c r="M21" i="31"/>
  <c r="M20" i="31"/>
  <c r="M19" i="31"/>
  <c r="M18" i="31"/>
  <c r="M17" i="31"/>
  <c r="M16" i="31"/>
  <c r="M15" i="31"/>
  <c r="M14" i="31"/>
  <c r="M13" i="31"/>
  <c r="M12" i="31"/>
  <c r="M11" i="31"/>
  <c r="M10" i="31"/>
  <c r="M9" i="31"/>
  <c r="M8" i="31"/>
  <c r="M7" i="31"/>
  <c r="M6" i="31"/>
  <c r="M5" i="31"/>
  <c r="M4" i="31"/>
  <c r="L32" i="30"/>
  <c r="L33" i="30" s="1"/>
  <c r="K32" i="30"/>
  <c r="K33" i="30" s="1"/>
  <c r="J32" i="30"/>
  <c r="J33" i="30" s="1"/>
  <c r="I32" i="30"/>
  <c r="I33" i="30" s="1"/>
  <c r="H32" i="30"/>
  <c r="H33" i="30" s="1"/>
  <c r="G32" i="30"/>
  <c r="G33" i="30" s="1"/>
  <c r="F32" i="30"/>
  <c r="F33" i="30" s="1"/>
  <c r="E32" i="30"/>
  <c r="E33" i="30" s="1"/>
  <c r="D32" i="30"/>
  <c r="D33" i="30" s="1"/>
  <c r="C32" i="30"/>
  <c r="C33" i="30" s="1"/>
  <c r="B32" i="30"/>
  <c r="B33" i="30" s="1"/>
  <c r="M31" i="30"/>
  <c r="M30" i="30"/>
  <c r="M29" i="30"/>
  <c r="M28" i="30"/>
  <c r="M27" i="30"/>
  <c r="M26" i="30"/>
  <c r="M25" i="30"/>
  <c r="M24" i="30"/>
  <c r="M23" i="30"/>
  <c r="M22" i="30"/>
  <c r="M21" i="30"/>
  <c r="M20" i="30"/>
  <c r="M19" i="30"/>
  <c r="M18" i="30"/>
  <c r="M17" i="30"/>
  <c r="M16" i="30"/>
  <c r="M15" i="30"/>
  <c r="M14" i="30"/>
  <c r="M13" i="30"/>
  <c r="M12" i="30"/>
  <c r="M11" i="30"/>
  <c r="M10" i="30"/>
  <c r="M9" i="30"/>
  <c r="M8" i="30"/>
  <c r="M7" i="30"/>
  <c r="M6" i="30"/>
  <c r="M5" i="30"/>
  <c r="M4" i="30"/>
  <c r="L31" i="32" l="1"/>
  <c r="K31" i="32"/>
  <c r="J31" i="32"/>
  <c r="I31" i="32"/>
  <c r="H31" i="32"/>
  <c r="G31" i="32"/>
  <c r="E31" i="32"/>
  <c r="D31" i="32"/>
  <c r="F31" i="32"/>
  <c r="B31" i="32"/>
  <c r="C31" i="32"/>
  <c r="M30" i="32"/>
  <c r="M31" i="32" s="1"/>
  <c r="M30" i="31"/>
  <c r="M31" i="31" s="1"/>
  <c r="B31" i="31"/>
  <c r="F31" i="31"/>
  <c r="I31" i="31"/>
  <c r="H31" i="31"/>
  <c r="C31" i="31"/>
  <c r="K31" i="31"/>
  <c r="L31" i="31"/>
  <c r="J31" i="31"/>
  <c r="G31" i="31"/>
  <c r="E31" i="31"/>
  <c r="D31" i="31"/>
  <c r="M32" i="30"/>
  <c r="M33" i="30" s="1"/>
</calcChain>
</file>

<file path=xl/sharedStrings.xml><?xml version="1.0" encoding="utf-8"?>
<sst xmlns="http://schemas.openxmlformats.org/spreadsheetml/2006/main" count="111" uniqueCount="81">
  <si>
    <t>DATE</t>
  </si>
  <si>
    <t>1KG PREM</t>
  </si>
  <si>
    <t>250GM PREM</t>
  </si>
  <si>
    <t>5KG</t>
  </si>
  <si>
    <t>1KG SPL</t>
  </si>
  <si>
    <t>500GM SPL</t>
  </si>
  <si>
    <t>100GM PREM</t>
  </si>
  <si>
    <t>Rs.10/-</t>
  </si>
  <si>
    <t>Rs. 5/-</t>
  </si>
  <si>
    <t>500GM Mukta JAR</t>
  </si>
  <si>
    <t>250GM Mukta</t>
  </si>
  <si>
    <t>TOTAL</t>
  </si>
  <si>
    <t>QUMULATIVE</t>
  </si>
  <si>
    <t>250 GM SPL</t>
  </si>
  <si>
    <t>PRODUCTION FOR THE MONTH OF APRIL 2021-22</t>
  </si>
  <si>
    <t>02.04.2021</t>
  </si>
  <si>
    <t>03.04.2021</t>
  </si>
  <si>
    <t>05.04.2021</t>
  </si>
  <si>
    <t>06.04.2021</t>
  </si>
  <si>
    <t>07.04.2021</t>
  </si>
  <si>
    <t>08.04.2021</t>
  </si>
  <si>
    <t>09.04.2021</t>
  </si>
  <si>
    <t>10.04.2021</t>
  </si>
  <si>
    <t>12.04.2021</t>
  </si>
  <si>
    <t>13.04.2021</t>
  </si>
  <si>
    <t>14.04.2021</t>
  </si>
  <si>
    <t>15.04.2021</t>
  </si>
  <si>
    <t>16.04.2021</t>
  </si>
  <si>
    <t>17.04.2021</t>
  </si>
  <si>
    <t>19.04.2021</t>
  </si>
  <si>
    <t>20.21.2021</t>
  </si>
  <si>
    <t>21.04.2021</t>
  </si>
  <si>
    <t>22.04.2021</t>
  </si>
  <si>
    <t>23.04.2021</t>
  </si>
  <si>
    <t>24.04.2021</t>
  </si>
  <si>
    <t>26.04.2021</t>
  </si>
  <si>
    <t>27.04.2021</t>
  </si>
  <si>
    <t>28.04.2021</t>
  </si>
  <si>
    <t>29.04.2021</t>
  </si>
  <si>
    <t>30.04.2021</t>
  </si>
  <si>
    <t>PRODUCTION FOR THE MONTH OF May 2021</t>
  </si>
  <si>
    <t>01.05.2021</t>
  </si>
  <si>
    <t>03.05.2021</t>
  </si>
  <si>
    <t>04.05.2021</t>
  </si>
  <si>
    <t>05.05.2021</t>
  </si>
  <si>
    <t>06.05.2021</t>
  </si>
  <si>
    <t>07.05.2021</t>
  </si>
  <si>
    <t>08.05.2021</t>
  </si>
  <si>
    <t>10.05.2021</t>
  </si>
  <si>
    <t>11.05.2021</t>
  </si>
  <si>
    <t>12.05.2021</t>
  </si>
  <si>
    <t>13.05.2021</t>
  </si>
  <si>
    <t>18.05.2021</t>
  </si>
  <si>
    <t>17.05.2021</t>
  </si>
  <si>
    <t>15.05.2021</t>
  </si>
  <si>
    <t>19.05.2021</t>
  </si>
  <si>
    <t>20.05.2021</t>
  </si>
  <si>
    <t>21.05.2021</t>
  </si>
  <si>
    <t>22.05.2021</t>
  </si>
  <si>
    <t>25.05.2021</t>
  </si>
  <si>
    <t>26.05.2021</t>
  </si>
  <si>
    <t>27.05.2021</t>
  </si>
  <si>
    <t>28.05.2021</t>
  </si>
  <si>
    <t>29.05.2021</t>
  </si>
  <si>
    <t>31.05.2021</t>
  </si>
  <si>
    <t>24.05.2021</t>
  </si>
  <si>
    <t>01.06.2021</t>
  </si>
  <si>
    <t>PRODUCTION FOR THE MONTH OF JUNE 2021</t>
  </si>
  <si>
    <t>02.06.2021</t>
  </si>
  <si>
    <t>03.06.2021</t>
  </si>
  <si>
    <t>04.06.2021</t>
  </si>
  <si>
    <t>05.06.2021</t>
  </si>
  <si>
    <t>07.06.2021</t>
  </si>
  <si>
    <t>500GM Mukta</t>
  </si>
  <si>
    <t>08.06.2021</t>
  </si>
  <si>
    <t>09.06.2021</t>
  </si>
  <si>
    <t>10.06.2021</t>
  </si>
  <si>
    <t>11.06.2021</t>
  </si>
  <si>
    <t>12.06.2021</t>
  </si>
  <si>
    <t>14.06.2021</t>
  </si>
  <si>
    <t>15.06.2021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</si>
</sst>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charset val="134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3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/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center" wrapText="1"/>
    </xf>
    <xf numFmtId="1" fontId="2" fillId="0" borderId="6" xfId="0" applyNumberFormat="1" applyFont="1" applyBorder="1" applyAlignment="1">
      <alignment horizontal="center" wrapText="1"/>
    </xf>
    <xf numFmtId="0" fontId="2" fillId="0" borderId="9" xfId="0" applyFont="1" applyBorder="1" applyAlignment="1">
      <alignment horizontal="center"/>
    </xf>
    <xf numFmtId="1" fontId="2" fillId="0" borderId="10" xfId="0" applyNumberFormat="1" applyFont="1" applyBorder="1" applyAlignment="1">
      <alignment horizontal="center"/>
    </xf>
    <xf numFmtId="1" fontId="2" fillId="0" borderId="8" xfId="0" applyNumberFormat="1" applyFont="1" applyBorder="1" applyAlignment="1">
      <alignment horizontal="center"/>
    </xf>
    <xf numFmtId="1" fontId="2" fillId="0" borderId="11" xfId="0" applyNumberFormat="1" applyFont="1" applyBorder="1" applyAlignment="1">
      <alignment horizontal="center"/>
    </xf>
    <xf numFmtId="1" fontId="2" fillId="0" borderId="0" xfId="0" applyNumberFormat="1" applyFont="1" applyBorder="1" applyAlignment="1">
      <alignment horizontal="center"/>
    </xf>
    <xf numFmtId="0" fontId="4" fillId="3" borderId="12" xfId="0" applyFont="1" applyFill="1" applyBorder="1" applyAlignment="1">
      <alignment horizontal="center"/>
    </xf>
    <xf numFmtId="1" fontId="4" fillId="3" borderId="13" xfId="0" applyNumberFormat="1" applyFont="1" applyFill="1" applyBorder="1" applyAlignment="1">
      <alignment horizontal="center"/>
    </xf>
    <xf numFmtId="2" fontId="4" fillId="2" borderId="14" xfId="0" applyNumberFormat="1" applyFont="1" applyFill="1" applyBorder="1" applyAlignment="1">
      <alignment horizontal="right"/>
    </xf>
    <xf numFmtId="1" fontId="4" fillId="2" borderId="14" xfId="0" applyNumberFormat="1" applyFont="1" applyFill="1" applyBorder="1" applyAlignment="1">
      <alignment horizontal="center"/>
    </xf>
    <xf numFmtId="0" fontId="0" fillId="0" borderId="0" xfId="0" applyAlignment="1">
      <alignment horizontal="right"/>
    </xf>
    <xf numFmtId="0" fontId="2" fillId="0" borderId="14" xfId="0" applyFont="1" applyBorder="1" applyAlignment="1">
      <alignment horizontal="center" vertical="center"/>
    </xf>
    <xf numFmtId="2" fontId="0" fillId="0" borderId="0" xfId="0" applyNumberFormat="1" applyAlignment="1">
      <alignment vertical="center"/>
    </xf>
    <xf numFmtId="1" fontId="2" fillId="0" borderId="7" xfId="0" applyNumberFormat="1" applyFont="1" applyBorder="1" applyAlignment="1">
      <alignment horizontal="center"/>
    </xf>
    <xf numFmtId="2" fontId="4" fillId="3" borderId="15" xfId="0" applyNumberFormat="1" applyFont="1" applyFill="1" applyBorder="1" applyAlignment="1">
      <alignment horizontal="right"/>
    </xf>
    <xf numFmtId="2" fontId="1" fillId="0" borderId="16" xfId="0" applyNumberFormat="1" applyFont="1" applyBorder="1" applyAlignment="1">
      <alignment horizontal="right"/>
    </xf>
    <xf numFmtId="2" fontId="1" fillId="0" borderId="17" xfId="0" applyNumberFormat="1" applyFont="1" applyBorder="1" applyAlignment="1">
      <alignment horizontal="right"/>
    </xf>
    <xf numFmtId="1" fontId="0" fillId="0" borderId="0" xfId="0" applyNumberFormat="1" applyAlignment="1">
      <alignment horizontal="right"/>
    </xf>
    <xf numFmtId="2" fontId="3" fillId="3" borderId="18" xfId="0" applyNumberFormat="1" applyFont="1" applyFill="1" applyBorder="1" applyAlignment="1">
      <alignment horizontal="right" vertical="center" wrapText="1"/>
    </xf>
    <xf numFmtId="1" fontId="4" fillId="3" borderId="20" xfId="0" applyNumberFormat="1" applyFont="1" applyFill="1" applyBorder="1" applyAlignment="1">
      <alignment horizontal="center"/>
    </xf>
    <xf numFmtId="1" fontId="4" fillId="3" borderId="21" xfId="0" applyNumberFormat="1" applyFont="1" applyFill="1" applyBorder="1" applyAlignment="1">
      <alignment horizontal="center"/>
    </xf>
    <xf numFmtId="1" fontId="2" fillId="0" borderId="22" xfId="0" applyNumberFormat="1" applyFont="1" applyBorder="1" applyAlignment="1">
      <alignment horizontal="center"/>
    </xf>
    <xf numFmtId="1" fontId="2" fillId="0" borderId="23" xfId="0" applyNumberFormat="1" applyFont="1" applyBorder="1" applyAlignment="1">
      <alignment horizontal="center"/>
    </xf>
    <xf numFmtId="2" fontId="0" fillId="0" borderId="0" xfId="0" applyNumberFormat="1"/>
    <xf numFmtId="1" fontId="2" fillId="0" borderId="24" xfId="0" applyNumberFormat="1" applyFont="1" applyBorder="1" applyAlignment="1">
      <alignment horizontal="center"/>
    </xf>
    <xf numFmtId="1" fontId="2" fillId="0" borderId="17" xfId="0" applyNumberFormat="1" applyFont="1" applyBorder="1" applyAlignment="1">
      <alignment horizontal="center"/>
    </xf>
    <xf numFmtId="1" fontId="2" fillId="0" borderId="26" xfId="0" applyNumberFormat="1" applyFont="1" applyBorder="1" applyAlignment="1">
      <alignment horizontal="center" wrapText="1"/>
    </xf>
    <xf numFmtId="1" fontId="2" fillId="0" borderId="27" xfId="0" applyNumberFormat="1" applyFont="1" applyBorder="1" applyAlignment="1">
      <alignment horizontal="center" wrapText="1"/>
    </xf>
    <xf numFmtId="1" fontId="2" fillId="0" borderId="28" xfId="0" applyNumberFormat="1" applyFont="1" applyBorder="1" applyAlignment="1">
      <alignment horizontal="center" wrapText="1"/>
    </xf>
    <xf numFmtId="1" fontId="2" fillId="0" borderId="29" xfId="0" applyNumberFormat="1" applyFont="1" applyBorder="1" applyAlignment="1">
      <alignment horizontal="center" wrapText="1"/>
    </xf>
    <xf numFmtId="0" fontId="2" fillId="2" borderId="25" xfId="0" applyFont="1" applyFill="1" applyBorder="1" applyAlignment="1">
      <alignment horizontal="center" vertical="center" wrapText="1"/>
    </xf>
    <xf numFmtId="0" fontId="2" fillId="2" borderId="30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center" vertical="center" wrapText="1"/>
    </xf>
    <xf numFmtId="1" fontId="3" fillId="3" borderId="14" xfId="0" applyNumberFormat="1" applyFont="1" applyFill="1" applyBorder="1" applyAlignment="1">
      <alignment horizontal="center" vertical="center" wrapText="1"/>
    </xf>
    <xf numFmtId="1" fontId="3" fillId="3" borderId="2" xfId="0" applyNumberFormat="1" applyFont="1" applyFill="1" applyBorder="1" applyAlignment="1">
      <alignment horizontal="center" vertical="center" wrapText="1"/>
    </xf>
    <xf numFmtId="1" fontId="3" fillId="3" borderId="4" xfId="0" applyNumberFormat="1" applyFont="1" applyFill="1" applyBorder="1" applyAlignment="1">
      <alignment horizontal="center" vertical="center" wrapText="1"/>
    </xf>
    <xf numFmtId="1" fontId="3" fillId="3" borderId="25" xfId="0" applyNumberFormat="1" applyFont="1" applyFill="1" applyBorder="1" applyAlignment="1">
      <alignment horizontal="center" vertical="center" wrapText="1"/>
    </xf>
    <xf numFmtId="1" fontId="3" fillId="3" borderId="31" xfId="0" applyNumberFormat="1" applyFont="1" applyFill="1" applyBorder="1" applyAlignment="1">
      <alignment horizontal="center" vertical="center" wrapText="1"/>
    </xf>
    <xf numFmtId="1" fontId="3" fillId="3" borderId="3" xfId="0" applyNumberFormat="1" applyFont="1" applyFill="1" applyBorder="1" applyAlignment="1">
      <alignment horizontal="center" vertical="center" wrapText="1"/>
    </xf>
    <xf numFmtId="1" fontId="4" fillId="3" borderId="14" xfId="0" applyNumberFormat="1" applyFont="1" applyFill="1" applyBorder="1" applyAlignment="1">
      <alignment horizontal="center"/>
    </xf>
    <xf numFmtId="1" fontId="4" fillId="3" borderId="19" xfId="0" applyNumberFormat="1" applyFont="1" applyFill="1" applyBorder="1" applyAlignment="1">
      <alignment horizontal="center"/>
    </xf>
    <xf numFmtId="1" fontId="0" fillId="0" borderId="0" xfId="0" applyNumberFormat="1"/>
    <xf numFmtId="0" fontId="2" fillId="2" borderId="9" xfId="0" applyFont="1" applyFill="1" applyBorder="1" applyAlignment="1">
      <alignment horizontal="center"/>
    </xf>
    <xf numFmtId="1" fontId="2" fillId="2" borderId="10" xfId="0" applyNumberFormat="1" applyFont="1" applyFill="1" applyBorder="1" applyAlignment="1">
      <alignment horizontal="center"/>
    </xf>
    <xf numFmtId="1" fontId="2" fillId="2" borderId="8" xfId="0" applyNumberFormat="1" applyFont="1" applyFill="1" applyBorder="1" applyAlignment="1">
      <alignment horizontal="center"/>
    </xf>
    <xf numFmtId="1" fontId="2" fillId="2" borderId="24" xfId="0" applyNumberFormat="1" applyFont="1" applyFill="1" applyBorder="1" applyAlignment="1">
      <alignment horizontal="center"/>
    </xf>
    <xf numFmtId="1" fontId="2" fillId="2" borderId="17" xfId="0" applyNumberFormat="1" applyFont="1" applyFill="1" applyBorder="1" applyAlignment="1">
      <alignment horizontal="center"/>
    </xf>
    <xf numFmtId="1" fontId="2" fillId="2" borderId="11" xfId="0" applyNumberFormat="1" applyFont="1" applyFill="1" applyBorder="1" applyAlignment="1">
      <alignment horizontal="center"/>
    </xf>
    <xf numFmtId="1" fontId="2" fillId="2" borderId="7" xfId="0" applyNumberFormat="1" applyFont="1" applyFill="1" applyBorder="1" applyAlignment="1">
      <alignment horizontal="center"/>
    </xf>
    <xf numFmtId="2" fontId="1" fillId="2" borderId="17" xfId="0" applyNumberFormat="1" applyFont="1" applyFill="1" applyBorder="1" applyAlignment="1">
      <alignment horizontal="right"/>
    </xf>
    <xf numFmtId="0" fontId="2" fillId="0" borderId="21" xfId="0" applyFont="1" applyBorder="1" applyAlignment="1">
      <alignment horizontal="center"/>
    </xf>
    <xf numFmtId="1" fontId="2" fillId="0" borderId="20" xfId="0" applyNumberFormat="1" applyFont="1" applyBorder="1" applyAlignment="1">
      <alignment horizontal="center"/>
    </xf>
    <xf numFmtId="1" fontId="2" fillId="0" borderId="32" xfId="0" applyNumberFormat="1" applyFont="1" applyBorder="1" applyAlignment="1">
      <alignment horizontal="center"/>
    </xf>
    <xf numFmtId="1" fontId="2" fillId="0" borderId="33" xfId="0" applyNumberFormat="1" applyFont="1" applyBorder="1" applyAlignment="1">
      <alignment horizontal="center"/>
    </xf>
    <xf numFmtId="2" fontId="1" fillId="0" borderId="33" xfId="0" applyNumberFormat="1" applyFont="1" applyBorder="1" applyAlignment="1">
      <alignment horizontal="right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945"/>
  <sheetViews>
    <sheetView workbookViewId="0">
      <pane ySplit="3" topLeftCell="A4" activePane="bottomLeft" state="frozen"/>
      <selection pane="bottomLeft" activeCell="K31" sqref="K31:L31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3" t="s">
        <v>14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</row>
    <row r="2" spans="1:16" s="1" customFormat="1" ht="28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5" t="s">
        <v>13</v>
      </c>
      <c r="K2" s="4" t="s">
        <v>9</v>
      </c>
      <c r="L2" s="38" t="s">
        <v>10</v>
      </c>
      <c r="M2" s="19" t="s">
        <v>11</v>
      </c>
    </row>
    <row r="3" spans="1:16" s="1" customFormat="1" ht="15.75" thickBot="1">
      <c r="A3" s="40"/>
      <c r="B3" s="41"/>
      <c r="C3" s="41"/>
      <c r="D3" s="42"/>
      <c r="E3" s="43"/>
      <c r="F3" s="43"/>
      <c r="G3" s="44"/>
      <c r="H3" s="45"/>
      <c r="I3" s="43"/>
      <c r="J3" s="44"/>
      <c r="K3" s="46"/>
      <c r="L3" s="44"/>
      <c r="M3" s="26"/>
      <c r="N3" s="20"/>
    </row>
    <row r="4" spans="1:16">
      <c r="A4" s="7" t="s">
        <v>15</v>
      </c>
      <c r="B4" s="8"/>
      <c r="C4" s="34">
        <v>2256</v>
      </c>
      <c r="D4" s="8"/>
      <c r="E4" s="35"/>
      <c r="F4" s="35"/>
      <c r="G4" s="34"/>
      <c r="H4" s="36"/>
      <c r="I4" s="35"/>
      <c r="J4" s="35"/>
      <c r="K4" s="37"/>
      <c r="L4" s="34"/>
      <c r="M4" s="23">
        <f t="shared" ref="M4:M31" si="0">SUM(B4:L4)</f>
        <v>2256</v>
      </c>
      <c r="P4" s="1"/>
    </row>
    <row r="5" spans="1:16">
      <c r="A5" s="9" t="s">
        <v>16</v>
      </c>
      <c r="B5" s="10"/>
      <c r="C5" s="11"/>
      <c r="D5" s="10"/>
      <c r="E5" s="32"/>
      <c r="F5" s="32"/>
      <c r="G5" s="33"/>
      <c r="H5" s="32">
        <v>1656</v>
      </c>
      <c r="I5" s="12"/>
      <c r="J5" s="12">
        <v>3168</v>
      </c>
      <c r="K5" s="10"/>
      <c r="L5" s="21"/>
      <c r="M5" s="24">
        <f t="shared" si="0"/>
        <v>4824</v>
      </c>
      <c r="P5" s="1"/>
    </row>
    <row r="6" spans="1:16">
      <c r="A6" s="9" t="s">
        <v>17</v>
      </c>
      <c r="B6" s="10"/>
      <c r="C6" s="11"/>
      <c r="D6" s="10">
        <v>4020</v>
      </c>
      <c r="E6" s="32"/>
      <c r="F6" s="32"/>
      <c r="G6" s="33"/>
      <c r="H6" s="32"/>
      <c r="I6" s="12"/>
      <c r="J6" s="12">
        <v>1512</v>
      </c>
      <c r="K6" s="10"/>
      <c r="L6" s="21">
        <v>384</v>
      </c>
      <c r="M6" s="24">
        <f t="shared" si="0"/>
        <v>5916</v>
      </c>
      <c r="P6" s="1"/>
    </row>
    <row r="7" spans="1:16">
      <c r="A7" s="9" t="s">
        <v>18</v>
      </c>
      <c r="B7" s="10"/>
      <c r="C7" s="11"/>
      <c r="D7" s="10">
        <v>3660</v>
      </c>
      <c r="E7" s="32">
        <v>408</v>
      </c>
      <c r="F7" s="32"/>
      <c r="G7" s="33"/>
      <c r="H7" s="32"/>
      <c r="I7" s="12"/>
      <c r="J7" s="12">
        <v>1800</v>
      </c>
      <c r="K7" s="10">
        <v>1068</v>
      </c>
      <c r="L7" s="21">
        <v>516</v>
      </c>
      <c r="M7" s="24">
        <f t="shared" si="0"/>
        <v>7452</v>
      </c>
      <c r="P7" s="1"/>
    </row>
    <row r="8" spans="1:16">
      <c r="A8" s="9" t="s">
        <v>19</v>
      </c>
      <c r="B8" s="10"/>
      <c r="C8" s="11"/>
      <c r="D8" s="10"/>
      <c r="E8" s="32">
        <v>144</v>
      </c>
      <c r="F8" s="32"/>
      <c r="G8" s="33"/>
      <c r="H8" s="32"/>
      <c r="I8" s="12"/>
      <c r="J8" s="12">
        <v>1464</v>
      </c>
      <c r="K8" s="10">
        <v>768</v>
      </c>
      <c r="L8" s="21"/>
      <c r="M8" s="24">
        <f t="shared" si="0"/>
        <v>2376</v>
      </c>
      <c r="P8" s="1"/>
    </row>
    <row r="9" spans="1:16">
      <c r="A9" s="9" t="s">
        <v>20</v>
      </c>
      <c r="B9" s="10"/>
      <c r="C9" s="11"/>
      <c r="D9" s="10"/>
      <c r="E9" s="32"/>
      <c r="F9" s="32"/>
      <c r="G9" s="33"/>
      <c r="H9" s="32">
        <v>2616</v>
      </c>
      <c r="I9" s="12"/>
      <c r="J9" s="12">
        <v>3528</v>
      </c>
      <c r="K9" s="10"/>
      <c r="L9" s="21"/>
      <c r="M9" s="24">
        <f t="shared" si="0"/>
        <v>6144</v>
      </c>
      <c r="P9" s="1"/>
    </row>
    <row r="10" spans="1:16">
      <c r="A10" s="9" t="s">
        <v>21</v>
      </c>
      <c r="B10" s="10"/>
      <c r="C10" s="13"/>
      <c r="D10" s="10">
        <v>1620</v>
      </c>
      <c r="E10" s="32"/>
      <c r="F10" s="32"/>
      <c r="G10" s="33"/>
      <c r="H10" s="32"/>
      <c r="I10" s="12">
        <v>624</v>
      </c>
      <c r="J10" s="12">
        <v>2352</v>
      </c>
      <c r="K10" s="10"/>
      <c r="L10" s="21"/>
      <c r="M10" s="24">
        <f t="shared" si="0"/>
        <v>4596</v>
      </c>
      <c r="P10" s="1"/>
    </row>
    <row r="11" spans="1:16">
      <c r="A11" s="9" t="s">
        <v>22</v>
      </c>
      <c r="B11" s="10"/>
      <c r="C11" s="11"/>
      <c r="D11" s="10">
        <v>240</v>
      </c>
      <c r="E11" s="32"/>
      <c r="F11" s="32">
        <v>242</v>
      </c>
      <c r="G11" s="33"/>
      <c r="H11" s="32"/>
      <c r="I11" s="12"/>
      <c r="J11" s="12">
        <v>3600</v>
      </c>
      <c r="K11" s="10"/>
      <c r="L11" s="21"/>
      <c r="M11" s="24">
        <f t="shared" si="0"/>
        <v>4082</v>
      </c>
      <c r="P11" s="1"/>
    </row>
    <row r="12" spans="1:16">
      <c r="A12" s="9" t="s">
        <v>23</v>
      </c>
      <c r="B12" s="10"/>
      <c r="C12" s="11"/>
      <c r="D12" s="10"/>
      <c r="E12" s="32"/>
      <c r="F12" s="32">
        <v>88</v>
      </c>
      <c r="G12" s="33"/>
      <c r="H12" s="32">
        <v>552</v>
      </c>
      <c r="I12" s="12">
        <v>216</v>
      </c>
      <c r="J12" s="12">
        <v>3480</v>
      </c>
      <c r="K12" s="10">
        <v>1092</v>
      </c>
      <c r="L12" s="21"/>
      <c r="M12" s="24">
        <f t="shared" si="0"/>
        <v>5428</v>
      </c>
      <c r="P12" s="1"/>
    </row>
    <row r="13" spans="1:16">
      <c r="A13" s="9" t="s">
        <v>24</v>
      </c>
      <c r="B13" s="10"/>
      <c r="C13" s="11"/>
      <c r="D13" s="10">
        <v>3540</v>
      </c>
      <c r="E13" s="32"/>
      <c r="F13" s="32">
        <v>550</v>
      </c>
      <c r="G13" s="33"/>
      <c r="H13" s="32"/>
      <c r="I13" s="12">
        <v>408</v>
      </c>
      <c r="J13" s="12">
        <v>3456</v>
      </c>
      <c r="K13" s="10"/>
      <c r="L13" s="21"/>
      <c r="M13" s="24">
        <f t="shared" si="0"/>
        <v>7954</v>
      </c>
      <c r="P13" s="1"/>
    </row>
    <row r="14" spans="1:16">
      <c r="A14" s="9" t="s">
        <v>25</v>
      </c>
      <c r="B14" s="10"/>
      <c r="C14" s="11"/>
      <c r="D14" s="10">
        <v>1800</v>
      </c>
      <c r="E14" s="32"/>
      <c r="F14" s="32"/>
      <c r="G14" s="33"/>
      <c r="H14" s="32"/>
      <c r="I14" s="12">
        <v>456</v>
      </c>
      <c r="J14" s="12">
        <v>3720</v>
      </c>
      <c r="K14" s="10"/>
      <c r="L14" s="21"/>
      <c r="M14" s="24">
        <f t="shared" si="0"/>
        <v>5976</v>
      </c>
      <c r="P14" s="1"/>
    </row>
    <row r="15" spans="1:16">
      <c r="A15" s="9" t="s">
        <v>26</v>
      </c>
      <c r="B15" s="10">
        <v>1008</v>
      </c>
      <c r="C15" s="11">
        <v>2112</v>
      </c>
      <c r="D15" s="10"/>
      <c r="E15" s="32"/>
      <c r="F15" s="32"/>
      <c r="G15" s="33"/>
      <c r="H15" s="32">
        <v>120</v>
      </c>
      <c r="I15" s="12">
        <v>168</v>
      </c>
      <c r="J15" s="12">
        <v>504</v>
      </c>
      <c r="K15" s="10"/>
      <c r="L15" s="21"/>
      <c r="M15" s="24">
        <f>SUM(B15:L15)</f>
        <v>3912</v>
      </c>
      <c r="P15" s="1"/>
    </row>
    <row r="16" spans="1:16">
      <c r="A16" s="9" t="s">
        <v>27</v>
      </c>
      <c r="B16" s="10"/>
      <c r="C16" s="11"/>
      <c r="D16" s="10">
        <v>5490</v>
      </c>
      <c r="E16" s="32"/>
      <c r="F16" s="32"/>
      <c r="G16" s="33"/>
      <c r="H16" s="32"/>
      <c r="I16" s="12"/>
      <c r="J16" s="12">
        <v>1488</v>
      </c>
      <c r="K16" s="10">
        <v>720</v>
      </c>
      <c r="L16" s="21"/>
      <c r="M16" s="24">
        <f>SUM(B16:L16)</f>
        <v>7698</v>
      </c>
      <c r="P16" s="1"/>
    </row>
    <row r="17" spans="1:16">
      <c r="A17" s="9" t="s">
        <v>28</v>
      </c>
      <c r="B17" s="10"/>
      <c r="C17" s="11"/>
      <c r="D17" s="10">
        <v>2280</v>
      </c>
      <c r="E17" s="32"/>
      <c r="F17" s="32"/>
      <c r="G17" s="33"/>
      <c r="H17" s="32"/>
      <c r="I17" s="12"/>
      <c r="J17" s="12">
        <v>3840</v>
      </c>
      <c r="K17" s="10">
        <v>912</v>
      </c>
      <c r="L17" s="21"/>
      <c r="M17" s="24">
        <f>SUM(B17:L17)</f>
        <v>7032</v>
      </c>
      <c r="P17" s="1"/>
    </row>
    <row r="18" spans="1:16">
      <c r="A18" s="9" t="s">
        <v>29</v>
      </c>
      <c r="B18" s="10"/>
      <c r="C18" s="11"/>
      <c r="D18" s="10"/>
      <c r="E18" s="32"/>
      <c r="F18" s="32"/>
      <c r="G18" s="33"/>
      <c r="H18" s="32">
        <v>480</v>
      </c>
      <c r="I18" s="12">
        <v>552</v>
      </c>
      <c r="J18" s="12">
        <v>3432</v>
      </c>
      <c r="K18" s="10"/>
      <c r="L18" s="21"/>
      <c r="M18" s="24">
        <f t="shared" si="0"/>
        <v>4464</v>
      </c>
      <c r="P18" s="1"/>
    </row>
    <row r="19" spans="1:16">
      <c r="A19" s="9" t="s">
        <v>30</v>
      </c>
      <c r="B19" s="10"/>
      <c r="C19" s="11"/>
      <c r="D19" s="10">
        <v>5100</v>
      </c>
      <c r="E19" s="32"/>
      <c r="F19" s="32"/>
      <c r="G19" s="33"/>
      <c r="H19" s="32">
        <v>288</v>
      </c>
      <c r="I19" s="12">
        <v>24</v>
      </c>
      <c r="J19" s="12">
        <v>336</v>
      </c>
      <c r="K19" s="10">
        <v>1200</v>
      </c>
      <c r="L19" s="21"/>
      <c r="M19" s="24">
        <f t="shared" si="0"/>
        <v>6948</v>
      </c>
      <c r="P19" s="1"/>
    </row>
    <row r="20" spans="1:16">
      <c r="A20" s="9" t="s">
        <v>31</v>
      </c>
      <c r="B20" s="10"/>
      <c r="C20" s="11"/>
      <c r="D20" s="10">
        <v>1290</v>
      </c>
      <c r="E20" s="32"/>
      <c r="F20" s="32"/>
      <c r="G20" s="33"/>
      <c r="H20" s="32">
        <v>768</v>
      </c>
      <c r="I20" s="12">
        <v>240</v>
      </c>
      <c r="J20" s="12">
        <v>3504</v>
      </c>
      <c r="K20" s="10"/>
      <c r="L20" s="21"/>
      <c r="M20" s="24">
        <f t="shared" si="0"/>
        <v>5802</v>
      </c>
      <c r="P20" s="1"/>
    </row>
    <row r="21" spans="1:16">
      <c r="A21" s="9" t="s">
        <v>32</v>
      </c>
      <c r="B21" s="10"/>
      <c r="C21" s="11"/>
      <c r="D21" s="10"/>
      <c r="E21" s="32"/>
      <c r="F21" s="32"/>
      <c r="G21" s="33"/>
      <c r="H21" s="32">
        <v>1272</v>
      </c>
      <c r="I21" s="12">
        <v>984</v>
      </c>
      <c r="J21" s="12">
        <v>3744</v>
      </c>
      <c r="K21" s="10"/>
      <c r="L21" s="21"/>
      <c r="M21" s="24">
        <f>SUM(B21:L21)</f>
        <v>6000</v>
      </c>
      <c r="P21" s="1"/>
    </row>
    <row r="22" spans="1:16">
      <c r="A22" s="9" t="s">
        <v>33</v>
      </c>
      <c r="B22" s="10"/>
      <c r="C22" s="11"/>
      <c r="D22" s="10"/>
      <c r="E22" s="32"/>
      <c r="F22" s="32"/>
      <c r="G22" s="33"/>
      <c r="H22" s="32"/>
      <c r="I22" s="12">
        <v>576</v>
      </c>
      <c r="J22" s="12">
        <v>3432</v>
      </c>
      <c r="K22" s="10"/>
      <c r="L22" s="21"/>
      <c r="M22" s="24">
        <f t="shared" si="0"/>
        <v>4008</v>
      </c>
      <c r="P22" s="1"/>
    </row>
    <row r="23" spans="1:16">
      <c r="A23" s="9" t="s">
        <v>34</v>
      </c>
      <c r="B23" s="10"/>
      <c r="C23" s="11"/>
      <c r="D23" s="10"/>
      <c r="E23" s="32"/>
      <c r="F23" s="32">
        <v>110</v>
      </c>
      <c r="G23" s="33"/>
      <c r="H23" s="32"/>
      <c r="I23" s="12"/>
      <c r="J23" s="12">
        <v>3864</v>
      </c>
      <c r="K23" s="10"/>
      <c r="L23" s="21"/>
      <c r="M23" s="24">
        <f t="shared" si="0"/>
        <v>3974</v>
      </c>
      <c r="P23" s="1"/>
    </row>
    <row r="24" spans="1:16">
      <c r="A24" s="9" t="s">
        <v>35</v>
      </c>
      <c r="B24" s="10"/>
      <c r="C24" s="11"/>
      <c r="D24" s="10">
        <v>630</v>
      </c>
      <c r="E24" s="32"/>
      <c r="F24" s="32">
        <v>264</v>
      </c>
      <c r="G24" s="33"/>
      <c r="H24" s="32">
        <v>840</v>
      </c>
      <c r="I24" s="12"/>
      <c r="J24" s="12"/>
      <c r="K24" s="10">
        <v>900</v>
      </c>
      <c r="L24" s="21"/>
      <c r="M24" s="24">
        <f t="shared" si="0"/>
        <v>2634</v>
      </c>
      <c r="P24" s="1"/>
    </row>
    <row r="25" spans="1:16">
      <c r="A25" s="9" t="s">
        <v>36</v>
      </c>
      <c r="B25" s="10"/>
      <c r="C25" s="11">
        <v>2952</v>
      </c>
      <c r="D25" s="10"/>
      <c r="E25" s="32"/>
      <c r="F25" s="32">
        <v>88</v>
      </c>
      <c r="G25" s="33"/>
      <c r="H25" s="32">
        <v>1608</v>
      </c>
      <c r="I25" s="12">
        <v>864</v>
      </c>
      <c r="J25" s="12">
        <v>240</v>
      </c>
      <c r="K25" s="10"/>
      <c r="L25" s="21"/>
      <c r="M25" s="24">
        <f>SUM(B25:L25)</f>
        <v>5752</v>
      </c>
      <c r="P25" s="1"/>
    </row>
    <row r="26" spans="1:16">
      <c r="A26" s="9" t="s">
        <v>37</v>
      </c>
      <c r="B26" s="10"/>
      <c r="C26" s="11">
        <v>336</v>
      </c>
      <c r="D26" s="10">
        <v>570</v>
      </c>
      <c r="E26" s="32"/>
      <c r="F26" s="32">
        <v>154</v>
      </c>
      <c r="G26" s="33"/>
      <c r="H26" s="32"/>
      <c r="I26" s="12"/>
      <c r="J26" s="12">
        <v>2064</v>
      </c>
      <c r="K26" s="10"/>
      <c r="L26" s="21"/>
      <c r="M26" s="24">
        <f t="shared" si="0"/>
        <v>3124</v>
      </c>
      <c r="P26" s="1"/>
    </row>
    <row r="27" spans="1:16">
      <c r="A27" s="9" t="s">
        <v>38</v>
      </c>
      <c r="B27" s="10"/>
      <c r="C27" s="11"/>
      <c r="D27" s="10">
        <v>3450</v>
      </c>
      <c r="E27" s="32"/>
      <c r="F27" s="32">
        <v>44</v>
      </c>
      <c r="G27" s="33"/>
      <c r="H27" s="32">
        <v>240</v>
      </c>
      <c r="I27" s="12">
        <v>216</v>
      </c>
      <c r="J27" s="12">
        <v>2856</v>
      </c>
      <c r="K27" s="10"/>
      <c r="L27" s="21"/>
      <c r="M27" s="24">
        <f t="shared" si="0"/>
        <v>6806</v>
      </c>
      <c r="P27" s="1"/>
    </row>
    <row r="28" spans="1:16">
      <c r="A28" s="9" t="s">
        <v>39</v>
      </c>
      <c r="B28" s="10"/>
      <c r="C28" s="11"/>
      <c r="D28" s="10">
        <v>2190</v>
      </c>
      <c r="E28" s="32"/>
      <c r="F28" s="32">
        <v>330</v>
      </c>
      <c r="G28" s="33"/>
      <c r="H28" s="32"/>
      <c r="I28" s="12"/>
      <c r="J28" s="12">
        <v>984</v>
      </c>
      <c r="K28" s="10"/>
      <c r="L28" s="21"/>
      <c r="M28" s="24">
        <f t="shared" si="0"/>
        <v>3504</v>
      </c>
      <c r="P28" s="1"/>
    </row>
    <row r="29" spans="1:16">
      <c r="A29" s="9"/>
      <c r="B29" s="10"/>
      <c r="C29" s="11"/>
      <c r="D29" s="10"/>
      <c r="E29" s="32"/>
      <c r="F29" s="32"/>
      <c r="G29" s="33"/>
      <c r="H29" s="32"/>
      <c r="I29" s="12"/>
      <c r="J29" s="12"/>
      <c r="K29" s="10"/>
      <c r="L29" s="21"/>
      <c r="M29" s="24">
        <f t="shared" si="0"/>
        <v>0</v>
      </c>
      <c r="P29" s="1"/>
    </row>
    <row r="30" spans="1:16">
      <c r="A30" s="9"/>
      <c r="B30" s="10"/>
      <c r="C30" s="11"/>
      <c r="D30" s="10"/>
      <c r="E30" s="32"/>
      <c r="F30" s="32"/>
      <c r="G30" s="33"/>
      <c r="H30" s="32"/>
      <c r="I30" s="12"/>
      <c r="J30" s="12"/>
      <c r="K30" s="10"/>
      <c r="L30" s="21"/>
      <c r="M30" s="24">
        <f t="shared" si="0"/>
        <v>0</v>
      </c>
      <c r="P30" s="1"/>
    </row>
    <row r="31" spans="1:16" ht="15.75" thickBot="1">
      <c r="A31" s="9"/>
      <c r="B31" s="10"/>
      <c r="C31" s="11"/>
      <c r="D31" s="10"/>
      <c r="E31" s="32"/>
      <c r="F31" s="32"/>
      <c r="G31" s="33"/>
      <c r="H31" s="32"/>
      <c r="I31" s="12"/>
      <c r="J31" s="12"/>
      <c r="K31" s="29"/>
      <c r="L31" s="30"/>
      <c r="M31" s="24">
        <f t="shared" si="0"/>
        <v>0</v>
      </c>
      <c r="P31" s="1"/>
    </row>
    <row r="32" spans="1:16" ht="15.75" thickBot="1">
      <c r="A32" s="14" t="s">
        <v>11</v>
      </c>
      <c r="B32" s="15">
        <f t="shared" ref="B32:M32" si="1">SUM(B4:B31)</f>
        <v>1008</v>
      </c>
      <c r="C32" s="15">
        <f t="shared" si="1"/>
        <v>7656</v>
      </c>
      <c r="D32" s="15">
        <f t="shared" si="1"/>
        <v>35880</v>
      </c>
      <c r="E32" s="15">
        <f t="shared" si="1"/>
        <v>552</v>
      </c>
      <c r="F32" s="15">
        <f t="shared" si="1"/>
        <v>1870</v>
      </c>
      <c r="G32" s="47">
        <f t="shared" si="1"/>
        <v>0</v>
      </c>
      <c r="H32" s="48">
        <f t="shared" si="1"/>
        <v>10440</v>
      </c>
      <c r="I32" s="15">
        <f t="shared" si="1"/>
        <v>5328</v>
      </c>
      <c r="J32" s="15">
        <f t="shared" si="1"/>
        <v>58368</v>
      </c>
      <c r="K32" s="27">
        <f t="shared" si="1"/>
        <v>6660</v>
      </c>
      <c r="L32" s="28">
        <f t="shared" si="1"/>
        <v>900</v>
      </c>
      <c r="M32" s="22">
        <f t="shared" si="1"/>
        <v>128662</v>
      </c>
      <c r="P32" s="1"/>
    </row>
    <row r="33" spans="1:16" ht="15.75" thickBot="1">
      <c r="A33" s="16" t="s">
        <v>12</v>
      </c>
      <c r="B33" s="17">
        <f>B3+B32</f>
        <v>1008</v>
      </c>
      <c r="C33" s="17">
        <f t="shared" ref="C33:M33" si="2">C3+C32</f>
        <v>7656</v>
      </c>
      <c r="D33" s="17">
        <f t="shared" si="2"/>
        <v>35880</v>
      </c>
      <c r="E33" s="17">
        <f t="shared" si="2"/>
        <v>552</v>
      </c>
      <c r="F33" s="17">
        <f t="shared" si="2"/>
        <v>1870</v>
      </c>
      <c r="G33" s="17">
        <f t="shared" si="2"/>
        <v>0</v>
      </c>
      <c r="H33" s="17">
        <f t="shared" si="2"/>
        <v>10440</v>
      </c>
      <c r="I33" s="17">
        <f t="shared" si="2"/>
        <v>5328</v>
      </c>
      <c r="J33" s="17">
        <f t="shared" si="2"/>
        <v>58368</v>
      </c>
      <c r="K33" s="17">
        <f t="shared" si="2"/>
        <v>6660</v>
      </c>
      <c r="L33" s="17">
        <f t="shared" si="2"/>
        <v>900</v>
      </c>
      <c r="M33" s="16">
        <f t="shared" si="2"/>
        <v>128662</v>
      </c>
      <c r="P33" s="1"/>
    </row>
    <row r="34" spans="1:16">
      <c r="B34" s="18"/>
      <c r="C34" s="18"/>
      <c r="D34" s="18"/>
      <c r="E34" s="18"/>
      <c r="F34" s="18"/>
      <c r="G34" s="18"/>
      <c r="H34" s="18"/>
      <c r="I34" s="18"/>
      <c r="J34" s="25"/>
      <c r="K34" s="18"/>
      <c r="L34" s="18"/>
      <c r="M34" s="18"/>
      <c r="P34" s="1"/>
    </row>
    <row r="35" spans="1:16">
      <c r="F35" s="49"/>
      <c r="M35" s="31"/>
      <c r="P35" s="1"/>
    </row>
    <row r="36" spans="1:16">
      <c r="F36" s="31"/>
      <c r="M36" s="31"/>
      <c r="P36" s="1"/>
    </row>
    <row r="37" spans="1:16">
      <c r="F37" s="49"/>
      <c r="G37" s="49"/>
      <c r="M37" s="31"/>
      <c r="P37" s="1"/>
    </row>
    <row r="38" spans="1:16">
      <c r="F38" s="31"/>
      <c r="G38" s="49"/>
      <c r="M38" s="31"/>
      <c r="P38" s="1"/>
    </row>
    <row r="39" spans="1:16">
      <c r="P39" s="1"/>
    </row>
    <row r="40" spans="1:16">
      <c r="P40" s="1"/>
    </row>
    <row r="41" spans="1:16">
      <c r="P41" s="1"/>
    </row>
    <row r="42" spans="1:16">
      <c r="P42" s="1"/>
    </row>
    <row r="43" spans="1:16">
      <c r="P43" s="1"/>
    </row>
    <row r="44" spans="1:16">
      <c r="P44" s="1"/>
    </row>
    <row r="45" spans="1:16">
      <c r="P45" s="1"/>
    </row>
    <row r="46" spans="1:16">
      <c r="P46" s="1"/>
    </row>
    <row r="47" spans="1:16">
      <c r="P47" s="1"/>
    </row>
    <row r="48" spans="1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  <row r="1944" spans="16:16">
      <c r="P1944" s="1"/>
    </row>
    <row r="1945" spans="16:16">
      <c r="P1945" s="1"/>
    </row>
  </sheetData>
  <mergeCells count="1">
    <mergeCell ref="A1:M1"/>
  </mergeCells>
  <pageMargins left="0.75" right="0.16" top="0.75" bottom="0.75" header="0.3" footer="0.3"/>
  <pageSetup orientation="landscape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943"/>
  <sheetViews>
    <sheetView workbookViewId="0">
      <pane ySplit="3" topLeftCell="A16" activePane="bottomLeft" state="frozen"/>
      <selection pane="bottomLeft" activeCell="A31" sqref="A31:M31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3" t="s">
        <v>40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</row>
    <row r="2" spans="1:16" s="1" customFormat="1" ht="28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5" t="s">
        <v>13</v>
      </c>
      <c r="K2" s="4" t="s">
        <v>9</v>
      </c>
      <c r="L2" s="38" t="s">
        <v>10</v>
      </c>
      <c r="M2" s="19" t="s">
        <v>11</v>
      </c>
    </row>
    <row r="3" spans="1:16" s="1" customFormat="1" ht="15.75" thickBot="1">
      <c r="A3" s="40"/>
      <c r="B3" s="41">
        <v>1008</v>
      </c>
      <c r="C3" s="41">
        <v>7656</v>
      </c>
      <c r="D3" s="42">
        <v>35880</v>
      </c>
      <c r="E3" s="43">
        <v>552</v>
      </c>
      <c r="F3" s="43">
        <v>1870</v>
      </c>
      <c r="G3" s="44">
        <v>0</v>
      </c>
      <c r="H3" s="45">
        <v>10440</v>
      </c>
      <c r="I3" s="43">
        <v>5328</v>
      </c>
      <c r="J3" s="44">
        <v>58368</v>
      </c>
      <c r="K3" s="46">
        <v>6660</v>
      </c>
      <c r="L3" s="44">
        <v>900</v>
      </c>
      <c r="M3" s="26">
        <v>128662</v>
      </c>
      <c r="N3" s="20"/>
    </row>
    <row r="4" spans="1:16">
      <c r="A4" s="9" t="s">
        <v>41</v>
      </c>
      <c r="B4" s="10"/>
      <c r="C4" s="11"/>
      <c r="D4" s="10"/>
      <c r="E4" s="32"/>
      <c r="F4" s="32"/>
      <c r="G4" s="33"/>
      <c r="H4" s="32">
        <v>2112</v>
      </c>
      <c r="I4" s="12">
        <v>264</v>
      </c>
      <c r="J4" s="12"/>
      <c r="K4" s="10"/>
      <c r="L4" s="21"/>
      <c r="M4" s="24">
        <f t="shared" ref="M4:M28" si="0">SUM(B4:L4)</f>
        <v>2376</v>
      </c>
      <c r="P4" s="1"/>
    </row>
    <row r="5" spans="1:16">
      <c r="A5" s="9" t="s">
        <v>42</v>
      </c>
      <c r="B5" s="10"/>
      <c r="C5" s="11"/>
      <c r="D5" s="10">
        <v>1440</v>
      </c>
      <c r="E5" s="32"/>
      <c r="F5" s="32"/>
      <c r="G5" s="33"/>
      <c r="H5" s="32"/>
      <c r="I5" s="12">
        <v>552</v>
      </c>
      <c r="J5" s="12"/>
      <c r="K5" s="10">
        <v>1104</v>
      </c>
      <c r="L5" s="21"/>
      <c r="M5" s="24">
        <f t="shared" si="0"/>
        <v>3096</v>
      </c>
      <c r="P5" s="1"/>
    </row>
    <row r="6" spans="1:16">
      <c r="A6" s="9" t="s">
        <v>43</v>
      </c>
      <c r="B6" s="10"/>
      <c r="C6" s="11"/>
      <c r="D6" s="10">
        <v>1440</v>
      </c>
      <c r="E6" s="32"/>
      <c r="F6" s="32">
        <v>132</v>
      </c>
      <c r="G6" s="33"/>
      <c r="H6" s="32"/>
      <c r="I6" s="12">
        <v>1656</v>
      </c>
      <c r="J6" s="12"/>
      <c r="K6" s="10"/>
      <c r="L6" s="21"/>
      <c r="M6" s="24">
        <f t="shared" si="0"/>
        <v>3228</v>
      </c>
      <c r="P6" s="1"/>
    </row>
    <row r="7" spans="1:16">
      <c r="A7" s="9" t="s">
        <v>44</v>
      </c>
      <c r="B7" s="10"/>
      <c r="C7" s="13"/>
      <c r="D7" s="10">
        <v>3390</v>
      </c>
      <c r="E7" s="32"/>
      <c r="F7" s="32">
        <v>176</v>
      </c>
      <c r="G7" s="33"/>
      <c r="H7" s="32"/>
      <c r="I7" s="12"/>
      <c r="J7" s="12"/>
      <c r="K7" s="10"/>
      <c r="L7" s="21"/>
      <c r="M7" s="24">
        <f t="shared" si="0"/>
        <v>3566</v>
      </c>
      <c r="P7" s="1"/>
    </row>
    <row r="8" spans="1:16">
      <c r="A8" s="9" t="s">
        <v>45</v>
      </c>
      <c r="B8" s="10"/>
      <c r="C8" s="11"/>
      <c r="D8" s="10"/>
      <c r="E8" s="32"/>
      <c r="F8" s="32"/>
      <c r="G8" s="33"/>
      <c r="H8" s="32">
        <v>360</v>
      </c>
      <c r="I8" s="12">
        <v>24</v>
      </c>
      <c r="J8" s="12">
        <v>2328</v>
      </c>
      <c r="K8" s="10"/>
      <c r="L8" s="21"/>
      <c r="M8" s="24">
        <f t="shared" si="0"/>
        <v>2712</v>
      </c>
      <c r="P8" s="1"/>
    </row>
    <row r="9" spans="1:16">
      <c r="A9" s="9" t="s">
        <v>46</v>
      </c>
      <c r="B9" s="10"/>
      <c r="C9" s="11"/>
      <c r="D9" s="10"/>
      <c r="E9" s="32"/>
      <c r="F9" s="32">
        <v>264</v>
      </c>
      <c r="G9" s="33"/>
      <c r="H9" s="32"/>
      <c r="I9" s="12"/>
      <c r="J9" s="12">
        <v>3456</v>
      </c>
      <c r="K9" s="10"/>
      <c r="L9" s="21"/>
      <c r="M9" s="24">
        <f t="shared" si="0"/>
        <v>3720</v>
      </c>
      <c r="P9" s="1"/>
    </row>
    <row r="10" spans="1:16">
      <c r="A10" s="9" t="s">
        <v>47</v>
      </c>
      <c r="B10" s="10"/>
      <c r="C10" s="11"/>
      <c r="D10" s="10"/>
      <c r="E10" s="32"/>
      <c r="F10" s="32"/>
      <c r="G10" s="33">
        <v>176</v>
      </c>
      <c r="H10" s="32"/>
      <c r="I10" s="12"/>
      <c r="J10" s="12">
        <v>2568</v>
      </c>
      <c r="K10" s="10"/>
      <c r="L10" s="21"/>
      <c r="M10" s="24">
        <f t="shared" si="0"/>
        <v>2744</v>
      </c>
      <c r="P10" s="1"/>
    </row>
    <row r="11" spans="1:16">
      <c r="A11" s="9" t="s">
        <v>48</v>
      </c>
      <c r="B11" s="10"/>
      <c r="C11" s="11"/>
      <c r="D11" s="10"/>
      <c r="E11" s="32"/>
      <c r="F11" s="32"/>
      <c r="G11" s="33"/>
      <c r="H11" s="32"/>
      <c r="I11" s="12"/>
      <c r="J11" s="12">
        <v>3048</v>
      </c>
      <c r="K11" s="10">
        <v>960</v>
      </c>
      <c r="L11" s="21">
        <v>540</v>
      </c>
      <c r="M11" s="24">
        <f t="shared" si="0"/>
        <v>4548</v>
      </c>
      <c r="P11" s="1"/>
    </row>
    <row r="12" spans="1:16">
      <c r="A12" s="9" t="s">
        <v>49</v>
      </c>
      <c r="B12" s="10"/>
      <c r="C12" s="11"/>
      <c r="D12" s="10"/>
      <c r="E12" s="32"/>
      <c r="F12" s="32"/>
      <c r="G12" s="33"/>
      <c r="H12" s="32"/>
      <c r="I12" s="12"/>
      <c r="J12" s="12">
        <v>1560</v>
      </c>
      <c r="K12" s="10"/>
      <c r="L12" s="21">
        <v>1128</v>
      </c>
      <c r="M12" s="24">
        <f>SUM(B12:L12)</f>
        <v>2688</v>
      </c>
      <c r="P12" s="1"/>
    </row>
    <row r="13" spans="1:16">
      <c r="A13" s="9" t="s">
        <v>50</v>
      </c>
      <c r="B13" s="10"/>
      <c r="C13" s="11"/>
      <c r="D13" s="10"/>
      <c r="E13" s="32"/>
      <c r="F13" s="32"/>
      <c r="G13" s="33"/>
      <c r="H13" s="32">
        <v>624</v>
      </c>
      <c r="I13" s="12"/>
      <c r="J13" s="12"/>
      <c r="K13" s="10"/>
      <c r="L13" s="21">
        <v>588</v>
      </c>
      <c r="M13" s="24">
        <f>SUM(B13:L13)</f>
        <v>1212</v>
      </c>
      <c r="P13" s="1"/>
    </row>
    <row r="14" spans="1:16">
      <c r="A14" s="9" t="s">
        <v>51</v>
      </c>
      <c r="B14" s="10"/>
      <c r="C14" s="11"/>
      <c r="D14" s="10"/>
      <c r="E14" s="32"/>
      <c r="F14" s="32"/>
      <c r="G14" s="33">
        <v>44</v>
      </c>
      <c r="H14" s="32"/>
      <c r="I14" s="12"/>
      <c r="J14" s="12">
        <v>2424</v>
      </c>
      <c r="K14" s="10"/>
      <c r="L14" s="21">
        <v>876</v>
      </c>
      <c r="M14" s="24">
        <f>SUM(B14:L14)</f>
        <v>3344</v>
      </c>
      <c r="P14" s="1"/>
    </row>
    <row r="15" spans="1:16">
      <c r="A15" s="9" t="s">
        <v>54</v>
      </c>
      <c r="B15" s="10"/>
      <c r="C15" s="11"/>
      <c r="D15" s="10">
        <v>4260</v>
      </c>
      <c r="E15" s="32"/>
      <c r="F15" s="32"/>
      <c r="G15" s="33">
        <v>110</v>
      </c>
      <c r="H15" s="32"/>
      <c r="I15" s="12"/>
      <c r="J15" s="12">
        <v>3024</v>
      </c>
      <c r="K15" s="10"/>
      <c r="L15" s="21"/>
      <c r="M15" s="24">
        <f t="shared" si="0"/>
        <v>7394</v>
      </c>
      <c r="P15" s="1"/>
    </row>
    <row r="16" spans="1:16">
      <c r="A16" s="9" t="s">
        <v>53</v>
      </c>
      <c r="B16" s="10">
        <v>312</v>
      </c>
      <c r="C16" s="11">
        <v>1392</v>
      </c>
      <c r="D16" s="10">
        <v>2970</v>
      </c>
      <c r="E16" s="32"/>
      <c r="F16" s="32"/>
      <c r="G16" s="33"/>
      <c r="H16" s="32">
        <v>1104</v>
      </c>
      <c r="I16" s="12"/>
      <c r="J16" s="12">
        <v>1560</v>
      </c>
      <c r="K16" s="10"/>
      <c r="L16" s="21"/>
      <c r="M16" s="24">
        <f t="shared" si="0"/>
        <v>7338</v>
      </c>
      <c r="P16" s="1"/>
    </row>
    <row r="17" spans="1:16">
      <c r="A17" s="9" t="s">
        <v>52</v>
      </c>
      <c r="B17" s="10">
        <v>360</v>
      </c>
      <c r="C17" s="11">
        <v>888</v>
      </c>
      <c r="D17" s="10"/>
      <c r="E17" s="32"/>
      <c r="F17" s="32"/>
      <c r="G17" s="33"/>
      <c r="H17" s="32">
        <v>360</v>
      </c>
      <c r="I17" s="12"/>
      <c r="J17" s="12">
        <v>1968</v>
      </c>
      <c r="K17" s="10">
        <v>48</v>
      </c>
      <c r="L17" s="21"/>
      <c r="M17" s="24">
        <f t="shared" si="0"/>
        <v>3624</v>
      </c>
      <c r="P17" s="1"/>
    </row>
    <row r="18" spans="1:16">
      <c r="A18" s="50" t="s">
        <v>55</v>
      </c>
      <c r="B18" s="51"/>
      <c r="C18" s="52"/>
      <c r="D18" s="51"/>
      <c r="E18" s="53"/>
      <c r="F18" s="53"/>
      <c r="G18" s="54"/>
      <c r="H18" s="53"/>
      <c r="I18" s="55"/>
      <c r="J18" s="55">
        <v>1704</v>
      </c>
      <c r="K18" s="51"/>
      <c r="L18" s="56"/>
      <c r="M18" s="57">
        <f>SUM(B18:L18)</f>
        <v>1704</v>
      </c>
      <c r="P18" s="1"/>
    </row>
    <row r="19" spans="1:16">
      <c r="A19" s="50" t="s">
        <v>56</v>
      </c>
      <c r="B19" s="51"/>
      <c r="C19" s="52"/>
      <c r="D19" s="51">
        <v>1800</v>
      </c>
      <c r="E19" s="53"/>
      <c r="F19" s="53"/>
      <c r="G19" s="54"/>
      <c r="H19" s="53">
        <v>1728</v>
      </c>
      <c r="I19" s="55">
        <v>912</v>
      </c>
      <c r="J19" s="55">
        <v>1704</v>
      </c>
      <c r="K19" s="51"/>
      <c r="L19" s="56"/>
      <c r="M19" s="57">
        <f t="shared" si="0"/>
        <v>6144</v>
      </c>
      <c r="P19" s="1"/>
    </row>
    <row r="20" spans="1:16">
      <c r="A20" s="9" t="s">
        <v>57</v>
      </c>
      <c r="B20" s="10"/>
      <c r="C20" s="11"/>
      <c r="D20" s="10">
        <v>1200</v>
      </c>
      <c r="E20" s="32"/>
      <c r="F20" s="32"/>
      <c r="G20" s="33"/>
      <c r="H20" s="32">
        <v>1368</v>
      </c>
      <c r="I20" s="12">
        <v>312</v>
      </c>
      <c r="J20" s="12">
        <v>600</v>
      </c>
      <c r="K20" s="10"/>
      <c r="L20" s="21"/>
      <c r="M20" s="24">
        <f t="shared" si="0"/>
        <v>3480</v>
      </c>
      <c r="P20" s="1"/>
    </row>
    <row r="21" spans="1:16">
      <c r="A21" s="9" t="s">
        <v>58</v>
      </c>
      <c r="B21" s="10"/>
      <c r="C21" s="11"/>
      <c r="D21" s="10"/>
      <c r="E21" s="32"/>
      <c r="F21" s="32"/>
      <c r="G21" s="33"/>
      <c r="H21" s="32"/>
      <c r="I21" s="12"/>
      <c r="J21" s="12">
        <v>3288</v>
      </c>
      <c r="K21" s="10"/>
      <c r="L21" s="21"/>
      <c r="M21" s="24">
        <f t="shared" si="0"/>
        <v>3288</v>
      </c>
      <c r="P21" s="1"/>
    </row>
    <row r="22" spans="1:16">
      <c r="A22" s="9" t="s">
        <v>65</v>
      </c>
      <c r="B22" s="10"/>
      <c r="C22" s="11"/>
      <c r="D22" s="10"/>
      <c r="E22" s="32"/>
      <c r="F22" s="32"/>
      <c r="G22" s="33"/>
      <c r="H22" s="32"/>
      <c r="I22" s="12"/>
      <c r="J22" s="12">
        <v>2328</v>
      </c>
      <c r="K22" s="10">
        <v>300</v>
      </c>
      <c r="L22" s="21"/>
      <c r="M22" s="24">
        <f>SUM(B22:L22)</f>
        <v>2628</v>
      </c>
      <c r="P22" s="1"/>
    </row>
    <row r="23" spans="1:16">
      <c r="A23" s="9" t="s">
        <v>59</v>
      </c>
      <c r="B23" s="10"/>
      <c r="C23" s="11"/>
      <c r="D23" s="10"/>
      <c r="E23" s="32"/>
      <c r="F23" s="32"/>
      <c r="G23" s="33">
        <v>198</v>
      </c>
      <c r="H23" s="32"/>
      <c r="I23" s="12">
        <v>432</v>
      </c>
      <c r="J23" s="12">
        <v>1152</v>
      </c>
      <c r="K23" s="10">
        <v>1284</v>
      </c>
      <c r="L23" s="21"/>
      <c r="M23" s="24">
        <f t="shared" si="0"/>
        <v>3066</v>
      </c>
      <c r="P23" s="1"/>
    </row>
    <row r="24" spans="1:16">
      <c r="A24" s="9" t="s">
        <v>60</v>
      </c>
      <c r="B24" s="10"/>
      <c r="C24" s="11"/>
      <c r="D24" s="10"/>
      <c r="E24" s="32"/>
      <c r="F24" s="32"/>
      <c r="G24" s="33"/>
      <c r="H24" s="32">
        <v>1872</v>
      </c>
      <c r="I24" s="12">
        <v>816</v>
      </c>
      <c r="J24" s="12">
        <v>3144</v>
      </c>
      <c r="K24" s="10"/>
      <c r="L24" s="21"/>
      <c r="M24" s="24">
        <f t="shared" si="0"/>
        <v>5832</v>
      </c>
      <c r="P24" s="1"/>
    </row>
    <row r="25" spans="1:16">
      <c r="A25" s="9" t="s">
        <v>61</v>
      </c>
      <c r="B25" s="10">
        <v>360</v>
      </c>
      <c r="C25" s="11"/>
      <c r="D25" s="10"/>
      <c r="E25" s="32"/>
      <c r="F25" s="32">
        <v>110</v>
      </c>
      <c r="G25" s="33">
        <v>110</v>
      </c>
      <c r="H25" s="32">
        <v>48</v>
      </c>
      <c r="I25" s="12"/>
      <c r="J25" s="12">
        <v>1104</v>
      </c>
      <c r="K25" s="10"/>
      <c r="L25" s="21"/>
      <c r="M25" s="24">
        <f t="shared" si="0"/>
        <v>1732</v>
      </c>
      <c r="P25" s="1"/>
    </row>
    <row r="26" spans="1:16">
      <c r="A26" s="9" t="s">
        <v>62</v>
      </c>
      <c r="B26" s="10"/>
      <c r="C26" s="11"/>
      <c r="D26" s="10">
        <v>5370</v>
      </c>
      <c r="E26" s="32"/>
      <c r="F26" s="32">
        <v>242</v>
      </c>
      <c r="G26" s="33"/>
      <c r="H26" s="32"/>
      <c r="I26" s="12"/>
      <c r="J26" s="12"/>
      <c r="K26" s="10"/>
      <c r="L26" s="21"/>
      <c r="M26" s="24">
        <f t="shared" si="0"/>
        <v>5612</v>
      </c>
      <c r="P26" s="1"/>
    </row>
    <row r="27" spans="1:16">
      <c r="A27" s="9" t="s">
        <v>63</v>
      </c>
      <c r="B27" s="10"/>
      <c r="C27" s="11"/>
      <c r="D27" s="10">
        <v>780</v>
      </c>
      <c r="E27" s="32"/>
      <c r="F27" s="32"/>
      <c r="G27" s="33"/>
      <c r="H27" s="32"/>
      <c r="I27" s="12"/>
      <c r="J27" s="12"/>
      <c r="K27" s="10"/>
      <c r="L27" s="21">
        <v>1236</v>
      </c>
      <c r="M27" s="24">
        <f t="shared" si="0"/>
        <v>2016</v>
      </c>
      <c r="P27" s="1"/>
    </row>
    <row r="28" spans="1:16">
      <c r="A28" s="9" t="s">
        <v>64</v>
      </c>
      <c r="B28" s="10"/>
      <c r="C28" s="11">
        <v>1032</v>
      </c>
      <c r="D28" s="10"/>
      <c r="E28" s="32"/>
      <c r="F28" s="32">
        <v>242</v>
      </c>
      <c r="G28" s="33"/>
      <c r="H28" s="32"/>
      <c r="I28" s="12"/>
      <c r="J28" s="12">
        <v>1032</v>
      </c>
      <c r="K28" s="10">
        <v>864</v>
      </c>
      <c r="L28" s="21">
        <v>564</v>
      </c>
      <c r="M28" s="24">
        <f t="shared" si="0"/>
        <v>3734</v>
      </c>
      <c r="P28" s="1"/>
    </row>
    <row r="29" spans="1:16" ht="15.75" thickBot="1">
      <c r="A29" s="58"/>
      <c r="B29" s="59"/>
      <c r="C29" s="13"/>
      <c r="D29" s="59"/>
      <c r="E29" s="60"/>
      <c r="F29" s="60"/>
      <c r="G29" s="61"/>
      <c r="H29" s="60"/>
      <c r="I29" s="60"/>
      <c r="J29" s="60"/>
      <c r="K29" s="29"/>
      <c r="L29" s="30"/>
      <c r="M29" s="62"/>
      <c r="P29" s="1"/>
    </row>
    <row r="30" spans="1:16" ht="15.75" thickBot="1">
      <c r="A30" s="14" t="s">
        <v>11</v>
      </c>
      <c r="B30" s="15">
        <f t="shared" ref="B30:M30" si="1">SUM(B4:B28)</f>
        <v>1032</v>
      </c>
      <c r="C30" s="15">
        <f t="shared" si="1"/>
        <v>3312</v>
      </c>
      <c r="D30" s="15">
        <f t="shared" si="1"/>
        <v>22650</v>
      </c>
      <c r="E30" s="15">
        <f t="shared" si="1"/>
        <v>0</v>
      </c>
      <c r="F30" s="15">
        <f t="shared" si="1"/>
        <v>1166</v>
      </c>
      <c r="G30" s="47">
        <f t="shared" si="1"/>
        <v>638</v>
      </c>
      <c r="H30" s="48">
        <f t="shared" si="1"/>
        <v>9576</v>
      </c>
      <c r="I30" s="15">
        <f t="shared" si="1"/>
        <v>4968</v>
      </c>
      <c r="J30" s="15">
        <f t="shared" si="1"/>
        <v>37992</v>
      </c>
      <c r="K30" s="27">
        <f t="shared" si="1"/>
        <v>4560</v>
      </c>
      <c r="L30" s="28">
        <f t="shared" si="1"/>
        <v>4932</v>
      </c>
      <c r="M30" s="22">
        <f t="shared" si="1"/>
        <v>90826</v>
      </c>
      <c r="P30" s="1"/>
    </row>
    <row r="31" spans="1:16" ht="15.75" thickBot="1">
      <c r="A31" s="16" t="s">
        <v>12</v>
      </c>
      <c r="B31" s="17">
        <f t="shared" ref="B31:M31" si="2">B3+B30</f>
        <v>2040</v>
      </c>
      <c r="C31" s="17">
        <f t="shared" si="2"/>
        <v>10968</v>
      </c>
      <c r="D31" s="17">
        <f t="shared" si="2"/>
        <v>58530</v>
      </c>
      <c r="E31" s="17">
        <f t="shared" si="2"/>
        <v>552</v>
      </c>
      <c r="F31" s="17">
        <f t="shared" si="2"/>
        <v>3036</v>
      </c>
      <c r="G31" s="17">
        <f t="shared" si="2"/>
        <v>638</v>
      </c>
      <c r="H31" s="17">
        <f t="shared" si="2"/>
        <v>20016</v>
      </c>
      <c r="I31" s="17">
        <f t="shared" si="2"/>
        <v>10296</v>
      </c>
      <c r="J31" s="17">
        <f t="shared" si="2"/>
        <v>96360</v>
      </c>
      <c r="K31" s="17">
        <f t="shared" si="2"/>
        <v>11220</v>
      </c>
      <c r="L31" s="17">
        <f t="shared" si="2"/>
        <v>5832</v>
      </c>
      <c r="M31" s="16">
        <f t="shared" si="2"/>
        <v>219488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ageMargins left="0.75" right="0.16" top="0.75" bottom="0.75" header="0.3" footer="0.3"/>
  <pageSetup orientation="landscape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9C01A-C192-4553-A27E-46819B724C9B}">
  <dimension ref="A1:P1943"/>
  <sheetViews>
    <sheetView tabSelected="1" workbookViewId="0">
      <pane ySplit="3" topLeftCell="A22" activePane="bottomLeft" state="frozen"/>
      <selection pane="bottomLeft" activeCell="A11" sqref="A11:XFD11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3" t="s">
        <v>67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</row>
    <row r="2" spans="1:16" s="1" customFormat="1" ht="31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5" t="s">
        <v>13</v>
      </c>
      <c r="K2" s="4" t="s">
        <v>73</v>
      </c>
      <c r="L2" s="38" t="s">
        <v>10</v>
      </c>
      <c r="M2" s="19" t="s">
        <v>11</v>
      </c>
    </row>
    <row r="3" spans="1:16" s="1" customFormat="1" ht="15.75" thickBot="1">
      <c r="A3" s="40"/>
      <c r="B3" s="41">
        <v>2040</v>
      </c>
      <c r="C3" s="41">
        <v>10968</v>
      </c>
      <c r="D3" s="42">
        <v>58530</v>
      </c>
      <c r="E3" s="43">
        <v>552</v>
      </c>
      <c r="F3" s="43">
        <v>3036</v>
      </c>
      <c r="G3" s="44">
        <v>638</v>
      </c>
      <c r="H3" s="45">
        <v>20016</v>
      </c>
      <c r="I3" s="43">
        <v>10296</v>
      </c>
      <c r="J3" s="44">
        <v>96360</v>
      </c>
      <c r="K3" s="46">
        <v>11220</v>
      </c>
      <c r="L3" s="44">
        <v>5832</v>
      </c>
      <c r="M3" s="26">
        <v>219488</v>
      </c>
      <c r="N3" s="20"/>
    </row>
    <row r="4" spans="1:16">
      <c r="A4" s="9" t="s">
        <v>66</v>
      </c>
      <c r="B4" s="10"/>
      <c r="C4" s="11">
        <v>1224</v>
      </c>
      <c r="D4" s="10"/>
      <c r="E4" s="32"/>
      <c r="F4" s="32"/>
      <c r="G4" s="33"/>
      <c r="H4" s="32">
        <v>720</v>
      </c>
      <c r="I4" s="12"/>
      <c r="J4" s="12">
        <v>912</v>
      </c>
      <c r="K4" s="10">
        <v>1020</v>
      </c>
      <c r="L4" s="21"/>
      <c r="M4" s="24">
        <f t="shared" ref="M4:M28" si="0">SUM(B4:L4)</f>
        <v>3876</v>
      </c>
      <c r="P4" s="1"/>
    </row>
    <row r="5" spans="1:16">
      <c r="A5" s="9" t="s">
        <v>68</v>
      </c>
      <c r="B5" s="10"/>
      <c r="C5" s="11"/>
      <c r="D5" s="10"/>
      <c r="E5" s="32">
        <v>288</v>
      </c>
      <c r="F5" s="32"/>
      <c r="G5" s="33"/>
      <c r="H5" s="32"/>
      <c r="I5" s="12"/>
      <c r="J5" s="12">
        <v>2184</v>
      </c>
      <c r="K5" s="10"/>
      <c r="L5" s="21"/>
      <c r="M5" s="24">
        <f t="shared" si="0"/>
        <v>2472</v>
      </c>
      <c r="P5" s="1"/>
    </row>
    <row r="6" spans="1:16">
      <c r="A6" s="9" t="s">
        <v>69</v>
      </c>
      <c r="B6" s="51"/>
      <c r="C6" s="52"/>
      <c r="D6" s="51"/>
      <c r="E6" s="53">
        <v>264</v>
      </c>
      <c r="F6" s="53"/>
      <c r="G6" s="54"/>
      <c r="H6" s="53"/>
      <c r="I6" s="55"/>
      <c r="J6" s="55">
        <v>3096</v>
      </c>
      <c r="K6" s="51"/>
      <c r="L6" s="56"/>
      <c r="M6" s="24">
        <f t="shared" si="0"/>
        <v>3360</v>
      </c>
      <c r="P6" s="1"/>
    </row>
    <row r="7" spans="1:16">
      <c r="A7" s="9" t="s">
        <v>70</v>
      </c>
      <c r="B7" s="10"/>
      <c r="C7" s="13"/>
      <c r="D7" s="10">
        <v>4410</v>
      </c>
      <c r="E7" s="32"/>
      <c r="F7" s="32"/>
      <c r="G7" s="33"/>
      <c r="H7" s="32"/>
      <c r="I7" s="12"/>
      <c r="J7" s="12"/>
      <c r="K7" s="10"/>
      <c r="L7" s="21"/>
      <c r="M7" s="24">
        <f t="shared" si="0"/>
        <v>4410</v>
      </c>
      <c r="P7" s="1"/>
    </row>
    <row r="8" spans="1:16">
      <c r="A8" s="9" t="s">
        <v>71</v>
      </c>
      <c r="B8" s="10"/>
      <c r="C8" s="11"/>
      <c r="D8" s="10"/>
      <c r="E8" s="32"/>
      <c r="F8" s="32"/>
      <c r="G8" s="33"/>
      <c r="H8" s="32">
        <v>696</v>
      </c>
      <c r="I8" s="12"/>
      <c r="J8" s="12"/>
      <c r="K8" s="10">
        <v>1728</v>
      </c>
      <c r="L8" s="21"/>
      <c r="M8" s="24">
        <f t="shared" si="0"/>
        <v>2424</v>
      </c>
      <c r="P8" s="1"/>
    </row>
    <row r="9" spans="1:16">
      <c r="A9" s="9" t="s">
        <v>72</v>
      </c>
      <c r="B9" s="10"/>
      <c r="C9" s="11"/>
      <c r="D9" s="10"/>
      <c r="E9" s="32"/>
      <c r="F9" s="32"/>
      <c r="G9" s="33"/>
      <c r="H9" s="32"/>
      <c r="I9" s="12"/>
      <c r="J9" s="12">
        <v>3168</v>
      </c>
      <c r="K9" s="10">
        <v>1068</v>
      </c>
      <c r="L9" s="21"/>
      <c r="M9" s="24">
        <f t="shared" si="0"/>
        <v>4236</v>
      </c>
      <c r="P9" s="1"/>
    </row>
    <row r="10" spans="1:16">
      <c r="A10" s="9" t="s">
        <v>74</v>
      </c>
      <c r="B10" s="10"/>
      <c r="C10" s="11"/>
      <c r="D10" s="10">
        <v>2640</v>
      </c>
      <c r="E10" s="32"/>
      <c r="F10" s="32"/>
      <c r="G10" s="33"/>
      <c r="H10" s="32">
        <v>312</v>
      </c>
      <c r="I10" s="12">
        <v>384</v>
      </c>
      <c r="J10" s="12">
        <v>744</v>
      </c>
      <c r="K10" s="10"/>
      <c r="L10" s="21"/>
      <c r="M10" s="24">
        <f t="shared" si="0"/>
        <v>4080</v>
      </c>
      <c r="P10" s="1"/>
    </row>
    <row r="11" spans="1:16">
      <c r="A11" s="9" t="s">
        <v>75</v>
      </c>
      <c r="B11" s="10"/>
      <c r="C11" s="11"/>
      <c r="D11" s="10"/>
      <c r="E11" s="32"/>
      <c r="F11" s="32"/>
      <c r="G11" s="33"/>
      <c r="H11" s="32">
        <v>2208</v>
      </c>
      <c r="I11" s="12">
        <v>120</v>
      </c>
      <c r="J11" s="12"/>
      <c r="K11" s="10">
        <v>48</v>
      </c>
      <c r="L11" s="21"/>
      <c r="M11" s="24">
        <f t="shared" si="0"/>
        <v>2376</v>
      </c>
      <c r="P11" s="1"/>
    </row>
    <row r="12" spans="1:16">
      <c r="A12" s="9" t="s">
        <v>76</v>
      </c>
      <c r="B12" s="10"/>
      <c r="C12" s="11"/>
      <c r="D12" s="10"/>
      <c r="E12" s="32"/>
      <c r="F12" s="32"/>
      <c r="G12" s="33"/>
      <c r="H12" s="32">
        <v>360</v>
      </c>
      <c r="I12" s="12">
        <v>456</v>
      </c>
      <c r="J12" s="12">
        <v>3456</v>
      </c>
      <c r="K12" s="10"/>
      <c r="L12" s="21"/>
      <c r="M12" s="24">
        <f>SUM(B12:L12)</f>
        <v>4272</v>
      </c>
      <c r="P12" s="1"/>
    </row>
    <row r="13" spans="1:16">
      <c r="A13" s="9" t="s">
        <v>77</v>
      </c>
      <c r="B13" s="10"/>
      <c r="C13" s="11"/>
      <c r="D13" s="10"/>
      <c r="E13" s="32"/>
      <c r="F13" s="32"/>
      <c r="G13" s="33"/>
      <c r="H13" s="32"/>
      <c r="I13" s="12"/>
      <c r="J13" s="12">
        <v>3552</v>
      </c>
      <c r="K13" s="10">
        <v>1080</v>
      </c>
      <c r="L13" s="21"/>
      <c r="M13" s="24">
        <f>SUM(B13:L13)</f>
        <v>4632</v>
      </c>
      <c r="P13" s="1"/>
    </row>
    <row r="14" spans="1:16">
      <c r="A14" s="9" t="s">
        <v>78</v>
      </c>
      <c r="B14" s="10"/>
      <c r="C14" s="11"/>
      <c r="D14" s="10">
        <v>1800</v>
      </c>
      <c r="E14" s="32"/>
      <c r="F14" s="32"/>
      <c r="G14" s="33"/>
      <c r="H14" s="32"/>
      <c r="I14" s="12"/>
      <c r="J14" s="12">
        <v>1368</v>
      </c>
      <c r="K14" s="10">
        <v>984</v>
      </c>
      <c r="L14" s="21">
        <v>612</v>
      </c>
      <c r="M14" s="24">
        <f>SUM(B14:L14)</f>
        <v>4764</v>
      </c>
      <c r="P14" s="1"/>
    </row>
    <row r="15" spans="1:16">
      <c r="A15" s="9" t="s">
        <v>79</v>
      </c>
      <c r="B15" s="10"/>
      <c r="C15" s="11"/>
      <c r="D15" s="10">
        <v>870</v>
      </c>
      <c r="E15" s="32"/>
      <c r="F15" s="32"/>
      <c r="G15" s="33"/>
      <c r="H15" s="32"/>
      <c r="I15" s="12"/>
      <c r="J15" s="12"/>
      <c r="K15" s="10">
        <v>1788</v>
      </c>
      <c r="L15" s="21"/>
      <c r="M15" s="24">
        <f t="shared" si="0"/>
        <v>2658</v>
      </c>
      <c r="P15" s="1"/>
    </row>
    <row r="16" spans="1:16">
      <c r="A16" s="9" t="s">
        <v>80</v>
      </c>
      <c r="B16" s="10"/>
      <c r="C16" s="11"/>
      <c r="D16" s="10">
        <v>780</v>
      </c>
      <c r="E16" s="32"/>
      <c r="F16" s="32">
        <v>22</v>
      </c>
      <c r="G16" s="33"/>
      <c r="H16" s="32"/>
      <c r="I16" s="12">
        <v>528</v>
      </c>
      <c r="J16" s="12"/>
      <c r="K16" s="10"/>
      <c r="L16" s="21"/>
      <c r="M16" s="24">
        <f t="shared" si="0"/>
        <v>1330</v>
      </c>
      <c r="P16" s="1"/>
    </row>
    <row r="17" spans="1:16">
      <c r="A17" s="9"/>
      <c r="B17" s="10"/>
      <c r="C17" s="11"/>
      <c r="D17" s="10"/>
      <c r="E17" s="32"/>
      <c r="F17" s="32"/>
      <c r="G17" s="33"/>
      <c r="H17" s="32"/>
      <c r="I17" s="12"/>
      <c r="J17" s="12"/>
      <c r="K17" s="10"/>
      <c r="L17" s="21"/>
      <c r="M17" s="24">
        <f t="shared" si="0"/>
        <v>0</v>
      </c>
      <c r="P17" s="1"/>
    </row>
    <row r="18" spans="1:16">
      <c r="A18" s="50"/>
      <c r="B18" s="51"/>
      <c r="C18" s="52"/>
      <c r="D18" s="51"/>
      <c r="E18" s="53"/>
      <c r="F18" s="53"/>
      <c r="G18" s="54"/>
      <c r="H18" s="53"/>
      <c r="I18" s="55"/>
      <c r="J18" s="55"/>
      <c r="K18" s="51"/>
      <c r="L18" s="56"/>
      <c r="M18" s="57">
        <f>SUM(B18:L18)</f>
        <v>0</v>
      </c>
      <c r="P18" s="1"/>
    </row>
    <row r="19" spans="1:16">
      <c r="A19" s="50"/>
      <c r="B19" s="51"/>
      <c r="C19" s="52"/>
      <c r="D19" s="51"/>
      <c r="E19" s="53"/>
      <c r="F19" s="53"/>
      <c r="G19" s="54"/>
      <c r="H19" s="53"/>
      <c r="I19" s="55"/>
      <c r="J19" s="55"/>
      <c r="K19" s="51"/>
      <c r="L19" s="56"/>
      <c r="M19" s="57">
        <f t="shared" si="0"/>
        <v>0</v>
      </c>
      <c r="P19" s="1"/>
    </row>
    <row r="20" spans="1:16">
      <c r="A20" s="9"/>
      <c r="B20" s="10"/>
      <c r="C20" s="11"/>
      <c r="D20" s="10"/>
      <c r="E20" s="32"/>
      <c r="F20" s="32"/>
      <c r="G20" s="33"/>
      <c r="H20" s="32"/>
      <c r="I20" s="12"/>
      <c r="J20" s="12"/>
      <c r="K20" s="10"/>
      <c r="L20" s="21"/>
      <c r="M20" s="24">
        <f t="shared" si="0"/>
        <v>0</v>
      </c>
      <c r="P20" s="1"/>
    </row>
    <row r="21" spans="1:16">
      <c r="A21" s="9"/>
      <c r="B21" s="10"/>
      <c r="C21" s="11"/>
      <c r="D21" s="10"/>
      <c r="E21" s="32"/>
      <c r="F21" s="32"/>
      <c r="G21" s="33"/>
      <c r="H21" s="32"/>
      <c r="I21" s="12"/>
      <c r="J21" s="12"/>
      <c r="K21" s="10"/>
      <c r="L21" s="21"/>
      <c r="M21" s="24">
        <f t="shared" si="0"/>
        <v>0</v>
      </c>
      <c r="P21" s="1"/>
    </row>
    <row r="22" spans="1:16">
      <c r="A22" s="9"/>
      <c r="B22" s="10"/>
      <c r="C22" s="11"/>
      <c r="D22" s="10"/>
      <c r="E22" s="32"/>
      <c r="F22" s="32"/>
      <c r="G22" s="33"/>
      <c r="H22" s="32"/>
      <c r="I22" s="12"/>
      <c r="J22" s="12"/>
      <c r="K22" s="10"/>
      <c r="L22" s="21"/>
      <c r="M22" s="24">
        <f>SUM(B22:L22)</f>
        <v>0</v>
      </c>
      <c r="P22" s="1"/>
    </row>
    <row r="23" spans="1:16">
      <c r="A23" s="9"/>
      <c r="B23" s="10"/>
      <c r="C23" s="11"/>
      <c r="D23" s="10"/>
      <c r="E23" s="32"/>
      <c r="F23" s="32"/>
      <c r="G23" s="33"/>
      <c r="H23" s="32"/>
      <c r="I23" s="12"/>
      <c r="J23" s="12"/>
      <c r="K23" s="10"/>
      <c r="L23" s="21"/>
      <c r="M23" s="24">
        <f t="shared" si="0"/>
        <v>0</v>
      </c>
      <c r="P23" s="1"/>
    </row>
    <row r="24" spans="1:16">
      <c r="A24" s="9"/>
      <c r="B24" s="10"/>
      <c r="C24" s="11"/>
      <c r="D24" s="10"/>
      <c r="E24" s="32"/>
      <c r="F24" s="32"/>
      <c r="G24" s="33"/>
      <c r="H24" s="32"/>
      <c r="I24" s="12"/>
      <c r="J24" s="12"/>
      <c r="K24" s="10"/>
      <c r="L24" s="21"/>
      <c r="M24" s="24">
        <f t="shared" si="0"/>
        <v>0</v>
      </c>
      <c r="P24" s="1"/>
    </row>
    <row r="25" spans="1:16">
      <c r="A25" s="9"/>
      <c r="B25" s="10"/>
      <c r="C25" s="11"/>
      <c r="D25" s="10"/>
      <c r="E25" s="32"/>
      <c r="F25" s="32"/>
      <c r="G25" s="33"/>
      <c r="H25" s="32"/>
      <c r="I25" s="12"/>
      <c r="J25" s="12"/>
      <c r="K25" s="10"/>
      <c r="L25" s="21"/>
      <c r="M25" s="24">
        <f t="shared" si="0"/>
        <v>0</v>
      </c>
      <c r="P25" s="1"/>
    </row>
    <row r="26" spans="1:16">
      <c r="A26" s="9"/>
      <c r="B26" s="10"/>
      <c r="C26" s="11"/>
      <c r="D26" s="10"/>
      <c r="E26" s="32"/>
      <c r="F26" s="32"/>
      <c r="G26" s="33"/>
      <c r="H26" s="32"/>
      <c r="I26" s="12"/>
      <c r="J26" s="12"/>
      <c r="K26" s="10"/>
      <c r="L26" s="21"/>
      <c r="M26" s="24">
        <f t="shared" si="0"/>
        <v>0</v>
      </c>
      <c r="P26" s="1"/>
    </row>
    <row r="27" spans="1:16">
      <c r="A27" s="9"/>
      <c r="B27" s="10"/>
      <c r="C27" s="11"/>
      <c r="D27" s="10"/>
      <c r="E27" s="32"/>
      <c r="F27" s="32"/>
      <c r="G27" s="33"/>
      <c r="H27" s="32"/>
      <c r="I27" s="12"/>
      <c r="J27" s="12"/>
      <c r="K27" s="10"/>
      <c r="L27" s="21"/>
      <c r="M27" s="24">
        <f t="shared" si="0"/>
        <v>0</v>
      </c>
      <c r="P27" s="1"/>
    </row>
    <row r="28" spans="1:16">
      <c r="A28" s="9"/>
      <c r="B28" s="10"/>
      <c r="C28" s="11"/>
      <c r="D28" s="10"/>
      <c r="E28" s="32"/>
      <c r="F28" s="32"/>
      <c r="G28" s="33"/>
      <c r="H28" s="32"/>
      <c r="I28" s="12"/>
      <c r="J28" s="12"/>
      <c r="K28" s="10"/>
      <c r="L28" s="21"/>
      <c r="M28" s="24">
        <f t="shared" si="0"/>
        <v>0</v>
      </c>
      <c r="P28" s="1"/>
    </row>
    <row r="29" spans="1:16" ht="15.75" thickBot="1">
      <c r="A29" s="58"/>
      <c r="B29" s="59"/>
      <c r="C29" s="13"/>
      <c r="D29" s="59"/>
      <c r="E29" s="60"/>
      <c r="F29" s="60"/>
      <c r="G29" s="61"/>
      <c r="H29" s="60"/>
      <c r="I29" s="60"/>
      <c r="J29" s="60"/>
      <c r="K29" s="29"/>
      <c r="L29" s="30"/>
      <c r="M29" s="62"/>
      <c r="P29" s="1"/>
    </row>
    <row r="30" spans="1:16" ht="15.75" thickBot="1">
      <c r="A30" s="14" t="s">
        <v>11</v>
      </c>
      <c r="B30" s="15">
        <f t="shared" ref="B30:M30" si="1">SUM(B4:B28)</f>
        <v>0</v>
      </c>
      <c r="C30" s="15">
        <f t="shared" si="1"/>
        <v>1224</v>
      </c>
      <c r="D30" s="15">
        <f t="shared" si="1"/>
        <v>10500</v>
      </c>
      <c r="E30" s="15">
        <f t="shared" si="1"/>
        <v>552</v>
      </c>
      <c r="F30" s="15">
        <f t="shared" si="1"/>
        <v>22</v>
      </c>
      <c r="G30" s="47">
        <f t="shared" si="1"/>
        <v>0</v>
      </c>
      <c r="H30" s="48">
        <f t="shared" si="1"/>
        <v>4296</v>
      </c>
      <c r="I30" s="15">
        <f t="shared" si="1"/>
        <v>1488</v>
      </c>
      <c r="J30" s="15">
        <f t="shared" si="1"/>
        <v>18480</v>
      </c>
      <c r="K30" s="27">
        <f t="shared" si="1"/>
        <v>7716</v>
      </c>
      <c r="L30" s="28">
        <f t="shared" si="1"/>
        <v>612</v>
      </c>
      <c r="M30" s="22">
        <f t="shared" si="1"/>
        <v>44890</v>
      </c>
      <c r="P30" s="1"/>
    </row>
    <row r="31" spans="1:16" ht="15.75" thickBot="1">
      <c r="A31" s="16" t="s">
        <v>12</v>
      </c>
      <c r="B31" s="17">
        <f t="shared" ref="B31:M31" si="2">B3+B30</f>
        <v>2040</v>
      </c>
      <c r="C31" s="17">
        <f t="shared" si="2"/>
        <v>12192</v>
      </c>
      <c r="D31" s="17">
        <f t="shared" si="2"/>
        <v>69030</v>
      </c>
      <c r="E31" s="17">
        <f t="shared" si="2"/>
        <v>1104</v>
      </c>
      <c r="F31" s="17">
        <f t="shared" si="2"/>
        <v>3058</v>
      </c>
      <c r="G31" s="17">
        <f t="shared" si="2"/>
        <v>638</v>
      </c>
      <c r="H31" s="17">
        <f t="shared" si="2"/>
        <v>24312</v>
      </c>
      <c r="I31" s="17">
        <f t="shared" si="2"/>
        <v>11784</v>
      </c>
      <c r="J31" s="17">
        <f t="shared" si="2"/>
        <v>114840</v>
      </c>
      <c r="K31" s="17">
        <f t="shared" si="2"/>
        <v>18936</v>
      </c>
      <c r="L31" s="17">
        <f t="shared" si="2"/>
        <v>6444</v>
      </c>
      <c r="M31" s="16">
        <f t="shared" si="2"/>
        <v>264378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honeticPr fontId="5" type="noConversion"/>
  <pageMargins left="0.75" right="0.16" top="0.75" bottom="0.75" header="0.3" footer="0.3"/>
  <pageSetup orientation="landscape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April 2021-22</vt:lpstr>
      <vt:lpstr>May 2021</vt:lpstr>
      <vt:lpstr>June 2021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pataka</dc:creator>
  <cp:lastModifiedBy>Raj</cp:lastModifiedBy>
  <cp:lastPrinted>2021-04-03T09:52:45Z</cp:lastPrinted>
  <dcterms:created xsi:type="dcterms:W3CDTF">2017-04-10T11:26:00Z</dcterms:created>
  <dcterms:modified xsi:type="dcterms:W3CDTF">2021-06-16T04:50:52Z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1033-11.2.0.8934</vt:lpwstr>
  </property>
  <property fmtid="{D5CDD505-2E9C-101B-9397-08002B2CF9AE}" pid="3" name="WorkbookGuid">
    <vt:lpwstr>3675465c-002e-44fa-b620-cb863add2878</vt:lpwstr>
  </property>
</Properties>
</file>