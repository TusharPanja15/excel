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225" yWindow="315" windowWidth="20070" windowHeight="7440" activeTab="6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8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C31" i="38" l="1"/>
  <c r="G31"/>
  <c r="F31"/>
  <c r="K31"/>
  <c r="J31"/>
  <c r="I31"/>
  <c r="H31"/>
  <c r="D31"/>
  <c r="M30"/>
  <c r="M31" s="1"/>
  <c r="M30" i="36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<sst xmlns="http://schemas.openxmlformats.org/spreadsheetml/2006/main" count="276" uniqueCount="183">
  <si>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</si>
  <si>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</si>
  <si>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</si>
  <si>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</si>
  <si>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</si>
  <si>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</si>
  <si>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</si>
  <si>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</si>
  <si>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</si>
  <si>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</si>
  <si>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</si>
  <si>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</si>
  <si>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</si>
  <si>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</si>
  <si>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</si>
  <si>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</si>
  <si>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</si>
  <si>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</si>
  <si>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</si>
  <si>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</si>
  <si>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</si>
  <si>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</si>
  <si>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</si>
  <si>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</si>
  <si>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</si>
  <si>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</si>
  <si>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</si>
  <si>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</si>
  <si>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</si>
  <si>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</si>
  <si>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</si>
  <si>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</si>
  <si>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</si>
  <si>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</si>
  <si>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</si>
  <si>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</si>
  <si>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</si>
  <si>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</si>
  <si>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</si>
  <si>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</si>
  <si>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</si>
  <si>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</si>
  <si>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</si>
  <si>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</si>
  <si>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</si>
  <si>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</si>
  <si>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</si>
  <si>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</si>
  <si>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</si>
  <si>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</si>
  <si>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</si>
  <si>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</si>
  <si>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</si>
  <si>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</si>
  <si>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</si>
  <si>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</si>
  <si>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</si>
  <si>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</si>
  <si>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</si>
  <si>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</si>
  <si>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</si>
  <si>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</si>
  <si>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</si>
  <si>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</si>
  <si>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</si>
  <si>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</si>
  <si>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</si>
  <si>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</si>
  <si>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</si>
  <si>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</si>
  <si>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</si>
  <si>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</si>
  <si>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</si>
  <si>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</si>
  <si>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</si>
  <si>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</si>
  <si>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</si>
  <si>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</si>
  <si>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</si>
  <si>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</si>
  <si>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</si>
  <si>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</si>
  <si>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</si>
  <si>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</si>
  <si>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</si>
  <si>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</si>
  <si>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</si>
  <si>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</si>
  <si>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</si>
  <si>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</si>
  <si>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</si>
  <si>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</si>
  <si>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</si>
  <si>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</si>
  <si>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</si>
  <si>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</si>
  <si>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</si>
  <si>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</si>
  <si>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</si>
  <si>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</si>
  <si>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</si>
  <si>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</si>
  <si>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</si>
  <si>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</si>
  <si>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</si>
  <si>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</si>
  <si>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</si>
  <si>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</si>
  <si>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</si>
  <si>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</si>
  <si>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</si>
  <si>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</si>
  <si>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</si>
  <si>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</si>
  <si>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</si>
  <si>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</si>
  <si>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</si>
  <si>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</si>
  <si>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</si>
  <si>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</si>
  <si>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</si>
  <si>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</si>
  <si>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</si>
  <si>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</si>
  <si>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</si>
  <si>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</si>
  <si>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</si>
  <si>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</si>
  <si>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</si>
  <si>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</si>
  <si>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</si>
  <si>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</si>
  <si>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</si>
  <si>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</si>
  <si>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</si>
  <si>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</si>
  <si>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</si>
  <si>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</si>
  <si>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</si>
  <si>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</si>
  <si>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</si>
  <si>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</si>
  <si>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</si>
  <si>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</si>
  <si>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</si>
  <si>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</si>
  <si>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</si>
  <si>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</si>
  <si>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</si>
  <si>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</si>
  <si>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</si>
  <si>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</si>
  <si>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</si>
  <si>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</si>
  <si>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</si>
  <si>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</si>
  <si>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</si>
  <si>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</si>
  <si>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</si>
  <si>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</si>
  <si>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</si>
  <si>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</si>
  <si>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</si>
  <si>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</si>
  <si>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</si>
  <si>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</si>
  <si>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</si>
  <si>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</si>
  <si>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</si>
  <si>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</si>
  <si>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</si>
  <si>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</si>
  <si>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</si>
  <si>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</si>
  <si>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</si>
  <si>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</si>
  <si>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</si>
  <si>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</si>
  <si>
    <t>09.10.2021</t>
  </si>
  <si>
    <t>11.10.2021</t>
  </si>
  <si>
    <t>12.10.2021</t>
  </si>
  <si>
    <t>13.10.2021</t>
  </si>
  <si>
    <t>14.10.2021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</si>
</sst>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7" activePane="bottomLeft" state="frozen"/>
      <selection pane="bottomLeft" activeCell="M23" sqref="M2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5" activePane="bottomLeft" state="frozen"/>
      <selection pane="bottomLeft" activeCell="B31" sqref="B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11" activePane="bottomLeft" state="frozen"/>
      <selection pane="bottomLeft" activeCell="K26" sqref="K26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176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  <c r="P8" s="1"/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  <c r="P9" s="1"/>
    </row>
    <row r="10" spans="1:16">
      <c r="A10" s="9" t="s">
        <v>178</v>
      </c>
      <c r="B10" s="10"/>
      <c r="C10" s="11"/>
      <c r="D10" s="10">
        <v>1530</v>
      </c>
      <c r="E10" s="32"/>
      <c r="F10" s="32"/>
      <c r="G10" s="33"/>
      <c r="H10" s="32">
        <v>1440</v>
      </c>
      <c r="I10" s="12">
        <v>840</v>
      </c>
      <c r="J10" s="12">
        <v>1680</v>
      </c>
      <c r="K10" s="10"/>
      <c r="L10" s="21"/>
      <c r="M10" s="24">
        <f t="shared" si="0"/>
        <v>5490</v>
      </c>
      <c r="P10" s="1"/>
    </row>
    <row r="11" spans="1:16">
      <c r="A11" s="9" t="s">
        <v>179</v>
      </c>
      <c r="B11" s="10"/>
      <c r="C11" s="11"/>
      <c r="D11" s="10"/>
      <c r="E11" s="32"/>
      <c r="F11" s="32">
        <v>308</v>
      </c>
      <c r="G11" s="33"/>
      <c r="H11" s="32">
        <v>312</v>
      </c>
      <c r="I11" s="12">
        <v>216</v>
      </c>
      <c r="J11" s="12">
        <v>3648</v>
      </c>
      <c r="K11" s="10">
        <v>1296</v>
      </c>
      <c r="L11" s="21"/>
      <c r="M11" s="24">
        <f t="shared" si="0"/>
        <v>5780</v>
      </c>
      <c r="P11" s="1"/>
    </row>
    <row r="12" spans="1:16">
      <c r="A12" s="9" t="s">
        <v>180</v>
      </c>
      <c r="B12" s="10"/>
      <c r="C12" s="11"/>
      <c r="D12" s="10">
        <v>4410</v>
      </c>
      <c r="E12" s="32"/>
      <c r="F12" s="32"/>
      <c r="G12" s="33"/>
      <c r="H12" s="32">
        <v>624</v>
      </c>
      <c r="I12" s="12">
        <v>24</v>
      </c>
      <c r="J12" s="12"/>
      <c r="K12" s="10">
        <v>12</v>
      </c>
      <c r="L12" s="21"/>
      <c r="M12" s="24">
        <f>SUM(B12:L12)</f>
        <v>5070</v>
      </c>
      <c r="P12" s="1"/>
    </row>
    <row r="13" spans="1:16">
      <c r="A13" s="9" t="s">
        <v>181</v>
      </c>
      <c r="B13" s="10"/>
      <c r="C13" s="11"/>
      <c r="D13" s="10"/>
      <c r="E13" s="32"/>
      <c r="F13" s="32">
        <v>198</v>
      </c>
      <c r="G13" s="33"/>
      <c r="H13" s="32">
        <v>1608</v>
      </c>
      <c r="I13" s="12">
        <v>1104</v>
      </c>
      <c r="J13" s="12">
        <v>3936</v>
      </c>
      <c r="K13" s="10"/>
      <c r="L13" s="21"/>
      <c r="M13" s="24">
        <f>SUM(B13:L13)</f>
        <v>6846</v>
      </c>
      <c r="P13" s="1"/>
    </row>
    <row r="14" spans="1:16">
      <c r="A14" s="9" t="s">
        <v>182</v>
      </c>
      <c r="B14" s="10"/>
      <c r="C14" s="11"/>
      <c r="D14" s="10">
        <v>2850</v>
      </c>
      <c r="E14" s="32"/>
      <c r="F14" s="32"/>
      <c r="G14" s="33"/>
      <c r="H14" s="32">
        <v>552</v>
      </c>
      <c r="I14" s="12">
        <v>240</v>
      </c>
      <c r="J14" s="12">
        <v>1584</v>
      </c>
      <c r="K14" s="10">
        <v>348</v>
      </c>
      <c r="L14" s="21"/>
      <c r="M14" s="24">
        <f>SUM(B14:L14)</f>
        <v>5574</v>
      </c>
      <c r="P14" s="1"/>
    </row>
    <row r="15" spans="1:16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32"/>
      <c r="M15" s="24">
        <f t="shared" si="0"/>
        <v>0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1032</v>
      </c>
      <c r="C30" s="15">
        <f t="shared" si="1"/>
        <v>2736</v>
      </c>
      <c r="D30" s="15">
        <f t="shared" si="1"/>
        <v>18930</v>
      </c>
      <c r="E30" s="15">
        <f t="shared" si="1"/>
        <v>576</v>
      </c>
      <c r="F30" s="15">
        <f t="shared" si="1"/>
        <v>506</v>
      </c>
      <c r="G30" s="15">
        <f t="shared" si="1"/>
        <v>0</v>
      </c>
      <c r="H30" s="15">
        <f t="shared" si="1"/>
        <v>5688</v>
      </c>
      <c r="I30" s="15">
        <f t="shared" si="1"/>
        <v>3168</v>
      </c>
      <c r="J30" s="15">
        <f t="shared" si="1"/>
        <v>24624</v>
      </c>
      <c r="K30" s="15">
        <f t="shared" si="1"/>
        <v>4512</v>
      </c>
      <c r="L30" s="15">
        <f t="shared" si="1"/>
        <v>132</v>
      </c>
      <c r="M30" s="22">
        <f t="shared" si="1"/>
        <v>61904</v>
      </c>
      <c r="P30" s="1"/>
    </row>
    <row r="31" spans="1:16" ht="15.75" thickBot="1">
      <c r="A31" s="16" t="s">
        <v>12</v>
      </c>
      <c r="B31" s="17">
        <f t="shared" ref="B31:M31" si="2">B3+B30</f>
        <v>7032</v>
      </c>
      <c r="C31" s="17">
        <f t="shared" si="2"/>
        <v>32544</v>
      </c>
      <c r="D31" s="17">
        <f t="shared" si="2"/>
        <v>230490</v>
      </c>
      <c r="E31" s="17">
        <f t="shared" si="2"/>
        <v>3120</v>
      </c>
      <c r="F31" s="17">
        <f t="shared" si="2"/>
        <v>10714</v>
      </c>
      <c r="G31" s="17">
        <f t="shared" si="2"/>
        <v>1892</v>
      </c>
      <c r="H31" s="17">
        <f t="shared" si="2"/>
        <v>60744</v>
      </c>
      <c r="I31" s="17">
        <f t="shared" si="2"/>
        <v>34704</v>
      </c>
      <c r="J31" s="17">
        <f t="shared" si="2"/>
        <v>311976</v>
      </c>
      <c r="K31" s="17">
        <f t="shared" si="2"/>
        <v>54408</v>
      </c>
      <c r="L31" s="17">
        <f t="shared" si="2"/>
        <v>14400</v>
      </c>
      <c r="M31" s="16">
        <f t="shared" si="2"/>
        <v>762024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2021-10-16T04:32:35Z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