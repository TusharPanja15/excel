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6"/>
  <workbookPr codeName="ThisWorkbook" defaultThemeVersion="124226"/>
  <bookViews>
    <workbookView xWindow="225" yWindow="315" windowWidth="20070" windowHeight="7440" activeTab="6"/>
  </bookViews>
  <sheets>
    <sheet name="April 2021-22" sheetId="30" r:id="rId1"/>
    <sheet name="May 2021" sheetId="31" r:id="rId2"/>
    <sheet name="June 2021" sheetId="32" r:id="rId3"/>
    <sheet name="July 2020" sheetId="33" r:id="rId4"/>
    <sheet name="August 2021" sheetId="34" r:id="rId5"/>
    <sheet name="September 2021" sheetId="36" r:id="rId6"/>
    <sheet name="October 2021" sheetId="38" r:id="rId7"/>
  </sheets>
  <definedNames>
    <definedName name="_xlnm._FilterDatabase" localSheetId="0" hidden="1">'April 2021-22'!$A$12:$O$12</definedName>
    <definedName name="_xlnm._FilterDatabase" localSheetId="4" hidden="1">'August 2021'!$A$9:$O$9</definedName>
    <definedName name="_xlnm._FilterDatabase" localSheetId="3" hidden="1">'July 2020'!$A$9:$O$9</definedName>
    <definedName name="_xlnm._FilterDatabase" localSheetId="2" hidden="1">'June 2021'!$A$9:$O$9</definedName>
    <definedName name="_xlnm._FilterDatabase" localSheetId="1" hidden="1">'May 2021'!$A$9:$O$9</definedName>
    <definedName name="_xlnm._FilterDatabase" localSheetId="6" hidden="1">'October 2021'!$A$9:$O$9</definedName>
    <definedName name="_xlnm._FilterDatabase" localSheetId="5" hidden="1">'September 2021'!$A$9:$O$9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30" i="38"/>
  <c r="L31" s="1"/>
  <c r="K30"/>
  <c r="K31" s="1"/>
  <c r="J30"/>
  <c r="J31" s="1"/>
  <c r="I30"/>
  <c r="I31" s="1"/>
  <c r="H30"/>
  <c r="H31" s="1"/>
  <c r="G30"/>
  <c r="G31" s="1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3"/>
  <c r="L30" i="36"/>
  <c r="L31" s="1"/>
  <c r="K30"/>
  <c r="K31" s="1"/>
  <c r="J30"/>
  <c r="J31" s="1"/>
  <c r="I30"/>
  <c r="I31" s="1"/>
  <c r="H30"/>
  <c r="H31" s="1"/>
  <c r="G30"/>
  <c r="G31" s="1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3"/>
  <c r="M3" i="34"/>
  <c r="L30"/>
  <c r="L31" s="1"/>
  <c r="K30"/>
  <c r="J30"/>
  <c r="I30"/>
  <c r="I31" s="1"/>
  <c r="H30"/>
  <c r="H31" s="1"/>
  <c r="G30"/>
  <c r="F30"/>
  <c r="E30"/>
  <c r="E31" s="1"/>
  <c r="D30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0" i="33"/>
  <c r="L31" s="1"/>
  <c r="K30"/>
  <c r="J30"/>
  <c r="I30"/>
  <c r="H30"/>
  <c r="G30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0" i="32"/>
  <c r="K30"/>
  <c r="J30"/>
  <c r="I30"/>
  <c r="H30"/>
  <c r="G30"/>
  <c r="F30"/>
  <c r="E30"/>
  <c r="D30"/>
  <c r="C30"/>
  <c r="B30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B30" i="31"/>
  <c r="C30"/>
  <c r="D30"/>
  <c r="E30"/>
  <c r="F30"/>
  <c r="G30"/>
  <c r="H30"/>
  <c r="I30"/>
  <c r="J30"/>
  <c r="K30"/>
  <c r="L30"/>
  <c r="M27"/>
  <c r="M28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2" i="30"/>
  <c r="L33" s="1"/>
  <c r="K32"/>
  <c r="K33" s="1"/>
  <c r="J32"/>
  <c r="J33" s="1"/>
  <c r="I32"/>
  <c r="I33" s="1"/>
  <c r="H32"/>
  <c r="H33" s="1"/>
  <c r="G32"/>
  <c r="G33" s="1"/>
  <c r="F32"/>
  <c r="F33" s="1"/>
  <c r="E32"/>
  <c r="E33" s="1"/>
  <c r="D32"/>
  <c r="D33" s="1"/>
  <c r="C32"/>
  <c r="C33" s="1"/>
  <c r="B32"/>
  <c r="B33" s="1"/>
  <c r="M31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30" i="38" l="1"/>
  <c r="M31" s="1"/>
  <c r="M30" i="36"/>
  <c r="M31" s="1"/>
  <c r="K31" i="34"/>
  <c r="J31"/>
  <c r="G31"/>
  <c r="F31"/>
  <c r="D31"/>
  <c r="M30"/>
  <c r="M31" s="1"/>
  <c r="K31" i="33"/>
  <c r="K33" s="1"/>
  <c r="J31"/>
  <c r="I31"/>
  <c r="H31"/>
  <c r="G31"/>
  <c r="M30"/>
  <c r="M31" s="1"/>
  <c r="L31" i="32"/>
  <c r="K31"/>
  <c r="J31"/>
  <c r="I31"/>
  <c r="H31"/>
  <c r="G31"/>
  <c r="E31"/>
  <c r="D31"/>
  <c r="F31"/>
  <c r="B31"/>
  <c r="C31"/>
  <c r="M31"/>
  <c r="M30" i="31"/>
  <c r="M31" s="1"/>
  <c r="B31"/>
  <c r="F31"/>
  <c r="I31"/>
  <c r="H31"/>
  <c r="C31"/>
  <c r="K31"/>
  <c r="L31"/>
  <c r="J31"/>
  <c r="G31"/>
  <c r="E31"/>
  <c r="D31"/>
  <c r="M32" i="30"/>
  <c r="M33" s="1"/>
</calcChain>
</file>

<file path=xl/sharedStrings.xml><?xml version="1.0" encoding="utf-8"?>
<sst xmlns="http://schemas.openxmlformats.org/spreadsheetml/2006/main" count="271" uniqueCount="178">
  <si>
    <t>DATE</t>
  </si>
  <si>
    <t>1KG PREM</t>
  </si>
  <si>
    <t>250GM PREM</t>
  </si>
  <si>
    <t>5KG</t>
  </si>
  <si>
    <t>1KG SPL</t>
  </si>
  <si>
    <t>500GM SPL</t>
  </si>
  <si>
    <t>100GM PREM</t>
  </si>
  <si>
    <t>Rs.10/-</t>
  </si>
  <si>
    <t>Rs. 5/-</t>
  </si>
  <si>
    <t>500GM Mukta JAR</t>
  </si>
  <si>
    <t>250GM Mukta</t>
  </si>
  <si>
    <t>TOTAL</t>
  </si>
  <si>
    <t>QUMULATIVE</t>
  </si>
  <si>
    <t>250 GM SPL</t>
  </si>
  <si>
    <t>PRODUCTION FOR THE MONTH OF APRIL 2021-22</t>
  </si>
  <si>
    <t>02.04.2021</t>
  </si>
  <si>
    <t>03.04.2021</t>
  </si>
  <si>
    <t>05.04.2021</t>
  </si>
  <si>
    <t>06.04.2021</t>
  </si>
  <si>
    <t>07.04.2021</t>
  </si>
  <si>
    <t>08.04.2021</t>
  </si>
  <si>
    <t>09.04.2021</t>
  </si>
  <si>
    <t>10.04.2021</t>
  </si>
  <si>
    <t>12.04.2021</t>
  </si>
  <si>
    <t>13.04.2021</t>
  </si>
  <si>
    <t>14.04.2021</t>
  </si>
  <si>
    <t>15.04.2021</t>
  </si>
  <si>
    <t>16.04.2021</t>
  </si>
  <si>
    <t>17.04.2021</t>
  </si>
  <si>
    <t>19.04.2021</t>
  </si>
  <si>
    <t>20.21.2021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</si>
  <si>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</si>
  <si>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</si>
  <si>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</si>
  <si>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</si>
  <si>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</si>
  <si>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</si>
  <si>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</si>
  <si>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29.04.2021</t>
  </si>
  <si>
    <t>30.04.2021</t>
  </si>
  <si>
    <t>PRODUCTION FOR THE MONTH OF May 2021</t>
  </si>
  <si>
    <t>01.05.2021</t>
  </si>
  <si>
    <t>03.05.2021</t>
  </si>
  <si>
    <t>04.05.2021</t>
  </si>
  <si>
    <t>05.05.2021</t>
  </si>
  <si>
    <t>06.05.2021</t>
  </si>
  <si>
    <t>07.05.2021</t>
  </si>
  <si>
    <t>08.05.2021</t>
  </si>
  <si>
    <t>10.05.2021</t>
  </si>
  <si>
    <t>11.05.2021</t>
  </si>
  <si>
    <t>12.05.2021</t>
  </si>
  <si>
    <t>13.05.2021</t>
  </si>
  <si>
    <t>18.05.2021</t>
  </si>
  <si>
    <t>17.05.2021</t>
  </si>
  <si>
    <t>15.05.2021</t>
  </si>
  <si>
    <t>19.05.2021</t>
  </si>
  <si>
    <t>20.05.2021</t>
  </si>
  <si>
    <t>21.05.2021</t>
  </si>
  <si>
    <t>22.05.2021</t>
  </si>
  <si>
    <t>25.05.2021</t>
  </si>
  <si>
    <t>26.05.2021</t>
  </si>
  <si>
    <t>27.05.2021</t>
  </si>
  <si>
    <t>28.05.2021</t>
  </si>
  <si>
    <t>29.05.2021</t>
  </si>
  <si>
    <t>31.05.2021</t>
  </si>
  <si>
    <t>24.05.2021</t>
  </si>
  <si>
    <t>01.06.2021</t>
  </si>
  <si>
    <t>PRODUCTION FOR THE MONTH OF JUNE 2021</t>
  </si>
  <si>
    <t>02.06.2021</t>
  </si>
  <si>
    <t>03.06.2021</t>
  </si>
  <si>
    <t>04.06.2021</t>
  </si>
  <si>
    <t>05.06.2021</t>
  </si>
  <si>
    <t>07.06.2021</t>
  </si>
  <si>
    <t>500GM Mukta</t>
  </si>
  <si>
    <t>08.06.2021</t>
  </si>
  <si>
    <t>09.06.2021</t>
  </si>
  <si>
    <t>10.06.2021</t>
  </si>
  <si>
    <t>11.06.2021</t>
  </si>
  <si>
    <t>12.06.2021</t>
  </si>
  <si>
    <t>14.06.2021</t>
  </si>
  <si>
    <t>15.06.2021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</si>
  <si>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</si>
  <si>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</si>
  <si>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</si>
  <si>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</si>
  <si>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</si>
  <si>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</si>
  <si>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</si>
  <si>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</si>
  <si>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</si>
  <si>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26.06.2021</t>
  </si>
  <si>
    <t>28.06.2021</t>
  </si>
  <si>
    <t>29.06.2021</t>
  </si>
  <si>
    <t>30.06.2021</t>
  </si>
  <si>
    <t>01.07.2021</t>
  </si>
  <si>
    <t>02.07.2021</t>
  </si>
  <si>
    <t>03.07.2021</t>
  </si>
  <si>
    <t>05.07.2021</t>
  </si>
  <si>
    <t>06.07.2021</t>
  </si>
  <si>
    <t>07.07.2021</t>
  </si>
  <si>
    <t>08.07.2021</t>
  </si>
  <si>
    <t>09.07.2021</t>
  </si>
  <si>
    <t>10.07.2021</t>
  </si>
  <si>
    <t>12.07.2021</t>
  </si>
  <si>
    <t>13.07.2021</t>
  </si>
  <si>
    <t>14.07.2021</t>
  </si>
  <si>
    <t>15.07.2021</t>
  </si>
  <si>
    <t>16.07.2021</t>
  </si>
  <si>
    <t>17.07.2021</t>
  </si>
  <si>
    <t>19.07.2021</t>
  </si>
  <si>
    <t>20.07.2021</t>
  </si>
  <si>
    <t>22.07.2021</t>
  </si>
  <si>
    <t>23.07.2021</t>
  </si>
  <si>
    <t>24.07.2021</t>
  </si>
  <si>
    <t>26.07.2021</t>
  </si>
  <si>
    <t>27.07.2021</t>
  </si>
  <si>
    <t>28.07.2021</t>
  </si>
  <si>
    <t>29.07.2021</t>
  </si>
  <si>
    <t>30.07.2021</t>
  </si>
  <si>
    <t>31.07.2021</t>
  </si>
  <si>
    <t>02.08.2021</t>
  </si>
  <si>
    <t>03.08.2021</t>
  </si>
  <si>
    <t>04.08.2021</t>
  </si>
  <si>
    <t>05.08.2021</t>
  </si>
  <si>
    <t>06.08.2021</t>
  </si>
  <si>
    <t>07.08.2021</t>
  </si>
  <si>
    <t>PRODUCTION FOR THE MONTH OF AUGUST 2021</t>
  </si>
  <si>
    <t>09.08.2021</t>
  </si>
  <si>
    <t>10.08.2021</t>
  </si>
  <si>
    <t>11.08.2021</t>
  </si>
  <si>
    <t>12.08.2021</t>
  </si>
  <si>
    <t>13.08.2021</t>
  </si>
  <si>
    <t>14.08.2021</t>
  </si>
  <si>
    <t>16.08.2021</t>
  </si>
  <si>
    <t>17.08.2021</t>
  </si>
  <si>
    <t>18.08.2021</t>
  </si>
  <si>
    <t>19.08.2021</t>
  </si>
  <si>
    <t>20.08.2021</t>
  </si>
  <si>
    <t>21.08.2021</t>
  </si>
  <si>
    <t>23.08.2021</t>
  </si>
  <si>
    <t>24.09.2021</t>
  </si>
  <si>
    <t>25.09.2021</t>
  </si>
  <si>
    <t>26.09.2021</t>
  </si>
  <si>
    <t>27.08.2021</t>
  </si>
  <si>
    <t>28.08.2021</t>
  </si>
  <si>
    <t>30.08.2021</t>
  </si>
  <si>
    <t>31.08.2021</t>
  </si>
  <si>
    <t>01.09.2021</t>
  </si>
  <si>
    <t>02.09.2021</t>
  </si>
  <si>
    <t>03.09.2021</t>
  </si>
  <si>
    <t>04.09.2021</t>
  </si>
  <si>
    <t>06.09.2021</t>
  </si>
  <si>
    <t>07.09.2021</t>
  </si>
  <si>
    <t>08.09.2021</t>
  </si>
  <si>
    <t>09.09.2021</t>
  </si>
  <si>
    <t>10.09.2021</t>
  </si>
  <si>
    <t>11.09.2021</t>
  </si>
  <si>
    <t>13.09.2021</t>
  </si>
  <si>
    <t>14.09.2021</t>
  </si>
  <si>
    <t>15.09.2021</t>
  </si>
  <si>
    <t>16.09.2021</t>
  </si>
  <si>
    <t>18.09.2021</t>
  </si>
  <si>
    <t>20.09.2021</t>
  </si>
  <si>
    <t>21.09.2021</t>
  </si>
  <si>
    <t>22.09.2021</t>
  </si>
  <si>
    <t>PRODUCTION FOR THE MONTH OF SEPTEMBER 2021</t>
  </si>
  <si>
    <t>23.09.2021</t>
  </si>
  <si>
    <t>27.09.2021</t>
  </si>
  <si>
    <t>28.09.2021</t>
  </si>
  <si>
    <t>29.09.2021</t>
  </si>
  <si>
    <t>30.09.2021</t>
  </si>
  <si>
    <t>01.10.2021</t>
  </si>
  <si>
    <t>04.10.2021</t>
  </si>
  <si>
    <t>05.10.2021</t>
  </si>
  <si>
    <t>06.10.2021</t>
  </si>
  <si>
    <t>07.10.2021</t>
  </si>
  <si>
    <t>PRODUCTION FOR THE MONTH OF OCTOBER 2021</t>
  </si>
  <si>
    <t>08.10.2021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</si>
</sst>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" fontId="4" fillId="3" borderId="13" xfId="0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right"/>
    </xf>
    <xf numFmtId="1" fontId="4" fillId="2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" fillId="0" borderId="14" xfId="0" applyFont="1" applyBorder="1" applyAlignment="1">
      <alignment horizontal="center" vertical="center"/>
    </xf>
    <xf numFmtId="2" fontId="0" fillId="0" borderId="0" xfId="0" applyNumberFormat="1" applyAlignment="1">
      <alignment vertical="center"/>
    </xf>
    <xf numFmtId="1" fontId="2" fillId="0" borderId="7" xfId="0" applyNumberFormat="1" applyFont="1" applyBorder="1" applyAlignment="1">
      <alignment horizontal="center"/>
    </xf>
    <xf numFmtId="2" fontId="4" fillId="3" borderId="15" xfId="0" applyNumberFormat="1" applyFont="1" applyFill="1" applyBorder="1" applyAlignment="1">
      <alignment horizontal="right"/>
    </xf>
    <xf numFmtId="2" fontId="1" fillId="0" borderId="16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2" fontId="3" fillId="3" borderId="18" xfId="0" applyNumberFormat="1" applyFont="1" applyFill="1" applyBorder="1" applyAlignment="1">
      <alignment horizontal="right" vertical="center" wrapText="1"/>
    </xf>
    <xf numFmtId="1" fontId="4" fillId="3" borderId="20" xfId="0" applyNumberFormat="1" applyFont="1" applyFill="1" applyBorder="1" applyAlignment="1">
      <alignment horizontal="center"/>
    </xf>
    <xf numFmtId="1" fontId="4" fillId="3" borderId="21" xfId="0" applyNumberFormat="1" applyFont="1" applyFill="1" applyBorder="1" applyAlignment="1">
      <alignment horizontal="center"/>
    </xf>
    <xf numFmtId="1" fontId="2" fillId="0" borderId="22" xfId="0" applyNumberFormat="1" applyFont="1" applyBorder="1" applyAlignment="1">
      <alignment horizontal="center"/>
    </xf>
    <xf numFmtId="1" fontId="2" fillId="0" borderId="23" xfId="0" applyNumberFormat="1" applyFont="1" applyBorder="1" applyAlignment="1">
      <alignment horizontal="center"/>
    </xf>
    <xf numFmtId="2" fontId="0" fillId="0" borderId="0" xfId="0" applyNumberFormat="1"/>
    <xf numFmtId="1" fontId="2" fillId="0" borderId="24" xfId="0" applyNumberFormat="1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26" xfId="0" applyNumberFormat="1" applyFont="1" applyBorder="1" applyAlignment="1">
      <alignment horizontal="center" wrapText="1"/>
    </xf>
    <xf numFmtId="1" fontId="2" fillId="0" borderId="27" xfId="0" applyNumberFormat="1" applyFont="1" applyBorder="1" applyAlignment="1">
      <alignment horizontal="center" wrapText="1"/>
    </xf>
    <xf numFmtId="1" fontId="2" fillId="0" borderId="28" xfId="0" applyNumberFormat="1" applyFont="1" applyBorder="1" applyAlignment="1">
      <alignment horizontal="center" wrapText="1"/>
    </xf>
    <xf numFmtId="1" fontId="2" fillId="0" borderId="29" xfId="0" applyNumberFormat="1" applyFont="1" applyBorder="1" applyAlignment="1">
      <alignment horizont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" fontId="3" fillId="3" borderId="14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 vertical="center" wrapText="1"/>
    </xf>
    <xf numFmtId="1" fontId="3" fillId="3" borderId="25" xfId="0" applyNumberFormat="1" applyFont="1" applyFill="1" applyBorder="1" applyAlignment="1">
      <alignment horizontal="center" vertical="center" wrapText="1"/>
    </xf>
    <xf numFmtId="1" fontId="3" fillId="3" borderId="31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/>
    </xf>
    <xf numFmtId="1" fontId="4" fillId="3" borderId="19" xfId="0" applyNumberFormat="1" applyFont="1" applyFill="1" applyBorder="1" applyAlignment="1">
      <alignment horizontal="center"/>
    </xf>
    <xf numFmtId="1" fontId="0" fillId="0" borderId="0" xfId="0" applyNumberFormat="1"/>
    <xf numFmtId="0" fontId="2" fillId="2" borderId="9" xfId="0" applyFont="1" applyFill="1" applyBorder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1" fontId="2" fillId="2" borderId="8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1" fontId="2" fillId="2" borderId="11" xfId="0" applyNumberFormat="1" applyFont="1" applyFill="1" applyBorder="1" applyAlignment="1">
      <alignment horizontal="center"/>
    </xf>
    <xf numFmtId="1" fontId="2" fillId="2" borderId="7" xfId="0" applyNumberFormat="1" applyFont="1" applyFill="1" applyBorder="1" applyAlignment="1">
      <alignment horizontal="center"/>
    </xf>
    <xf numFmtId="2" fontId="1" fillId="2" borderId="17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center"/>
    </xf>
    <xf numFmtId="1" fontId="2" fillId="0" borderId="20" xfId="0" applyNumberFormat="1" applyFont="1" applyBorder="1" applyAlignment="1">
      <alignment horizontal="center"/>
    </xf>
    <xf numFmtId="1" fontId="2" fillId="0" borderId="32" xfId="0" applyNumberFormat="1" applyFont="1" applyBorder="1" applyAlignment="1">
      <alignment horizontal="center"/>
    </xf>
    <xf numFmtId="1" fontId="2" fillId="0" borderId="33" xfId="0" applyNumberFormat="1" applyFont="1" applyBorder="1" applyAlignment="1">
      <alignment horizontal="center"/>
    </xf>
    <xf numFmtId="2" fontId="1" fillId="0" borderId="33" xfId="0" applyNumberFormat="1" applyFont="1" applyBorder="1" applyAlignment="1">
      <alignment horizontal="right"/>
    </xf>
    <xf numFmtId="14" fontId="2" fillId="0" borderId="9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945"/>
  <sheetViews>
    <sheetView workbookViewId="0">
      <pane ySplit="3" topLeftCell="A4" activePane="bottomLeft" state="frozen"/>
      <selection pane="bottomLeft" activeCell="K31" sqref="K31:L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14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/>
      <c r="C3" s="41"/>
      <c r="D3" s="42"/>
      <c r="E3" s="43"/>
      <c r="F3" s="43"/>
      <c r="G3" s="44"/>
      <c r="H3" s="45"/>
      <c r="I3" s="43"/>
      <c r="J3" s="44"/>
      <c r="K3" s="46"/>
      <c r="L3" s="44"/>
      <c r="M3" s="26"/>
      <c r="N3" s="20"/>
    </row>
    <row r="4" spans="1:16">
      <c r="A4" s="7" t="s">
        <v>15</v>
      </c>
      <c r="B4" s="8"/>
      <c r="C4" s="34">
        <v>2256</v>
      </c>
      <c r="D4" s="8"/>
      <c r="E4" s="35"/>
      <c r="F4" s="35"/>
      <c r="G4" s="34"/>
      <c r="H4" s="36"/>
      <c r="I4" s="35"/>
      <c r="J4" s="35"/>
      <c r="K4" s="37"/>
      <c r="L4" s="34"/>
      <c r="M4" s="23">
        <f t="shared" ref="M4:M31" si="0">SUM(B4:L4)</f>
        <v>2256</v>
      </c>
      <c r="P4" s="1"/>
    </row>
    <row r="5" spans="1:16">
      <c r="A5" s="9" t="s">
        <v>16</v>
      </c>
      <c r="B5" s="10"/>
      <c r="C5" s="11"/>
      <c r="D5" s="10"/>
      <c r="E5" s="32"/>
      <c r="F5" s="32"/>
      <c r="G5" s="33"/>
      <c r="H5" s="32">
        <v>1656</v>
      </c>
      <c r="I5" s="12"/>
      <c r="J5" s="12">
        <v>3168</v>
      </c>
      <c r="K5" s="10"/>
      <c r="L5" s="21"/>
      <c r="M5" s="24">
        <f t="shared" si="0"/>
        <v>4824</v>
      </c>
      <c r="P5" s="1"/>
    </row>
    <row r="6" spans="1:16">
      <c r="A6" s="9" t="s">
        <v>17</v>
      </c>
      <c r="B6" s="10"/>
      <c r="C6" s="11"/>
      <c r="D6" s="10">
        <v>4020</v>
      </c>
      <c r="E6" s="32"/>
      <c r="F6" s="32"/>
      <c r="G6" s="33"/>
      <c r="H6" s="32"/>
      <c r="I6" s="12"/>
      <c r="J6" s="12">
        <v>1512</v>
      </c>
      <c r="K6" s="10"/>
      <c r="L6" s="21">
        <v>384</v>
      </c>
      <c r="M6" s="24">
        <f t="shared" si="0"/>
        <v>5916</v>
      </c>
      <c r="P6" s="1"/>
    </row>
    <row r="7" spans="1:16">
      <c r="A7" s="9" t="s">
        <v>18</v>
      </c>
      <c r="B7" s="10"/>
      <c r="C7" s="11"/>
      <c r="D7" s="10">
        <v>3660</v>
      </c>
      <c r="E7" s="32">
        <v>408</v>
      </c>
      <c r="F7" s="32"/>
      <c r="G7" s="33"/>
      <c r="H7" s="32"/>
      <c r="I7" s="12"/>
      <c r="J7" s="12">
        <v>1800</v>
      </c>
      <c r="K7" s="10">
        <v>1068</v>
      </c>
      <c r="L7" s="21">
        <v>516</v>
      </c>
      <c r="M7" s="24">
        <f t="shared" si="0"/>
        <v>7452</v>
      </c>
      <c r="P7" s="1"/>
    </row>
    <row r="8" spans="1:16">
      <c r="A8" s="9" t="s">
        <v>19</v>
      </c>
      <c r="B8" s="10"/>
      <c r="C8" s="11"/>
      <c r="D8" s="10"/>
      <c r="E8" s="32">
        <v>144</v>
      </c>
      <c r="F8" s="32"/>
      <c r="G8" s="33"/>
      <c r="H8" s="32"/>
      <c r="I8" s="12"/>
      <c r="J8" s="12">
        <v>1464</v>
      </c>
      <c r="K8" s="10">
        <v>768</v>
      </c>
      <c r="L8" s="21"/>
      <c r="M8" s="24">
        <f t="shared" si="0"/>
        <v>2376</v>
      </c>
      <c r="P8" s="1"/>
    </row>
    <row r="9" spans="1:16">
      <c r="A9" s="9" t="s">
        <v>20</v>
      </c>
      <c r="B9" s="10"/>
      <c r="C9" s="11"/>
      <c r="D9" s="10"/>
      <c r="E9" s="32"/>
      <c r="F9" s="32"/>
      <c r="G9" s="33"/>
      <c r="H9" s="32">
        <v>2616</v>
      </c>
      <c r="I9" s="12"/>
      <c r="J9" s="12">
        <v>3528</v>
      </c>
      <c r="K9" s="10"/>
      <c r="L9" s="21"/>
      <c r="M9" s="24">
        <f t="shared" si="0"/>
        <v>6144</v>
      </c>
      <c r="P9" s="1"/>
    </row>
    <row r="10" spans="1:16">
      <c r="A10" s="9" t="s">
        <v>21</v>
      </c>
      <c r="B10" s="10"/>
      <c r="C10" s="13"/>
      <c r="D10" s="10">
        <v>1620</v>
      </c>
      <c r="E10" s="32"/>
      <c r="F10" s="32"/>
      <c r="G10" s="33"/>
      <c r="H10" s="32"/>
      <c r="I10" s="12">
        <v>624</v>
      </c>
      <c r="J10" s="12">
        <v>2352</v>
      </c>
      <c r="K10" s="10"/>
      <c r="L10" s="21"/>
      <c r="M10" s="24">
        <f t="shared" si="0"/>
        <v>4596</v>
      </c>
      <c r="P10" s="1"/>
    </row>
    <row r="11" spans="1:16">
      <c r="A11" s="9" t="s">
        <v>22</v>
      </c>
      <c r="B11" s="10"/>
      <c r="C11" s="11"/>
      <c r="D11" s="10">
        <v>240</v>
      </c>
      <c r="E11" s="32"/>
      <c r="F11" s="32">
        <v>242</v>
      </c>
      <c r="G11" s="33"/>
      <c r="H11" s="32"/>
      <c r="I11" s="12"/>
      <c r="J11" s="12">
        <v>3600</v>
      </c>
      <c r="K11" s="10"/>
      <c r="L11" s="21"/>
      <c r="M11" s="24">
        <f t="shared" si="0"/>
        <v>4082</v>
      </c>
      <c r="P11" s="1"/>
    </row>
    <row r="12" spans="1:16">
      <c r="A12" s="9" t="s">
        <v>23</v>
      </c>
      <c r="B12" s="10"/>
      <c r="C12" s="11"/>
      <c r="D12" s="10"/>
      <c r="E12" s="32"/>
      <c r="F12" s="32">
        <v>88</v>
      </c>
      <c r="G12" s="33"/>
      <c r="H12" s="32">
        <v>552</v>
      </c>
      <c r="I12" s="12">
        <v>216</v>
      </c>
      <c r="J12" s="12">
        <v>3480</v>
      </c>
      <c r="K12" s="10">
        <v>1092</v>
      </c>
      <c r="L12" s="21"/>
      <c r="M12" s="24">
        <f t="shared" si="0"/>
        <v>5428</v>
      </c>
      <c r="P12" s="1"/>
    </row>
    <row r="13" spans="1:16">
      <c r="A13" s="9" t="s">
        <v>24</v>
      </c>
      <c r="B13" s="10"/>
      <c r="C13" s="11"/>
      <c r="D13" s="10">
        <v>3540</v>
      </c>
      <c r="E13" s="32"/>
      <c r="F13" s="32">
        <v>550</v>
      </c>
      <c r="G13" s="33"/>
      <c r="H13" s="32"/>
      <c r="I13" s="12">
        <v>408</v>
      </c>
      <c r="J13" s="12">
        <v>3456</v>
      </c>
      <c r="K13" s="10"/>
      <c r="L13" s="21"/>
      <c r="M13" s="24">
        <f t="shared" si="0"/>
        <v>7954</v>
      </c>
      <c r="P13" s="1"/>
    </row>
    <row r="14" spans="1:16">
      <c r="A14" s="9" t="s">
        <v>25</v>
      </c>
      <c r="B14" s="10"/>
      <c r="C14" s="11"/>
      <c r="D14" s="10">
        <v>1800</v>
      </c>
      <c r="E14" s="32"/>
      <c r="F14" s="32"/>
      <c r="G14" s="33"/>
      <c r="H14" s="32"/>
      <c r="I14" s="12">
        <v>456</v>
      </c>
      <c r="J14" s="12">
        <v>3720</v>
      </c>
      <c r="K14" s="10"/>
      <c r="L14" s="21"/>
      <c r="M14" s="24">
        <f t="shared" si="0"/>
        <v>5976</v>
      </c>
      <c r="P14" s="1"/>
    </row>
    <row r="15" spans="1:16">
      <c r="A15" s="9" t="s">
        <v>26</v>
      </c>
      <c r="B15" s="10">
        <v>1008</v>
      </c>
      <c r="C15" s="11">
        <v>2112</v>
      </c>
      <c r="D15" s="10"/>
      <c r="E15" s="32"/>
      <c r="F15" s="32"/>
      <c r="G15" s="33"/>
      <c r="H15" s="32">
        <v>120</v>
      </c>
      <c r="I15" s="12">
        <v>168</v>
      </c>
      <c r="J15" s="12">
        <v>504</v>
      </c>
      <c r="K15" s="10"/>
      <c r="L15" s="21"/>
      <c r="M15" s="24">
        <f>SUM(B15:L15)</f>
        <v>3912</v>
      </c>
      <c r="P15" s="1"/>
    </row>
    <row r="16" spans="1:16">
      <c r="A16" s="9" t="s">
        <v>27</v>
      </c>
      <c r="B16" s="10"/>
      <c r="C16" s="11"/>
      <c r="D16" s="10">
        <v>5490</v>
      </c>
      <c r="E16" s="32"/>
      <c r="F16" s="32"/>
      <c r="G16" s="33"/>
      <c r="H16" s="32"/>
      <c r="I16" s="12"/>
      <c r="J16" s="12">
        <v>1488</v>
      </c>
      <c r="K16" s="10">
        <v>720</v>
      </c>
      <c r="L16" s="21"/>
      <c r="M16" s="24">
        <f>SUM(B16:L16)</f>
        <v>7698</v>
      </c>
      <c r="P16" s="1"/>
    </row>
    <row r="17" spans="1:16">
      <c r="A17" s="9" t="s">
        <v>28</v>
      </c>
      <c r="B17" s="10"/>
      <c r="C17" s="11"/>
      <c r="D17" s="10">
        <v>2280</v>
      </c>
      <c r="E17" s="32"/>
      <c r="F17" s="32"/>
      <c r="G17" s="33"/>
      <c r="H17" s="32"/>
      <c r="I17" s="12"/>
      <c r="J17" s="12">
        <v>3840</v>
      </c>
      <c r="K17" s="10">
        <v>912</v>
      </c>
      <c r="L17" s="21"/>
      <c r="M17" s="24">
        <f>SUM(B17:L17)</f>
        <v>7032</v>
      </c>
      <c r="P17" s="1"/>
    </row>
    <row r="18" spans="1:16">
      <c r="A18" s="9" t="s">
        <v>29</v>
      </c>
      <c r="B18" s="10"/>
      <c r="C18" s="11"/>
      <c r="D18" s="10"/>
      <c r="E18" s="32"/>
      <c r="F18" s="32"/>
      <c r="G18" s="33"/>
      <c r="H18" s="32">
        <v>480</v>
      </c>
      <c r="I18" s="12">
        <v>552</v>
      </c>
      <c r="J18" s="12">
        <v>3432</v>
      </c>
      <c r="K18" s="10"/>
      <c r="L18" s="21"/>
      <c r="M18" s="24">
        <f t="shared" si="0"/>
        <v>4464</v>
      </c>
      <c r="P18" s="1"/>
    </row>
    <row r="19" spans="1:16">
      <c r="A19" s="9" t="s">
        <v>30</v>
      </c>
      <c r="B19" s="10"/>
      <c r="C19" s="11"/>
      <c r="D19" s="10">
        <v>5100</v>
      </c>
      <c r="E19" s="32"/>
      <c r="F19" s="32"/>
      <c r="G19" s="33"/>
      <c r="H19" s="32">
        <v>288</v>
      </c>
      <c r="I19" s="12">
        <v>24</v>
      </c>
      <c r="J19" s="12">
        <v>336</v>
      </c>
      <c r="K19" s="10">
        <v>1200</v>
      </c>
      <c r="L19" s="21"/>
      <c r="M19" s="24">
        <f t="shared" si="0"/>
        <v>6948</v>
      </c>
      <c r="P19" s="1"/>
    </row>
    <row r="20" spans="1:16">
      <c r="A20" s="9" t="s">
        <v>31</v>
      </c>
      <c r="B20" s="10"/>
      <c r="C20" s="11"/>
      <c r="D20" s="10">
        <v>1290</v>
      </c>
      <c r="E20" s="32"/>
      <c r="F20" s="32"/>
      <c r="G20" s="33"/>
      <c r="H20" s="32">
        <v>768</v>
      </c>
      <c r="I20" s="12">
        <v>240</v>
      </c>
      <c r="J20" s="12">
        <v>3504</v>
      </c>
      <c r="K20" s="10"/>
      <c r="L20" s="21"/>
      <c r="M20" s="24">
        <f t="shared" si="0"/>
        <v>5802</v>
      </c>
      <c r="P20" s="1"/>
    </row>
    <row r="21" spans="1:16">
      <c r="A21" s="9" t="s">
        <v>32</v>
      </c>
      <c r="B21" s="10"/>
      <c r="C21" s="11"/>
      <c r="D21" s="10"/>
      <c r="E21" s="32"/>
      <c r="F21" s="32"/>
      <c r="G21" s="33"/>
      <c r="H21" s="32">
        <v>1272</v>
      </c>
      <c r="I21" s="12">
        <v>984</v>
      </c>
      <c r="J21" s="12">
        <v>3744</v>
      </c>
      <c r="K21" s="10"/>
      <c r="L21" s="21"/>
      <c r="M21" s="24">
        <f>SUM(B21:L21)</f>
        <v>6000</v>
      </c>
      <c r="P21" s="1"/>
    </row>
    <row r="22" spans="1:16">
      <c r="A22" s="9" t="s">
        <v>33</v>
      </c>
      <c r="B22" s="10"/>
      <c r="C22" s="11"/>
      <c r="D22" s="10"/>
      <c r="E22" s="32"/>
      <c r="F22" s="32"/>
      <c r="G22" s="33"/>
      <c r="H22" s="32"/>
      <c r="I22" s="12">
        <v>576</v>
      </c>
      <c r="J22" s="12">
        <v>3432</v>
      </c>
      <c r="K22" s="10"/>
      <c r="L22" s="21"/>
      <c r="M22" s="24">
        <f t="shared" si="0"/>
        <v>4008</v>
      </c>
      <c r="P22" s="1"/>
    </row>
    <row r="23" spans="1:16">
      <c r="A23" s="9" t="s">
        <v>34</v>
      </c>
      <c r="B23" s="10"/>
      <c r="C23" s="11"/>
      <c r="D23" s="10"/>
      <c r="E23" s="32"/>
      <c r="F23" s="32">
        <v>110</v>
      </c>
      <c r="G23" s="33"/>
      <c r="H23" s="32"/>
      <c r="I23" s="12"/>
      <c r="J23" s="12">
        <v>3864</v>
      </c>
      <c r="K23" s="10"/>
      <c r="L23" s="21"/>
      <c r="M23" s="24">
        <f t="shared" si="0"/>
        <v>3974</v>
      </c>
      <c r="P23" s="1"/>
    </row>
    <row r="24" spans="1:16">
      <c r="A24" s="9" t="s">
        <v>35</v>
      </c>
      <c r="B24" s="10"/>
      <c r="C24" s="11"/>
      <c r="D24" s="10">
        <v>630</v>
      </c>
      <c r="E24" s="32"/>
      <c r="F24" s="32">
        <v>264</v>
      </c>
      <c r="G24" s="33"/>
      <c r="H24" s="32">
        <v>840</v>
      </c>
      <c r="I24" s="12"/>
      <c r="J24" s="12"/>
      <c r="K24" s="10">
        <v>900</v>
      </c>
      <c r="L24" s="21"/>
      <c r="M24" s="24">
        <f t="shared" si="0"/>
        <v>2634</v>
      </c>
      <c r="P24" s="1"/>
    </row>
    <row r="25" spans="1:16">
      <c r="A25" s="9" t="s">
        <v>36</v>
      </c>
      <c r="B25" s="10"/>
      <c r="C25" s="11">
        <v>2952</v>
      </c>
      <c r="D25" s="10"/>
      <c r="E25" s="32"/>
      <c r="F25" s="32">
        <v>88</v>
      </c>
      <c r="G25" s="33"/>
      <c r="H25" s="32">
        <v>1608</v>
      </c>
      <c r="I25" s="12">
        <v>864</v>
      </c>
      <c r="J25" s="12">
        <v>240</v>
      </c>
      <c r="K25" s="10"/>
      <c r="L25" s="21"/>
      <c r="M25" s="24">
        <f>SUM(B25:L25)</f>
        <v>5752</v>
      </c>
      <c r="P25" s="1"/>
    </row>
    <row r="26" spans="1:16">
      <c r="A26" s="9" t="s">
        <v>37</v>
      </c>
      <c r="B26" s="10"/>
      <c r="C26" s="11">
        <v>336</v>
      </c>
      <c r="D26" s="10">
        <v>570</v>
      </c>
      <c r="E26" s="32"/>
      <c r="F26" s="32">
        <v>154</v>
      </c>
      <c r="G26" s="33"/>
      <c r="H26" s="32"/>
      <c r="I26" s="12"/>
      <c r="J26" s="12">
        <v>2064</v>
      </c>
      <c r="K26" s="10"/>
      <c r="L26" s="21"/>
      <c r="M26" s="24">
        <f t="shared" si="0"/>
        <v>3124</v>
      </c>
      <c r="P26" s="1"/>
    </row>
    <row r="27" spans="1:16">
      <c r="A27" s="9" t="s">
        <v>38</v>
      </c>
      <c r="B27" s="10"/>
      <c r="C27" s="11"/>
      <c r="D27" s="10">
        <v>3450</v>
      </c>
      <c r="E27" s="32"/>
      <c r="F27" s="32">
        <v>44</v>
      </c>
      <c r="G27" s="33"/>
      <c r="H27" s="32">
        <v>240</v>
      </c>
      <c r="I27" s="12">
        <v>216</v>
      </c>
      <c r="J27" s="12">
        <v>2856</v>
      </c>
      <c r="K27" s="10"/>
      <c r="L27" s="21"/>
      <c r="M27" s="24">
        <f t="shared" si="0"/>
        <v>6806</v>
      </c>
      <c r="P27" s="1"/>
    </row>
    <row r="28" spans="1:16">
      <c r="A28" s="9" t="s">
        <v>39</v>
      </c>
      <c r="B28" s="10"/>
      <c r="C28" s="11"/>
      <c r="D28" s="10">
        <v>2190</v>
      </c>
      <c r="E28" s="32"/>
      <c r="F28" s="32">
        <v>330</v>
      </c>
      <c r="G28" s="33"/>
      <c r="H28" s="32"/>
      <c r="I28" s="12"/>
      <c r="J28" s="12">
        <v>984</v>
      </c>
      <c r="K28" s="10"/>
      <c r="L28" s="21"/>
      <c r="M28" s="24">
        <f t="shared" si="0"/>
        <v>3504</v>
      </c>
      <c r="P28" s="1"/>
    </row>
    <row r="29" spans="1:16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10"/>
      <c r="L29" s="21"/>
      <c r="M29" s="24">
        <f t="shared" si="0"/>
        <v>0</v>
      </c>
      <c r="P29" s="1"/>
    </row>
    <row r="30" spans="1:16">
      <c r="A30" s="9"/>
      <c r="B30" s="10"/>
      <c r="C30" s="11"/>
      <c r="D30" s="10"/>
      <c r="E30" s="32"/>
      <c r="F30" s="32"/>
      <c r="G30" s="33"/>
      <c r="H30" s="32"/>
      <c r="I30" s="12"/>
      <c r="J30" s="12"/>
      <c r="K30" s="10"/>
      <c r="L30" s="21"/>
      <c r="M30" s="24">
        <f t="shared" si="0"/>
        <v>0</v>
      </c>
      <c r="P30" s="1"/>
    </row>
    <row r="31" spans="1:16" ht="15.75" thickBot="1">
      <c r="A31" s="9"/>
      <c r="B31" s="10"/>
      <c r="C31" s="11"/>
      <c r="D31" s="10"/>
      <c r="E31" s="32"/>
      <c r="F31" s="32"/>
      <c r="G31" s="33"/>
      <c r="H31" s="32"/>
      <c r="I31" s="12"/>
      <c r="J31" s="12"/>
      <c r="K31" s="29"/>
      <c r="L31" s="30"/>
      <c r="M31" s="24">
        <f t="shared" si="0"/>
        <v>0</v>
      </c>
      <c r="P31" s="1"/>
    </row>
    <row r="32" spans="1:16" ht="15.75" thickBot="1">
      <c r="A32" s="14" t="s">
        <v>11</v>
      </c>
      <c r="B32" s="15">
        <f t="shared" ref="B32:M32" si="1">SUM(B4:B31)</f>
        <v>1008</v>
      </c>
      <c r="C32" s="15">
        <f t="shared" si="1"/>
        <v>7656</v>
      </c>
      <c r="D32" s="15">
        <f t="shared" si="1"/>
        <v>35880</v>
      </c>
      <c r="E32" s="15">
        <f t="shared" si="1"/>
        <v>552</v>
      </c>
      <c r="F32" s="15">
        <f t="shared" si="1"/>
        <v>1870</v>
      </c>
      <c r="G32" s="47">
        <f t="shared" si="1"/>
        <v>0</v>
      </c>
      <c r="H32" s="48">
        <f t="shared" si="1"/>
        <v>10440</v>
      </c>
      <c r="I32" s="15">
        <f t="shared" si="1"/>
        <v>5328</v>
      </c>
      <c r="J32" s="15">
        <f t="shared" si="1"/>
        <v>58368</v>
      </c>
      <c r="K32" s="27">
        <f t="shared" si="1"/>
        <v>6660</v>
      </c>
      <c r="L32" s="28">
        <f t="shared" si="1"/>
        <v>900</v>
      </c>
      <c r="M32" s="22">
        <f t="shared" si="1"/>
        <v>128662</v>
      </c>
      <c r="P32" s="1"/>
    </row>
    <row r="33" spans="1:16" ht="15.75" thickBot="1">
      <c r="A33" s="16" t="s">
        <v>12</v>
      </c>
      <c r="B33" s="17">
        <f>B3+B32</f>
        <v>1008</v>
      </c>
      <c r="C33" s="17">
        <f t="shared" ref="C33:M33" si="2">C3+C32</f>
        <v>7656</v>
      </c>
      <c r="D33" s="17">
        <f t="shared" si="2"/>
        <v>35880</v>
      </c>
      <c r="E33" s="17">
        <f t="shared" si="2"/>
        <v>552</v>
      </c>
      <c r="F33" s="17">
        <f t="shared" si="2"/>
        <v>1870</v>
      </c>
      <c r="G33" s="17">
        <f t="shared" si="2"/>
        <v>0</v>
      </c>
      <c r="H33" s="17">
        <f t="shared" si="2"/>
        <v>10440</v>
      </c>
      <c r="I33" s="17">
        <f t="shared" si="2"/>
        <v>5328</v>
      </c>
      <c r="J33" s="17">
        <f t="shared" si="2"/>
        <v>58368</v>
      </c>
      <c r="K33" s="17">
        <f t="shared" si="2"/>
        <v>6660</v>
      </c>
      <c r="L33" s="17">
        <f t="shared" si="2"/>
        <v>900</v>
      </c>
      <c r="M33" s="16">
        <f t="shared" si="2"/>
        <v>128662</v>
      </c>
      <c r="P33" s="1"/>
    </row>
    <row r="34" spans="1:16">
      <c r="B34" s="18"/>
      <c r="C34" s="18"/>
      <c r="D34" s="18"/>
      <c r="E34" s="18"/>
      <c r="F34" s="18"/>
      <c r="G34" s="18"/>
      <c r="H34" s="18"/>
      <c r="I34" s="18"/>
      <c r="J34" s="25"/>
      <c r="K34" s="18"/>
      <c r="L34" s="18"/>
      <c r="M34" s="18"/>
      <c r="P34" s="1"/>
    </row>
    <row r="35" spans="1:16">
      <c r="F35" s="49"/>
      <c r="M35" s="31"/>
      <c r="P35" s="1"/>
    </row>
    <row r="36" spans="1:16">
      <c r="F36" s="31"/>
      <c r="M36" s="31"/>
      <c r="P36" s="1"/>
    </row>
    <row r="37" spans="1:16">
      <c r="F37" s="49"/>
      <c r="G37" s="49"/>
      <c r="M37" s="31"/>
      <c r="P37" s="1"/>
    </row>
    <row r="38" spans="1:16">
      <c r="F38" s="31"/>
      <c r="G38" s="49"/>
      <c r="M38" s="31"/>
      <c r="P38" s="1"/>
    </row>
    <row r="39" spans="1:16">
      <c r="P39" s="1"/>
    </row>
    <row r="40" spans="1:16">
      <c r="P40" s="1"/>
    </row>
    <row r="41" spans="1:16">
      <c r="P41" s="1"/>
    </row>
    <row r="42" spans="1:16">
      <c r="P42" s="1"/>
    </row>
    <row r="43" spans="1:16">
      <c r="P43" s="1"/>
    </row>
    <row r="44" spans="1:16">
      <c r="P44" s="1"/>
    </row>
    <row r="45" spans="1:16">
      <c r="P45" s="1"/>
    </row>
    <row r="46" spans="1:16">
      <c r="P46" s="1"/>
    </row>
    <row r="47" spans="1:16">
      <c r="P47" s="1"/>
    </row>
    <row r="48" spans="1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  <row r="1944" spans="16:16">
      <c r="P1944" s="1"/>
    </row>
    <row r="1945" spans="16:16">
      <c r="P1945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6" activePane="bottomLeft" state="frozen"/>
      <selection pane="bottomLeft" activeCell="A31" sqref="A31:M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40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1008</v>
      </c>
      <c r="C3" s="41">
        <v>7656</v>
      </c>
      <c r="D3" s="42">
        <v>35880</v>
      </c>
      <c r="E3" s="43">
        <v>552</v>
      </c>
      <c r="F3" s="43">
        <v>1870</v>
      </c>
      <c r="G3" s="44">
        <v>0</v>
      </c>
      <c r="H3" s="45">
        <v>10440</v>
      </c>
      <c r="I3" s="43">
        <v>5328</v>
      </c>
      <c r="J3" s="44">
        <v>58368</v>
      </c>
      <c r="K3" s="46">
        <v>6660</v>
      </c>
      <c r="L3" s="44">
        <v>900</v>
      </c>
      <c r="M3" s="26">
        <v>128662</v>
      </c>
      <c r="N3" s="20"/>
    </row>
    <row r="4" spans="1:16">
      <c r="A4" s="9" t="s">
        <v>41</v>
      </c>
      <c r="B4" s="10"/>
      <c r="C4" s="11"/>
      <c r="D4" s="10"/>
      <c r="E4" s="32"/>
      <c r="F4" s="32"/>
      <c r="G4" s="33"/>
      <c r="H4" s="32">
        <v>2112</v>
      </c>
      <c r="I4" s="12">
        <v>264</v>
      </c>
      <c r="J4" s="12"/>
      <c r="K4" s="10"/>
      <c r="L4" s="21"/>
      <c r="M4" s="24">
        <f t="shared" ref="M4:M28" si="0">SUM(B4:L4)</f>
        <v>2376</v>
      </c>
      <c r="P4" s="1"/>
    </row>
    <row r="5" spans="1:16">
      <c r="A5" s="9" t="s">
        <v>42</v>
      </c>
      <c r="B5" s="10"/>
      <c r="C5" s="11"/>
      <c r="D5" s="10">
        <v>1440</v>
      </c>
      <c r="E5" s="32"/>
      <c r="F5" s="32"/>
      <c r="G5" s="33"/>
      <c r="H5" s="32"/>
      <c r="I5" s="12">
        <v>552</v>
      </c>
      <c r="J5" s="12"/>
      <c r="K5" s="10">
        <v>1104</v>
      </c>
      <c r="L5" s="21"/>
      <c r="M5" s="24">
        <f t="shared" si="0"/>
        <v>3096</v>
      </c>
      <c r="P5" s="1"/>
    </row>
    <row r="6" spans="1:16">
      <c r="A6" s="9" t="s">
        <v>43</v>
      </c>
      <c r="B6" s="10"/>
      <c r="C6" s="11"/>
      <c r="D6" s="10">
        <v>1440</v>
      </c>
      <c r="E6" s="32"/>
      <c r="F6" s="32">
        <v>132</v>
      </c>
      <c r="G6" s="33"/>
      <c r="H6" s="32"/>
      <c r="I6" s="12">
        <v>1656</v>
      </c>
      <c r="J6" s="12"/>
      <c r="K6" s="10"/>
      <c r="L6" s="21"/>
      <c r="M6" s="24">
        <f t="shared" si="0"/>
        <v>3228</v>
      </c>
      <c r="P6" s="1"/>
    </row>
    <row r="7" spans="1:16">
      <c r="A7" s="9" t="s">
        <v>44</v>
      </c>
      <c r="B7" s="10"/>
      <c r="C7" s="13"/>
      <c r="D7" s="10">
        <v>3390</v>
      </c>
      <c r="E7" s="32"/>
      <c r="F7" s="32">
        <v>176</v>
      </c>
      <c r="G7" s="33"/>
      <c r="H7" s="32"/>
      <c r="I7" s="12"/>
      <c r="J7" s="12"/>
      <c r="K7" s="10"/>
      <c r="L7" s="21"/>
      <c r="M7" s="24">
        <f t="shared" si="0"/>
        <v>3566</v>
      </c>
      <c r="P7" s="1"/>
    </row>
    <row r="8" spans="1:16">
      <c r="A8" s="9" t="s">
        <v>45</v>
      </c>
      <c r="B8" s="10"/>
      <c r="C8" s="11"/>
      <c r="D8" s="10"/>
      <c r="E8" s="32"/>
      <c r="F8" s="32"/>
      <c r="G8" s="33"/>
      <c r="H8" s="32">
        <v>360</v>
      </c>
      <c r="I8" s="12">
        <v>24</v>
      </c>
      <c r="J8" s="12">
        <v>2328</v>
      </c>
      <c r="K8" s="10"/>
      <c r="L8" s="21"/>
      <c r="M8" s="24">
        <f t="shared" si="0"/>
        <v>2712</v>
      </c>
      <c r="P8" s="1"/>
    </row>
    <row r="9" spans="1:16">
      <c r="A9" s="9" t="s">
        <v>46</v>
      </c>
      <c r="B9" s="10"/>
      <c r="C9" s="11"/>
      <c r="D9" s="10"/>
      <c r="E9" s="32"/>
      <c r="F9" s="32">
        <v>264</v>
      </c>
      <c r="G9" s="33"/>
      <c r="H9" s="32"/>
      <c r="I9" s="12"/>
      <c r="J9" s="12">
        <v>3456</v>
      </c>
      <c r="K9" s="10"/>
      <c r="L9" s="21"/>
      <c r="M9" s="24">
        <f t="shared" si="0"/>
        <v>3720</v>
      </c>
      <c r="P9" s="1"/>
    </row>
    <row r="10" spans="1:16">
      <c r="A10" s="9" t="s">
        <v>47</v>
      </c>
      <c r="B10" s="10"/>
      <c r="C10" s="11"/>
      <c r="D10" s="10"/>
      <c r="E10" s="32"/>
      <c r="F10" s="32"/>
      <c r="G10" s="33">
        <v>176</v>
      </c>
      <c r="H10" s="32"/>
      <c r="I10" s="12"/>
      <c r="J10" s="12">
        <v>2568</v>
      </c>
      <c r="K10" s="10"/>
      <c r="L10" s="21"/>
      <c r="M10" s="24">
        <f t="shared" si="0"/>
        <v>2744</v>
      </c>
      <c r="P10" s="1"/>
    </row>
    <row r="11" spans="1:16">
      <c r="A11" s="9" t="s">
        <v>48</v>
      </c>
      <c r="B11" s="10"/>
      <c r="C11" s="11"/>
      <c r="D11" s="10"/>
      <c r="E11" s="32"/>
      <c r="F11" s="32"/>
      <c r="G11" s="33"/>
      <c r="H11" s="32"/>
      <c r="I11" s="12"/>
      <c r="J11" s="12">
        <v>3048</v>
      </c>
      <c r="K11" s="10">
        <v>960</v>
      </c>
      <c r="L11" s="21">
        <v>540</v>
      </c>
      <c r="M11" s="24">
        <f t="shared" si="0"/>
        <v>4548</v>
      </c>
      <c r="P11" s="1"/>
    </row>
    <row r="12" spans="1:16">
      <c r="A12" s="9" t="s">
        <v>49</v>
      </c>
      <c r="B12" s="10"/>
      <c r="C12" s="11"/>
      <c r="D12" s="10"/>
      <c r="E12" s="32"/>
      <c r="F12" s="32"/>
      <c r="G12" s="33"/>
      <c r="H12" s="32"/>
      <c r="I12" s="12"/>
      <c r="J12" s="12">
        <v>1560</v>
      </c>
      <c r="K12" s="10"/>
      <c r="L12" s="21">
        <v>1128</v>
      </c>
      <c r="M12" s="24">
        <f>SUM(B12:L12)</f>
        <v>2688</v>
      </c>
      <c r="P12" s="1"/>
    </row>
    <row r="13" spans="1:16">
      <c r="A13" s="9" t="s">
        <v>50</v>
      </c>
      <c r="B13" s="10"/>
      <c r="C13" s="11"/>
      <c r="D13" s="10"/>
      <c r="E13" s="32"/>
      <c r="F13" s="32"/>
      <c r="G13" s="33"/>
      <c r="H13" s="32">
        <v>624</v>
      </c>
      <c r="I13" s="12"/>
      <c r="J13" s="12"/>
      <c r="K13" s="10"/>
      <c r="L13" s="21">
        <v>588</v>
      </c>
      <c r="M13" s="24">
        <f>SUM(B13:L13)</f>
        <v>1212</v>
      </c>
      <c r="P13" s="1"/>
    </row>
    <row r="14" spans="1:16">
      <c r="A14" s="9" t="s">
        <v>51</v>
      </c>
      <c r="B14" s="10"/>
      <c r="C14" s="11"/>
      <c r="D14" s="10"/>
      <c r="E14" s="32"/>
      <c r="F14" s="32"/>
      <c r="G14" s="33">
        <v>44</v>
      </c>
      <c r="H14" s="32"/>
      <c r="I14" s="12"/>
      <c r="J14" s="12">
        <v>2424</v>
      </c>
      <c r="K14" s="10"/>
      <c r="L14" s="21">
        <v>876</v>
      </c>
      <c r="M14" s="24">
        <f>SUM(B14:L14)</f>
        <v>3344</v>
      </c>
      <c r="P14" s="1"/>
    </row>
    <row r="15" spans="1:16">
      <c r="A15" s="9" t="s">
        <v>54</v>
      </c>
      <c r="B15" s="10"/>
      <c r="C15" s="11"/>
      <c r="D15" s="10">
        <v>4260</v>
      </c>
      <c r="E15" s="32"/>
      <c r="F15" s="32"/>
      <c r="G15" s="33">
        <v>110</v>
      </c>
      <c r="H15" s="32"/>
      <c r="I15" s="12"/>
      <c r="J15" s="12">
        <v>3024</v>
      </c>
      <c r="K15" s="10"/>
      <c r="L15" s="21"/>
      <c r="M15" s="24">
        <f t="shared" si="0"/>
        <v>7394</v>
      </c>
      <c r="P15" s="1"/>
    </row>
    <row r="16" spans="1:16">
      <c r="A16" s="9" t="s">
        <v>53</v>
      </c>
      <c r="B16" s="10">
        <v>312</v>
      </c>
      <c r="C16" s="11">
        <v>1392</v>
      </c>
      <c r="D16" s="10">
        <v>2970</v>
      </c>
      <c r="E16" s="32"/>
      <c r="F16" s="32"/>
      <c r="G16" s="33"/>
      <c r="H16" s="32">
        <v>1104</v>
      </c>
      <c r="I16" s="12"/>
      <c r="J16" s="12">
        <v>1560</v>
      </c>
      <c r="K16" s="10"/>
      <c r="L16" s="21"/>
      <c r="M16" s="24">
        <f t="shared" si="0"/>
        <v>7338</v>
      </c>
      <c r="P16" s="1"/>
    </row>
    <row r="17" spans="1:16">
      <c r="A17" s="9" t="s">
        <v>52</v>
      </c>
      <c r="B17" s="10">
        <v>360</v>
      </c>
      <c r="C17" s="11">
        <v>888</v>
      </c>
      <c r="D17" s="10"/>
      <c r="E17" s="32"/>
      <c r="F17" s="32"/>
      <c r="G17" s="33"/>
      <c r="H17" s="32">
        <v>360</v>
      </c>
      <c r="I17" s="12"/>
      <c r="J17" s="12">
        <v>1968</v>
      </c>
      <c r="K17" s="10">
        <v>48</v>
      </c>
      <c r="L17" s="21"/>
      <c r="M17" s="24">
        <f t="shared" si="0"/>
        <v>3624</v>
      </c>
      <c r="P17" s="1"/>
    </row>
    <row r="18" spans="1:16">
      <c r="A18" s="50" t="s">
        <v>55</v>
      </c>
      <c r="B18" s="51"/>
      <c r="C18" s="52"/>
      <c r="D18" s="51"/>
      <c r="E18" s="53"/>
      <c r="F18" s="53"/>
      <c r="G18" s="54"/>
      <c r="H18" s="53"/>
      <c r="I18" s="55"/>
      <c r="J18" s="55">
        <v>1704</v>
      </c>
      <c r="K18" s="51"/>
      <c r="L18" s="56"/>
      <c r="M18" s="57">
        <f>SUM(B18:L18)</f>
        <v>1704</v>
      </c>
      <c r="P18" s="1"/>
    </row>
    <row r="19" spans="1:16">
      <c r="A19" s="50" t="s">
        <v>56</v>
      </c>
      <c r="B19" s="51"/>
      <c r="C19" s="52"/>
      <c r="D19" s="51">
        <v>1800</v>
      </c>
      <c r="E19" s="53"/>
      <c r="F19" s="53"/>
      <c r="G19" s="54"/>
      <c r="H19" s="53">
        <v>1728</v>
      </c>
      <c r="I19" s="55">
        <v>912</v>
      </c>
      <c r="J19" s="55">
        <v>1704</v>
      </c>
      <c r="K19" s="51"/>
      <c r="L19" s="56"/>
      <c r="M19" s="57">
        <f t="shared" si="0"/>
        <v>6144</v>
      </c>
      <c r="P19" s="1"/>
    </row>
    <row r="20" spans="1:16">
      <c r="A20" s="9" t="s">
        <v>57</v>
      </c>
      <c r="B20" s="10"/>
      <c r="C20" s="11"/>
      <c r="D20" s="10">
        <v>1200</v>
      </c>
      <c r="E20" s="32"/>
      <c r="F20" s="32"/>
      <c r="G20" s="33"/>
      <c r="H20" s="32">
        <v>1368</v>
      </c>
      <c r="I20" s="12">
        <v>312</v>
      </c>
      <c r="J20" s="12">
        <v>600</v>
      </c>
      <c r="K20" s="10"/>
      <c r="L20" s="21"/>
      <c r="M20" s="24">
        <f t="shared" si="0"/>
        <v>3480</v>
      </c>
      <c r="P20" s="1"/>
    </row>
    <row r="21" spans="1:16">
      <c r="A21" s="9" t="s">
        <v>58</v>
      </c>
      <c r="B21" s="10"/>
      <c r="C21" s="11"/>
      <c r="D21" s="10"/>
      <c r="E21" s="32"/>
      <c r="F21" s="32"/>
      <c r="G21" s="33"/>
      <c r="H21" s="32"/>
      <c r="I21" s="12"/>
      <c r="J21" s="12">
        <v>3288</v>
      </c>
      <c r="K21" s="10"/>
      <c r="L21" s="21"/>
      <c r="M21" s="24">
        <f t="shared" si="0"/>
        <v>3288</v>
      </c>
      <c r="P21" s="1"/>
    </row>
    <row r="22" spans="1:16">
      <c r="A22" s="9" t="s">
        <v>65</v>
      </c>
      <c r="B22" s="10"/>
      <c r="C22" s="11"/>
      <c r="D22" s="10"/>
      <c r="E22" s="32"/>
      <c r="F22" s="32"/>
      <c r="G22" s="33"/>
      <c r="H22" s="32"/>
      <c r="I22" s="12"/>
      <c r="J22" s="12">
        <v>2328</v>
      </c>
      <c r="K22" s="10">
        <v>300</v>
      </c>
      <c r="L22" s="21"/>
      <c r="M22" s="24">
        <f>SUM(B22:L22)</f>
        <v>2628</v>
      </c>
      <c r="P22" s="1"/>
    </row>
    <row r="23" spans="1:16">
      <c r="A23" s="9" t="s">
        <v>59</v>
      </c>
      <c r="B23" s="10"/>
      <c r="C23" s="11"/>
      <c r="D23" s="10"/>
      <c r="E23" s="32"/>
      <c r="F23" s="32"/>
      <c r="G23" s="33">
        <v>198</v>
      </c>
      <c r="H23" s="32"/>
      <c r="I23" s="12">
        <v>432</v>
      </c>
      <c r="J23" s="12">
        <v>1152</v>
      </c>
      <c r="K23" s="10">
        <v>1284</v>
      </c>
      <c r="L23" s="21"/>
      <c r="M23" s="24">
        <f t="shared" si="0"/>
        <v>3066</v>
      </c>
      <c r="P23" s="1"/>
    </row>
    <row r="24" spans="1:16">
      <c r="A24" s="9" t="s">
        <v>60</v>
      </c>
      <c r="B24" s="10"/>
      <c r="C24" s="11"/>
      <c r="D24" s="10"/>
      <c r="E24" s="32"/>
      <c r="F24" s="32"/>
      <c r="G24" s="33"/>
      <c r="H24" s="32">
        <v>1872</v>
      </c>
      <c r="I24" s="12">
        <v>816</v>
      </c>
      <c r="J24" s="12">
        <v>3144</v>
      </c>
      <c r="K24" s="10"/>
      <c r="L24" s="21"/>
      <c r="M24" s="24">
        <f t="shared" si="0"/>
        <v>5832</v>
      </c>
      <c r="P24" s="1"/>
    </row>
    <row r="25" spans="1:16">
      <c r="A25" s="9" t="s">
        <v>61</v>
      </c>
      <c r="B25" s="10">
        <v>360</v>
      </c>
      <c r="C25" s="11"/>
      <c r="D25" s="10"/>
      <c r="E25" s="32"/>
      <c r="F25" s="32">
        <v>110</v>
      </c>
      <c r="G25" s="33">
        <v>110</v>
      </c>
      <c r="H25" s="32">
        <v>48</v>
      </c>
      <c r="I25" s="12"/>
      <c r="J25" s="12">
        <v>1104</v>
      </c>
      <c r="K25" s="10"/>
      <c r="L25" s="21"/>
      <c r="M25" s="24">
        <f t="shared" si="0"/>
        <v>1732</v>
      </c>
      <c r="P25" s="1"/>
    </row>
    <row r="26" spans="1:16">
      <c r="A26" s="9" t="s">
        <v>62</v>
      </c>
      <c r="B26" s="10"/>
      <c r="C26" s="11"/>
      <c r="D26" s="10">
        <v>5370</v>
      </c>
      <c r="E26" s="32"/>
      <c r="F26" s="32">
        <v>242</v>
      </c>
      <c r="G26" s="33"/>
      <c r="H26" s="32"/>
      <c r="I26" s="12"/>
      <c r="J26" s="12"/>
      <c r="K26" s="10"/>
      <c r="L26" s="21"/>
      <c r="M26" s="24">
        <f t="shared" si="0"/>
        <v>5612</v>
      </c>
      <c r="P26" s="1"/>
    </row>
    <row r="27" spans="1:16">
      <c r="A27" s="9" t="s">
        <v>63</v>
      </c>
      <c r="B27" s="10"/>
      <c r="C27" s="11"/>
      <c r="D27" s="10">
        <v>780</v>
      </c>
      <c r="E27" s="32"/>
      <c r="F27" s="32"/>
      <c r="G27" s="33"/>
      <c r="H27" s="32"/>
      <c r="I27" s="12"/>
      <c r="J27" s="12"/>
      <c r="K27" s="10"/>
      <c r="L27" s="21">
        <v>1236</v>
      </c>
      <c r="M27" s="24">
        <f t="shared" si="0"/>
        <v>2016</v>
      </c>
      <c r="P27" s="1"/>
    </row>
    <row r="28" spans="1:16">
      <c r="A28" s="9" t="s">
        <v>64</v>
      </c>
      <c r="B28" s="10"/>
      <c r="C28" s="11">
        <v>1032</v>
      </c>
      <c r="D28" s="10"/>
      <c r="E28" s="32"/>
      <c r="F28" s="32">
        <v>242</v>
      </c>
      <c r="G28" s="33"/>
      <c r="H28" s="32"/>
      <c r="I28" s="12"/>
      <c r="J28" s="12">
        <v>1032</v>
      </c>
      <c r="K28" s="10">
        <v>864</v>
      </c>
      <c r="L28" s="21">
        <v>564</v>
      </c>
      <c r="M28" s="24">
        <f t="shared" si="0"/>
        <v>3734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62"/>
      <c r="P29" s="1"/>
    </row>
    <row r="30" spans="1:16" ht="15.75" thickBot="1">
      <c r="A30" s="14" t="s">
        <v>11</v>
      </c>
      <c r="B30" s="15">
        <f t="shared" ref="B30:M30" si="1">SUM(B4:B28)</f>
        <v>1032</v>
      </c>
      <c r="C30" s="15">
        <f t="shared" si="1"/>
        <v>3312</v>
      </c>
      <c r="D30" s="15">
        <f t="shared" si="1"/>
        <v>22650</v>
      </c>
      <c r="E30" s="15">
        <f t="shared" si="1"/>
        <v>0</v>
      </c>
      <c r="F30" s="15">
        <f t="shared" si="1"/>
        <v>1166</v>
      </c>
      <c r="G30" s="47">
        <f t="shared" si="1"/>
        <v>638</v>
      </c>
      <c r="H30" s="48">
        <f t="shared" si="1"/>
        <v>9576</v>
      </c>
      <c r="I30" s="15">
        <f t="shared" si="1"/>
        <v>4968</v>
      </c>
      <c r="J30" s="15">
        <f t="shared" si="1"/>
        <v>37992</v>
      </c>
      <c r="K30" s="27">
        <f t="shared" si="1"/>
        <v>4560</v>
      </c>
      <c r="L30" s="28">
        <f t="shared" si="1"/>
        <v>4932</v>
      </c>
      <c r="M30" s="22">
        <f t="shared" si="1"/>
        <v>90826</v>
      </c>
      <c r="P30" s="1"/>
    </row>
    <row r="31" spans="1:16" ht="15.75" thickBot="1">
      <c r="A31" s="16" t="s">
        <v>12</v>
      </c>
      <c r="B31" s="17">
        <f t="shared" ref="B31:M31" si="2">B3+B30</f>
        <v>2040</v>
      </c>
      <c r="C31" s="17">
        <f t="shared" si="2"/>
        <v>10968</v>
      </c>
      <c r="D31" s="17">
        <f t="shared" si="2"/>
        <v>58530</v>
      </c>
      <c r="E31" s="17">
        <f t="shared" si="2"/>
        <v>552</v>
      </c>
      <c r="F31" s="17">
        <f t="shared" si="2"/>
        <v>3036</v>
      </c>
      <c r="G31" s="17">
        <f t="shared" si="2"/>
        <v>638</v>
      </c>
      <c r="H31" s="17">
        <f t="shared" si="2"/>
        <v>20016</v>
      </c>
      <c r="I31" s="17">
        <f t="shared" si="2"/>
        <v>10296</v>
      </c>
      <c r="J31" s="17">
        <f t="shared" si="2"/>
        <v>96360</v>
      </c>
      <c r="K31" s="17">
        <f t="shared" si="2"/>
        <v>11220</v>
      </c>
      <c r="L31" s="17">
        <f t="shared" si="2"/>
        <v>5832</v>
      </c>
      <c r="M31" s="16">
        <f t="shared" si="2"/>
        <v>219488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4" activePane="bottomLeft" state="frozen"/>
      <selection pane="bottomLeft" activeCell="P20" sqref="P20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67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2040</v>
      </c>
      <c r="C3" s="41">
        <v>10968</v>
      </c>
      <c r="D3" s="42">
        <v>58530</v>
      </c>
      <c r="E3" s="43">
        <v>552</v>
      </c>
      <c r="F3" s="43">
        <v>3036</v>
      </c>
      <c r="G3" s="44">
        <v>638</v>
      </c>
      <c r="H3" s="45">
        <v>20016</v>
      </c>
      <c r="I3" s="43">
        <v>10296</v>
      </c>
      <c r="J3" s="44">
        <v>96360</v>
      </c>
      <c r="K3" s="46">
        <v>11220</v>
      </c>
      <c r="L3" s="44">
        <v>5832</v>
      </c>
      <c r="M3" s="26">
        <v>219488</v>
      </c>
      <c r="N3" s="20"/>
    </row>
    <row r="4" spans="1:16">
      <c r="A4" s="9" t="s">
        <v>66</v>
      </c>
      <c r="B4" s="10"/>
      <c r="C4" s="11">
        <v>1224</v>
      </c>
      <c r="D4" s="10"/>
      <c r="E4" s="32"/>
      <c r="F4" s="32"/>
      <c r="G4" s="33"/>
      <c r="H4" s="32">
        <v>720</v>
      </c>
      <c r="I4" s="12"/>
      <c r="J4" s="12">
        <v>912</v>
      </c>
      <c r="K4" s="10">
        <v>1020</v>
      </c>
      <c r="L4" s="21"/>
      <c r="M4" s="24">
        <f t="shared" ref="M4:M29" si="0">SUM(B4:L4)</f>
        <v>3876</v>
      </c>
      <c r="P4" s="1"/>
    </row>
    <row r="5" spans="1:16">
      <c r="A5" s="9" t="s">
        <v>68</v>
      </c>
      <c r="B5" s="10"/>
      <c r="C5" s="11"/>
      <c r="D5" s="10"/>
      <c r="E5" s="32">
        <v>288</v>
      </c>
      <c r="F5" s="32"/>
      <c r="G5" s="33"/>
      <c r="H5" s="32"/>
      <c r="I5" s="12"/>
      <c r="J5" s="12">
        <v>2184</v>
      </c>
      <c r="K5" s="10"/>
      <c r="L5" s="21"/>
      <c r="M5" s="24">
        <f t="shared" si="0"/>
        <v>2472</v>
      </c>
      <c r="P5" s="1"/>
    </row>
    <row r="6" spans="1:16">
      <c r="A6" s="9" t="s">
        <v>69</v>
      </c>
      <c r="B6" s="51"/>
      <c r="C6" s="52"/>
      <c r="D6" s="51"/>
      <c r="E6" s="53">
        <v>264</v>
      </c>
      <c r="F6" s="53"/>
      <c r="G6" s="54"/>
      <c r="H6" s="53"/>
      <c r="I6" s="55"/>
      <c r="J6" s="55">
        <v>3096</v>
      </c>
      <c r="K6" s="51"/>
      <c r="L6" s="56"/>
      <c r="M6" s="24">
        <f t="shared" si="0"/>
        <v>3360</v>
      </c>
      <c r="P6" s="1"/>
    </row>
    <row r="7" spans="1:16">
      <c r="A7" s="9" t="s">
        <v>70</v>
      </c>
      <c r="B7" s="10"/>
      <c r="C7" s="13"/>
      <c r="D7" s="10">
        <v>4410</v>
      </c>
      <c r="E7" s="32"/>
      <c r="F7" s="32"/>
      <c r="G7" s="33"/>
      <c r="H7" s="32"/>
      <c r="I7" s="12"/>
      <c r="J7" s="12"/>
      <c r="K7" s="10"/>
      <c r="L7" s="21"/>
      <c r="M7" s="24">
        <f t="shared" si="0"/>
        <v>4410</v>
      </c>
      <c r="P7" s="1"/>
    </row>
    <row r="8" spans="1:16">
      <c r="A8" s="9" t="s">
        <v>71</v>
      </c>
      <c r="B8" s="10"/>
      <c r="C8" s="11"/>
      <c r="D8" s="10"/>
      <c r="E8" s="32"/>
      <c r="F8" s="32"/>
      <c r="G8" s="33"/>
      <c r="H8" s="32">
        <v>696</v>
      </c>
      <c r="I8" s="12"/>
      <c r="J8" s="12"/>
      <c r="K8" s="10">
        <v>1728</v>
      </c>
      <c r="L8" s="21"/>
      <c r="M8" s="24">
        <f t="shared" si="0"/>
        <v>2424</v>
      </c>
      <c r="P8" s="1"/>
    </row>
    <row r="9" spans="1:16">
      <c r="A9" s="9" t="s">
        <v>72</v>
      </c>
      <c r="B9" s="10"/>
      <c r="C9" s="11"/>
      <c r="D9" s="10"/>
      <c r="E9" s="32"/>
      <c r="F9" s="32"/>
      <c r="G9" s="33"/>
      <c r="H9" s="32"/>
      <c r="I9" s="12"/>
      <c r="J9" s="12">
        <v>3168</v>
      </c>
      <c r="K9" s="10">
        <v>1068</v>
      </c>
      <c r="L9" s="21"/>
      <c r="M9" s="24">
        <f t="shared" si="0"/>
        <v>4236</v>
      </c>
      <c r="P9" s="1"/>
    </row>
    <row r="10" spans="1:16">
      <c r="A10" s="9" t="s">
        <v>74</v>
      </c>
      <c r="B10" s="10"/>
      <c r="C10" s="11"/>
      <c r="D10" s="10">
        <v>2640</v>
      </c>
      <c r="E10" s="32"/>
      <c r="F10" s="32"/>
      <c r="G10" s="33"/>
      <c r="H10" s="32">
        <v>312</v>
      </c>
      <c r="I10" s="12">
        <v>384</v>
      </c>
      <c r="J10" s="12">
        <v>744</v>
      </c>
      <c r="K10" s="10"/>
      <c r="L10" s="21"/>
      <c r="M10" s="24">
        <f t="shared" si="0"/>
        <v>4080</v>
      </c>
      <c r="P10" s="1"/>
    </row>
    <row r="11" spans="1:16">
      <c r="A11" s="9" t="s">
        <v>75</v>
      </c>
      <c r="B11" s="10"/>
      <c r="C11" s="11"/>
      <c r="D11" s="10"/>
      <c r="E11" s="32"/>
      <c r="F11" s="32"/>
      <c r="G11" s="33"/>
      <c r="H11" s="32">
        <v>2208</v>
      </c>
      <c r="I11" s="12">
        <v>120</v>
      </c>
      <c r="J11" s="12"/>
      <c r="K11" s="10">
        <v>48</v>
      </c>
      <c r="L11" s="21"/>
      <c r="M11" s="24">
        <f t="shared" si="0"/>
        <v>2376</v>
      </c>
      <c r="P11" s="1"/>
    </row>
    <row r="12" spans="1:16">
      <c r="A12" s="9" t="s">
        <v>76</v>
      </c>
      <c r="B12" s="10"/>
      <c r="C12" s="11"/>
      <c r="D12" s="10"/>
      <c r="E12" s="32"/>
      <c r="F12" s="32"/>
      <c r="G12" s="33"/>
      <c r="H12" s="32">
        <v>360</v>
      </c>
      <c r="I12" s="12">
        <v>456</v>
      </c>
      <c r="J12" s="12">
        <v>3456</v>
      </c>
      <c r="K12" s="10"/>
      <c r="L12" s="21"/>
      <c r="M12" s="24">
        <f>SUM(B12:L12)</f>
        <v>4272</v>
      </c>
      <c r="P12" s="1"/>
    </row>
    <row r="13" spans="1:16">
      <c r="A13" s="9" t="s">
        <v>77</v>
      </c>
      <c r="B13" s="10"/>
      <c r="C13" s="11"/>
      <c r="D13" s="10"/>
      <c r="E13" s="32"/>
      <c r="F13" s="32"/>
      <c r="G13" s="33"/>
      <c r="H13" s="32"/>
      <c r="I13" s="12"/>
      <c r="J13" s="12">
        <v>3552</v>
      </c>
      <c r="K13" s="10">
        <v>1080</v>
      </c>
      <c r="L13" s="21"/>
      <c r="M13" s="24">
        <f>SUM(B13:L13)</f>
        <v>4632</v>
      </c>
      <c r="P13" s="1"/>
    </row>
    <row r="14" spans="1:16">
      <c r="A14" s="9" t="s">
        <v>78</v>
      </c>
      <c r="B14" s="10"/>
      <c r="C14" s="11"/>
      <c r="D14" s="10">
        <v>1800</v>
      </c>
      <c r="E14" s="32"/>
      <c r="F14" s="32"/>
      <c r="G14" s="33"/>
      <c r="H14" s="32"/>
      <c r="I14" s="12"/>
      <c r="J14" s="12">
        <v>1368</v>
      </c>
      <c r="K14" s="10">
        <v>984</v>
      </c>
      <c r="L14" s="21">
        <v>612</v>
      </c>
      <c r="M14" s="24">
        <f>SUM(B14:L14)</f>
        <v>4764</v>
      </c>
      <c r="P14" s="1"/>
    </row>
    <row r="15" spans="1:16">
      <c r="A15" s="9" t="s">
        <v>79</v>
      </c>
      <c r="B15" s="10"/>
      <c r="C15" s="11"/>
      <c r="D15" s="10">
        <v>870</v>
      </c>
      <c r="E15" s="32"/>
      <c r="F15" s="32"/>
      <c r="G15" s="33"/>
      <c r="H15" s="32"/>
      <c r="I15" s="12"/>
      <c r="J15" s="12"/>
      <c r="K15" s="10">
        <v>1788</v>
      </c>
      <c r="L15" s="21"/>
      <c r="M15" s="24">
        <f t="shared" si="0"/>
        <v>2658</v>
      </c>
      <c r="P15" s="1"/>
    </row>
    <row r="16" spans="1:16">
      <c r="A16" s="9" t="s">
        <v>80</v>
      </c>
      <c r="B16" s="10"/>
      <c r="C16" s="11"/>
      <c r="D16" s="10">
        <v>780</v>
      </c>
      <c r="E16" s="32"/>
      <c r="F16" s="32">
        <v>22</v>
      </c>
      <c r="G16" s="33"/>
      <c r="H16" s="32"/>
      <c r="I16" s="12">
        <v>528</v>
      </c>
      <c r="J16" s="12"/>
      <c r="K16" s="10"/>
      <c r="L16" s="21"/>
      <c r="M16" s="24">
        <f t="shared" si="0"/>
        <v>1330</v>
      </c>
      <c r="P16" s="1"/>
    </row>
    <row r="17" spans="1:16">
      <c r="A17" s="9" t="s">
        <v>81</v>
      </c>
      <c r="B17" s="10"/>
      <c r="C17" s="11"/>
      <c r="D17" s="10">
        <v>4230</v>
      </c>
      <c r="E17" s="32"/>
      <c r="F17" s="32"/>
      <c r="G17" s="33"/>
      <c r="H17" s="32"/>
      <c r="I17" s="12">
        <v>528</v>
      </c>
      <c r="J17" s="12">
        <v>984</v>
      </c>
      <c r="K17" s="10"/>
      <c r="L17" s="21"/>
      <c r="M17" s="24">
        <f t="shared" si="0"/>
        <v>5742</v>
      </c>
      <c r="P17" s="1"/>
    </row>
    <row r="18" spans="1:16">
      <c r="A18" s="50" t="s">
        <v>82</v>
      </c>
      <c r="B18" s="51"/>
      <c r="C18" s="52"/>
      <c r="D18" s="51"/>
      <c r="E18" s="53"/>
      <c r="F18" s="53"/>
      <c r="G18" s="54"/>
      <c r="H18" s="53"/>
      <c r="I18" s="55"/>
      <c r="J18" s="55">
        <v>3648</v>
      </c>
      <c r="K18" s="51"/>
      <c r="L18" s="56"/>
      <c r="M18" s="57">
        <f>SUM(B18:L18)</f>
        <v>3648</v>
      </c>
      <c r="P18" s="1"/>
    </row>
    <row r="19" spans="1:16">
      <c r="A19" s="50" t="s">
        <v>83</v>
      </c>
      <c r="B19" s="51"/>
      <c r="C19" s="52"/>
      <c r="D19" s="51">
        <v>3270</v>
      </c>
      <c r="E19" s="53"/>
      <c r="F19" s="53"/>
      <c r="G19" s="54"/>
      <c r="H19" s="53"/>
      <c r="I19" s="55"/>
      <c r="J19" s="55"/>
      <c r="K19" s="51"/>
      <c r="L19" s="56"/>
      <c r="M19" s="57">
        <f t="shared" si="0"/>
        <v>3270</v>
      </c>
      <c r="P19" s="1"/>
    </row>
    <row r="20" spans="1:16">
      <c r="A20" s="9" t="s">
        <v>84</v>
      </c>
      <c r="B20" s="10"/>
      <c r="C20" s="11">
        <v>288</v>
      </c>
      <c r="D20" s="10"/>
      <c r="E20" s="32"/>
      <c r="F20" s="32">
        <v>484</v>
      </c>
      <c r="G20" s="33"/>
      <c r="H20" s="32"/>
      <c r="I20" s="12"/>
      <c r="J20" s="12">
        <v>1536</v>
      </c>
      <c r="K20" s="10"/>
      <c r="L20" s="21"/>
      <c r="M20" s="24">
        <f t="shared" si="0"/>
        <v>2308</v>
      </c>
      <c r="P20" s="1"/>
    </row>
    <row r="21" spans="1:16">
      <c r="A21" s="9" t="s">
        <v>85</v>
      </c>
      <c r="B21" s="10">
        <v>552</v>
      </c>
      <c r="C21" s="11">
        <v>1872</v>
      </c>
      <c r="D21" s="10">
        <v>30</v>
      </c>
      <c r="E21" s="32"/>
      <c r="F21" s="32"/>
      <c r="G21" s="33"/>
      <c r="H21" s="32">
        <v>288</v>
      </c>
      <c r="I21" s="12">
        <v>552</v>
      </c>
      <c r="J21" s="12">
        <v>1296</v>
      </c>
      <c r="K21" s="10">
        <v>432</v>
      </c>
      <c r="L21" s="21"/>
      <c r="M21" s="24">
        <f t="shared" si="0"/>
        <v>5022</v>
      </c>
      <c r="P21" s="1"/>
    </row>
    <row r="22" spans="1:16">
      <c r="A22" s="9" t="s">
        <v>86</v>
      </c>
      <c r="B22" s="10"/>
      <c r="C22" s="11"/>
      <c r="D22" s="10">
        <v>1080</v>
      </c>
      <c r="E22" s="32"/>
      <c r="F22" s="32"/>
      <c r="G22" s="33"/>
      <c r="H22" s="32">
        <v>1104</v>
      </c>
      <c r="I22" s="12">
        <v>360</v>
      </c>
      <c r="J22" s="12"/>
      <c r="K22" s="10"/>
      <c r="L22" s="21"/>
      <c r="M22" s="24">
        <f>SUM(B22:L22)</f>
        <v>2544</v>
      </c>
      <c r="P22" s="1"/>
    </row>
    <row r="23" spans="1:16">
      <c r="A23" s="9" t="s">
        <v>87</v>
      </c>
      <c r="B23" s="10"/>
      <c r="C23" s="11"/>
      <c r="D23" s="10"/>
      <c r="E23" s="32"/>
      <c r="F23" s="32"/>
      <c r="G23" s="33"/>
      <c r="H23" s="32">
        <v>2304</v>
      </c>
      <c r="I23" s="12">
        <v>816</v>
      </c>
      <c r="J23" s="12">
        <v>3264</v>
      </c>
      <c r="K23" s="10"/>
      <c r="L23" s="21"/>
      <c r="M23" s="24">
        <f t="shared" si="0"/>
        <v>6384</v>
      </c>
      <c r="P23" s="1"/>
    </row>
    <row r="24" spans="1:16">
      <c r="A24" s="9" t="s">
        <v>88</v>
      </c>
      <c r="B24" s="10"/>
      <c r="C24" s="11"/>
      <c r="D24" s="10"/>
      <c r="E24" s="32"/>
      <c r="F24" s="32">
        <v>176</v>
      </c>
      <c r="G24" s="33"/>
      <c r="H24" s="32">
        <v>168</v>
      </c>
      <c r="I24" s="12">
        <v>720</v>
      </c>
      <c r="J24" s="12">
        <v>3048</v>
      </c>
      <c r="K24" s="10">
        <v>756</v>
      </c>
      <c r="L24" s="21"/>
      <c r="M24" s="24">
        <f t="shared" si="0"/>
        <v>4868</v>
      </c>
      <c r="P24" s="1"/>
    </row>
    <row r="25" spans="1:16">
      <c r="A25" s="9" t="s">
        <v>89</v>
      </c>
      <c r="B25" s="10">
        <v>24</v>
      </c>
      <c r="C25" s="11"/>
      <c r="D25" s="10">
        <v>1710</v>
      </c>
      <c r="E25" s="32"/>
      <c r="F25" s="32">
        <v>352</v>
      </c>
      <c r="G25" s="33"/>
      <c r="H25" s="32">
        <v>888</v>
      </c>
      <c r="I25" s="12">
        <v>144</v>
      </c>
      <c r="J25" s="12">
        <v>3552</v>
      </c>
      <c r="K25" s="10">
        <v>24</v>
      </c>
      <c r="L25" s="21"/>
      <c r="M25" s="24">
        <f t="shared" si="0"/>
        <v>6694</v>
      </c>
      <c r="P25" s="1"/>
    </row>
    <row r="26" spans="1:16">
      <c r="A26" s="9" t="s">
        <v>90</v>
      </c>
      <c r="B26" s="10"/>
      <c r="C26" s="11"/>
      <c r="D26" s="10">
        <v>3270</v>
      </c>
      <c r="E26" s="32"/>
      <c r="F26" s="32"/>
      <c r="G26" s="33"/>
      <c r="H26" s="32"/>
      <c r="I26" s="12"/>
      <c r="J26" s="12">
        <v>2760</v>
      </c>
      <c r="K26" s="10"/>
      <c r="L26" s="21"/>
      <c r="M26" s="24">
        <f t="shared" si="0"/>
        <v>6030</v>
      </c>
      <c r="P26" s="1"/>
    </row>
    <row r="27" spans="1:16">
      <c r="A27" s="9" t="s">
        <v>91</v>
      </c>
      <c r="B27" s="10"/>
      <c r="C27" s="11"/>
      <c r="D27" s="10">
        <v>5310</v>
      </c>
      <c r="E27" s="32"/>
      <c r="F27" s="32">
        <v>242</v>
      </c>
      <c r="G27" s="33"/>
      <c r="H27" s="32">
        <v>552</v>
      </c>
      <c r="I27" s="12">
        <v>336</v>
      </c>
      <c r="J27" s="12"/>
      <c r="K27" s="10">
        <v>1296</v>
      </c>
      <c r="L27" s="21"/>
      <c r="M27" s="24">
        <f t="shared" si="0"/>
        <v>7736</v>
      </c>
      <c r="P27" s="1"/>
    </row>
    <row r="28" spans="1:16">
      <c r="A28" s="9" t="s">
        <v>92</v>
      </c>
      <c r="B28" s="10"/>
      <c r="C28" s="11">
        <v>1080</v>
      </c>
      <c r="D28" s="10">
        <v>60</v>
      </c>
      <c r="E28" s="32"/>
      <c r="F28" s="32">
        <v>176</v>
      </c>
      <c r="G28" s="33"/>
      <c r="H28" s="32">
        <v>432</v>
      </c>
      <c r="I28" s="12"/>
      <c r="J28" s="12">
        <v>1128</v>
      </c>
      <c r="K28" s="10">
        <v>708</v>
      </c>
      <c r="L28" s="21"/>
      <c r="M28" s="24">
        <f t="shared" si="0"/>
        <v>3584</v>
      </c>
      <c r="P28" s="1"/>
    </row>
    <row r="29" spans="1:16" ht="15.75" thickBot="1">
      <c r="A29" s="58" t="s">
        <v>93</v>
      </c>
      <c r="B29" s="59"/>
      <c r="C29" s="13"/>
      <c r="D29" s="59">
        <v>1590</v>
      </c>
      <c r="E29" s="60"/>
      <c r="F29" s="60"/>
      <c r="G29" s="61"/>
      <c r="H29" s="60">
        <v>624</v>
      </c>
      <c r="I29" s="60"/>
      <c r="J29" s="60">
        <v>1872</v>
      </c>
      <c r="K29" s="29">
        <v>12</v>
      </c>
      <c r="L29" s="30"/>
      <c r="M29" s="24">
        <f t="shared" si="0"/>
        <v>4098</v>
      </c>
      <c r="P29" s="1"/>
    </row>
    <row r="30" spans="1:16" ht="15.75" thickBot="1">
      <c r="A30" s="14" t="s">
        <v>11</v>
      </c>
      <c r="B30" s="15">
        <f t="shared" ref="B30:M30" si="1">SUM(B4:B29)</f>
        <v>576</v>
      </c>
      <c r="C30" s="15">
        <f t="shared" si="1"/>
        <v>4464</v>
      </c>
      <c r="D30" s="15">
        <f t="shared" si="1"/>
        <v>31050</v>
      </c>
      <c r="E30" s="15">
        <f t="shared" si="1"/>
        <v>552</v>
      </c>
      <c r="F30" s="15">
        <f t="shared" si="1"/>
        <v>1452</v>
      </c>
      <c r="G30" s="15">
        <f t="shared" si="1"/>
        <v>0</v>
      </c>
      <c r="H30" s="15">
        <f t="shared" si="1"/>
        <v>10656</v>
      </c>
      <c r="I30" s="15">
        <f t="shared" si="1"/>
        <v>4944</v>
      </c>
      <c r="J30" s="15">
        <f t="shared" si="1"/>
        <v>41568</v>
      </c>
      <c r="K30" s="15">
        <f t="shared" si="1"/>
        <v>10944</v>
      </c>
      <c r="L30" s="15">
        <f t="shared" si="1"/>
        <v>612</v>
      </c>
      <c r="M30" s="22">
        <f t="shared" si="1"/>
        <v>106818</v>
      </c>
      <c r="P30" s="1"/>
    </row>
    <row r="31" spans="1:16" ht="15.75" thickBot="1">
      <c r="A31" s="16" t="s">
        <v>12</v>
      </c>
      <c r="B31" s="17">
        <f t="shared" ref="B31:M31" si="2">B3+B30</f>
        <v>2616</v>
      </c>
      <c r="C31" s="17">
        <f t="shared" si="2"/>
        <v>15432</v>
      </c>
      <c r="D31" s="17">
        <f t="shared" si="2"/>
        <v>89580</v>
      </c>
      <c r="E31" s="17">
        <f t="shared" si="2"/>
        <v>1104</v>
      </c>
      <c r="F31" s="17">
        <f t="shared" si="2"/>
        <v>4488</v>
      </c>
      <c r="G31" s="17">
        <f t="shared" si="2"/>
        <v>638</v>
      </c>
      <c r="H31" s="17">
        <f t="shared" si="2"/>
        <v>30672</v>
      </c>
      <c r="I31" s="17">
        <f t="shared" si="2"/>
        <v>15240</v>
      </c>
      <c r="J31" s="17">
        <f t="shared" si="2"/>
        <v>137928</v>
      </c>
      <c r="K31" s="17">
        <f t="shared" si="2"/>
        <v>22164</v>
      </c>
      <c r="L31" s="17">
        <f t="shared" si="2"/>
        <v>6444</v>
      </c>
      <c r="M31" s="16">
        <f t="shared" si="2"/>
        <v>326306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honeticPr fontId="5" type="noConversion"/>
  <pageMargins left="0.75" right="0.16" top="0.75" bottom="0.75" header="0.3" footer="0.3"/>
  <pageSetup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4" activePane="bottomLeft" state="frozen"/>
      <selection pane="bottomLeft" activeCell="A4" sqref="A4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67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2616</v>
      </c>
      <c r="C3" s="44">
        <v>15432</v>
      </c>
      <c r="D3" s="42">
        <v>89580</v>
      </c>
      <c r="E3" s="43">
        <v>1104</v>
      </c>
      <c r="F3" s="43">
        <v>4488</v>
      </c>
      <c r="G3" s="44">
        <v>638</v>
      </c>
      <c r="H3" s="45">
        <v>30672</v>
      </c>
      <c r="I3" s="43">
        <v>15240</v>
      </c>
      <c r="J3" s="44">
        <v>137928</v>
      </c>
      <c r="K3" s="46">
        <v>22164</v>
      </c>
      <c r="L3" s="44">
        <v>6444</v>
      </c>
      <c r="M3" s="26">
        <v>326306</v>
      </c>
      <c r="N3" s="20"/>
    </row>
    <row r="4" spans="1:16">
      <c r="A4" s="9" t="s">
        <v>94</v>
      </c>
      <c r="B4" s="10"/>
      <c r="C4" s="11"/>
      <c r="D4" s="10"/>
      <c r="E4" s="32"/>
      <c r="F4" s="32"/>
      <c r="G4" s="33"/>
      <c r="H4" s="32">
        <v>720</v>
      </c>
      <c r="I4" s="12">
        <v>696</v>
      </c>
      <c r="J4" s="12">
        <v>768</v>
      </c>
      <c r="K4" s="10">
        <v>408</v>
      </c>
      <c r="L4" s="21"/>
      <c r="M4" s="24">
        <f t="shared" ref="M4:M29" si="0">SUM(B4:L4)</f>
        <v>2592</v>
      </c>
      <c r="P4" s="1"/>
    </row>
    <row r="5" spans="1:16">
      <c r="A5" s="9" t="s">
        <v>95</v>
      </c>
      <c r="B5" s="10"/>
      <c r="C5" s="11"/>
      <c r="D5" s="10"/>
      <c r="E5" s="32"/>
      <c r="F5" s="32"/>
      <c r="G5" s="33"/>
      <c r="H5" s="32"/>
      <c r="I5" s="12"/>
      <c r="J5" s="12">
        <v>3384</v>
      </c>
      <c r="K5" s="10"/>
      <c r="L5" s="21"/>
      <c r="M5" s="24">
        <f t="shared" si="0"/>
        <v>3384</v>
      </c>
      <c r="P5" s="1"/>
    </row>
    <row r="6" spans="1:16">
      <c r="A6" s="9" t="s">
        <v>96</v>
      </c>
      <c r="B6" s="51"/>
      <c r="C6" s="52"/>
      <c r="D6" s="51"/>
      <c r="E6" s="53"/>
      <c r="F6" s="53"/>
      <c r="G6" s="54"/>
      <c r="H6" s="53">
        <v>624</v>
      </c>
      <c r="I6" s="55">
        <v>312</v>
      </c>
      <c r="J6" s="55">
        <v>3192</v>
      </c>
      <c r="K6" s="51"/>
      <c r="L6" s="56"/>
      <c r="M6" s="24">
        <f t="shared" si="0"/>
        <v>4128</v>
      </c>
      <c r="P6" s="1"/>
    </row>
    <row r="7" spans="1:16">
      <c r="A7" s="9" t="s">
        <v>97</v>
      </c>
      <c r="B7" s="10"/>
      <c r="C7" s="13"/>
      <c r="D7" s="10"/>
      <c r="E7" s="32">
        <v>48</v>
      </c>
      <c r="F7" s="32">
        <v>198</v>
      </c>
      <c r="G7" s="33"/>
      <c r="H7" s="32"/>
      <c r="I7" s="12"/>
      <c r="J7" s="12">
        <v>3072</v>
      </c>
      <c r="K7" s="10"/>
      <c r="L7" s="21"/>
      <c r="M7" s="24">
        <f t="shared" si="0"/>
        <v>3318</v>
      </c>
      <c r="P7" s="1"/>
    </row>
    <row r="8" spans="1:16">
      <c r="A8" s="9" t="s">
        <v>98</v>
      </c>
      <c r="B8" s="10"/>
      <c r="C8" s="11"/>
      <c r="D8" s="10">
        <v>3120</v>
      </c>
      <c r="E8" s="32">
        <v>696</v>
      </c>
      <c r="F8" s="32">
        <v>308</v>
      </c>
      <c r="G8" s="33"/>
      <c r="H8" s="32">
        <v>24</v>
      </c>
      <c r="I8" s="12"/>
      <c r="J8" s="12"/>
      <c r="K8" s="10">
        <v>1464</v>
      </c>
      <c r="L8" s="21"/>
      <c r="M8" s="24">
        <f t="shared" si="0"/>
        <v>5612</v>
      </c>
      <c r="P8" s="1"/>
    </row>
    <row r="9" spans="1:16">
      <c r="A9" s="9" t="s">
        <v>99</v>
      </c>
      <c r="B9" s="10"/>
      <c r="C9" s="11"/>
      <c r="D9" s="10">
        <v>2400</v>
      </c>
      <c r="E9" s="32"/>
      <c r="F9" s="32"/>
      <c r="G9" s="33"/>
      <c r="H9" s="32"/>
      <c r="I9" s="12"/>
      <c r="J9" s="12"/>
      <c r="K9" s="10"/>
      <c r="L9" s="21"/>
      <c r="M9" s="24">
        <f t="shared" si="0"/>
        <v>2400</v>
      </c>
      <c r="P9" s="1"/>
    </row>
    <row r="10" spans="1:16">
      <c r="A10" s="9" t="s">
        <v>100</v>
      </c>
      <c r="B10" s="10"/>
      <c r="C10" s="11"/>
      <c r="D10" s="10">
        <v>2100</v>
      </c>
      <c r="E10" s="32"/>
      <c r="F10" s="32">
        <v>110</v>
      </c>
      <c r="G10" s="33"/>
      <c r="H10" s="32">
        <v>888</v>
      </c>
      <c r="I10" s="12">
        <v>456</v>
      </c>
      <c r="J10" s="12">
        <v>984</v>
      </c>
      <c r="K10" s="10">
        <v>600</v>
      </c>
      <c r="L10" s="21"/>
      <c r="M10" s="24">
        <f t="shared" si="0"/>
        <v>5138</v>
      </c>
      <c r="P10" s="1"/>
    </row>
    <row r="11" spans="1:16">
      <c r="A11" s="9" t="s">
        <v>101</v>
      </c>
      <c r="B11" s="10"/>
      <c r="C11" s="11"/>
      <c r="D11" s="10">
        <v>4050</v>
      </c>
      <c r="E11" s="32"/>
      <c r="F11" s="32">
        <v>88</v>
      </c>
      <c r="G11" s="33">
        <v>132</v>
      </c>
      <c r="H11" s="32"/>
      <c r="I11" s="12"/>
      <c r="J11" s="12">
        <v>2688</v>
      </c>
      <c r="K11" s="10"/>
      <c r="L11" s="21"/>
      <c r="M11" s="24">
        <f t="shared" si="0"/>
        <v>6958</v>
      </c>
      <c r="P11" s="1"/>
    </row>
    <row r="12" spans="1:16">
      <c r="A12" s="9" t="s">
        <v>102</v>
      </c>
      <c r="B12" s="10"/>
      <c r="C12" s="11"/>
      <c r="D12" s="10"/>
      <c r="E12" s="32"/>
      <c r="F12" s="32"/>
      <c r="G12" s="33">
        <v>176</v>
      </c>
      <c r="H12" s="32">
        <v>1056</v>
      </c>
      <c r="I12" s="12">
        <v>432</v>
      </c>
      <c r="J12" s="12">
        <v>192</v>
      </c>
      <c r="K12" s="10">
        <v>1704</v>
      </c>
      <c r="L12" s="21"/>
      <c r="M12" s="24">
        <f>SUM(B12:L12)</f>
        <v>3560</v>
      </c>
      <c r="P12" s="1"/>
    </row>
    <row r="13" spans="1:16">
      <c r="A13" s="9" t="s">
        <v>103</v>
      </c>
      <c r="B13" s="10"/>
      <c r="C13" s="11"/>
      <c r="D13" s="10">
        <v>4320</v>
      </c>
      <c r="E13" s="32"/>
      <c r="F13" s="32">
        <v>154</v>
      </c>
      <c r="G13" s="33"/>
      <c r="H13" s="32"/>
      <c r="I13" s="12"/>
      <c r="J13" s="12">
        <v>1224</v>
      </c>
      <c r="K13" s="10">
        <v>864</v>
      </c>
      <c r="L13" s="21"/>
      <c r="M13" s="24">
        <f>SUM(B13:L13)</f>
        <v>6562</v>
      </c>
      <c r="P13" s="1"/>
    </row>
    <row r="14" spans="1:16">
      <c r="A14" s="9" t="s">
        <v>104</v>
      </c>
      <c r="B14" s="10"/>
      <c r="C14" s="11"/>
      <c r="D14" s="10">
        <v>660</v>
      </c>
      <c r="E14" s="32"/>
      <c r="F14" s="32">
        <v>44</v>
      </c>
      <c r="G14" s="33"/>
      <c r="H14" s="32"/>
      <c r="I14" s="12"/>
      <c r="J14" s="12">
        <v>3096</v>
      </c>
      <c r="K14" s="10"/>
      <c r="L14" s="21"/>
      <c r="M14" s="24">
        <f>SUM(B14:L14)</f>
        <v>3800</v>
      </c>
      <c r="P14" s="1"/>
    </row>
    <row r="15" spans="1:16">
      <c r="A15" s="9" t="s">
        <v>105</v>
      </c>
      <c r="B15" s="10"/>
      <c r="C15" s="11"/>
      <c r="D15" s="10">
        <v>5280</v>
      </c>
      <c r="E15" s="32"/>
      <c r="F15" s="32"/>
      <c r="G15" s="33"/>
      <c r="H15" s="32"/>
      <c r="I15" s="12"/>
      <c r="J15" s="12">
        <v>120</v>
      </c>
      <c r="K15" s="10"/>
      <c r="L15" s="21"/>
      <c r="M15" s="24">
        <f t="shared" si="0"/>
        <v>5400</v>
      </c>
      <c r="P15" s="1"/>
    </row>
    <row r="16" spans="1:16">
      <c r="A16" s="9" t="s">
        <v>106</v>
      </c>
      <c r="B16" s="10">
        <v>192</v>
      </c>
      <c r="C16" s="11">
        <v>1080</v>
      </c>
      <c r="D16" s="10">
        <v>2670</v>
      </c>
      <c r="E16" s="32"/>
      <c r="F16" s="32">
        <v>308</v>
      </c>
      <c r="G16" s="33"/>
      <c r="H16" s="32">
        <v>216</v>
      </c>
      <c r="I16" s="12">
        <v>600</v>
      </c>
      <c r="J16" s="12">
        <v>2784</v>
      </c>
      <c r="K16" s="10"/>
      <c r="L16" s="21"/>
      <c r="M16" s="24">
        <f t="shared" si="0"/>
        <v>7850</v>
      </c>
      <c r="P16" s="1"/>
    </row>
    <row r="17" spans="1:16">
      <c r="A17" s="9" t="s">
        <v>107</v>
      </c>
      <c r="B17" s="10"/>
      <c r="C17" s="11"/>
      <c r="D17" s="10">
        <v>2970</v>
      </c>
      <c r="E17" s="32"/>
      <c r="F17" s="32"/>
      <c r="G17" s="33"/>
      <c r="H17" s="32">
        <v>1704</v>
      </c>
      <c r="I17" s="12">
        <v>888</v>
      </c>
      <c r="J17" s="12">
        <v>288</v>
      </c>
      <c r="K17" s="10">
        <v>72</v>
      </c>
      <c r="L17" s="21"/>
      <c r="M17" s="24">
        <f t="shared" si="0"/>
        <v>5922</v>
      </c>
      <c r="P17" s="1"/>
    </row>
    <row r="18" spans="1:16">
      <c r="A18" s="9" t="s">
        <v>108</v>
      </c>
      <c r="B18" s="51"/>
      <c r="C18" s="52"/>
      <c r="D18" s="51">
        <v>1260</v>
      </c>
      <c r="E18" s="53"/>
      <c r="F18" s="53"/>
      <c r="G18" s="54"/>
      <c r="H18" s="53"/>
      <c r="I18" s="55"/>
      <c r="J18" s="55"/>
      <c r="K18" s="51">
        <v>504</v>
      </c>
      <c r="L18" s="56"/>
      <c r="M18" s="57">
        <f>SUM(B18:L18)</f>
        <v>1764</v>
      </c>
      <c r="P18" s="1"/>
    </row>
    <row r="19" spans="1:16">
      <c r="A19" s="9" t="s">
        <v>109</v>
      </c>
      <c r="B19" s="51"/>
      <c r="C19" s="52"/>
      <c r="D19" s="51"/>
      <c r="E19" s="53"/>
      <c r="F19" s="53">
        <v>308</v>
      </c>
      <c r="G19" s="54"/>
      <c r="H19" s="53"/>
      <c r="I19" s="55"/>
      <c r="J19" s="55">
        <v>4152</v>
      </c>
      <c r="K19" s="51"/>
      <c r="L19" s="56"/>
      <c r="M19" s="57">
        <f t="shared" si="0"/>
        <v>4460</v>
      </c>
      <c r="P19" s="1"/>
    </row>
    <row r="20" spans="1:16">
      <c r="A20" s="9" t="s">
        <v>110</v>
      </c>
      <c r="B20" s="10"/>
      <c r="C20" s="11"/>
      <c r="D20" s="10">
        <v>1920</v>
      </c>
      <c r="E20" s="32"/>
      <c r="F20" s="32">
        <v>110</v>
      </c>
      <c r="G20" s="33"/>
      <c r="H20" s="32">
        <v>504</v>
      </c>
      <c r="I20" s="12">
        <v>384</v>
      </c>
      <c r="J20" s="12">
        <v>5184</v>
      </c>
      <c r="K20" s="10">
        <v>1176</v>
      </c>
      <c r="L20" s="21"/>
      <c r="M20" s="24">
        <f t="shared" si="0"/>
        <v>9278</v>
      </c>
      <c r="P20" s="1"/>
    </row>
    <row r="21" spans="1:16">
      <c r="A21" s="9" t="s">
        <v>111</v>
      </c>
      <c r="B21" s="10">
        <v>240</v>
      </c>
      <c r="C21" s="11">
        <v>816</v>
      </c>
      <c r="D21" s="10">
        <v>3630</v>
      </c>
      <c r="E21" s="32"/>
      <c r="F21" s="32"/>
      <c r="G21" s="33"/>
      <c r="H21" s="32"/>
      <c r="I21" s="12"/>
      <c r="J21" s="12">
        <v>1080</v>
      </c>
      <c r="K21" s="10">
        <v>1296</v>
      </c>
      <c r="L21" s="21"/>
      <c r="M21" s="24">
        <f t="shared" si="0"/>
        <v>7062</v>
      </c>
      <c r="P21" s="1"/>
    </row>
    <row r="22" spans="1:16">
      <c r="A22" s="9" t="s">
        <v>112</v>
      </c>
      <c r="B22" s="10">
        <v>552</v>
      </c>
      <c r="C22" s="11"/>
      <c r="D22" s="10">
        <v>1920</v>
      </c>
      <c r="E22" s="32"/>
      <c r="F22" s="32">
        <v>154</v>
      </c>
      <c r="G22" s="33"/>
      <c r="H22" s="32">
        <v>552</v>
      </c>
      <c r="I22" s="12">
        <v>216</v>
      </c>
      <c r="J22" s="12"/>
      <c r="K22" s="10"/>
      <c r="L22" s="21">
        <v>12</v>
      </c>
      <c r="M22" s="24">
        <f>SUM(B22:L22)</f>
        <v>3406</v>
      </c>
      <c r="P22" s="1"/>
    </row>
    <row r="23" spans="1:16">
      <c r="A23" s="9" t="s">
        <v>113</v>
      </c>
      <c r="B23" s="10">
        <v>24</v>
      </c>
      <c r="C23" s="11"/>
      <c r="D23" s="10">
        <v>3450</v>
      </c>
      <c r="E23" s="32"/>
      <c r="F23" s="32">
        <v>374</v>
      </c>
      <c r="G23" s="33"/>
      <c r="H23" s="32"/>
      <c r="I23" s="12"/>
      <c r="J23" s="12"/>
      <c r="K23" s="10"/>
      <c r="L23" s="21"/>
      <c r="M23" s="24">
        <f t="shared" si="0"/>
        <v>3848</v>
      </c>
      <c r="P23" s="1"/>
    </row>
    <row r="24" spans="1:16">
      <c r="A24" s="9" t="s">
        <v>114</v>
      </c>
      <c r="B24" s="10"/>
      <c r="C24" s="11">
        <v>2016</v>
      </c>
      <c r="D24" s="10"/>
      <c r="E24" s="32"/>
      <c r="F24" s="32"/>
      <c r="G24" s="33"/>
      <c r="H24" s="32"/>
      <c r="I24" s="12">
        <v>528</v>
      </c>
      <c r="J24" s="12">
        <v>1776</v>
      </c>
      <c r="K24" s="10"/>
      <c r="L24" s="21"/>
      <c r="M24" s="24">
        <f t="shared" si="0"/>
        <v>4320</v>
      </c>
      <c r="P24" s="1"/>
    </row>
    <row r="25" spans="1:16">
      <c r="A25" s="9" t="s">
        <v>115</v>
      </c>
      <c r="B25" s="10"/>
      <c r="C25" s="11"/>
      <c r="D25" s="10">
        <v>450</v>
      </c>
      <c r="E25" s="32"/>
      <c r="F25" s="32"/>
      <c r="G25" s="33"/>
      <c r="H25" s="32">
        <v>1104</v>
      </c>
      <c r="I25" s="12">
        <v>504</v>
      </c>
      <c r="J25" s="12">
        <v>2496</v>
      </c>
      <c r="K25" s="10">
        <v>1428</v>
      </c>
      <c r="L25" s="21"/>
      <c r="M25" s="24">
        <f t="shared" si="0"/>
        <v>5982</v>
      </c>
      <c r="P25" s="1"/>
    </row>
    <row r="26" spans="1:16">
      <c r="A26" s="9" t="s">
        <v>116</v>
      </c>
      <c r="B26" s="10"/>
      <c r="C26" s="11"/>
      <c r="D26" s="10"/>
      <c r="E26" s="32"/>
      <c r="F26" s="32"/>
      <c r="G26" s="33"/>
      <c r="H26" s="32"/>
      <c r="I26" s="12"/>
      <c r="J26" s="12">
        <v>4416</v>
      </c>
      <c r="K26" s="10"/>
      <c r="L26" s="21"/>
      <c r="M26" s="24">
        <f t="shared" si="0"/>
        <v>4416</v>
      </c>
      <c r="P26" s="1"/>
    </row>
    <row r="27" spans="1:16">
      <c r="A27" s="9" t="s">
        <v>117</v>
      </c>
      <c r="B27" s="10"/>
      <c r="C27" s="11"/>
      <c r="D27" s="10">
        <v>1680</v>
      </c>
      <c r="E27" s="32"/>
      <c r="F27" s="32"/>
      <c r="G27" s="33"/>
      <c r="H27" s="32">
        <v>528</v>
      </c>
      <c r="I27" s="12">
        <v>528</v>
      </c>
      <c r="J27" s="12">
        <v>2496</v>
      </c>
      <c r="K27" s="10"/>
      <c r="L27" s="21"/>
      <c r="M27" s="24">
        <f t="shared" si="0"/>
        <v>5232</v>
      </c>
      <c r="P27" s="1"/>
    </row>
    <row r="28" spans="1:16">
      <c r="A28" s="9" t="s">
        <v>118</v>
      </c>
      <c r="B28" s="10"/>
      <c r="C28" s="11"/>
      <c r="D28" s="10"/>
      <c r="E28" s="32"/>
      <c r="F28" s="32"/>
      <c r="G28" s="33"/>
      <c r="H28" s="32">
        <v>720</v>
      </c>
      <c r="I28" s="12">
        <v>48</v>
      </c>
      <c r="J28" s="12">
        <v>5088</v>
      </c>
      <c r="K28" s="10">
        <v>924</v>
      </c>
      <c r="L28" s="21"/>
      <c r="M28" s="24">
        <f t="shared" si="0"/>
        <v>6780</v>
      </c>
      <c r="P28" s="1"/>
    </row>
    <row r="29" spans="1:16" ht="15.75" thickBot="1">
      <c r="A29" s="58" t="s">
        <v>119</v>
      </c>
      <c r="B29" s="59"/>
      <c r="C29" s="13">
        <v>24</v>
      </c>
      <c r="D29" s="59"/>
      <c r="E29" s="60"/>
      <c r="F29" s="60"/>
      <c r="G29" s="61"/>
      <c r="H29" s="60">
        <v>840</v>
      </c>
      <c r="I29" s="60">
        <v>1104</v>
      </c>
      <c r="J29" s="60">
        <v>3696</v>
      </c>
      <c r="K29" s="29">
        <v>156</v>
      </c>
      <c r="L29" s="30"/>
      <c r="M29" s="24">
        <f t="shared" si="0"/>
        <v>5820</v>
      </c>
      <c r="P29" s="1"/>
    </row>
    <row r="30" spans="1:16" ht="15.75" thickBot="1">
      <c r="A30" s="14" t="s">
        <v>11</v>
      </c>
      <c r="B30" s="15">
        <f t="shared" ref="B30:M30" si="1">SUM(B4:B29)</f>
        <v>1008</v>
      </c>
      <c r="C30" s="15">
        <f t="shared" si="1"/>
        <v>3936</v>
      </c>
      <c r="D30" s="15">
        <f t="shared" si="1"/>
        <v>41880</v>
      </c>
      <c r="E30" s="15">
        <f t="shared" si="1"/>
        <v>744</v>
      </c>
      <c r="F30" s="15">
        <f t="shared" si="1"/>
        <v>2156</v>
      </c>
      <c r="G30" s="15">
        <f t="shared" si="1"/>
        <v>308</v>
      </c>
      <c r="H30" s="15">
        <f t="shared" si="1"/>
        <v>9480</v>
      </c>
      <c r="I30" s="15">
        <f t="shared" si="1"/>
        <v>6696</v>
      </c>
      <c r="J30" s="15">
        <f t="shared" si="1"/>
        <v>52176</v>
      </c>
      <c r="K30" s="15">
        <f t="shared" si="1"/>
        <v>10596</v>
      </c>
      <c r="L30" s="15">
        <f t="shared" si="1"/>
        <v>12</v>
      </c>
      <c r="M30" s="22">
        <f t="shared" si="1"/>
        <v>128992</v>
      </c>
      <c r="P30" s="1"/>
    </row>
    <row r="31" spans="1:16" ht="15.75" thickBot="1">
      <c r="A31" s="16" t="s">
        <v>12</v>
      </c>
      <c r="B31" s="17">
        <f t="shared" ref="B31:M31" si="2">B3+B30</f>
        <v>3624</v>
      </c>
      <c r="C31" s="17">
        <f t="shared" si="2"/>
        <v>19368</v>
      </c>
      <c r="D31" s="17">
        <f t="shared" si="2"/>
        <v>131460</v>
      </c>
      <c r="E31" s="17">
        <f t="shared" si="2"/>
        <v>1848</v>
      </c>
      <c r="F31" s="17">
        <f t="shared" si="2"/>
        <v>6644</v>
      </c>
      <c r="G31" s="17">
        <f t="shared" si="2"/>
        <v>946</v>
      </c>
      <c r="H31" s="17">
        <f t="shared" si="2"/>
        <v>40152</v>
      </c>
      <c r="I31" s="17">
        <f t="shared" si="2"/>
        <v>21936</v>
      </c>
      <c r="J31" s="17">
        <f t="shared" si="2"/>
        <v>190104</v>
      </c>
      <c r="K31" s="17">
        <f t="shared" si="2"/>
        <v>32760</v>
      </c>
      <c r="L31" s="17">
        <f t="shared" si="2"/>
        <v>6456</v>
      </c>
      <c r="M31" s="16">
        <f t="shared" si="2"/>
        <v>455298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K33">
        <f>K31*2</f>
        <v>65520</v>
      </c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7" activePane="bottomLeft" state="frozen"/>
      <selection pane="bottomLeft" activeCell="M23" sqref="M23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126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3624</v>
      </c>
      <c r="C3" s="44">
        <v>19368</v>
      </c>
      <c r="D3" s="42">
        <v>131460</v>
      </c>
      <c r="E3" s="43">
        <v>1848</v>
      </c>
      <c r="F3" s="43">
        <v>6644</v>
      </c>
      <c r="G3" s="44">
        <v>946</v>
      </c>
      <c r="H3" s="45">
        <v>40152</v>
      </c>
      <c r="I3" s="43">
        <v>21936</v>
      </c>
      <c r="J3" s="44">
        <v>190104</v>
      </c>
      <c r="K3" s="46">
        <v>32760</v>
      </c>
      <c r="L3" s="44">
        <v>6456</v>
      </c>
      <c r="M3" s="26">
        <f>SUM(B3:L3)</f>
        <v>455298</v>
      </c>
      <c r="N3" s="20"/>
    </row>
    <row r="4" spans="1:16">
      <c r="A4" s="63" t="s">
        <v>120</v>
      </c>
      <c r="B4" s="10">
        <v>24</v>
      </c>
      <c r="C4" s="11"/>
      <c r="D4" s="10">
        <v>1080</v>
      </c>
      <c r="E4" s="32"/>
      <c r="F4" s="32"/>
      <c r="G4" s="33"/>
      <c r="H4" s="32">
        <v>336</v>
      </c>
      <c r="I4" s="12">
        <v>768</v>
      </c>
      <c r="J4" s="12"/>
      <c r="K4" s="10"/>
      <c r="L4" s="21"/>
      <c r="M4" s="24">
        <f t="shared" ref="M4:M29" si="0">SUM(B4:L4)</f>
        <v>2208</v>
      </c>
      <c r="P4" s="1"/>
    </row>
    <row r="5" spans="1:16">
      <c r="A5" s="9" t="s">
        <v>121</v>
      </c>
      <c r="B5" s="10"/>
      <c r="C5" s="11"/>
      <c r="D5" s="10"/>
      <c r="E5" s="32"/>
      <c r="F5" s="32"/>
      <c r="G5" s="33"/>
      <c r="H5" s="32"/>
      <c r="I5" s="12"/>
      <c r="J5" s="12">
        <v>2160</v>
      </c>
      <c r="K5" s="10"/>
      <c r="L5" s="21"/>
      <c r="M5" s="24">
        <f t="shared" si="0"/>
        <v>2160</v>
      </c>
      <c r="P5" s="1"/>
    </row>
    <row r="6" spans="1:16">
      <c r="A6" s="9" t="s">
        <v>122</v>
      </c>
      <c r="B6" s="51"/>
      <c r="C6" s="52">
        <v>1800</v>
      </c>
      <c r="D6" s="51"/>
      <c r="E6" s="53"/>
      <c r="F6" s="53">
        <v>264</v>
      </c>
      <c r="G6" s="54"/>
      <c r="H6" s="53"/>
      <c r="I6" s="55"/>
      <c r="J6" s="55">
        <v>1344</v>
      </c>
      <c r="K6" s="51">
        <v>540</v>
      </c>
      <c r="L6" s="56"/>
      <c r="M6" s="24">
        <f t="shared" si="0"/>
        <v>3948</v>
      </c>
      <c r="P6" s="1"/>
    </row>
    <row r="7" spans="1:16">
      <c r="A7" s="9" t="s">
        <v>123</v>
      </c>
      <c r="B7" s="10"/>
      <c r="C7" s="13"/>
      <c r="D7" s="10"/>
      <c r="E7" s="32"/>
      <c r="F7" s="32">
        <v>176</v>
      </c>
      <c r="G7" s="33"/>
      <c r="H7" s="32"/>
      <c r="I7" s="12"/>
      <c r="J7" s="12">
        <v>3168</v>
      </c>
      <c r="K7" s="10">
        <v>540</v>
      </c>
      <c r="L7" s="21"/>
      <c r="M7" s="24">
        <f t="shared" si="0"/>
        <v>3884</v>
      </c>
      <c r="P7" s="1"/>
    </row>
    <row r="8" spans="1:16">
      <c r="A8" s="9" t="s">
        <v>124</v>
      </c>
      <c r="B8" s="10"/>
      <c r="C8" s="11"/>
      <c r="D8" s="10"/>
      <c r="E8" s="32"/>
      <c r="F8" s="32">
        <v>264</v>
      </c>
      <c r="G8" s="33"/>
      <c r="H8" s="32"/>
      <c r="I8" s="12"/>
      <c r="J8" s="12">
        <v>3144</v>
      </c>
      <c r="K8" s="10"/>
      <c r="L8" s="21"/>
      <c r="M8" s="24">
        <f t="shared" si="0"/>
        <v>3408</v>
      </c>
      <c r="P8" s="1"/>
    </row>
    <row r="9" spans="1:16">
      <c r="A9" s="9" t="s">
        <v>125</v>
      </c>
      <c r="B9" s="10"/>
      <c r="C9" s="11"/>
      <c r="D9" s="10">
        <v>2970</v>
      </c>
      <c r="E9" s="32"/>
      <c r="F9" s="32">
        <v>374</v>
      </c>
      <c r="G9" s="33"/>
      <c r="H9" s="32"/>
      <c r="I9" s="12"/>
      <c r="J9" s="12">
        <v>2016</v>
      </c>
      <c r="K9" s="10">
        <v>1488</v>
      </c>
      <c r="L9" s="21"/>
      <c r="M9" s="24">
        <f t="shared" si="0"/>
        <v>6848</v>
      </c>
      <c r="P9" s="1"/>
    </row>
    <row r="10" spans="1:16">
      <c r="A10" s="9" t="s">
        <v>127</v>
      </c>
      <c r="B10" s="10"/>
      <c r="C10" s="11"/>
      <c r="D10" s="10">
        <v>2760</v>
      </c>
      <c r="E10" s="32"/>
      <c r="F10" s="32"/>
      <c r="G10" s="33"/>
      <c r="H10" s="32"/>
      <c r="I10" s="12"/>
      <c r="J10" s="12">
        <v>1824</v>
      </c>
      <c r="K10" s="10">
        <v>504</v>
      </c>
      <c r="L10" s="21"/>
      <c r="M10" s="24">
        <f t="shared" si="0"/>
        <v>5088</v>
      </c>
      <c r="P10" s="1"/>
    </row>
    <row r="11" spans="1:16">
      <c r="A11" s="9" t="s">
        <v>128</v>
      </c>
      <c r="B11" s="10"/>
      <c r="C11" s="11"/>
      <c r="D11" s="10">
        <v>1710</v>
      </c>
      <c r="E11" s="32"/>
      <c r="F11" s="32"/>
      <c r="G11" s="33"/>
      <c r="H11" s="32"/>
      <c r="I11" s="12"/>
      <c r="J11" s="12">
        <v>1632</v>
      </c>
      <c r="K11" s="10"/>
      <c r="L11" s="21"/>
      <c r="M11" s="24">
        <f t="shared" si="0"/>
        <v>3342</v>
      </c>
      <c r="P11" s="1"/>
    </row>
    <row r="12" spans="1:16">
      <c r="A12" s="9" t="s">
        <v>129</v>
      </c>
      <c r="B12" s="10"/>
      <c r="C12" s="11"/>
      <c r="D12" s="10">
        <v>2610</v>
      </c>
      <c r="E12" s="32"/>
      <c r="F12" s="32"/>
      <c r="G12" s="33"/>
      <c r="H12" s="32">
        <v>216</v>
      </c>
      <c r="I12" s="12"/>
      <c r="J12" s="12">
        <v>2856</v>
      </c>
      <c r="K12" s="10"/>
      <c r="L12" s="21"/>
      <c r="M12" s="24">
        <f>SUM(B12:L12)</f>
        <v>5682</v>
      </c>
      <c r="P12" s="1"/>
    </row>
    <row r="13" spans="1:16">
      <c r="A13" s="9" t="s">
        <v>130</v>
      </c>
      <c r="B13" s="10">
        <v>456</v>
      </c>
      <c r="C13" s="11"/>
      <c r="D13" s="10">
        <v>1170</v>
      </c>
      <c r="E13" s="32"/>
      <c r="F13" s="32">
        <v>22</v>
      </c>
      <c r="G13" s="33"/>
      <c r="H13" s="32">
        <v>504</v>
      </c>
      <c r="I13" s="12">
        <v>144</v>
      </c>
      <c r="J13" s="12"/>
      <c r="K13" s="10">
        <v>372</v>
      </c>
      <c r="L13" s="21"/>
      <c r="M13" s="24">
        <f>SUM(B13:L13)</f>
        <v>2668</v>
      </c>
      <c r="P13" s="1"/>
    </row>
    <row r="14" spans="1:16">
      <c r="A14" s="9" t="s">
        <v>131</v>
      </c>
      <c r="B14" s="10"/>
      <c r="C14" s="11"/>
      <c r="D14" s="10">
        <v>3120</v>
      </c>
      <c r="E14" s="32"/>
      <c r="F14" s="32"/>
      <c r="G14" s="33"/>
      <c r="H14" s="32"/>
      <c r="I14" s="12"/>
      <c r="J14" s="12">
        <v>2472</v>
      </c>
      <c r="K14" s="10"/>
      <c r="L14" s="21"/>
      <c r="M14" s="24">
        <f>SUM(B14:L14)</f>
        <v>5592</v>
      </c>
      <c r="P14" s="1"/>
    </row>
    <row r="15" spans="1:16">
      <c r="A15" s="9" t="s">
        <v>132</v>
      </c>
      <c r="B15" s="10"/>
      <c r="C15" s="11"/>
      <c r="D15" s="10">
        <v>2970</v>
      </c>
      <c r="E15" s="32"/>
      <c r="F15" s="32"/>
      <c r="G15" s="33"/>
      <c r="H15" s="32">
        <v>1848</v>
      </c>
      <c r="I15" s="12"/>
      <c r="J15" s="12">
        <v>1896</v>
      </c>
      <c r="K15" s="10">
        <v>648</v>
      </c>
      <c r="L15" s="21"/>
      <c r="M15" s="24">
        <f t="shared" si="0"/>
        <v>7362</v>
      </c>
      <c r="P15" s="1"/>
    </row>
    <row r="16" spans="1:16">
      <c r="A16" s="9" t="s">
        <v>133</v>
      </c>
      <c r="B16" s="10"/>
      <c r="C16" s="11"/>
      <c r="D16" s="10"/>
      <c r="E16" s="32"/>
      <c r="F16" s="32"/>
      <c r="G16" s="33"/>
      <c r="H16" s="32">
        <v>504</v>
      </c>
      <c r="I16" s="12"/>
      <c r="J16" s="12"/>
      <c r="K16" s="10">
        <v>768</v>
      </c>
      <c r="L16" s="21"/>
      <c r="M16" s="24">
        <f t="shared" si="0"/>
        <v>1272</v>
      </c>
      <c r="P16" s="1"/>
    </row>
    <row r="17" spans="1:16">
      <c r="A17" s="9" t="s">
        <v>134</v>
      </c>
      <c r="B17" s="10">
        <v>288</v>
      </c>
      <c r="C17" s="11"/>
      <c r="D17" s="10"/>
      <c r="E17" s="32"/>
      <c r="F17" s="32"/>
      <c r="G17" s="33"/>
      <c r="H17" s="32">
        <v>792</v>
      </c>
      <c r="I17" s="12">
        <v>912</v>
      </c>
      <c r="J17" s="12">
        <v>1152</v>
      </c>
      <c r="K17" s="10">
        <v>240</v>
      </c>
      <c r="L17" s="21"/>
      <c r="M17" s="24">
        <f t="shared" si="0"/>
        <v>3384</v>
      </c>
      <c r="P17" s="1"/>
    </row>
    <row r="18" spans="1:16">
      <c r="A18" s="9" t="s">
        <v>135</v>
      </c>
      <c r="B18" s="51"/>
      <c r="C18" s="52"/>
      <c r="D18" s="51"/>
      <c r="E18" s="53"/>
      <c r="F18" s="53"/>
      <c r="G18" s="54"/>
      <c r="H18" s="53"/>
      <c r="I18" s="55">
        <v>336</v>
      </c>
      <c r="J18" s="55">
        <v>3288</v>
      </c>
      <c r="K18" s="51"/>
      <c r="L18" s="56"/>
      <c r="M18" s="57">
        <f>SUM(B18:L18)</f>
        <v>3624</v>
      </c>
      <c r="P18" s="1"/>
    </row>
    <row r="19" spans="1:16">
      <c r="A19" s="9" t="s">
        <v>136</v>
      </c>
      <c r="B19" s="51"/>
      <c r="C19" s="52"/>
      <c r="D19" s="51">
        <v>2490</v>
      </c>
      <c r="E19" s="53"/>
      <c r="F19" s="53"/>
      <c r="G19" s="54"/>
      <c r="H19" s="53">
        <v>72</v>
      </c>
      <c r="I19" s="55">
        <v>960</v>
      </c>
      <c r="J19" s="55">
        <v>240</v>
      </c>
      <c r="K19" s="51">
        <v>612</v>
      </c>
      <c r="L19" s="56"/>
      <c r="M19" s="57">
        <f t="shared" si="0"/>
        <v>4374</v>
      </c>
      <c r="P19" s="1"/>
    </row>
    <row r="20" spans="1:16">
      <c r="A20" s="9" t="s">
        <v>137</v>
      </c>
      <c r="B20" s="10"/>
      <c r="C20" s="11"/>
      <c r="D20" s="10">
        <v>2940</v>
      </c>
      <c r="E20" s="32"/>
      <c r="F20" s="32"/>
      <c r="G20" s="33"/>
      <c r="H20" s="32"/>
      <c r="I20" s="12"/>
      <c r="J20" s="12"/>
      <c r="K20" s="10">
        <v>1296</v>
      </c>
      <c r="L20" s="21"/>
      <c r="M20" s="24">
        <f t="shared" si="0"/>
        <v>4236</v>
      </c>
      <c r="P20" s="1"/>
    </row>
    <row r="21" spans="1:16">
      <c r="A21" s="9" t="s">
        <v>138</v>
      </c>
      <c r="B21" s="10"/>
      <c r="C21" s="11">
        <v>1512</v>
      </c>
      <c r="D21" s="10">
        <v>1860</v>
      </c>
      <c r="E21" s="32"/>
      <c r="F21" s="32"/>
      <c r="G21" s="33"/>
      <c r="H21" s="32">
        <v>360</v>
      </c>
      <c r="I21" s="12"/>
      <c r="J21" s="12">
        <v>1104</v>
      </c>
      <c r="K21" s="10"/>
      <c r="L21" s="21">
        <v>600</v>
      </c>
      <c r="M21" s="24">
        <f t="shared" si="0"/>
        <v>5436</v>
      </c>
      <c r="P21" s="1"/>
    </row>
    <row r="22" spans="1:16">
      <c r="A22" s="9" t="s">
        <v>139</v>
      </c>
      <c r="B22" s="10"/>
      <c r="C22" s="11">
        <v>696</v>
      </c>
      <c r="D22" s="10">
        <v>1740</v>
      </c>
      <c r="E22" s="32"/>
      <c r="F22" s="32"/>
      <c r="G22" s="33">
        <v>220</v>
      </c>
      <c r="H22" s="32">
        <v>528</v>
      </c>
      <c r="I22" s="12"/>
      <c r="J22" s="12">
        <v>1320</v>
      </c>
      <c r="K22" s="10"/>
      <c r="L22" s="21"/>
      <c r="M22" s="24">
        <f>SUM(B22:L22)</f>
        <v>4504</v>
      </c>
      <c r="P22" s="1"/>
    </row>
    <row r="23" spans="1:16">
      <c r="A23" s="9" t="s">
        <v>140</v>
      </c>
      <c r="B23" s="10"/>
      <c r="C23" s="11"/>
      <c r="D23" s="10">
        <v>2460</v>
      </c>
      <c r="E23" s="32"/>
      <c r="F23" s="32">
        <v>44</v>
      </c>
      <c r="G23" s="33">
        <v>110</v>
      </c>
      <c r="H23" s="32"/>
      <c r="I23" s="12"/>
      <c r="J23" s="12">
        <v>3456</v>
      </c>
      <c r="K23" s="10"/>
      <c r="L23" s="21"/>
      <c r="M23" s="24">
        <f t="shared" si="0"/>
        <v>6070</v>
      </c>
      <c r="P23" s="1"/>
    </row>
    <row r="24" spans="1:16">
      <c r="A24" s="9" t="s">
        <v>141</v>
      </c>
      <c r="B24" s="10"/>
      <c r="C24" s="11"/>
      <c r="D24" s="10">
        <v>4680</v>
      </c>
      <c r="E24" s="32"/>
      <c r="F24" s="32">
        <v>286</v>
      </c>
      <c r="G24" s="33"/>
      <c r="H24" s="32"/>
      <c r="I24" s="12"/>
      <c r="J24" s="12"/>
      <c r="K24" s="10">
        <v>984</v>
      </c>
      <c r="L24" s="21"/>
      <c r="M24" s="24">
        <f t="shared" si="0"/>
        <v>5950</v>
      </c>
      <c r="P24" s="1"/>
    </row>
    <row r="25" spans="1:16">
      <c r="A25" s="9" t="s">
        <v>142</v>
      </c>
      <c r="B25" s="10"/>
      <c r="C25" s="11">
        <v>1104</v>
      </c>
      <c r="D25" s="10">
        <v>120</v>
      </c>
      <c r="E25" s="32">
        <v>360</v>
      </c>
      <c r="F25" s="32">
        <v>110</v>
      </c>
      <c r="G25" s="33"/>
      <c r="H25" s="32">
        <v>1536</v>
      </c>
      <c r="I25" s="12"/>
      <c r="J25" s="12">
        <v>2232</v>
      </c>
      <c r="K25" s="10">
        <v>312</v>
      </c>
      <c r="L25" s="21"/>
      <c r="M25" s="24">
        <f t="shared" si="0"/>
        <v>5774</v>
      </c>
      <c r="P25" s="1"/>
    </row>
    <row r="26" spans="1:16">
      <c r="A26" s="9" t="s">
        <v>143</v>
      </c>
      <c r="B26" s="10"/>
      <c r="C26" s="11"/>
      <c r="D26" s="10"/>
      <c r="E26" s="32"/>
      <c r="F26" s="32">
        <v>220</v>
      </c>
      <c r="G26" s="33"/>
      <c r="H26" s="32"/>
      <c r="I26" s="12"/>
      <c r="J26" s="12">
        <v>3192</v>
      </c>
      <c r="K26" s="10"/>
      <c r="L26" s="21"/>
      <c r="M26" s="24">
        <f t="shared" si="0"/>
        <v>3412</v>
      </c>
      <c r="P26" s="1"/>
    </row>
    <row r="27" spans="1:16">
      <c r="A27" s="9" t="s">
        <v>144</v>
      </c>
      <c r="B27" s="10"/>
      <c r="C27" s="11"/>
      <c r="D27" s="10">
        <v>2160</v>
      </c>
      <c r="E27" s="32">
        <v>336</v>
      </c>
      <c r="F27" s="32">
        <v>110</v>
      </c>
      <c r="G27" s="33"/>
      <c r="H27" s="32"/>
      <c r="I27" s="12"/>
      <c r="J27" s="12">
        <v>2328</v>
      </c>
      <c r="K27" s="10">
        <v>108</v>
      </c>
      <c r="L27" s="21"/>
      <c r="M27" s="24">
        <f t="shared" si="0"/>
        <v>5042</v>
      </c>
      <c r="P27" s="1"/>
    </row>
    <row r="28" spans="1:16">
      <c r="A28" s="9" t="s">
        <v>145</v>
      </c>
      <c r="B28" s="10"/>
      <c r="C28" s="11"/>
      <c r="D28" s="10">
        <v>1200</v>
      </c>
      <c r="E28" s="32"/>
      <c r="F28" s="32"/>
      <c r="G28" s="33"/>
      <c r="H28" s="32"/>
      <c r="I28" s="12">
        <v>504</v>
      </c>
      <c r="J28" s="12">
        <v>4752</v>
      </c>
      <c r="K28" s="10"/>
      <c r="L28" s="21"/>
      <c r="M28" s="24">
        <f t="shared" si="0"/>
        <v>6456</v>
      </c>
      <c r="P28" s="1"/>
    </row>
    <row r="29" spans="1:16" ht="15.75" thickBot="1">
      <c r="A29" s="58" t="s">
        <v>146</v>
      </c>
      <c r="B29" s="59"/>
      <c r="C29" s="13">
        <v>2616</v>
      </c>
      <c r="D29" s="59">
        <v>1860</v>
      </c>
      <c r="E29" s="60"/>
      <c r="F29" s="60">
        <v>352</v>
      </c>
      <c r="G29" s="61"/>
      <c r="H29" s="60">
        <v>264</v>
      </c>
      <c r="I29" s="60"/>
      <c r="J29" s="60">
        <v>1464</v>
      </c>
      <c r="K29" s="29">
        <v>540</v>
      </c>
      <c r="L29" s="30"/>
      <c r="M29" s="24">
        <f t="shared" si="0"/>
        <v>7096</v>
      </c>
      <c r="P29" s="1"/>
    </row>
    <row r="30" spans="1:16" ht="15.75" thickBot="1">
      <c r="A30" s="14" t="s">
        <v>11</v>
      </c>
      <c r="B30" s="15">
        <f t="shared" ref="B30:M30" si="1">SUM(B4:B29)</f>
        <v>768</v>
      </c>
      <c r="C30" s="15">
        <f t="shared" si="1"/>
        <v>7728</v>
      </c>
      <c r="D30" s="15">
        <f t="shared" si="1"/>
        <v>39900</v>
      </c>
      <c r="E30" s="15">
        <f t="shared" si="1"/>
        <v>696</v>
      </c>
      <c r="F30" s="15">
        <f t="shared" si="1"/>
        <v>2222</v>
      </c>
      <c r="G30" s="15">
        <f t="shared" si="1"/>
        <v>330</v>
      </c>
      <c r="H30" s="15">
        <f t="shared" si="1"/>
        <v>6960</v>
      </c>
      <c r="I30" s="15">
        <f t="shared" si="1"/>
        <v>3624</v>
      </c>
      <c r="J30" s="15">
        <f t="shared" si="1"/>
        <v>47040</v>
      </c>
      <c r="K30" s="15">
        <f t="shared" si="1"/>
        <v>8952</v>
      </c>
      <c r="L30" s="15">
        <f t="shared" si="1"/>
        <v>600</v>
      </c>
      <c r="M30" s="22">
        <f t="shared" si="1"/>
        <v>118820</v>
      </c>
      <c r="P30" s="1"/>
    </row>
    <row r="31" spans="1:16" ht="15.75" thickBot="1">
      <c r="A31" s="16" t="s">
        <v>12</v>
      </c>
      <c r="B31" s="17">
        <f t="shared" ref="B31:M31" si="2">B3+B30</f>
        <v>4392</v>
      </c>
      <c r="C31" s="17">
        <f t="shared" si="2"/>
        <v>27096</v>
      </c>
      <c r="D31" s="17">
        <f t="shared" si="2"/>
        <v>171360</v>
      </c>
      <c r="E31" s="17">
        <f t="shared" si="2"/>
        <v>2544</v>
      </c>
      <c r="F31" s="17">
        <f t="shared" si="2"/>
        <v>8866</v>
      </c>
      <c r="G31" s="17">
        <f t="shared" si="2"/>
        <v>1276</v>
      </c>
      <c r="H31" s="17">
        <f t="shared" si="2"/>
        <v>47112</v>
      </c>
      <c r="I31" s="17">
        <f t="shared" si="2"/>
        <v>25560</v>
      </c>
      <c r="J31" s="17">
        <f t="shared" si="2"/>
        <v>237144</v>
      </c>
      <c r="K31" s="17">
        <f t="shared" si="2"/>
        <v>41712</v>
      </c>
      <c r="L31" s="17">
        <f t="shared" si="2"/>
        <v>7056</v>
      </c>
      <c r="M31" s="16">
        <f t="shared" si="2"/>
        <v>574118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5" activePane="bottomLeft" state="frozen"/>
      <selection pane="bottomLeft" activeCell="B31" sqref="B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165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4392</v>
      </c>
      <c r="C3" s="44">
        <v>27096</v>
      </c>
      <c r="D3" s="42">
        <v>171360</v>
      </c>
      <c r="E3" s="43">
        <v>2544</v>
      </c>
      <c r="F3" s="43">
        <v>8866</v>
      </c>
      <c r="G3" s="44">
        <v>1276</v>
      </c>
      <c r="H3" s="45">
        <v>47112</v>
      </c>
      <c r="I3" s="43">
        <v>25560</v>
      </c>
      <c r="J3" s="44">
        <v>237144</v>
      </c>
      <c r="K3" s="46">
        <v>41712</v>
      </c>
      <c r="L3" s="44">
        <v>7056</v>
      </c>
      <c r="M3" s="26">
        <f>SUM(B3:L3)</f>
        <v>574118</v>
      </c>
      <c r="N3" s="20"/>
    </row>
    <row r="4" spans="1:16">
      <c r="A4" s="63" t="s">
        <v>147</v>
      </c>
      <c r="B4" s="10"/>
      <c r="C4" s="11"/>
      <c r="D4" s="10"/>
      <c r="E4" s="32"/>
      <c r="F4" s="32">
        <v>308</v>
      </c>
      <c r="G4" s="33"/>
      <c r="H4" s="32"/>
      <c r="I4" s="12">
        <v>264</v>
      </c>
      <c r="J4" s="12">
        <v>3528</v>
      </c>
      <c r="K4" s="10">
        <v>288</v>
      </c>
      <c r="L4" s="21"/>
      <c r="M4" s="24">
        <f t="shared" ref="M4:M29" si="0">SUM(B4:L4)</f>
        <v>4388</v>
      </c>
      <c r="P4" s="1"/>
    </row>
    <row r="5" spans="1:16">
      <c r="A5" s="63" t="s">
        <v>148</v>
      </c>
      <c r="B5" s="10"/>
      <c r="C5" s="11"/>
      <c r="D5" s="10"/>
      <c r="E5" s="32"/>
      <c r="F5" s="32">
        <v>22</v>
      </c>
      <c r="G5" s="33">
        <v>154</v>
      </c>
      <c r="H5" s="32"/>
      <c r="I5" s="12"/>
      <c r="J5" s="12">
        <v>3792</v>
      </c>
      <c r="K5" s="10"/>
      <c r="L5" s="21"/>
      <c r="M5" s="24">
        <f t="shared" si="0"/>
        <v>3968</v>
      </c>
      <c r="P5" s="1"/>
    </row>
    <row r="6" spans="1:16">
      <c r="A6" s="63" t="s">
        <v>149</v>
      </c>
      <c r="B6" s="51"/>
      <c r="C6" s="52"/>
      <c r="D6" s="51"/>
      <c r="E6" s="53"/>
      <c r="F6" s="53"/>
      <c r="G6" s="54"/>
      <c r="H6" s="53"/>
      <c r="I6" s="55"/>
      <c r="J6" s="55">
        <v>4440</v>
      </c>
      <c r="K6" s="51">
        <v>684</v>
      </c>
      <c r="L6" s="56"/>
      <c r="M6" s="24">
        <f t="shared" si="0"/>
        <v>5124</v>
      </c>
      <c r="P6" s="1"/>
    </row>
    <row r="7" spans="1:16">
      <c r="A7" s="63" t="s">
        <v>150</v>
      </c>
      <c r="B7" s="10"/>
      <c r="C7" s="13"/>
      <c r="D7" s="10">
        <v>4200</v>
      </c>
      <c r="E7" s="32"/>
      <c r="F7" s="32"/>
      <c r="G7" s="33"/>
      <c r="H7" s="32">
        <v>2856</v>
      </c>
      <c r="I7" s="12"/>
      <c r="J7" s="12">
        <v>2568</v>
      </c>
      <c r="K7" s="10"/>
      <c r="L7" s="21"/>
      <c r="M7" s="24">
        <f t="shared" si="0"/>
        <v>9624</v>
      </c>
      <c r="P7" s="1"/>
    </row>
    <row r="8" spans="1:16">
      <c r="A8" s="9" t="s">
        <v>151</v>
      </c>
      <c r="B8" s="10"/>
      <c r="C8" s="11"/>
      <c r="D8" s="10"/>
      <c r="E8" s="32"/>
      <c r="F8" s="32"/>
      <c r="G8" s="33">
        <v>352</v>
      </c>
      <c r="H8" s="32"/>
      <c r="I8" s="12"/>
      <c r="J8" s="12">
        <v>2952</v>
      </c>
      <c r="K8" s="10"/>
      <c r="L8" s="21"/>
      <c r="M8" s="24">
        <f t="shared" si="0"/>
        <v>3304</v>
      </c>
      <c r="P8" s="1"/>
    </row>
    <row r="9" spans="1:16">
      <c r="A9" s="9" t="s">
        <v>152</v>
      </c>
      <c r="B9" s="10"/>
      <c r="C9" s="11"/>
      <c r="D9" s="10"/>
      <c r="E9" s="32"/>
      <c r="F9" s="32"/>
      <c r="G9" s="33">
        <v>110</v>
      </c>
      <c r="H9" s="32"/>
      <c r="I9" s="12"/>
      <c r="J9" s="12">
        <v>2952</v>
      </c>
      <c r="K9" s="10"/>
      <c r="L9" s="21"/>
      <c r="M9" s="24">
        <f t="shared" si="0"/>
        <v>3062</v>
      </c>
      <c r="P9" s="1"/>
    </row>
    <row r="10" spans="1:16">
      <c r="A10" s="9" t="s">
        <v>153</v>
      </c>
      <c r="B10" s="10"/>
      <c r="C10" s="11"/>
      <c r="D10" s="10"/>
      <c r="E10" s="32"/>
      <c r="F10" s="32"/>
      <c r="G10" s="33"/>
      <c r="H10" s="32"/>
      <c r="I10" s="12">
        <v>1968</v>
      </c>
      <c r="J10" s="12">
        <v>336</v>
      </c>
      <c r="K10" s="10"/>
      <c r="L10" s="21"/>
      <c r="M10" s="24">
        <f t="shared" si="0"/>
        <v>2304</v>
      </c>
      <c r="P10" s="1"/>
    </row>
    <row r="11" spans="1:16">
      <c r="A11" s="9" t="s">
        <v>154</v>
      </c>
      <c r="B11" s="10"/>
      <c r="C11" s="11"/>
      <c r="D11" s="10">
        <v>2580</v>
      </c>
      <c r="E11" s="32"/>
      <c r="F11" s="32"/>
      <c r="G11" s="33"/>
      <c r="H11" s="32"/>
      <c r="I11" s="12"/>
      <c r="J11" s="12"/>
      <c r="K11" s="10"/>
      <c r="L11" s="21">
        <v>660</v>
      </c>
      <c r="M11" s="24">
        <f t="shared" si="0"/>
        <v>3240</v>
      </c>
      <c r="P11" s="1"/>
    </row>
    <row r="12" spans="1:16">
      <c r="A12" s="9" t="s">
        <v>155</v>
      </c>
      <c r="B12" s="10"/>
      <c r="C12" s="11"/>
      <c r="D12" s="10"/>
      <c r="E12" s="32"/>
      <c r="F12" s="32">
        <v>330</v>
      </c>
      <c r="G12" s="33"/>
      <c r="H12" s="32"/>
      <c r="I12" s="12"/>
      <c r="J12" s="12"/>
      <c r="K12" s="10">
        <v>252</v>
      </c>
      <c r="L12" s="21">
        <v>1140</v>
      </c>
      <c r="M12" s="24">
        <f>SUM(B12:L12)</f>
        <v>1722</v>
      </c>
      <c r="P12" s="1"/>
    </row>
    <row r="13" spans="1:16">
      <c r="A13" s="9" t="s">
        <v>156</v>
      </c>
      <c r="B13" s="10"/>
      <c r="C13" s="11"/>
      <c r="D13" s="10">
        <v>1770</v>
      </c>
      <c r="E13" s="32"/>
      <c r="F13" s="32"/>
      <c r="G13" s="33"/>
      <c r="H13" s="32"/>
      <c r="I13" s="12"/>
      <c r="J13" s="12">
        <v>384</v>
      </c>
      <c r="K13" s="10"/>
      <c r="L13" s="21">
        <v>1020</v>
      </c>
      <c r="M13" s="24">
        <f>SUM(B13:L13)</f>
        <v>3174</v>
      </c>
      <c r="P13" s="1"/>
    </row>
    <row r="14" spans="1:16">
      <c r="A14" s="9" t="s">
        <v>157</v>
      </c>
      <c r="B14" s="10">
        <v>1248</v>
      </c>
      <c r="C14" s="11">
        <v>2184</v>
      </c>
      <c r="D14" s="10"/>
      <c r="E14" s="32"/>
      <c r="F14" s="32"/>
      <c r="G14" s="33"/>
      <c r="H14" s="32"/>
      <c r="I14" s="12"/>
      <c r="J14" s="12">
        <v>360</v>
      </c>
      <c r="K14" s="10">
        <v>216</v>
      </c>
      <c r="L14" s="21">
        <v>624</v>
      </c>
      <c r="M14" s="24">
        <f>SUM(B14:L14)</f>
        <v>4632</v>
      </c>
      <c r="P14" s="1"/>
    </row>
    <row r="15" spans="1:16">
      <c r="A15" s="9" t="s">
        <v>158</v>
      </c>
      <c r="B15" s="10"/>
      <c r="C15" s="11"/>
      <c r="D15" s="10">
        <v>5370</v>
      </c>
      <c r="E15" s="32"/>
      <c r="F15" s="32"/>
      <c r="G15" s="33"/>
      <c r="H15" s="32">
        <v>456</v>
      </c>
      <c r="I15" s="12">
        <v>192</v>
      </c>
      <c r="J15" s="12">
        <v>264</v>
      </c>
      <c r="K15" s="10">
        <v>708</v>
      </c>
      <c r="L15" s="21">
        <v>408</v>
      </c>
      <c r="M15" s="24">
        <f t="shared" si="0"/>
        <v>7398</v>
      </c>
      <c r="P15" s="1"/>
    </row>
    <row r="16" spans="1:16">
      <c r="A16" s="9" t="s">
        <v>159</v>
      </c>
      <c r="B16" s="10"/>
      <c r="C16" s="11"/>
      <c r="D16" s="10">
        <v>2460</v>
      </c>
      <c r="E16" s="32"/>
      <c r="F16" s="32"/>
      <c r="G16" s="33"/>
      <c r="H16" s="32">
        <v>1296</v>
      </c>
      <c r="I16" s="12">
        <v>384</v>
      </c>
      <c r="J16" s="12">
        <v>2160</v>
      </c>
      <c r="K16" s="10"/>
      <c r="L16" s="21"/>
      <c r="M16" s="24">
        <f t="shared" si="0"/>
        <v>6300</v>
      </c>
      <c r="P16" s="1"/>
    </row>
    <row r="17" spans="1:16">
      <c r="A17" s="9" t="s">
        <v>160</v>
      </c>
      <c r="B17" s="10"/>
      <c r="C17" s="11"/>
      <c r="D17" s="10">
        <v>660</v>
      </c>
      <c r="E17" s="32"/>
      <c r="F17" s="32"/>
      <c r="G17" s="33"/>
      <c r="H17" s="32"/>
      <c r="I17" s="12"/>
      <c r="J17" s="12">
        <v>2376</v>
      </c>
      <c r="K17" s="10"/>
      <c r="L17" s="21"/>
      <c r="M17" s="24">
        <f t="shared" si="0"/>
        <v>3036</v>
      </c>
      <c r="P17" s="1"/>
    </row>
    <row r="18" spans="1:16">
      <c r="A18" s="9" t="s">
        <v>161</v>
      </c>
      <c r="B18" s="51"/>
      <c r="C18" s="52"/>
      <c r="D18" s="51"/>
      <c r="E18" s="53"/>
      <c r="F18" s="53"/>
      <c r="G18" s="54"/>
      <c r="H18" s="53"/>
      <c r="I18" s="55"/>
      <c r="J18" s="55">
        <v>2880</v>
      </c>
      <c r="K18" s="51">
        <v>312</v>
      </c>
      <c r="L18" s="56">
        <v>504</v>
      </c>
      <c r="M18" s="57">
        <f>SUM(B18:L18)</f>
        <v>3696</v>
      </c>
      <c r="P18" s="1"/>
    </row>
    <row r="19" spans="1:16">
      <c r="A19" s="9" t="s">
        <v>162</v>
      </c>
      <c r="B19" s="51"/>
      <c r="C19" s="52"/>
      <c r="D19" s="51">
        <v>420</v>
      </c>
      <c r="E19" s="53"/>
      <c r="F19" s="53"/>
      <c r="G19" s="54"/>
      <c r="H19" s="53"/>
      <c r="I19" s="55"/>
      <c r="J19" s="55"/>
      <c r="K19" s="51"/>
      <c r="L19" s="56">
        <v>1440</v>
      </c>
      <c r="M19" s="57">
        <f t="shared" si="0"/>
        <v>1860</v>
      </c>
      <c r="P19" s="1"/>
    </row>
    <row r="20" spans="1:16">
      <c r="A20" s="9" t="s">
        <v>163</v>
      </c>
      <c r="B20" s="10"/>
      <c r="C20" s="11"/>
      <c r="D20" s="10">
        <v>3240</v>
      </c>
      <c r="E20" s="32"/>
      <c r="F20" s="32"/>
      <c r="G20" s="33"/>
      <c r="H20" s="32">
        <v>1008</v>
      </c>
      <c r="I20" s="12">
        <v>600</v>
      </c>
      <c r="J20" s="12"/>
      <c r="K20" s="10">
        <v>708</v>
      </c>
      <c r="L20" s="21"/>
      <c r="M20" s="24">
        <f t="shared" si="0"/>
        <v>5556</v>
      </c>
      <c r="P20" s="1"/>
    </row>
    <row r="21" spans="1:16">
      <c r="A21" s="9" t="s">
        <v>164</v>
      </c>
      <c r="B21" s="10">
        <v>72</v>
      </c>
      <c r="C21" s="11"/>
      <c r="D21" s="10">
        <v>2280</v>
      </c>
      <c r="E21" s="32"/>
      <c r="F21" s="32"/>
      <c r="G21" s="33"/>
      <c r="H21" s="32"/>
      <c r="I21" s="12"/>
      <c r="J21" s="12">
        <v>600</v>
      </c>
      <c r="K21" s="10">
        <v>360</v>
      </c>
      <c r="L21" s="21">
        <v>1416</v>
      </c>
      <c r="M21" s="24">
        <f t="shared" si="0"/>
        <v>4728</v>
      </c>
      <c r="P21" s="1"/>
    </row>
    <row r="22" spans="1:16">
      <c r="A22" s="9" t="s">
        <v>166</v>
      </c>
      <c r="B22" s="10"/>
      <c r="C22" s="11"/>
      <c r="D22" s="10">
        <v>2880</v>
      </c>
      <c r="E22" s="32"/>
      <c r="F22" s="32"/>
      <c r="G22" s="33"/>
      <c r="H22" s="32"/>
      <c r="I22" s="12"/>
      <c r="J22" s="12">
        <v>3888</v>
      </c>
      <c r="K22" s="10"/>
      <c r="L22" s="21"/>
      <c r="M22" s="24">
        <f>SUM(B22:L22)</f>
        <v>6768</v>
      </c>
      <c r="P22" s="1"/>
    </row>
    <row r="23" spans="1:16">
      <c r="A23" s="9" t="s">
        <v>140</v>
      </c>
      <c r="B23" s="10"/>
      <c r="C23" s="11"/>
      <c r="D23" s="10">
        <v>2310</v>
      </c>
      <c r="E23" s="32"/>
      <c r="F23" s="32"/>
      <c r="G23" s="33"/>
      <c r="H23" s="32"/>
      <c r="I23" s="12">
        <v>600</v>
      </c>
      <c r="J23" s="12">
        <v>864</v>
      </c>
      <c r="K23" s="10">
        <v>1308</v>
      </c>
      <c r="L23" s="21"/>
      <c r="M23" s="24">
        <f t="shared" si="0"/>
        <v>5082</v>
      </c>
      <c r="P23" s="1"/>
    </row>
    <row r="24" spans="1:16">
      <c r="A24" s="9" t="s">
        <v>141</v>
      </c>
      <c r="B24" s="10"/>
      <c r="C24" s="11"/>
      <c r="D24" s="10">
        <v>6900</v>
      </c>
      <c r="E24" s="32"/>
      <c r="F24" s="32">
        <v>176</v>
      </c>
      <c r="G24" s="33"/>
      <c r="H24" s="32">
        <v>720</v>
      </c>
      <c r="I24" s="12">
        <v>360</v>
      </c>
      <c r="J24" s="12">
        <v>1896</v>
      </c>
      <c r="K24" s="10">
        <v>624</v>
      </c>
      <c r="L24" s="21"/>
      <c r="M24" s="24">
        <f t="shared" si="0"/>
        <v>10676</v>
      </c>
      <c r="P24" s="1"/>
    </row>
    <row r="25" spans="1:16">
      <c r="A25" s="9" t="s">
        <v>167</v>
      </c>
      <c r="B25" s="10"/>
      <c r="C25" s="11"/>
      <c r="D25" s="10"/>
      <c r="E25" s="32"/>
      <c r="F25" s="32"/>
      <c r="G25" s="33"/>
      <c r="H25" s="32">
        <v>1128</v>
      </c>
      <c r="I25" s="12">
        <v>624</v>
      </c>
      <c r="J25" s="12">
        <v>3432</v>
      </c>
      <c r="K25" s="10">
        <v>852</v>
      </c>
      <c r="L25" s="21"/>
      <c r="M25" s="24">
        <f t="shared" si="0"/>
        <v>6036</v>
      </c>
      <c r="P25" s="1"/>
    </row>
    <row r="26" spans="1:16">
      <c r="A26" s="9" t="s">
        <v>168</v>
      </c>
      <c r="B26" s="10">
        <v>288</v>
      </c>
      <c r="C26" s="11">
        <v>480</v>
      </c>
      <c r="D26" s="10">
        <v>3900</v>
      </c>
      <c r="E26" s="32"/>
      <c r="F26" s="32">
        <v>374</v>
      </c>
      <c r="G26" s="33"/>
      <c r="H26" s="32">
        <v>288</v>
      </c>
      <c r="I26" s="12">
        <v>408</v>
      </c>
      <c r="J26" s="12">
        <v>2280</v>
      </c>
      <c r="K26" s="10">
        <v>1248</v>
      </c>
      <c r="L26" s="21"/>
      <c r="M26" s="24">
        <f t="shared" si="0"/>
        <v>9266</v>
      </c>
      <c r="P26" s="1"/>
    </row>
    <row r="27" spans="1:16">
      <c r="A27" s="9" t="s">
        <v>169</v>
      </c>
      <c r="B27" s="10"/>
      <c r="C27" s="11">
        <v>48</v>
      </c>
      <c r="D27" s="10">
        <v>1230</v>
      </c>
      <c r="E27" s="32"/>
      <c r="F27" s="32"/>
      <c r="G27" s="33"/>
      <c r="H27" s="32">
        <v>192</v>
      </c>
      <c r="I27" s="12">
        <v>576</v>
      </c>
      <c r="J27" s="12">
        <v>4560</v>
      </c>
      <c r="K27" s="10"/>
      <c r="L27" s="21"/>
      <c r="M27" s="24">
        <f t="shared" si="0"/>
        <v>6606</v>
      </c>
      <c r="P27" s="1"/>
    </row>
    <row r="28" spans="1:16">
      <c r="A28" s="9" t="s">
        <v>170</v>
      </c>
      <c r="B28" s="10"/>
      <c r="C28" s="11"/>
      <c r="D28" s="10"/>
      <c r="E28" s="32"/>
      <c r="F28" s="32">
        <v>132</v>
      </c>
      <c r="G28" s="33"/>
      <c r="H28" s="32"/>
      <c r="I28" s="12"/>
      <c r="J28" s="12">
        <v>3696</v>
      </c>
      <c r="K28" s="10">
        <v>624</v>
      </c>
      <c r="L28" s="21"/>
      <c r="M28" s="24">
        <f t="shared" si="0"/>
        <v>4452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1608</v>
      </c>
      <c r="C30" s="15">
        <f t="shared" si="1"/>
        <v>2712</v>
      </c>
      <c r="D30" s="15">
        <f t="shared" si="1"/>
        <v>40200</v>
      </c>
      <c r="E30" s="15">
        <f t="shared" si="1"/>
        <v>0</v>
      </c>
      <c r="F30" s="15">
        <f t="shared" si="1"/>
        <v>1342</v>
      </c>
      <c r="G30" s="15">
        <f t="shared" si="1"/>
        <v>616</v>
      </c>
      <c r="H30" s="15">
        <f t="shared" si="1"/>
        <v>7944</v>
      </c>
      <c r="I30" s="15">
        <f t="shared" si="1"/>
        <v>5976</v>
      </c>
      <c r="J30" s="15">
        <f t="shared" si="1"/>
        <v>50208</v>
      </c>
      <c r="K30" s="15">
        <f t="shared" si="1"/>
        <v>8184</v>
      </c>
      <c r="L30" s="15">
        <f t="shared" si="1"/>
        <v>7212</v>
      </c>
      <c r="M30" s="22">
        <f t="shared" si="1"/>
        <v>126002</v>
      </c>
      <c r="P30" s="1"/>
    </row>
    <row r="31" spans="1:16" ht="15.75" thickBot="1">
      <c r="A31" s="16" t="s">
        <v>12</v>
      </c>
      <c r="B31" s="17">
        <f t="shared" ref="B31:M31" si="2">B3+B30</f>
        <v>6000</v>
      </c>
      <c r="C31" s="17">
        <f t="shared" si="2"/>
        <v>29808</v>
      </c>
      <c r="D31" s="17">
        <f t="shared" si="2"/>
        <v>211560</v>
      </c>
      <c r="E31" s="17">
        <f t="shared" si="2"/>
        <v>2544</v>
      </c>
      <c r="F31" s="17">
        <f t="shared" si="2"/>
        <v>10208</v>
      </c>
      <c r="G31" s="17">
        <f t="shared" si="2"/>
        <v>1892</v>
      </c>
      <c r="H31" s="17">
        <f t="shared" si="2"/>
        <v>55056</v>
      </c>
      <c r="I31" s="17">
        <f t="shared" si="2"/>
        <v>31536</v>
      </c>
      <c r="J31" s="17">
        <f t="shared" si="2"/>
        <v>287352</v>
      </c>
      <c r="K31" s="17">
        <f t="shared" si="2"/>
        <v>49896</v>
      </c>
      <c r="L31" s="17">
        <f t="shared" si="2"/>
        <v>14268</v>
      </c>
      <c r="M31" s="16">
        <f t="shared" si="2"/>
        <v>700120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P1943"/>
  <sheetViews>
    <sheetView tabSelected="1" workbookViewId="0">
      <pane ySplit="3" topLeftCell="A4" activePane="bottomLeft" state="frozen"/>
      <selection pane="bottomLeft" activeCell="J2" sqref="J2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176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6000</v>
      </c>
      <c r="C3" s="44">
        <v>29808</v>
      </c>
      <c r="D3" s="42">
        <v>211560</v>
      </c>
      <c r="E3" s="43">
        <v>2544</v>
      </c>
      <c r="F3" s="43">
        <v>10208</v>
      </c>
      <c r="G3" s="44">
        <v>1892</v>
      </c>
      <c r="H3" s="45">
        <v>55056</v>
      </c>
      <c r="I3" s="43">
        <v>31536</v>
      </c>
      <c r="J3" s="44">
        <v>287352</v>
      </c>
      <c r="K3" s="46">
        <v>49896</v>
      </c>
      <c r="L3" s="44">
        <v>14268</v>
      </c>
      <c r="M3" s="26">
        <f>SUM(B3:L3)</f>
        <v>700120</v>
      </c>
      <c r="N3" s="20"/>
    </row>
    <row r="4" spans="1:16">
      <c r="A4" s="63" t="s">
        <v>171</v>
      </c>
      <c r="B4" s="10"/>
      <c r="C4" s="11">
        <v>2736</v>
      </c>
      <c r="D4" s="10">
        <v>1800</v>
      </c>
      <c r="E4" s="32"/>
      <c r="F4" s="32"/>
      <c r="G4" s="33"/>
      <c r="H4" s="32">
        <v>408</v>
      </c>
      <c r="I4" s="12"/>
      <c r="J4" s="12">
        <v>960</v>
      </c>
      <c r="K4" s="10"/>
      <c r="L4" s="21"/>
      <c r="M4" s="24">
        <f t="shared" ref="M4:M29" si="0">SUM(B4:L4)</f>
        <v>5904</v>
      </c>
      <c r="P4" s="1"/>
    </row>
    <row r="5" spans="1:16">
      <c r="A5" s="63" t="s">
        <v>172</v>
      </c>
      <c r="B5" s="10"/>
      <c r="C5" s="11"/>
      <c r="D5" s="10"/>
      <c r="E5" s="32"/>
      <c r="F5" s="32"/>
      <c r="G5" s="33"/>
      <c r="H5" s="32">
        <v>552</v>
      </c>
      <c r="I5" s="12">
        <v>576</v>
      </c>
      <c r="J5" s="12">
        <v>2280</v>
      </c>
      <c r="K5" s="10">
        <v>660</v>
      </c>
      <c r="L5" s="21"/>
      <c r="M5" s="24">
        <f t="shared" si="0"/>
        <v>4068</v>
      </c>
      <c r="P5" s="1"/>
    </row>
    <row r="6" spans="1:16">
      <c r="A6" s="63" t="s">
        <v>173</v>
      </c>
      <c r="B6" s="51"/>
      <c r="C6" s="52"/>
      <c r="D6" s="51">
        <v>3960</v>
      </c>
      <c r="E6" s="53"/>
      <c r="F6" s="53"/>
      <c r="G6" s="54"/>
      <c r="H6" s="53"/>
      <c r="I6" s="55"/>
      <c r="J6" s="55">
        <v>2328</v>
      </c>
      <c r="K6" s="51">
        <v>1104</v>
      </c>
      <c r="L6" s="56"/>
      <c r="M6" s="24">
        <f t="shared" si="0"/>
        <v>7392</v>
      </c>
      <c r="P6" s="1"/>
    </row>
    <row r="7" spans="1:16">
      <c r="A7" s="63" t="s">
        <v>174</v>
      </c>
      <c r="B7" s="10"/>
      <c r="C7" s="13"/>
      <c r="D7" s="10">
        <v>1140</v>
      </c>
      <c r="E7" s="32">
        <v>240</v>
      </c>
      <c r="F7" s="32"/>
      <c r="G7" s="33"/>
      <c r="H7" s="32"/>
      <c r="I7" s="12"/>
      <c r="J7" s="12">
        <v>2208</v>
      </c>
      <c r="K7" s="10">
        <v>612</v>
      </c>
      <c r="L7" s="21">
        <v>132</v>
      </c>
      <c r="M7" s="24">
        <f t="shared" si="0"/>
        <v>4332</v>
      </c>
      <c r="P7" s="1"/>
    </row>
    <row r="8" spans="1:16">
      <c r="A8" s="9" t="s">
        <v>175</v>
      </c>
      <c r="B8" s="10">
        <v>1032</v>
      </c>
      <c r="C8" s="11"/>
      <c r="D8" s="10">
        <v>1560</v>
      </c>
      <c r="E8" s="32">
        <v>240</v>
      </c>
      <c r="F8" s="32"/>
      <c r="G8" s="33"/>
      <c r="H8" s="32">
        <v>192</v>
      </c>
      <c r="I8" s="12">
        <v>168</v>
      </c>
      <c r="J8" s="12">
        <v>2136</v>
      </c>
      <c r="K8" s="10"/>
      <c r="L8" s="21"/>
      <c r="M8" s="24">
        <f t="shared" si="0"/>
        <v>5328</v>
      </c>
      <c r="P8" s="1"/>
    </row>
    <row r="9" spans="1:16">
      <c r="A9" s="9" t="s">
        <v>177</v>
      </c>
      <c r="B9" s="10"/>
      <c r="C9" s="11"/>
      <c r="D9" s="10">
        <v>1680</v>
      </c>
      <c r="E9" s="32">
        <v>96</v>
      </c>
      <c r="F9" s="32"/>
      <c r="G9" s="33"/>
      <c r="H9" s="32"/>
      <c r="I9" s="12"/>
      <c r="J9" s="12">
        <v>3864</v>
      </c>
      <c r="K9" s="10">
        <v>480</v>
      </c>
      <c r="L9" s="21"/>
      <c r="M9" s="24">
        <f t="shared" si="0"/>
        <v>6120</v>
      </c>
      <c r="P9" s="1"/>
    </row>
    <row r="10" spans="1:16">
      <c r="A10" s="9"/>
      <c r="B10" s="10"/>
      <c r="C10" s="11"/>
      <c r="D10" s="10"/>
      <c r="E10" s="32"/>
      <c r="F10" s="32"/>
      <c r="G10" s="33"/>
      <c r="H10" s="32"/>
      <c r="I10" s="12"/>
      <c r="J10" s="12"/>
      <c r="K10" s="10"/>
      <c r="L10" s="21"/>
      <c r="M10" s="24">
        <f t="shared" si="0"/>
        <v>0</v>
      </c>
      <c r="P10" s="1"/>
    </row>
    <row r="11" spans="1:16">
      <c r="A11" s="9"/>
      <c r="B11" s="10"/>
      <c r="C11" s="11"/>
      <c r="D11" s="10"/>
      <c r="E11" s="32"/>
      <c r="F11" s="32"/>
      <c r="G11" s="33"/>
      <c r="H11" s="32"/>
      <c r="I11" s="12"/>
      <c r="J11" s="12"/>
      <c r="K11" s="10"/>
      <c r="L11" s="21"/>
      <c r="M11" s="24">
        <f t="shared" si="0"/>
        <v>0</v>
      </c>
      <c r="P11" s="1"/>
    </row>
    <row r="12" spans="1:16">
      <c r="A12" s="9"/>
      <c r="B12" s="10"/>
      <c r="C12" s="11"/>
      <c r="D12" s="10"/>
      <c r="E12" s="32"/>
      <c r="F12" s="32"/>
      <c r="G12" s="33"/>
      <c r="H12" s="32"/>
      <c r="I12" s="12"/>
      <c r="J12" s="12"/>
      <c r="K12" s="10"/>
      <c r="L12" s="21"/>
      <c r="M12" s="24">
        <f>SUM(B12:L12)</f>
        <v>0</v>
      </c>
      <c r="P12" s="1"/>
    </row>
    <row r="13" spans="1:16">
      <c r="A13" s="9"/>
      <c r="B13" s="10"/>
      <c r="C13" s="11"/>
      <c r="D13" s="10"/>
      <c r="E13" s="32"/>
      <c r="F13" s="32"/>
      <c r="G13" s="33"/>
      <c r="H13" s="32"/>
      <c r="I13" s="12"/>
      <c r="J13" s="12"/>
      <c r="K13" s="10"/>
      <c r="L13" s="21"/>
      <c r="M13" s="24">
        <f>SUM(B13:L13)</f>
        <v>0</v>
      </c>
      <c r="P13" s="1"/>
    </row>
    <row r="14" spans="1:16">
      <c r="A14" s="9"/>
      <c r="B14" s="10"/>
      <c r="C14" s="11"/>
      <c r="D14" s="10"/>
      <c r="E14" s="32"/>
      <c r="F14" s="32"/>
      <c r="G14" s="33"/>
      <c r="H14" s="32"/>
      <c r="I14" s="12"/>
      <c r="J14" s="12"/>
      <c r="K14" s="10"/>
      <c r="L14" s="21"/>
      <c r="M14" s="24">
        <f>SUM(B14:L14)</f>
        <v>0</v>
      </c>
      <c r="P14" s="1"/>
    </row>
    <row r="15" spans="1:16">
      <c r="A15" s="9"/>
      <c r="B15" s="10"/>
      <c r="C15" s="11"/>
      <c r="D15" s="10"/>
      <c r="E15" s="32"/>
      <c r="F15" s="32"/>
      <c r="G15" s="33"/>
      <c r="H15" s="32"/>
      <c r="I15" s="12"/>
      <c r="J15" s="12"/>
      <c r="K15" s="10"/>
      <c r="L15" s="21"/>
      <c r="M15" s="24">
        <f t="shared" si="0"/>
        <v>0</v>
      </c>
      <c r="P15" s="1"/>
    </row>
    <row r="16" spans="1:16">
      <c r="A16" s="9"/>
      <c r="B16" s="10"/>
      <c r="C16" s="11"/>
      <c r="D16" s="10"/>
      <c r="E16" s="32"/>
      <c r="F16" s="32"/>
      <c r="G16" s="33"/>
      <c r="H16" s="32"/>
      <c r="I16" s="12"/>
      <c r="J16" s="12"/>
      <c r="K16" s="10"/>
      <c r="L16" s="21"/>
      <c r="M16" s="24">
        <f t="shared" si="0"/>
        <v>0</v>
      </c>
      <c r="P16" s="1"/>
    </row>
    <row r="17" spans="1:16">
      <c r="A17" s="9"/>
      <c r="B17" s="10"/>
      <c r="C17" s="11"/>
      <c r="D17" s="10"/>
      <c r="E17" s="32"/>
      <c r="F17" s="32"/>
      <c r="G17" s="33"/>
      <c r="H17" s="32"/>
      <c r="I17" s="12"/>
      <c r="J17" s="12"/>
      <c r="K17" s="10"/>
      <c r="L17" s="21"/>
      <c r="M17" s="24">
        <f t="shared" si="0"/>
        <v>0</v>
      </c>
      <c r="P17" s="1"/>
    </row>
    <row r="18" spans="1:16">
      <c r="A18" s="9"/>
      <c r="B18" s="51"/>
      <c r="C18" s="52"/>
      <c r="D18" s="51"/>
      <c r="E18" s="53"/>
      <c r="F18" s="53"/>
      <c r="G18" s="54"/>
      <c r="H18" s="53"/>
      <c r="I18" s="55"/>
      <c r="J18" s="55"/>
      <c r="K18" s="51"/>
      <c r="L18" s="56"/>
      <c r="M18" s="57">
        <f>SUM(B18:L18)</f>
        <v>0</v>
      </c>
      <c r="P18" s="1"/>
    </row>
    <row r="19" spans="1:16">
      <c r="A19" s="9"/>
      <c r="B19" s="51"/>
      <c r="C19" s="52"/>
      <c r="D19" s="51"/>
      <c r="E19" s="53"/>
      <c r="F19" s="53"/>
      <c r="G19" s="54"/>
      <c r="H19" s="53"/>
      <c r="I19" s="55"/>
      <c r="J19" s="55"/>
      <c r="K19" s="51"/>
      <c r="L19" s="56"/>
      <c r="M19" s="57">
        <f t="shared" si="0"/>
        <v>0</v>
      </c>
      <c r="P19" s="1"/>
    </row>
    <row r="20" spans="1:16">
      <c r="A20" s="9"/>
      <c r="B20" s="10"/>
      <c r="C20" s="11"/>
      <c r="D20" s="10"/>
      <c r="E20" s="32"/>
      <c r="F20" s="32"/>
      <c r="G20" s="33"/>
      <c r="H20" s="32"/>
      <c r="I20" s="12"/>
      <c r="J20" s="12"/>
      <c r="K20" s="10"/>
      <c r="L20" s="21"/>
      <c r="M20" s="24">
        <f t="shared" si="0"/>
        <v>0</v>
      </c>
      <c r="P20" s="1"/>
    </row>
    <row r="21" spans="1:16">
      <c r="A21" s="9"/>
      <c r="B21" s="10"/>
      <c r="C21" s="11"/>
      <c r="D21" s="10"/>
      <c r="E21" s="32"/>
      <c r="F21" s="32"/>
      <c r="G21" s="33"/>
      <c r="H21" s="32"/>
      <c r="I21" s="12"/>
      <c r="J21" s="12"/>
      <c r="K21" s="10"/>
      <c r="L21" s="21"/>
      <c r="M21" s="24">
        <f t="shared" si="0"/>
        <v>0</v>
      </c>
      <c r="P21" s="1"/>
    </row>
    <row r="22" spans="1:16">
      <c r="A22" s="9"/>
      <c r="B22" s="10"/>
      <c r="C22" s="11"/>
      <c r="D22" s="10"/>
      <c r="E22" s="32"/>
      <c r="F22" s="32"/>
      <c r="G22" s="33"/>
      <c r="H22" s="32"/>
      <c r="I22" s="12"/>
      <c r="J22" s="12"/>
      <c r="K22" s="10"/>
      <c r="L22" s="21"/>
      <c r="M22" s="24">
        <f>SUM(B22:L22)</f>
        <v>0</v>
      </c>
      <c r="P22" s="1"/>
    </row>
    <row r="23" spans="1:16">
      <c r="A23" s="9"/>
      <c r="B23" s="10"/>
      <c r="C23" s="11"/>
      <c r="D23" s="10"/>
      <c r="E23" s="32"/>
      <c r="F23" s="32"/>
      <c r="G23" s="33"/>
      <c r="H23" s="32"/>
      <c r="I23" s="12"/>
      <c r="J23" s="12"/>
      <c r="K23" s="10"/>
      <c r="L23" s="21"/>
      <c r="M23" s="24">
        <f t="shared" si="0"/>
        <v>0</v>
      </c>
      <c r="P23" s="1"/>
    </row>
    <row r="24" spans="1:16">
      <c r="A24" s="9"/>
      <c r="B24" s="10"/>
      <c r="C24" s="11"/>
      <c r="D24" s="10"/>
      <c r="E24" s="32"/>
      <c r="F24" s="32"/>
      <c r="G24" s="33"/>
      <c r="H24" s="32"/>
      <c r="I24" s="12"/>
      <c r="J24" s="12"/>
      <c r="K24" s="10"/>
      <c r="L24" s="21"/>
      <c r="M24" s="24">
        <f t="shared" si="0"/>
        <v>0</v>
      </c>
      <c r="P24" s="1"/>
    </row>
    <row r="25" spans="1:16">
      <c r="A25" s="9"/>
      <c r="B25" s="10"/>
      <c r="C25" s="11"/>
      <c r="D25" s="10"/>
      <c r="E25" s="32"/>
      <c r="F25" s="32"/>
      <c r="G25" s="33"/>
      <c r="H25" s="32"/>
      <c r="I25" s="12"/>
      <c r="J25" s="12"/>
      <c r="K25" s="10"/>
      <c r="L25" s="21"/>
      <c r="M25" s="24">
        <f t="shared" si="0"/>
        <v>0</v>
      </c>
      <c r="P25" s="1"/>
    </row>
    <row r="26" spans="1:16">
      <c r="A26" s="9"/>
      <c r="B26" s="10"/>
      <c r="C26" s="11"/>
      <c r="D26" s="10"/>
      <c r="E26" s="32"/>
      <c r="F26" s="32"/>
      <c r="G26" s="33"/>
      <c r="H26" s="32"/>
      <c r="I26" s="12"/>
      <c r="J26" s="12"/>
      <c r="K26" s="10"/>
      <c r="L26" s="21"/>
      <c r="M26" s="24">
        <f t="shared" si="0"/>
        <v>0</v>
      </c>
      <c r="P26" s="1"/>
    </row>
    <row r="27" spans="1:16">
      <c r="A27" s="9"/>
      <c r="B27" s="10"/>
      <c r="C27" s="11"/>
      <c r="D27" s="10"/>
      <c r="E27" s="32"/>
      <c r="F27" s="32"/>
      <c r="G27" s="33"/>
      <c r="H27" s="32"/>
      <c r="I27" s="12"/>
      <c r="J27" s="12"/>
      <c r="K27" s="10"/>
      <c r="L27" s="21"/>
      <c r="M27" s="24">
        <f t="shared" si="0"/>
        <v>0</v>
      </c>
      <c r="P27" s="1"/>
    </row>
    <row r="28" spans="1:16">
      <c r="A28" s="9"/>
      <c r="B28" s="10"/>
      <c r="C28" s="11"/>
      <c r="D28" s="10"/>
      <c r="E28" s="32"/>
      <c r="F28" s="32"/>
      <c r="G28" s="33"/>
      <c r="H28" s="32"/>
      <c r="I28" s="12"/>
      <c r="J28" s="12"/>
      <c r="K28" s="10"/>
      <c r="L28" s="21"/>
      <c r="M28" s="24">
        <f t="shared" si="0"/>
        <v>0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1032</v>
      </c>
      <c r="C30" s="15">
        <f t="shared" si="1"/>
        <v>2736</v>
      </c>
      <c r="D30" s="15">
        <f t="shared" si="1"/>
        <v>10140</v>
      </c>
      <c r="E30" s="15">
        <f t="shared" si="1"/>
        <v>576</v>
      </c>
      <c r="F30" s="15">
        <f t="shared" si="1"/>
        <v>0</v>
      </c>
      <c r="G30" s="15">
        <f t="shared" si="1"/>
        <v>0</v>
      </c>
      <c r="H30" s="15">
        <f t="shared" si="1"/>
        <v>1152</v>
      </c>
      <c r="I30" s="15">
        <f t="shared" si="1"/>
        <v>744</v>
      </c>
      <c r="J30" s="15">
        <f t="shared" si="1"/>
        <v>13776</v>
      </c>
      <c r="K30" s="15">
        <f t="shared" si="1"/>
        <v>2856</v>
      </c>
      <c r="L30" s="15">
        <f t="shared" si="1"/>
        <v>132</v>
      </c>
      <c r="M30" s="22">
        <f t="shared" si="1"/>
        <v>33144</v>
      </c>
      <c r="P30" s="1"/>
    </row>
    <row r="31" spans="1:16" ht="15.75" thickBot="1">
      <c r="A31" s="16" t="s">
        <v>12</v>
      </c>
      <c r="B31" s="17">
        <f t="shared" ref="B31:M31" si="2">B3+B30</f>
        <v>7032</v>
      </c>
      <c r="C31" s="17">
        <f t="shared" si="2"/>
        <v>32544</v>
      </c>
      <c r="D31" s="17">
        <f t="shared" si="2"/>
        <v>221700</v>
      </c>
      <c r="E31" s="17">
        <f t="shared" si="2"/>
        <v>3120</v>
      </c>
      <c r="F31" s="17">
        <f t="shared" si="2"/>
        <v>10208</v>
      </c>
      <c r="G31" s="17">
        <f t="shared" si="2"/>
        <v>1892</v>
      </c>
      <c r="H31" s="17">
        <f t="shared" si="2"/>
        <v>56208</v>
      </c>
      <c r="I31" s="17">
        <f t="shared" si="2"/>
        <v>32280</v>
      </c>
      <c r="J31" s="17">
        <f t="shared" si="2"/>
        <v>301128</v>
      </c>
      <c r="K31" s="17">
        <f t="shared" si="2"/>
        <v>52752</v>
      </c>
      <c r="L31" s="17">
        <f t="shared" si="2"/>
        <v>14400</v>
      </c>
      <c r="M31" s="16">
        <f t="shared" si="2"/>
        <v>733264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2021-22</vt:lpstr>
      <vt:lpstr>May 2021</vt:lpstr>
      <vt:lpstr>June 2021</vt:lpstr>
      <vt:lpstr>July 2020</vt:lpstr>
      <vt:lpstr>August 2021</vt:lpstr>
      <vt:lpstr>September 2021</vt:lpstr>
      <vt:lpstr>October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2021-08-12T04:37:15Z</cp:lastPrinted>
  <dcterms:created xsi:type="dcterms:W3CDTF">2017-04-10T11:26:00Z</dcterms:created>
  <dcterms:modified xsi:type="dcterms:W3CDTF">2021-10-11T05:40:52Z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1033-11.2.0.8934</vt:lpwstr>
  </property>
  <property fmtid="{D5CDD505-2E9C-101B-9397-08002B2CF9AE}" pid="3" name="WorkbookGuid">
    <vt:lpwstr>3675465c-002e-44fa-b620-cb863add2878</vt:lpwstr>
  </property>
</Properties>
</file>