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225" yWindow="315" windowWidth="20070" windowHeight="7440" firstSheet="2" activeTab="8"/>
  </bookViews>
  <sheets>
    <sheet name="April 2021-22" sheetId="30" r:id="rId1"/>
    <sheet name="May 2021" sheetId="31" r:id="rId2"/>
    <sheet name="June 2021" sheetId="32" r:id="rId3"/>
    <sheet name="July 2020" sheetId="33" r:id="rId4"/>
    <sheet name="August 2021" sheetId="34" r:id="rId5"/>
    <sheet name="September 2021" sheetId="36" r:id="rId6"/>
    <sheet name="October 2021" sheetId="38" r:id="rId7"/>
    <sheet name="November 2021" sheetId="39" r:id="rId8"/>
    <sheet name="December 2021" sheetId="40" r:id="rId9"/>
  </sheets>
  <definedNames>
    <definedName name="_xlnm._FilterDatabase" localSheetId="0" hidden="1">'April 2021-22'!$A$12:$O$12</definedName>
    <definedName name="_xlnm._FilterDatabase" localSheetId="4" hidden="1">'August 2021'!$A$9:$O$9</definedName>
    <definedName name="_xlnm._FilterDatabase" localSheetId="8" hidden="1">'December 2021'!$A$9:$O$9</definedName>
    <definedName name="_xlnm._FilterDatabase" localSheetId="3" hidden="1">'July 2020'!$A$9:$O$9</definedName>
    <definedName name="_xlnm._FilterDatabase" localSheetId="2" hidden="1">'June 2021'!$A$9:$O$9</definedName>
    <definedName name="_xlnm._FilterDatabase" localSheetId="1" hidden="1">'May 2021'!$A$9:$O$9</definedName>
    <definedName name="_xlnm._FilterDatabase" localSheetId="7" hidden="1">'November 2021'!$A$9:$O$9</definedName>
    <definedName name="_xlnm._FilterDatabase" localSheetId="6" hidden="1">'October 2021'!$A$9:$O$9</definedName>
    <definedName name="_xlnm._FilterDatabase" localSheetId="5" hidden="1">'September 2021'!$A$9:$O$9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30" i="40"/>
  <c r="L31" s="1"/>
  <c r="K30"/>
  <c r="J30"/>
  <c r="I30"/>
  <c r="H30"/>
  <c r="G30"/>
  <c r="F30"/>
  <c r="E30"/>
  <c r="E31" s="1"/>
  <c r="D30"/>
  <c r="C30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16" i="39"/>
  <c r="I31" i="40" l="1"/>
  <c r="K31"/>
  <c r="J31"/>
  <c r="H31"/>
  <c r="G31"/>
  <c r="F31"/>
  <c r="C31"/>
  <c r="M30"/>
  <c r="M31" s="1"/>
  <c r="D31"/>
  <c r="M21" i="38"/>
  <c r="M11"/>
  <c r="L30" i="39" l="1"/>
  <c r="K30"/>
  <c r="J30"/>
  <c r="I30"/>
  <c r="H30"/>
  <c r="G30"/>
  <c r="F30"/>
  <c r="E30"/>
  <c r="D30"/>
  <c r="C30"/>
  <c r="B30"/>
  <c r="M29"/>
  <c r="M28"/>
  <c r="M27"/>
  <c r="M26"/>
  <c r="M25"/>
  <c r="M24"/>
  <c r="M23"/>
  <c r="M22"/>
  <c r="M21"/>
  <c r="M20"/>
  <c r="M19"/>
  <c r="M18"/>
  <c r="M17"/>
  <c r="M15"/>
  <c r="M14"/>
  <c r="M13"/>
  <c r="M12"/>
  <c r="M11"/>
  <c r="M10"/>
  <c r="M9"/>
  <c r="M8"/>
  <c r="M7"/>
  <c r="M6"/>
  <c r="M5"/>
  <c r="M4"/>
  <c r="L30" i="38"/>
  <c r="L31" s="1"/>
  <c r="K30"/>
  <c r="J30"/>
  <c r="I30"/>
  <c r="H30"/>
  <c r="G30"/>
  <c r="F30"/>
  <c r="E30"/>
  <c r="E31" s="1"/>
  <c r="D30"/>
  <c r="C30"/>
  <c r="B30"/>
  <c r="B31" s="1"/>
  <c r="M29"/>
  <c r="M28"/>
  <c r="M27"/>
  <c r="M26"/>
  <c r="M25"/>
  <c r="M24"/>
  <c r="M23"/>
  <c r="M22"/>
  <c r="M20"/>
  <c r="M19"/>
  <c r="M18"/>
  <c r="M17"/>
  <c r="M16"/>
  <c r="M15"/>
  <c r="M14"/>
  <c r="M13"/>
  <c r="M12"/>
  <c r="M10"/>
  <c r="M9"/>
  <c r="M8"/>
  <c r="M7"/>
  <c r="M6"/>
  <c r="M5"/>
  <c r="M4"/>
  <c r="M3"/>
  <c r="L30" i="36"/>
  <c r="L31" s="1"/>
  <c r="K30"/>
  <c r="K31" s="1"/>
  <c r="J30"/>
  <c r="J31" s="1"/>
  <c r="I30"/>
  <c r="I31" s="1"/>
  <c r="H30"/>
  <c r="H31" s="1"/>
  <c r="G30"/>
  <c r="G31" s="1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"/>
  <c r="M3" i="34"/>
  <c r="L30"/>
  <c r="L31" s="1"/>
  <c r="K30"/>
  <c r="J30"/>
  <c r="I30"/>
  <c r="I31" s="1"/>
  <c r="H30"/>
  <c r="H31" s="1"/>
  <c r="G30"/>
  <c r="F30"/>
  <c r="E30"/>
  <c r="E31" s="1"/>
  <c r="D30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3"/>
  <c r="L31" s="1"/>
  <c r="K30"/>
  <c r="J30"/>
  <c r="I30"/>
  <c r="H30"/>
  <c r="G30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2"/>
  <c r="K30"/>
  <c r="J30"/>
  <c r="I30"/>
  <c r="H30"/>
  <c r="G30"/>
  <c r="F30"/>
  <c r="E30"/>
  <c r="D30"/>
  <c r="C30"/>
  <c r="B30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0" i="31"/>
  <c r="C30"/>
  <c r="D30"/>
  <c r="E30"/>
  <c r="F30"/>
  <c r="G30"/>
  <c r="H30"/>
  <c r="I30"/>
  <c r="J30"/>
  <c r="K30"/>
  <c r="L30"/>
  <c r="M27"/>
  <c r="M28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D31" i="39" l="1"/>
  <c r="L31"/>
  <c r="C31"/>
  <c r="K31"/>
  <c r="B31"/>
  <c r="F31"/>
  <c r="J31"/>
  <c r="H31"/>
  <c r="G31"/>
  <c r="E31"/>
  <c r="I31"/>
  <c r="M30"/>
  <c r="M31" s="1"/>
  <c r="C31" i="38"/>
  <c r="G31"/>
  <c r="F31"/>
  <c r="K31"/>
  <c r="J31"/>
  <c r="I31"/>
  <c r="H31"/>
  <c r="D31"/>
  <c r="M30"/>
  <c r="M31" s="1"/>
  <c r="M30" i="36"/>
  <c r="M31" s="1"/>
  <c r="K31" i="34"/>
  <c r="J31"/>
  <c r="G31"/>
  <c r="F31"/>
  <c r="D31"/>
  <c r="M30"/>
  <c r="M31" s="1"/>
  <c r="K31" i="33"/>
  <c r="K33" s="1"/>
  <c r="J31"/>
  <c r="I31"/>
  <c r="H31"/>
  <c r="G31"/>
  <c r="M30"/>
  <c r="M31" s="1"/>
  <c r="L31" i="32"/>
  <c r="K31"/>
  <c r="J31"/>
  <c r="I31"/>
  <c r="H31"/>
  <c r="G31"/>
  <c r="E31"/>
  <c r="D31"/>
  <c r="F31"/>
  <c r="B31"/>
  <c r="C31"/>
  <c r="M31"/>
  <c r="M30" i="31"/>
  <c r="M31" s="1"/>
  <c r="B31"/>
  <c r="F31"/>
  <c r="I31"/>
  <c r="H31"/>
  <c r="C31"/>
  <c r="K31"/>
  <c r="L31"/>
  <c r="J31"/>
  <c r="G31"/>
  <c r="E31"/>
  <c r="D31"/>
  <c r="M32" i="30"/>
  <c r="M33" s="1"/>
</calcChain>
</file>

<file path=xl/sharedStrings.xml><?xml version="1.0" encoding="utf-8"?>
<sst xmlns="http://schemas.openxmlformats.org/spreadsheetml/2006/main" count="359" uniqueCount="231">
  <si>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</si>
  <si>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</si>
  <si>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</si>
  <si>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</si>
  <si>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</si>
  <si>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</si>
  <si>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</si>
  <si>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</si>
  <si>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</si>
  <si>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</si>
  <si>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</si>
  <si>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</si>
  <si>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</si>
  <si>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</si>
  <si>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</si>
  <si>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</si>
  <si>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</si>
  <si>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</si>
  <si>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</si>
  <si>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</si>
  <si>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</si>
  <si>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</si>
  <si>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</si>
  <si>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</si>
  <si>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</si>
  <si>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</si>
  <si>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</si>
  <si>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</si>
  <si>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</si>
  <si>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</si>
  <si>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</si>
  <si>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</si>
  <si>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</si>
  <si>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</si>
  <si>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</si>
  <si>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</si>
  <si>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</si>
  <si>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</si>
  <si>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</si>
  <si>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</si>
  <si>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</si>
  <si>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</si>
  <si>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</si>
  <si>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</si>
  <si>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</si>
  <si>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</si>
  <si>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</si>
  <si>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</si>
  <si>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</si>
  <si>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</si>
  <si>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</si>
  <si>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</si>
  <si>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</si>
  <si>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</si>
  <si>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</si>
  <si>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</si>
  <si>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</si>
  <si>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</si>
  <si>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</si>
  <si>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</si>
  <si>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</si>
  <si>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</si>
  <si>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</si>
  <si>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</si>
  <si>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</si>
  <si>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</si>
  <si>
    <t>01.06.2021</t>
  </si>
  <si>
    <t>PRODUCTION FOR THE MONTH OF JUNE 2021</t>
  </si>
  <si>
    <t>02.06.2021</t>
  </si>
  <si>
    <t>03.06.2021</t>
  </si>
  <si>
    <t>04.06.2021</t>
  </si>
  <si>
    <t>05.06.2021</t>
  </si>
  <si>
    <t>07.06.2021</t>
  </si>
  <si>
    <t>500GM Mukta</t>
  </si>
  <si>
    <t>08.06.2021</t>
  </si>
  <si>
    <t>09.06.2021</t>
  </si>
  <si>
    <t>10.06.2021</t>
  </si>
  <si>
    <t>11.06.2021</t>
  </si>
  <si>
    <t>12.06.2021</t>
  </si>
  <si>
    <t>14.06.2021</t>
  </si>
  <si>
    <t>15.06.2021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</si>
  <si>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</si>
  <si>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</si>
  <si>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</si>
  <si>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</si>
  <si>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</si>
  <si>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</si>
  <si>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</si>
  <si>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</si>
  <si>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</si>
  <si>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26.06.2021</t>
  </si>
  <si>
    <t>28.06.2021</t>
  </si>
  <si>
    <t>29.06.2021</t>
  </si>
  <si>
    <t>30.06.2021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</si>
  <si>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</si>
  <si>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</si>
  <si>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</si>
  <si>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</si>
  <si>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</si>
  <si>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</si>
  <si>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</si>
  <si>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</si>
  <si>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</si>
  <si>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</si>
  <si>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</si>
  <si>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</si>
  <si>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</si>
  <si>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</si>
  <si>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</si>
  <si>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</si>
  <si>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</si>
  <si>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</si>
  <si>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</si>
  <si>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</si>
  <si>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</si>
  <si>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</si>
  <si>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</si>
  <si>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</si>
  <si>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</si>
  <si>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</si>
  <si>
    <t>02.08.2021</t>
  </si>
  <si>
    <t>03.08.2021</t>
  </si>
  <si>
    <t>04.08.2021</t>
  </si>
  <si>
    <t>05.08.2021</t>
  </si>
  <si>
    <t>06.08.2021</t>
  </si>
  <si>
    <t>07.08.2021</t>
  </si>
  <si>
    <t>PRODUCTION FOR THE MONTH OF AUGUST 2021</t>
  </si>
  <si>
    <t>09.08.2021</t>
  </si>
  <si>
    <t>10.08.2021</t>
  </si>
  <si>
    <t>11.08.2021</t>
  </si>
  <si>
    <t>12.08.2021</t>
  </si>
  <si>
    <t>13.08.2021</t>
  </si>
  <si>
    <t>14.08.2021</t>
  </si>
  <si>
    <t>16.08.2021</t>
  </si>
  <si>
    <t>17.08.2021</t>
  </si>
  <si>
    <t>18.08.2021</t>
  </si>
  <si>
    <t>19.08.2021</t>
  </si>
  <si>
    <t>20.08.2021</t>
  </si>
  <si>
    <t>21.08.2021</t>
  </si>
  <si>
    <t>23.08.2021</t>
  </si>
  <si>
    <t>24.09.2021</t>
  </si>
  <si>
    <t>25.09.2021</t>
  </si>
  <si>
    <t>26.09.2021</t>
  </si>
  <si>
    <t>27.08.2021</t>
  </si>
  <si>
    <t>28.08.2021</t>
  </si>
  <si>
    <t>30.08.2021</t>
  </si>
  <si>
    <t>31.08.2021</t>
  </si>
  <si>
    <t>01.09.2021</t>
  </si>
  <si>
    <t>02.09.2021</t>
  </si>
  <si>
    <t>03.09.2021</t>
  </si>
  <si>
    <t>04.09.2021</t>
  </si>
  <si>
    <t>06.09.2021</t>
  </si>
  <si>
    <t>07.09.2021</t>
  </si>
  <si>
    <t>08.09.2021</t>
  </si>
  <si>
    <t>09.09.2021</t>
  </si>
  <si>
    <t>10.09.2021</t>
  </si>
  <si>
    <t>11.09.2021</t>
  </si>
  <si>
    <t>13.09.2021</t>
  </si>
  <si>
    <t>14.09.2021</t>
  </si>
  <si>
    <t>15.09.2021</t>
  </si>
  <si>
    <t>16.09.2021</t>
  </si>
  <si>
    <t>18.09.2021</t>
  </si>
  <si>
    <t>20.09.2021</t>
  </si>
  <si>
    <t>21.09.2021</t>
  </si>
  <si>
    <t>22.09.2021</t>
  </si>
  <si>
    <t>PRODUCTION FOR THE MONTH OF SEPTEMBER 2021</t>
  </si>
  <si>
    <t>23.09.2021</t>
  </si>
  <si>
    <t>27.09.2021</t>
  </si>
  <si>
    <t>28.09.2021</t>
  </si>
  <si>
    <t>29.09.2021</t>
  </si>
  <si>
    <t>30.09.2021</t>
  </si>
  <si>
    <t>01.10.2021</t>
  </si>
  <si>
    <t>04.10.2021</t>
  </si>
  <si>
    <t>05.10.2021</t>
  </si>
  <si>
    <t>06.10.2021</t>
  </si>
  <si>
    <t>07.10.2021</t>
  </si>
  <si>
    <t>PRODUCTION FOR THE MONTH OF OCTOBER 2021</t>
  </si>
  <si>
    <t>08.10.2021</t>
  </si>
  <si>
    <t>09.10.2021</t>
  </si>
  <si>
    <t>11.10.2021</t>
  </si>
  <si>
    <t>12.10.2021</t>
  </si>
  <si>
    <t>13.10.2021</t>
  </si>
  <si>
    <t>14.10.2021</t>
  </si>
  <si>
    <t>16.10.2021</t>
  </si>
  <si>
    <t>18.10.2021</t>
  </si>
  <si>
    <t>19.10.2021</t>
  </si>
  <si>
    <t>20.10.2021</t>
  </si>
  <si>
    <t>21.10.2021</t>
  </si>
  <si>
    <t>22.10.2021</t>
  </si>
  <si>
    <t>23.10.2021</t>
  </si>
  <si>
    <t>25.10.2021</t>
  </si>
  <si>
    <t>26.10.2021</t>
  </si>
  <si>
    <t>27.10.2021</t>
  </si>
  <si>
    <t>28.10.2021</t>
  </si>
  <si>
    <t>29.10.2021</t>
  </si>
  <si>
    <t>30.10.2021</t>
  </si>
  <si>
    <t>PRODUCTION FOR THE MONTH OF NOVEMBER 2021</t>
  </si>
  <si>
    <t>01.11.2021</t>
  </si>
  <si>
    <t>02.11.2021</t>
  </si>
  <si>
    <t>03.11.2021</t>
  </si>
  <si>
    <t>05.11.2021</t>
  </si>
  <si>
    <t>06.11.2021</t>
  </si>
  <si>
    <t>08.11.2021</t>
  </si>
  <si>
    <t>09.11.2021</t>
  </si>
  <si>
    <t>10.11.2021</t>
  </si>
  <si>
    <t>11.11.2021</t>
  </si>
  <si>
    <t>D.K STATEMENT -2021-22.xlsx</t>
  </si>
  <si>
    <t>PACKING MATEREILS STATEMENT-2021-22.xlsx</t>
  </si>
  <si>
    <t>BLENDED TEA STOCK REGISTER 2021-22.xlsx</t>
  </si>
  <si>
    <t>12.11.2021</t>
  </si>
  <si>
    <t>13.11.2021</t>
  </si>
  <si>
    <t>15.11.2021</t>
  </si>
  <si>
    <t>16.11.2021</t>
  </si>
  <si>
    <t>17.11.2021</t>
  </si>
  <si>
    <t>18.11.2021</t>
  </si>
  <si>
    <t>19.11.2021</t>
  </si>
  <si>
    <t>20.11.2021</t>
  </si>
  <si>
    <t>23.11.2021</t>
  </si>
  <si>
    <t>22.11.2021</t>
  </si>
  <si>
    <t>24.11.2021</t>
  </si>
  <si>
    <t>26.11.2021</t>
  </si>
  <si>
    <t>25.11.2021</t>
  </si>
  <si>
    <t>27.11.2021</t>
  </si>
  <si>
    <t>29.11.2021</t>
  </si>
  <si>
    <t>30.11.2021</t>
  </si>
  <si>
    <t>PRODUCTION FOR THE MONTH OF DECEMBER 2021</t>
  </si>
  <si>
    <t>01.12.2021</t>
  </si>
  <si>
    <t>02.12.2021</t>
  </si>
  <si>
    <t>04.12.2021</t>
  </si>
  <si>
    <t>03.12.2021</t>
  </si>
  <si>
    <t>06.12.2021</t>
  </si>
</sst>
</file>

<file path=xl/styles.xml><?xml version="1.0" encoding="utf-8"?>
<styleSheet xmlns="http://schemas.openxmlformats.org/spreadsheetml/2006/main">
  <fonts count="10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charset val="134"/>
    </font>
    <font>
      <u/>
      <sz val="11"/>
      <color rgb="FF00B050"/>
      <name val="Calibri"/>
      <family val="2"/>
    </font>
    <font>
      <u/>
      <sz val="11"/>
      <color rgb="FF002060"/>
      <name val="Calibri"/>
      <family val="2"/>
    </font>
    <font>
      <u/>
      <sz val="11"/>
      <color rgb="FFC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6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center"/>
    </xf>
    <xf numFmtId="1" fontId="2" fillId="0" borderId="20" xfId="0" applyNumberFormat="1" applyFont="1" applyBorder="1" applyAlignment="1">
      <alignment horizontal="center"/>
    </xf>
    <xf numFmtId="1" fontId="2" fillId="0" borderId="32" xfId="0" applyNumberFormat="1" applyFont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2" fontId="1" fillId="0" borderId="33" xfId="0" applyNumberFormat="1" applyFont="1" applyBorder="1" applyAlignment="1">
      <alignment horizontal="right"/>
    </xf>
    <xf numFmtId="14" fontId="2" fillId="0" borderId="9" xfId="0" applyNumberFormat="1" applyFont="1" applyBorder="1" applyAlignment="1">
      <alignment horizontal="center"/>
    </xf>
    <xf numFmtId="0" fontId="6" fillId="0" borderId="0" xfId="1" applyAlignment="1" applyProtection="1"/>
    <xf numFmtId="0" fontId="7" fillId="0" borderId="0" xfId="1" applyFont="1" applyAlignment="1" applyProtection="1"/>
    <xf numFmtId="0" fontId="8" fillId="0" borderId="0" xfId="1" applyFont="1" applyAlignment="1" applyProtection="1"/>
    <xf numFmtId="0" fontId="9" fillId="0" borderId="0" xfId="1" applyFont="1" applyAlignment="1" applyProtection="1"/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BLENDED%20TEA%20STOCK%20REGISTER%202021-22.xlsx" TargetMode="External"/><Relationship Id="rId2" Type="http://schemas.openxmlformats.org/officeDocument/2006/relationships/hyperlink" Target="PACKING%20MATEREILS%20STATEMENT-2021-22.xlsx" TargetMode="External"/><Relationship Id="rId1" Type="http://schemas.openxmlformats.org/officeDocument/2006/relationships/hyperlink" Target="D.K%20STATEMENT%20-2021-22.xlsx" TargetMode="Externa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BLENDED%20TEA%20STOCK%20REGISTER%202021-22.xlsx" TargetMode="External"/><Relationship Id="rId2" Type="http://schemas.openxmlformats.org/officeDocument/2006/relationships/hyperlink" Target="PACKING%20MATEREILS%20STATEMENT-2021-22.xlsx" TargetMode="External"/><Relationship Id="rId1" Type="http://schemas.openxmlformats.org/officeDocument/2006/relationships/hyperlink" Target="D.K%20STATEMENT%20-2021-22.xlsx" TargetMode="External"/><Relationship Id="rId4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00000"/>
  </sheetPr>
  <dimension ref="A1:P1945"/>
  <sheetViews>
    <sheetView workbookViewId="0">
      <pane ySplit="3" topLeftCell="A4" activePane="bottomLeft" state="frozen"/>
      <selection pane="bottomLeft" activeCell="K31" sqref="K31:L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8" t="s">
        <v>14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P1943"/>
  <sheetViews>
    <sheetView workbookViewId="0">
      <pane ySplit="3" topLeftCell="A10" activePane="bottomLeft" state="frozen"/>
      <selection pane="bottomLeft" activeCell="E25" sqref="E25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8" t="s">
        <v>40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1032</v>
      </c>
      <c r="C30" s="15">
        <f t="shared" si="1"/>
        <v>3312</v>
      </c>
      <c r="D30" s="15">
        <f t="shared" si="1"/>
        <v>22650</v>
      </c>
      <c r="E30" s="15">
        <f t="shared" si="1"/>
        <v>0</v>
      </c>
      <c r="F30" s="15">
        <f t="shared" si="1"/>
        <v>1166</v>
      </c>
      <c r="G30" s="47">
        <f t="shared" si="1"/>
        <v>638</v>
      </c>
      <c r="H30" s="48">
        <f t="shared" si="1"/>
        <v>9576</v>
      </c>
      <c r="I30" s="15">
        <f t="shared" si="1"/>
        <v>4968</v>
      </c>
      <c r="J30" s="15">
        <f t="shared" si="1"/>
        <v>37992</v>
      </c>
      <c r="K30" s="27">
        <f t="shared" si="1"/>
        <v>4560</v>
      </c>
      <c r="L30" s="28">
        <f t="shared" si="1"/>
        <v>4932</v>
      </c>
      <c r="M30" s="22">
        <f t="shared" si="1"/>
        <v>90826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10968</v>
      </c>
      <c r="D31" s="17">
        <f t="shared" si="2"/>
        <v>58530</v>
      </c>
      <c r="E31" s="17">
        <f t="shared" si="2"/>
        <v>552</v>
      </c>
      <c r="F31" s="17">
        <f t="shared" si="2"/>
        <v>3036</v>
      </c>
      <c r="G31" s="17">
        <f t="shared" si="2"/>
        <v>638</v>
      </c>
      <c r="H31" s="17">
        <f t="shared" si="2"/>
        <v>20016</v>
      </c>
      <c r="I31" s="17">
        <f t="shared" si="2"/>
        <v>10296</v>
      </c>
      <c r="J31" s="17">
        <f t="shared" si="2"/>
        <v>96360</v>
      </c>
      <c r="K31" s="17">
        <f t="shared" si="2"/>
        <v>11220</v>
      </c>
      <c r="L31" s="17">
        <f t="shared" si="2"/>
        <v>5832</v>
      </c>
      <c r="M31" s="16">
        <f t="shared" si="2"/>
        <v>219488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P1943"/>
  <sheetViews>
    <sheetView workbookViewId="0">
      <pane ySplit="3" topLeftCell="A14" activePane="bottomLeft" state="frozen"/>
      <selection pane="bottomLeft" activeCell="P20" sqref="P2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8" t="s">
        <v>67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2040</v>
      </c>
      <c r="C3" s="41">
        <v>10968</v>
      </c>
      <c r="D3" s="42">
        <v>58530</v>
      </c>
      <c r="E3" s="43">
        <v>552</v>
      </c>
      <c r="F3" s="43">
        <v>3036</v>
      </c>
      <c r="G3" s="44">
        <v>638</v>
      </c>
      <c r="H3" s="45">
        <v>20016</v>
      </c>
      <c r="I3" s="43">
        <v>10296</v>
      </c>
      <c r="J3" s="44">
        <v>96360</v>
      </c>
      <c r="K3" s="46">
        <v>11220</v>
      </c>
      <c r="L3" s="44">
        <v>5832</v>
      </c>
      <c r="M3" s="26">
        <v>219488</v>
      </c>
      <c r="N3" s="20"/>
    </row>
    <row r="4" spans="1:16">
      <c r="A4" s="9" t="s">
        <v>66</v>
      </c>
      <c r="B4" s="10"/>
      <c r="C4" s="11">
        <v>1224</v>
      </c>
      <c r="D4" s="10"/>
      <c r="E4" s="32"/>
      <c r="F4" s="32"/>
      <c r="G4" s="33"/>
      <c r="H4" s="32">
        <v>720</v>
      </c>
      <c r="I4" s="12"/>
      <c r="J4" s="12">
        <v>912</v>
      </c>
      <c r="K4" s="10">
        <v>1020</v>
      </c>
      <c r="L4" s="21"/>
      <c r="M4" s="24">
        <f t="shared" ref="M4:M29" si="0">SUM(B4:L4)</f>
        <v>3876</v>
      </c>
      <c r="P4" s="1"/>
    </row>
    <row r="5" spans="1:16">
      <c r="A5" s="9" t="s">
        <v>68</v>
      </c>
      <c r="B5" s="10"/>
      <c r="C5" s="11"/>
      <c r="D5" s="10"/>
      <c r="E5" s="32">
        <v>288</v>
      </c>
      <c r="F5" s="32"/>
      <c r="G5" s="33"/>
      <c r="H5" s="32"/>
      <c r="I5" s="12"/>
      <c r="J5" s="12">
        <v>2184</v>
      </c>
      <c r="K5" s="10"/>
      <c r="L5" s="21"/>
      <c r="M5" s="24">
        <f t="shared" si="0"/>
        <v>2472</v>
      </c>
      <c r="P5" s="1"/>
    </row>
    <row r="6" spans="1:16">
      <c r="A6" s="9" t="s">
        <v>69</v>
      </c>
      <c r="B6" s="51"/>
      <c r="C6" s="52"/>
      <c r="D6" s="51"/>
      <c r="E6" s="53">
        <v>264</v>
      </c>
      <c r="F6" s="53"/>
      <c r="G6" s="54"/>
      <c r="H6" s="53"/>
      <c r="I6" s="55"/>
      <c r="J6" s="55">
        <v>3096</v>
      </c>
      <c r="K6" s="51"/>
      <c r="L6" s="56"/>
      <c r="M6" s="24">
        <f t="shared" si="0"/>
        <v>3360</v>
      </c>
      <c r="P6" s="1"/>
    </row>
    <row r="7" spans="1:16">
      <c r="A7" s="9" t="s">
        <v>70</v>
      </c>
      <c r="B7" s="10"/>
      <c r="C7" s="13"/>
      <c r="D7" s="10">
        <v>4410</v>
      </c>
      <c r="E7" s="32"/>
      <c r="F7" s="32"/>
      <c r="G7" s="33"/>
      <c r="H7" s="32"/>
      <c r="I7" s="12"/>
      <c r="J7" s="12"/>
      <c r="K7" s="10"/>
      <c r="L7" s="21"/>
      <c r="M7" s="24">
        <f t="shared" si="0"/>
        <v>4410</v>
      </c>
      <c r="P7" s="1"/>
    </row>
    <row r="8" spans="1:16">
      <c r="A8" s="9" t="s">
        <v>71</v>
      </c>
      <c r="B8" s="10"/>
      <c r="C8" s="11"/>
      <c r="D8" s="10"/>
      <c r="E8" s="32"/>
      <c r="F8" s="32"/>
      <c r="G8" s="33"/>
      <c r="H8" s="32">
        <v>696</v>
      </c>
      <c r="I8" s="12"/>
      <c r="J8" s="12"/>
      <c r="K8" s="10">
        <v>1728</v>
      </c>
      <c r="L8" s="21"/>
      <c r="M8" s="24">
        <f t="shared" si="0"/>
        <v>2424</v>
      </c>
      <c r="P8" s="1"/>
    </row>
    <row r="9" spans="1:16">
      <c r="A9" s="9" t="s">
        <v>72</v>
      </c>
      <c r="B9" s="10"/>
      <c r="C9" s="11"/>
      <c r="D9" s="10"/>
      <c r="E9" s="32"/>
      <c r="F9" s="32"/>
      <c r="G9" s="33"/>
      <c r="H9" s="32"/>
      <c r="I9" s="12"/>
      <c r="J9" s="12">
        <v>3168</v>
      </c>
      <c r="K9" s="10">
        <v>1068</v>
      </c>
      <c r="L9" s="21"/>
      <c r="M9" s="24">
        <f t="shared" si="0"/>
        <v>4236</v>
      </c>
      <c r="P9" s="1"/>
    </row>
    <row r="10" spans="1:16">
      <c r="A10" s="9" t="s">
        <v>74</v>
      </c>
      <c r="B10" s="10"/>
      <c r="C10" s="11"/>
      <c r="D10" s="10">
        <v>2640</v>
      </c>
      <c r="E10" s="32"/>
      <c r="F10" s="32"/>
      <c r="G10" s="33"/>
      <c r="H10" s="32">
        <v>312</v>
      </c>
      <c r="I10" s="12">
        <v>384</v>
      </c>
      <c r="J10" s="12">
        <v>744</v>
      </c>
      <c r="K10" s="10"/>
      <c r="L10" s="21"/>
      <c r="M10" s="24">
        <f t="shared" si="0"/>
        <v>4080</v>
      </c>
      <c r="P10" s="1"/>
    </row>
    <row r="11" spans="1:16">
      <c r="A11" s="9" t="s">
        <v>75</v>
      </c>
      <c r="B11" s="10"/>
      <c r="C11" s="11"/>
      <c r="D11" s="10"/>
      <c r="E11" s="32"/>
      <c r="F11" s="32"/>
      <c r="G11" s="33"/>
      <c r="H11" s="32">
        <v>2208</v>
      </c>
      <c r="I11" s="12">
        <v>120</v>
      </c>
      <c r="J11" s="12"/>
      <c r="K11" s="10">
        <v>48</v>
      </c>
      <c r="L11" s="21"/>
      <c r="M11" s="24">
        <f t="shared" si="0"/>
        <v>2376</v>
      </c>
      <c r="P11" s="1"/>
    </row>
    <row r="12" spans="1:16">
      <c r="A12" s="9" t="s">
        <v>76</v>
      </c>
      <c r="B12" s="10"/>
      <c r="C12" s="11"/>
      <c r="D12" s="10"/>
      <c r="E12" s="32"/>
      <c r="F12" s="32"/>
      <c r="G12" s="33"/>
      <c r="H12" s="32">
        <v>360</v>
      </c>
      <c r="I12" s="12">
        <v>456</v>
      </c>
      <c r="J12" s="12">
        <v>3456</v>
      </c>
      <c r="K12" s="10"/>
      <c r="L12" s="21"/>
      <c r="M12" s="24">
        <f>SUM(B12:L12)</f>
        <v>4272</v>
      </c>
      <c r="P12" s="1"/>
    </row>
    <row r="13" spans="1:16">
      <c r="A13" s="9" t="s">
        <v>77</v>
      </c>
      <c r="B13" s="10"/>
      <c r="C13" s="11"/>
      <c r="D13" s="10"/>
      <c r="E13" s="32"/>
      <c r="F13" s="32"/>
      <c r="G13" s="33"/>
      <c r="H13" s="32"/>
      <c r="I13" s="12"/>
      <c r="J13" s="12">
        <v>3552</v>
      </c>
      <c r="K13" s="10">
        <v>1080</v>
      </c>
      <c r="L13" s="21"/>
      <c r="M13" s="24">
        <f>SUM(B13:L13)</f>
        <v>4632</v>
      </c>
      <c r="P13" s="1"/>
    </row>
    <row r="14" spans="1:16">
      <c r="A14" s="9" t="s">
        <v>78</v>
      </c>
      <c r="B14" s="10"/>
      <c r="C14" s="11"/>
      <c r="D14" s="10">
        <v>1800</v>
      </c>
      <c r="E14" s="32"/>
      <c r="F14" s="32"/>
      <c r="G14" s="33"/>
      <c r="H14" s="32"/>
      <c r="I14" s="12"/>
      <c r="J14" s="12">
        <v>1368</v>
      </c>
      <c r="K14" s="10">
        <v>984</v>
      </c>
      <c r="L14" s="21">
        <v>612</v>
      </c>
      <c r="M14" s="24">
        <f>SUM(B14:L14)</f>
        <v>4764</v>
      </c>
      <c r="P14" s="1"/>
    </row>
    <row r="15" spans="1:16">
      <c r="A15" s="9" t="s">
        <v>79</v>
      </c>
      <c r="B15" s="10"/>
      <c r="C15" s="11"/>
      <c r="D15" s="10">
        <v>870</v>
      </c>
      <c r="E15" s="32"/>
      <c r="F15" s="32"/>
      <c r="G15" s="33"/>
      <c r="H15" s="32"/>
      <c r="I15" s="12"/>
      <c r="J15" s="12"/>
      <c r="K15" s="10">
        <v>1788</v>
      </c>
      <c r="L15" s="21"/>
      <c r="M15" s="24">
        <f t="shared" si="0"/>
        <v>2658</v>
      </c>
      <c r="P15" s="1"/>
    </row>
    <row r="16" spans="1:16">
      <c r="A16" s="9" t="s">
        <v>80</v>
      </c>
      <c r="B16" s="10"/>
      <c r="C16" s="11"/>
      <c r="D16" s="10">
        <v>780</v>
      </c>
      <c r="E16" s="32"/>
      <c r="F16" s="32">
        <v>22</v>
      </c>
      <c r="G16" s="33"/>
      <c r="H16" s="32"/>
      <c r="I16" s="12">
        <v>528</v>
      </c>
      <c r="J16" s="12"/>
      <c r="K16" s="10"/>
      <c r="L16" s="21"/>
      <c r="M16" s="24">
        <f t="shared" si="0"/>
        <v>1330</v>
      </c>
      <c r="P16" s="1"/>
    </row>
    <row r="17" spans="1:16">
      <c r="A17" s="9" t="s">
        <v>81</v>
      </c>
      <c r="B17" s="10"/>
      <c r="C17" s="11"/>
      <c r="D17" s="10">
        <v>4230</v>
      </c>
      <c r="E17" s="32"/>
      <c r="F17" s="32"/>
      <c r="G17" s="33"/>
      <c r="H17" s="32"/>
      <c r="I17" s="12">
        <v>528</v>
      </c>
      <c r="J17" s="12">
        <v>984</v>
      </c>
      <c r="K17" s="10"/>
      <c r="L17" s="21"/>
      <c r="M17" s="24">
        <f t="shared" si="0"/>
        <v>5742</v>
      </c>
      <c r="P17" s="1"/>
    </row>
    <row r="18" spans="1:16">
      <c r="A18" s="50" t="s">
        <v>82</v>
      </c>
      <c r="B18" s="51"/>
      <c r="C18" s="52"/>
      <c r="D18" s="51"/>
      <c r="E18" s="53"/>
      <c r="F18" s="53"/>
      <c r="G18" s="54"/>
      <c r="H18" s="53"/>
      <c r="I18" s="55"/>
      <c r="J18" s="55">
        <v>3648</v>
      </c>
      <c r="K18" s="51"/>
      <c r="L18" s="56"/>
      <c r="M18" s="57">
        <f>SUM(B18:L18)</f>
        <v>3648</v>
      </c>
      <c r="P18" s="1"/>
    </row>
    <row r="19" spans="1:16">
      <c r="A19" s="50" t="s">
        <v>83</v>
      </c>
      <c r="B19" s="51"/>
      <c r="C19" s="52"/>
      <c r="D19" s="51">
        <v>3270</v>
      </c>
      <c r="E19" s="53"/>
      <c r="F19" s="53"/>
      <c r="G19" s="54"/>
      <c r="H19" s="53"/>
      <c r="I19" s="55"/>
      <c r="J19" s="55"/>
      <c r="K19" s="51"/>
      <c r="L19" s="56"/>
      <c r="M19" s="57">
        <f t="shared" si="0"/>
        <v>3270</v>
      </c>
      <c r="P19" s="1"/>
    </row>
    <row r="20" spans="1:16">
      <c r="A20" s="9" t="s">
        <v>84</v>
      </c>
      <c r="B20" s="10"/>
      <c r="C20" s="11">
        <v>288</v>
      </c>
      <c r="D20" s="10"/>
      <c r="E20" s="32"/>
      <c r="F20" s="32">
        <v>484</v>
      </c>
      <c r="G20" s="33"/>
      <c r="H20" s="32"/>
      <c r="I20" s="12"/>
      <c r="J20" s="12">
        <v>1536</v>
      </c>
      <c r="K20" s="10"/>
      <c r="L20" s="21"/>
      <c r="M20" s="24">
        <f t="shared" si="0"/>
        <v>2308</v>
      </c>
      <c r="P20" s="1"/>
    </row>
    <row r="21" spans="1:16">
      <c r="A21" s="9" t="s">
        <v>85</v>
      </c>
      <c r="B21" s="10">
        <v>552</v>
      </c>
      <c r="C21" s="11">
        <v>1872</v>
      </c>
      <c r="D21" s="10">
        <v>30</v>
      </c>
      <c r="E21" s="32"/>
      <c r="F21" s="32"/>
      <c r="G21" s="33"/>
      <c r="H21" s="32">
        <v>288</v>
      </c>
      <c r="I21" s="12">
        <v>552</v>
      </c>
      <c r="J21" s="12">
        <v>1296</v>
      </c>
      <c r="K21" s="10">
        <v>432</v>
      </c>
      <c r="L21" s="21"/>
      <c r="M21" s="24">
        <f t="shared" si="0"/>
        <v>5022</v>
      </c>
      <c r="P21" s="1"/>
    </row>
    <row r="22" spans="1:16">
      <c r="A22" s="9" t="s">
        <v>86</v>
      </c>
      <c r="B22" s="10"/>
      <c r="C22" s="11"/>
      <c r="D22" s="10">
        <v>1080</v>
      </c>
      <c r="E22" s="32"/>
      <c r="F22" s="32"/>
      <c r="G22" s="33"/>
      <c r="H22" s="32">
        <v>1104</v>
      </c>
      <c r="I22" s="12">
        <v>360</v>
      </c>
      <c r="J22" s="12"/>
      <c r="K22" s="10"/>
      <c r="L22" s="21"/>
      <c r="M22" s="24">
        <f>SUM(B22:L22)</f>
        <v>2544</v>
      </c>
      <c r="P22" s="1"/>
    </row>
    <row r="23" spans="1:16">
      <c r="A23" s="9" t="s">
        <v>87</v>
      </c>
      <c r="B23" s="10"/>
      <c r="C23" s="11"/>
      <c r="D23" s="10"/>
      <c r="E23" s="32"/>
      <c r="F23" s="32"/>
      <c r="G23" s="33"/>
      <c r="H23" s="32">
        <v>2304</v>
      </c>
      <c r="I23" s="12">
        <v>816</v>
      </c>
      <c r="J23" s="12">
        <v>3264</v>
      </c>
      <c r="K23" s="10"/>
      <c r="L23" s="21"/>
      <c r="M23" s="24">
        <f t="shared" si="0"/>
        <v>6384</v>
      </c>
      <c r="P23" s="1"/>
    </row>
    <row r="24" spans="1:16">
      <c r="A24" s="9" t="s">
        <v>88</v>
      </c>
      <c r="B24" s="10"/>
      <c r="C24" s="11"/>
      <c r="D24" s="10"/>
      <c r="E24" s="32"/>
      <c r="F24" s="32">
        <v>176</v>
      </c>
      <c r="G24" s="33"/>
      <c r="H24" s="32">
        <v>168</v>
      </c>
      <c r="I24" s="12">
        <v>720</v>
      </c>
      <c r="J24" s="12">
        <v>3048</v>
      </c>
      <c r="K24" s="10">
        <v>756</v>
      </c>
      <c r="L24" s="21"/>
      <c r="M24" s="24">
        <f t="shared" si="0"/>
        <v>4868</v>
      </c>
      <c r="P24" s="1"/>
    </row>
    <row r="25" spans="1:16">
      <c r="A25" s="9" t="s">
        <v>89</v>
      </c>
      <c r="B25" s="10">
        <v>24</v>
      </c>
      <c r="C25" s="11"/>
      <c r="D25" s="10">
        <v>1710</v>
      </c>
      <c r="E25" s="32"/>
      <c r="F25" s="32">
        <v>352</v>
      </c>
      <c r="G25" s="33"/>
      <c r="H25" s="32">
        <v>888</v>
      </c>
      <c r="I25" s="12">
        <v>144</v>
      </c>
      <c r="J25" s="12">
        <v>3552</v>
      </c>
      <c r="K25" s="10">
        <v>24</v>
      </c>
      <c r="L25" s="21"/>
      <c r="M25" s="24">
        <f t="shared" si="0"/>
        <v>6694</v>
      </c>
      <c r="P25" s="1"/>
    </row>
    <row r="26" spans="1:16">
      <c r="A26" s="9" t="s">
        <v>90</v>
      </c>
      <c r="B26" s="10"/>
      <c r="C26" s="11"/>
      <c r="D26" s="10">
        <v>3270</v>
      </c>
      <c r="E26" s="32"/>
      <c r="F26" s="32"/>
      <c r="G26" s="33"/>
      <c r="H26" s="32"/>
      <c r="I26" s="12"/>
      <c r="J26" s="12">
        <v>2760</v>
      </c>
      <c r="K26" s="10"/>
      <c r="L26" s="21"/>
      <c r="M26" s="24">
        <f t="shared" si="0"/>
        <v>6030</v>
      </c>
      <c r="P26" s="1"/>
    </row>
    <row r="27" spans="1:16">
      <c r="A27" s="9" t="s">
        <v>91</v>
      </c>
      <c r="B27" s="10"/>
      <c r="C27" s="11"/>
      <c r="D27" s="10">
        <v>5310</v>
      </c>
      <c r="E27" s="32"/>
      <c r="F27" s="32">
        <v>242</v>
      </c>
      <c r="G27" s="33"/>
      <c r="H27" s="32">
        <v>552</v>
      </c>
      <c r="I27" s="12">
        <v>336</v>
      </c>
      <c r="J27" s="12"/>
      <c r="K27" s="10">
        <v>1296</v>
      </c>
      <c r="L27" s="21"/>
      <c r="M27" s="24">
        <f t="shared" si="0"/>
        <v>7736</v>
      </c>
      <c r="P27" s="1"/>
    </row>
    <row r="28" spans="1:16">
      <c r="A28" s="9" t="s">
        <v>92</v>
      </c>
      <c r="B28" s="10"/>
      <c r="C28" s="11">
        <v>1080</v>
      </c>
      <c r="D28" s="10">
        <v>60</v>
      </c>
      <c r="E28" s="32"/>
      <c r="F28" s="32">
        <v>176</v>
      </c>
      <c r="G28" s="33"/>
      <c r="H28" s="32">
        <v>432</v>
      </c>
      <c r="I28" s="12"/>
      <c r="J28" s="12">
        <v>1128</v>
      </c>
      <c r="K28" s="10">
        <v>708</v>
      </c>
      <c r="L28" s="21"/>
      <c r="M28" s="24">
        <f t="shared" si="0"/>
        <v>3584</v>
      </c>
      <c r="P28" s="1"/>
    </row>
    <row r="29" spans="1:16" ht="15.75" thickBot="1">
      <c r="A29" s="58" t="s">
        <v>93</v>
      </c>
      <c r="B29" s="59"/>
      <c r="C29" s="13"/>
      <c r="D29" s="59">
        <v>1590</v>
      </c>
      <c r="E29" s="60"/>
      <c r="F29" s="60"/>
      <c r="G29" s="61"/>
      <c r="H29" s="60">
        <v>624</v>
      </c>
      <c r="I29" s="60"/>
      <c r="J29" s="60">
        <v>1872</v>
      </c>
      <c r="K29" s="29">
        <v>12</v>
      </c>
      <c r="L29" s="30"/>
      <c r="M29" s="24">
        <f t="shared" si="0"/>
        <v>4098</v>
      </c>
      <c r="P29" s="1"/>
    </row>
    <row r="30" spans="1:16" ht="15.75" thickBot="1">
      <c r="A30" s="14" t="s">
        <v>11</v>
      </c>
      <c r="B30" s="15">
        <f t="shared" ref="B30:M30" si="1">SUM(B4:B29)</f>
        <v>576</v>
      </c>
      <c r="C30" s="15">
        <f t="shared" si="1"/>
        <v>4464</v>
      </c>
      <c r="D30" s="15">
        <f t="shared" si="1"/>
        <v>31050</v>
      </c>
      <c r="E30" s="15">
        <f t="shared" si="1"/>
        <v>552</v>
      </c>
      <c r="F30" s="15">
        <f t="shared" si="1"/>
        <v>1452</v>
      </c>
      <c r="G30" s="15">
        <f t="shared" si="1"/>
        <v>0</v>
      </c>
      <c r="H30" s="15">
        <f t="shared" si="1"/>
        <v>10656</v>
      </c>
      <c r="I30" s="15">
        <f t="shared" si="1"/>
        <v>4944</v>
      </c>
      <c r="J30" s="15">
        <f t="shared" si="1"/>
        <v>41568</v>
      </c>
      <c r="K30" s="15">
        <f t="shared" si="1"/>
        <v>10944</v>
      </c>
      <c r="L30" s="15">
        <f t="shared" si="1"/>
        <v>612</v>
      </c>
      <c r="M30" s="22">
        <f t="shared" si="1"/>
        <v>106818</v>
      </c>
      <c r="P30" s="1"/>
    </row>
    <row r="31" spans="1:16" ht="15.75" thickBot="1">
      <c r="A31" s="16" t="s">
        <v>12</v>
      </c>
      <c r="B31" s="17">
        <f t="shared" ref="B31:M31" si="2">B3+B30</f>
        <v>2616</v>
      </c>
      <c r="C31" s="17">
        <f t="shared" si="2"/>
        <v>15432</v>
      </c>
      <c r="D31" s="17">
        <f t="shared" si="2"/>
        <v>89580</v>
      </c>
      <c r="E31" s="17">
        <f t="shared" si="2"/>
        <v>1104</v>
      </c>
      <c r="F31" s="17">
        <f t="shared" si="2"/>
        <v>4488</v>
      </c>
      <c r="G31" s="17">
        <f t="shared" si="2"/>
        <v>638</v>
      </c>
      <c r="H31" s="17">
        <f t="shared" si="2"/>
        <v>30672</v>
      </c>
      <c r="I31" s="17">
        <f t="shared" si="2"/>
        <v>15240</v>
      </c>
      <c r="J31" s="17">
        <f t="shared" si="2"/>
        <v>137928</v>
      </c>
      <c r="K31" s="17">
        <f t="shared" si="2"/>
        <v>22164</v>
      </c>
      <c r="L31" s="17">
        <f t="shared" si="2"/>
        <v>6444</v>
      </c>
      <c r="M31" s="16">
        <f t="shared" si="2"/>
        <v>326306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honeticPr fontId="5" type="noConversion"/>
  <pageMargins left="0.75" right="0.16" top="0.75" bottom="0.75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P1943"/>
  <sheetViews>
    <sheetView workbookViewId="0">
      <pane ySplit="3" topLeftCell="A4" activePane="bottomLeft" state="frozen"/>
      <selection pane="bottomLeft" activeCell="A4" sqref="A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8" t="s">
        <v>67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2616</v>
      </c>
      <c r="C3" s="44">
        <v>15432</v>
      </c>
      <c r="D3" s="42">
        <v>89580</v>
      </c>
      <c r="E3" s="43">
        <v>1104</v>
      </c>
      <c r="F3" s="43">
        <v>4488</v>
      </c>
      <c r="G3" s="44">
        <v>638</v>
      </c>
      <c r="H3" s="45">
        <v>30672</v>
      </c>
      <c r="I3" s="43">
        <v>15240</v>
      </c>
      <c r="J3" s="44">
        <v>137928</v>
      </c>
      <c r="K3" s="46">
        <v>22164</v>
      </c>
      <c r="L3" s="44">
        <v>6444</v>
      </c>
      <c r="M3" s="26">
        <v>326306</v>
      </c>
      <c r="N3" s="20"/>
    </row>
    <row r="4" spans="1:16">
      <c r="A4" s="9" t="s">
        <v>94</v>
      </c>
      <c r="B4" s="10"/>
      <c r="C4" s="11"/>
      <c r="D4" s="10"/>
      <c r="E4" s="32"/>
      <c r="F4" s="32"/>
      <c r="G4" s="33"/>
      <c r="H4" s="32">
        <v>720</v>
      </c>
      <c r="I4" s="12">
        <v>696</v>
      </c>
      <c r="J4" s="12">
        <v>768</v>
      </c>
      <c r="K4" s="10">
        <v>408</v>
      </c>
      <c r="L4" s="21"/>
      <c r="M4" s="24">
        <f t="shared" ref="M4:M29" si="0">SUM(B4:L4)</f>
        <v>2592</v>
      </c>
      <c r="P4" s="1"/>
    </row>
    <row r="5" spans="1:16">
      <c r="A5" s="9" t="s">
        <v>95</v>
      </c>
      <c r="B5" s="10"/>
      <c r="C5" s="11"/>
      <c r="D5" s="10"/>
      <c r="E5" s="32"/>
      <c r="F5" s="32"/>
      <c r="G5" s="33"/>
      <c r="H5" s="32"/>
      <c r="I5" s="12"/>
      <c r="J5" s="12">
        <v>3384</v>
      </c>
      <c r="K5" s="10"/>
      <c r="L5" s="21"/>
      <c r="M5" s="24">
        <f t="shared" si="0"/>
        <v>3384</v>
      </c>
      <c r="P5" s="1"/>
    </row>
    <row r="6" spans="1:16">
      <c r="A6" s="9" t="s">
        <v>96</v>
      </c>
      <c r="B6" s="51"/>
      <c r="C6" s="52"/>
      <c r="D6" s="51"/>
      <c r="E6" s="53"/>
      <c r="F6" s="53"/>
      <c r="G6" s="54"/>
      <c r="H6" s="53">
        <v>624</v>
      </c>
      <c r="I6" s="55">
        <v>312</v>
      </c>
      <c r="J6" s="55">
        <v>3192</v>
      </c>
      <c r="K6" s="51"/>
      <c r="L6" s="56"/>
      <c r="M6" s="24">
        <f t="shared" si="0"/>
        <v>4128</v>
      </c>
      <c r="P6" s="1"/>
    </row>
    <row r="7" spans="1:16">
      <c r="A7" s="9" t="s">
        <v>97</v>
      </c>
      <c r="B7" s="10"/>
      <c r="C7" s="13"/>
      <c r="D7" s="10"/>
      <c r="E7" s="32">
        <v>48</v>
      </c>
      <c r="F7" s="32">
        <v>198</v>
      </c>
      <c r="G7" s="33"/>
      <c r="H7" s="32"/>
      <c r="I7" s="12"/>
      <c r="J7" s="12">
        <v>3072</v>
      </c>
      <c r="K7" s="10"/>
      <c r="L7" s="21"/>
      <c r="M7" s="24">
        <f t="shared" si="0"/>
        <v>3318</v>
      </c>
      <c r="P7" s="1"/>
    </row>
    <row r="8" spans="1:16">
      <c r="A8" s="9" t="s">
        <v>98</v>
      </c>
      <c r="B8" s="10"/>
      <c r="C8" s="11"/>
      <c r="D8" s="10">
        <v>3120</v>
      </c>
      <c r="E8" s="32">
        <v>696</v>
      </c>
      <c r="F8" s="32">
        <v>308</v>
      </c>
      <c r="G8" s="33"/>
      <c r="H8" s="32">
        <v>24</v>
      </c>
      <c r="I8" s="12"/>
      <c r="J8" s="12"/>
      <c r="K8" s="10">
        <v>1464</v>
      </c>
      <c r="L8" s="21"/>
      <c r="M8" s="24">
        <f t="shared" si="0"/>
        <v>5612</v>
      </c>
      <c r="P8" s="1"/>
    </row>
    <row r="9" spans="1:16">
      <c r="A9" s="9" t="s">
        <v>99</v>
      </c>
      <c r="B9" s="10"/>
      <c r="C9" s="11"/>
      <c r="D9" s="10">
        <v>2400</v>
      </c>
      <c r="E9" s="32"/>
      <c r="F9" s="32"/>
      <c r="G9" s="33"/>
      <c r="H9" s="32"/>
      <c r="I9" s="12"/>
      <c r="J9" s="12"/>
      <c r="K9" s="10"/>
      <c r="L9" s="21"/>
      <c r="M9" s="24">
        <f t="shared" si="0"/>
        <v>2400</v>
      </c>
      <c r="P9" s="1"/>
    </row>
    <row r="10" spans="1:16">
      <c r="A10" s="9" t="s">
        <v>100</v>
      </c>
      <c r="B10" s="10"/>
      <c r="C10" s="11"/>
      <c r="D10" s="10">
        <v>2100</v>
      </c>
      <c r="E10" s="32"/>
      <c r="F10" s="32">
        <v>110</v>
      </c>
      <c r="G10" s="33"/>
      <c r="H10" s="32">
        <v>888</v>
      </c>
      <c r="I10" s="12">
        <v>456</v>
      </c>
      <c r="J10" s="12">
        <v>984</v>
      </c>
      <c r="K10" s="10">
        <v>600</v>
      </c>
      <c r="L10" s="21"/>
      <c r="M10" s="24">
        <f t="shared" si="0"/>
        <v>5138</v>
      </c>
      <c r="P10" s="1"/>
    </row>
    <row r="11" spans="1:16">
      <c r="A11" s="9" t="s">
        <v>101</v>
      </c>
      <c r="B11" s="10"/>
      <c r="C11" s="11"/>
      <c r="D11" s="10">
        <v>4050</v>
      </c>
      <c r="E11" s="32"/>
      <c r="F11" s="32">
        <v>88</v>
      </c>
      <c r="G11" s="33">
        <v>132</v>
      </c>
      <c r="H11" s="32"/>
      <c r="I11" s="12"/>
      <c r="J11" s="12">
        <v>2688</v>
      </c>
      <c r="K11" s="10"/>
      <c r="L11" s="21"/>
      <c r="M11" s="24">
        <f t="shared" si="0"/>
        <v>6958</v>
      </c>
      <c r="P11" s="1"/>
    </row>
    <row r="12" spans="1:16">
      <c r="A12" s="9" t="s">
        <v>102</v>
      </c>
      <c r="B12" s="10"/>
      <c r="C12" s="11"/>
      <c r="D12" s="10"/>
      <c r="E12" s="32"/>
      <c r="F12" s="32"/>
      <c r="G12" s="33">
        <v>176</v>
      </c>
      <c r="H12" s="32">
        <v>1056</v>
      </c>
      <c r="I12" s="12">
        <v>432</v>
      </c>
      <c r="J12" s="12">
        <v>192</v>
      </c>
      <c r="K12" s="10">
        <v>1704</v>
      </c>
      <c r="L12" s="21"/>
      <c r="M12" s="24">
        <f>SUM(B12:L12)</f>
        <v>3560</v>
      </c>
      <c r="P12" s="1"/>
    </row>
    <row r="13" spans="1:16">
      <c r="A13" s="9" t="s">
        <v>103</v>
      </c>
      <c r="B13" s="10"/>
      <c r="C13" s="11"/>
      <c r="D13" s="10">
        <v>4320</v>
      </c>
      <c r="E13" s="32"/>
      <c r="F13" s="32">
        <v>154</v>
      </c>
      <c r="G13" s="33"/>
      <c r="H13" s="32"/>
      <c r="I13" s="12"/>
      <c r="J13" s="12">
        <v>1224</v>
      </c>
      <c r="K13" s="10">
        <v>864</v>
      </c>
      <c r="L13" s="21"/>
      <c r="M13" s="24">
        <f>SUM(B13:L13)</f>
        <v>6562</v>
      </c>
      <c r="P13" s="1"/>
    </row>
    <row r="14" spans="1:16">
      <c r="A14" s="9" t="s">
        <v>104</v>
      </c>
      <c r="B14" s="10"/>
      <c r="C14" s="11"/>
      <c r="D14" s="10">
        <v>660</v>
      </c>
      <c r="E14" s="32"/>
      <c r="F14" s="32">
        <v>44</v>
      </c>
      <c r="G14" s="33"/>
      <c r="H14" s="32"/>
      <c r="I14" s="12"/>
      <c r="J14" s="12">
        <v>3096</v>
      </c>
      <c r="K14" s="10"/>
      <c r="L14" s="21"/>
      <c r="M14" s="24">
        <f>SUM(B14:L14)</f>
        <v>3800</v>
      </c>
      <c r="P14" s="1"/>
    </row>
    <row r="15" spans="1:16">
      <c r="A15" s="9" t="s">
        <v>105</v>
      </c>
      <c r="B15" s="10"/>
      <c r="C15" s="11"/>
      <c r="D15" s="10">
        <v>5280</v>
      </c>
      <c r="E15" s="32"/>
      <c r="F15" s="32"/>
      <c r="G15" s="33"/>
      <c r="H15" s="32"/>
      <c r="I15" s="12"/>
      <c r="J15" s="12">
        <v>120</v>
      </c>
      <c r="K15" s="10"/>
      <c r="L15" s="21"/>
      <c r="M15" s="24">
        <f t="shared" si="0"/>
        <v>5400</v>
      </c>
      <c r="P15" s="1"/>
    </row>
    <row r="16" spans="1:16">
      <c r="A16" s="9" t="s">
        <v>106</v>
      </c>
      <c r="B16" s="10">
        <v>192</v>
      </c>
      <c r="C16" s="11">
        <v>1080</v>
      </c>
      <c r="D16" s="10">
        <v>2670</v>
      </c>
      <c r="E16" s="32"/>
      <c r="F16" s="32">
        <v>308</v>
      </c>
      <c r="G16" s="33"/>
      <c r="H16" s="32">
        <v>216</v>
      </c>
      <c r="I16" s="12">
        <v>600</v>
      </c>
      <c r="J16" s="12">
        <v>2784</v>
      </c>
      <c r="K16" s="10"/>
      <c r="L16" s="21"/>
      <c r="M16" s="24">
        <f t="shared" si="0"/>
        <v>7850</v>
      </c>
      <c r="P16" s="1"/>
    </row>
    <row r="17" spans="1:16">
      <c r="A17" s="9" t="s">
        <v>107</v>
      </c>
      <c r="B17" s="10"/>
      <c r="C17" s="11"/>
      <c r="D17" s="10">
        <v>2970</v>
      </c>
      <c r="E17" s="32"/>
      <c r="F17" s="32"/>
      <c r="G17" s="33"/>
      <c r="H17" s="32">
        <v>1704</v>
      </c>
      <c r="I17" s="12">
        <v>888</v>
      </c>
      <c r="J17" s="12">
        <v>288</v>
      </c>
      <c r="K17" s="10">
        <v>72</v>
      </c>
      <c r="L17" s="21"/>
      <c r="M17" s="24">
        <f t="shared" si="0"/>
        <v>5922</v>
      </c>
      <c r="P17" s="1"/>
    </row>
    <row r="18" spans="1:16">
      <c r="A18" s="9" t="s">
        <v>108</v>
      </c>
      <c r="B18" s="51"/>
      <c r="C18" s="52"/>
      <c r="D18" s="51">
        <v>1260</v>
      </c>
      <c r="E18" s="53"/>
      <c r="F18" s="53"/>
      <c r="G18" s="54"/>
      <c r="H18" s="53"/>
      <c r="I18" s="55"/>
      <c r="J18" s="55"/>
      <c r="K18" s="51">
        <v>504</v>
      </c>
      <c r="L18" s="56"/>
      <c r="M18" s="57">
        <f>SUM(B18:L18)</f>
        <v>1764</v>
      </c>
      <c r="P18" s="1"/>
    </row>
    <row r="19" spans="1:16">
      <c r="A19" s="9" t="s">
        <v>109</v>
      </c>
      <c r="B19" s="51"/>
      <c r="C19" s="52"/>
      <c r="D19" s="51"/>
      <c r="E19" s="53"/>
      <c r="F19" s="53">
        <v>308</v>
      </c>
      <c r="G19" s="54"/>
      <c r="H19" s="53"/>
      <c r="I19" s="55"/>
      <c r="J19" s="55">
        <v>4152</v>
      </c>
      <c r="K19" s="51"/>
      <c r="L19" s="56"/>
      <c r="M19" s="57">
        <f t="shared" si="0"/>
        <v>4460</v>
      </c>
      <c r="P19" s="1"/>
    </row>
    <row r="20" spans="1:16">
      <c r="A20" s="9" t="s">
        <v>110</v>
      </c>
      <c r="B20" s="10"/>
      <c r="C20" s="11"/>
      <c r="D20" s="10">
        <v>1920</v>
      </c>
      <c r="E20" s="32"/>
      <c r="F20" s="32">
        <v>110</v>
      </c>
      <c r="G20" s="33"/>
      <c r="H20" s="32">
        <v>504</v>
      </c>
      <c r="I20" s="12">
        <v>384</v>
      </c>
      <c r="J20" s="12">
        <v>5184</v>
      </c>
      <c r="K20" s="10">
        <v>1176</v>
      </c>
      <c r="L20" s="21"/>
      <c r="M20" s="24">
        <f t="shared" si="0"/>
        <v>9278</v>
      </c>
      <c r="P20" s="1"/>
    </row>
    <row r="21" spans="1:16">
      <c r="A21" s="9" t="s">
        <v>111</v>
      </c>
      <c r="B21" s="10">
        <v>240</v>
      </c>
      <c r="C21" s="11">
        <v>816</v>
      </c>
      <c r="D21" s="10">
        <v>3630</v>
      </c>
      <c r="E21" s="32"/>
      <c r="F21" s="32"/>
      <c r="G21" s="33"/>
      <c r="H21" s="32"/>
      <c r="I21" s="12"/>
      <c r="J21" s="12">
        <v>1080</v>
      </c>
      <c r="K21" s="10">
        <v>1296</v>
      </c>
      <c r="L21" s="21"/>
      <c r="M21" s="24">
        <f t="shared" si="0"/>
        <v>7062</v>
      </c>
      <c r="P21" s="1"/>
    </row>
    <row r="22" spans="1:16">
      <c r="A22" s="9" t="s">
        <v>112</v>
      </c>
      <c r="B22" s="10">
        <v>552</v>
      </c>
      <c r="C22" s="11"/>
      <c r="D22" s="10">
        <v>1920</v>
      </c>
      <c r="E22" s="32"/>
      <c r="F22" s="32">
        <v>154</v>
      </c>
      <c r="G22" s="33"/>
      <c r="H22" s="32">
        <v>552</v>
      </c>
      <c r="I22" s="12">
        <v>216</v>
      </c>
      <c r="J22" s="12"/>
      <c r="K22" s="10"/>
      <c r="L22" s="21">
        <v>12</v>
      </c>
      <c r="M22" s="24">
        <f>SUM(B22:L22)</f>
        <v>3406</v>
      </c>
      <c r="P22" s="1"/>
    </row>
    <row r="23" spans="1:16">
      <c r="A23" s="9" t="s">
        <v>113</v>
      </c>
      <c r="B23" s="10">
        <v>24</v>
      </c>
      <c r="C23" s="11"/>
      <c r="D23" s="10">
        <v>3450</v>
      </c>
      <c r="E23" s="32"/>
      <c r="F23" s="32">
        <v>374</v>
      </c>
      <c r="G23" s="33"/>
      <c r="H23" s="32"/>
      <c r="I23" s="12"/>
      <c r="J23" s="12"/>
      <c r="K23" s="10"/>
      <c r="L23" s="21"/>
      <c r="M23" s="24">
        <f t="shared" si="0"/>
        <v>3848</v>
      </c>
      <c r="P23" s="1"/>
    </row>
    <row r="24" spans="1:16">
      <c r="A24" s="9" t="s">
        <v>114</v>
      </c>
      <c r="B24" s="10"/>
      <c r="C24" s="11">
        <v>2016</v>
      </c>
      <c r="D24" s="10"/>
      <c r="E24" s="32"/>
      <c r="F24" s="32"/>
      <c r="G24" s="33"/>
      <c r="H24" s="32"/>
      <c r="I24" s="12">
        <v>528</v>
      </c>
      <c r="J24" s="12">
        <v>1776</v>
      </c>
      <c r="K24" s="10"/>
      <c r="L24" s="21"/>
      <c r="M24" s="24">
        <f t="shared" si="0"/>
        <v>4320</v>
      </c>
      <c r="P24" s="1"/>
    </row>
    <row r="25" spans="1:16">
      <c r="A25" s="9" t="s">
        <v>115</v>
      </c>
      <c r="B25" s="10"/>
      <c r="C25" s="11"/>
      <c r="D25" s="10">
        <v>450</v>
      </c>
      <c r="E25" s="32"/>
      <c r="F25" s="32"/>
      <c r="G25" s="33"/>
      <c r="H25" s="32">
        <v>1104</v>
      </c>
      <c r="I25" s="12">
        <v>504</v>
      </c>
      <c r="J25" s="12">
        <v>2496</v>
      </c>
      <c r="K25" s="10">
        <v>1428</v>
      </c>
      <c r="L25" s="21"/>
      <c r="M25" s="24">
        <f t="shared" si="0"/>
        <v>5982</v>
      </c>
      <c r="P25" s="1"/>
    </row>
    <row r="26" spans="1:16">
      <c r="A26" s="9" t="s">
        <v>116</v>
      </c>
      <c r="B26" s="10"/>
      <c r="C26" s="11"/>
      <c r="D26" s="10"/>
      <c r="E26" s="32"/>
      <c r="F26" s="32"/>
      <c r="G26" s="33"/>
      <c r="H26" s="32"/>
      <c r="I26" s="12"/>
      <c r="J26" s="12">
        <v>4416</v>
      </c>
      <c r="K26" s="10"/>
      <c r="L26" s="21"/>
      <c r="M26" s="24">
        <f t="shared" si="0"/>
        <v>4416</v>
      </c>
      <c r="P26" s="1"/>
    </row>
    <row r="27" spans="1:16">
      <c r="A27" s="9" t="s">
        <v>117</v>
      </c>
      <c r="B27" s="10"/>
      <c r="C27" s="11"/>
      <c r="D27" s="10">
        <v>1680</v>
      </c>
      <c r="E27" s="32"/>
      <c r="F27" s="32"/>
      <c r="G27" s="33"/>
      <c r="H27" s="32">
        <v>528</v>
      </c>
      <c r="I27" s="12">
        <v>528</v>
      </c>
      <c r="J27" s="12">
        <v>2496</v>
      </c>
      <c r="K27" s="10"/>
      <c r="L27" s="21"/>
      <c r="M27" s="24">
        <f t="shared" si="0"/>
        <v>5232</v>
      </c>
      <c r="P27" s="1"/>
    </row>
    <row r="28" spans="1:16">
      <c r="A28" s="9" t="s">
        <v>118</v>
      </c>
      <c r="B28" s="10"/>
      <c r="C28" s="11"/>
      <c r="D28" s="10"/>
      <c r="E28" s="32"/>
      <c r="F28" s="32"/>
      <c r="G28" s="33"/>
      <c r="H28" s="32">
        <v>720</v>
      </c>
      <c r="I28" s="12">
        <v>48</v>
      </c>
      <c r="J28" s="12">
        <v>5088</v>
      </c>
      <c r="K28" s="10">
        <v>924</v>
      </c>
      <c r="L28" s="21"/>
      <c r="M28" s="24">
        <f t="shared" si="0"/>
        <v>6780</v>
      </c>
      <c r="P28" s="1"/>
    </row>
    <row r="29" spans="1:16" ht="15.75" thickBot="1">
      <c r="A29" s="58" t="s">
        <v>119</v>
      </c>
      <c r="B29" s="59"/>
      <c r="C29" s="13">
        <v>24</v>
      </c>
      <c r="D29" s="59"/>
      <c r="E29" s="60"/>
      <c r="F29" s="60"/>
      <c r="G29" s="61"/>
      <c r="H29" s="60">
        <v>840</v>
      </c>
      <c r="I29" s="60">
        <v>1104</v>
      </c>
      <c r="J29" s="60">
        <v>3696</v>
      </c>
      <c r="K29" s="29">
        <v>156</v>
      </c>
      <c r="L29" s="30"/>
      <c r="M29" s="24">
        <f t="shared" si="0"/>
        <v>5820</v>
      </c>
      <c r="P29" s="1"/>
    </row>
    <row r="30" spans="1:16" ht="15.75" thickBot="1">
      <c r="A30" s="14" t="s">
        <v>11</v>
      </c>
      <c r="B30" s="15">
        <f t="shared" ref="B30:M30" si="1">SUM(B4:B29)</f>
        <v>1008</v>
      </c>
      <c r="C30" s="15">
        <f t="shared" si="1"/>
        <v>3936</v>
      </c>
      <c r="D30" s="15">
        <f t="shared" si="1"/>
        <v>41880</v>
      </c>
      <c r="E30" s="15">
        <f t="shared" si="1"/>
        <v>744</v>
      </c>
      <c r="F30" s="15">
        <f t="shared" si="1"/>
        <v>2156</v>
      </c>
      <c r="G30" s="15">
        <f t="shared" si="1"/>
        <v>308</v>
      </c>
      <c r="H30" s="15">
        <f t="shared" si="1"/>
        <v>9480</v>
      </c>
      <c r="I30" s="15">
        <f t="shared" si="1"/>
        <v>6696</v>
      </c>
      <c r="J30" s="15">
        <f t="shared" si="1"/>
        <v>52176</v>
      </c>
      <c r="K30" s="15">
        <f t="shared" si="1"/>
        <v>10596</v>
      </c>
      <c r="L30" s="15">
        <f t="shared" si="1"/>
        <v>12</v>
      </c>
      <c r="M30" s="22">
        <f t="shared" si="1"/>
        <v>128992</v>
      </c>
      <c r="P30" s="1"/>
    </row>
    <row r="31" spans="1:16" ht="15.75" thickBot="1">
      <c r="A31" s="16" t="s">
        <v>12</v>
      </c>
      <c r="B31" s="17">
        <f t="shared" ref="B31:M31" si="2">B3+B30</f>
        <v>3624</v>
      </c>
      <c r="C31" s="17">
        <f t="shared" si="2"/>
        <v>19368</v>
      </c>
      <c r="D31" s="17">
        <f t="shared" si="2"/>
        <v>131460</v>
      </c>
      <c r="E31" s="17">
        <f t="shared" si="2"/>
        <v>1848</v>
      </c>
      <c r="F31" s="17">
        <f t="shared" si="2"/>
        <v>6644</v>
      </c>
      <c r="G31" s="17">
        <f t="shared" si="2"/>
        <v>946</v>
      </c>
      <c r="H31" s="17">
        <f t="shared" si="2"/>
        <v>40152</v>
      </c>
      <c r="I31" s="17">
        <f t="shared" si="2"/>
        <v>21936</v>
      </c>
      <c r="J31" s="17">
        <f t="shared" si="2"/>
        <v>190104</v>
      </c>
      <c r="K31" s="17">
        <f t="shared" si="2"/>
        <v>32760</v>
      </c>
      <c r="L31" s="17">
        <f t="shared" si="2"/>
        <v>6456</v>
      </c>
      <c r="M31" s="16">
        <f t="shared" si="2"/>
        <v>455298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K33">
        <f>K31*2</f>
        <v>65520</v>
      </c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2D050"/>
  </sheetPr>
  <dimension ref="A1:P1943"/>
  <sheetViews>
    <sheetView workbookViewId="0">
      <pane ySplit="3" topLeftCell="A17" activePane="bottomLeft" state="frozen"/>
      <selection pane="bottomLeft" activeCell="M31" sqref="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8" t="s">
        <v>126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3624</v>
      </c>
      <c r="C3" s="44">
        <v>19368</v>
      </c>
      <c r="D3" s="42">
        <v>131460</v>
      </c>
      <c r="E3" s="43">
        <v>1848</v>
      </c>
      <c r="F3" s="43">
        <v>6644</v>
      </c>
      <c r="G3" s="44">
        <v>946</v>
      </c>
      <c r="H3" s="45">
        <v>40152</v>
      </c>
      <c r="I3" s="43">
        <v>21936</v>
      </c>
      <c r="J3" s="44">
        <v>190104</v>
      </c>
      <c r="K3" s="46">
        <v>32760</v>
      </c>
      <c r="L3" s="44">
        <v>6456</v>
      </c>
      <c r="M3" s="26">
        <f>SUM(B3:L3)</f>
        <v>455298</v>
      </c>
      <c r="N3" s="20"/>
    </row>
    <row r="4" spans="1:16">
      <c r="A4" s="63" t="s">
        <v>120</v>
      </c>
      <c r="B4" s="10">
        <v>24</v>
      </c>
      <c r="C4" s="11"/>
      <c r="D4" s="10">
        <v>1080</v>
      </c>
      <c r="E4" s="32"/>
      <c r="F4" s="32"/>
      <c r="G4" s="33"/>
      <c r="H4" s="32">
        <v>336</v>
      </c>
      <c r="I4" s="12">
        <v>768</v>
      </c>
      <c r="J4" s="12"/>
      <c r="K4" s="10"/>
      <c r="L4" s="21"/>
      <c r="M4" s="24">
        <f t="shared" ref="M4:M29" si="0">SUM(B4:L4)</f>
        <v>2208</v>
      </c>
      <c r="P4" s="1"/>
    </row>
    <row r="5" spans="1:16">
      <c r="A5" s="9" t="s">
        <v>121</v>
      </c>
      <c r="B5" s="10"/>
      <c r="C5" s="11"/>
      <c r="D5" s="10"/>
      <c r="E5" s="32"/>
      <c r="F5" s="32"/>
      <c r="G5" s="33"/>
      <c r="H5" s="32"/>
      <c r="I5" s="12"/>
      <c r="J5" s="12">
        <v>2160</v>
      </c>
      <c r="K5" s="10"/>
      <c r="L5" s="21"/>
      <c r="M5" s="24">
        <f t="shared" si="0"/>
        <v>2160</v>
      </c>
      <c r="P5" s="1"/>
    </row>
    <row r="6" spans="1:16">
      <c r="A6" s="9" t="s">
        <v>122</v>
      </c>
      <c r="B6" s="51"/>
      <c r="C6" s="52">
        <v>1800</v>
      </c>
      <c r="D6" s="51"/>
      <c r="E6" s="53"/>
      <c r="F6" s="53">
        <v>264</v>
      </c>
      <c r="G6" s="54"/>
      <c r="H6" s="53"/>
      <c r="I6" s="55"/>
      <c r="J6" s="55">
        <v>1344</v>
      </c>
      <c r="K6" s="51">
        <v>540</v>
      </c>
      <c r="L6" s="56"/>
      <c r="M6" s="24">
        <f t="shared" si="0"/>
        <v>3948</v>
      </c>
      <c r="P6" s="1"/>
    </row>
    <row r="7" spans="1:16">
      <c r="A7" s="9" t="s">
        <v>123</v>
      </c>
      <c r="B7" s="10"/>
      <c r="C7" s="13"/>
      <c r="D7" s="10"/>
      <c r="E7" s="32"/>
      <c r="F7" s="32">
        <v>176</v>
      </c>
      <c r="G7" s="33"/>
      <c r="H7" s="32"/>
      <c r="I7" s="12"/>
      <c r="J7" s="12">
        <v>3168</v>
      </c>
      <c r="K7" s="10">
        <v>540</v>
      </c>
      <c r="L7" s="21"/>
      <c r="M7" s="24">
        <f t="shared" si="0"/>
        <v>3884</v>
      </c>
      <c r="P7" s="1"/>
    </row>
    <row r="8" spans="1:16">
      <c r="A8" s="9" t="s">
        <v>124</v>
      </c>
      <c r="B8" s="10"/>
      <c r="C8" s="11"/>
      <c r="D8" s="10"/>
      <c r="E8" s="32"/>
      <c r="F8" s="32">
        <v>264</v>
      </c>
      <c r="G8" s="33"/>
      <c r="H8" s="32"/>
      <c r="I8" s="12"/>
      <c r="J8" s="12">
        <v>3144</v>
      </c>
      <c r="K8" s="10"/>
      <c r="L8" s="21"/>
      <c r="M8" s="24">
        <f t="shared" si="0"/>
        <v>3408</v>
      </c>
      <c r="P8" s="1"/>
    </row>
    <row r="9" spans="1:16">
      <c r="A9" s="9" t="s">
        <v>125</v>
      </c>
      <c r="B9" s="10"/>
      <c r="C9" s="11"/>
      <c r="D9" s="10">
        <v>2970</v>
      </c>
      <c r="E9" s="32"/>
      <c r="F9" s="32">
        <v>374</v>
      </c>
      <c r="G9" s="33"/>
      <c r="H9" s="32"/>
      <c r="I9" s="12"/>
      <c r="J9" s="12">
        <v>2016</v>
      </c>
      <c r="K9" s="10">
        <v>1488</v>
      </c>
      <c r="L9" s="21"/>
      <c r="M9" s="24">
        <f t="shared" si="0"/>
        <v>6848</v>
      </c>
      <c r="P9" s="1"/>
    </row>
    <row r="10" spans="1:16">
      <c r="A10" s="9" t="s">
        <v>127</v>
      </c>
      <c r="B10" s="10"/>
      <c r="C10" s="11"/>
      <c r="D10" s="10">
        <v>2760</v>
      </c>
      <c r="E10" s="32"/>
      <c r="F10" s="32"/>
      <c r="G10" s="33"/>
      <c r="H10" s="32"/>
      <c r="I10" s="12"/>
      <c r="J10" s="12">
        <v>1824</v>
      </c>
      <c r="K10" s="10">
        <v>504</v>
      </c>
      <c r="L10" s="21"/>
      <c r="M10" s="24">
        <f t="shared" si="0"/>
        <v>5088</v>
      </c>
      <c r="P10" s="1"/>
    </row>
    <row r="11" spans="1:16">
      <c r="A11" s="9" t="s">
        <v>128</v>
      </c>
      <c r="B11" s="10"/>
      <c r="C11" s="11"/>
      <c r="D11" s="10">
        <v>1710</v>
      </c>
      <c r="E11" s="32"/>
      <c r="F11" s="32"/>
      <c r="G11" s="33"/>
      <c r="H11" s="32"/>
      <c r="I11" s="12"/>
      <c r="J11" s="12">
        <v>1632</v>
      </c>
      <c r="K11" s="10"/>
      <c r="L11" s="21"/>
      <c r="M11" s="24">
        <f t="shared" si="0"/>
        <v>3342</v>
      </c>
      <c r="P11" s="1"/>
    </row>
    <row r="12" spans="1:16">
      <c r="A12" s="9" t="s">
        <v>129</v>
      </c>
      <c r="B12" s="10"/>
      <c r="C12" s="11"/>
      <c r="D12" s="10">
        <v>2610</v>
      </c>
      <c r="E12" s="32"/>
      <c r="F12" s="32"/>
      <c r="G12" s="33"/>
      <c r="H12" s="32">
        <v>216</v>
      </c>
      <c r="I12" s="12"/>
      <c r="J12" s="12">
        <v>2856</v>
      </c>
      <c r="K12" s="10"/>
      <c r="L12" s="21"/>
      <c r="M12" s="24">
        <f>SUM(B12:L12)</f>
        <v>5682</v>
      </c>
      <c r="P12" s="1"/>
    </row>
    <row r="13" spans="1:16">
      <c r="A13" s="9" t="s">
        <v>130</v>
      </c>
      <c r="B13" s="10">
        <v>456</v>
      </c>
      <c r="C13" s="11"/>
      <c r="D13" s="10">
        <v>1170</v>
      </c>
      <c r="E13" s="32"/>
      <c r="F13" s="32">
        <v>22</v>
      </c>
      <c r="G13" s="33"/>
      <c r="H13" s="32">
        <v>504</v>
      </c>
      <c r="I13" s="12">
        <v>144</v>
      </c>
      <c r="J13" s="12"/>
      <c r="K13" s="10">
        <v>372</v>
      </c>
      <c r="L13" s="21"/>
      <c r="M13" s="24">
        <f>SUM(B13:L13)</f>
        <v>2668</v>
      </c>
      <c r="P13" s="1"/>
    </row>
    <row r="14" spans="1:16">
      <c r="A14" s="9" t="s">
        <v>131</v>
      </c>
      <c r="B14" s="10"/>
      <c r="C14" s="11"/>
      <c r="D14" s="10">
        <v>3120</v>
      </c>
      <c r="E14" s="32"/>
      <c r="F14" s="32"/>
      <c r="G14" s="33"/>
      <c r="H14" s="32"/>
      <c r="I14" s="12"/>
      <c r="J14" s="12">
        <v>2472</v>
      </c>
      <c r="K14" s="10"/>
      <c r="L14" s="21"/>
      <c r="M14" s="24">
        <f>SUM(B14:L14)</f>
        <v>5592</v>
      </c>
      <c r="P14" s="1"/>
    </row>
    <row r="15" spans="1:16">
      <c r="A15" s="9" t="s">
        <v>132</v>
      </c>
      <c r="B15" s="10"/>
      <c r="C15" s="11"/>
      <c r="D15" s="10">
        <v>2970</v>
      </c>
      <c r="E15" s="32"/>
      <c r="F15" s="32"/>
      <c r="G15" s="33"/>
      <c r="H15" s="32">
        <v>1848</v>
      </c>
      <c r="I15" s="12"/>
      <c r="J15" s="12">
        <v>1896</v>
      </c>
      <c r="K15" s="10">
        <v>648</v>
      </c>
      <c r="L15" s="21"/>
      <c r="M15" s="24">
        <f t="shared" si="0"/>
        <v>7362</v>
      </c>
      <c r="P15" s="1"/>
    </row>
    <row r="16" spans="1:16">
      <c r="A16" s="9" t="s">
        <v>133</v>
      </c>
      <c r="B16" s="10"/>
      <c r="C16" s="11"/>
      <c r="D16" s="10"/>
      <c r="E16" s="32"/>
      <c r="F16" s="32"/>
      <c r="G16" s="33"/>
      <c r="H16" s="32">
        <v>504</v>
      </c>
      <c r="I16" s="12"/>
      <c r="J16" s="12"/>
      <c r="K16" s="10">
        <v>768</v>
      </c>
      <c r="L16" s="21"/>
      <c r="M16" s="24">
        <f t="shared" si="0"/>
        <v>1272</v>
      </c>
      <c r="P16" s="1"/>
    </row>
    <row r="17" spans="1:16">
      <c r="A17" s="9" t="s">
        <v>134</v>
      </c>
      <c r="B17" s="10">
        <v>288</v>
      </c>
      <c r="C17" s="11"/>
      <c r="D17" s="10"/>
      <c r="E17" s="32"/>
      <c r="F17" s="32"/>
      <c r="G17" s="33"/>
      <c r="H17" s="32">
        <v>792</v>
      </c>
      <c r="I17" s="12">
        <v>912</v>
      </c>
      <c r="J17" s="12">
        <v>1152</v>
      </c>
      <c r="K17" s="10">
        <v>240</v>
      </c>
      <c r="L17" s="21"/>
      <c r="M17" s="24">
        <f t="shared" si="0"/>
        <v>3384</v>
      </c>
      <c r="P17" s="1"/>
    </row>
    <row r="18" spans="1:16">
      <c r="A18" s="9" t="s">
        <v>135</v>
      </c>
      <c r="B18" s="51"/>
      <c r="C18" s="52"/>
      <c r="D18" s="51"/>
      <c r="E18" s="53"/>
      <c r="F18" s="53"/>
      <c r="G18" s="54"/>
      <c r="H18" s="53"/>
      <c r="I18" s="55">
        <v>336</v>
      </c>
      <c r="J18" s="55">
        <v>3288</v>
      </c>
      <c r="K18" s="51"/>
      <c r="L18" s="56"/>
      <c r="M18" s="57">
        <f>SUM(B18:L18)</f>
        <v>3624</v>
      </c>
      <c r="P18" s="1"/>
    </row>
    <row r="19" spans="1:16">
      <c r="A19" s="9" t="s">
        <v>136</v>
      </c>
      <c r="B19" s="51"/>
      <c r="C19" s="52"/>
      <c r="D19" s="51">
        <v>2490</v>
      </c>
      <c r="E19" s="53"/>
      <c r="F19" s="53"/>
      <c r="G19" s="54"/>
      <c r="H19" s="53">
        <v>72</v>
      </c>
      <c r="I19" s="55">
        <v>960</v>
      </c>
      <c r="J19" s="55">
        <v>240</v>
      </c>
      <c r="K19" s="51">
        <v>612</v>
      </c>
      <c r="L19" s="56"/>
      <c r="M19" s="57">
        <f t="shared" si="0"/>
        <v>4374</v>
      </c>
      <c r="P19" s="1"/>
    </row>
    <row r="20" spans="1:16">
      <c r="A20" s="9" t="s">
        <v>137</v>
      </c>
      <c r="B20" s="10"/>
      <c r="C20" s="11"/>
      <c r="D20" s="10">
        <v>2940</v>
      </c>
      <c r="E20" s="32"/>
      <c r="F20" s="32"/>
      <c r="G20" s="33"/>
      <c r="H20" s="32"/>
      <c r="I20" s="12"/>
      <c r="J20" s="12"/>
      <c r="K20" s="10">
        <v>1296</v>
      </c>
      <c r="L20" s="21"/>
      <c r="M20" s="24">
        <f t="shared" si="0"/>
        <v>4236</v>
      </c>
      <c r="P20" s="1"/>
    </row>
    <row r="21" spans="1:16">
      <c r="A21" s="9" t="s">
        <v>138</v>
      </c>
      <c r="B21" s="10"/>
      <c r="C21" s="11">
        <v>1512</v>
      </c>
      <c r="D21" s="10">
        <v>1860</v>
      </c>
      <c r="E21" s="32"/>
      <c r="F21" s="32"/>
      <c r="G21" s="33"/>
      <c r="H21" s="32">
        <v>360</v>
      </c>
      <c r="I21" s="12"/>
      <c r="J21" s="12">
        <v>1104</v>
      </c>
      <c r="K21" s="10"/>
      <c r="L21" s="21">
        <v>600</v>
      </c>
      <c r="M21" s="24">
        <f t="shared" si="0"/>
        <v>5436</v>
      </c>
      <c r="P21" s="1"/>
    </row>
    <row r="22" spans="1:16">
      <c r="A22" s="9" t="s">
        <v>139</v>
      </c>
      <c r="B22" s="10"/>
      <c r="C22" s="11">
        <v>696</v>
      </c>
      <c r="D22" s="10">
        <v>1740</v>
      </c>
      <c r="E22" s="32"/>
      <c r="F22" s="32"/>
      <c r="G22" s="33">
        <v>220</v>
      </c>
      <c r="H22" s="32">
        <v>528</v>
      </c>
      <c r="I22" s="12"/>
      <c r="J22" s="12">
        <v>1320</v>
      </c>
      <c r="K22" s="10"/>
      <c r="L22" s="21"/>
      <c r="M22" s="24">
        <f>SUM(B22:L22)</f>
        <v>4504</v>
      </c>
      <c r="P22" s="1"/>
    </row>
    <row r="23" spans="1:16">
      <c r="A23" s="9" t="s">
        <v>140</v>
      </c>
      <c r="B23" s="10"/>
      <c r="C23" s="11"/>
      <c r="D23" s="10">
        <v>2460</v>
      </c>
      <c r="E23" s="32"/>
      <c r="F23" s="32">
        <v>44</v>
      </c>
      <c r="G23" s="33">
        <v>110</v>
      </c>
      <c r="H23" s="32"/>
      <c r="I23" s="12"/>
      <c r="J23" s="12">
        <v>3456</v>
      </c>
      <c r="K23" s="10"/>
      <c r="L23" s="21"/>
      <c r="M23" s="24">
        <f t="shared" si="0"/>
        <v>6070</v>
      </c>
      <c r="P23" s="1"/>
    </row>
    <row r="24" spans="1:16">
      <c r="A24" s="9" t="s">
        <v>141</v>
      </c>
      <c r="B24" s="10"/>
      <c r="C24" s="11"/>
      <c r="D24" s="10">
        <v>4680</v>
      </c>
      <c r="E24" s="32"/>
      <c r="F24" s="32">
        <v>286</v>
      </c>
      <c r="G24" s="33"/>
      <c r="H24" s="32"/>
      <c r="I24" s="12"/>
      <c r="J24" s="12"/>
      <c r="K24" s="10">
        <v>984</v>
      </c>
      <c r="L24" s="21"/>
      <c r="M24" s="24">
        <f t="shared" si="0"/>
        <v>5950</v>
      </c>
      <c r="P24" s="1"/>
    </row>
    <row r="25" spans="1:16">
      <c r="A25" s="9" t="s">
        <v>142</v>
      </c>
      <c r="B25" s="10"/>
      <c r="C25" s="11">
        <v>1104</v>
      </c>
      <c r="D25" s="10">
        <v>120</v>
      </c>
      <c r="E25" s="32">
        <v>360</v>
      </c>
      <c r="F25" s="32">
        <v>110</v>
      </c>
      <c r="G25" s="33"/>
      <c r="H25" s="32">
        <v>1536</v>
      </c>
      <c r="I25" s="12"/>
      <c r="J25" s="12">
        <v>2232</v>
      </c>
      <c r="K25" s="10">
        <v>312</v>
      </c>
      <c r="L25" s="21"/>
      <c r="M25" s="24">
        <f t="shared" si="0"/>
        <v>5774</v>
      </c>
      <c r="P25" s="1"/>
    </row>
    <row r="26" spans="1:16">
      <c r="A26" s="9" t="s">
        <v>143</v>
      </c>
      <c r="B26" s="10"/>
      <c r="C26" s="11"/>
      <c r="D26" s="10"/>
      <c r="E26" s="32"/>
      <c r="F26" s="32">
        <v>220</v>
      </c>
      <c r="G26" s="33"/>
      <c r="H26" s="32"/>
      <c r="I26" s="12"/>
      <c r="J26" s="12">
        <v>3192</v>
      </c>
      <c r="K26" s="10"/>
      <c r="L26" s="21"/>
      <c r="M26" s="24">
        <f t="shared" si="0"/>
        <v>3412</v>
      </c>
      <c r="P26" s="1"/>
    </row>
    <row r="27" spans="1:16">
      <c r="A27" s="9" t="s">
        <v>144</v>
      </c>
      <c r="B27" s="10"/>
      <c r="C27" s="11"/>
      <c r="D27" s="10">
        <v>2160</v>
      </c>
      <c r="E27" s="32">
        <v>336</v>
      </c>
      <c r="F27" s="32">
        <v>110</v>
      </c>
      <c r="G27" s="33"/>
      <c r="H27" s="32"/>
      <c r="I27" s="12"/>
      <c r="J27" s="12">
        <v>2328</v>
      </c>
      <c r="K27" s="10">
        <v>108</v>
      </c>
      <c r="L27" s="21"/>
      <c r="M27" s="24">
        <f t="shared" si="0"/>
        <v>5042</v>
      </c>
      <c r="P27" s="1"/>
    </row>
    <row r="28" spans="1:16">
      <c r="A28" s="9" t="s">
        <v>145</v>
      </c>
      <c r="B28" s="10"/>
      <c r="C28" s="11"/>
      <c r="D28" s="10">
        <v>1200</v>
      </c>
      <c r="E28" s="32"/>
      <c r="F28" s="32"/>
      <c r="G28" s="33"/>
      <c r="H28" s="32"/>
      <c r="I28" s="12">
        <v>504</v>
      </c>
      <c r="J28" s="12">
        <v>4752</v>
      </c>
      <c r="K28" s="10"/>
      <c r="L28" s="21"/>
      <c r="M28" s="24">
        <f t="shared" si="0"/>
        <v>6456</v>
      </c>
      <c r="P28" s="1"/>
    </row>
    <row r="29" spans="1:16" ht="15.75" thickBot="1">
      <c r="A29" s="58" t="s">
        <v>146</v>
      </c>
      <c r="B29" s="59"/>
      <c r="C29" s="13">
        <v>2616</v>
      </c>
      <c r="D29" s="59">
        <v>1860</v>
      </c>
      <c r="E29" s="60"/>
      <c r="F29" s="60">
        <v>352</v>
      </c>
      <c r="G29" s="61"/>
      <c r="H29" s="60">
        <v>264</v>
      </c>
      <c r="I29" s="60"/>
      <c r="J29" s="60">
        <v>1464</v>
      </c>
      <c r="K29" s="29">
        <v>540</v>
      </c>
      <c r="L29" s="30"/>
      <c r="M29" s="24">
        <f t="shared" si="0"/>
        <v>7096</v>
      </c>
      <c r="P29" s="1"/>
    </row>
    <row r="30" spans="1:16" ht="15.75" thickBot="1">
      <c r="A30" s="14" t="s">
        <v>11</v>
      </c>
      <c r="B30" s="15">
        <f t="shared" ref="B30:M30" si="1">SUM(B4:B29)</f>
        <v>768</v>
      </c>
      <c r="C30" s="15">
        <f t="shared" si="1"/>
        <v>7728</v>
      </c>
      <c r="D30" s="15">
        <f t="shared" si="1"/>
        <v>39900</v>
      </c>
      <c r="E30" s="15">
        <f t="shared" si="1"/>
        <v>696</v>
      </c>
      <c r="F30" s="15">
        <f t="shared" si="1"/>
        <v>2222</v>
      </c>
      <c r="G30" s="15">
        <f t="shared" si="1"/>
        <v>330</v>
      </c>
      <c r="H30" s="15">
        <f t="shared" si="1"/>
        <v>6960</v>
      </c>
      <c r="I30" s="15">
        <f t="shared" si="1"/>
        <v>3624</v>
      </c>
      <c r="J30" s="15">
        <f t="shared" si="1"/>
        <v>47040</v>
      </c>
      <c r="K30" s="15">
        <f t="shared" si="1"/>
        <v>8952</v>
      </c>
      <c r="L30" s="15">
        <f t="shared" si="1"/>
        <v>600</v>
      </c>
      <c r="M30" s="22">
        <f t="shared" si="1"/>
        <v>118820</v>
      </c>
      <c r="P30" s="1"/>
    </row>
    <row r="31" spans="1:16" ht="15.75" thickBot="1">
      <c r="A31" s="16" t="s">
        <v>12</v>
      </c>
      <c r="B31" s="17">
        <f t="shared" ref="B31:M31" si="2">B3+B30</f>
        <v>4392</v>
      </c>
      <c r="C31" s="17">
        <f t="shared" si="2"/>
        <v>27096</v>
      </c>
      <c r="D31" s="17">
        <f t="shared" si="2"/>
        <v>171360</v>
      </c>
      <c r="E31" s="17">
        <f t="shared" si="2"/>
        <v>2544</v>
      </c>
      <c r="F31" s="17">
        <f t="shared" si="2"/>
        <v>8866</v>
      </c>
      <c r="G31" s="17">
        <f t="shared" si="2"/>
        <v>1276</v>
      </c>
      <c r="H31" s="17">
        <f t="shared" si="2"/>
        <v>47112</v>
      </c>
      <c r="I31" s="17">
        <f t="shared" si="2"/>
        <v>25560</v>
      </c>
      <c r="J31" s="17">
        <f t="shared" si="2"/>
        <v>237144</v>
      </c>
      <c r="K31" s="17">
        <f t="shared" si="2"/>
        <v>41712</v>
      </c>
      <c r="L31" s="17">
        <f t="shared" si="2"/>
        <v>7056</v>
      </c>
      <c r="M31" s="16">
        <f t="shared" si="2"/>
        <v>574118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</sheetPr>
  <dimension ref="A1:P1943"/>
  <sheetViews>
    <sheetView workbookViewId="0">
      <pane ySplit="3" topLeftCell="A4" activePane="bottomLeft" state="frozen"/>
      <selection pane="bottomLeft" activeCell="M31" sqref="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8" t="s">
        <v>165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4392</v>
      </c>
      <c r="C3" s="44">
        <v>27096</v>
      </c>
      <c r="D3" s="42">
        <v>171360</v>
      </c>
      <c r="E3" s="43">
        <v>2544</v>
      </c>
      <c r="F3" s="43">
        <v>8866</v>
      </c>
      <c r="G3" s="44">
        <v>1276</v>
      </c>
      <c r="H3" s="45">
        <v>47112</v>
      </c>
      <c r="I3" s="43">
        <v>25560</v>
      </c>
      <c r="J3" s="44">
        <v>237144</v>
      </c>
      <c r="K3" s="46">
        <v>41712</v>
      </c>
      <c r="L3" s="44">
        <v>7056</v>
      </c>
      <c r="M3" s="26">
        <f>SUM(B3:L3)</f>
        <v>574118</v>
      </c>
      <c r="N3" s="20"/>
    </row>
    <row r="4" spans="1:16">
      <c r="A4" s="63" t="s">
        <v>147</v>
      </c>
      <c r="B4" s="10"/>
      <c r="C4" s="11"/>
      <c r="D4" s="10"/>
      <c r="E4" s="32"/>
      <c r="F4" s="32">
        <v>308</v>
      </c>
      <c r="G4" s="33"/>
      <c r="H4" s="32"/>
      <c r="I4" s="12">
        <v>264</v>
      </c>
      <c r="J4" s="12">
        <v>3528</v>
      </c>
      <c r="K4" s="10">
        <v>288</v>
      </c>
      <c r="L4" s="21"/>
      <c r="M4" s="24">
        <f t="shared" ref="M4:M29" si="0">SUM(B4:L4)</f>
        <v>4388</v>
      </c>
      <c r="P4" s="1"/>
    </row>
    <row r="5" spans="1:16">
      <c r="A5" s="63" t="s">
        <v>148</v>
      </c>
      <c r="B5" s="10"/>
      <c r="C5" s="11"/>
      <c r="D5" s="10"/>
      <c r="E5" s="32"/>
      <c r="F5" s="32">
        <v>22</v>
      </c>
      <c r="G5" s="33">
        <v>154</v>
      </c>
      <c r="H5" s="32"/>
      <c r="I5" s="12"/>
      <c r="J5" s="12">
        <v>3792</v>
      </c>
      <c r="K5" s="10"/>
      <c r="L5" s="21"/>
      <c r="M5" s="24">
        <f t="shared" si="0"/>
        <v>3968</v>
      </c>
      <c r="P5" s="1"/>
    </row>
    <row r="6" spans="1:16">
      <c r="A6" s="63" t="s">
        <v>149</v>
      </c>
      <c r="B6" s="51"/>
      <c r="C6" s="52"/>
      <c r="D6" s="51"/>
      <c r="E6" s="53"/>
      <c r="F6" s="53"/>
      <c r="G6" s="54"/>
      <c r="H6" s="53"/>
      <c r="I6" s="55"/>
      <c r="J6" s="55">
        <v>4440</v>
      </c>
      <c r="K6" s="51">
        <v>684</v>
      </c>
      <c r="L6" s="56"/>
      <c r="M6" s="24">
        <f t="shared" si="0"/>
        <v>5124</v>
      </c>
      <c r="P6" s="1"/>
    </row>
    <row r="7" spans="1:16">
      <c r="A7" s="63" t="s">
        <v>150</v>
      </c>
      <c r="B7" s="10"/>
      <c r="C7" s="13"/>
      <c r="D7" s="10">
        <v>4200</v>
      </c>
      <c r="E7" s="32"/>
      <c r="F7" s="32"/>
      <c r="G7" s="33"/>
      <c r="H7" s="32">
        <v>2856</v>
      </c>
      <c r="I7" s="12"/>
      <c r="J7" s="12">
        <v>2568</v>
      </c>
      <c r="K7" s="10"/>
      <c r="L7" s="21"/>
      <c r="M7" s="24">
        <f t="shared" si="0"/>
        <v>9624</v>
      </c>
      <c r="P7" s="1"/>
    </row>
    <row r="8" spans="1:16">
      <c r="A8" s="9" t="s">
        <v>151</v>
      </c>
      <c r="B8" s="10"/>
      <c r="C8" s="11"/>
      <c r="D8" s="10"/>
      <c r="E8" s="32"/>
      <c r="F8" s="32"/>
      <c r="G8" s="33">
        <v>352</v>
      </c>
      <c r="H8" s="32"/>
      <c r="I8" s="12"/>
      <c r="J8" s="12">
        <v>2952</v>
      </c>
      <c r="K8" s="10"/>
      <c r="L8" s="21"/>
      <c r="M8" s="24">
        <f t="shared" si="0"/>
        <v>3304</v>
      </c>
      <c r="P8" s="1"/>
    </row>
    <row r="9" spans="1:16">
      <c r="A9" s="9" t="s">
        <v>152</v>
      </c>
      <c r="B9" s="10"/>
      <c r="C9" s="11"/>
      <c r="D9" s="10"/>
      <c r="E9" s="32"/>
      <c r="F9" s="32"/>
      <c r="G9" s="33">
        <v>110</v>
      </c>
      <c r="H9" s="32"/>
      <c r="I9" s="12"/>
      <c r="J9" s="12">
        <v>2952</v>
      </c>
      <c r="K9" s="10"/>
      <c r="L9" s="21"/>
      <c r="M9" s="24">
        <f t="shared" si="0"/>
        <v>3062</v>
      </c>
      <c r="P9" s="1"/>
    </row>
    <row r="10" spans="1:16">
      <c r="A10" s="9" t="s">
        <v>153</v>
      </c>
      <c r="B10" s="10"/>
      <c r="C10" s="11"/>
      <c r="D10" s="10"/>
      <c r="E10" s="32"/>
      <c r="F10" s="32"/>
      <c r="G10" s="33"/>
      <c r="H10" s="32"/>
      <c r="I10" s="12">
        <v>1968</v>
      </c>
      <c r="J10" s="12">
        <v>336</v>
      </c>
      <c r="K10" s="10"/>
      <c r="L10" s="21"/>
      <c r="M10" s="24">
        <f t="shared" si="0"/>
        <v>2304</v>
      </c>
      <c r="P10" s="1"/>
    </row>
    <row r="11" spans="1:16">
      <c r="A11" s="9" t="s">
        <v>154</v>
      </c>
      <c r="B11" s="10"/>
      <c r="C11" s="11"/>
      <c r="D11" s="10">
        <v>2580</v>
      </c>
      <c r="E11" s="32"/>
      <c r="F11" s="32"/>
      <c r="G11" s="33"/>
      <c r="H11" s="32"/>
      <c r="I11" s="12"/>
      <c r="J11" s="12"/>
      <c r="K11" s="10"/>
      <c r="L11" s="21">
        <v>660</v>
      </c>
      <c r="M11" s="24">
        <f t="shared" si="0"/>
        <v>3240</v>
      </c>
      <c r="P11" s="1"/>
    </row>
    <row r="12" spans="1:16">
      <c r="A12" s="9" t="s">
        <v>155</v>
      </c>
      <c r="B12" s="10"/>
      <c r="C12" s="11"/>
      <c r="D12" s="10"/>
      <c r="E12" s="32"/>
      <c r="F12" s="32">
        <v>330</v>
      </c>
      <c r="G12" s="33"/>
      <c r="H12" s="32"/>
      <c r="I12" s="12"/>
      <c r="J12" s="12"/>
      <c r="K12" s="10">
        <v>252</v>
      </c>
      <c r="L12" s="21">
        <v>1140</v>
      </c>
      <c r="M12" s="24">
        <f>SUM(B12:L12)</f>
        <v>1722</v>
      </c>
      <c r="P12" s="1"/>
    </row>
    <row r="13" spans="1:16">
      <c r="A13" s="9" t="s">
        <v>156</v>
      </c>
      <c r="B13" s="10"/>
      <c r="C13" s="11"/>
      <c r="D13" s="10">
        <v>1770</v>
      </c>
      <c r="E13" s="32"/>
      <c r="F13" s="32"/>
      <c r="G13" s="33"/>
      <c r="H13" s="32"/>
      <c r="I13" s="12"/>
      <c r="J13" s="12">
        <v>384</v>
      </c>
      <c r="K13" s="10"/>
      <c r="L13" s="21">
        <v>1020</v>
      </c>
      <c r="M13" s="24">
        <f>SUM(B13:L13)</f>
        <v>3174</v>
      </c>
      <c r="P13" s="1"/>
    </row>
    <row r="14" spans="1:16">
      <c r="A14" s="9" t="s">
        <v>157</v>
      </c>
      <c r="B14" s="10">
        <v>1248</v>
      </c>
      <c r="C14" s="11">
        <v>2184</v>
      </c>
      <c r="D14" s="10"/>
      <c r="E14" s="32"/>
      <c r="F14" s="32"/>
      <c r="G14" s="33"/>
      <c r="H14" s="32"/>
      <c r="I14" s="12"/>
      <c r="J14" s="12">
        <v>360</v>
      </c>
      <c r="K14" s="10">
        <v>216</v>
      </c>
      <c r="L14" s="21">
        <v>624</v>
      </c>
      <c r="M14" s="24">
        <f>SUM(B14:L14)</f>
        <v>4632</v>
      </c>
      <c r="P14" s="1"/>
    </row>
    <row r="15" spans="1:16">
      <c r="A15" s="9" t="s">
        <v>158</v>
      </c>
      <c r="B15" s="10"/>
      <c r="C15" s="11"/>
      <c r="D15" s="10">
        <v>5370</v>
      </c>
      <c r="E15" s="32"/>
      <c r="F15" s="32"/>
      <c r="G15" s="33"/>
      <c r="H15" s="32">
        <v>456</v>
      </c>
      <c r="I15" s="12">
        <v>192</v>
      </c>
      <c r="J15" s="12">
        <v>264</v>
      </c>
      <c r="K15" s="10">
        <v>708</v>
      </c>
      <c r="L15" s="21">
        <v>408</v>
      </c>
      <c r="M15" s="24">
        <f t="shared" si="0"/>
        <v>7398</v>
      </c>
      <c r="P15" s="1"/>
    </row>
    <row r="16" spans="1:16">
      <c r="A16" s="9" t="s">
        <v>159</v>
      </c>
      <c r="B16" s="10"/>
      <c r="C16" s="11"/>
      <c r="D16" s="10">
        <v>2460</v>
      </c>
      <c r="E16" s="32"/>
      <c r="F16" s="32"/>
      <c r="G16" s="33"/>
      <c r="H16" s="32">
        <v>1296</v>
      </c>
      <c r="I16" s="12">
        <v>384</v>
      </c>
      <c r="J16" s="12">
        <v>2160</v>
      </c>
      <c r="K16" s="10"/>
      <c r="L16" s="21"/>
      <c r="M16" s="24">
        <f t="shared" si="0"/>
        <v>6300</v>
      </c>
      <c r="P16" s="1"/>
    </row>
    <row r="17" spans="1:16">
      <c r="A17" s="9" t="s">
        <v>160</v>
      </c>
      <c r="B17" s="10"/>
      <c r="C17" s="11"/>
      <c r="D17" s="10">
        <v>660</v>
      </c>
      <c r="E17" s="32"/>
      <c r="F17" s="32"/>
      <c r="G17" s="33"/>
      <c r="H17" s="32"/>
      <c r="I17" s="12"/>
      <c r="J17" s="12">
        <v>2376</v>
      </c>
      <c r="K17" s="10"/>
      <c r="L17" s="21"/>
      <c r="M17" s="24">
        <f t="shared" si="0"/>
        <v>3036</v>
      </c>
      <c r="P17" s="1"/>
    </row>
    <row r="18" spans="1:16">
      <c r="A18" s="9" t="s">
        <v>161</v>
      </c>
      <c r="B18" s="51"/>
      <c r="C18" s="52"/>
      <c r="D18" s="51"/>
      <c r="E18" s="53"/>
      <c r="F18" s="53"/>
      <c r="G18" s="54"/>
      <c r="H18" s="53"/>
      <c r="I18" s="55"/>
      <c r="J18" s="55">
        <v>2880</v>
      </c>
      <c r="K18" s="51">
        <v>312</v>
      </c>
      <c r="L18" s="56">
        <v>504</v>
      </c>
      <c r="M18" s="57">
        <f>SUM(B18:L18)</f>
        <v>3696</v>
      </c>
      <c r="P18" s="1"/>
    </row>
    <row r="19" spans="1:16">
      <c r="A19" s="9" t="s">
        <v>162</v>
      </c>
      <c r="B19" s="51"/>
      <c r="C19" s="52"/>
      <c r="D19" s="51">
        <v>420</v>
      </c>
      <c r="E19" s="53"/>
      <c r="F19" s="53"/>
      <c r="G19" s="54"/>
      <c r="H19" s="53"/>
      <c r="I19" s="55"/>
      <c r="J19" s="55"/>
      <c r="K19" s="51"/>
      <c r="L19" s="56">
        <v>1440</v>
      </c>
      <c r="M19" s="57">
        <f t="shared" si="0"/>
        <v>1860</v>
      </c>
      <c r="P19" s="1"/>
    </row>
    <row r="20" spans="1:16">
      <c r="A20" s="9" t="s">
        <v>163</v>
      </c>
      <c r="B20" s="10"/>
      <c r="C20" s="11"/>
      <c r="D20" s="10">
        <v>3240</v>
      </c>
      <c r="E20" s="32"/>
      <c r="F20" s="32"/>
      <c r="G20" s="33"/>
      <c r="H20" s="32">
        <v>1008</v>
      </c>
      <c r="I20" s="12">
        <v>600</v>
      </c>
      <c r="J20" s="12"/>
      <c r="K20" s="10">
        <v>708</v>
      </c>
      <c r="L20" s="21"/>
      <c r="M20" s="24">
        <f t="shared" si="0"/>
        <v>5556</v>
      </c>
      <c r="P20" s="1"/>
    </row>
    <row r="21" spans="1:16">
      <c r="A21" s="9" t="s">
        <v>164</v>
      </c>
      <c r="B21" s="10">
        <v>72</v>
      </c>
      <c r="C21" s="11"/>
      <c r="D21" s="10">
        <v>2280</v>
      </c>
      <c r="E21" s="32"/>
      <c r="F21" s="32"/>
      <c r="G21" s="33"/>
      <c r="H21" s="32"/>
      <c r="I21" s="12"/>
      <c r="J21" s="12">
        <v>600</v>
      </c>
      <c r="K21" s="10">
        <v>360</v>
      </c>
      <c r="L21" s="21">
        <v>1416</v>
      </c>
      <c r="M21" s="24">
        <f t="shared" si="0"/>
        <v>4728</v>
      </c>
      <c r="P21" s="1"/>
    </row>
    <row r="22" spans="1:16">
      <c r="A22" s="9" t="s">
        <v>166</v>
      </c>
      <c r="B22" s="10"/>
      <c r="C22" s="11"/>
      <c r="D22" s="10">
        <v>2880</v>
      </c>
      <c r="E22" s="32"/>
      <c r="F22" s="32"/>
      <c r="G22" s="33"/>
      <c r="H22" s="32"/>
      <c r="I22" s="12"/>
      <c r="J22" s="12">
        <v>3888</v>
      </c>
      <c r="K22" s="10"/>
      <c r="L22" s="21"/>
      <c r="M22" s="24">
        <f>SUM(B22:L22)</f>
        <v>6768</v>
      </c>
      <c r="P22" s="1"/>
    </row>
    <row r="23" spans="1:16">
      <c r="A23" s="9" t="s">
        <v>140</v>
      </c>
      <c r="B23" s="10"/>
      <c r="C23" s="11"/>
      <c r="D23" s="10">
        <v>2310</v>
      </c>
      <c r="E23" s="32"/>
      <c r="F23" s="32"/>
      <c r="G23" s="33"/>
      <c r="H23" s="32"/>
      <c r="I23" s="12">
        <v>600</v>
      </c>
      <c r="J23" s="12">
        <v>864</v>
      </c>
      <c r="K23" s="10">
        <v>1308</v>
      </c>
      <c r="L23" s="21"/>
      <c r="M23" s="24">
        <f t="shared" si="0"/>
        <v>5082</v>
      </c>
      <c r="P23" s="1"/>
    </row>
    <row r="24" spans="1:16">
      <c r="A24" s="9" t="s">
        <v>141</v>
      </c>
      <c r="B24" s="10"/>
      <c r="C24" s="11"/>
      <c r="D24" s="10">
        <v>6900</v>
      </c>
      <c r="E24" s="32"/>
      <c r="F24" s="32">
        <v>176</v>
      </c>
      <c r="G24" s="33"/>
      <c r="H24" s="32">
        <v>720</v>
      </c>
      <c r="I24" s="12">
        <v>360</v>
      </c>
      <c r="J24" s="12">
        <v>1896</v>
      </c>
      <c r="K24" s="10">
        <v>624</v>
      </c>
      <c r="L24" s="21"/>
      <c r="M24" s="24">
        <f t="shared" si="0"/>
        <v>10676</v>
      </c>
      <c r="P24" s="1"/>
    </row>
    <row r="25" spans="1:16">
      <c r="A25" s="9" t="s">
        <v>167</v>
      </c>
      <c r="B25" s="10"/>
      <c r="C25" s="11"/>
      <c r="D25" s="10"/>
      <c r="E25" s="32"/>
      <c r="F25" s="32"/>
      <c r="G25" s="33"/>
      <c r="H25" s="32">
        <v>1128</v>
      </c>
      <c r="I25" s="12">
        <v>624</v>
      </c>
      <c r="J25" s="12">
        <v>3432</v>
      </c>
      <c r="K25" s="10">
        <v>852</v>
      </c>
      <c r="L25" s="21"/>
      <c r="M25" s="24">
        <f t="shared" si="0"/>
        <v>6036</v>
      </c>
      <c r="P25" s="1"/>
    </row>
    <row r="26" spans="1:16">
      <c r="A26" s="9" t="s">
        <v>168</v>
      </c>
      <c r="B26" s="10">
        <v>288</v>
      </c>
      <c r="C26" s="11">
        <v>480</v>
      </c>
      <c r="D26" s="10">
        <v>3900</v>
      </c>
      <c r="E26" s="32"/>
      <c r="F26" s="32">
        <v>374</v>
      </c>
      <c r="G26" s="33"/>
      <c r="H26" s="32">
        <v>288</v>
      </c>
      <c r="I26" s="12">
        <v>408</v>
      </c>
      <c r="J26" s="12">
        <v>2280</v>
      </c>
      <c r="K26" s="10">
        <v>1248</v>
      </c>
      <c r="L26" s="21"/>
      <c r="M26" s="24">
        <f t="shared" si="0"/>
        <v>9266</v>
      </c>
      <c r="P26" s="1"/>
    </row>
    <row r="27" spans="1:16">
      <c r="A27" s="9" t="s">
        <v>169</v>
      </c>
      <c r="B27" s="10"/>
      <c r="C27" s="11">
        <v>48</v>
      </c>
      <c r="D27" s="10">
        <v>1230</v>
      </c>
      <c r="E27" s="32"/>
      <c r="F27" s="32"/>
      <c r="G27" s="33"/>
      <c r="H27" s="32">
        <v>192</v>
      </c>
      <c r="I27" s="12">
        <v>576</v>
      </c>
      <c r="J27" s="12">
        <v>4560</v>
      </c>
      <c r="K27" s="10"/>
      <c r="L27" s="21"/>
      <c r="M27" s="24">
        <f t="shared" si="0"/>
        <v>6606</v>
      </c>
      <c r="P27" s="1"/>
    </row>
    <row r="28" spans="1:16">
      <c r="A28" s="9" t="s">
        <v>170</v>
      </c>
      <c r="B28" s="10"/>
      <c r="C28" s="11"/>
      <c r="D28" s="10"/>
      <c r="E28" s="32"/>
      <c r="F28" s="32">
        <v>132</v>
      </c>
      <c r="G28" s="33"/>
      <c r="H28" s="32"/>
      <c r="I28" s="12"/>
      <c r="J28" s="12">
        <v>3696</v>
      </c>
      <c r="K28" s="10">
        <v>624</v>
      </c>
      <c r="L28" s="21"/>
      <c r="M28" s="24">
        <f t="shared" si="0"/>
        <v>4452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1608</v>
      </c>
      <c r="C30" s="15">
        <f t="shared" si="1"/>
        <v>2712</v>
      </c>
      <c r="D30" s="15">
        <f t="shared" si="1"/>
        <v>40200</v>
      </c>
      <c r="E30" s="15">
        <f t="shared" si="1"/>
        <v>0</v>
      </c>
      <c r="F30" s="15">
        <f t="shared" si="1"/>
        <v>1342</v>
      </c>
      <c r="G30" s="15">
        <f t="shared" si="1"/>
        <v>616</v>
      </c>
      <c r="H30" s="15">
        <f t="shared" si="1"/>
        <v>7944</v>
      </c>
      <c r="I30" s="15">
        <f t="shared" si="1"/>
        <v>5976</v>
      </c>
      <c r="J30" s="15">
        <f t="shared" si="1"/>
        <v>50208</v>
      </c>
      <c r="K30" s="15">
        <f t="shared" si="1"/>
        <v>8184</v>
      </c>
      <c r="L30" s="15">
        <f t="shared" si="1"/>
        <v>7212</v>
      </c>
      <c r="M30" s="22">
        <f t="shared" si="1"/>
        <v>126002</v>
      </c>
      <c r="P30" s="1"/>
    </row>
    <row r="31" spans="1:16" ht="15.75" thickBot="1">
      <c r="A31" s="16" t="s">
        <v>12</v>
      </c>
      <c r="B31" s="17">
        <f t="shared" ref="B31:M31" si="2">B3+B30</f>
        <v>6000</v>
      </c>
      <c r="C31" s="17">
        <f t="shared" si="2"/>
        <v>29808</v>
      </c>
      <c r="D31" s="17">
        <f t="shared" si="2"/>
        <v>211560</v>
      </c>
      <c r="E31" s="17">
        <f t="shared" si="2"/>
        <v>2544</v>
      </c>
      <c r="F31" s="17">
        <f t="shared" si="2"/>
        <v>10208</v>
      </c>
      <c r="G31" s="17">
        <f t="shared" si="2"/>
        <v>1892</v>
      </c>
      <c r="H31" s="17">
        <f t="shared" si="2"/>
        <v>55056</v>
      </c>
      <c r="I31" s="17">
        <f t="shared" si="2"/>
        <v>31536</v>
      </c>
      <c r="J31" s="17">
        <f t="shared" si="2"/>
        <v>287352</v>
      </c>
      <c r="K31" s="17">
        <f t="shared" si="2"/>
        <v>49896</v>
      </c>
      <c r="L31" s="17">
        <f t="shared" si="2"/>
        <v>14268</v>
      </c>
      <c r="M31" s="16">
        <f t="shared" si="2"/>
        <v>700120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F0"/>
  </sheetPr>
  <dimension ref="A1:P1943"/>
  <sheetViews>
    <sheetView workbookViewId="0">
      <pane ySplit="3" topLeftCell="A14" activePane="bottomLeft" state="frozen"/>
      <selection pane="bottomLeft" activeCell="M24" sqref="M2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8" t="s">
        <v>176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6000</v>
      </c>
      <c r="C3" s="44">
        <v>29808</v>
      </c>
      <c r="D3" s="42">
        <v>211560</v>
      </c>
      <c r="E3" s="43">
        <v>2544</v>
      </c>
      <c r="F3" s="43">
        <v>10208</v>
      </c>
      <c r="G3" s="44">
        <v>1892</v>
      </c>
      <c r="H3" s="45">
        <v>55056</v>
      </c>
      <c r="I3" s="43">
        <v>31536</v>
      </c>
      <c r="J3" s="44">
        <v>287352</v>
      </c>
      <c r="K3" s="46">
        <v>49896</v>
      </c>
      <c r="L3" s="44">
        <v>14268</v>
      </c>
      <c r="M3" s="26">
        <f>SUM(B3:L3)</f>
        <v>700120</v>
      </c>
      <c r="N3" s="20"/>
    </row>
    <row r="4" spans="1:16">
      <c r="A4" s="63" t="s">
        <v>171</v>
      </c>
      <c r="B4" s="10"/>
      <c r="C4" s="11">
        <v>2736</v>
      </c>
      <c r="D4" s="10">
        <v>1800</v>
      </c>
      <c r="E4" s="32"/>
      <c r="F4" s="32"/>
      <c r="G4" s="33"/>
      <c r="H4" s="32">
        <v>408</v>
      </c>
      <c r="I4" s="12"/>
      <c r="J4" s="12">
        <v>960</v>
      </c>
      <c r="K4" s="10"/>
      <c r="L4" s="21"/>
      <c r="M4" s="24">
        <f t="shared" ref="M4:M29" si="0">SUM(B4:L4)</f>
        <v>5904</v>
      </c>
      <c r="P4" s="1"/>
    </row>
    <row r="5" spans="1:16">
      <c r="A5" s="63" t="s">
        <v>172</v>
      </c>
      <c r="B5" s="10"/>
      <c r="C5" s="11"/>
      <c r="D5" s="10"/>
      <c r="E5" s="32"/>
      <c r="F5" s="32"/>
      <c r="G5" s="33"/>
      <c r="H5" s="32">
        <v>552</v>
      </c>
      <c r="I5" s="12">
        <v>576</v>
      </c>
      <c r="J5" s="12">
        <v>2280</v>
      </c>
      <c r="K5" s="10">
        <v>660</v>
      </c>
      <c r="L5" s="21"/>
      <c r="M5" s="24">
        <f t="shared" si="0"/>
        <v>4068</v>
      </c>
      <c r="P5" s="1"/>
    </row>
    <row r="6" spans="1:16">
      <c r="A6" s="63" t="s">
        <v>173</v>
      </c>
      <c r="B6" s="51"/>
      <c r="C6" s="52"/>
      <c r="D6" s="51">
        <v>3960</v>
      </c>
      <c r="E6" s="53"/>
      <c r="F6" s="53"/>
      <c r="G6" s="54"/>
      <c r="H6" s="53"/>
      <c r="I6" s="55"/>
      <c r="J6" s="55">
        <v>2328</v>
      </c>
      <c r="K6" s="51">
        <v>1104</v>
      </c>
      <c r="L6" s="56"/>
      <c r="M6" s="24">
        <f t="shared" si="0"/>
        <v>7392</v>
      </c>
      <c r="P6" s="1"/>
    </row>
    <row r="7" spans="1:16">
      <c r="A7" s="63" t="s">
        <v>174</v>
      </c>
      <c r="B7" s="10"/>
      <c r="C7" s="13"/>
      <c r="D7" s="10">
        <v>1140</v>
      </c>
      <c r="E7" s="32">
        <v>240</v>
      </c>
      <c r="F7" s="32"/>
      <c r="G7" s="33"/>
      <c r="H7" s="32"/>
      <c r="I7" s="12"/>
      <c r="J7" s="12">
        <v>2208</v>
      </c>
      <c r="K7" s="10">
        <v>612</v>
      </c>
      <c r="L7" s="21">
        <v>132</v>
      </c>
      <c r="M7" s="24">
        <f t="shared" si="0"/>
        <v>4332</v>
      </c>
      <c r="P7" s="1"/>
    </row>
    <row r="8" spans="1:16">
      <c r="A8" s="9" t="s">
        <v>175</v>
      </c>
      <c r="B8" s="10">
        <v>1032</v>
      </c>
      <c r="C8" s="11"/>
      <c r="D8" s="10">
        <v>1560</v>
      </c>
      <c r="E8" s="32">
        <v>240</v>
      </c>
      <c r="F8" s="32"/>
      <c r="G8" s="33"/>
      <c r="H8" s="32">
        <v>192</v>
      </c>
      <c r="I8" s="12">
        <v>168</v>
      </c>
      <c r="J8" s="12">
        <v>2136</v>
      </c>
      <c r="K8" s="10"/>
      <c r="L8" s="21"/>
      <c r="M8" s="24">
        <f t="shared" si="0"/>
        <v>5328</v>
      </c>
    </row>
    <row r="9" spans="1:16">
      <c r="A9" s="9" t="s">
        <v>177</v>
      </c>
      <c r="B9" s="10"/>
      <c r="C9" s="11"/>
      <c r="D9" s="10">
        <v>1680</v>
      </c>
      <c r="E9" s="32">
        <v>96</v>
      </c>
      <c r="F9" s="32"/>
      <c r="G9" s="33"/>
      <c r="H9" s="32"/>
      <c r="I9" s="12"/>
      <c r="J9" s="12">
        <v>3864</v>
      </c>
      <c r="K9" s="10">
        <v>480</v>
      </c>
      <c r="L9" s="21"/>
      <c r="M9" s="24">
        <f t="shared" si="0"/>
        <v>6120</v>
      </c>
    </row>
    <row r="10" spans="1:16">
      <c r="A10" s="9" t="s">
        <v>178</v>
      </c>
      <c r="B10" s="10"/>
      <c r="C10" s="11"/>
      <c r="D10" s="10">
        <v>1530</v>
      </c>
      <c r="E10" s="32"/>
      <c r="F10" s="32"/>
      <c r="G10" s="33"/>
      <c r="H10" s="32">
        <v>1440</v>
      </c>
      <c r="I10" s="12">
        <v>840</v>
      </c>
      <c r="J10" s="12">
        <v>1680</v>
      </c>
      <c r="K10" s="10"/>
      <c r="L10" s="21"/>
      <c r="M10" s="24">
        <f t="shared" si="0"/>
        <v>5490</v>
      </c>
    </row>
    <row r="11" spans="1:16">
      <c r="A11" s="9" t="s">
        <v>179</v>
      </c>
      <c r="B11" s="10"/>
      <c r="C11" s="11"/>
      <c r="D11" s="10"/>
      <c r="E11" s="32"/>
      <c r="F11" s="32">
        <v>308</v>
      </c>
      <c r="G11" s="33"/>
      <c r="H11" s="32">
        <v>312</v>
      </c>
      <c r="I11" s="12">
        <v>216</v>
      </c>
      <c r="J11" s="12">
        <v>3648</v>
      </c>
      <c r="K11" s="10">
        <v>1296</v>
      </c>
      <c r="L11" s="21"/>
      <c r="M11" s="24">
        <f>SUM(B11:L11)</f>
        <v>5780</v>
      </c>
    </row>
    <row r="12" spans="1:16">
      <c r="A12" s="9" t="s">
        <v>180</v>
      </c>
      <c r="B12" s="10"/>
      <c r="C12" s="11"/>
      <c r="D12" s="10">
        <v>4410</v>
      </c>
      <c r="E12" s="32"/>
      <c r="F12" s="32"/>
      <c r="G12" s="33"/>
      <c r="H12" s="32">
        <v>624</v>
      </c>
      <c r="I12" s="12">
        <v>24</v>
      </c>
      <c r="J12" s="12"/>
      <c r="K12" s="10">
        <v>12</v>
      </c>
      <c r="L12" s="21"/>
      <c r="M12" s="24">
        <f>SUM(B12:L12)</f>
        <v>5070</v>
      </c>
    </row>
    <row r="13" spans="1:16">
      <c r="A13" s="9" t="s">
        <v>181</v>
      </c>
      <c r="B13" s="10"/>
      <c r="C13" s="11"/>
      <c r="D13" s="10"/>
      <c r="E13" s="32"/>
      <c r="F13" s="32">
        <v>198</v>
      </c>
      <c r="G13" s="33"/>
      <c r="H13" s="32">
        <v>1608</v>
      </c>
      <c r="I13" s="12">
        <v>1104</v>
      </c>
      <c r="J13" s="12">
        <v>3936</v>
      </c>
      <c r="K13" s="10"/>
      <c r="L13" s="21"/>
      <c r="M13" s="24">
        <f>SUM(B13:L13)</f>
        <v>6846</v>
      </c>
    </row>
    <row r="14" spans="1:16">
      <c r="A14" s="9" t="s">
        <v>182</v>
      </c>
      <c r="B14" s="10"/>
      <c r="C14" s="11"/>
      <c r="D14" s="10">
        <v>2850</v>
      </c>
      <c r="E14" s="32"/>
      <c r="F14" s="32"/>
      <c r="G14" s="33"/>
      <c r="H14" s="32">
        <v>552</v>
      </c>
      <c r="I14" s="12">
        <v>240</v>
      </c>
      <c r="J14" s="12">
        <v>1584</v>
      </c>
      <c r="K14" s="10">
        <v>348</v>
      </c>
      <c r="L14" s="21"/>
      <c r="M14" s="24">
        <f>SUM(B14:L14)</f>
        <v>5574</v>
      </c>
    </row>
    <row r="15" spans="1:16">
      <c r="A15" s="9" t="s">
        <v>183</v>
      </c>
      <c r="B15" s="10"/>
      <c r="C15" s="11"/>
      <c r="D15" s="10"/>
      <c r="E15" s="32"/>
      <c r="F15" s="32">
        <v>154</v>
      </c>
      <c r="G15" s="33"/>
      <c r="H15" s="32">
        <v>672</v>
      </c>
      <c r="I15" s="12">
        <v>600</v>
      </c>
      <c r="J15" s="12">
        <v>3072</v>
      </c>
      <c r="K15" s="10">
        <v>192</v>
      </c>
      <c r="L15" s="32"/>
      <c r="M15" s="24">
        <f t="shared" si="0"/>
        <v>4690</v>
      </c>
      <c r="P15" s="1"/>
    </row>
    <row r="16" spans="1:16">
      <c r="A16" s="9" t="s">
        <v>184</v>
      </c>
      <c r="B16" s="10"/>
      <c r="C16" s="11"/>
      <c r="D16" s="10"/>
      <c r="E16" s="32"/>
      <c r="F16" s="32"/>
      <c r="G16" s="33"/>
      <c r="H16" s="32"/>
      <c r="I16" s="12"/>
      <c r="J16" s="12"/>
      <c r="K16" s="10">
        <v>1200</v>
      </c>
      <c r="L16" s="21"/>
      <c r="M16" s="24">
        <f t="shared" si="0"/>
        <v>1200</v>
      </c>
      <c r="P16" s="1"/>
    </row>
    <row r="17" spans="1:16">
      <c r="A17" s="9" t="s">
        <v>185</v>
      </c>
      <c r="B17" s="10"/>
      <c r="C17" s="11"/>
      <c r="D17" s="10">
        <v>6360</v>
      </c>
      <c r="E17" s="32"/>
      <c r="F17" s="32"/>
      <c r="G17" s="33"/>
      <c r="H17" s="32"/>
      <c r="I17" s="12"/>
      <c r="J17" s="12"/>
      <c r="K17" s="10"/>
      <c r="L17" s="21"/>
      <c r="M17" s="24">
        <f t="shared" si="0"/>
        <v>6360</v>
      </c>
      <c r="P17" s="1"/>
    </row>
    <row r="18" spans="1:16">
      <c r="A18" s="9" t="s">
        <v>186</v>
      </c>
      <c r="B18" s="51"/>
      <c r="C18" s="52"/>
      <c r="D18" s="51">
        <v>1320</v>
      </c>
      <c r="E18" s="53">
        <v>264</v>
      </c>
      <c r="F18" s="53"/>
      <c r="G18" s="54"/>
      <c r="H18" s="53">
        <v>1536</v>
      </c>
      <c r="I18" s="55">
        <v>240</v>
      </c>
      <c r="J18" s="55"/>
      <c r="K18" s="51">
        <v>264</v>
      </c>
      <c r="L18" s="56"/>
      <c r="M18" s="57">
        <f>SUM(B18:L18)</f>
        <v>3624</v>
      </c>
      <c r="P18" s="1"/>
    </row>
    <row r="19" spans="1:16">
      <c r="A19" s="9" t="s">
        <v>187</v>
      </c>
      <c r="B19" s="51"/>
      <c r="C19" s="52"/>
      <c r="D19" s="51"/>
      <c r="E19" s="53">
        <v>240</v>
      </c>
      <c r="F19" s="53">
        <v>176</v>
      </c>
      <c r="G19" s="54"/>
      <c r="H19" s="53"/>
      <c r="I19" s="55">
        <v>744</v>
      </c>
      <c r="J19" s="55">
        <v>2952</v>
      </c>
      <c r="K19" s="51">
        <v>660</v>
      </c>
      <c r="L19" s="56"/>
      <c r="M19" s="57">
        <f t="shared" si="0"/>
        <v>4772</v>
      </c>
      <c r="P19" s="1"/>
    </row>
    <row r="20" spans="1:16">
      <c r="A20" s="9" t="s">
        <v>188</v>
      </c>
      <c r="B20" s="10"/>
      <c r="C20" s="11"/>
      <c r="D20" s="10">
        <v>5160</v>
      </c>
      <c r="E20" s="32"/>
      <c r="F20" s="32"/>
      <c r="G20" s="33">
        <v>110</v>
      </c>
      <c r="H20" s="32"/>
      <c r="I20" s="12"/>
      <c r="J20" s="12">
        <v>1464</v>
      </c>
      <c r="K20" s="10"/>
      <c r="L20" s="21"/>
      <c r="M20" s="24">
        <f t="shared" si="0"/>
        <v>6734</v>
      </c>
      <c r="P20" s="1"/>
    </row>
    <row r="21" spans="1:16">
      <c r="A21" s="9" t="s">
        <v>189</v>
      </c>
      <c r="B21" s="10"/>
      <c r="C21" s="11"/>
      <c r="D21" s="10">
        <v>1950</v>
      </c>
      <c r="E21" s="32"/>
      <c r="F21" s="32"/>
      <c r="G21" s="33"/>
      <c r="H21" s="32">
        <v>1104</v>
      </c>
      <c r="I21" s="12"/>
      <c r="J21" s="12">
        <v>1992</v>
      </c>
      <c r="K21" s="10">
        <v>1020</v>
      </c>
      <c r="L21" s="21"/>
      <c r="M21" s="24">
        <f t="shared" si="0"/>
        <v>6066</v>
      </c>
      <c r="P21" s="1"/>
    </row>
    <row r="22" spans="1:16">
      <c r="A22" s="9" t="s">
        <v>190</v>
      </c>
      <c r="B22" s="10"/>
      <c r="C22" s="11"/>
      <c r="D22" s="10">
        <v>1140</v>
      </c>
      <c r="E22" s="32"/>
      <c r="F22" s="32"/>
      <c r="G22" s="33"/>
      <c r="H22" s="32"/>
      <c r="I22" s="12"/>
      <c r="J22" s="12">
        <v>2856</v>
      </c>
      <c r="K22" s="10"/>
      <c r="L22" s="21"/>
      <c r="M22" s="24">
        <f>SUM(B22:L22)</f>
        <v>3996</v>
      </c>
      <c r="P22" s="1"/>
    </row>
    <row r="23" spans="1:16">
      <c r="A23" s="9" t="s">
        <v>191</v>
      </c>
      <c r="B23" s="10"/>
      <c r="C23" s="11">
        <v>2712</v>
      </c>
      <c r="D23" s="10"/>
      <c r="E23" s="32"/>
      <c r="F23" s="32"/>
      <c r="G23" s="33"/>
      <c r="H23" s="32">
        <v>360</v>
      </c>
      <c r="I23" s="12">
        <v>648</v>
      </c>
      <c r="J23" s="12">
        <v>1416</v>
      </c>
      <c r="K23" s="10"/>
      <c r="L23" s="21"/>
      <c r="M23" s="24">
        <f t="shared" si="0"/>
        <v>5136</v>
      </c>
      <c r="P23" s="1"/>
    </row>
    <row r="24" spans="1:16">
      <c r="A24" s="9" t="s">
        <v>192</v>
      </c>
      <c r="B24" s="10">
        <v>312</v>
      </c>
      <c r="C24" s="11">
        <v>384</v>
      </c>
      <c r="D24" s="10"/>
      <c r="E24" s="32"/>
      <c r="F24" s="32"/>
      <c r="G24" s="33">
        <v>88</v>
      </c>
      <c r="H24" s="32">
        <v>408</v>
      </c>
      <c r="I24" s="12">
        <v>168</v>
      </c>
      <c r="J24" s="12">
        <v>3528</v>
      </c>
      <c r="K24" s="10">
        <v>216</v>
      </c>
      <c r="L24" s="21"/>
      <c r="M24" s="24">
        <f t="shared" si="0"/>
        <v>5104</v>
      </c>
      <c r="P24" s="1"/>
    </row>
    <row r="25" spans="1:16">
      <c r="A25" s="9" t="s">
        <v>193</v>
      </c>
      <c r="B25" s="10"/>
      <c r="C25" s="11"/>
      <c r="D25" s="10">
        <v>60</v>
      </c>
      <c r="E25" s="32"/>
      <c r="F25" s="32"/>
      <c r="G25" s="33"/>
      <c r="H25" s="32"/>
      <c r="I25" s="12"/>
      <c r="J25" s="12">
        <v>4680</v>
      </c>
      <c r="K25" s="10">
        <v>144</v>
      </c>
      <c r="L25" s="21"/>
      <c r="M25" s="24">
        <f t="shared" si="0"/>
        <v>4884</v>
      </c>
      <c r="P25" s="1"/>
    </row>
    <row r="26" spans="1:16">
      <c r="A26" s="9" t="s">
        <v>194</v>
      </c>
      <c r="B26" s="10"/>
      <c r="C26" s="11"/>
      <c r="D26" s="10">
        <v>7230</v>
      </c>
      <c r="E26" s="32"/>
      <c r="F26" s="32"/>
      <c r="G26" s="33"/>
      <c r="H26" s="32"/>
      <c r="I26" s="12"/>
      <c r="J26" s="12">
        <v>3552</v>
      </c>
      <c r="K26" s="10">
        <v>1284</v>
      </c>
      <c r="L26" s="21"/>
      <c r="M26" s="24">
        <f t="shared" si="0"/>
        <v>12066</v>
      </c>
      <c r="P26" s="1"/>
    </row>
    <row r="27" spans="1:16">
      <c r="A27" s="9" t="s">
        <v>195</v>
      </c>
      <c r="B27" s="10"/>
      <c r="C27" s="11"/>
      <c r="D27" s="10">
        <v>2670</v>
      </c>
      <c r="E27" s="32"/>
      <c r="F27" s="32"/>
      <c r="G27" s="33"/>
      <c r="H27" s="32">
        <v>1128</v>
      </c>
      <c r="I27" s="12">
        <v>1344</v>
      </c>
      <c r="J27" s="12">
        <v>2424</v>
      </c>
      <c r="K27" s="10">
        <v>696</v>
      </c>
      <c r="L27" s="21"/>
      <c r="M27" s="24">
        <f t="shared" si="0"/>
        <v>8262</v>
      </c>
      <c r="P27" s="1"/>
    </row>
    <row r="28" spans="1:16">
      <c r="A28" s="9"/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1344</v>
      </c>
      <c r="C30" s="15">
        <f t="shared" si="1"/>
        <v>5832</v>
      </c>
      <c r="D30" s="15">
        <f t="shared" si="1"/>
        <v>44820</v>
      </c>
      <c r="E30" s="15">
        <f t="shared" si="1"/>
        <v>1080</v>
      </c>
      <c r="F30" s="15">
        <f t="shared" si="1"/>
        <v>836</v>
      </c>
      <c r="G30" s="15">
        <f t="shared" si="1"/>
        <v>198</v>
      </c>
      <c r="H30" s="15">
        <f t="shared" si="1"/>
        <v>10896</v>
      </c>
      <c r="I30" s="15">
        <f t="shared" si="1"/>
        <v>6912</v>
      </c>
      <c r="J30" s="15">
        <f t="shared" si="1"/>
        <v>52560</v>
      </c>
      <c r="K30" s="15">
        <f t="shared" si="1"/>
        <v>10188</v>
      </c>
      <c r="L30" s="15">
        <f t="shared" si="1"/>
        <v>132</v>
      </c>
      <c r="M30" s="22">
        <f t="shared" si="1"/>
        <v>134798</v>
      </c>
      <c r="P30" s="1"/>
    </row>
    <row r="31" spans="1:16" ht="15.75" thickBot="1">
      <c r="A31" s="16" t="s">
        <v>12</v>
      </c>
      <c r="B31" s="17">
        <f t="shared" ref="B31:M31" si="2">B3+B30</f>
        <v>7344</v>
      </c>
      <c r="C31" s="17">
        <f t="shared" si="2"/>
        <v>35640</v>
      </c>
      <c r="D31" s="17">
        <f t="shared" si="2"/>
        <v>256380</v>
      </c>
      <c r="E31" s="17">
        <f t="shared" si="2"/>
        <v>3624</v>
      </c>
      <c r="F31" s="17">
        <f t="shared" si="2"/>
        <v>11044</v>
      </c>
      <c r="G31" s="17">
        <f t="shared" si="2"/>
        <v>2090</v>
      </c>
      <c r="H31" s="17">
        <f t="shared" si="2"/>
        <v>65952</v>
      </c>
      <c r="I31" s="17">
        <f t="shared" si="2"/>
        <v>38448</v>
      </c>
      <c r="J31" s="17">
        <f t="shared" si="2"/>
        <v>339912</v>
      </c>
      <c r="K31" s="17">
        <f t="shared" si="2"/>
        <v>60084</v>
      </c>
      <c r="L31" s="17">
        <f t="shared" si="2"/>
        <v>14400</v>
      </c>
      <c r="M31" s="16">
        <f t="shared" si="2"/>
        <v>834918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70C0"/>
  </sheetPr>
  <dimension ref="A1:R1943"/>
  <sheetViews>
    <sheetView workbookViewId="0">
      <pane ySplit="3" topLeftCell="A14" activePane="bottomLeft" state="frozen"/>
      <selection pane="bottomLeft" activeCell="Q17" sqref="Q17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8" ht="15.75" thickBot="1">
      <c r="A1" s="68" t="s">
        <v>196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8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8" s="1" customFormat="1" ht="15.75" thickBot="1">
      <c r="A3" s="40" t="s">
        <v>197</v>
      </c>
      <c r="B3" s="42">
        <v>7344</v>
      </c>
      <c r="C3" s="44">
        <v>35640</v>
      </c>
      <c r="D3" s="42">
        <v>256380</v>
      </c>
      <c r="E3" s="43">
        <v>3624</v>
      </c>
      <c r="F3" s="43">
        <v>11044</v>
      </c>
      <c r="G3" s="44">
        <v>2090</v>
      </c>
      <c r="H3" s="45">
        <v>65952</v>
      </c>
      <c r="I3" s="43">
        <v>38448</v>
      </c>
      <c r="J3" s="44">
        <v>339912</v>
      </c>
      <c r="K3" s="46">
        <v>60084</v>
      </c>
      <c r="L3" s="44">
        <v>14400</v>
      </c>
      <c r="M3" s="26">
        <v>834918</v>
      </c>
      <c r="N3" s="20"/>
    </row>
    <row r="4" spans="1:18">
      <c r="A4" s="63" t="s">
        <v>197</v>
      </c>
      <c r="B4" s="10"/>
      <c r="C4" s="11"/>
      <c r="D4" s="10"/>
      <c r="E4" s="32"/>
      <c r="F4" s="32"/>
      <c r="G4" s="33"/>
      <c r="H4" s="32">
        <v>600</v>
      </c>
      <c r="I4" s="12"/>
      <c r="J4" s="12">
        <v>1776</v>
      </c>
      <c r="K4" s="10">
        <v>432</v>
      </c>
      <c r="L4" s="21"/>
      <c r="M4" s="24">
        <f t="shared" ref="M4:M29" si="0">SUM(B4:L4)</f>
        <v>2808</v>
      </c>
      <c r="P4" s="1"/>
    </row>
    <row r="5" spans="1:18">
      <c r="A5" s="63" t="s">
        <v>198</v>
      </c>
      <c r="B5" s="10"/>
      <c r="C5" s="11"/>
      <c r="D5" s="10"/>
      <c r="E5" s="32"/>
      <c r="F5" s="32"/>
      <c r="G5" s="33"/>
      <c r="H5" s="32"/>
      <c r="I5" s="12"/>
      <c r="J5" s="12">
        <v>2400</v>
      </c>
      <c r="K5" s="10">
        <v>120</v>
      </c>
      <c r="L5" s="21"/>
      <c r="M5" s="24">
        <f t="shared" si="0"/>
        <v>2520</v>
      </c>
      <c r="P5" s="1"/>
      <c r="R5" s="65" t="s">
        <v>206</v>
      </c>
    </row>
    <row r="6" spans="1:18">
      <c r="A6" s="63" t="s">
        <v>199</v>
      </c>
      <c r="B6" s="51"/>
      <c r="C6" s="52"/>
      <c r="D6" s="51"/>
      <c r="E6" s="53"/>
      <c r="F6" s="53"/>
      <c r="G6" s="54">
        <v>88</v>
      </c>
      <c r="H6" s="53">
        <v>624</v>
      </c>
      <c r="I6" s="55"/>
      <c r="J6" s="55">
        <v>2016</v>
      </c>
      <c r="K6" s="51"/>
      <c r="L6" s="56"/>
      <c r="M6" s="24">
        <f t="shared" si="0"/>
        <v>2728</v>
      </c>
      <c r="P6" s="1"/>
      <c r="R6" s="66" t="s">
        <v>207</v>
      </c>
    </row>
    <row r="7" spans="1:18">
      <c r="A7" s="63" t="s">
        <v>200</v>
      </c>
      <c r="B7" s="10"/>
      <c r="C7" s="13"/>
      <c r="D7" s="10"/>
      <c r="E7" s="32"/>
      <c r="F7" s="32"/>
      <c r="G7" s="33"/>
      <c r="H7" s="32"/>
      <c r="I7" s="12"/>
      <c r="J7" s="12">
        <v>3000</v>
      </c>
      <c r="K7" s="10">
        <v>720</v>
      </c>
      <c r="L7" s="21"/>
      <c r="M7" s="24">
        <f t="shared" si="0"/>
        <v>3720</v>
      </c>
      <c r="P7" s="1"/>
      <c r="R7" s="67" t="s">
        <v>208</v>
      </c>
    </row>
    <row r="8" spans="1:18">
      <c r="A8" s="9" t="s">
        <v>201</v>
      </c>
      <c r="B8" s="10"/>
      <c r="C8" s="11">
        <v>936</v>
      </c>
      <c r="D8" s="10"/>
      <c r="E8" s="32"/>
      <c r="F8" s="32"/>
      <c r="G8" s="33"/>
      <c r="H8" s="32"/>
      <c r="I8" s="12"/>
      <c r="J8" s="12">
        <v>2304</v>
      </c>
      <c r="K8" s="10"/>
      <c r="L8" s="21"/>
      <c r="M8" s="24">
        <f t="shared" si="0"/>
        <v>3240</v>
      </c>
      <c r="R8" s="64"/>
    </row>
    <row r="9" spans="1:18">
      <c r="A9" s="9" t="s">
        <v>202</v>
      </c>
      <c r="B9" s="10"/>
      <c r="C9" s="11">
        <v>792</v>
      </c>
      <c r="D9" s="10"/>
      <c r="E9" s="32"/>
      <c r="F9" s="32"/>
      <c r="G9" s="33"/>
      <c r="H9" s="32">
        <v>984</v>
      </c>
      <c r="I9" s="12"/>
      <c r="J9" s="12"/>
      <c r="K9" s="10"/>
      <c r="L9" s="21"/>
      <c r="M9" s="24">
        <f t="shared" si="0"/>
        <v>1776</v>
      </c>
      <c r="R9" s="64"/>
    </row>
    <row r="10" spans="1:18">
      <c r="A10" s="9" t="s">
        <v>203</v>
      </c>
      <c r="B10" s="10"/>
      <c r="C10" s="11">
        <v>480</v>
      </c>
      <c r="D10" s="10">
        <v>540</v>
      </c>
      <c r="E10" s="32"/>
      <c r="F10" s="32"/>
      <c r="G10" s="33">
        <v>220</v>
      </c>
      <c r="H10" s="32">
        <v>1128</v>
      </c>
      <c r="I10" s="12"/>
      <c r="J10" s="12">
        <v>3960</v>
      </c>
      <c r="K10" s="10">
        <v>1380</v>
      </c>
      <c r="L10" s="21"/>
      <c r="M10" s="24">
        <f t="shared" si="0"/>
        <v>7708</v>
      </c>
      <c r="R10" s="64"/>
    </row>
    <row r="11" spans="1:18">
      <c r="A11" s="9" t="s">
        <v>204</v>
      </c>
      <c r="B11" s="10"/>
      <c r="C11" s="11"/>
      <c r="D11" s="10">
        <v>2130</v>
      </c>
      <c r="E11" s="32"/>
      <c r="F11" s="32">
        <v>374</v>
      </c>
      <c r="G11" s="33"/>
      <c r="H11" s="32">
        <v>744</v>
      </c>
      <c r="I11" s="12">
        <v>840</v>
      </c>
      <c r="J11" s="12"/>
      <c r="K11" s="10"/>
      <c r="L11" s="21"/>
      <c r="M11" s="24">
        <f t="shared" si="0"/>
        <v>4088</v>
      </c>
      <c r="R11" s="64"/>
    </row>
    <row r="12" spans="1:18">
      <c r="A12" s="9" t="s">
        <v>205</v>
      </c>
      <c r="B12" s="10"/>
      <c r="C12" s="11"/>
      <c r="D12" s="10">
        <v>6630</v>
      </c>
      <c r="E12" s="32"/>
      <c r="F12" s="32">
        <v>44</v>
      </c>
      <c r="G12" s="33"/>
      <c r="H12" s="32"/>
      <c r="I12" s="12">
        <v>672</v>
      </c>
      <c r="J12" s="12">
        <v>1128</v>
      </c>
      <c r="K12" s="10"/>
      <c r="L12" s="21"/>
      <c r="M12" s="24">
        <f t="shared" ref="M12:M18" si="1">SUM(B12:L12)</f>
        <v>8474</v>
      </c>
    </row>
    <row r="13" spans="1:18">
      <c r="A13" s="9" t="s">
        <v>209</v>
      </c>
      <c r="B13" s="10"/>
      <c r="C13" s="11"/>
      <c r="D13" s="10">
        <v>570</v>
      </c>
      <c r="E13" s="32"/>
      <c r="F13" s="32"/>
      <c r="G13" s="33"/>
      <c r="H13" s="32"/>
      <c r="I13" s="12">
        <v>336</v>
      </c>
      <c r="J13" s="12">
        <v>2280</v>
      </c>
      <c r="K13" s="10"/>
      <c r="L13" s="21"/>
      <c r="M13" s="24">
        <f t="shared" si="1"/>
        <v>3186</v>
      </c>
    </row>
    <row r="14" spans="1:18">
      <c r="A14" s="9" t="s">
        <v>210</v>
      </c>
      <c r="B14" s="10"/>
      <c r="C14" s="11"/>
      <c r="D14" s="10">
        <v>9750</v>
      </c>
      <c r="E14" s="32"/>
      <c r="F14" s="32">
        <v>22</v>
      </c>
      <c r="G14" s="33"/>
      <c r="H14" s="32">
        <v>2184</v>
      </c>
      <c r="I14" s="12">
        <v>672</v>
      </c>
      <c r="J14" s="12">
        <v>360</v>
      </c>
      <c r="K14" s="10"/>
      <c r="L14" s="21"/>
      <c r="M14" s="24">
        <f t="shared" si="1"/>
        <v>12988</v>
      </c>
    </row>
    <row r="15" spans="1:18">
      <c r="A15" s="9" t="s">
        <v>211</v>
      </c>
      <c r="B15" s="10">
        <v>96</v>
      </c>
      <c r="C15" s="11"/>
      <c r="D15" s="10"/>
      <c r="E15" s="32"/>
      <c r="F15" s="32">
        <v>242</v>
      </c>
      <c r="G15" s="33"/>
      <c r="H15" s="32">
        <v>480</v>
      </c>
      <c r="I15" s="12">
        <v>120</v>
      </c>
      <c r="J15" s="12">
        <v>2880</v>
      </c>
      <c r="K15" s="10"/>
      <c r="L15" s="32"/>
      <c r="M15" s="24">
        <f t="shared" si="1"/>
        <v>3818</v>
      </c>
    </row>
    <row r="16" spans="1:18">
      <c r="A16" s="9" t="s">
        <v>212</v>
      </c>
      <c r="B16" s="10"/>
      <c r="C16" s="11"/>
      <c r="D16" s="10">
        <v>1860</v>
      </c>
      <c r="E16" s="32"/>
      <c r="F16" s="32"/>
      <c r="G16" s="33"/>
      <c r="H16" s="32">
        <v>528</v>
      </c>
      <c r="I16" s="12">
        <v>288</v>
      </c>
      <c r="J16" s="12"/>
      <c r="K16" s="10">
        <v>1068</v>
      </c>
      <c r="L16" s="21"/>
      <c r="M16" s="24">
        <f t="shared" si="1"/>
        <v>3744</v>
      </c>
    </row>
    <row r="17" spans="1:16">
      <c r="A17" s="9" t="s">
        <v>213</v>
      </c>
      <c r="B17" s="10"/>
      <c r="C17" s="11">
        <v>552</v>
      </c>
      <c r="D17" s="10">
        <v>8550</v>
      </c>
      <c r="E17" s="32"/>
      <c r="F17" s="32">
        <v>198</v>
      </c>
      <c r="G17" s="33"/>
      <c r="H17" s="32"/>
      <c r="I17" s="12"/>
      <c r="J17" s="12"/>
      <c r="K17" s="10"/>
      <c r="L17" s="21"/>
      <c r="M17" s="24">
        <f t="shared" si="1"/>
        <v>9300</v>
      </c>
      <c r="P17" s="1"/>
    </row>
    <row r="18" spans="1:16">
      <c r="A18" s="9" t="s">
        <v>214</v>
      </c>
      <c r="B18" s="51">
        <v>120</v>
      </c>
      <c r="C18" s="52">
        <v>1248</v>
      </c>
      <c r="D18" s="51"/>
      <c r="E18" s="53"/>
      <c r="F18" s="53"/>
      <c r="G18" s="54"/>
      <c r="H18" s="53">
        <v>96</v>
      </c>
      <c r="I18" s="55">
        <v>288</v>
      </c>
      <c r="J18" s="55">
        <v>2688</v>
      </c>
      <c r="K18" s="51">
        <v>396</v>
      </c>
      <c r="L18" s="56"/>
      <c r="M18" s="57">
        <f t="shared" si="1"/>
        <v>4836</v>
      </c>
      <c r="P18" s="1"/>
    </row>
    <row r="19" spans="1:16">
      <c r="A19" s="9" t="s">
        <v>215</v>
      </c>
      <c r="B19" s="51">
        <v>48</v>
      </c>
      <c r="C19" s="52"/>
      <c r="D19" s="51"/>
      <c r="E19" s="53"/>
      <c r="F19" s="53"/>
      <c r="G19" s="54"/>
      <c r="H19" s="53"/>
      <c r="I19" s="55">
        <v>600</v>
      </c>
      <c r="J19" s="55">
        <v>4440</v>
      </c>
      <c r="K19" s="51"/>
      <c r="L19" s="56"/>
      <c r="M19" s="57">
        <f t="shared" si="0"/>
        <v>5088</v>
      </c>
      <c r="P19" s="1"/>
    </row>
    <row r="20" spans="1:16">
      <c r="A20" s="9" t="s">
        <v>216</v>
      </c>
      <c r="B20" s="10"/>
      <c r="C20" s="11"/>
      <c r="D20" s="10">
        <v>2850</v>
      </c>
      <c r="E20" s="32"/>
      <c r="F20" s="32"/>
      <c r="G20" s="33"/>
      <c r="H20" s="32"/>
      <c r="I20" s="12"/>
      <c r="J20" s="12">
        <v>4344</v>
      </c>
      <c r="K20" s="10"/>
      <c r="L20" s="21"/>
      <c r="M20" s="24">
        <f t="shared" si="0"/>
        <v>7194</v>
      </c>
      <c r="P20" s="1"/>
    </row>
    <row r="21" spans="1:16">
      <c r="A21" s="9" t="s">
        <v>218</v>
      </c>
      <c r="B21" s="10"/>
      <c r="C21" s="11"/>
      <c r="D21" s="10">
        <v>3600</v>
      </c>
      <c r="E21" s="32"/>
      <c r="F21" s="32"/>
      <c r="G21" s="33"/>
      <c r="H21" s="32"/>
      <c r="I21" s="12"/>
      <c r="J21" s="12">
        <v>1824</v>
      </c>
      <c r="K21" s="10">
        <v>1644</v>
      </c>
      <c r="L21" s="21"/>
      <c r="M21" s="24">
        <f t="shared" si="0"/>
        <v>7068</v>
      </c>
      <c r="P21" s="1"/>
    </row>
    <row r="22" spans="1:16">
      <c r="A22" s="9" t="s">
        <v>217</v>
      </c>
      <c r="B22" s="10"/>
      <c r="C22" s="11"/>
      <c r="D22" s="10">
        <v>2190</v>
      </c>
      <c r="E22" s="32"/>
      <c r="F22" s="32"/>
      <c r="G22" s="33"/>
      <c r="H22" s="32">
        <v>768</v>
      </c>
      <c r="I22" s="12"/>
      <c r="J22" s="12">
        <v>1536</v>
      </c>
      <c r="K22" s="10"/>
      <c r="L22" s="21"/>
      <c r="M22" s="24">
        <f>SUM(B22:L22)</f>
        <v>4494</v>
      </c>
      <c r="P22" s="1"/>
    </row>
    <row r="23" spans="1:16">
      <c r="A23" s="9" t="s">
        <v>219</v>
      </c>
      <c r="B23" s="10"/>
      <c r="C23" s="11">
        <v>1032</v>
      </c>
      <c r="D23" s="10"/>
      <c r="E23" s="32"/>
      <c r="F23" s="32"/>
      <c r="G23" s="33"/>
      <c r="H23" s="32">
        <v>96</v>
      </c>
      <c r="I23" s="12"/>
      <c r="J23" s="12">
        <v>1440</v>
      </c>
      <c r="K23" s="10">
        <v>324</v>
      </c>
      <c r="L23" s="21"/>
      <c r="M23" s="24">
        <f t="shared" si="0"/>
        <v>2892</v>
      </c>
      <c r="P23" s="1"/>
    </row>
    <row r="24" spans="1:16">
      <c r="A24" s="9" t="s">
        <v>221</v>
      </c>
      <c r="B24" s="10"/>
      <c r="C24" s="11"/>
      <c r="D24" s="10">
        <v>1230</v>
      </c>
      <c r="E24" s="32"/>
      <c r="F24" s="32">
        <v>286</v>
      </c>
      <c r="G24" s="33"/>
      <c r="H24" s="32">
        <v>552</v>
      </c>
      <c r="I24" s="12">
        <v>216</v>
      </c>
      <c r="J24" s="12">
        <v>2568</v>
      </c>
      <c r="K24" s="10">
        <v>564</v>
      </c>
      <c r="L24" s="21"/>
      <c r="M24" s="24">
        <f t="shared" si="0"/>
        <v>5416</v>
      </c>
      <c r="P24" s="1"/>
    </row>
    <row r="25" spans="1:16">
      <c r="A25" s="9" t="s">
        <v>220</v>
      </c>
      <c r="B25" s="10"/>
      <c r="C25" s="11"/>
      <c r="D25" s="10">
        <v>1770</v>
      </c>
      <c r="E25" s="32"/>
      <c r="F25" s="32"/>
      <c r="G25" s="33"/>
      <c r="H25" s="32">
        <v>1272</v>
      </c>
      <c r="I25" s="12">
        <v>744</v>
      </c>
      <c r="J25" s="12">
        <v>3600</v>
      </c>
      <c r="K25" s="10">
        <v>120</v>
      </c>
      <c r="L25" s="21"/>
      <c r="M25" s="24">
        <f t="shared" si="0"/>
        <v>7506</v>
      </c>
      <c r="P25" s="1"/>
    </row>
    <row r="26" spans="1:16">
      <c r="A26" s="9" t="s">
        <v>222</v>
      </c>
      <c r="B26" s="10"/>
      <c r="C26" s="11"/>
      <c r="D26" s="10"/>
      <c r="E26" s="32"/>
      <c r="F26" s="32">
        <v>22</v>
      </c>
      <c r="G26" s="33"/>
      <c r="H26" s="32">
        <v>984</v>
      </c>
      <c r="I26" s="12"/>
      <c r="J26" s="12">
        <v>3336</v>
      </c>
      <c r="K26" s="10">
        <v>600</v>
      </c>
      <c r="L26" s="21"/>
      <c r="M26" s="24">
        <f t="shared" si="0"/>
        <v>4942</v>
      </c>
      <c r="P26" s="1"/>
    </row>
    <row r="27" spans="1:16">
      <c r="A27" s="9" t="s">
        <v>223</v>
      </c>
      <c r="B27" s="10"/>
      <c r="C27" s="11"/>
      <c r="D27" s="10">
        <v>2190</v>
      </c>
      <c r="E27" s="32"/>
      <c r="F27" s="32"/>
      <c r="G27" s="33"/>
      <c r="H27" s="32">
        <v>1032</v>
      </c>
      <c r="I27" s="12"/>
      <c r="J27" s="12">
        <v>3336</v>
      </c>
      <c r="K27" s="10"/>
      <c r="L27" s="21"/>
      <c r="M27" s="24">
        <f t="shared" si="0"/>
        <v>6558</v>
      </c>
      <c r="P27" s="1"/>
    </row>
    <row r="28" spans="1:16">
      <c r="A28" s="9" t="s">
        <v>224</v>
      </c>
      <c r="B28" s="10"/>
      <c r="C28" s="11">
        <v>1512</v>
      </c>
      <c r="D28" s="10">
        <v>1530</v>
      </c>
      <c r="E28" s="32"/>
      <c r="F28" s="32">
        <v>242</v>
      </c>
      <c r="G28" s="33"/>
      <c r="H28" s="32"/>
      <c r="I28" s="12"/>
      <c r="J28" s="12">
        <v>2160</v>
      </c>
      <c r="K28" s="10"/>
      <c r="L28" s="21"/>
      <c r="M28" s="24">
        <f t="shared" si="0"/>
        <v>5444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2">SUM(B4:B29)</f>
        <v>264</v>
      </c>
      <c r="C30" s="15">
        <f t="shared" si="2"/>
        <v>6552</v>
      </c>
      <c r="D30" s="15">
        <f t="shared" si="2"/>
        <v>45390</v>
      </c>
      <c r="E30" s="15">
        <f t="shared" si="2"/>
        <v>0</v>
      </c>
      <c r="F30" s="15">
        <f t="shared" si="2"/>
        <v>1430</v>
      </c>
      <c r="G30" s="15">
        <f t="shared" si="2"/>
        <v>308</v>
      </c>
      <c r="H30" s="15">
        <f t="shared" si="2"/>
        <v>12072</v>
      </c>
      <c r="I30" s="15">
        <f t="shared" si="2"/>
        <v>4776</v>
      </c>
      <c r="J30" s="15">
        <f t="shared" si="2"/>
        <v>53376</v>
      </c>
      <c r="K30" s="15">
        <f t="shared" si="2"/>
        <v>7368</v>
      </c>
      <c r="L30" s="15">
        <f t="shared" si="2"/>
        <v>0</v>
      </c>
      <c r="M30" s="22">
        <f t="shared" si="2"/>
        <v>131536</v>
      </c>
      <c r="P30" s="1"/>
    </row>
    <row r="31" spans="1:16" ht="15.75" thickBot="1">
      <c r="A31" s="16" t="s">
        <v>12</v>
      </c>
      <c r="B31" s="17">
        <f t="shared" ref="B31:M31" si="3">B3+B30</f>
        <v>7608</v>
      </c>
      <c r="C31" s="17">
        <f t="shared" si="3"/>
        <v>42192</v>
      </c>
      <c r="D31" s="17">
        <f t="shared" si="3"/>
        <v>301770</v>
      </c>
      <c r="E31" s="17">
        <f t="shared" si="3"/>
        <v>3624</v>
      </c>
      <c r="F31" s="17">
        <f t="shared" si="3"/>
        <v>12474</v>
      </c>
      <c r="G31" s="17">
        <f t="shared" si="3"/>
        <v>2398</v>
      </c>
      <c r="H31" s="17">
        <f t="shared" si="3"/>
        <v>78024</v>
      </c>
      <c r="I31" s="17">
        <f t="shared" si="3"/>
        <v>43224</v>
      </c>
      <c r="J31" s="17">
        <f t="shared" si="3"/>
        <v>393288</v>
      </c>
      <c r="K31" s="17">
        <f t="shared" si="3"/>
        <v>67452</v>
      </c>
      <c r="L31" s="17">
        <f t="shared" si="3"/>
        <v>14400</v>
      </c>
      <c r="M31" s="16">
        <f t="shared" si="3"/>
        <v>966454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hyperlinks>
    <hyperlink ref="R5" r:id="rId1"/>
    <hyperlink ref="R6" r:id="rId2"/>
    <hyperlink ref="R7" r:id="rId3"/>
  </hyperlinks>
  <pageMargins left="0.75" right="0.16" top="0.75" bottom="0.75" header="0.3" footer="0.3"/>
  <pageSetup orientation="landscape" verticalDpi="300" r:id="rId4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70C0"/>
  </sheetPr>
  <dimension ref="A1:R1943"/>
  <sheetViews>
    <sheetView tabSelected="1" workbookViewId="0">
      <pane ySplit="3" topLeftCell="A4" activePane="bottomLeft" state="frozen"/>
      <selection pane="bottomLeft" activeCell="R5" sqref="R5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8" ht="15.75" thickBot="1">
      <c r="A1" s="68" t="s">
        <v>225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8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8" s="1" customFormat="1" ht="15.75" thickBot="1">
      <c r="A3" s="40" t="s">
        <v>226</v>
      </c>
      <c r="B3" s="42">
        <v>7608</v>
      </c>
      <c r="C3" s="44">
        <v>42192</v>
      </c>
      <c r="D3" s="42">
        <v>301770</v>
      </c>
      <c r="E3" s="43">
        <v>3624</v>
      </c>
      <c r="F3" s="43">
        <v>12474</v>
      </c>
      <c r="G3" s="44">
        <v>2398</v>
      </c>
      <c r="H3" s="45">
        <v>78024</v>
      </c>
      <c r="I3" s="43">
        <v>43224</v>
      </c>
      <c r="J3" s="44">
        <v>393288</v>
      </c>
      <c r="K3" s="46">
        <v>67452</v>
      </c>
      <c r="L3" s="44">
        <v>14400</v>
      </c>
      <c r="M3" s="26">
        <v>966454</v>
      </c>
      <c r="N3" s="20"/>
    </row>
    <row r="4" spans="1:18">
      <c r="A4" s="63" t="s">
        <v>226</v>
      </c>
      <c r="B4" s="10"/>
      <c r="C4" s="11">
        <v>1440</v>
      </c>
      <c r="D4" s="10">
        <v>450</v>
      </c>
      <c r="E4" s="32"/>
      <c r="F4" s="32">
        <v>220</v>
      </c>
      <c r="G4" s="33">
        <v>110</v>
      </c>
      <c r="H4" s="32">
        <v>120</v>
      </c>
      <c r="I4" s="12"/>
      <c r="J4" s="12">
        <v>3360</v>
      </c>
      <c r="K4" s="10">
        <v>180</v>
      </c>
      <c r="L4" s="21"/>
      <c r="M4" s="24">
        <f t="shared" ref="M4:M29" si="0">SUM(B4:L4)</f>
        <v>5880</v>
      </c>
      <c r="P4" s="1"/>
    </row>
    <row r="5" spans="1:18">
      <c r="A5" s="63" t="s">
        <v>227</v>
      </c>
      <c r="B5" s="10"/>
      <c r="C5" s="11"/>
      <c r="D5" s="10"/>
      <c r="E5" s="32"/>
      <c r="F5" s="32"/>
      <c r="G5" s="33"/>
      <c r="H5" s="32">
        <v>960</v>
      </c>
      <c r="I5" s="12">
        <v>528</v>
      </c>
      <c r="J5" s="12">
        <v>2328</v>
      </c>
      <c r="K5" s="10">
        <v>612</v>
      </c>
      <c r="L5" s="21"/>
      <c r="M5" s="24">
        <f t="shared" si="0"/>
        <v>4428</v>
      </c>
      <c r="P5" s="1"/>
      <c r="R5" s="65" t="s">
        <v>206</v>
      </c>
    </row>
    <row r="6" spans="1:18">
      <c r="A6" s="63" t="s">
        <v>229</v>
      </c>
      <c r="B6" s="51">
        <v>432</v>
      </c>
      <c r="C6" s="52"/>
      <c r="D6" s="51">
        <v>3240</v>
      </c>
      <c r="E6" s="53"/>
      <c r="F6" s="53"/>
      <c r="G6" s="54"/>
      <c r="H6" s="53">
        <v>600</v>
      </c>
      <c r="I6" s="55">
        <v>480</v>
      </c>
      <c r="J6" s="55">
        <v>1536</v>
      </c>
      <c r="K6" s="51">
        <v>696</v>
      </c>
      <c r="L6" s="56"/>
      <c r="M6" s="24">
        <f t="shared" si="0"/>
        <v>6984</v>
      </c>
      <c r="P6" s="1"/>
      <c r="R6" s="66" t="s">
        <v>207</v>
      </c>
    </row>
    <row r="7" spans="1:18">
      <c r="A7" s="63" t="s">
        <v>228</v>
      </c>
      <c r="B7" s="10">
        <v>528</v>
      </c>
      <c r="C7" s="13"/>
      <c r="D7" s="10">
        <v>2280</v>
      </c>
      <c r="E7" s="32"/>
      <c r="F7" s="32">
        <v>352</v>
      </c>
      <c r="G7" s="33"/>
      <c r="H7" s="32"/>
      <c r="I7" s="12"/>
      <c r="J7" s="12">
        <v>3360</v>
      </c>
      <c r="K7" s="10"/>
      <c r="L7" s="21"/>
      <c r="M7" s="24">
        <f t="shared" si="0"/>
        <v>6520</v>
      </c>
      <c r="P7" s="1"/>
      <c r="R7" s="67" t="s">
        <v>208</v>
      </c>
    </row>
    <row r="8" spans="1:18">
      <c r="A8" s="9" t="s">
        <v>230</v>
      </c>
      <c r="B8" s="10"/>
      <c r="C8" s="11"/>
      <c r="D8" s="10"/>
      <c r="E8" s="32"/>
      <c r="F8" s="32">
        <v>66</v>
      </c>
      <c r="G8" s="33"/>
      <c r="H8" s="32">
        <v>1080</v>
      </c>
      <c r="I8" s="12"/>
      <c r="J8" s="12">
        <v>1008</v>
      </c>
      <c r="K8" s="10">
        <v>528</v>
      </c>
      <c r="L8" s="21"/>
      <c r="M8" s="24">
        <f t="shared" si="0"/>
        <v>2682</v>
      </c>
      <c r="R8" s="64"/>
    </row>
    <row r="9" spans="1:18">
      <c r="A9" s="9"/>
      <c r="B9" s="10"/>
      <c r="C9" s="11"/>
      <c r="D9" s="10"/>
      <c r="E9" s="32"/>
      <c r="F9" s="32"/>
      <c r="G9" s="33"/>
      <c r="H9" s="32"/>
      <c r="I9" s="12"/>
      <c r="J9" s="12"/>
      <c r="K9" s="10"/>
      <c r="L9" s="21"/>
      <c r="M9" s="24">
        <f t="shared" si="0"/>
        <v>0</v>
      </c>
      <c r="R9" s="64"/>
    </row>
    <row r="10" spans="1:18">
      <c r="A10" s="9"/>
      <c r="B10" s="10"/>
      <c r="C10" s="11"/>
      <c r="D10" s="10"/>
      <c r="E10" s="32"/>
      <c r="F10" s="32"/>
      <c r="G10" s="33"/>
      <c r="H10" s="32"/>
      <c r="I10" s="12"/>
      <c r="J10" s="12"/>
      <c r="K10" s="10"/>
      <c r="L10" s="21"/>
      <c r="M10" s="24">
        <f t="shared" si="0"/>
        <v>0</v>
      </c>
      <c r="R10" s="64"/>
    </row>
    <row r="11" spans="1:18">
      <c r="A11" s="9"/>
      <c r="B11" s="10"/>
      <c r="C11" s="11"/>
      <c r="D11" s="10"/>
      <c r="E11" s="32"/>
      <c r="F11" s="32"/>
      <c r="G11" s="33"/>
      <c r="H11" s="32"/>
      <c r="I11" s="12"/>
      <c r="J11" s="12"/>
      <c r="K11" s="10"/>
      <c r="L11" s="21"/>
      <c r="M11" s="24">
        <f t="shared" si="0"/>
        <v>0</v>
      </c>
      <c r="R11" s="64"/>
    </row>
    <row r="12" spans="1:18">
      <c r="A12" s="9"/>
      <c r="B12" s="10"/>
      <c r="C12" s="11"/>
      <c r="D12" s="10"/>
      <c r="E12" s="32"/>
      <c r="F12" s="32"/>
      <c r="G12" s="33"/>
      <c r="H12" s="32"/>
      <c r="I12" s="12"/>
      <c r="J12" s="12"/>
      <c r="K12" s="10"/>
      <c r="L12" s="21"/>
      <c r="M12" s="24">
        <f t="shared" si="0"/>
        <v>0</v>
      </c>
    </row>
    <row r="13" spans="1:18">
      <c r="A13" s="9"/>
      <c r="B13" s="10"/>
      <c r="C13" s="11"/>
      <c r="D13" s="10"/>
      <c r="E13" s="32"/>
      <c r="F13" s="32"/>
      <c r="G13" s="33"/>
      <c r="H13" s="32"/>
      <c r="I13" s="12"/>
      <c r="J13" s="12"/>
      <c r="K13" s="10"/>
      <c r="L13" s="21"/>
      <c r="M13" s="24">
        <f t="shared" si="0"/>
        <v>0</v>
      </c>
    </row>
    <row r="14" spans="1:18">
      <c r="A14" s="9"/>
      <c r="B14" s="10"/>
      <c r="C14" s="11"/>
      <c r="D14" s="10"/>
      <c r="E14" s="32"/>
      <c r="F14" s="32"/>
      <c r="G14" s="33"/>
      <c r="H14" s="32"/>
      <c r="I14" s="12"/>
      <c r="J14" s="12"/>
      <c r="K14" s="10"/>
      <c r="L14" s="21"/>
      <c r="M14" s="24">
        <f t="shared" si="0"/>
        <v>0</v>
      </c>
    </row>
    <row r="15" spans="1:18">
      <c r="A15" s="9"/>
      <c r="B15" s="10"/>
      <c r="C15" s="11"/>
      <c r="D15" s="10"/>
      <c r="E15" s="32"/>
      <c r="F15" s="32"/>
      <c r="G15" s="33"/>
      <c r="H15" s="32"/>
      <c r="I15" s="12"/>
      <c r="J15" s="12"/>
      <c r="K15" s="10"/>
      <c r="L15" s="32"/>
      <c r="M15" s="24">
        <f t="shared" si="0"/>
        <v>0</v>
      </c>
    </row>
    <row r="16" spans="1:18">
      <c r="A16" s="9"/>
      <c r="B16" s="10"/>
      <c r="C16" s="11"/>
      <c r="D16" s="10"/>
      <c r="E16" s="32"/>
      <c r="F16" s="32"/>
      <c r="G16" s="33"/>
      <c r="H16" s="32"/>
      <c r="I16" s="12"/>
      <c r="J16" s="12"/>
      <c r="K16" s="10"/>
      <c r="L16" s="21"/>
      <c r="M16" s="24">
        <f t="shared" si="0"/>
        <v>0</v>
      </c>
    </row>
    <row r="17" spans="1:16">
      <c r="A17" s="9"/>
      <c r="B17" s="10"/>
      <c r="C17" s="11"/>
      <c r="D17" s="10"/>
      <c r="E17" s="32"/>
      <c r="F17" s="32"/>
      <c r="G17" s="33"/>
      <c r="H17" s="32"/>
      <c r="I17" s="12"/>
      <c r="J17" s="12"/>
      <c r="K17" s="10"/>
      <c r="L17" s="21"/>
      <c r="M17" s="24">
        <f t="shared" si="0"/>
        <v>0</v>
      </c>
      <c r="P17" s="1"/>
    </row>
    <row r="18" spans="1:16">
      <c r="A18" s="9"/>
      <c r="B18" s="51"/>
      <c r="C18" s="52"/>
      <c r="D18" s="51"/>
      <c r="E18" s="53"/>
      <c r="F18" s="53"/>
      <c r="G18" s="54"/>
      <c r="H18" s="53"/>
      <c r="I18" s="55"/>
      <c r="J18" s="55"/>
      <c r="K18" s="51"/>
      <c r="L18" s="56"/>
      <c r="M18" s="57">
        <f t="shared" si="0"/>
        <v>0</v>
      </c>
      <c r="P18" s="1"/>
    </row>
    <row r="19" spans="1:16">
      <c r="A19" s="9"/>
      <c r="B19" s="51"/>
      <c r="C19" s="52"/>
      <c r="D19" s="51"/>
      <c r="E19" s="53"/>
      <c r="F19" s="53"/>
      <c r="G19" s="54"/>
      <c r="H19" s="53"/>
      <c r="I19" s="55"/>
      <c r="J19" s="55"/>
      <c r="K19" s="51"/>
      <c r="L19" s="56"/>
      <c r="M19" s="57">
        <f t="shared" si="0"/>
        <v>0</v>
      </c>
      <c r="P19" s="1"/>
    </row>
    <row r="20" spans="1:16">
      <c r="A20" s="9"/>
      <c r="B20" s="10"/>
      <c r="C20" s="11"/>
      <c r="D20" s="10"/>
      <c r="E20" s="32"/>
      <c r="F20" s="32"/>
      <c r="G20" s="33"/>
      <c r="H20" s="32"/>
      <c r="I20" s="12"/>
      <c r="J20" s="12"/>
      <c r="K20" s="10"/>
      <c r="L20" s="21"/>
      <c r="M20" s="24">
        <f t="shared" si="0"/>
        <v>0</v>
      </c>
      <c r="P20" s="1"/>
    </row>
    <row r="21" spans="1:16">
      <c r="A21" s="9"/>
      <c r="B21" s="10"/>
      <c r="C21" s="11"/>
      <c r="D21" s="10"/>
      <c r="E21" s="32"/>
      <c r="F21" s="32"/>
      <c r="G21" s="33"/>
      <c r="H21" s="32"/>
      <c r="I21" s="12"/>
      <c r="J21" s="12"/>
      <c r="K21" s="10"/>
      <c r="L21" s="21"/>
      <c r="M21" s="24">
        <f t="shared" si="0"/>
        <v>0</v>
      </c>
      <c r="P21" s="1"/>
    </row>
    <row r="22" spans="1:16">
      <c r="A22" s="9"/>
      <c r="B22" s="10"/>
      <c r="C22" s="11"/>
      <c r="D22" s="10"/>
      <c r="E22" s="32"/>
      <c r="F22" s="32"/>
      <c r="G22" s="33"/>
      <c r="H22" s="32"/>
      <c r="I22" s="12"/>
      <c r="J22" s="12"/>
      <c r="K22" s="10"/>
      <c r="L22" s="21"/>
      <c r="M22" s="24">
        <f>SUM(B22:L22)</f>
        <v>0</v>
      </c>
      <c r="P22" s="1"/>
    </row>
    <row r="23" spans="1:16">
      <c r="A23" s="9"/>
      <c r="B23" s="10"/>
      <c r="C23" s="11"/>
      <c r="D23" s="10"/>
      <c r="E23" s="32"/>
      <c r="F23" s="32"/>
      <c r="G23" s="33"/>
      <c r="H23" s="32"/>
      <c r="I23" s="12"/>
      <c r="J23" s="12"/>
      <c r="K23" s="10"/>
      <c r="L23" s="21"/>
      <c r="M23" s="24">
        <f t="shared" si="0"/>
        <v>0</v>
      </c>
      <c r="P23" s="1"/>
    </row>
    <row r="24" spans="1:16">
      <c r="A24" s="9"/>
      <c r="B24" s="10"/>
      <c r="C24" s="11"/>
      <c r="D24" s="10"/>
      <c r="E24" s="32"/>
      <c r="F24" s="32"/>
      <c r="G24" s="33"/>
      <c r="H24" s="32"/>
      <c r="I24" s="12"/>
      <c r="J24" s="12"/>
      <c r="K24" s="10"/>
      <c r="L24" s="21"/>
      <c r="M24" s="24">
        <f t="shared" si="0"/>
        <v>0</v>
      </c>
      <c r="P24" s="1"/>
    </row>
    <row r="25" spans="1:16">
      <c r="A25" s="9"/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/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/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>
      <c r="A28" s="9"/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960</v>
      </c>
      <c r="C30" s="15">
        <f t="shared" si="1"/>
        <v>1440</v>
      </c>
      <c r="D30" s="15">
        <f t="shared" si="1"/>
        <v>5970</v>
      </c>
      <c r="E30" s="15">
        <f t="shared" si="1"/>
        <v>0</v>
      </c>
      <c r="F30" s="15">
        <f t="shared" si="1"/>
        <v>638</v>
      </c>
      <c r="G30" s="15">
        <f t="shared" si="1"/>
        <v>110</v>
      </c>
      <c r="H30" s="15">
        <f t="shared" si="1"/>
        <v>2760</v>
      </c>
      <c r="I30" s="15">
        <f t="shared" si="1"/>
        <v>1008</v>
      </c>
      <c r="J30" s="15">
        <f t="shared" si="1"/>
        <v>11592</v>
      </c>
      <c r="K30" s="15">
        <f t="shared" si="1"/>
        <v>2016</v>
      </c>
      <c r="L30" s="15">
        <f t="shared" si="1"/>
        <v>0</v>
      </c>
      <c r="M30" s="22">
        <f t="shared" si="1"/>
        <v>26494</v>
      </c>
      <c r="P30" s="1"/>
    </row>
    <row r="31" spans="1:16" ht="15.75" thickBot="1">
      <c r="A31" s="16" t="s">
        <v>12</v>
      </c>
      <c r="B31" s="17">
        <f t="shared" ref="B31:M31" si="2">B3+B30</f>
        <v>8568</v>
      </c>
      <c r="C31" s="17">
        <f t="shared" si="2"/>
        <v>43632</v>
      </c>
      <c r="D31" s="17">
        <f t="shared" si="2"/>
        <v>307740</v>
      </c>
      <c r="E31" s="17">
        <f t="shared" si="2"/>
        <v>3624</v>
      </c>
      <c r="F31" s="17">
        <f t="shared" si="2"/>
        <v>13112</v>
      </c>
      <c r="G31" s="17">
        <f t="shared" si="2"/>
        <v>2508</v>
      </c>
      <c r="H31" s="17">
        <f t="shared" si="2"/>
        <v>80784</v>
      </c>
      <c r="I31" s="17">
        <f t="shared" si="2"/>
        <v>44232</v>
      </c>
      <c r="J31" s="17">
        <f t="shared" si="2"/>
        <v>404880</v>
      </c>
      <c r="K31" s="17">
        <f t="shared" si="2"/>
        <v>69468</v>
      </c>
      <c r="L31" s="17">
        <f t="shared" si="2"/>
        <v>14400</v>
      </c>
      <c r="M31" s="16">
        <f t="shared" si="2"/>
        <v>992948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hyperlinks>
    <hyperlink ref="R5" r:id="rId1"/>
    <hyperlink ref="R6" r:id="rId2"/>
    <hyperlink ref="R7" r:id="rId3"/>
  </hyperlinks>
  <pageMargins left="0.75" right="0.16" top="0.75" bottom="0.75" header="0.3" footer="0.3"/>
  <pageSetup orientation="landscape" verticalDpi="30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April 2021-22</vt:lpstr>
      <vt:lpstr>May 2021</vt:lpstr>
      <vt:lpstr>June 2021</vt:lpstr>
      <vt:lpstr>July 2020</vt:lpstr>
      <vt:lpstr>August 2021</vt:lpstr>
      <vt:lpstr>September 2021</vt:lpstr>
      <vt:lpstr>October 2021</vt:lpstr>
      <vt:lpstr>November 2021</vt:lpstr>
      <vt:lpstr>December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2021-08-12T04:37:15Z</cp:lastPrinted>
  <dcterms:created xsi:type="dcterms:W3CDTF">2017-04-10T11:26:00Z</dcterms:created>
  <dcterms:modified xsi:type="dcterms:W3CDTF">2021-12-07T10:21:44Z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