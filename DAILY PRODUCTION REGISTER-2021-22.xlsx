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1"/>
  </bookViews>
  <sheets>
    <sheet name="April 2021-22" sheetId="30" r:id="rId1"/>
    <sheet name="May 2021" sheetId="31" r:id="rId2"/>
  </sheets>
  <definedNames>
    <definedName name="_xlnm._FilterDatabase" localSheetId="0" hidden="1">'April 2021-22'!$A$12:$O$12</definedName>
    <definedName name="_xlnm._FilterDatabase" localSheetId="1" hidden="1">'May 2021'!$A$9:$O$9</definedName>
  </definedNames>
  <calcPr calcId="125725"/>
</workbook>
</file>

<file path=xl/calcChain.xml><?xml version="1.0" encoding="utf-8"?>
<calcChain xmlns="http://schemas.openxmlformats.org/spreadsheetml/2006/main">
  <c r="L29" i="31"/>
  <c r="K29"/>
  <c r="J29"/>
  <c r="I29"/>
  <c r="H29"/>
  <c r="G29"/>
  <c r="F29"/>
  <c r="E29"/>
  <c r="D29"/>
  <c r="C29"/>
  <c r="B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 l="1"/>
  <c r="F30"/>
  <c r="I30"/>
  <c r="H30"/>
  <c r="C30"/>
  <c r="K30"/>
  <c r="L30"/>
  <c r="J30"/>
  <c r="G30"/>
  <c r="M29"/>
  <c r="M30" s="1"/>
  <c r="E30"/>
  <c r="D30"/>
  <c r="M32" i="30"/>
  <c r="M33" s="1"/>
</calcChain>
</file>

<file path=xl/sharedStrings.xml><?xml version="1.0" encoding="utf-8"?>
<sst xmlns="http://schemas.openxmlformats.org/spreadsheetml/2006/main" count="68" uniqueCount="52">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</sst>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28" activePane="bottomLeft" state="frozen"/>
      <selection pane="bottomLeft" activeCell="O29" sqref="O29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14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2"/>
  <sheetViews>
    <sheetView tabSelected="1" workbookViewId="0">
      <pane ySplit="3" topLeftCell="A22" activePane="bottomLeft" state="frozen"/>
      <selection pane="bottomLeft" activeCell="E24" sqref="E2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0" t="s">
        <v>40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10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/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21"/>
      <c r="M15" s="24">
        <f t="shared" si="0"/>
        <v>0</v>
      </c>
      <c r="P15" s="1"/>
    </row>
    <row r="16" spans="1:16">
      <c r="A16" s="9"/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10"/>
      <c r="C18" s="11"/>
      <c r="D18" s="10"/>
      <c r="E18" s="32"/>
      <c r="F18" s="32"/>
      <c r="G18" s="33"/>
      <c r="H18" s="32"/>
      <c r="I18" s="12"/>
      <c r="J18" s="12"/>
      <c r="K18" s="10"/>
      <c r="L18" s="21"/>
      <c r="M18" s="24">
        <f>SUM(B18:L18)</f>
        <v>0</v>
      </c>
      <c r="P18" s="1"/>
    </row>
    <row r="19" spans="1:16">
      <c r="A19" s="9"/>
      <c r="B19" s="10"/>
      <c r="C19" s="11"/>
      <c r="D19" s="10"/>
      <c r="E19" s="32"/>
      <c r="F19" s="32"/>
      <c r="G19" s="33"/>
      <c r="H19" s="32"/>
      <c r="I19" s="12"/>
      <c r="J19" s="12"/>
      <c r="K19" s="10"/>
      <c r="L19" s="21"/>
      <c r="M19" s="24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 ht="15.75" thickBot="1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29"/>
      <c r="L28" s="30"/>
      <c r="M28" s="24">
        <f t="shared" si="0"/>
        <v>0</v>
      </c>
      <c r="P28" s="1"/>
    </row>
    <row r="29" spans="1:16" ht="15.75" thickBot="1">
      <c r="A29" s="14" t="s">
        <v>11</v>
      </c>
      <c r="B29" s="15">
        <f t="shared" ref="B29:M29" si="1">SUM(B4:B28)</f>
        <v>0</v>
      </c>
      <c r="C29" s="15">
        <f t="shared" si="1"/>
        <v>0</v>
      </c>
      <c r="D29" s="15">
        <f t="shared" si="1"/>
        <v>6270</v>
      </c>
      <c r="E29" s="15">
        <f t="shared" si="1"/>
        <v>0</v>
      </c>
      <c r="F29" s="15">
        <f t="shared" si="1"/>
        <v>572</v>
      </c>
      <c r="G29" s="47">
        <f t="shared" si="1"/>
        <v>220</v>
      </c>
      <c r="H29" s="48">
        <f t="shared" si="1"/>
        <v>3096</v>
      </c>
      <c r="I29" s="15">
        <f t="shared" si="1"/>
        <v>2496</v>
      </c>
      <c r="J29" s="15">
        <f t="shared" si="1"/>
        <v>15384</v>
      </c>
      <c r="K29" s="27">
        <f t="shared" si="1"/>
        <v>2064</v>
      </c>
      <c r="L29" s="28">
        <f t="shared" si="1"/>
        <v>3132</v>
      </c>
      <c r="M29" s="22">
        <f t="shared" si="1"/>
        <v>33234</v>
      </c>
      <c r="P29" s="1"/>
    </row>
    <row r="30" spans="1:16" ht="15.75" thickBot="1">
      <c r="A30" s="16" t="s">
        <v>12</v>
      </c>
      <c r="B30" s="17">
        <f t="shared" ref="B30:M30" si="2">B3+B29</f>
        <v>1008</v>
      </c>
      <c r="C30" s="17">
        <f t="shared" si="2"/>
        <v>7656</v>
      </c>
      <c r="D30" s="17">
        <f t="shared" si="2"/>
        <v>42150</v>
      </c>
      <c r="E30" s="17">
        <f t="shared" si="2"/>
        <v>552</v>
      </c>
      <c r="F30" s="17">
        <f t="shared" si="2"/>
        <v>2442</v>
      </c>
      <c r="G30" s="17">
        <f t="shared" si="2"/>
        <v>220</v>
      </c>
      <c r="H30" s="17">
        <f t="shared" si="2"/>
        <v>13536</v>
      </c>
      <c r="I30" s="17">
        <f t="shared" si="2"/>
        <v>7824</v>
      </c>
      <c r="J30" s="17">
        <f t="shared" si="2"/>
        <v>73752</v>
      </c>
      <c r="K30" s="17">
        <f t="shared" si="2"/>
        <v>8724</v>
      </c>
      <c r="L30" s="17">
        <f t="shared" si="2"/>
        <v>4032</v>
      </c>
      <c r="M30" s="16">
        <f t="shared" si="2"/>
        <v>161896</v>
      </c>
      <c r="P30" s="1"/>
    </row>
    <row r="31" spans="1:16">
      <c r="B31" s="18"/>
      <c r="C31" s="18"/>
      <c r="D31" s="18"/>
      <c r="E31" s="18"/>
      <c r="F31" s="18"/>
      <c r="G31" s="18"/>
      <c r="H31" s="18"/>
      <c r="I31" s="18"/>
      <c r="J31" s="25"/>
      <c r="K31" s="18"/>
      <c r="L31" s="18"/>
      <c r="M31" s="18"/>
      <c r="P31" s="1"/>
    </row>
    <row r="32" spans="1:16">
      <c r="F32" s="49"/>
      <c r="M32" s="31"/>
      <c r="P32" s="1"/>
    </row>
    <row r="33" spans="6:16">
      <c r="F33" s="31"/>
      <c r="M33" s="31"/>
      <c r="P33" s="1"/>
    </row>
    <row r="34" spans="6:16">
      <c r="F34" s="49"/>
      <c r="G34" s="49"/>
      <c r="M34" s="31"/>
      <c r="P34" s="1"/>
    </row>
    <row r="35" spans="6:16">
      <c r="F35" s="31"/>
      <c r="G35" s="49"/>
      <c r="M35" s="31"/>
      <c r="P35" s="1"/>
    </row>
    <row r="36" spans="6:16"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2021-04-03T09:52:45Z</cp:lastPrinted>
  <dcterms:created xsi:type="dcterms:W3CDTF">2017-04-10T11:26:00Z</dcterms:created>
  <dcterms:modified xsi:type="dcterms:W3CDTF">2021-05-15T06:49:19Z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