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1"/>
  </bookViews>
  <sheets>
    <sheet name="April 2021-22" sheetId="30" r:id="rId1"/>
    <sheet name="May 2021" sheetId="31" r:id="rId2"/>
  </sheets>
  <definedNames>
    <definedName name="_xlnm._FilterDatabase" localSheetId="0" hidden="1">'April 2021-22'!$A$12:$O$12</definedName>
    <definedName name="_xlnm._FilterDatabase" localSheetId="1" hidden="1">'May 2021'!$A$9:$O$9</definedName>
  </definedNames>
  <calcPr calcId="125725"/>
</workbook>
</file>

<file path=xl/calcChain.xml><?xml version="1.0" encoding="utf-8"?>
<calcChain xmlns="http://schemas.openxmlformats.org/spreadsheetml/2006/main"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30" s="1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1" i="31" l="1"/>
  <c r="F31"/>
  <c r="I31"/>
  <c r="H31"/>
  <c r="C31"/>
  <c r="K31"/>
  <c r="L31"/>
  <c r="J31"/>
  <c r="G31"/>
  <c r="M31"/>
  <c r="E31"/>
  <c r="D31"/>
  <c r="M32" i="30"/>
  <c r="M33" s="1"/>
</calcChain>
</file>

<file path=xl/sharedStrings.xml><?xml version="1.0" encoding="utf-8"?>
<sst xmlns="http://schemas.openxmlformats.org/spreadsheetml/2006/main" count="82" uniqueCount="66">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</sst>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25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8" t="s">
        <v>14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22" activePane="bottomLeft" state="frozen"/>
      <selection pane="bottomLeft" activeCell="P27" sqref="P27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8" t="s">
        <v>40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9"/>
      <c r="B29" s="60"/>
      <c r="C29" s="13"/>
      <c r="D29" s="60"/>
      <c r="E29" s="61"/>
      <c r="F29" s="61"/>
      <c r="G29" s="62"/>
      <c r="H29" s="61"/>
      <c r="I29" s="61"/>
      <c r="J29" s="61"/>
      <c r="K29" s="29"/>
      <c r="L29" s="30"/>
      <c r="M29" s="63"/>
      <c r="P29" s="1"/>
    </row>
    <row r="30" spans="1:16" ht="15.75" thickBot="1">
      <c r="A30" s="14" t="s">
        <v>11</v>
      </c>
      <c r="B30" s="15">
        <f>SUM(B4:B28)</f>
        <v>1032</v>
      </c>
      <c r="C30" s="15">
        <f>SUM(C4:C28)</f>
        <v>3312</v>
      </c>
      <c r="D30" s="15">
        <f>SUM(D4:D28)</f>
        <v>22650</v>
      </c>
      <c r="E30" s="15">
        <f>SUM(E4:E28)</f>
        <v>0</v>
      </c>
      <c r="F30" s="15">
        <f>SUM(F4:F28)</f>
        <v>1166</v>
      </c>
      <c r="G30" s="47">
        <f>SUM(G4:G28)</f>
        <v>638</v>
      </c>
      <c r="H30" s="48">
        <f>SUM(H4:H28)</f>
        <v>9576</v>
      </c>
      <c r="I30" s="15">
        <f>SUM(I4:I28)</f>
        <v>4968</v>
      </c>
      <c r="J30" s="15">
        <f>SUM(J4:J28)</f>
        <v>37992</v>
      </c>
      <c r="K30" s="27">
        <f>SUM(K4:K28)</f>
        <v>4560</v>
      </c>
      <c r="L30" s="28">
        <f>SUM(L4:L28)</f>
        <v>4932</v>
      </c>
      <c r="M30" s="22">
        <f>SUM(M4:M28)</f>
        <v>90826</v>
      </c>
      <c r="P30" s="1"/>
    </row>
    <row r="31" spans="1:16" ht="15.75" thickBot="1">
      <c r="A31" s="16" t="s">
        <v>12</v>
      </c>
      <c r="B31" s="17">
        <f>B3+B30</f>
        <v>2040</v>
      </c>
      <c r="C31" s="17">
        <f>C3+C30</f>
        <v>10968</v>
      </c>
      <c r="D31" s="17">
        <f>D3+D30</f>
        <v>58530</v>
      </c>
      <c r="E31" s="17">
        <f>E3+E30</f>
        <v>552</v>
      </c>
      <c r="F31" s="17">
        <f>F3+F30</f>
        <v>3036</v>
      </c>
      <c r="G31" s="17">
        <f>G3+G30</f>
        <v>638</v>
      </c>
      <c r="H31" s="17">
        <f>H3+H30</f>
        <v>20016</v>
      </c>
      <c r="I31" s="17">
        <f>I3+I30</f>
        <v>10296</v>
      </c>
      <c r="J31" s="17">
        <f>J3+J30</f>
        <v>96360</v>
      </c>
      <c r="K31" s="17">
        <f>K3+K30</f>
        <v>11220</v>
      </c>
      <c r="L31" s="17">
        <f>L3+L30</f>
        <v>5832</v>
      </c>
      <c r="M31" s="16">
        <f>M3+M30</f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2021-04-03T09:52:45Z</cp:lastPrinted>
  <dcterms:created xsi:type="dcterms:W3CDTF">2017-04-10T11:26:00Z</dcterms:created>
  <dcterms:modified xsi:type="dcterms:W3CDTF">2021-06-01T09:01:43Z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