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225" yWindow="315" windowWidth="20070" windowHeight="7440" activeTab="6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8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C31" i="38" l="1"/>
  <c r="G31"/>
  <c r="F31"/>
  <c r="K31"/>
  <c r="J31"/>
  <c r="I31"/>
  <c r="H31"/>
  <c r="D31"/>
  <c r="M30"/>
  <c r="M31" s="1"/>
  <c r="M30" i="36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<sst xmlns="http://schemas.openxmlformats.org/spreadsheetml/2006/main" count="279" uniqueCount="186">
  <si>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</si>
  <si>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</si>
  <si>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</si>
  <si>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</si>
  <si>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</si>
  <si>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</si>
  <si>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</si>
  <si>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</si>
  <si>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</si>
  <si>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</si>
  <si>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</si>
  <si>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</si>
  <si>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</si>
  <si>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</si>
  <si>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</si>
  <si>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</si>
  <si>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</si>
  <si>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</si>
  <si>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</si>
  <si>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</si>
  <si>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</si>
  <si>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</si>
  <si>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</si>
  <si>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</si>
  <si>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</si>
  <si>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</si>
  <si>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</si>
  <si>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</si>
  <si>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</si>
  <si>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</si>
  <si>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</si>
  <si>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</si>
  <si>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</si>
  <si>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</si>
  <si>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</si>
  <si>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</si>
  <si>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</si>
  <si>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</si>
  <si>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</si>
  <si>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</si>
  <si>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</si>
  <si>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</si>
  <si>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</si>
  <si>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</si>
  <si>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</si>
  <si>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</si>
  <si>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</si>
  <si>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</si>
  <si>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</si>
  <si>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</si>
  <si>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</si>
  <si>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</si>
  <si>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</si>
  <si>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</si>
  <si>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</si>
  <si>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</si>
  <si>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</si>
  <si>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</si>
  <si>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</si>
  <si>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</si>
  <si>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</si>
  <si>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</si>
  <si>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</si>
  <si>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</si>
  <si>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</si>
  <si>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</si>
  <si>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</si>
  <si>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</si>
  <si>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</si>
  <si>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</si>
  <si>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</si>
  <si>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</si>
  <si>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</si>
  <si>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</si>
  <si>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</si>
  <si>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</si>
  <si>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</si>
  <si>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</si>
  <si>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</si>
  <si>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</si>
  <si>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</si>
  <si>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</si>
  <si>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</si>
  <si>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</si>
  <si>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</si>
  <si>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</si>
  <si>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</si>
  <si>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</si>
  <si>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</si>
  <si>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</si>
  <si>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</si>
  <si>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</si>
  <si>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</si>
  <si>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</si>
  <si>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</si>
  <si>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</si>
  <si>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</si>
  <si>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</si>
  <si>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</si>
  <si>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</si>
  <si>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</si>
  <si>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</si>
  <si>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</si>
  <si>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</si>
  <si>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</si>
  <si>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</si>
  <si>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</si>
  <si>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</si>
  <si>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</si>
  <si>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</si>
  <si>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</si>
  <si>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</si>
  <si>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</si>
  <si>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</si>
  <si>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</si>
  <si>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</si>
  <si>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</si>
  <si>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</si>
  <si>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</si>
  <si>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</si>
  <si>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</si>
  <si>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</si>
  <si>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</si>
  <si>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</si>
  <si>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</si>
  <si>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</si>
  <si>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</si>
  <si>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</si>
  <si>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</si>
  <si>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</si>
  <si>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</si>
  <si>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</si>
  <si>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</si>
  <si>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</si>
  <si>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</si>
  <si>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</si>
  <si>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</si>
  <si>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</si>
  <si>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</si>
  <si>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</si>
  <si>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</si>
  <si>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</si>
  <si>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</si>
  <si>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</si>
  <si>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</si>
  <si>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</si>
  <si>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</si>
  <si>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</si>
  <si>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</si>
  <si>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</si>
  <si>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</si>
  <si>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</si>
  <si>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</si>
  <si>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</si>
  <si>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</si>
  <si>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</si>
  <si>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</si>
  <si>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</si>
  <si>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</si>
  <si>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</si>
  <si>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</si>
  <si>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</si>
  <si>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</si>
  <si>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</si>
  <si>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</si>
  <si>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</si>
  <si>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</si>
  <si>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</si>
  <si>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</si>
  <si>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</si>
  <si>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</si>
  <si>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</si>
  <si>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</si>
  <si>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</si>
  <si>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</si>
  <si>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</si>
  <si>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</si>
  <si>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</si>
  <si>
    <t>09.10.2021</t>
  </si>
  <si>
    <t>11.10.2021</t>
  </si>
  <si>
    <t>12.10.2021</t>
  </si>
  <si>
    <t>13.10.2021</t>
  </si>
  <si>
    <t>14.10.2021</t>
  </si>
  <si>
    <t>16.10.2021</t>
  </si>
  <si>
    <t>18.10.2021</t>
  </si>
  <si>
    <t>19.10.2021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</si>
</sst>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7" activePane="bottomLeft" state="frozen"/>
      <selection pane="bottomLeft" activeCell="M30" sqref="M3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5" activePane="bottomLeft" state="frozen"/>
      <selection pane="bottomLeft" activeCell="N30" sqref="N3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13" activePane="bottomLeft" state="frozen"/>
      <selection pane="bottomLeft" activeCell="K17" sqref="K17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176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  <c r="P8" s="1"/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  <c r="P9" s="1"/>
    </row>
    <row r="10" spans="1:16">
      <c r="A10" s="9" t="s">
        <v>178</v>
      </c>
      <c r="B10" s="10"/>
      <c r="C10" s="11"/>
      <c r="D10" s="10">
        <v>1530</v>
      </c>
      <c r="E10" s="32"/>
      <c r="F10" s="32"/>
      <c r="G10" s="33"/>
      <c r="H10" s="32">
        <v>1440</v>
      </c>
      <c r="I10" s="12">
        <v>840</v>
      </c>
      <c r="J10" s="12">
        <v>1680</v>
      </c>
      <c r="K10" s="10"/>
      <c r="L10" s="21"/>
      <c r="M10" s="24">
        <f t="shared" si="0"/>
        <v>5490</v>
      </c>
      <c r="P10" s="1"/>
    </row>
    <row r="11" spans="1:16">
      <c r="A11" s="9" t="s">
        <v>179</v>
      </c>
      <c r="B11" s="10"/>
      <c r="C11" s="11"/>
      <c r="D11" s="10"/>
      <c r="E11" s="32"/>
      <c r="F11" s="32">
        <v>308</v>
      </c>
      <c r="G11" s="33"/>
      <c r="H11" s="32">
        <v>312</v>
      </c>
      <c r="I11" s="12">
        <v>216</v>
      </c>
      <c r="J11" s="12">
        <v>3648</v>
      </c>
      <c r="K11" s="10">
        <v>1296</v>
      </c>
      <c r="L11" s="21"/>
      <c r="M11" s="24">
        <f t="shared" si="0"/>
        <v>5780</v>
      </c>
      <c r="P11" s="1"/>
    </row>
    <row r="12" spans="1:16">
      <c r="A12" s="9" t="s">
        <v>180</v>
      </c>
      <c r="B12" s="10"/>
      <c r="C12" s="11"/>
      <c r="D12" s="10">
        <v>4410</v>
      </c>
      <c r="E12" s="32"/>
      <c r="F12" s="32"/>
      <c r="G12" s="33"/>
      <c r="H12" s="32">
        <v>624</v>
      </c>
      <c r="I12" s="12">
        <v>24</v>
      </c>
      <c r="J12" s="12"/>
      <c r="K12" s="10">
        <v>12</v>
      </c>
      <c r="L12" s="21"/>
      <c r="M12" s="24">
        <f>SUM(B12:L12)</f>
        <v>5070</v>
      </c>
      <c r="P12" s="1"/>
    </row>
    <row r="13" spans="1:16">
      <c r="A13" s="9" t="s">
        <v>181</v>
      </c>
      <c r="B13" s="10"/>
      <c r="C13" s="11"/>
      <c r="D13" s="10"/>
      <c r="E13" s="32"/>
      <c r="F13" s="32">
        <v>198</v>
      </c>
      <c r="G13" s="33"/>
      <c r="H13" s="32">
        <v>1608</v>
      </c>
      <c r="I13" s="12">
        <v>1104</v>
      </c>
      <c r="J13" s="12">
        <v>3936</v>
      </c>
      <c r="K13" s="10"/>
      <c r="L13" s="21"/>
      <c r="M13" s="24">
        <f>SUM(B13:L13)</f>
        <v>6846</v>
      </c>
      <c r="P13" s="1"/>
    </row>
    <row r="14" spans="1:16">
      <c r="A14" s="9" t="s">
        <v>182</v>
      </c>
      <c r="B14" s="10"/>
      <c r="C14" s="11"/>
      <c r="D14" s="10">
        <v>2850</v>
      </c>
      <c r="E14" s="32"/>
      <c r="F14" s="32"/>
      <c r="G14" s="33"/>
      <c r="H14" s="32">
        <v>552</v>
      </c>
      <c r="I14" s="12">
        <v>240</v>
      </c>
      <c r="J14" s="12">
        <v>1584</v>
      </c>
      <c r="K14" s="10">
        <v>348</v>
      </c>
      <c r="L14" s="21"/>
      <c r="M14" s="24">
        <f>SUM(B14:L14)</f>
        <v>5574</v>
      </c>
      <c r="P14" s="1"/>
    </row>
    <row r="15" spans="1:16">
      <c r="A15" s="9" t="s">
        <v>183</v>
      </c>
      <c r="B15" s="10"/>
      <c r="C15" s="11"/>
      <c r="D15" s="10"/>
      <c r="E15" s="32"/>
      <c r="F15" s="32">
        <v>154</v>
      </c>
      <c r="G15" s="33"/>
      <c r="H15" s="32">
        <v>672</v>
      </c>
      <c r="I15" s="12">
        <v>600</v>
      </c>
      <c r="J15" s="12">
        <v>3072</v>
      </c>
      <c r="K15" s="10">
        <v>192</v>
      </c>
      <c r="L15" s="32"/>
      <c r="M15" s="24">
        <f t="shared" si="0"/>
        <v>4690</v>
      </c>
      <c r="P15" s="1"/>
    </row>
    <row r="16" spans="1:16">
      <c r="A16" s="9" t="s">
        <v>184</v>
      </c>
      <c r="B16" s="10"/>
      <c r="C16" s="11"/>
      <c r="D16" s="10"/>
      <c r="E16" s="32"/>
      <c r="F16" s="32"/>
      <c r="G16" s="33"/>
      <c r="H16" s="32"/>
      <c r="I16" s="12"/>
      <c r="J16" s="12"/>
      <c r="K16" s="10">
        <v>1200</v>
      </c>
      <c r="L16" s="21"/>
      <c r="M16" s="24">
        <f t="shared" si="0"/>
        <v>1200</v>
      </c>
      <c r="P16" s="1"/>
    </row>
    <row r="17" spans="1:16">
      <c r="A17" s="9" t="s">
        <v>185</v>
      </c>
      <c r="B17" s="10"/>
      <c r="C17" s="11"/>
      <c r="D17" s="10">
        <v>6360</v>
      </c>
      <c r="E17" s="32"/>
      <c r="F17" s="32"/>
      <c r="G17" s="33"/>
      <c r="H17" s="32"/>
      <c r="I17" s="12"/>
      <c r="J17" s="12"/>
      <c r="K17" s="10"/>
      <c r="L17" s="21"/>
      <c r="M17" s="24">
        <f t="shared" si="0"/>
        <v>6360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1032</v>
      </c>
      <c r="C30" s="15">
        <f t="shared" si="1"/>
        <v>2736</v>
      </c>
      <c r="D30" s="15">
        <f t="shared" si="1"/>
        <v>25290</v>
      </c>
      <c r="E30" s="15">
        <f t="shared" si="1"/>
        <v>576</v>
      </c>
      <c r="F30" s="15">
        <f t="shared" si="1"/>
        <v>660</v>
      </c>
      <c r="G30" s="15">
        <f t="shared" si="1"/>
        <v>0</v>
      </c>
      <c r="H30" s="15">
        <f t="shared" si="1"/>
        <v>6360</v>
      </c>
      <c r="I30" s="15">
        <f t="shared" si="1"/>
        <v>3768</v>
      </c>
      <c r="J30" s="15">
        <f t="shared" si="1"/>
        <v>27696</v>
      </c>
      <c r="K30" s="15">
        <f t="shared" si="1"/>
        <v>5904</v>
      </c>
      <c r="L30" s="15">
        <f t="shared" si="1"/>
        <v>132</v>
      </c>
      <c r="M30" s="22">
        <f t="shared" si="1"/>
        <v>74154</v>
      </c>
      <c r="P30" s="1"/>
    </row>
    <row r="31" spans="1:16" ht="15.75" thickBot="1">
      <c r="A31" s="16" t="s">
        <v>12</v>
      </c>
      <c r="B31" s="17">
        <f t="shared" ref="B31:M31" si="2">B3+B30</f>
        <v>7032</v>
      </c>
      <c r="C31" s="17">
        <f t="shared" si="2"/>
        <v>32544</v>
      </c>
      <c r="D31" s="17">
        <f t="shared" si="2"/>
        <v>236850</v>
      </c>
      <c r="E31" s="17">
        <f t="shared" si="2"/>
        <v>3120</v>
      </c>
      <c r="F31" s="17">
        <f t="shared" si="2"/>
        <v>10868</v>
      </c>
      <c r="G31" s="17">
        <f t="shared" si="2"/>
        <v>1892</v>
      </c>
      <c r="H31" s="17">
        <f t="shared" si="2"/>
        <v>61416</v>
      </c>
      <c r="I31" s="17">
        <f t="shared" si="2"/>
        <v>35304</v>
      </c>
      <c r="J31" s="17">
        <f t="shared" si="2"/>
        <v>315048</v>
      </c>
      <c r="K31" s="17">
        <f t="shared" si="2"/>
        <v>55800</v>
      </c>
      <c r="L31" s="17">
        <f t="shared" si="2"/>
        <v>14400</v>
      </c>
      <c r="M31" s="16">
        <f t="shared" si="2"/>
        <v>774274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2021-10-20T07:39:21Z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