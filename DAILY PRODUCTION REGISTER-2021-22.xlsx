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1"/>
  </bookViews>
  <sheets>
    <sheet name="April 2021-22" sheetId="30" r:id="rId1"/>
    <sheet name="May 2021" sheetId="31" r:id="rId2"/>
  </sheets>
  <definedNames>
    <definedName name="_xlnm._FilterDatabase" localSheetId="0" hidden="1">'April 2021-22'!$A$12:$O$12</definedName>
    <definedName name="_xlnm._FilterDatabase" localSheetId="1" hidden="1">'May 2021'!$A$9:$O$9</definedName>
  </definedNames>
  <calcPr calcId="125725"/>
</workbook>
</file>

<file path=xl/calcChain.xml><?xml version="1.0" encoding="utf-8"?>
<calcChain xmlns="http://schemas.openxmlformats.org/spreadsheetml/2006/main">
  <c r="M27" i="31"/>
  <c r="L29"/>
  <c r="K29"/>
  <c r="J29"/>
  <c r="I29"/>
  <c r="H29"/>
  <c r="G29"/>
  <c r="F29"/>
  <c r="E29"/>
  <c r="D29"/>
  <c r="C29"/>
  <c r="B29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 l="1"/>
  <c r="F30"/>
  <c r="I30"/>
  <c r="H30"/>
  <c r="C30"/>
  <c r="K30"/>
  <c r="L30"/>
  <c r="J30"/>
  <c r="G30"/>
  <c r="M29"/>
  <c r="M30" s="1"/>
  <c r="E30"/>
  <c r="D30"/>
  <c r="M32" i="30"/>
  <c r="M33" s="1"/>
</calcChain>
</file>

<file path=xl/sharedStrings.xml><?xml version="1.0" encoding="utf-8"?>
<sst xmlns="http://schemas.openxmlformats.org/spreadsheetml/2006/main" count="82" uniqueCount="66">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</sst>
</file>

<file path=xl/styles.xml><?xml version="1.0" encoding="utf-8"?>
<styleSheet xmlns="http://schemas.openxmlformats.org/spreadsheetml/2006/main">
  <fonts count="5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28" activePane="bottomLeft" state="frozen"/>
      <selection pane="bottomLeft" activeCell="O29" sqref="O29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8" t="s">
        <v>14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2"/>
  <sheetViews>
    <sheetView tabSelected="1" workbookViewId="0">
      <pane ySplit="3" topLeftCell="A22" activePane="bottomLeft" state="frozen"/>
      <selection pane="bottomLeft" activeCell="H28" sqref="H28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58" t="s">
        <v>40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 ht="15.75" thickBot="1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14" t="s">
        <v>11</v>
      </c>
      <c r="B29" s="15">
        <f t="shared" ref="B29:M29" si="1">SUM(B4:B28)</f>
        <v>1032</v>
      </c>
      <c r="C29" s="15">
        <f t="shared" si="1"/>
        <v>3312</v>
      </c>
      <c r="D29" s="15">
        <f t="shared" si="1"/>
        <v>22650</v>
      </c>
      <c r="E29" s="15">
        <f t="shared" si="1"/>
        <v>0</v>
      </c>
      <c r="F29" s="15">
        <f t="shared" si="1"/>
        <v>1166</v>
      </c>
      <c r="G29" s="47">
        <f t="shared" si="1"/>
        <v>638</v>
      </c>
      <c r="H29" s="48">
        <f t="shared" si="1"/>
        <v>9576</v>
      </c>
      <c r="I29" s="15">
        <f t="shared" si="1"/>
        <v>4968</v>
      </c>
      <c r="J29" s="15">
        <f t="shared" si="1"/>
        <v>37992</v>
      </c>
      <c r="K29" s="27">
        <f t="shared" si="1"/>
        <v>4560</v>
      </c>
      <c r="L29" s="28">
        <f t="shared" si="1"/>
        <v>4932</v>
      </c>
      <c r="M29" s="22">
        <f t="shared" si="1"/>
        <v>90826</v>
      </c>
      <c r="P29" s="1"/>
    </row>
    <row r="30" spans="1:16" ht="15.75" thickBot="1">
      <c r="A30" s="16" t="s">
        <v>12</v>
      </c>
      <c r="B30" s="17">
        <f t="shared" ref="B30:M30" si="2">B3+B29</f>
        <v>2040</v>
      </c>
      <c r="C30" s="17">
        <f t="shared" si="2"/>
        <v>10968</v>
      </c>
      <c r="D30" s="17">
        <f t="shared" si="2"/>
        <v>58530</v>
      </c>
      <c r="E30" s="17">
        <f t="shared" si="2"/>
        <v>552</v>
      </c>
      <c r="F30" s="17">
        <f t="shared" si="2"/>
        <v>3036</v>
      </c>
      <c r="G30" s="17">
        <f t="shared" si="2"/>
        <v>638</v>
      </c>
      <c r="H30" s="17">
        <f t="shared" si="2"/>
        <v>20016</v>
      </c>
      <c r="I30" s="17">
        <f t="shared" si="2"/>
        <v>10296</v>
      </c>
      <c r="J30" s="17">
        <f t="shared" si="2"/>
        <v>96360</v>
      </c>
      <c r="K30" s="17">
        <f t="shared" si="2"/>
        <v>11220</v>
      </c>
      <c r="L30" s="17">
        <f t="shared" si="2"/>
        <v>5832</v>
      </c>
      <c r="M30" s="16">
        <f t="shared" si="2"/>
        <v>219488</v>
      </c>
      <c r="P30" s="1"/>
    </row>
    <row r="31" spans="1:16">
      <c r="B31" s="18"/>
      <c r="C31" s="18"/>
      <c r="D31" s="18"/>
      <c r="E31" s="18"/>
      <c r="F31" s="18"/>
      <c r="G31" s="18"/>
      <c r="H31" s="18"/>
      <c r="I31" s="18"/>
      <c r="J31" s="25"/>
      <c r="K31" s="18"/>
      <c r="L31" s="18"/>
      <c r="M31" s="18"/>
      <c r="P31" s="1"/>
    </row>
    <row r="32" spans="1:16">
      <c r="F32" s="49"/>
      <c r="M32" s="31"/>
      <c r="P32" s="1"/>
    </row>
    <row r="33" spans="6:16">
      <c r="F33" s="31"/>
      <c r="M33" s="31"/>
      <c r="P33" s="1"/>
    </row>
    <row r="34" spans="6:16">
      <c r="F34" s="49"/>
      <c r="G34" s="49"/>
      <c r="M34" s="31"/>
      <c r="P34" s="1"/>
    </row>
    <row r="35" spans="6:16">
      <c r="F35" s="31"/>
      <c r="G35" s="49"/>
      <c r="M35" s="31"/>
      <c r="P35" s="1"/>
    </row>
    <row r="36" spans="6:16"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</sheetData>
  <mergeCells count="1">
    <mergeCell ref="A1:M1"/>
  </mergeCells>
  <pageMargins left="0.75" right="0.16" top="0.75" bottom="0.75" header="0.3" footer="0.3"/>
  <pageSetup orientation="landscape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2021-04-03T09:52:45Z</cp:lastPrinted>
  <dcterms:created xsi:type="dcterms:W3CDTF">2017-04-10T11:26:00Z</dcterms:created>
  <dcterms:modified xsi:type="dcterms:W3CDTF">2021-06-01T04:47:18Z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