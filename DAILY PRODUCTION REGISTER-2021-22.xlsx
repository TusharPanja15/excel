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2"/>
  </bookViews>
  <sheets>
    <sheet name="April 2021-22" sheetId="30" r:id="rId1"/>
    <sheet name="May 2021" sheetId="31" r:id="rId2"/>
    <sheet name="June 2021" sheetId="32" r:id="rId3"/>
  </sheets>
  <definedNames>
    <definedName name="_xlnm._FilterDatabase" localSheetId="0" hidden="1">'April 2021-22'!$A$12:$O$12</definedName>
    <definedName name="_xlnm._FilterDatabase" localSheetId="2" hidden="1">'June 2021'!$A$9:$O$9</definedName>
    <definedName name="_xlnm._FilterDatabase" localSheetId="1" hidden="1">'May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1" i="32" l="1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<sst xmlns="http://schemas.openxmlformats.org/spreadsheetml/2006/main" count="124" uniqueCount="94">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</sst>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14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40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14" activePane="bottomLeft" state="frozen"/>
      <selection pane="bottomLeft" activeCell="S19" sqref="S19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3" t="s">
        <v>67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>SUM(B4:B29)</f>
        <v>576</v>
      </c>
      <c r="C30" s="15">
        <f>SUM(C4:C29)</f>
        <v>4464</v>
      </c>
      <c r="D30" s="15">
        <f>SUM(D4:D29)</f>
        <v>31050</v>
      </c>
      <c r="E30" s="15">
        <f>SUM(E4:E29)</f>
        <v>552</v>
      </c>
      <c r="F30" s="15">
        <f>SUM(F4:F29)</f>
        <v>1452</v>
      </c>
      <c r="G30" s="15">
        <f>SUM(G4:G29)</f>
        <v>0</v>
      </c>
      <c r="H30" s="15">
        <f>SUM(H4:H29)</f>
        <v>10656</v>
      </c>
      <c r="I30" s="15">
        <f>SUM(I4:I29)</f>
        <v>4944</v>
      </c>
      <c r="J30" s="15">
        <f>SUM(J4:J29)</f>
        <v>41568</v>
      </c>
      <c r="K30" s="15">
        <f>SUM(K4:K29)</f>
        <v>10944</v>
      </c>
      <c r="L30" s="15">
        <f>SUM(L4:L29)</f>
        <v>612</v>
      </c>
      <c r="M30" s="22">
        <f>SUM(M4:M29)</f>
        <v>106818</v>
      </c>
      <c r="P30" s="1"/>
    </row>
    <row r="31" spans="1:16" ht="15.75" thickBot="1">
      <c r="A31" s="16" t="s">
        <v>12</v>
      </c>
      <c r="B31" s="17">
        <f t="shared" ref="B31:M31" si="1">B3+B30</f>
        <v>2616</v>
      </c>
      <c r="C31" s="17">
        <f t="shared" si="1"/>
        <v>15432</v>
      </c>
      <c r="D31" s="17">
        <f t="shared" si="1"/>
        <v>89580</v>
      </c>
      <c r="E31" s="17">
        <f t="shared" si="1"/>
        <v>1104</v>
      </c>
      <c r="F31" s="17">
        <f t="shared" si="1"/>
        <v>4488</v>
      </c>
      <c r="G31" s="17">
        <f t="shared" si="1"/>
        <v>638</v>
      </c>
      <c r="H31" s="17">
        <f t="shared" si="1"/>
        <v>30672</v>
      </c>
      <c r="I31" s="17">
        <f t="shared" si="1"/>
        <v>15240</v>
      </c>
      <c r="J31" s="17">
        <f t="shared" si="1"/>
        <v>137928</v>
      </c>
      <c r="K31" s="17">
        <f t="shared" si="1"/>
        <v>22164</v>
      </c>
      <c r="L31" s="17">
        <f t="shared" si="1"/>
        <v>6444</v>
      </c>
      <c r="M31" s="16">
        <f t="shared" si="1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2021-04-03T09:52:45Z</cp:lastPrinted>
  <dcterms:created xsi:type="dcterms:W3CDTF">2017-04-10T11:26:00Z</dcterms:created>
  <dcterms:modified xsi:type="dcterms:W3CDTF">2021-07-01T04:34:32Z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