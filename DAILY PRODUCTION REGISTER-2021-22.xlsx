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excel-main\"/>
    </mc:Choice>
  </mc:AlternateContent>
  <xr:revisionPtr revIDLastSave="0" documentId="13_ncr:1_{86F8769F-4BC7-4625-8BAF-4AF23DA6D346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pril 2021-22" sheetId="30" r:id="rId1"/>
    <sheet name="May 2021" sheetId="31" r:id="rId2"/>
  </sheets>
  <definedNames>
    <definedName name="_xlnm._FilterDatabase" localSheetId="0" hidden="1">'April 2021-22'!$A$12:$O$12</definedName>
    <definedName name="_xlnm._FilterDatabase" localSheetId="1" hidden="1">'May 2021'!$A$9:$O$9</definedName>
  </definedNames>
  <calcPr calcId="181029"/>
</workbook>
</file>

<file path=xl/calcChain.xml><?xml version="1.0" encoding="utf-8"?>
<calcChain xmlns="http://schemas.openxmlformats.org/spreadsheetml/2006/main">
  <c r="M27" i="31" l="1"/>
  <c r="L29" i="31"/>
  <c r="K29" i="31"/>
  <c r="J29" i="31"/>
  <c r="I29" i="31"/>
  <c r="H29" i="31"/>
  <c r="G29" i="31"/>
  <c r="F29" i="31"/>
  <c r="E29" i="31"/>
  <c r="D29" i="31"/>
  <c r="C29" i="31"/>
  <c r="B29" i="31"/>
  <c r="M28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8" i="31"/>
  <c r="M7" i="31"/>
  <c r="M6" i="31"/>
  <c r="M5" i="31"/>
  <c r="M4" i="31"/>
  <c r="L32" i="30"/>
  <c r="L33" i="30" s="1"/>
  <c r="K32" i="30"/>
  <c r="K33" i="30" s="1"/>
  <c r="J32" i="30"/>
  <c r="J33" i="30" s="1"/>
  <c r="I32" i="30"/>
  <c r="I33" i="30" s="1"/>
  <c r="H32" i="30"/>
  <c r="H33" i="30" s="1"/>
  <c r="G32" i="30"/>
  <c r="G33" i="30" s="1"/>
  <c r="F32" i="30"/>
  <c r="F33" i="30" s="1"/>
  <c r="E32" i="30"/>
  <c r="E33" i="30" s="1"/>
  <c r="D32" i="30"/>
  <c r="D33" i="30" s="1"/>
  <c r="C32" i="30"/>
  <c r="C33" i="30" s="1"/>
  <c r="B32" i="30"/>
  <c r="B33" i="30" s="1"/>
  <c r="M31" i="30"/>
  <c r="M30" i="30"/>
  <c r="M29" i="30"/>
  <c r="M28" i="30"/>
  <c r="M27" i="30"/>
  <c r="M26" i="30"/>
  <c r="M25" i="30"/>
  <c r="M24" i="30"/>
  <c r="M23" i="30"/>
  <c r="M22" i="30"/>
  <c r="M21" i="30"/>
  <c r="M20" i="30"/>
  <c r="M19" i="30"/>
  <c r="M18" i="30"/>
  <c r="M17" i="30"/>
  <c r="M16" i="30"/>
  <c r="M15" i="30"/>
  <c r="M14" i="30"/>
  <c r="M13" i="30"/>
  <c r="M12" i="30"/>
  <c r="M11" i="30"/>
  <c r="M10" i="30"/>
  <c r="M9" i="30"/>
  <c r="M8" i="30"/>
  <c r="M7" i="30"/>
  <c r="M6" i="30"/>
  <c r="M5" i="30"/>
  <c r="M4" i="30"/>
  <c r="B30" i="31" l="1"/>
  <c r="F30" i="31"/>
  <c r="I30" i="31"/>
  <c r="H30" i="31"/>
  <c r="C30" i="31"/>
  <c r="K30" i="31"/>
  <c r="L30" i="31"/>
  <c r="J30" i="31"/>
  <c r="G30" i="31"/>
  <c r="M29" i="31"/>
  <c r="M30" i="31" s="1"/>
  <c r="E30" i="31"/>
  <c r="D30" i="31"/>
  <c r="M32" i="30"/>
  <c r="M33" i="30" s="1"/>
</calcChain>
</file>

<file path=xl/sharedStrings.xml><?xml version="1.0" encoding="utf-8"?>
<sst xmlns="http://schemas.openxmlformats.org/spreadsheetml/2006/main" count="82" uniqueCount="66">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</sst>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1" fillId="0" borderId="1" xfId="0" applyFont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1" fontId="2" fillId="4" borderId="10" xfId="0" applyNumberFormat="1" applyFont="1" applyFill="1" applyBorder="1" applyAlignment="1">
      <alignment horizontal="center"/>
    </xf>
    <xf numFmtId="1" fontId="2" fillId="4" borderId="8" xfId="0" applyNumberFormat="1" applyFont="1" applyFill="1" applyBorder="1" applyAlignment="1">
      <alignment horizontal="center"/>
    </xf>
    <xf numFmtId="1" fontId="2" fillId="4" borderId="24" xfId="0" applyNumberFormat="1" applyFont="1" applyFill="1" applyBorder="1" applyAlignment="1">
      <alignment horizontal="center"/>
    </xf>
    <xf numFmtId="1" fontId="2" fillId="4" borderId="17" xfId="0" applyNumberFormat="1" applyFont="1" applyFill="1" applyBorder="1" applyAlignment="1">
      <alignment horizontal="center"/>
    </xf>
    <xf numFmtId="1" fontId="2" fillId="4" borderId="11" xfId="0" applyNumberFormat="1" applyFont="1" applyFill="1" applyBorder="1" applyAlignment="1">
      <alignment horizontal="center"/>
    </xf>
    <xf numFmtId="1" fontId="2" fillId="4" borderId="7" xfId="0" applyNumberFormat="1" applyFont="1" applyFill="1" applyBorder="1" applyAlignment="1">
      <alignment horizontal="center"/>
    </xf>
    <xf numFmtId="2" fontId="1" fillId="4" borderId="17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945"/>
  <sheetViews>
    <sheetView workbookViewId="0">
      <pane ySplit="3" topLeftCell="A28" activePane="bottomLeft" state="frozen"/>
      <selection pane="bottomLeft" activeCell="O29" sqref="O29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50" t="s">
        <v>14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942"/>
  <sheetViews>
    <sheetView tabSelected="1" workbookViewId="0">
      <pane ySplit="3" topLeftCell="A4" activePane="bottomLeft" state="frozen"/>
      <selection pane="bottomLeft" activeCell="O13" sqref="O13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50" t="s">
        <v>40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10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1" t="s">
        <v>55</v>
      </c>
      <c r="B18" s="52"/>
      <c r="C18" s="53"/>
      <c r="D18" s="52"/>
      <c r="E18" s="54"/>
      <c r="F18" s="54"/>
      <c r="G18" s="55"/>
      <c r="H18" s="54"/>
      <c r="I18" s="56"/>
      <c r="J18" s="56"/>
      <c r="K18" s="52"/>
      <c r="L18" s="57"/>
      <c r="M18" s="58">
        <f>SUM(B18:L18)</f>
        <v>0</v>
      </c>
      <c r="P18" s="1"/>
    </row>
    <row r="19" spans="1:16">
      <c r="A19" s="51" t="s">
        <v>56</v>
      </c>
      <c r="B19" s="52"/>
      <c r="C19" s="53"/>
      <c r="D19" s="52"/>
      <c r="E19" s="54"/>
      <c r="F19" s="54"/>
      <c r="G19" s="55"/>
      <c r="H19" s="54"/>
      <c r="I19" s="56"/>
      <c r="J19" s="56"/>
      <c r="K19" s="52"/>
      <c r="L19" s="57"/>
      <c r="M19" s="58">
        <f t="shared" si="0"/>
        <v>0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 t="s">
        <v>62</v>
      </c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 t="s">
        <v>63</v>
      </c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 ht="15.75" thickBot="1">
      <c r="A28" s="9" t="s">
        <v>64</v>
      </c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14" t="s">
        <v>11</v>
      </c>
      <c r="B29" s="15">
        <f>SUM(B4:B28)</f>
        <v>672</v>
      </c>
      <c r="C29" s="15">
        <f>SUM(C4:C28)</f>
        <v>2280</v>
      </c>
      <c r="D29" s="15">
        <f>SUM(D4:D28)</f>
        <v>14700</v>
      </c>
      <c r="E29" s="15">
        <f>SUM(E4:E28)</f>
        <v>0</v>
      </c>
      <c r="F29" s="15">
        <f>SUM(F4:F28)</f>
        <v>572</v>
      </c>
      <c r="G29" s="47">
        <f>SUM(G4:G28)</f>
        <v>528</v>
      </c>
      <c r="H29" s="48">
        <f>SUM(H4:H28)</f>
        <v>7800</v>
      </c>
      <c r="I29" s="15">
        <f>SUM(I4:I28)</f>
        <v>4056</v>
      </c>
      <c r="J29" s="15">
        <f>SUM(J4:J28)</f>
        <v>32448</v>
      </c>
      <c r="K29" s="27">
        <f>SUM(K4:K28)</f>
        <v>3696</v>
      </c>
      <c r="L29" s="28">
        <f>SUM(L4:L28)</f>
        <v>3132</v>
      </c>
      <c r="M29" s="22">
        <f>SUM(M4:M28)</f>
        <v>69884</v>
      </c>
      <c r="P29" s="1"/>
    </row>
    <row r="30" spans="1:16" ht="15.75" thickBot="1">
      <c r="A30" s="16" t="s">
        <v>12</v>
      </c>
      <c r="B30" s="17">
        <f>B3+B29</f>
        <v>1680</v>
      </c>
      <c r="C30" s="17">
        <f>C3+C29</f>
        <v>9936</v>
      </c>
      <c r="D30" s="17">
        <f>D3+D29</f>
        <v>50580</v>
      </c>
      <c r="E30" s="17">
        <f>E3+E29</f>
        <v>552</v>
      </c>
      <c r="F30" s="17">
        <f>F3+F29</f>
        <v>2442</v>
      </c>
      <c r="G30" s="17">
        <f>G3+G29</f>
        <v>528</v>
      </c>
      <c r="H30" s="17">
        <f>H3+H29</f>
        <v>18240</v>
      </c>
      <c r="I30" s="17">
        <f>I3+I29</f>
        <v>9384</v>
      </c>
      <c r="J30" s="17">
        <f>J3+J29</f>
        <v>90816</v>
      </c>
      <c r="K30" s="17">
        <f>K3+K29</f>
        <v>10356</v>
      </c>
      <c r="L30" s="17">
        <f>L3+L29</f>
        <v>4032</v>
      </c>
      <c r="M30" s="16">
        <f>M3+M29</f>
        <v>198546</v>
      </c>
      <c r="P30" s="1"/>
    </row>
    <row r="31" spans="1:16">
      <c r="B31" s="18"/>
      <c r="C31" s="18"/>
      <c r="D31" s="18"/>
      <c r="E31" s="18"/>
      <c r="F31" s="18"/>
      <c r="G31" s="18"/>
      <c r="H31" s="18"/>
      <c r="I31" s="18"/>
      <c r="J31" s="25"/>
      <c r="K31" s="18"/>
      <c r="L31" s="18"/>
      <c r="M31" s="18"/>
      <c r="P31" s="1"/>
    </row>
    <row r="32" spans="1:16">
      <c r="F32" s="49"/>
      <c r="M32" s="31"/>
      <c r="P32" s="1"/>
    </row>
    <row r="33" spans="6:16">
      <c r="F33" s="31"/>
      <c r="M33" s="31"/>
      <c r="P33" s="1"/>
    </row>
    <row r="34" spans="6:16">
      <c r="F34" s="49"/>
      <c r="G34" s="49"/>
      <c r="M34" s="31"/>
      <c r="P34" s="1"/>
    </row>
    <row r="35" spans="6:16">
      <c r="F35" s="31"/>
      <c r="G35" s="49"/>
      <c r="M35" s="31"/>
      <c r="P35" s="1"/>
    </row>
    <row r="36" spans="6:16"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Raj</cp:lastModifiedBy>
  <cp:lastPrinted>2021-04-03T09:52:45Z</cp:lastPrinted>
  <dcterms:created xsi:type="dcterms:W3CDTF">2017-04-10T11:26:00Z</dcterms:created>
  <dcterms:modified xsi:type="dcterms:W3CDTF">2021-05-27T14:31:44Z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