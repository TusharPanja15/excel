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120" yWindow="-120" windowWidth="20730" windowHeight="11160" tabRatio="599" firstSheet="6" activeTab="10"/>
  </bookViews>
  <sheets>
    <sheet name="2019-20-1kg PREMIUM" sheetId="29" r:id="rId1"/>
    <sheet name="2019-20-250GM.PREM." sheetId="30" r:id="rId2"/>
    <sheet name="2019-20-5kg" sheetId="2" r:id="rId3"/>
    <sheet name="2018-20-100GM.PREM. " sheetId="22" r:id="rId4"/>
    <sheet name="2019-20- RS 10" sheetId="23" r:id="rId5"/>
    <sheet name="2019-20- RS 5." sheetId="24" r:id="rId6"/>
    <sheet name="2019-20-1kg SPL " sheetId="19" r:id="rId7"/>
    <sheet name="2019-20-500GM. SPL" sheetId="20" r:id="rId8"/>
    <sheet name="2019-20-250GM. SPL" sheetId="21" r:id="rId9"/>
    <sheet name="2019-20- 500GM JAR" sheetId="27" r:id="rId10"/>
    <sheet name="2019-20-250GM. CRT" sheetId="28" r:id="rId11"/>
  </sheets>
  <definedNames>
    <definedName name="_xlnm._FilterDatabase" localSheetId="3" hidden="1">'2018-20-100GM.PREM. '!$A$2:$I$10</definedName>
    <definedName name="_xlnm._FilterDatabase" localSheetId="4" hidden="1">'2019-20- RS 10'!$A$2:$I$20</definedName>
    <definedName name="_xlnm._FilterDatabase" localSheetId="0" hidden="1">'2019-20-1kg PREMIUM'!$A$2:$I$7</definedName>
    <definedName name="_xlnm._FilterDatabase" localSheetId="6" hidden="1">'2019-20-1kg SPL '!$A$2:$I$31</definedName>
    <definedName name="_xlnm._FilterDatabase" localSheetId="8" hidden="1">'2019-20-250GM. SPL'!$A$2:$I$2</definedName>
    <definedName name="_xlnm._FilterDatabase" localSheetId="1" hidden="1">'2019-20-250GM.PREM.'!$A$2:$I$22</definedName>
    <definedName name="_xlnm._FilterDatabase" localSheetId="7" hidden="1">'2019-20-500GM. SPL'!$A$2:$I$32</definedName>
    <definedName name="_xlnm._FilterDatabase" localSheetId="2" hidden="1">'2019-20-5kg'!$A$2:$K$34</definedName>
  </definedNames>
  <calcPr calcId="125725"/>
</workbook>
</file>

<file path=xl/calcChain.xml><?xml version="1.0" encoding="utf-8"?>
<calcChain xmlns="http://schemas.openxmlformats.org/spreadsheetml/2006/main">
  <c r="H34" i="2"/>
  <c r="H33"/>
  <c r="B33"/>
  <c r="D33" s="1"/>
  <c r="I33" l="1"/>
  <c r="B34" s="1"/>
  <c r="D34" s="1"/>
  <c r="I34" s="1"/>
  <c r="H65" i="21"/>
  <c r="H64"/>
  <c r="B64"/>
  <c r="D64" s="1"/>
  <c r="I64" l="1"/>
  <c r="B65" s="1"/>
  <c r="D65" s="1"/>
  <c r="I65" s="1"/>
  <c r="B20" i="23" l="1"/>
  <c r="H19"/>
  <c r="B19"/>
  <c r="D19" s="1"/>
  <c r="I19" s="1"/>
  <c r="H41" i="2" l="1"/>
  <c r="H42"/>
  <c r="H43"/>
  <c r="H44"/>
  <c r="H45"/>
  <c r="H46"/>
  <c r="H47"/>
  <c r="H48"/>
  <c r="H49"/>
  <c r="H50"/>
  <c r="H51"/>
  <c r="H52"/>
  <c r="H53"/>
  <c r="H54"/>
  <c r="H55"/>
  <c r="H56"/>
  <c r="H20" i="28" l="1"/>
  <c r="H19"/>
  <c r="H18"/>
  <c r="H17"/>
  <c r="I39" i="20" l="1"/>
  <c r="H39"/>
  <c r="D39"/>
  <c r="B38" i="19"/>
  <c r="H37"/>
  <c r="D37"/>
  <c r="I37" s="1"/>
  <c r="H68" i="20" l="1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B40"/>
  <c r="D40" s="1"/>
  <c r="I40" s="1"/>
  <c r="B41" s="1"/>
  <c r="D41" s="1"/>
  <c r="I41" s="1"/>
  <c r="B42" s="1"/>
  <c r="D42" s="1"/>
  <c r="I42" s="1"/>
  <c r="B43" s="1"/>
  <c r="D43" s="1"/>
  <c r="I43" s="1"/>
  <c r="B44" s="1"/>
  <c r="D44" s="1"/>
  <c r="I44" s="1"/>
  <c r="B45" s="1"/>
  <c r="D45" s="1"/>
  <c r="I45" s="1"/>
  <c r="B46" s="1"/>
  <c r="D46" s="1"/>
  <c r="I46" s="1"/>
  <c r="B47" s="1"/>
  <c r="D47" s="1"/>
  <c r="I47" s="1"/>
  <c r="B48" s="1"/>
  <c r="D48" s="1"/>
  <c r="I48" s="1"/>
  <c r="B49" s="1"/>
  <c r="D49" s="1"/>
  <c r="I49" s="1"/>
  <c r="B50" s="1"/>
  <c r="D50" s="1"/>
  <c r="I50" s="1"/>
  <c r="B51" s="1"/>
  <c r="D51" s="1"/>
  <c r="I51" s="1"/>
  <c r="B52" s="1"/>
  <c r="D52" s="1"/>
  <c r="I52" s="1"/>
  <c r="B53" s="1"/>
  <c r="D53" s="1"/>
  <c r="I53" s="1"/>
  <c r="B54" s="1"/>
  <c r="D54" s="1"/>
  <c r="I54" s="1"/>
  <c r="B55" s="1"/>
  <c r="D55" s="1"/>
  <c r="I55" s="1"/>
  <c r="B56" s="1"/>
  <c r="D56" s="1"/>
  <c r="I56" s="1"/>
  <c r="B57" s="1"/>
  <c r="D57" s="1"/>
  <c r="I57" s="1"/>
  <c r="B58" s="1"/>
  <c r="D58" s="1"/>
  <c r="I58" s="1"/>
  <c r="B59" s="1"/>
  <c r="D59" s="1"/>
  <c r="I59" s="1"/>
  <c r="B60" s="1"/>
  <c r="D60" s="1"/>
  <c r="I60" s="1"/>
  <c r="B61" s="1"/>
  <c r="D61" s="1"/>
  <c r="I61" s="1"/>
  <c r="B62" s="1"/>
  <c r="D62" s="1"/>
  <c r="I62" s="1"/>
  <c r="B63" s="1"/>
  <c r="D63" s="1"/>
  <c r="I63" s="1"/>
  <c r="B64" s="1"/>
  <c r="D64" s="1"/>
  <c r="I64" s="1"/>
  <c r="B65" s="1"/>
  <c r="D65" s="1"/>
  <c r="I65" s="1"/>
  <c r="B66" s="1"/>
  <c r="D66" s="1"/>
  <c r="I66" s="1"/>
  <c r="B67" s="1"/>
  <c r="D67" s="1"/>
  <c r="I67" s="1"/>
  <c r="B68" s="1"/>
  <c r="D68" s="1"/>
  <c r="I68" s="1"/>
  <c r="H16" i="28" l="1"/>
  <c r="H15"/>
  <c r="H14"/>
  <c r="B14"/>
  <c r="D14"/>
  <c r="G21"/>
  <c r="C21"/>
  <c r="H13"/>
  <c r="I13" s="1"/>
  <c r="D13"/>
  <c r="H63" i="27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B37"/>
  <c r="D37" s="1"/>
  <c r="I37" s="1"/>
  <c r="B38" s="1"/>
  <c r="D38" s="1"/>
  <c r="I38" s="1"/>
  <c r="B39" s="1"/>
  <c r="D39" s="1"/>
  <c r="I39" s="1"/>
  <c r="B40" s="1"/>
  <c r="D40" s="1"/>
  <c r="I40" s="1"/>
  <c r="B41" s="1"/>
  <c r="D41" s="1"/>
  <c r="I41" s="1"/>
  <c r="B42" s="1"/>
  <c r="D42" s="1"/>
  <c r="I42" s="1"/>
  <c r="B43" s="1"/>
  <c r="D43" s="1"/>
  <c r="I43" s="1"/>
  <c r="B44" s="1"/>
  <c r="D44" s="1"/>
  <c r="I44" s="1"/>
  <c r="B45" s="1"/>
  <c r="D45" s="1"/>
  <c r="I45" s="1"/>
  <c r="B46" s="1"/>
  <c r="D46" s="1"/>
  <c r="I46" s="1"/>
  <c r="B47" s="1"/>
  <c r="D47" s="1"/>
  <c r="I47" s="1"/>
  <c r="B48" s="1"/>
  <c r="D48" s="1"/>
  <c r="I48" s="1"/>
  <c r="B49" s="1"/>
  <c r="D49" s="1"/>
  <c r="I49" s="1"/>
  <c r="B50" s="1"/>
  <c r="D50" s="1"/>
  <c r="I50" s="1"/>
  <c r="B51" s="1"/>
  <c r="D51" s="1"/>
  <c r="I51" s="1"/>
  <c r="B52" s="1"/>
  <c r="D52" s="1"/>
  <c r="I52" s="1"/>
  <c r="B53" s="1"/>
  <c r="D53" s="1"/>
  <c r="I53" s="1"/>
  <c r="B54" s="1"/>
  <c r="D54" s="1"/>
  <c r="I54" s="1"/>
  <c r="B55" s="1"/>
  <c r="D55" s="1"/>
  <c r="I55" s="1"/>
  <c r="B56" s="1"/>
  <c r="D56" s="1"/>
  <c r="I56" s="1"/>
  <c r="B57" s="1"/>
  <c r="D57" s="1"/>
  <c r="I57" s="1"/>
  <c r="B58" s="1"/>
  <c r="D58" s="1"/>
  <c r="I58" s="1"/>
  <c r="B59" s="1"/>
  <c r="D59" s="1"/>
  <c r="I59" s="1"/>
  <c r="B60" s="1"/>
  <c r="D60" s="1"/>
  <c r="I60" s="1"/>
  <c r="B61" s="1"/>
  <c r="D61" s="1"/>
  <c r="I61" s="1"/>
  <c r="B62" s="1"/>
  <c r="D62" s="1"/>
  <c r="I62" s="1"/>
  <c r="B63" s="1"/>
  <c r="D63" s="1"/>
  <c r="I63" s="1"/>
  <c r="H37"/>
  <c r="G64"/>
  <c r="C64"/>
  <c r="H36"/>
  <c r="D36"/>
  <c r="I36" s="1"/>
  <c r="H55" i="19"/>
  <c r="H54"/>
  <c r="H53"/>
  <c r="H52"/>
  <c r="H51"/>
  <c r="H50"/>
  <c r="H49"/>
  <c r="H48"/>
  <c r="H47"/>
  <c r="H46"/>
  <c r="H45"/>
  <c r="H44"/>
  <c r="H43"/>
  <c r="H42"/>
  <c r="H41"/>
  <c r="H40"/>
  <c r="H17" i="24"/>
  <c r="H16"/>
  <c r="H15"/>
  <c r="H14"/>
  <c r="B13"/>
  <c r="D13" s="1"/>
  <c r="I13" s="1"/>
  <c r="B14" s="1"/>
  <c r="D14" s="1"/>
  <c r="I14" s="1"/>
  <c r="B15" s="1"/>
  <c r="D15" s="1"/>
  <c r="H38" i="23"/>
  <c r="H37"/>
  <c r="H36"/>
  <c r="H35"/>
  <c r="H34"/>
  <c r="H33"/>
  <c r="H32"/>
  <c r="H31"/>
  <c r="H30"/>
  <c r="H29"/>
  <c r="H23" i="22"/>
  <c r="H22"/>
  <c r="H21"/>
  <c r="H20"/>
  <c r="H19"/>
  <c r="H18"/>
  <c r="B18"/>
  <c r="D18" s="1"/>
  <c r="I18" s="1"/>
  <c r="B19" s="1"/>
  <c r="D19" s="1"/>
  <c r="I19" s="1"/>
  <c r="B20" s="1"/>
  <c r="D20" s="1"/>
  <c r="I20" s="1"/>
  <c r="B21" s="1"/>
  <c r="D21" s="1"/>
  <c r="I21" s="1"/>
  <c r="B22" s="1"/>
  <c r="D22" s="1"/>
  <c r="I22" s="1"/>
  <c r="B23" s="1"/>
  <c r="D23" s="1"/>
  <c r="I23" s="1"/>
  <c r="B17"/>
  <c r="D17" s="1"/>
  <c r="H43" i="30"/>
  <c r="H42"/>
  <c r="H41"/>
  <c r="H40"/>
  <c r="H39"/>
  <c r="H38"/>
  <c r="H37"/>
  <c r="H36"/>
  <c r="H35"/>
  <c r="H34"/>
  <c r="H33"/>
  <c r="H32"/>
  <c r="H31"/>
  <c r="B30"/>
  <c r="D30" s="1"/>
  <c r="H21" i="29"/>
  <c r="H20"/>
  <c r="H19"/>
  <c r="H18"/>
  <c r="H17"/>
  <c r="H16"/>
  <c r="H15"/>
  <c r="B14"/>
  <c r="D14" s="1"/>
  <c r="H14"/>
  <c r="D13"/>
  <c r="H7"/>
  <c r="H134" i="21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G135"/>
  <c r="C135"/>
  <c r="H71"/>
  <c r="D71"/>
  <c r="G69" i="20"/>
  <c r="C69"/>
  <c r="H38"/>
  <c r="D38"/>
  <c r="I38" s="1"/>
  <c r="H39" i="19"/>
  <c r="G56"/>
  <c r="C56"/>
  <c r="H38"/>
  <c r="D38"/>
  <c r="I38" s="1"/>
  <c r="B39" s="1"/>
  <c r="D39" s="1"/>
  <c r="I39" s="1"/>
  <c r="B40" s="1"/>
  <c r="D40" s="1"/>
  <c r="I40" s="1"/>
  <c r="B41" s="1"/>
  <c r="D41" s="1"/>
  <c r="I41" s="1"/>
  <c r="B42" s="1"/>
  <c r="D42" s="1"/>
  <c r="I42" s="1"/>
  <c r="B43" s="1"/>
  <c r="D43" s="1"/>
  <c r="I43" s="1"/>
  <c r="B44" s="1"/>
  <c r="D44" s="1"/>
  <c r="H13" i="24"/>
  <c r="G18"/>
  <c r="C18"/>
  <c r="H12"/>
  <c r="D12"/>
  <c r="H28" i="23"/>
  <c r="G39"/>
  <c r="C39"/>
  <c r="H27"/>
  <c r="D27"/>
  <c r="H17" i="22"/>
  <c r="G24"/>
  <c r="C24"/>
  <c r="H16"/>
  <c r="D16"/>
  <c r="I16" s="1"/>
  <c r="H30" i="30"/>
  <c r="G57" i="2"/>
  <c r="C57"/>
  <c r="H40"/>
  <c r="D40"/>
  <c r="H22" i="30"/>
  <c r="G44"/>
  <c r="C44"/>
  <c r="H29"/>
  <c r="D29"/>
  <c r="G22" i="29"/>
  <c r="C22"/>
  <c r="H13"/>
  <c r="H17" i="30"/>
  <c r="H32" i="20"/>
  <c r="H31"/>
  <c r="H20" i="23"/>
  <c r="H21" i="30"/>
  <c r="H32" i="2"/>
  <c r="H31"/>
  <c r="H30"/>
  <c r="H29"/>
  <c r="H63" i="21"/>
  <c r="H62"/>
  <c r="H61"/>
  <c r="H60"/>
  <c r="H59"/>
  <c r="H58"/>
  <c r="H57"/>
  <c r="H56"/>
  <c r="H30" i="27"/>
  <c r="H29"/>
  <c r="H31" i="19"/>
  <c r="H30"/>
  <c r="H29"/>
  <c r="H28"/>
  <c r="H27"/>
  <c r="H26"/>
  <c r="H25"/>
  <c r="H24"/>
  <c r="H23"/>
  <c r="H55" i="21"/>
  <c r="H54"/>
  <c r="H53"/>
  <c r="H52"/>
  <c r="H51"/>
  <c r="H50"/>
  <c r="H49"/>
  <c r="H48"/>
  <c r="H47"/>
  <c r="H46"/>
  <c r="I44" i="19" l="1"/>
  <c r="B45" s="1"/>
  <c r="D45" s="1"/>
  <c r="I45" s="1"/>
  <c r="B46" s="1"/>
  <c r="D46" s="1"/>
  <c r="I46" s="1"/>
  <c r="B47" s="1"/>
  <c r="D47" s="1"/>
  <c r="I47" s="1"/>
  <c r="B48" s="1"/>
  <c r="D48" s="1"/>
  <c r="I48" s="1"/>
  <c r="B49" s="1"/>
  <c r="D49" s="1"/>
  <c r="I49" s="1"/>
  <c r="B50" s="1"/>
  <c r="D50" s="1"/>
  <c r="I50" s="1"/>
  <c r="B51" s="1"/>
  <c r="D51" s="1"/>
  <c r="I51" s="1"/>
  <c r="B52" s="1"/>
  <c r="D52" s="1"/>
  <c r="I52" s="1"/>
  <c r="B53" s="1"/>
  <c r="D53" s="1"/>
  <c r="I53" s="1"/>
  <c r="B54" s="1"/>
  <c r="D54" s="1"/>
  <c r="I54" s="1"/>
  <c r="B55" s="1"/>
  <c r="D55" s="1"/>
  <c r="I55" s="1"/>
  <c r="I15" i="24"/>
  <c r="B16" s="1"/>
  <c r="D16" s="1"/>
  <c r="I16" s="1"/>
  <c r="B17" s="1"/>
  <c r="D17" s="1"/>
  <c r="I17" s="1"/>
  <c r="I14" i="29"/>
  <c r="B15" s="1"/>
  <c r="D15" s="1"/>
  <c r="I15" s="1"/>
  <c r="B16" s="1"/>
  <c r="D16" s="1"/>
  <c r="I16" s="1"/>
  <c r="B17" s="1"/>
  <c r="D17" s="1"/>
  <c r="I17" s="1"/>
  <c r="B18" s="1"/>
  <c r="D18" s="1"/>
  <c r="I18" s="1"/>
  <c r="B19" s="1"/>
  <c r="D19" s="1"/>
  <c r="I19" s="1"/>
  <c r="B20" s="1"/>
  <c r="D20" s="1"/>
  <c r="I20" s="1"/>
  <c r="B21" s="1"/>
  <c r="D21" s="1"/>
  <c r="I21" s="1"/>
  <c r="I14" i="28"/>
  <c r="B15" s="1"/>
  <c r="D15" s="1"/>
  <c r="I15" s="1"/>
  <c r="B16" s="1"/>
  <c r="D16" s="1"/>
  <c r="I16" s="1"/>
  <c r="B17" s="1"/>
  <c r="D17" s="1"/>
  <c r="I17" s="1"/>
  <c r="B18" s="1"/>
  <c r="D18" s="1"/>
  <c r="I18" s="1"/>
  <c r="B19" s="1"/>
  <c r="D19" s="1"/>
  <c r="I19" s="1"/>
  <c r="B20" s="1"/>
  <c r="D20" s="1"/>
  <c r="I20" s="1"/>
  <c r="I17" i="22"/>
  <c r="I71" i="21"/>
  <c r="I12" i="24"/>
  <c r="I27" i="23"/>
  <c r="I40" i="2"/>
  <c r="B41" s="1"/>
  <c r="D41" s="1"/>
  <c r="I41" s="1"/>
  <c r="B42" s="1"/>
  <c r="D42" s="1"/>
  <c r="I42" s="1"/>
  <c r="B43" s="1"/>
  <c r="D43" s="1"/>
  <c r="I43" s="1"/>
  <c r="B44" s="1"/>
  <c r="D44" s="1"/>
  <c r="I44" s="1"/>
  <c r="B45" s="1"/>
  <c r="D45" s="1"/>
  <c r="I45" s="1"/>
  <c r="B46" s="1"/>
  <c r="D46" s="1"/>
  <c r="I46" s="1"/>
  <c r="B47" s="1"/>
  <c r="D47" s="1"/>
  <c r="I47" s="1"/>
  <c r="B48" s="1"/>
  <c r="D48" s="1"/>
  <c r="I48" s="1"/>
  <c r="B49" s="1"/>
  <c r="D49" s="1"/>
  <c r="I49" s="1"/>
  <c r="B50" s="1"/>
  <c r="D50" s="1"/>
  <c r="I50" s="1"/>
  <c r="B51" s="1"/>
  <c r="D51" s="1"/>
  <c r="I51" s="1"/>
  <c r="B52" s="1"/>
  <c r="D52" s="1"/>
  <c r="I52" s="1"/>
  <c r="B53" s="1"/>
  <c r="D53" s="1"/>
  <c r="I53" s="1"/>
  <c r="B54" s="1"/>
  <c r="D54" s="1"/>
  <c r="I54" s="1"/>
  <c r="B55" s="1"/>
  <c r="D55" s="1"/>
  <c r="I55" s="1"/>
  <c r="B56" s="1"/>
  <c r="D56" s="1"/>
  <c r="I56" s="1"/>
  <c r="I29" i="30"/>
  <c r="I30" s="1"/>
  <c r="B31" s="1"/>
  <c r="D31" s="1"/>
  <c r="I31" s="1"/>
  <c r="B32" s="1"/>
  <c r="D32" s="1"/>
  <c r="I32" s="1"/>
  <c r="B33" s="1"/>
  <c r="D33" s="1"/>
  <c r="I33" s="1"/>
  <c r="B34" s="1"/>
  <c r="D34" s="1"/>
  <c r="I34" s="1"/>
  <c r="B35" s="1"/>
  <c r="D35" s="1"/>
  <c r="I35" s="1"/>
  <c r="B36" s="1"/>
  <c r="D36" s="1"/>
  <c r="I36" s="1"/>
  <c r="B37" s="1"/>
  <c r="D37" s="1"/>
  <c r="I37" s="1"/>
  <c r="B38" s="1"/>
  <c r="D38" s="1"/>
  <c r="I38" s="1"/>
  <c r="B39" s="1"/>
  <c r="D39" s="1"/>
  <c r="I39" s="1"/>
  <c r="B40" s="1"/>
  <c r="D40" s="1"/>
  <c r="I40" s="1"/>
  <c r="B41" s="1"/>
  <c r="D41" s="1"/>
  <c r="I41" s="1"/>
  <c r="B42" s="1"/>
  <c r="D42" s="1"/>
  <c r="I42" s="1"/>
  <c r="B43" s="1"/>
  <c r="D43" s="1"/>
  <c r="I43" s="1"/>
  <c r="I13" i="29"/>
  <c r="H30" i="20"/>
  <c r="H29"/>
  <c r="H28"/>
  <c r="H27"/>
  <c r="H26"/>
  <c r="H25"/>
  <c r="H24"/>
  <c r="H23"/>
  <c r="H22"/>
  <c r="H28" i="2"/>
  <c r="H27"/>
  <c r="H26"/>
  <c r="H25"/>
  <c r="H24"/>
  <c r="H23"/>
  <c r="H28" i="27"/>
  <c r="H27"/>
  <c r="H26"/>
  <c r="H25"/>
  <c r="H24"/>
  <c r="H23"/>
  <c r="H22"/>
  <c r="H44" i="21"/>
  <c r="H43"/>
  <c r="H42"/>
  <c r="H41"/>
  <c r="H40"/>
  <c r="H39"/>
  <c r="H38"/>
  <c r="H37"/>
  <c r="H36"/>
  <c r="H20" i="30"/>
  <c r="H19"/>
  <c r="H18"/>
  <c r="H16"/>
  <c r="H21" i="20"/>
  <c r="H20"/>
  <c r="H19"/>
  <c r="H18"/>
  <c r="H17"/>
  <c r="H16"/>
  <c r="H15"/>
  <c r="H18" i="23"/>
  <c r="H17"/>
  <c r="H16"/>
  <c r="H15"/>
  <c r="H14"/>
  <c r="H13"/>
  <c r="H12"/>
  <c r="H11"/>
  <c r="H45" i="21"/>
  <c r="H35"/>
  <c r="H34"/>
  <c r="H33"/>
  <c r="H32"/>
  <c r="H31"/>
  <c r="H30"/>
  <c r="H29"/>
  <c r="H28"/>
  <c r="H27"/>
  <c r="H26"/>
  <c r="H25"/>
  <c r="H24"/>
  <c r="H23"/>
  <c r="H22"/>
  <c r="H21"/>
  <c r="H21" i="27"/>
  <c r="H20"/>
  <c r="H19"/>
  <c r="H18"/>
  <c r="H17"/>
  <c r="H16"/>
  <c r="H15"/>
  <c r="H14"/>
  <c r="H13"/>
  <c r="H12"/>
  <c r="H11"/>
  <c r="H7" i="28"/>
  <c r="H6"/>
  <c r="I72" i="21" l="1"/>
  <c r="B73" s="1"/>
  <c r="D73" s="1"/>
  <c r="I73" s="1"/>
  <c r="B74" s="1"/>
  <c r="D74" s="1"/>
  <c r="I74" s="1"/>
  <c r="B75" s="1"/>
  <c r="D75" s="1"/>
  <c r="I75" s="1"/>
  <c r="B76" s="1"/>
  <c r="D76" s="1"/>
  <c r="I76" s="1"/>
  <c r="B77" s="1"/>
  <c r="D77" s="1"/>
  <c r="I77" s="1"/>
  <c r="B78" s="1"/>
  <c r="D78" s="1"/>
  <c r="I78" s="1"/>
  <c r="B79" s="1"/>
  <c r="D79" s="1"/>
  <c r="I79" s="1"/>
  <c r="B80" s="1"/>
  <c r="D80" s="1"/>
  <c r="I80" s="1"/>
  <c r="B81" s="1"/>
  <c r="D81" s="1"/>
  <c r="I81" s="1"/>
  <c r="B82" s="1"/>
  <c r="D82" s="1"/>
  <c r="I82" s="1"/>
  <c r="B83" s="1"/>
  <c r="D83" s="1"/>
  <c r="I83" s="1"/>
  <c r="B84" s="1"/>
  <c r="D84" s="1"/>
  <c r="I84" s="1"/>
  <c r="B85" s="1"/>
  <c r="D85" s="1"/>
  <c r="I85" s="1"/>
  <c r="B86" s="1"/>
  <c r="D86" s="1"/>
  <c r="I86" s="1"/>
  <c r="B87" s="1"/>
  <c r="D87" s="1"/>
  <c r="I87" s="1"/>
  <c r="B88" s="1"/>
  <c r="D88" s="1"/>
  <c r="I88" s="1"/>
  <c r="B89" s="1"/>
  <c r="D89" s="1"/>
  <c r="I89" s="1"/>
  <c r="B90" s="1"/>
  <c r="D90" s="1"/>
  <c r="I90" s="1"/>
  <c r="B91" s="1"/>
  <c r="D91" s="1"/>
  <c r="I91" s="1"/>
  <c r="B92" s="1"/>
  <c r="D92" s="1"/>
  <c r="I92" s="1"/>
  <c r="B93" s="1"/>
  <c r="D93" s="1"/>
  <c r="I93" s="1"/>
  <c r="B94" s="1"/>
  <c r="D94" s="1"/>
  <c r="I94" s="1"/>
  <c r="B95" s="1"/>
  <c r="D95" s="1"/>
  <c r="I95" s="1"/>
  <c r="B96" s="1"/>
  <c r="D96" s="1"/>
  <c r="I96" s="1"/>
  <c r="B97" s="1"/>
  <c r="D97" s="1"/>
  <c r="I97" s="1"/>
  <c r="B98" s="1"/>
  <c r="D98" s="1"/>
  <c r="I98" s="1"/>
  <c r="B99" s="1"/>
  <c r="D99" s="1"/>
  <c r="I99" s="1"/>
  <c r="B100" s="1"/>
  <c r="D100" s="1"/>
  <c r="I100" s="1"/>
  <c r="B101" s="1"/>
  <c r="D101" s="1"/>
  <c r="I101" s="1"/>
  <c r="B102" s="1"/>
  <c r="D102" s="1"/>
  <c r="I102" s="1"/>
  <c r="B103" s="1"/>
  <c r="D103" s="1"/>
  <c r="I103" s="1"/>
  <c r="B104" s="1"/>
  <c r="D104" s="1"/>
  <c r="I104" s="1"/>
  <c r="B105" s="1"/>
  <c r="D105" s="1"/>
  <c r="I105" s="1"/>
  <c r="B106" s="1"/>
  <c r="D106" s="1"/>
  <c r="I106" s="1"/>
  <c r="B107" s="1"/>
  <c r="D107" s="1"/>
  <c r="I107" s="1"/>
  <c r="B108" s="1"/>
  <c r="D108" s="1"/>
  <c r="I108" s="1"/>
  <c r="B109" s="1"/>
  <c r="D109" s="1"/>
  <c r="I109" s="1"/>
  <c r="B110" s="1"/>
  <c r="D110" s="1"/>
  <c r="I110" s="1"/>
  <c r="B111" s="1"/>
  <c r="D111" s="1"/>
  <c r="I111" s="1"/>
  <c r="B112" s="1"/>
  <c r="D112" s="1"/>
  <c r="I112" s="1"/>
  <c r="B113" s="1"/>
  <c r="D113" s="1"/>
  <c r="I113" s="1"/>
  <c r="B114" s="1"/>
  <c r="D114" s="1"/>
  <c r="I114" s="1"/>
  <c r="B115" s="1"/>
  <c r="D115" s="1"/>
  <c r="I115" s="1"/>
  <c r="B116" s="1"/>
  <c r="D116" s="1"/>
  <c r="I116" s="1"/>
  <c r="B117" s="1"/>
  <c r="D117" s="1"/>
  <c r="I117" s="1"/>
  <c r="B118" s="1"/>
  <c r="D118" s="1"/>
  <c r="I118" s="1"/>
  <c r="B119" s="1"/>
  <c r="D119" s="1"/>
  <c r="I119" s="1"/>
  <c r="B120" s="1"/>
  <c r="D120" s="1"/>
  <c r="I120" s="1"/>
  <c r="B121" s="1"/>
  <c r="D121" s="1"/>
  <c r="I121" s="1"/>
  <c r="B122" s="1"/>
  <c r="D122" s="1"/>
  <c r="I122" s="1"/>
  <c r="B123" s="1"/>
  <c r="D123" s="1"/>
  <c r="I123" s="1"/>
  <c r="B124" s="1"/>
  <c r="D124" s="1"/>
  <c r="I124" s="1"/>
  <c r="B125" s="1"/>
  <c r="D125" s="1"/>
  <c r="I125" s="1"/>
  <c r="B126" s="1"/>
  <c r="D126" s="1"/>
  <c r="I126" s="1"/>
  <c r="B127" s="1"/>
  <c r="D127" s="1"/>
  <c r="I127" s="1"/>
  <c r="B128" s="1"/>
  <c r="D128" s="1"/>
  <c r="I128" s="1"/>
  <c r="B129" s="1"/>
  <c r="D129" s="1"/>
  <c r="I129" s="1"/>
  <c r="B130" s="1"/>
  <c r="D130" s="1"/>
  <c r="I130" s="1"/>
  <c r="B131" s="1"/>
  <c r="D131" s="1"/>
  <c r="I131" s="1"/>
  <c r="B132" s="1"/>
  <c r="D132" s="1"/>
  <c r="I132" s="1"/>
  <c r="B133" s="1"/>
  <c r="D133" s="1"/>
  <c r="I133" s="1"/>
  <c r="B134" s="1"/>
  <c r="D134" s="1"/>
  <c r="I134" s="1"/>
  <c r="B72"/>
  <c r="D72" s="1"/>
  <c r="I28" i="23"/>
  <c r="B29" s="1"/>
  <c r="D29" s="1"/>
  <c r="I29" s="1"/>
  <c r="B30" s="1"/>
  <c r="D30" s="1"/>
  <c r="I30" s="1"/>
  <c r="B31" s="1"/>
  <c r="D31" s="1"/>
  <c r="I31" s="1"/>
  <c r="B32" s="1"/>
  <c r="D32" s="1"/>
  <c r="I32" s="1"/>
  <c r="B33" s="1"/>
  <c r="D33" s="1"/>
  <c r="I33" s="1"/>
  <c r="B34" s="1"/>
  <c r="D34" s="1"/>
  <c r="I34" s="1"/>
  <c r="B35" s="1"/>
  <c r="D35" s="1"/>
  <c r="I35" s="1"/>
  <c r="B36" s="1"/>
  <c r="D36" s="1"/>
  <c r="I36" s="1"/>
  <c r="B37" s="1"/>
  <c r="D37" s="1"/>
  <c r="I37" s="1"/>
  <c r="B38" s="1"/>
  <c r="D38" s="1"/>
  <c r="I38" s="1"/>
  <c r="B28"/>
  <c r="D28" s="1"/>
  <c r="H7" i="21"/>
  <c r="H4" i="27"/>
  <c r="H7" l="1"/>
  <c r="H10" l="1"/>
  <c r="H9"/>
  <c r="H8"/>
  <c r="H6"/>
  <c r="H5"/>
  <c r="H20" i="21"/>
  <c r="H19"/>
  <c r="H18"/>
  <c r="H17"/>
  <c r="H16"/>
  <c r="H15"/>
  <c r="H14"/>
  <c r="H13"/>
  <c r="H12"/>
  <c r="H11"/>
  <c r="H10"/>
  <c r="H9"/>
  <c r="H8"/>
  <c r="H6"/>
  <c r="H14" i="20"/>
  <c r="H13"/>
  <c r="H12"/>
  <c r="H11"/>
  <c r="H10"/>
  <c r="H9"/>
  <c r="H8"/>
  <c r="H7"/>
  <c r="H6"/>
  <c r="H5"/>
  <c r="H22" i="19"/>
  <c r="H21"/>
  <c r="H20"/>
  <c r="H19"/>
  <c r="H18"/>
  <c r="H17"/>
  <c r="H16"/>
  <c r="H15"/>
  <c r="H14"/>
  <c r="H13"/>
  <c r="H12"/>
  <c r="H11"/>
  <c r="H10"/>
  <c r="H9"/>
  <c r="H8"/>
  <c r="H7"/>
  <c r="H6"/>
  <c r="H5"/>
  <c r="H10" i="23"/>
  <c r="H9"/>
  <c r="H8"/>
  <c r="H7"/>
  <c r="H6"/>
  <c r="H5"/>
  <c r="H4"/>
  <c r="H10" i="22"/>
  <c r="H9"/>
  <c r="H8"/>
  <c r="H7"/>
  <c r="H6"/>
  <c r="H5"/>
  <c r="H4"/>
  <c r="H22" i="2"/>
  <c r="H21"/>
  <c r="H20"/>
  <c r="H19"/>
  <c r="H18"/>
  <c r="H17"/>
  <c r="H16"/>
  <c r="H15"/>
  <c r="H14"/>
  <c r="H13"/>
  <c r="H12"/>
  <c r="H11"/>
  <c r="H10"/>
  <c r="H9"/>
  <c r="H8"/>
  <c r="H7"/>
  <c r="H6"/>
  <c r="H5"/>
  <c r="H15" i="30"/>
  <c r="H14"/>
  <c r="H13"/>
  <c r="H12"/>
  <c r="H11"/>
  <c r="H10"/>
  <c r="H9"/>
  <c r="H8"/>
  <c r="H7"/>
  <c r="H6"/>
  <c r="H5"/>
  <c r="H3" i="27" l="1"/>
  <c r="D3"/>
  <c r="G31" l="1"/>
  <c r="C31"/>
  <c r="I3" l="1"/>
  <c r="B4" s="1"/>
  <c r="D4" s="1"/>
  <c r="I4" s="1"/>
  <c r="B5" s="1"/>
  <c r="D5" s="1"/>
  <c r="I5" s="1"/>
  <c r="B6" s="1"/>
  <c r="D6" s="1"/>
  <c r="I6" s="1"/>
  <c r="B7" s="1"/>
  <c r="D7" s="1"/>
  <c r="I7" s="1"/>
  <c r="B8" s="1"/>
  <c r="D8" s="1"/>
  <c r="I8" s="1"/>
  <c r="B9" s="1"/>
  <c r="D9" s="1"/>
  <c r="I9" s="1"/>
  <c r="B10" s="1"/>
  <c r="D10" s="1"/>
  <c r="I10" s="1"/>
  <c r="B11" s="1"/>
  <c r="D11" s="1"/>
  <c r="I11" s="1"/>
  <c r="B12" s="1"/>
  <c r="D12" s="1"/>
  <c r="I12" s="1"/>
  <c r="B13" s="1"/>
  <c r="D13" s="1"/>
  <c r="I13" s="1"/>
  <c r="B14" s="1"/>
  <c r="D14" s="1"/>
  <c r="I14" s="1"/>
  <c r="B15" s="1"/>
  <c r="D15" s="1"/>
  <c r="I15" s="1"/>
  <c r="B16" s="1"/>
  <c r="D16" s="1"/>
  <c r="I16" s="1"/>
  <c r="B17" s="1"/>
  <c r="D17" s="1"/>
  <c r="I17" s="1"/>
  <c r="B18" s="1"/>
  <c r="D18" s="1"/>
  <c r="I18" s="1"/>
  <c r="B19" s="1"/>
  <c r="D19" s="1"/>
  <c r="I19" s="1"/>
  <c r="B20" s="1"/>
  <c r="D20" s="1"/>
  <c r="I20" s="1"/>
  <c r="B21" s="1"/>
  <c r="D21" s="1"/>
  <c r="I21" s="1"/>
  <c r="B22" s="1"/>
  <c r="D22" s="1"/>
  <c r="I22" s="1"/>
  <c r="B23" s="1"/>
  <c r="D23" s="1"/>
  <c r="I23" s="1"/>
  <c r="B24" s="1"/>
  <c r="D24" s="1"/>
  <c r="I24" s="1"/>
  <c r="B25" s="1"/>
  <c r="D25" s="1"/>
  <c r="I25" s="1"/>
  <c r="B26" s="1"/>
  <c r="D26" s="1"/>
  <c r="I26" s="1"/>
  <c r="B27" s="1"/>
  <c r="D27" s="1"/>
  <c r="I27" s="1"/>
  <c r="B28" s="1"/>
  <c r="D28" s="1"/>
  <c r="I28" s="1"/>
  <c r="B29" l="1"/>
  <c r="D29" s="1"/>
  <c r="I29" s="1"/>
  <c r="B30" s="1"/>
  <c r="D30" s="1"/>
  <c r="I30" s="1"/>
  <c r="G23" i="30"/>
  <c r="C23"/>
  <c r="G8" i="28"/>
  <c r="C8"/>
  <c r="G7" i="24"/>
  <c r="C7"/>
  <c r="G21" i="23"/>
  <c r="C21"/>
  <c r="G11" i="22"/>
  <c r="C11"/>
  <c r="G66" i="21"/>
  <c r="C66"/>
  <c r="G33" i="20"/>
  <c r="C33"/>
  <c r="G32" i="19"/>
  <c r="C32"/>
  <c r="G35" i="2"/>
  <c r="C35"/>
  <c r="G8" i="29"/>
  <c r="C8"/>
  <c r="H5" i="28" l="1"/>
  <c r="H4"/>
  <c r="H6" i="24"/>
  <c r="H5"/>
  <c r="H4"/>
  <c r="H5" i="21"/>
  <c r="H4"/>
  <c r="H4" i="20"/>
  <c r="H4" i="19"/>
  <c r="H4" i="2"/>
  <c r="H4" i="30"/>
  <c r="H6" i="29" l="1"/>
  <c r="H5"/>
  <c r="H4"/>
  <c r="H3" i="23"/>
  <c r="D3"/>
  <c r="H3" i="30"/>
  <c r="D3"/>
  <c r="H3" i="29"/>
  <c r="D3"/>
  <c r="H3" i="28"/>
  <c r="D3"/>
  <c r="D3" i="24"/>
  <c r="H3"/>
  <c r="H3" i="22"/>
  <c r="D3"/>
  <c r="H3" i="21"/>
  <c r="D3"/>
  <c r="H3" i="2"/>
  <c r="D3"/>
  <c r="H3" i="20"/>
  <c r="D3"/>
  <c r="H3" i="19"/>
  <c r="D3"/>
  <c r="I3" i="24" l="1"/>
  <c r="B4" s="1"/>
  <c r="D4" s="1"/>
  <c r="I4" s="1"/>
  <c r="B5" s="1"/>
  <c r="D5" s="1"/>
  <c r="I5" s="1"/>
  <c r="B6" s="1"/>
  <c r="D6" s="1"/>
  <c r="I6" s="1"/>
  <c r="I3" i="2"/>
  <c r="B4" s="1"/>
  <c r="D4" s="1"/>
  <c r="I4" s="1"/>
  <c r="B5" s="1"/>
  <c r="D5" s="1"/>
  <c r="I5" s="1"/>
  <c r="B6" s="1"/>
  <c r="D6" s="1"/>
  <c r="I6" s="1"/>
  <c r="B7" s="1"/>
  <c r="D7" s="1"/>
  <c r="I7" s="1"/>
  <c r="B8" s="1"/>
  <c r="D8" s="1"/>
  <c r="I8" s="1"/>
  <c r="B9" s="1"/>
  <c r="D9" s="1"/>
  <c r="I9" s="1"/>
  <c r="B10" s="1"/>
  <c r="D10" s="1"/>
  <c r="I10" s="1"/>
  <c r="B11" s="1"/>
  <c r="D11" s="1"/>
  <c r="I11" s="1"/>
  <c r="B12" s="1"/>
  <c r="D12" s="1"/>
  <c r="I12" s="1"/>
  <c r="B13" s="1"/>
  <c r="D13" s="1"/>
  <c r="I13" s="1"/>
  <c r="B14" s="1"/>
  <c r="D14" s="1"/>
  <c r="I14" s="1"/>
  <c r="B15" s="1"/>
  <c r="D15" s="1"/>
  <c r="I15" s="1"/>
  <c r="B16" s="1"/>
  <c r="D16" s="1"/>
  <c r="I16" s="1"/>
  <c r="B17" s="1"/>
  <c r="D17" s="1"/>
  <c r="I17" s="1"/>
  <c r="B18" s="1"/>
  <c r="D18" s="1"/>
  <c r="I18" s="1"/>
  <c r="B19" s="1"/>
  <c r="D19" s="1"/>
  <c r="I19" s="1"/>
  <c r="B20" s="1"/>
  <c r="D20" s="1"/>
  <c r="I20" s="1"/>
  <c r="B21" s="1"/>
  <c r="D21" s="1"/>
  <c r="I21" s="1"/>
  <c r="B22" s="1"/>
  <c r="D22" s="1"/>
  <c r="I22" s="1"/>
  <c r="I3" i="30"/>
  <c r="B4" s="1"/>
  <c r="D4" s="1"/>
  <c r="I4" s="1"/>
  <c r="B5" s="1"/>
  <c r="D5" s="1"/>
  <c r="I5" s="1"/>
  <c r="B6" s="1"/>
  <c r="D6" s="1"/>
  <c r="I6" s="1"/>
  <c r="B7" s="1"/>
  <c r="D7" s="1"/>
  <c r="I7" s="1"/>
  <c r="B8" s="1"/>
  <c r="D8" s="1"/>
  <c r="I8" s="1"/>
  <c r="B9" s="1"/>
  <c r="D9" s="1"/>
  <c r="I9" s="1"/>
  <c r="B10" s="1"/>
  <c r="D10" s="1"/>
  <c r="I10" s="1"/>
  <c r="B11" s="1"/>
  <c r="D11" s="1"/>
  <c r="I11" s="1"/>
  <c r="B12" s="1"/>
  <c r="D12" s="1"/>
  <c r="I12" s="1"/>
  <c r="B13" s="1"/>
  <c r="D13" s="1"/>
  <c r="I13" s="1"/>
  <c r="B14" s="1"/>
  <c r="D14" s="1"/>
  <c r="I14" s="1"/>
  <c r="B15" s="1"/>
  <c r="D15" s="1"/>
  <c r="I15" s="1"/>
  <c r="I3" i="29"/>
  <c r="B4" s="1"/>
  <c r="D4" s="1"/>
  <c r="I4" s="1"/>
  <c r="B5" s="1"/>
  <c r="D5" s="1"/>
  <c r="I5" s="1"/>
  <c r="B6" s="1"/>
  <c r="D6" s="1"/>
  <c r="I6" s="1"/>
  <c r="I3" i="23"/>
  <c r="B4" s="1"/>
  <c r="D4" s="1"/>
  <c r="I4" s="1"/>
  <c r="B5" s="1"/>
  <c r="D5" s="1"/>
  <c r="I5" s="1"/>
  <c r="B6" s="1"/>
  <c r="D6" s="1"/>
  <c r="I6" s="1"/>
  <c r="B7" s="1"/>
  <c r="D7" s="1"/>
  <c r="I7" s="1"/>
  <c r="B8" s="1"/>
  <c r="D8" s="1"/>
  <c r="I8" s="1"/>
  <c r="B9" s="1"/>
  <c r="D9" s="1"/>
  <c r="I9" s="1"/>
  <c r="B10" s="1"/>
  <c r="D10" s="1"/>
  <c r="I10" s="1"/>
  <c r="I3" i="22"/>
  <c r="B4" s="1"/>
  <c r="D4" s="1"/>
  <c r="I4" s="1"/>
  <c r="B5" s="1"/>
  <c r="D5" s="1"/>
  <c r="I5" s="1"/>
  <c r="B6" s="1"/>
  <c r="D6" s="1"/>
  <c r="I6" s="1"/>
  <c r="B7" s="1"/>
  <c r="D7" s="1"/>
  <c r="I7" s="1"/>
  <c r="B8" s="1"/>
  <c r="D8" s="1"/>
  <c r="I8" s="1"/>
  <c r="B9" s="1"/>
  <c r="D9" s="1"/>
  <c r="I9" s="1"/>
  <c r="B10" s="1"/>
  <c r="D10" s="1"/>
  <c r="I10" s="1"/>
  <c r="I3" i="21"/>
  <c r="B4" s="1"/>
  <c r="D4" s="1"/>
  <c r="I4" s="1"/>
  <c r="B5" s="1"/>
  <c r="D5" s="1"/>
  <c r="I5" s="1"/>
  <c r="B6" s="1"/>
  <c r="D6" s="1"/>
  <c r="I6" s="1"/>
  <c r="I3" i="20"/>
  <c r="B4" s="1"/>
  <c r="D4" s="1"/>
  <c r="I4" s="1"/>
  <c r="B5" s="1"/>
  <c r="D5" s="1"/>
  <c r="I5" s="1"/>
  <c r="B6" s="1"/>
  <c r="D6" s="1"/>
  <c r="I6" s="1"/>
  <c r="B7" s="1"/>
  <c r="D7" s="1"/>
  <c r="I7" s="1"/>
  <c r="B8" s="1"/>
  <c r="D8" s="1"/>
  <c r="I8" s="1"/>
  <c r="B9" s="1"/>
  <c r="D9" s="1"/>
  <c r="I9" s="1"/>
  <c r="B10" s="1"/>
  <c r="D10" s="1"/>
  <c r="I10" s="1"/>
  <c r="B11" s="1"/>
  <c r="D11" s="1"/>
  <c r="I11" s="1"/>
  <c r="B12" s="1"/>
  <c r="D12" s="1"/>
  <c r="I12" s="1"/>
  <c r="B13" s="1"/>
  <c r="D13" s="1"/>
  <c r="I13" s="1"/>
  <c r="B14" s="1"/>
  <c r="D14" s="1"/>
  <c r="I14" s="1"/>
  <c r="I3" i="19"/>
  <c r="B4" s="1"/>
  <c r="D4" s="1"/>
  <c r="I4" s="1"/>
  <c r="B5" s="1"/>
  <c r="D5" s="1"/>
  <c r="I5" s="1"/>
  <c r="B6" s="1"/>
  <c r="D6" s="1"/>
  <c r="I6" s="1"/>
  <c r="B7" s="1"/>
  <c r="D7" s="1"/>
  <c r="I7" s="1"/>
  <c r="B8" s="1"/>
  <c r="D8" s="1"/>
  <c r="I8" s="1"/>
  <c r="B9" s="1"/>
  <c r="D9" s="1"/>
  <c r="I9" s="1"/>
  <c r="B10" s="1"/>
  <c r="D10" s="1"/>
  <c r="I10" s="1"/>
  <c r="B11" s="1"/>
  <c r="D11" s="1"/>
  <c r="I11" s="1"/>
  <c r="B12" s="1"/>
  <c r="D12" s="1"/>
  <c r="I12" s="1"/>
  <c r="B13" s="1"/>
  <c r="D13" s="1"/>
  <c r="I13" s="1"/>
  <c r="B14" s="1"/>
  <c r="D14" s="1"/>
  <c r="I14" s="1"/>
  <c r="B15" s="1"/>
  <c r="D15" s="1"/>
  <c r="I15" s="1"/>
  <c r="B16" s="1"/>
  <c r="D16" s="1"/>
  <c r="I16" s="1"/>
  <c r="B17" s="1"/>
  <c r="D17" s="1"/>
  <c r="I17" s="1"/>
  <c r="B18" s="1"/>
  <c r="D18" s="1"/>
  <c r="I18" s="1"/>
  <c r="B19" s="1"/>
  <c r="D19" s="1"/>
  <c r="I19" s="1"/>
  <c r="B20" s="1"/>
  <c r="D20" s="1"/>
  <c r="I20" s="1"/>
  <c r="B21" s="1"/>
  <c r="D21" s="1"/>
  <c r="I21" s="1"/>
  <c r="B22" s="1"/>
  <c r="D22" s="1"/>
  <c r="I22" s="1"/>
  <c r="I3" i="28"/>
  <c r="B4" s="1"/>
  <c r="D4" s="1"/>
  <c r="I4" s="1"/>
  <c r="B5" s="1"/>
  <c r="D5" s="1"/>
  <c r="I5" s="1"/>
  <c r="B7" i="29" l="1"/>
  <c r="D7" s="1"/>
  <c r="I7" s="1"/>
  <c r="B6" i="28"/>
  <c r="D6" s="1"/>
  <c r="I6" s="1"/>
  <c r="B7" s="1"/>
  <c r="D7" s="1"/>
  <c r="I7" s="1"/>
  <c r="B23" i="19"/>
  <c r="D23" s="1"/>
  <c r="I23" s="1"/>
  <c r="B24" s="1"/>
  <c r="D24" s="1"/>
  <c r="I24" s="1"/>
  <c r="B25" s="1"/>
  <c r="D25" s="1"/>
  <c r="I25" s="1"/>
  <c r="B26" s="1"/>
  <c r="D26" s="1"/>
  <c r="I26" s="1"/>
  <c r="B27" s="1"/>
  <c r="D27" s="1"/>
  <c r="I27" s="1"/>
  <c r="B28" s="1"/>
  <c r="D28" s="1"/>
  <c r="I28" s="1"/>
  <c r="B29" s="1"/>
  <c r="D29" s="1"/>
  <c r="I29" s="1"/>
  <c r="B30" s="1"/>
  <c r="D30" s="1"/>
  <c r="I30" s="1"/>
  <c r="B31" s="1"/>
  <c r="D31" s="1"/>
  <c r="I31" s="1"/>
  <c r="B23" i="2"/>
  <c r="D23" s="1"/>
  <c r="I23" s="1"/>
  <c r="B24" s="1"/>
  <c r="D24" s="1"/>
  <c r="I24" s="1"/>
  <c r="B25" s="1"/>
  <c r="D25" s="1"/>
  <c r="I25" s="1"/>
  <c r="B26" s="1"/>
  <c r="D26" s="1"/>
  <c r="I26" s="1"/>
  <c r="B27" s="1"/>
  <c r="D27" s="1"/>
  <c r="I27" s="1"/>
  <c r="B28" s="1"/>
  <c r="D28" s="1"/>
  <c r="I28" s="1"/>
  <c r="B16" i="30"/>
  <c r="D16" s="1"/>
  <c r="I16" s="1"/>
  <c r="B15" i="20"/>
  <c r="D15" s="1"/>
  <c r="I15" s="1"/>
  <c r="B16" s="1"/>
  <c r="D16" s="1"/>
  <c r="I16" s="1"/>
  <c r="B17" s="1"/>
  <c r="D17" s="1"/>
  <c r="I17" s="1"/>
  <c r="B18" s="1"/>
  <c r="D18" s="1"/>
  <c r="I18" s="1"/>
  <c r="B19" s="1"/>
  <c r="D19" s="1"/>
  <c r="I19" s="1"/>
  <c r="B20" s="1"/>
  <c r="D20" s="1"/>
  <c r="I20" s="1"/>
  <c r="B21" s="1"/>
  <c r="D21" s="1"/>
  <c r="I21" s="1"/>
  <c r="B11" i="23"/>
  <c r="D11" s="1"/>
  <c r="I11" s="1"/>
  <c r="B12" s="1"/>
  <c r="D12" s="1"/>
  <c r="I12" s="1"/>
  <c r="B13" s="1"/>
  <c r="D13" s="1"/>
  <c r="I13" s="1"/>
  <c r="B14" s="1"/>
  <c r="D14" s="1"/>
  <c r="I14" s="1"/>
  <c r="B15" s="1"/>
  <c r="D15" s="1"/>
  <c r="I15" s="1"/>
  <c r="B16" s="1"/>
  <c r="D16" s="1"/>
  <c r="I16" s="1"/>
  <c r="B17" s="1"/>
  <c r="D17" s="1"/>
  <c r="I17" s="1"/>
  <c r="B18" s="1"/>
  <c r="D18" s="1"/>
  <c r="I18" s="1"/>
  <c r="B7" i="21"/>
  <c r="D7" s="1"/>
  <c r="I7" s="1"/>
  <c r="B8" s="1"/>
  <c r="D8" s="1"/>
  <c r="I8" s="1"/>
  <c r="B9" s="1"/>
  <c r="D9" s="1"/>
  <c r="I9" s="1"/>
  <c r="B10" s="1"/>
  <c r="D10" s="1"/>
  <c r="I10" s="1"/>
  <c r="B11" s="1"/>
  <c r="D11" s="1"/>
  <c r="I11" s="1"/>
  <c r="B12" s="1"/>
  <c r="D12" s="1"/>
  <c r="I12" s="1"/>
  <c r="B13" s="1"/>
  <c r="D13" s="1"/>
  <c r="I13" s="1"/>
  <c r="B14" s="1"/>
  <c r="D14" s="1"/>
  <c r="I14" s="1"/>
  <c r="B15" s="1"/>
  <c r="D15" s="1"/>
  <c r="I15" s="1"/>
  <c r="B16" s="1"/>
  <c r="D16" s="1"/>
  <c r="I16" s="1"/>
  <c r="B17" s="1"/>
  <c r="D17" s="1"/>
  <c r="I17" s="1"/>
  <c r="B18" s="1"/>
  <c r="D18" s="1"/>
  <c r="I18" s="1"/>
  <c r="B19" s="1"/>
  <c r="D19" s="1"/>
  <c r="I19" s="1"/>
  <c r="B20" s="1"/>
  <c r="D20" s="1"/>
  <c r="I20" s="1"/>
  <c r="B17" i="30" l="1"/>
  <c r="D17" s="1"/>
  <c r="I17" s="1"/>
  <c r="B18" s="1"/>
  <c r="D18" s="1"/>
  <c r="I18" s="1"/>
  <c r="B19" s="1"/>
  <c r="D19" s="1"/>
  <c r="I19" s="1"/>
  <c r="B20" s="1"/>
  <c r="D20" s="1"/>
  <c r="I20" s="1"/>
  <c r="B21" s="1"/>
  <c r="D21" s="1"/>
  <c r="I21" s="1"/>
  <c r="B29" i="2"/>
  <c r="D29" s="1"/>
  <c r="I29" s="1"/>
  <c r="B30" s="1"/>
  <c r="D30" s="1"/>
  <c r="I30" s="1"/>
  <c r="B31" s="1"/>
  <c r="D31" s="1"/>
  <c r="I31" s="1"/>
  <c r="B32" s="1"/>
  <c r="D32" s="1"/>
  <c r="I32" s="1"/>
  <c r="D20" i="23"/>
  <c r="I20" s="1"/>
  <c r="B22" i="20"/>
  <c r="D22" s="1"/>
  <c r="I22" s="1"/>
  <c r="B23" s="1"/>
  <c r="D23" s="1"/>
  <c r="I23" s="1"/>
  <c r="B24" s="1"/>
  <c r="D24" s="1"/>
  <c r="I24" s="1"/>
  <c r="B25" s="1"/>
  <c r="D25" s="1"/>
  <c r="I25" s="1"/>
  <c r="B26" s="1"/>
  <c r="D26" s="1"/>
  <c r="I26" s="1"/>
  <c r="B27" s="1"/>
  <c r="D27" s="1"/>
  <c r="I27" s="1"/>
  <c r="B28" s="1"/>
  <c r="D28" s="1"/>
  <c r="I28" s="1"/>
  <c r="B29" s="1"/>
  <c r="D29" s="1"/>
  <c r="I29" s="1"/>
  <c r="B30" s="1"/>
  <c r="D30" s="1"/>
  <c r="I30" s="1"/>
  <c r="B21" i="21"/>
  <c r="D21" s="1"/>
  <c r="I21" s="1"/>
  <c r="B22" s="1"/>
  <c r="D22" s="1"/>
  <c r="I22" s="1"/>
  <c r="B23" s="1"/>
  <c r="D23" s="1"/>
  <c r="I23" s="1"/>
  <c r="B24" s="1"/>
  <c r="D24" s="1"/>
  <c r="I24" s="1"/>
  <c r="B25" s="1"/>
  <c r="D25" s="1"/>
  <c r="I25" s="1"/>
  <c r="B26" s="1"/>
  <c r="D26" s="1"/>
  <c r="I26" s="1"/>
  <c r="B27" s="1"/>
  <c r="D27" s="1"/>
  <c r="I27" s="1"/>
  <c r="B28" s="1"/>
  <c r="D28" s="1"/>
  <c r="I28" s="1"/>
  <c r="B29" s="1"/>
  <c r="D29" s="1"/>
  <c r="I29" s="1"/>
  <c r="B30" s="1"/>
  <c r="D30" s="1"/>
  <c r="I30" s="1"/>
  <c r="B31" s="1"/>
  <c r="D31" s="1"/>
  <c r="I31" s="1"/>
  <c r="B32" s="1"/>
  <c r="D32" s="1"/>
  <c r="I32" s="1"/>
  <c r="B33" s="1"/>
  <c r="D33" s="1"/>
  <c r="I33" s="1"/>
  <c r="B34" s="1"/>
  <c r="D34" s="1"/>
  <c r="I34" s="1"/>
  <c r="B35" s="1"/>
  <c r="D35" s="1"/>
  <c r="I35" s="1"/>
  <c r="B22" i="30" l="1"/>
  <c r="D22" s="1"/>
  <c r="I22" s="1"/>
  <c r="B31" i="20"/>
  <c r="D31" s="1"/>
  <c r="I31" s="1"/>
  <c r="B32" s="1"/>
  <c r="D32" s="1"/>
  <c r="I32" s="1"/>
  <c r="B36" i="21"/>
  <c r="D36" s="1"/>
  <c r="I36" s="1"/>
  <c r="B37" s="1"/>
  <c r="D37" s="1"/>
  <c r="I37" s="1"/>
  <c r="B38" s="1"/>
  <c r="D38" s="1"/>
  <c r="I38" s="1"/>
  <c r="B39" s="1"/>
  <c r="D39" s="1"/>
  <c r="I39" s="1"/>
  <c r="B40" s="1"/>
  <c r="D40" s="1"/>
  <c r="I40" s="1"/>
  <c r="B41" s="1"/>
  <c r="D41" s="1"/>
  <c r="I41" s="1"/>
  <c r="B42" s="1"/>
  <c r="D42" s="1"/>
  <c r="I42" s="1"/>
  <c r="B43" s="1"/>
  <c r="D43" s="1"/>
  <c r="I43" s="1"/>
  <c r="B44" s="1"/>
  <c r="D44" s="1"/>
  <c r="I44" s="1"/>
  <c r="B45" s="1"/>
  <c r="D45" s="1"/>
  <c r="I45" s="1"/>
  <c r="B46" l="1"/>
  <c r="D46" s="1"/>
  <c r="I46" s="1"/>
  <c r="B47" s="1"/>
  <c r="D47" s="1"/>
  <c r="I47" s="1"/>
  <c r="B48" s="1"/>
  <c r="D48" s="1"/>
  <c r="I48" s="1"/>
  <c r="B49" s="1"/>
  <c r="D49" s="1"/>
  <c r="I49" s="1"/>
  <c r="B50" l="1"/>
  <c r="D50" s="1"/>
  <c r="I50" s="1"/>
  <c r="B51" s="1"/>
  <c r="D51" s="1"/>
  <c r="I51" s="1"/>
  <c r="B52" s="1"/>
  <c r="D52" l="1"/>
  <c r="I52" s="1"/>
  <c r="B53" s="1"/>
  <c r="D53" s="1"/>
  <c r="I53" s="1"/>
  <c r="B54" s="1"/>
  <c r="D54" s="1"/>
  <c r="I54" s="1"/>
  <c r="B55" s="1"/>
  <c r="D55" s="1"/>
  <c r="I55" s="1"/>
  <c r="B56" s="1"/>
  <c r="D56" s="1"/>
  <c r="I56" s="1"/>
  <c r="B57" s="1"/>
  <c r="D57" s="1"/>
  <c r="I57" s="1"/>
  <c r="B58" s="1"/>
  <c r="D58" s="1"/>
  <c r="I58" s="1"/>
  <c r="B59" s="1"/>
  <c r="D59" s="1"/>
  <c r="I59" s="1"/>
  <c r="B60" s="1"/>
  <c r="D60" s="1"/>
  <c r="I60" s="1"/>
  <c r="B61" s="1"/>
  <c r="D61" s="1"/>
  <c r="I61" s="1"/>
  <c r="B62" s="1"/>
  <c r="D62" s="1"/>
  <c r="I62" s="1"/>
  <c r="B63" s="1"/>
  <c r="D63" s="1"/>
  <c r="I63" s="1"/>
</calcChain>
</file>

<file path=xl/sharedStrings.xml><?xml version="1.0" encoding="utf-8"?>
<sst xmlns="http://schemas.openxmlformats.org/spreadsheetml/2006/main" count="711" uniqueCount="104">
  <si>
    <t>DATE</t>
  </si>
  <si>
    <t>OPPINING BALANCE</t>
  </si>
  <si>
    <t>TOTAL</t>
  </si>
  <si>
    <t>TOTAL DESPATCHED</t>
  </si>
  <si>
    <t>CLOSING BALANCE</t>
  </si>
  <si>
    <t>FINISHED GOODS RECEIVED</t>
  </si>
  <si>
    <t>STATION</t>
  </si>
  <si>
    <t>DESPATCHED QUANTITY</t>
  </si>
  <si>
    <t>INVOICE NO.</t>
  </si>
  <si>
    <t>500 GM. JAR  STOCK &amp;DESPATCHED FOR THE MONTH OF APRIL 2020-21</t>
  </si>
  <si>
    <t>5 KG PREMIUM STOCK &amp;DESPATCHED FOR THE MONTH OF APRIL 2020-21</t>
  </si>
  <si>
    <t>1 KG SPECIAL  STOCK &amp;DESPATCHED FOR THE MONTH OF APRIL 2020-21</t>
  </si>
  <si>
    <t>500 GM SPECIAL  STOCK &amp;DESPATCHED FOR THE MONTH OF APRIL 2020-21</t>
  </si>
  <si>
    <t>250 GM SPECIAL  STOCK &amp;DESPATCHED FOR THE MONTH OF APRIL 2020-21</t>
  </si>
  <si>
    <t>100 GM PREMIUM  STOCK &amp;DESPATCHED FOR THE MONTH OF APRIL 2020-21</t>
  </si>
  <si>
    <t>RS 10.  STOCK &amp;DESPATCHED FOR THE MONTH OF APRIL 2020-21</t>
  </si>
  <si>
    <t>RS 5.  STOCK &amp;DESPATCHED FOR THE MONTH OF APRIL 2020-21</t>
  </si>
  <si>
    <t>250 GM. MUKTA CARTOON STOCK &amp;DESPATCHED FOR THE MONTH OF APRIL 2020-21</t>
  </si>
  <si>
    <t>01.04.2021</t>
  </si>
  <si>
    <t>1 KG PREMIUM  STOCK &amp;DESPATCHED FOR THE MONTH OF APRIL -2021-22</t>
  </si>
  <si>
    <t>250 GM PREMIUM  STOCK &amp;DESPATCHED FOR THE MONTH OF APRIL 2021-22</t>
  </si>
  <si>
    <t>02.04.2021</t>
  </si>
  <si>
    <t>03.04.2021</t>
  </si>
  <si>
    <t>02</t>
  </si>
  <si>
    <t>Modi Nagar</t>
  </si>
  <si>
    <t>03</t>
  </si>
  <si>
    <t>Dadri</t>
  </si>
  <si>
    <t>05.04.2021</t>
  </si>
  <si>
    <t>07</t>
  </si>
  <si>
    <t>Muzaffar Ngr</t>
  </si>
  <si>
    <t>04</t>
  </si>
  <si>
    <t>05</t>
  </si>
  <si>
    <t>Muzaffar Ngr.</t>
  </si>
  <si>
    <t>06</t>
  </si>
  <si>
    <t>Siyana</t>
  </si>
  <si>
    <t>Agra</t>
  </si>
  <si>
    <t>06.04.2021</t>
  </si>
  <si>
    <t>08</t>
  </si>
  <si>
    <t>01</t>
  </si>
  <si>
    <t>Gzb.</t>
  </si>
  <si>
    <t>07.04.2021</t>
  </si>
  <si>
    <t>09</t>
  </si>
  <si>
    <t>Moradabad</t>
  </si>
  <si>
    <t>Aligard</t>
  </si>
  <si>
    <t>Jammu</t>
  </si>
  <si>
    <t>08.04.2021</t>
  </si>
  <si>
    <t>Bijnor</t>
  </si>
  <si>
    <t>09.04.2021</t>
  </si>
  <si>
    <t>Noida</t>
  </si>
  <si>
    <t>Amritsar</t>
  </si>
  <si>
    <t>10.04.2021</t>
  </si>
  <si>
    <t>Koshi</t>
  </si>
  <si>
    <t>12.04.2021</t>
  </si>
  <si>
    <t>Kundli</t>
  </si>
  <si>
    <t>Hathras</t>
  </si>
  <si>
    <t>13.04.2021</t>
  </si>
  <si>
    <t>Govardhan</t>
  </si>
  <si>
    <t>Bulandshar</t>
  </si>
  <si>
    <t>14.04.2021</t>
  </si>
  <si>
    <t>Rampur</t>
  </si>
  <si>
    <t>Jewar</t>
  </si>
  <si>
    <t>Khair</t>
  </si>
  <si>
    <t>15.04.2021</t>
  </si>
  <si>
    <t>Bareilly</t>
  </si>
  <si>
    <t>Jaipur</t>
  </si>
  <si>
    <t>16.04.2021</t>
  </si>
  <si>
    <t>17.04.2021</t>
  </si>
  <si>
    <t>19.04.2021</t>
  </si>
  <si>
    <t>20.04.2021</t>
  </si>
  <si>
    <t>Ghurmandi</t>
  </si>
  <si>
    <t>21.04.2021</t>
  </si>
  <si>
    <t>22.04.2021</t>
  </si>
  <si>
    <t>23.04.2021</t>
  </si>
  <si>
    <t>24.04.2021</t>
  </si>
  <si>
    <t>26.04.2021</t>
  </si>
  <si>
    <t>27.04.2021</t>
  </si>
  <si>
    <t>28.04.2021</t>
  </si>
  <si>
    <t>Mathura</t>
  </si>
  <si>
    <t>29.04.2021</t>
  </si>
  <si>
    <t>1 KG PREMIUM  STOCK &amp;DESPATCHED FOR THE MONTH OF MAY 2021</t>
  </si>
  <si>
    <t>01.05.2021</t>
  </si>
  <si>
    <t>250 GM PREMIUM  STOCK &amp;DESPATCHED FOR THE MONTH OF MAY 2021</t>
  </si>
  <si>
    <t>5 KG PREMIUM STOCK &amp;DESPATCHED FOR THE MONTH OF MAY 2021</t>
  </si>
  <si>
    <t>100 GM PREMIUM  STOCK &amp;DESPATCHED FOR THE MONTH OF MAY 2021</t>
  </si>
  <si>
    <t>RS 5.  STOCK &amp;DESPATCHED FOR THE MONTH OF MAY 2021</t>
  </si>
  <si>
    <t>1 KG SPECIAL  STOCK &amp;DESPATCHED FOR THE MONTH OF MAY 2021</t>
  </si>
  <si>
    <t>500 GM SPECIAL  STOCK &amp;DESPATCHED FOR THE MONTH OF MAY 2021</t>
  </si>
  <si>
    <t>250 GM SPECIAL  STOCK &amp;DESPATCHED FOR THE MONTH OF MAY 2021</t>
  </si>
  <si>
    <t>500 GM. JAR  STOCK &amp;DESPATCHED FOR THE MONTH OF MAY 2021</t>
  </si>
  <si>
    <t>250 GM. MUKTA CARTOON STOCK &amp;DESPATCHED FOR THE MONTH OF MAY 2021</t>
  </si>
  <si>
    <t>03.05.2021</t>
  </si>
  <si>
    <t>04.05.2021</t>
  </si>
  <si>
    <t>05.05.2021</t>
  </si>
  <si>
    <t>06.05.2021</t>
  </si>
  <si>
    <t>07.05.2021</t>
  </si>
  <si>
    <t>14.05.2021</t>
  </si>
  <si>
    <t>12.05.2021</t>
  </si>
  <si>
    <t>13.05.2021</t>
  </si>
  <si>
    <t>08.05.2021</t>
  </si>
  <si>
    <t>10.05.2021</t>
  </si>
  <si>
    <t>11.05.2021</t>
  </si>
  <si>
    <t>Hapur</t>
  </si>
  <si>
    <t>Aligarh</t>
  </si>
  <si>
    <t>30.04.2021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</si>
</sst>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4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Border="1"/>
    <xf numFmtId="0" fontId="0" fillId="0" borderId="0" xfId="0" applyAlignment="1">
      <alignment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quotePrefix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2" fontId="0" fillId="0" borderId="2" xfId="0" applyNumberFormat="1" applyBorder="1" applyAlignment="1">
      <alignment horizontal="right" vertical="center"/>
    </xf>
    <xf numFmtId="2" fontId="0" fillId="0" borderId="8" xfId="0" applyNumberFormat="1" applyBorder="1" applyAlignment="1">
      <alignment horizontal="right" vertical="center"/>
    </xf>
    <xf numFmtId="2" fontId="0" fillId="0" borderId="1" xfId="0" applyNumberFormat="1" applyBorder="1" applyAlignment="1">
      <alignment horizontal="right" vertical="center"/>
    </xf>
    <xf numFmtId="0" fontId="0" fillId="0" borderId="2" xfId="0" quotePrefix="1" applyBorder="1" applyAlignment="1">
      <alignment horizontal="center" vertical="center"/>
    </xf>
    <xf numFmtId="2" fontId="0" fillId="0" borderId="0" xfId="0" applyNumberFormat="1"/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0" fillId="2" borderId="4" xfId="0" applyFill="1" applyBorder="1"/>
    <xf numFmtId="0" fontId="0" fillId="2" borderId="5" xfId="0" applyFill="1" applyBorder="1"/>
    <xf numFmtId="2" fontId="0" fillId="2" borderId="4" xfId="0" applyNumberFormat="1" applyFill="1" applyBorder="1"/>
    <xf numFmtId="0" fontId="3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3" xfId="0" applyBorder="1"/>
    <xf numFmtId="2" fontId="0" fillId="0" borderId="4" xfId="0" applyNumberFormat="1" applyBorder="1"/>
    <xf numFmtId="0" fontId="0" fillId="0" borderId="3" xfId="0" applyFill="1" applyBorder="1" applyAlignment="1">
      <alignment horizontal="center" vertical="center"/>
    </xf>
    <xf numFmtId="2" fontId="0" fillId="0" borderId="1" xfId="0" applyNumberFormat="1" applyBorder="1" applyAlignment="1">
      <alignment vertical="center"/>
    </xf>
    <xf numFmtId="2" fontId="0" fillId="0" borderId="4" xfId="0" applyNumberFormat="1" applyBorder="1" applyAlignment="1"/>
    <xf numFmtId="2" fontId="0" fillId="0" borderId="2" xfId="0" applyNumberFormat="1" applyBorder="1" applyAlignment="1">
      <alignment vertical="center"/>
    </xf>
    <xf numFmtId="2" fontId="0" fillId="0" borderId="0" xfId="0" applyNumberFormat="1" applyAlignment="1"/>
    <xf numFmtId="2" fontId="0" fillId="0" borderId="4" xfId="0" applyNumberFormat="1" applyBorder="1" applyAlignment="1">
      <alignment horizontal="right"/>
    </xf>
    <xf numFmtId="2" fontId="0" fillId="0" borderId="0" xfId="0" applyNumberFormat="1" applyAlignment="1">
      <alignment horizontal="right"/>
    </xf>
    <xf numFmtId="0" fontId="0" fillId="0" borderId="1" xfId="0" applyFont="1" applyBorder="1" applyAlignment="1">
      <alignment horizontal="center" vertical="center"/>
    </xf>
    <xf numFmtId="2" fontId="0" fillId="0" borderId="11" xfId="0" applyNumberFormat="1" applyBorder="1" applyAlignment="1">
      <alignment horizontal="right" vertical="center"/>
    </xf>
    <xf numFmtId="0" fontId="0" fillId="0" borderId="6" xfId="0" applyFont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2"/>
  <sheetViews>
    <sheetView topLeftCell="A7" zoomScaleNormal="100" workbookViewId="0">
      <selection activeCell="G15" sqref="G15"/>
    </sheetView>
  </sheetViews>
  <sheetFormatPr defaultRowHeight="15"/>
  <cols>
    <col min="1" max="1" width="10" customWidth="1"/>
    <col min="2" max="2" width="8.85546875" bestFit="1" customWidth="1"/>
    <col min="3" max="3" width="8.5703125" customWidth="1"/>
    <col min="4" max="4" width="8" bestFit="1" customWidth="1"/>
    <col min="5" max="5" width="8.42578125" customWidth="1"/>
    <col min="6" max="6" width="11.85546875" bestFit="1" customWidth="1"/>
    <col min="7" max="7" width="10.85546875" customWidth="1"/>
    <col min="8" max="8" width="11.140625" customWidth="1"/>
    <col min="9" max="9" width="9.140625" customWidth="1"/>
    <col min="10" max="10" width="7.28515625" customWidth="1"/>
    <col min="11" max="11" width="11.140625" customWidth="1"/>
    <col min="19" max="19" width="11.85546875" customWidth="1"/>
  </cols>
  <sheetData>
    <row r="1" spans="1:10" ht="19.5" thickBot="1">
      <c r="A1" s="45" t="s">
        <v>19</v>
      </c>
      <c r="B1" s="45"/>
      <c r="C1" s="45"/>
      <c r="D1" s="45"/>
      <c r="E1" s="45"/>
      <c r="F1" s="45"/>
      <c r="G1" s="45"/>
      <c r="H1" s="45"/>
      <c r="I1" s="45"/>
      <c r="J1" s="1"/>
    </row>
    <row r="2" spans="1:10" ht="39" thickBot="1">
      <c r="A2" s="6" t="s">
        <v>0</v>
      </c>
      <c r="B2" s="3" t="s">
        <v>1</v>
      </c>
      <c r="C2" s="3" t="s">
        <v>5</v>
      </c>
      <c r="D2" s="3" t="s">
        <v>2</v>
      </c>
      <c r="E2" s="3" t="s">
        <v>8</v>
      </c>
      <c r="F2" s="3" t="s">
        <v>6</v>
      </c>
      <c r="G2" s="3" t="s">
        <v>7</v>
      </c>
      <c r="H2" s="3" t="s">
        <v>3</v>
      </c>
      <c r="I2" s="5" t="s">
        <v>4</v>
      </c>
    </row>
    <row r="3" spans="1:10">
      <c r="A3" s="7" t="s">
        <v>18</v>
      </c>
      <c r="B3" s="14">
        <v>96</v>
      </c>
      <c r="C3" s="14"/>
      <c r="D3" s="14">
        <f>B3+C3</f>
        <v>96</v>
      </c>
      <c r="E3" s="8"/>
      <c r="F3" s="8"/>
      <c r="G3" s="13"/>
      <c r="H3" s="14">
        <f>G3</f>
        <v>0</v>
      </c>
      <c r="I3" s="15">
        <f>D3-H3</f>
        <v>96</v>
      </c>
    </row>
    <row r="4" spans="1:10">
      <c r="A4" s="9" t="s">
        <v>50</v>
      </c>
      <c r="B4" s="16">
        <f>I3</f>
        <v>96</v>
      </c>
      <c r="C4" s="16"/>
      <c r="D4" s="14">
        <f t="shared" ref="D4:D7" si="0">B4+C4</f>
        <v>96</v>
      </c>
      <c r="E4" s="12">
        <v>18</v>
      </c>
      <c r="F4" s="10" t="s">
        <v>51</v>
      </c>
      <c r="G4" s="16">
        <v>48</v>
      </c>
      <c r="H4" s="14">
        <f t="shared" ref="H4:H7" si="1">G4</f>
        <v>48</v>
      </c>
      <c r="I4" s="15">
        <f t="shared" ref="I4:I7" si="2">D4-H4</f>
        <v>48</v>
      </c>
    </row>
    <row r="5" spans="1:10">
      <c r="A5" s="9" t="s">
        <v>62</v>
      </c>
      <c r="B5" s="16">
        <f t="shared" ref="B5:B6" si="3">I4</f>
        <v>48</v>
      </c>
      <c r="C5" s="16">
        <v>1008</v>
      </c>
      <c r="D5" s="14">
        <f t="shared" si="0"/>
        <v>1056</v>
      </c>
      <c r="E5" s="12"/>
      <c r="F5" s="10"/>
      <c r="G5" s="16"/>
      <c r="H5" s="14">
        <f t="shared" si="1"/>
        <v>0</v>
      </c>
      <c r="I5" s="15">
        <f t="shared" si="2"/>
        <v>1056</v>
      </c>
    </row>
    <row r="6" spans="1:10">
      <c r="A6" s="9" t="s">
        <v>62</v>
      </c>
      <c r="B6" s="16">
        <f t="shared" si="3"/>
        <v>1056</v>
      </c>
      <c r="C6" s="16"/>
      <c r="D6" s="14">
        <f t="shared" si="0"/>
        <v>1056</v>
      </c>
      <c r="E6" s="12">
        <v>29</v>
      </c>
      <c r="F6" s="10" t="s">
        <v>64</v>
      </c>
      <c r="G6" s="16">
        <v>720</v>
      </c>
      <c r="H6" s="14">
        <f t="shared" si="1"/>
        <v>720</v>
      </c>
      <c r="I6" s="15">
        <f t="shared" si="2"/>
        <v>336</v>
      </c>
    </row>
    <row r="7" spans="1:10" ht="15.75" thickBot="1">
      <c r="A7" s="9"/>
      <c r="B7" s="16">
        <f>I6</f>
        <v>336</v>
      </c>
      <c r="C7" s="16"/>
      <c r="D7" s="14">
        <f t="shared" si="0"/>
        <v>336</v>
      </c>
      <c r="E7" s="12"/>
      <c r="F7" s="10"/>
      <c r="G7" s="16"/>
      <c r="H7" s="14">
        <f t="shared" si="1"/>
        <v>0</v>
      </c>
      <c r="I7" s="15">
        <f t="shared" si="2"/>
        <v>336</v>
      </c>
      <c r="J7" s="18"/>
    </row>
    <row r="8" spans="1:10" ht="15.75" thickBot="1">
      <c r="A8" s="26" t="s">
        <v>2</v>
      </c>
      <c r="B8" s="27"/>
      <c r="C8" s="29">
        <f>SUM(C3:C7)</f>
        <v>1008</v>
      </c>
      <c r="D8" s="27"/>
      <c r="E8" s="27"/>
      <c r="F8" s="27"/>
      <c r="G8" s="27">
        <f>SUM(G3:G7)</f>
        <v>768</v>
      </c>
      <c r="H8" s="27"/>
      <c r="I8" s="28"/>
    </row>
    <row r="11" spans="1:10" ht="19.5" thickBot="1">
      <c r="A11" s="45" t="s">
        <v>79</v>
      </c>
      <c r="B11" s="45"/>
      <c r="C11" s="45"/>
      <c r="D11" s="45"/>
      <c r="E11" s="45"/>
      <c r="F11" s="45"/>
      <c r="G11" s="45"/>
      <c r="H11" s="45"/>
      <c r="I11" s="45"/>
    </row>
    <row r="12" spans="1:10" ht="39" thickBot="1">
      <c r="A12" s="6" t="s">
        <v>0</v>
      </c>
      <c r="B12" s="3" t="s">
        <v>1</v>
      </c>
      <c r="C12" s="3" t="s">
        <v>5</v>
      </c>
      <c r="D12" s="3" t="s">
        <v>2</v>
      </c>
      <c r="E12" s="3" t="s">
        <v>8</v>
      </c>
      <c r="F12" s="3" t="s">
        <v>6</v>
      </c>
      <c r="G12" s="3" t="s">
        <v>7</v>
      </c>
      <c r="H12" s="3" t="s">
        <v>3</v>
      </c>
      <c r="I12" s="5" t="s">
        <v>4</v>
      </c>
    </row>
    <row r="13" spans="1:10">
      <c r="A13" s="7" t="s">
        <v>80</v>
      </c>
      <c r="B13" s="14">
        <v>336</v>
      </c>
      <c r="C13" s="14"/>
      <c r="D13" s="14">
        <f>B13+C13</f>
        <v>336</v>
      </c>
      <c r="E13" s="8"/>
      <c r="F13" s="8"/>
      <c r="G13" s="13"/>
      <c r="H13" s="14">
        <f>G13</f>
        <v>0</v>
      </c>
      <c r="I13" s="15">
        <f>D13-H13</f>
        <v>336</v>
      </c>
    </row>
    <row r="14" spans="1:10">
      <c r="A14" s="9" t="s">
        <v>95</v>
      </c>
      <c r="B14" s="14">
        <f>I13</f>
        <v>336</v>
      </c>
      <c r="C14" s="14"/>
      <c r="D14" s="14">
        <f t="shared" ref="D14" si="4">B14+C14</f>
        <v>336</v>
      </c>
      <c r="E14" s="8">
        <v>62</v>
      </c>
      <c r="F14" s="8" t="s">
        <v>53</v>
      </c>
      <c r="G14" s="13">
        <v>24</v>
      </c>
      <c r="H14" s="14">
        <f t="shared" ref="H14:H21" si="5">G14</f>
        <v>24</v>
      </c>
      <c r="I14" s="15">
        <f t="shared" ref="I14" si="6">D14-H14</f>
        <v>312</v>
      </c>
    </row>
    <row r="15" spans="1:10">
      <c r="A15" s="9"/>
      <c r="B15" s="14">
        <f t="shared" ref="B15:B21" si="7">I14</f>
        <v>312</v>
      </c>
      <c r="C15" s="14"/>
      <c r="D15" s="14">
        <f t="shared" ref="D15:D21" si="8">B15+C15</f>
        <v>312</v>
      </c>
      <c r="E15" s="8"/>
      <c r="F15" s="8"/>
      <c r="G15" s="13"/>
      <c r="H15" s="14">
        <f t="shared" si="5"/>
        <v>0</v>
      </c>
      <c r="I15" s="15">
        <f t="shared" ref="I15:I21" si="9">D15-H15</f>
        <v>312</v>
      </c>
    </row>
    <row r="16" spans="1:10">
      <c r="A16" s="9"/>
      <c r="B16" s="14">
        <f t="shared" si="7"/>
        <v>312</v>
      </c>
      <c r="C16" s="14"/>
      <c r="D16" s="14">
        <f t="shared" si="8"/>
        <v>312</v>
      </c>
      <c r="E16" s="8"/>
      <c r="F16" s="8"/>
      <c r="G16" s="13"/>
      <c r="H16" s="14">
        <f t="shared" si="5"/>
        <v>0</v>
      </c>
      <c r="I16" s="15">
        <f t="shared" si="9"/>
        <v>312</v>
      </c>
    </row>
    <row r="17" spans="1:9">
      <c r="A17" s="9"/>
      <c r="B17" s="14">
        <f t="shared" si="7"/>
        <v>312</v>
      </c>
      <c r="C17" s="14"/>
      <c r="D17" s="14">
        <f t="shared" si="8"/>
        <v>312</v>
      </c>
      <c r="E17" s="8"/>
      <c r="F17" s="8"/>
      <c r="G17" s="13"/>
      <c r="H17" s="14">
        <f t="shared" si="5"/>
        <v>0</v>
      </c>
      <c r="I17" s="15">
        <f t="shared" si="9"/>
        <v>312</v>
      </c>
    </row>
    <row r="18" spans="1:9">
      <c r="A18" s="9"/>
      <c r="B18" s="14">
        <f t="shared" si="7"/>
        <v>312</v>
      </c>
      <c r="C18" s="14"/>
      <c r="D18" s="14">
        <f t="shared" si="8"/>
        <v>312</v>
      </c>
      <c r="E18" s="8"/>
      <c r="F18" s="8"/>
      <c r="G18" s="13"/>
      <c r="H18" s="14">
        <f t="shared" si="5"/>
        <v>0</v>
      </c>
      <c r="I18" s="15">
        <f t="shared" si="9"/>
        <v>312</v>
      </c>
    </row>
    <row r="19" spans="1:9">
      <c r="A19" s="9"/>
      <c r="B19" s="14">
        <f t="shared" si="7"/>
        <v>312</v>
      </c>
      <c r="C19" s="14"/>
      <c r="D19" s="14">
        <f t="shared" si="8"/>
        <v>312</v>
      </c>
      <c r="E19" s="8"/>
      <c r="F19" s="8"/>
      <c r="G19" s="13"/>
      <c r="H19" s="14">
        <f t="shared" si="5"/>
        <v>0</v>
      </c>
      <c r="I19" s="15">
        <f t="shared" si="9"/>
        <v>312</v>
      </c>
    </row>
    <row r="20" spans="1:9">
      <c r="A20" s="9"/>
      <c r="B20" s="14">
        <f t="shared" si="7"/>
        <v>312</v>
      </c>
      <c r="C20" s="14"/>
      <c r="D20" s="14">
        <f t="shared" si="8"/>
        <v>312</v>
      </c>
      <c r="E20" s="8"/>
      <c r="F20" s="8"/>
      <c r="G20" s="13"/>
      <c r="H20" s="14">
        <f t="shared" si="5"/>
        <v>0</v>
      </c>
      <c r="I20" s="15">
        <f t="shared" si="9"/>
        <v>312</v>
      </c>
    </row>
    <row r="21" spans="1:9" ht="15.75" thickBot="1">
      <c r="A21" s="22"/>
      <c r="B21" s="14">
        <f t="shared" si="7"/>
        <v>312</v>
      </c>
      <c r="C21" s="14"/>
      <c r="D21" s="14">
        <f t="shared" si="8"/>
        <v>312</v>
      </c>
      <c r="E21" s="8"/>
      <c r="F21" s="8"/>
      <c r="G21" s="13"/>
      <c r="H21" s="14">
        <f t="shared" si="5"/>
        <v>0</v>
      </c>
      <c r="I21" s="15">
        <f t="shared" si="9"/>
        <v>312</v>
      </c>
    </row>
    <row r="22" spans="1:9" ht="15.75" thickBot="1">
      <c r="A22" s="26" t="s">
        <v>2</v>
      </c>
      <c r="B22" s="27"/>
      <c r="C22" s="29">
        <f>SUM(C13:C21)</f>
        <v>0</v>
      </c>
      <c r="D22" s="27"/>
      <c r="E22" s="27"/>
      <c r="F22" s="27"/>
      <c r="G22" s="27">
        <f>SUM(G13:G21)</f>
        <v>24</v>
      </c>
      <c r="H22" s="27"/>
      <c r="I22" s="28"/>
    </row>
  </sheetData>
  <mergeCells count="2">
    <mergeCell ref="A1:I1"/>
    <mergeCell ref="A11:I11"/>
  </mergeCells>
  <pageMargins left="0.77" right="0.57999999999999996" top="0.52" bottom="0.47" header="0.3" footer="0.3"/>
  <pageSetup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4"/>
  <sheetViews>
    <sheetView topLeftCell="A22" zoomScaleNormal="100" workbookViewId="0">
      <selection activeCell="F31" sqref="F31"/>
    </sheetView>
  </sheetViews>
  <sheetFormatPr defaultRowHeight="15"/>
  <cols>
    <col min="1" max="1" width="10.140625" bestFit="1" customWidth="1"/>
    <col min="2" max="2" width="9.42578125" customWidth="1"/>
    <col min="3" max="3" width="9.85546875" customWidth="1"/>
    <col min="4" max="4" width="8" bestFit="1" customWidth="1"/>
    <col min="5" max="5" width="8.42578125" customWidth="1"/>
    <col min="6" max="6" width="17.140625" customWidth="1"/>
    <col min="7" max="7" width="10.85546875" style="25" customWidth="1"/>
    <col min="8" max="8" width="11.140625" customWidth="1"/>
    <col min="9" max="9" width="9.85546875" customWidth="1"/>
  </cols>
  <sheetData>
    <row r="1" spans="1:9" ht="19.5" thickBot="1">
      <c r="A1" s="46" t="s">
        <v>20</v>
      </c>
      <c r="B1" s="46"/>
      <c r="C1" s="46"/>
      <c r="D1" s="46"/>
      <c r="E1" s="46"/>
      <c r="F1" s="46"/>
      <c r="G1" s="46"/>
      <c r="H1" s="46"/>
      <c r="I1" s="46"/>
    </row>
    <row r="2" spans="1:9" ht="39" thickBot="1">
      <c r="A2" s="6" t="s">
        <v>0</v>
      </c>
      <c r="B2" s="3" t="s">
        <v>1</v>
      </c>
      <c r="C2" s="3" t="s">
        <v>5</v>
      </c>
      <c r="D2" s="3" t="s">
        <v>2</v>
      </c>
      <c r="E2" s="3" t="s">
        <v>8</v>
      </c>
      <c r="F2" s="3" t="s">
        <v>6</v>
      </c>
      <c r="G2" s="23" t="s">
        <v>7</v>
      </c>
      <c r="H2" s="3" t="s">
        <v>3</v>
      </c>
      <c r="I2" s="5" t="s">
        <v>4</v>
      </c>
    </row>
    <row r="3" spans="1:9">
      <c r="A3" s="7" t="s">
        <v>18</v>
      </c>
      <c r="B3" s="14">
        <v>24</v>
      </c>
      <c r="C3" s="14"/>
      <c r="D3" s="14">
        <f>B3+C3</f>
        <v>24</v>
      </c>
      <c r="E3" s="8"/>
      <c r="F3" s="8"/>
      <c r="G3" s="24"/>
      <c r="H3" s="14">
        <f>G3</f>
        <v>0</v>
      </c>
      <c r="I3" s="15">
        <f>D3-H3</f>
        <v>24</v>
      </c>
    </row>
    <row r="4" spans="1:9">
      <c r="A4" s="9" t="s">
        <v>21</v>
      </c>
      <c r="B4" s="16">
        <f>I3</f>
        <v>24</v>
      </c>
      <c r="C4" s="16">
        <v>2256</v>
      </c>
      <c r="D4" s="14">
        <f t="shared" ref="D4" si="0">B4+C4</f>
        <v>2280</v>
      </c>
      <c r="E4" s="17"/>
      <c r="F4" s="8"/>
      <c r="G4" s="24"/>
      <c r="H4" s="14">
        <f t="shared" ref="H4" si="1">G4</f>
        <v>0</v>
      </c>
      <c r="I4" s="15">
        <f t="shared" ref="I4" si="2">D4-H4</f>
        <v>2280</v>
      </c>
    </row>
    <row r="5" spans="1:9">
      <c r="A5" s="9" t="s">
        <v>27</v>
      </c>
      <c r="B5" s="16">
        <f t="shared" ref="B5:B15" si="3">I4</f>
        <v>2280</v>
      </c>
      <c r="C5" s="16"/>
      <c r="D5" s="14">
        <f t="shared" ref="D5:D15" si="4">B5+C5</f>
        <v>2280</v>
      </c>
      <c r="E5" s="17" t="s">
        <v>30</v>
      </c>
      <c r="F5" s="8" t="s">
        <v>35</v>
      </c>
      <c r="G5" s="24">
        <v>120</v>
      </c>
      <c r="H5" s="14">
        <f t="shared" ref="H5:H15" si="5">G5</f>
        <v>120</v>
      </c>
      <c r="I5" s="15">
        <f t="shared" ref="I5:I15" si="6">D5-H5</f>
        <v>2160</v>
      </c>
    </row>
    <row r="6" spans="1:9">
      <c r="A6" s="9" t="s">
        <v>36</v>
      </c>
      <c r="B6" s="16">
        <f t="shared" si="3"/>
        <v>2160</v>
      </c>
      <c r="C6" s="16"/>
      <c r="D6" s="14">
        <f t="shared" si="4"/>
        <v>2160</v>
      </c>
      <c r="E6" s="17" t="s">
        <v>28</v>
      </c>
      <c r="F6" s="8" t="s">
        <v>29</v>
      </c>
      <c r="G6" s="24">
        <v>24</v>
      </c>
      <c r="H6" s="14">
        <f t="shared" si="5"/>
        <v>24</v>
      </c>
      <c r="I6" s="15">
        <f t="shared" si="6"/>
        <v>2136</v>
      </c>
    </row>
    <row r="7" spans="1:9">
      <c r="A7" s="9" t="s">
        <v>40</v>
      </c>
      <c r="B7" s="16">
        <f t="shared" si="3"/>
        <v>2136</v>
      </c>
      <c r="C7" s="16"/>
      <c r="D7" s="14">
        <f t="shared" si="4"/>
        <v>2136</v>
      </c>
      <c r="E7" s="17" t="s">
        <v>41</v>
      </c>
      <c r="F7" s="8" t="s">
        <v>42</v>
      </c>
      <c r="G7" s="24">
        <v>48</v>
      </c>
      <c r="H7" s="14">
        <f t="shared" si="5"/>
        <v>48</v>
      </c>
      <c r="I7" s="15">
        <f t="shared" si="6"/>
        <v>2088</v>
      </c>
    </row>
    <row r="8" spans="1:9">
      <c r="A8" s="9" t="s">
        <v>40</v>
      </c>
      <c r="B8" s="16">
        <f t="shared" si="3"/>
        <v>2088</v>
      </c>
      <c r="C8" s="16"/>
      <c r="D8" s="14">
        <f t="shared" si="4"/>
        <v>2088</v>
      </c>
      <c r="E8" s="17">
        <v>10</v>
      </c>
      <c r="F8" s="8" t="s">
        <v>43</v>
      </c>
      <c r="G8" s="24">
        <v>48</v>
      </c>
      <c r="H8" s="14">
        <f t="shared" si="5"/>
        <v>48</v>
      </c>
      <c r="I8" s="15">
        <f t="shared" si="6"/>
        <v>2040</v>
      </c>
    </row>
    <row r="9" spans="1:9">
      <c r="A9" s="9" t="s">
        <v>50</v>
      </c>
      <c r="B9" s="16">
        <f t="shared" si="3"/>
        <v>2040</v>
      </c>
      <c r="C9" s="16"/>
      <c r="D9" s="14">
        <f t="shared" si="4"/>
        <v>2040</v>
      </c>
      <c r="E9" s="17">
        <v>18</v>
      </c>
      <c r="F9" s="8" t="s">
        <v>51</v>
      </c>
      <c r="G9" s="24">
        <v>24</v>
      </c>
      <c r="H9" s="14">
        <f t="shared" si="5"/>
        <v>24</v>
      </c>
      <c r="I9" s="15">
        <f t="shared" si="6"/>
        <v>2016</v>
      </c>
    </row>
    <row r="10" spans="1:9">
      <c r="A10" s="9" t="s">
        <v>52</v>
      </c>
      <c r="B10" s="16">
        <f t="shared" si="3"/>
        <v>2016</v>
      </c>
      <c r="C10" s="16"/>
      <c r="D10" s="14">
        <f t="shared" si="4"/>
        <v>2016</v>
      </c>
      <c r="E10" s="17">
        <v>19</v>
      </c>
      <c r="F10" s="8" t="s">
        <v>53</v>
      </c>
      <c r="G10" s="24">
        <v>1200</v>
      </c>
      <c r="H10" s="14">
        <f t="shared" si="5"/>
        <v>1200</v>
      </c>
      <c r="I10" s="15">
        <f t="shared" si="6"/>
        <v>816</v>
      </c>
    </row>
    <row r="11" spans="1:9">
      <c r="A11" s="9" t="s">
        <v>52</v>
      </c>
      <c r="B11" s="16">
        <f t="shared" si="3"/>
        <v>816</v>
      </c>
      <c r="C11" s="16"/>
      <c r="D11" s="14">
        <f t="shared" si="4"/>
        <v>816</v>
      </c>
      <c r="E11" s="17">
        <v>20</v>
      </c>
      <c r="F11" s="8" t="s">
        <v>35</v>
      </c>
      <c r="G11" s="24">
        <v>120</v>
      </c>
      <c r="H11" s="14">
        <f t="shared" si="5"/>
        <v>120</v>
      </c>
      <c r="I11" s="15">
        <f t="shared" si="6"/>
        <v>696</v>
      </c>
    </row>
    <row r="12" spans="1:9">
      <c r="A12" s="9" t="s">
        <v>52</v>
      </c>
      <c r="B12" s="16">
        <f t="shared" si="3"/>
        <v>696</v>
      </c>
      <c r="C12" s="16"/>
      <c r="D12" s="14">
        <f t="shared" si="4"/>
        <v>696</v>
      </c>
      <c r="E12" s="17">
        <v>21</v>
      </c>
      <c r="F12" s="8" t="s">
        <v>54</v>
      </c>
      <c r="G12" s="24">
        <v>120</v>
      </c>
      <c r="H12" s="14">
        <f t="shared" si="5"/>
        <v>120</v>
      </c>
      <c r="I12" s="15">
        <f t="shared" si="6"/>
        <v>576</v>
      </c>
    </row>
    <row r="13" spans="1:9">
      <c r="A13" s="9" t="s">
        <v>55</v>
      </c>
      <c r="B13" s="16">
        <f t="shared" si="3"/>
        <v>576</v>
      </c>
      <c r="C13" s="16"/>
      <c r="D13" s="14">
        <f t="shared" si="4"/>
        <v>576</v>
      </c>
      <c r="E13" s="17">
        <v>24</v>
      </c>
      <c r="F13" s="8" t="s">
        <v>57</v>
      </c>
      <c r="G13" s="24">
        <v>48</v>
      </c>
      <c r="H13" s="14">
        <f t="shared" si="5"/>
        <v>48</v>
      </c>
      <c r="I13" s="15">
        <f t="shared" si="6"/>
        <v>528</v>
      </c>
    </row>
    <row r="14" spans="1:9">
      <c r="A14" s="9" t="s">
        <v>62</v>
      </c>
      <c r="B14" s="16">
        <f t="shared" si="3"/>
        <v>528</v>
      </c>
      <c r="C14" s="16">
        <v>2112</v>
      </c>
      <c r="D14" s="14">
        <f t="shared" si="4"/>
        <v>2640</v>
      </c>
      <c r="E14" s="17"/>
      <c r="F14" s="8"/>
      <c r="G14" s="24"/>
      <c r="H14" s="14">
        <f t="shared" si="5"/>
        <v>0</v>
      </c>
      <c r="I14" s="15">
        <f t="shared" si="6"/>
        <v>2640</v>
      </c>
    </row>
    <row r="15" spans="1:9">
      <c r="A15" s="9" t="s">
        <v>62</v>
      </c>
      <c r="B15" s="16">
        <f t="shared" si="3"/>
        <v>2640</v>
      </c>
      <c r="C15" s="16"/>
      <c r="D15" s="14">
        <f t="shared" si="4"/>
        <v>2640</v>
      </c>
      <c r="E15" s="17">
        <v>29</v>
      </c>
      <c r="F15" s="8" t="s">
        <v>64</v>
      </c>
      <c r="G15" s="24">
        <v>1440</v>
      </c>
      <c r="H15" s="14">
        <f t="shared" si="5"/>
        <v>1440</v>
      </c>
      <c r="I15" s="15">
        <f t="shared" si="6"/>
        <v>1200</v>
      </c>
    </row>
    <row r="16" spans="1:9">
      <c r="A16" s="9" t="s">
        <v>68</v>
      </c>
      <c r="B16" s="16">
        <f t="shared" ref="B16" si="7">I15</f>
        <v>1200</v>
      </c>
      <c r="C16" s="16"/>
      <c r="D16" s="14">
        <f t="shared" ref="D16" si="8">B16+C16</f>
        <v>1200</v>
      </c>
      <c r="E16" s="17">
        <v>35</v>
      </c>
      <c r="F16" s="8" t="s">
        <v>69</v>
      </c>
      <c r="G16" s="24">
        <v>120</v>
      </c>
      <c r="H16" s="14">
        <f t="shared" ref="H16:H20" si="9">G16</f>
        <v>120</v>
      </c>
      <c r="I16" s="15">
        <f t="shared" ref="I16:I20" si="10">D16-H16</f>
        <v>1080</v>
      </c>
    </row>
    <row r="17" spans="1:9">
      <c r="A17" s="9" t="s">
        <v>74</v>
      </c>
      <c r="B17" s="16">
        <f t="shared" ref="B17" si="11">I16</f>
        <v>1080</v>
      </c>
      <c r="C17" s="16"/>
      <c r="D17" s="14">
        <f t="shared" ref="D17" si="12">B17+C17</f>
        <v>1080</v>
      </c>
      <c r="E17" s="17">
        <v>42</v>
      </c>
      <c r="F17" s="8" t="s">
        <v>26</v>
      </c>
      <c r="G17" s="24">
        <v>240</v>
      </c>
      <c r="H17" s="14">
        <f t="shared" ref="H17" si="13">G17</f>
        <v>240</v>
      </c>
      <c r="I17" s="15">
        <f t="shared" ref="I17" si="14">D17-H17</f>
        <v>840</v>
      </c>
    </row>
    <row r="18" spans="1:9">
      <c r="A18" s="9" t="s">
        <v>75</v>
      </c>
      <c r="B18" s="16">
        <f>I17</f>
        <v>840</v>
      </c>
      <c r="C18" s="16">
        <v>2952</v>
      </c>
      <c r="D18" s="14">
        <f>B18+C18</f>
        <v>3792</v>
      </c>
      <c r="E18" s="17"/>
      <c r="F18" s="8"/>
      <c r="G18" s="24"/>
      <c r="H18" s="14">
        <f t="shared" si="9"/>
        <v>0</v>
      </c>
      <c r="I18" s="15">
        <f t="shared" si="10"/>
        <v>3792</v>
      </c>
    </row>
    <row r="19" spans="1:9">
      <c r="A19" s="9" t="s">
        <v>75</v>
      </c>
      <c r="B19" s="16">
        <f>I18</f>
        <v>3792</v>
      </c>
      <c r="C19" s="16"/>
      <c r="D19" s="14">
        <f>B19+C19</f>
        <v>3792</v>
      </c>
      <c r="E19" s="17">
        <v>44</v>
      </c>
      <c r="F19" s="8" t="s">
        <v>64</v>
      </c>
      <c r="G19" s="24">
        <v>1200</v>
      </c>
      <c r="H19" s="14">
        <f t="shared" si="9"/>
        <v>1200</v>
      </c>
      <c r="I19" s="15">
        <f t="shared" si="10"/>
        <v>2592</v>
      </c>
    </row>
    <row r="20" spans="1:9">
      <c r="A20" s="9" t="s">
        <v>76</v>
      </c>
      <c r="B20" s="16">
        <f>I19</f>
        <v>2592</v>
      </c>
      <c r="C20" s="16">
        <v>336</v>
      </c>
      <c r="D20" s="14">
        <f>B20+C20</f>
        <v>2928</v>
      </c>
      <c r="E20" s="17"/>
      <c r="F20" s="8"/>
      <c r="G20" s="24"/>
      <c r="H20" s="14">
        <f t="shared" si="9"/>
        <v>0</v>
      </c>
      <c r="I20" s="15">
        <f t="shared" si="10"/>
        <v>2928</v>
      </c>
    </row>
    <row r="21" spans="1:9">
      <c r="A21" s="44" t="s">
        <v>76</v>
      </c>
      <c r="B21" s="16">
        <f t="shared" ref="B21:B22" si="15">I20</f>
        <v>2928</v>
      </c>
      <c r="C21" s="16"/>
      <c r="D21" s="14">
        <f t="shared" ref="D21:D22" si="16">B21+C21</f>
        <v>2928</v>
      </c>
      <c r="E21" s="17">
        <v>48</v>
      </c>
      <c r="F21" s="8" t="s">
        <v>53</v>
      </c>
      <c r="G21" s="24">
        <v>960</v>
      </c>
      <c r="H21" s="14">
        <f t="shared" ref="H21:H22" si="17">G21</f>
        <v>960</v>
      </c>
      <c r="I21" s="15">
        <f t="shared" ref="I21:I22" si="18">D21-H21</f>
        <v>1968</v>
      </c>
    </row>
    <row r="22" spans="1:9" ht="15.75" thickBot="1">
      <c r="A22" s="9"/>
      <c r="B22" s="16">
        <f t="shared" si="15"/>
        <v>1968</v>
      </c>
      <c r="C22" s="16"/>
      <c r="D22" s="14">
        <f t="shared" si="16"/>
        <v>1968</v>
      </c>
      <c r="E22" s="17"/>
      <c r="F22" s="8"/>
      <c r="G22" s="24"/>
      <c r="H22" s="14">
        <f t="shared" si="17"/>
        <v>0</v>
      </c>
      <c r="I22" s="15">
        <f t="shared" si="18"/>
        <v>1968</v>
      </c>
    </row>
    <row r="23" spans="1:9" ht="15.75" thickBot="1">
      <c r="A23" s="30" t="s">
        <v>2</v>
      </c>
      <c r="B23" s="31"/>
      <c r="C23" s="34">
        <f>SUM(C3:C22)</f>
        <v>7656</v>
      </c>
      <c r="D23" s="31"/>
      <c r="E23" s="31"/>
      <c r="F23" s="31"/>
      <c r="G23" s="34">
        <f>SUM(G3:G22)</f>
        <v>5712</v>
      </c>
      <c r="H23" s="31"/>
      <c r="I23" s="32"/>
    </row>
    <row r="27" spans="1:9" ht="19.5" thickBot="1">
      <c r="A27" s="46" t="s">
        <v>81</v>
      </c>
      <c r="B27" s="46"/>
      <c r="C27" s="46"/>
      <c r="D27" s="46"/>
      <c r="E27" s="46"/>
      <c r="F27" s="46"/>
      <c r="G27" s="46"/>
      <c r="H27" s="46"/>
      <c r="I27" s="46"/>
    </row>
    <row r="28" spans="1:9" ht="39" thickBot="1">
      <c r="A28" s="6" t="s">
        <v>0</v>
      </c>
      <c r="B28" s="3" t="s">
        <v>1</v>
      </c>
      <c r="C28" s="3" t="s">
        <v>5</v>
      </c>
      <c r="D28" s="3" t="s">
        <v>2</v>
      </c>
      <c r="E28" s="3" t="s">
        <v>8</v>
      </c>
      <c r="F28" s="3" t="s">
        <v>6</v>
      </c>
      <c r="G28" s="23" t="s">
        <v>7</v>
      </c>
      <c r="H28" s="3" t="s">
        <v>3</v>
      </c>
      <c r="I28" s="5" t="s">
        <v>4</v>
      </c>
    </row>
    <row r="29" spans="1:9">
      <c r="A29" s="7" t="s">
        <v>80</v>
      </c>
      <c r="B29" s="14">
        <v>1968</v>
      </c>
      <c r="C29" s="14"/>
      <c r="D29" s="14">
        <f>B29+C29</f>
        <v>1968</v>
      </c>
      <c r="E29" s="8"/>
      <c r="F29" s="8"/>
      <c r="G29" s="24"/>
      <c r="H29" s="14">
        <f>G29</f>
        <v>0</v>
      </c>
      <c r="I29" s="15">
        <f>D29-H29</f>
        <v>1968</v>
      </c>
    </row>
    <row r="30" spans="1:9">
      <c r="A30" s="9" t="s">
        <v>100</v>
      </c>
      <c r="B30" s="14">
        <f>I29</f>
        <v>1968</v>
      </c>
      <c r="C30" s="14"/>
      <c r="D30" s="14">
        <f t="shared" ref="D30" si="19">B30+C30</f>
        <v>1968</v>
      </c>
      <c r="E30" s="8">
        <v>54</v>
      </c>
      <c r="F30" s="8" t="s">
        <v>102</v>
      </c>
      <c r="G30" s="24">
        <v>48</v>
      </c>
      <c r="H30" s="14">
        <f t="shared" ref="H30:H43" si="20">G30</f>
        <v>48</v>
      </c>
      <c r="I30" s="15">
        <f t="shared" ref="I30" si="21">D30-H30</f>
        <v>1920</v>
      </c>
    </row>
    <row r="31" spans="1:9">
      <c r="A31" s="9" t="s">
        <v>95</v>
      </c>
      <c r="B31" s="14">
        <f t="shared" ref="B31:B43" si="22">I30</f>
        <v>1920</v>
      </c>
      <c r="C31" s="14"/>
      <c r="D31" s="14">
        <f t="shared" ref="D31:D43" si="23">B31+C31</f>
        <v>1920</v>
      </c>
      <c r="E31" s="8">
        <v>62</v>
      </c>
      <c r="F31" s="8" t="s">
        <v>53</v>
      </c>
      <c r="G31" s="24">
        <v>1200</v>
      </c>
      <c r="H31" s="14">
        <f t="shared" si="20"/>
        <v>1200</v>
      </c>
      <c r="I31" s="15">
        <f t="shared" ref="I31:I43" si="24">D31-H31</f>
        <v>720</v>
      </c>
    </row>
    <row r="32" spans="1:9">
      <c r="A32" s="9"/>
      <c r="B32" s="14">
        <f t="shared" si="22"/>
        <v>720</v>
      </c>
      <c r="C32" s="14"/>
      <c r="D32" s="14">
        <f t="shared" si="23"/>
        <v>720</v>
      </c>
      <c r="E32" s="8"/>
      <c r="F32" s="8"/>
      <c r="G32" s="24"/>
      <c r="H32" s="14">
        <f t="shared" si="20"/>
        <v>0</v>
      </c>
      <c r="I32" s="15">
        <f t="shared" si="24"/>
        <v>720</v>
      </c>
    </row>
    <row r="33" spans="1:9">
      <c r="A33" s="9"/>
      <c r="B33" s="14">
        <f t="shared" si="22"/>
        <v>720</v>
      </c>
      <c r="C33" s="14"/>
      <c r="D33" s="14">
        <f t="shared" si="23"/>
        <v>720</v>
      </c>
      <c r="E33" s="8"/>
      <c r="F33" s="8"/>
      <c r="G33" s="24"/>
      <c r="H33" s="14">
        <f t="shared" si="20"/>
        <v>0</v>
      </c>
      <c r="I33" s="15">
        <f t="shared" si="24"/>
        <v>720</v>
      </c>
    </row>
    <row r="34" spans="1:9">
      <c r="A34" s="9"/>
      <c r="B34" s="14">
        <f t="shared" si="22"/>
        <v>720</v>
      </c>
      <c r="C34" s="14"/>
      <c r="D34" s="14">
        <f t="shared" si="23"/>
        <v>720</v>
      </c>
      <c r="E34" s="8"/>
      <c r="F34" s="8"/>
      <c r="G34" s="24"/>
      <c r="H34" s="14">
        <f t="shared" si="20"/>
        <v>0</v>
      </c>
      <c r="I34" s="15">
        <f t="shared" si="24"/>
        <v>720</v>
      </c>
    </row>
    <row r="35" spans="1:9">
      <c r="A35" s="9"/>
      <c r="B35" s="14">
        <f t="shared" si="22"/>
        <v>720</v>
      </c>
      <c r="C35" s="14"/>
      <c r="D35" s="14">
        <f t="shared" si="23"/>
        <v>720</v>
      </c>
      <c r="E35" s="8"/>
      <c r="F35" s="8"/>
      <c r="G35" s="24"/>
      <c r="H35" s="14">
        <f t="shared" si="20"/>
        <v>0</v>
      </c>
      <c r="I35" s="15">
        <f t="shared" si="24"/>
        <v>720</v>
      </c>
    </row>
    <row r="36" spans="1:9">
      <c r="A36" s="9"/>
      <c r="B36" s="14">
        <f t="shared" si="22"/>
        <v>720</v>
      </c>
      <c r="C36" s="14"/>
      <c r="D36" s="14">
        <f t="shared" si="23"/>
        <v>720</v>
      </c>
      <c r="E36" s="8"/>
      <c r="F36" s="8"/>
      <c r="G36" s="24"/>
      <c r="H36" s="14">
        <f t="shared" si="20"/>
        <v>0</v>
      </c>
      <c r="I36" s="15">
        <f t="shared" si="24"/>
        <v>720</v>
      </c>
    </row>
    <row r="37" spans="1:9">
      <c r="A37" s="9"/>
      <c r="B37" s="14">
        <f t="shared" si="22"/>
        <v>720</v>
      </c>
      <c r="C37" s="14"/>
      <c r="D37" s="14">
        <f t="shared" si="23"/>
        <v>720</v>
      </c>
      <c r="E37" s="8"/>
      <c r="F37" s="8"/>
      <c r="G37" s="24"/>
      <c r="H37" s="14">
        <f t="shared" si="20"/>
        <v>0</v>
      </c>
      <c r="I37" s="15">
        <f t="shared" si="24"/>
        <v>720</v>
      </c>
    </row>
    <row r="38" spans="1:9">
      <c r="A38" s="9"/>
      <c r="B38" s="14">
        <f t="shared" si="22"/>
        <v>720</v>
      </c>
      <c r="C38" s="14"/>
      <c r="D38" s="14">
        <f t="shared" si="23"/>
        <v>720</v>
      </c>
      <c r="E38" s="8"/>
      <c r="F38" s="8"/>
      <c r="G38" s="24"/>
      <c r="H38" s="14">
        <f t="shared" si="20"/>
        <v>0</v>
      </c>
      <c r="I38" s="15">
        <f t="shared" si="24"/>
        <v>720</v>
      </c>
    </row>
    <row r="39" spans="1:9">
      <c r="A39" s="9"/>
      <c r="B39" s="14">
        <f t="shared" si="22"/>
        <v>720</v>
      </c>
      <c r="C39" s="14"/>
      <c r="D39" s="14">
        <f t="shared" si="23"/>
        <v>720</v>
      </c>
      <c r="E39" s="8"/>
      <c r="F39" s="8"/>
      <c r="G39" s="24"/>
      <c r="H39" s="14">
        <f t="shared" si="20"/>
        <v>0</v>
      </c>
      <c r="I39" s="15">
        <f t="shared" si="24"/>
        <v>720</v>
      </c>
    </row>
    <row r="40" spans="1:9">
      <c r="A40" s="9"/>
      <c r="B40" s="14">
        <f t="shared" si="22"/>
        <v>720</v>
      </c>
      <c r="C40" s="14"/>
      <c r="D40" s="14">
        <f t="shared" si="23"/>
        <v>720</v>
      </c>
      <c r="E40" s="8"/>
      <c r="F40" s="8"/>
      <c r="G40" s="24"/>
      <c r="H40" s="14">
        <f t="shared" si="20"/>
        <v>0</v>
      </c>
      <c r="I40" s="15">
        <f t="shared" si="24"/>
        <v>720</v>
      </c>
    </row>
    <row r="41" spans="1:9">
      <c r="A41" s="9"/>
      <c r="B41" s="14">
        <f t="shared" si="22"/>
        <v>720</v>
      </c>
      <c r="C41" s="14"/>
      <c r="D41" s="14">
        <f t="shared" si="23"/>
        <v>720</v>
      </c>
      <c r="E41" s="8"/>
      <c r="F41" s="8"/>
      <c r="G41" s="24"/>
      <c r="H41" s="14">
        <f t="shared" si="20"/>
        <v>0</v>
      </c>
      <c r="I41" s="15">
        <f t="shared" si="24"/>
        <v>720</v>
      </c>
    </row>
    <row r="42" spans="1:9">
      <c r="A42" s="9"/>
      <c r="B42" s="14">
        <f t="shared" si="22"/>
        <v>720</v>
      </c>
      <c r="C42" s="14"/>
      <c r="D42" s="14">
        <f t="shared" si="23"/>
        <v>720</v>
      </c>
      <c r="E42" s="8"/>
      <c r="F42" s="8"/>
      <c r="G42" s="24"/>
      <c r="H42" s="14">
        <f t="shared" si="20"/>
        <v>0</v>
      </c>
      <c r="I42" s="15">
        <f t="shared" si="24"/>
        <v>720</v>
      </c>
    </row>
    <row r="43" spans="1:9" ht="15.75" thickBot="1">
      <c r="A43" s="9"/>
      <c r="B43" s="14">
        <f t="shared" si="22"/>
        <v>720</v>
      </c>
      <c r="C43" s="14"/>
      <c r="D43" s="14">
        <f t="shared" si="23"/>
        <v>720</v>
      </c>
      <c r="E43" s="8"/>
      <c r="F43" s="8"/>
      <c r="G43" s="24"/>
      <c r="H43" s="14">
        <f t="shared" si="20"/>
        <v>0</v>
      </c>
      <c r="I43" s="15">
        <f t="shared" si="24"/>
        <v>720</v>
      </c>
    </row>
    <row r="44" spans="1:9" ht="15.75" thickBot="1">
      <c r="A44" s="30" t="s">
        <v>2</v>
      </c>
      <c r="B44" s="31"/>
      <c r="C44" s="34">
        <f>SUM(C29:C43)</f>
        <v>0</v>
      </c>
      <c r="D44" s="31"/>
      <c r="E44" s="31"/>
      <c r="F44" s="31"/>
      <c r="G44" s="34">
        <f>SUM(G29:G43)</f>
        <v>1248</v>
      </c>
      <c r="H44" s="31"/>
      <c r="I44" s="32"/>
    </row>
  </sheetData>
  <mergeCells count="2">
    <mergeCell ref="A1:I1"/>
    <mergeCell ref="A27:I27"/>
  </mergeCells>
  <pageMargins left="0.77" right="0.57999999999999996" top="0.52" bottom="0.47" header="0.3" footer="0.3"/>
  <pageSetup orientation="landscape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7"/>
  <sheetViews>
    <sheetView topLeftCell="A39" zoomScaleNormal="100" workbookViewId="0">
      <selection activeCell="C41" sqref="C41"/>
    </sheetView>
  </sheetViews>
  <sheetFormatPr defaultRowHeight="15"/>
  <cols>
    <col min="1" max="1" width="10.140625" bestFit="1" customWidth="1"/>
    <col min="2" max="2" width="9.5703125" customWidth="1"/>
    <col min="3" max="3" width="8.5703125" bestFit="1" customWidth="1"/>
    <col min="4" max="4" width="9.7109375" customWidth="1"/>
    <col min="5" max="5" width="8.85546875" customWidth="1"/>
    <col min="6" max="6" width="12.42578125" customWidth="1"/>
    <col min="7" max="7" width="10.85546875" customWidth="1"/>
    <col min="8" max="8" width="11.42578125" customWidth="1"/>
    <col min="9" max="9" width="8.5703125" bestFit="1" customWidth="1"/>
    <col min="10" max="10" width="8.85546875" customWidth="1"/>
  </cols>
  <sheetData>
    <row r="1" spans="1:10" ht="19.5" thickBot="1">
      <c r="A1" s="45" t="s">
        <v>10</v>
      </c>
      <c r="B1" s="45"/>
      <c r="C1" s="45"/>
      <c r="D1" s="45"/>
      <c r="E1" s="45"/>
      <c r="F1" s="45"/>
      <c r="G1" s="45"/>
      <c r="H1" s="45"/>
      <c r="I1" s="45"/>
      <c r="J1" s="1"/>
    </row>
    <row r="2" spans="1:10" ht="39.75" thickBot="1">
      <c r="A2" s="6" t="s">
        <v>0</v>
      </c>
      <c r="B2" s="3" t="s">
        <v>1</v>
      </c>
      <c r="C2" s="4" t="s">
        <v>5</v>
      </c>
      <c r="D2" s="3" t="s">
        <v>2</v>
      </c>
      <c r="E2" s="3" t="s">
        <v>8</v>
      </c>
      <c r="F2" s="3" t="s">
        <v>6</v>
      </c>
      <c r="G2" s="3" t="s">
        <v>7</v>
      </c>
      <c r="H2" s="3" t="s">
        <v>3</v>
      </c>
      <c r="I2" s="5" t="s">
        <v>4</v>
      </c>
    </row>
    <row r="3" spans="1:10">
      <c r="A3" s="7" t="s">
        <v>18</v>
      </c>
      <c r="B3" s="14">
        <v>1140</v>
      </c>
      <c r="C3" s="14"/>
      <c r="D3" s="14">
        <f>B3+C3</f>
        <v>1140</v>
      </c>
      <c r="E3" s="8"/>
      <c r="F3" s="8"/>
      <c r="G3" s="13"/>
      <c r="H3" s="14">
        <f>G3</f>
        <v>0</v>
      </c>
      <c r="I3" s="15">
        <f>D3-H3</f>
        <v>1140</v>
      </c>
    </row>
    <row r="4" spans="1:10">
      <c r="A4" s="9" t="s">
        <v>21</v>
      </c>
      <c r="B4" s="16">
        <f>I3</f>
        <v>1140</v>
      </c>
      <c r="C4" s="16"/>
      <c r="D4" s="14">
        <f t="shared" ref="D4" si="0">B4+C4</f>
        <v>1140</v>
      </c>
      <c r="E4" s="12" t="s">
        <v>23</v>
      </c>
      <c r="F4" s="10" t="s">
        <v>24</v>
      </c>
      <c r="G4" s="16">
        <v>60</v>
      </c>
      <c r="H4" s="14">
        <f t="shared" ref="H4" si="1">G4</f>
        <v>60</v>
      </c>
      <c r="I4" s="15">
        <f t="shared" ref="I4" si="2">D4-H4</f>
        <v>1080</v>
      </c>
    </row>
    <row r="5" spans="1:10">
      <c r="A5" s="9" t="s">
        <v>27</v>
      </c>
      <c r="B5" s="16">
        <f t="shared" ref="B5:B22" si="3">I4</f>
        <v>1080</v>
      </c>
      <c r="C5" s="16">
        <v>4020</v>
      </c>
      <c r="D5" s="14">
        <f t="shared" ref="D5:D22" si="4">B5+C5</f>
        <v>5100</v>
      </c>
      <c r="E5" s="10"/>
      <c r="F5" s="10"/>
      <c r="G5" s="16"/>
      <c r="H5" s="14">
        <f t="shared" ref="H5:H22" si="5">G5</f>
        <v>0</v>
      </c>
      <c r="I5" s="15">
        <f t="shared" ref="I5:I22" si="6">D5-H5</f>
        <v>5100</v>
      </c>
    </row>
    <row r="6" spans="1:10">
      <c r="A6" s="9" t="s">
        <v>27</v>
      </c>
      <c r="B6" s="16">
        <f t="shared" si="3"/>
        <v>5100</v>
      </c>
      <c r="C6" s="16"/>
      <c r="D6" s="14">
        <f t="shared" si="4"/>
        <v>5100</v>
      </c>
      <c r="E6" s="12" t="s">
        <v>31</v>
      </c>
      <c r="F6" s="10" t="s">
        <v>32</v>
      </c>
      <c r="G6" s="16">
        <v>150</v>
      </c>
      <c r="H6" s="14">
        <f t="shared" si="5"/>
        <v>150</v>
      </c>
      <c r="I6" s="15">
        <f t="shared" si="6"/>
        <v>4950</v>
      </c>
    </row>
    <row r="7" spans="1:10">
      <c r="A7" s="9" t="s">
        <v>36</v>
      </c>
      <c r="B7" s="16">
        <f t="shared" si="3"/>
        <v>4950</v>
      </c>
      <c r="C7" s="16">
        <v>3660</v>
      </c>
      <c r="D7" s="14">
        <f t="shared" si="4"/>
        <v>8610</v>
      </c>
      <c r="E7" s="10"/>
      <c r="F7" s="10"/>
      <c r="G7" s="16"/>
      <c r="H7" s="14">
        <f t="shared" si="5"/>
        <v>0</v>
      </c>
      <c r="I7" s="15">
        <f t="shared" si="6"/>
        <v>8610</v>
      </c>
    </row>
    <row r="8" spans="1:10">
      <c r="A8" s="9" t="s">
        <v>40</v>
      </c>
      <c r="B8" s="16">
        <f t="shared" si="3"/>
        <v>8610</v>
      </c>
      <c r="C8" s="16"/>
      <c r="D8" s="14">
        <f t="shared" si="4"/>
        <v>8610</v>
      </c>
      <c r="E8" s="10">
        <v>11</v>
      </c>
      <c r="F8" s="10" t="s">
        <v>44</v>
      </c>
      <c r="G8" s="16">
        <v>7050</v>
      </c>
      <c r="H8" s="14">
        <f t="shared" si="5"/>
        <v>7050</v>
      </c>
      <c r="I8" s="15">
        <f t="shared" si="6"/>
        <v>1560</v>
      </c>
    </row>
    <row r="9" spans="1:10">
      <c r="A9" s="9" t="s">
        <v>47</v>
      </c>
      <c r="B9" s="16">
        <f t="shared" si="3"/>
        <v>1560</v>
      </c>
      <c r="C9" s="16">
        <v>1620</v>
      </c>
      <c r="D9" s="14">
        <f t="shared" si="4"/>
        <v>3180</v>
      </c>
      <c r="E9" s="10"/>
      <c r="F9" s="10"/>
      <c r="G9" s="16"/>
      <c r="H9" s="14">
        <f t="shared" si="5"/>
        <v>0</v>
      </c>
      <c r="I9" s="15">
        <f t="shared" si="6"/>
        <v>3180</v>
      </c>
    </row>
    <row r="10" spans="1:10">
      <c r="A10" s="9" t="s">
        <v>47</v>
      </c>
      <c r="B10" s="16">
        <f t="shared" si="3"/>
        <v>3180</v>
      </c>
      <c r="C10" s="16"/>
      <c r="D10" s="14">
        <f t="shared" si="4"/>
        <v>3180</v>
      </c>
      <c r="E10" s="10">
        <v>16</v>
      </c>
      <c r="F10" s="10" t="s">
        <v>49</v>
      </c>
      <c r="G10" s="16">
        <v>600</v>
      </c>
      <c r="H10" s="14">
        <f t="shared" si="5"/>
        <v>600</v>
      </c>
      <c r="I10" s="15">
        <f t="shared" si="6"/>
        <v>2580</v>
      </c>
    </row>
    <row r="11" spans="1:10">
      <c r="A11" s="9" t="s">
        <v>50</v>
      </c>
      <c r="B11" s="16">
        <f t="shared" si="3"/>
        <v>2580</v>
      </c>
      <c r="C11" s="16">
        <v>240</v>
      </c>
      <c r="D11" s="14">
        <f t="shared" si="4"/>
        <v>2820</v>
      </c>
      <c r="E11" s="10"/>
      <c r="F11" s="10"/>
      <c r="G11" s="16"/>
      <c r="H11" s="14">
        <f t="shared" si="5"/>
        <v>0</v>
      </c>
      <c r="I11" s="15">
        <f t="shared" si="6"/>
        <v>2820</v>
      </c>
    </row>
    <row r="12" spans="1:10">
      <c r="A12" s="9" t="s">
        <v>52</v>
      </c>
      <c r="B12" s="16">
        <f t="shared" si="3"/>
        <v>2820</v>
      </c>
      <c r="C12" s="16"/>
      <c r="D12" s="14">
        <f t="shared" si="4"/>
        <v>2820</v>
      </c>
      <c r="E12" s="10">
        <v>19</v>
      </c>
      <c r="F12" s="10" t="s">
        <v>53</v>
      </c>
      <c r="G12" s="16">
        <v>900</v>
      </c>
      <c r="H12" s="14">
        <f t="shared" si="5"/>
        <v>900</v>
      </c>
      <c r="I12" s="15">
        <f t="shared" si="6"/>
        <v>1920</v>
      </c>
    </row>
    <row r="13" spans="1:10">
      <c r="A13" s="9" t="s">
        <v>55</v>
      </c>
      <c r="B13" s="16">
        <f t="shared" si="3"/>
        <v>1920</v>
      </c>
      <c r="C13" s="16">
        <v>3540</v>
      </c>
      <c r="D13" s="14">
        <f t="shared" si="4"/>
        <v>5460</v>
      </c>
      <c r="E13" s="10"/>
      <c r="F13" s="10"/>
      <c r="G13" s="16"/>
      <c r="H13" s="14">
        <f t="shared" si="5"/>
        <v>0</v>
      </c>
      <c r="I13" s="15">
        <f t="shared" si="6"/>
        <v>5460</v>
      </c>
    </row>
    <row r="14" spans="1:10">
      <c r="A14" s="9" t="s">
        <v>55</v>
      </c>
      <c r="B14" s="16">
        <f t="shared" si="3"/>
        <v>5460</v>
      </c>
      <c r="C14" s="16"/>
      <c r="D14" s="14">
        <f t="shared" si="4"/>
        <v>5460</v>
      </c>
      <c r="E14" s="10">
        <v>22</v>
      </c>
      <c r="F14" s="10" t="s">
        <v>26</v>
      </c>
      <c r="G14" s="16">
        <v>1200</v>
      </c>
      <c r="H14" s="14">
        <f t="shared" si="5"/>
        <v>1200</v>
      </c>
      <c r="I14" s="15">
        <f t="shared" si="6"/>
        <v>4260</v>
      </c>
    </row>
    <row r="15" spans="1:10">
      <c r="A15" s="9" t="s">
        <v>58</v>
      </c>
      <c r="B15" s="16">
        <f t="shared" si="3"/>
        <v>4260</v>
      </c>
      <c r="C15" s="16">
        <v>1800</v>
      </c>
      <c r="D15" s="14">
        <f t="shared" si="4"/>
        <v>6060</v>
      </c>
      <c r="E15" s="10"/>
      <c r="F15" s="10"/>
      <c r="G15" s="16"/>
      <c r="H15" s="14">
        <f t="shared" si="5"/>
        <v>0</v>
      </c>
      <c r="I15" s="15">
        <f t="shared" si="6"/>
        <v>6060</v>
      </c>
    </row>
    <row r="16" spans="1:10">
      <c r="A16" s="9" t="s">
        <v>62</v>
      </c>
      <c r="B16" s="16">
        <f t="shared" si="3"/>
        <v>6060</v>
      </c>
      <c r="C16" s="16"/>
      <c r="D16" s="14">
        <f t="shared" si="4"/>
        <v>6060</v>
      </c>
      <c r="E16" s="10">
        <v>28</v>
      </c>
      <c r="F16" s="10" t="s">
        <v>63</v>
      </c>
      <c r="G16" s="16">
        <v>120</v>
      </c>
      <c r="H16" s="14">
        <f t="shared" si="5"/>
        <v>120</v>
      </c>
      <c r="I16" s="15">
        <f t="shared" si="6"/>
        <v>5940</v>
      </c>
    </row>
    <row r="17" spans="1:9">
      <c r="A17" s="9" t="s">
        <v>62</v>
      </c>
      <c r="B17" s="16">
        <f t="shared" si="3"/>
        <v>5940</v>
      </c>
      <c r="C17" s="16"/>
      <c r="D17" s="14">
        <f t="shared" si="4"/>
        <v>5940</v>
      </c>
      <c r="E17" s="10">
        <v>29</v>
      </c>
      <c r="F17" s="10" t="s">
        <v>64</v>
      </c>
      <c r="G17" s="16">
        <v>600</v>
      </c>
      <c r="H17" s="14">
        <f t="shared" si="5"/>
        <v>600</v>
      </c>
      <c r="I17" s="15">
        <f t="shared" si="6"/>
        <v>5340</v>
      </c>
    </row>
    <row r="18" spans="1:9">
      <c r="A18" s="9" t="s">
        <v>65</v>
      </c>
      <c r="B18" s="16">
        <f t="shared" si="3"/>
        <v>5340</v>
      </c>
      <c r="C18" s="16">
        <v>5490</v>
      </c>
      <c r="D18" s="14">
        <f t="shared" si="4"/>
        <v>10830</v>
      </c>
      <c r="E18" s="10"/>
      <c r="F18" s="10"/>
      <c r="G18" s="16"/>
      <c r="H18" s="14">
        <f t="shared" si="5"/>
        <v>0</v>
      </c>
      <c r="I18" s="15">
        <f t="shared" si="6"/>
        <v>10830</v>
      </c>
    </row>
    <row r="19" spans="1:9">
      <c r="A19" s="9" t="s">
        <v>65</v>
      </c>
      <c r="B19" s="16">
        <f t="shared" si="3"/>
        <v>10830</v>
      </c>
      <c r="C19" s="16"/>
      <c r="D19" s="14">
        <f t="shared" si="4"/>
        <v>10830</v>
      </c>
      <c r="E19" s="10">
        <v>31</v>
      </c>
      <c r="F19" s="10" t="s">
        <v>44</v>
      </c>
      <c r="G19" s="16">
        <v>9750</v>
      </c>
      <c r="H19" s="14">
        <f t="shared" si="5"/>
        <v>9750</v>
      </c>
      <c r="I19" s="15">
        <f t="shared" si="6"/>
        <v>1080</v>
      </c>
    </row>
    <row r="20" spans="1:9">
      <c r="A20" s="9" t="s">
        <v>66</v>
      </c>
      <c r="B20" s="16">
        <f t="shared" si="3"/>
        <v>1080</v>
      </c>
      <c r="C20" s="16">
        <v>2280</v>
      </c>
      <c r="D20" s="14">
        <f t="shared" si="4"/>
        <v>3360</v>
      </c>
      <c r="E20" s="10"/>
      <c r="F20" s="10"/>
      <c r="G20" s="16"/>
      <c r="H20" s="14">
        <f t="shared" si="5"/>
        <v>0</v>
      </c>
      <c r="I20" s="15">
        <f t="shared" si="6"/>
        <v>3360</v>
      </c>
    </row>
    <row r="21" spans="1:9">
      <c r="A21" s="9" t="s">
        <v>67</v>
      </c>
      <c r="B21" s="16">
        <f t="shared" si="3"/>
        <v>3360</v>
      </c>
      <c r="C21" s="16"/>
      <c r="D21" s="14">
        <f t="shared" si="4"/>
        <v>3360</v>
      </c>
      <c r="E21" s="10">
        <v>34</v>
      </c>
      <c r="F21" s="10" t="s">
        <v>26</v>
      </c>
      <c r="G21" s="16">
        <v>600</v>
      </c>
      <c r="H21" s="14">
        <f t="shared" si="5"/>
        <v>600</v>
      </c>
      <c r="I21" s="15">
        <f t="shared" si="6"/>
        <v>2760</v>
      </c>
    </row>
    <row r="22" spans="1:9">
      <c r="A22" s="9" t="s">
        <v>68</v>
      </c>
      <c r="B22" s="16">
        <f t="shared" si="3"/>
        <v>2760</v>
      </c>
      <c r="C22" s="16">
        <v>5100</v>
      </c>
      <c r="D22" s="14">
        <f t="shared" si="4"/>
        <v>7860</v>
      </c>
      <c r="E22" s="10"/>
      <c r="F22" s="10"/>
      <c r="G22" s="16"/>
      <c r="H22" s="14">
        <f t="shared" si="5"/>
        <v>0</v>
      </c>
      <c r="I22" s="15">
        <f t="shared" si="6"/>
        <v>7860</v>
      </c>
    </row>
    <row r="23" spans="1:9">
      <c r="A23" s="9" t="s">
        <v>68</v>
      </c>
      <c r="B23" s="16">
        <f t="shared" ref="B23:B28" si="7">I22</f>
        <v>7860</v>
      </c>
      <c r="C23" s="16"/>
      <c r="D23" s="14">
        <f t="shared" ref="D23:D28" si="8">B23+C23</f>
        <v>7860</v>
      </c>
      <c r="E23" s="10">
        <v>36</v>
      </c>
      <c r="F23" s="10" t="s">
        <v>44</v>
      </c>
      <c r="G23" s="16">
        <v>6450</v>
      </c>
      <c r="H23" s="14">
        <f t="shared" ref="H23:H28" si="9">G23</f>
        <v>6450</v>
      </c>
      <c r="I23" s="15">
        <f t="shared" ref="I23:I28" si="10">D23-H23</f>
        <v>1410</v>
      </c>
    </row>
    <row r="24" spans="1:9">
      <c r="A24" s="9" t="s">
        <v>70</v>
      </c>
      <c r="B24" s="16">
        <f t="shared" si="7"/>
        <v>1410</v>
      </c>
      <c r="C24" s="16">
        <v>1290</v>
      </c>
      <c r="D24" s="14">
        <f t="shared" si="8"/>
        <v>2700</v>
      </c>
      <c r="E24" s="10"/>
      <c r="F24" s="10"/>
      <c r="G24" s="16"/>
      <c r="H24" s="14">
        <f t="shared" si="9"/>
        <v>0</v>
      </c>
      <c r="I24" s="15">
        <f t="shared" si="10"/>
        <v>2700</v>
      </c>
    </row>
    <row r="25" spans="1:9">
      <c r="A25" s="9" t="s">
        <v>70</v>
      </c>
      <c r="B25" s="16">
        <f t="shared" si="7"/>
        <v>2700</v>
      </c>
      <c r="C25" s="16"/>
      <c r="D25" s="14">
        <f t="shared" si="8"/>
        <v>2700</v>
      </c>
      <c r="E25" s="10">
        <v>37</v>
      </c>
      <c r="F25" s="10" t="s">
        <v>49</v>
      </c>
      <c r="G25" s="16">
        <v>1800</v>
      </c>
      <c r="H25" s="14">
        <f t="shared" si="9"/>
        <v>1800</v>
      </c>
      <c r="I25" s="15">
        <f t="shared" si="10"/>
        <v>900</v>
      </c>
    </row>
    <row r="26" spans="1:9">
      <c r="A26" s="9" t="s">
        <v>74</v>
      </c>
      <c r="B26" s="16">
        <f t="shared" si="7"/>
        <v>900</v>
      </c>
      <c r="C26" s="16">
        <v>630</v>
      </c>
      <c r="D26" s="14">
        <f t="shared" si="8"/>
        <v>1530</v>
      </c>
      <c r="E26" s="10"/>
      <c r="F26" s="10"/>
      <c r="G26" s="16"/>
      <c r="H26" s="14">
        <f t="shared" si="9"/>
        <v>0</v>
      </c>
      <c r="I26" s="15">
        <f t="shared" si="10"/>
        <v>1530</v>
      </c>
    </row>
    <row r="27" spans="1:9">
      <c r="A27" s="9" t="s">
        <v>74</v>
      </c>
      <c r="B27" s="16">
        <f t="shared" si="7"/>
        <v>1530</v>
      </c>
      <c r="C27" s="16"/>
      <c r="D27" s="14">
        <f t="shared" si="8"/>
        <v>1530</v>
      </c>
      <c r="E27" s="10">
        <v>42</v>
      </c>
      <c r="F27" s="10" t="s">
        <v>26</v>
      </c>
      <c r="G27" s="16">
        <v>450</v>
      </c>
      <c r="H27" s="14">
        <f t="shared" si="9"/>
        <v>450</v>
      </c>
      <c r="I27" s="15">
        <f t="shared" si="10"/>
        <v>1080</v>
      </c>
    </row>
    <row r="28" spans="1:9">
      <c r="A28" s="9" t="s">
        <v>76</v>
      </c>
      <c r="B28" s="16">
        <f t="shared" si="7"/>
        <v>1080</v>
      </c>
      <c r="C28" s="16">
        <v>570</v>
      </c>
      <c r="D28" s="14">
        <f t="shared" si="8"/>
        <v>1650</v>
      </c>
      <c r="E28" s="10"/>
      <c r="F28" s="10"/>
      <c r="G28" s="16"/>
      <c r="H28" s="14">
        <f t="shared" si="9"/>
        <v>0</v>
      </c>
      <c r="I28" s="15">
        <f t="shared" si="10"/>
        <v>1650</v>
      </c>
    </row>
    <row r="29" spans="1:9">
      <c r="A29" s="9" t="s">
        <v>76</v>
      </c>
      <c r="B29" s="16">
        <f t="shared" ref="B29:B32" si="11">I28</f>
        <v>1650</v>
      </c>
      <c r="C29" s="16"/>
      <c r="D29" s="14">
        <f t="shared" ref="D29:D34" si="12">B29+C29</f>
        <v>1650</v>
      </c>
      <c r="E29" s="10">
        <v>48</v>
      </c>
      <c r="F29" s="10" t="s">
        <v>53</v>
      </c>
      <c r="G29" s="16">
        <v>750</v>
      </c>
      <c r="H29" s="14">
        <f t="shared" ref="H29:H34" si="13">G29</f>
        <v>750</v>
      </c>
      <c r="I29" s="15">
        <f t="shared" ref="I29:I34" si="14">D29-H29</f>
        <v>900</v>
      </c>
    </row>
    <row r="30" spans="1:9">
      <c r="A30" s="9" t="s">
        <v>78</v>
      </c>
      <c r="B30" s="16">
        <f t="shared" si="11"/>
        <v>900</v>
      </c>
      <c r="C30" s="16">
        <v>3450</v>
      </c>
      <c r="D30" s="14">
        <f t="shared" si="12"/>
        <v>4350</v>
      </c>
      <c r="E30" s="10"/>
      <c r="F30" s="10"/>
      <c r="G30" s="16"/>
      <c r="H30" s="14">
        <f t="shared" si="13"/>
        <v>0</v>
      </c>
      <c r="I30" s="15">
        <f t="shared" si="14"/>
        <v>4350</v>
      </c>
    </row>
    <row r="31" spans="1:9">
      <c r="A31" s="9" t="s">
        <v>78</v>
      </c>
      <c r="B31" s="16">
        <f t="shared" si="11"/>
        <v>4350</v>
      </c>
      <c r="C31" s="16"/>
      <c r="D31" s="14">
        <f t="shared" si="12"/>
        <v>4350</v>
      </c>
      <c r="E31" s="10">
        <v>49</v>
      </c>
      <c r="F31" s="10" t="s">
        <v>49</v>
      </c>
      <c r="G31" s="16">
        <v>1800</v>
      </c>
      <c r="H31" s="14">
        <f t="shared" si="13"/>
        <v>1800</v>
      </c>
      <c r="I31" s="15">
        <f t="shared" si="14"/>
        <v>2550</v>
      </c>
    </row>
    <row r="32" spans="1:9">
      <c r="A32" s="9" t="s">
        <v>78</v>
      </c>
      <c r="B32" s="16">
        <f t="shared" si="11"/>
        <v>2550</v>
      </c>
      <c r="C32" s="16"/>
      <c r="D32" s="14">
        <f t="shared" si="12"/>
        <v>2550</v>
      </c>
      <c r="E32" s="10">
        <v>50</v>
      </c>
      <c r="F32" s="10" t="s">
        <v>49</v>
      </c>
      <c r="G32" s="16">
        <v>600</v>
      </c>
      <c r="H32" s="14">
        <f t="shared" si="13"/>
        <v>600</v>
      </c>
      <c r="I32" s="15">
        <f t="shared" si="14"/>
        <v>1950</v>
      </c>
    </row>
    <row r="33" spans="1:9">
      <c r="A33" s="9" t="s">
        <v>103</v>
      </c>
      <c r="B33" s="16">
        <f t="shared" ref="B33:B34" si="15">I32</f>
        <v>1950</v>
      </c>
      <c r="C33" s="16">
        <v>2190</v>
      </c>
      <c r="D33" s="14">
        <f t="shared" ref="D33:D34" si="16">B33+C33</f>
        <v>4140</v>
      </c>
      <c r="E33" s="10"/>
      <c r="F33" s="10"/>
      <c r="G33" s="16"/>
      <c r="H33" s="14">
        <f t="shared" ref="H33:H34" si="17">G33</f>
        <v>0</v>
      </c>
      <c r="I33" s="15">
        <f t="shared" ref="I33:I34" si="18">D33-H33</f>
        <v>4140</v>
      </c>
    </row>
    <row r="34" spans="1:9" ht="15.75" thickBot="1">
      <c r="A34" s="9"/>
      <c r="B34" s="16">
        <f t="shared" si="15"/>
        <v>4140</v>
      </c>
      <c r="C34" s="16"/>
      <c r="D34" s="14">
        <f t="shared" si="16"/>
        <v>4140</v>
      </c>
      <c r="E34" s="10"/>
      <c r="F34" s="10"/>
      <c r="G34" s="16"/>
      <c r="H34" s="14">
        <f t="shared" si="17"/>
        <v>0</v>
      </c>
      <c r="I34" s="15">
        <f t="shared" si="18"/>
        <v>4140</v>
      </c>
    </row>
    <row r="35" spans="1:9" ht="15.75" thickBot="1">
      <c r="A35" s="33" t="s">
        <v>2</v>
      </c>
      <c r="B35" s="31"/>
      <c r="C35" s="34">
        <f>SUM(C3:C34)</f>
        <v>35880</v>
      </c>
      <c r="D35" s="31"/>
      <c r="E35" s="31"/>
      <c r="F35" s="31"/>
      <c r="G35" s="34">
        <f>SUM(G3:G34)</f>
        <v>32880</v>
      </c>
      <c r="H35" s="31"/>
      <c r="I35" s="32"/>
    </row>
    <row r="38" spans="1:9" ht="19.5" thickBot="1">
      <c r="A38" s="45" t="s">
        <v>82</v>
      </c>
      <c r="B38" s="45"/>
      <c r="C38" s="45"/>
      <c r="D38" s="45"/>
      <c r="E38" s="45"/>
      <c r="F38" s="45"/>
      <c r="G38" s="45"/>
      <c r="H38" s="45"/>
      <c r="I38" s="45"/>
    </row>
    <row r="39" spans="1:9" ht="39.75" thickBot="1">
      <c r="A39" s="6" t="s">
        <v>0</v>
      </c>
      <c r="B39" s="3" t="s">
        <v>1</v>
      </c>
      <c r="C39" s="4" t="s">
        <v>5</v>
      </c>
      <c r="D39" s="3" t="s">
        <v>2</v>
      </c>
      <c r="E39" s="3" t="s">
        <v>8</v>
      </c>
      <c r="F39" s="3" t="s">
        <v>6</v>
      </c>
      <c r="G39" s="3" t="s">
        <v>7</v>
      </c>
      <c r="H39" s="3" t="s">
        <v>3</v>
      </c>
      <c r="I39" s="5" t="s">
        <v>4</v>
      </c>
    </row>
    <row r="40" spans="1:9">
      <c r="A40" s="7" t="s">
        <v>80</v>
      </c>
      <c r="B40" s="14">
        <v>4140</v>
      </c>
      <c r="C40" s="14"/>
      <c r="D40" s="14">
        <f>B40+C40</f>
        <v>4140</v>
      </c>
      <c r="E40" s="8"/>
      <c r="F40" s="8"/>
      <c r="G40" s="13"/>
      <c r="H40" s="14">
        <f>G40</f>
        <v>0</v>
      </c>
      <c r="I40" s="15">
        <f>D40-H40</f>
        <v>4140</v>
      </c>
    </row>
    <row r="41" spans="1:9">
      <c r="A41" s="7" t="s">
        <v>90</v>
      </c>
      <c r="B41" s="14">
        <f>I40</f>
        <v>4140</v>
      </c>
      <c r="C41" s="14">
        <v>1440</v>
      </c>
      <c r="D41" s="14">
        <f t="shared" ref="D41" si="19">B41+C41</f>
        <v>5580</v>
      </c>
      <c r="E41" s="8"/>
      <c r="F41" s="8"/>
      <c r="G41" s="13"/>
      <c r="H41" s="14">
        <f t="shared" ref="H41:H56" si="20">G41</f>
        <v>0</v>
      </c>
      <c r="I41" s="15">
        <f t="shared" ref="I41" si="21">D41-H41</f>
        <v>5580</v>
      </c>
    </row>
    <row r="42" spans="1:9">
      <c r="A42" s="9" t="s">
        <v>91</v>
      </c>
      <c r="B42" s="14">
        <f t="shared" ref="B42:B56" si="22">I41</f>
        <v>5580</v>
      </c>
      <c r="C42" s="14">
        <v>1440</v>
      </c>
      <c r="D42" s="14">
        <f t="shared" ref="D42:D56" si="23">B42+C42</f>
        <v>7020</v>
      </c>
      <c r="E42" s="8"/>
      <c r="F42" s="8"/>
      <c r="G42" s="13"/>
      <c r="H42" s="14">
        <f t="shared" si="20"/>
        <v>0</v>
      </c>
      <c r="I42" s="15">
        <f t="shared" ref="I42:I56" si="24">D42-H42</f>
        <v>7020</v>
      </c>
    </row>
    <row r="43" spans="1:9">
      <c r="A43" s="9" t="s">
        <v>92</v>
      </c>
      <c r="B43" s="14">
        <f t="shared" si="22"/>
        <v>7020</v>
      </c>
      <c r="C43" s="14">
        <v>3390</v>
      </c>
      <c r="D43" s="14">
        <f t="shared" si="23"/>
        <v>10410</v>
      </c>
      <c r="E43" s="8"/>
      <c r="F43" s="8"/>
      <c r="G43" s="13"/>
      <c r="H43" s="14">
        <f t="shared" si="20"/>
        <v>0</v>
      </c>
      <c r="I43" s="15">
        <f t="shared" si="24"/>
        <v>10410</v>
      </c>
    </row>
    <row r="44" spans="1:9">
      <c r="A44" s="9" t="s">
        <v>94</v>
      </c>
      <c r="B44" s="14">
        <f t="shared" si="22"/>
        <v>10410</v>
      </c>
      <c r="C44" s="14"/>
      <c r="D44" s="14">
        <f t="shared" si="23"/>
        <v>10410</v>
      </c>
      <c r="E44" s="8">
        <v>52</v>
      </c>
      <c r="F44" s="8" t="s">
        <v>35</v>
      </c>
      <c r="G44" s="13">
        <v>90</v>
      </c>
      <c r="H44" s="14">
        <f t="shared" si="20"/>
        <v>90</v>
      </c>
      <c r="I44" s="15">
        <f t="shared" si="24"/>
        <v>10320</v>
      </c>
    </row>
    <row r="45" spans="1:9">
      <c r="A45" s="9" t="s">
        <v>96</v>
      </c>
      <c r="B45" s="14">
        <f t="shared" si="22"/>
        <v>10320</v>
      </c>
      <c r="C45" s="14"/>
      <c r="D45" s="14">
        <f t="shared" si="23"/>
        <v>10320</v>
      </c>
      <c r="E45" s="8">
        <v>57</v>
      </c>
      <c r="F45" s="8" t="s">
        <v>49</v>
      </c>
      <c r="G45" s="13">
        <v>750</v>
      </c>
      <c r="H45" s="14">
        <f t="shared" si="20"/>
        <v>750</v>
      </c>
      <c r="I45" s="15">
        <f t="shared" si="24"/>
        <v>9570</v>
      </c>
    </row>
    <row r="46" spans="1:9">
      <c r="A46" s="9" t="s">
        <v>96</v>
      </c>
      <c r="B46" s="14">
        <f t="shared" si="22"/>
        <v>9570</v>
      </c>
      <c r="C46" s="14"/>
      <c r="D46" s="14">
        <f t="shared" si="23"/>
        <v>9570</v>
      </c>
      <c r="E46" s="8">
        <v>59</v>
      </c>
      <c r="F46" s="8" t="s">
        <v>49</v>
      </c>
      <c r="G46" s="13">
        <v>450</v>
      </c>
      <c r="H46" s="14">
        <f t="shared" si="20"/>
        <v>450</v>
      </c>
      <c r="I46" s="15">
        <f t="shared" si="24"/>
        <v>9120</v>
      </c>
    </row>
    <row r="47" spans="1:9">
      <c r="A47" s="9" t="s">
        <v>97</v>
      </c>
      <c r="B47" s="14">
        <f t="shared" si="22"/>
        <v>9120</v>
      </c>
      <c r="C47" s="14"/>
      <c r="D47" s="14">
        <f t="shared" si="23"/>
        <v>9120</v>
      </c>
      <c r="E47" s="8">
        <v>61</v>
      </c>
      <c r="F47" s="8" t="s">
        <v>44</v>
      </c>
      <c r="G47" s="13">
        <v>6450</v>
      </c>
      <c r="H47" s="14">
        <f t="shared" si="20"/>
        <v>6450</v>
      </c>
      <c r="I47" s="15">
        <f t="shared" si="24"/>
        <v>2670</v>
      </c>
    </row>
    <row r="48" spans="1:9">
      <c r="A48" s="9" t="s">
        <v>95</v>
      </c>
      <c r="B48" s="14">
        <f t="shared" si="22"/>
        <v>2670</v>
      </c>
      <c r="C48" s="14">
        <v>4260</v>
      </c>
      <c r="D48" s="14">
        <f t="shared" si="23"/>
        <v>6930</v>
      </c>
      <c r="E48" s="8"/>
      <c r="F48" s="8"/>
      <c r="G48" s="13"/>
      <c r="H48" s="14">
        <f t="shared" si="20"/>
        <v>0</v>
      </c>
      <c r="I48" s="15">
        <f t="shared" si="24"/>
        <v>6930</v>
      </c>
    </row>
    <row r="49" spans="1:9">
      <c r="A49" s="9" t="s">
        <v>95</v>
      </c>
      <c r="B49" s="14">
        <f t="shared" si="22"/>
        <v>6930</v>
      </c>
      <c r="C49" s="14"/>
      <c r="D49" s="14">
        <f t="shared" si="23"/>
        <v>6930</v>
      </c>
      <c r="E49" s="8">
        <v>62</v>
      </c>
      <c r="F49" s="8" t="s">
        <v>53</v>
      </c>
      <c r="G49" s="13">
        <v>690</v>
      </c>
      <c r="H49" s="14">
        <f t="shared" si="20"/>
        <v>690</v>
      </c>
      <c r="I49" s="15">
        <f t="shared" si="24"/>
        <v>6240</v>
      </c>
    </row>
    <row r="50" spans="1:9">
      <c r="A50" s="9"/>
      <c r="B50" s="14">
        <f t="shared" si="22"/>
        <v>6240</v>
      </c>
      <c r="C50" s="14"/>
      <c r="D50" s="14">
        <f t="shared" si="23"/>
        <v>6240</v>
      </c>
      <c r="E50" s="8"/>
      <c r="F50" s="8"/>
      <c r="G50" s="13"/>
      <c r="H50" s="14">
        <f t="shared" si="20"/>
        <v>0</v>
      </c>
      <c r="I50" s="15">
        <f t="shared" si="24"/>
        <v>6240</v>
      </c>
    </row>
    <row r="51" spans="1:9">
      <c r="A51" s="9"/>
      <c r="B51" s="14">
        <f t="shared" si="22"/>
        <v>6240</v>
      </c>
      <c r="C51" s="14"/>
      <c r="D51" s="14">
        <f t="shared" si="23"/>
        <v>6240</v>
      </c>
      <c r="E51" s="8"/>
      <c r="F51" s="8"/>
      <c r="G51" s="13"/>
      <c r="H51" s="14">
        <f t="shared" si="20"/>
        <v>0</v>
      </c>
      <c r="I51" s="15">
        <f t="shared" si="24"/>
        <v>6240</v>
      </c>
    </row>
    <row r="52" spans="1:9">
      <c r="A52" s="9"/>
      <c r="B52" s="14">
        <f t="shared" si="22"/>
        <v>6240</v>
      </c>
      <c r="C52" s="14"/>
      <c r="D52" s="14">
        <f t="shared" si="23"/>
        <v>6240</v>
      </c>
      <c r="E52" s="8"/>
      <c r="F52" s="8"/>
      <c r="G52" s="13"/>
      <c r="H52" s="14">
        <f t="shared" si="20"/>
        <v>0</v>
      </c>
      <c r="I52" s="15">
        <f t="shared" si="24"/>
        <v>6240</v>
      </c>
    </row>
    <row r="53" spans="1:9">
      <c r="A53" s="9"/>
      <c r="B53" s="14">
        <f t="shared" si="22"/>
        <v>6240</v>
      </c>
      <c r="C53" s="14"/>
      <c r="D53" s="14">
        <f t="shared" si="23"/>
        <v>6240</v>
      </c>
      <c r="E53" s="8"/>
      <c r="F53" s="8"/>
      <c r="G53" s="13"/>
      <c r="H53" s="14">
        <f t="shared" si="20"/>
        <v>0</v>
      </c>
      <c r="I53" s="15">
        <f t="shared" si="24"/>
        <v>6240</v>
      </c>
    </row>
    <row r="54" spans="1:9">
      <c r="A54" s="9"/>
      <c r="B54" s="14">
        <f t="shared" si="22"/>
        <v>6240</v>
      </c>
      <c r="C54" s="14"/>
      <c r="D54" s="14">
        <f t="shared" si="23"/>
        <v>6240</v>
      </c>
      <c r="E54" s="8"/>
      <c r="F54" s="8"/>
      <c r="G54" s="13"/>
      <c r="H54" s="14">
        <f t="shared" si="20"/>
        <v>0</v>
      </c>
      <c r="I54" s="15">
        <f t="shared" si="24"/>
        <v>6240</v>
      </c>
    </row>
    <row r="55" spans="1:9" ht="15.75" thickBot="1">
      <c r="A55" s="9"/>
      <c r="B55" s="14">
        <f t="shared" si="22"/>
        <v>6240</v>
      </c>
      <c r="C55" s="14"/>
      <c r="D55" s="14">
        <f t="shared" si="23"/>
        <v>6240</v>
      </c>
      <c r="E55" s="8"/>
      <c r="F55" s="8"/>
      <c r="G55" s="13"/>
      <c r="H55" s="14">
        <f t="shared" si="20"/>
        <v>0</v>
      </c>
      <c r="I55" s="15">
        <f t="shared" si="24"/>
        <v>6240</v>
      </c>
    </row>
    <row r="56" spans="1:9" ht="15.75" thickBot="1">
      <c r="A56" s="9"/>
      <c r="B56" s="14">
        <f t="shared" si="22"/>
        <v>6240</v>
      </c>
      <c r="C56" s="14"/>
      <c r="D56" s="14">
        <f t="shared" si="23"/>
        <v>6240</v>
      </c>
      <c r="E56" s="8"/>
      <c r="F56" s="8"/>
      <c r="G56" s="13"/>
      <c r="H56" s="14">
        <f t="shared" si="20"/>
        <v>0</v>
      </c>
      <c r="I56" s="15">
        <f t="shared" si="24"/>
        <v>6240</v>
      </c>
    </row>
    <row r="57" spans="1:9" ht="15.75" thickBot="1">
      <c r="A57" s="33" t="s">
        <v>2</v>
      </c>
      <c r="B57" s="31"/>
      <c r="C57" s="34">
        <f>SUM(C40:C56)</f>
        <v>10530</v>
      </c>
      <c r="D57" s="31"/>
      <c r="E57" s="31"/>
      <c r="F57" s="31"/>
      <c r="G57" s="34">
        <f>SUM(G40:G56)</f>
        <v>8430</v>
      </c>
      <c r="H57" s="31"/>
      <c r="I57" s="32"/>
    </row>
  </sheetData>
  <mergeCells count="2">
    <mergeCell ref="A1:I1"/>
    <mergeCell ref="A38:I38"/>
  </mergeCells>
  <pageMargins left="0.77" right="0.57999999999999996" top="0.18" bottom="0.14000000000000001" header="0.3" footer="0.12"/>
  <pageSetup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4"/>
  <sheetViews>
    <sheetView topLeftCell="A7" zoomScaleNormal="100" workbookViewId="0">
      <selection activeCell="B18" sqref="B18:I23"/>
    </sheetView>
  </sheetViews>
  <sheetFormatPr defaultRowHeight="15"/>
  <cols>
    <col min="1" max="1" width="9.85546875" customWidth="1"/>
    <col min="2" max="2" width="10.28515625" customWidth="1"/>
    <col min="3" max="3" width="8.140625" customWidth="1"/>
    <col min="4" max="4" width="8" bestFit="1" customWidth="1"/>
    <col min="5" max="5" width="10.28515625" customWidth="1"/>
    <col min="6" max="6" width="10.85546875" customWidth="1"/>
    <col min="7" max="7" width="10.7109375" customWidth="1"/>
    <col min="8" max="8" width="11.140625" customWidth="1"/>
    <col min="9" max="9" width="12.42578125" customWidth="1"/>
    <col min="10" max="10" width="7.28515625" customWidth="1"/>
  </cols>
  <sheetData>
    <row r="1" spans="1:11" ht="19.5" thickBot="1">
      <c r="A1" s="45" t="s">
        <v>14</v>
      </c>
      <c r="B1" s="45"/>
      <c r="C1" s="45"/>
      <c r="D1" s="45"/>
      <c r="E1" s="45"/>
      <c r="F1" s="45"/>
      <c r="G1" s="45"/>
      <c r="H1" s="45"/>
      <c r="I1" s="45"/>
      <c r="J1" s="1"/>
    </row>
    <row r="2" spans="1:11" ht="51.75" thickBot="1">
      <c r="A2" s="6" t="s">
        <v>0</v>
      </c>
      <c r="B2" s="3" t="s">
        <v>1</v>
      </c>
      <c r="C2" s="3" t="s">
        <v>5</v>
      </c>
      <c r="D2" s="3" t="s">
        <v>2</v>
      </c>
      <c r="E2" s="3" t="s">
        <v>8</v>
      </c>
      <c r="F2" s="3" t="s">
        <v>6</v>
      </c>
      <c r="G2" s="3" t="s">
        <v>7</v>
      </c>
      <c r="H2" s="3" t="s">
        <v>3</v>
      </c>
      <c r="I2" s="5" t="s">
        <v>4</v>
      </c>
    </row>
    <row r="3" spans="1:11">
      <c r="A3" s="7" t="s">
        <v>18</v>
      </c>
      <c r="B3" s="14">
        <v>0</v>
      </c>
      <c r="C3" s="14"/>
      <c r="D3" s="14">
        <f>B3+C3</f>
        <v>0</v>
      </c>
      <c r="E3" s="8"/>
      <c r="F3" s="8"/>
      <c r="G3" s="13"/>
      <c r="H3" s="14">
        <f>G3</f>
        <v>0</v>
      </c>
      <c r="I3" s="15">
        <f>D3-H3</f>
        <v>0</v>
      </c>
    </row>
    <row r="4" spans="1:11">
      <c r="A4" s="7" t="s">
        <v>36</v>
      </c>
      <c r="B4" s="14">
        <f>I3</f>
        <v>0</v>
      </c>
      <c r="C4" s="14">
        <v>408</v>
      </c>
      <c r="D4" s="14">
        <f t="shared" ref="D4:D10" si="0">B4+C4</f>
        <v>408</v>
      </c>
      <c r="E4" s="8"/>
      <c r="F4" s="8"/>
      <c r="G4" s="13"/>
      <c r="H4" s="14">
        <f t="shared" ref="H4:H10" si="1">G4</f>
        <v>0</v>
      </c>
      <c r="I4" s="15">
        <f t="shared" ref="I4:I10" si="2">D4-H4</f>
        <v>408</v>
      </c>
    </row>
    <row r="5" spans="1:11">
      <c r="A5" s="7" t="s">
        <v>40</v>
      </c>
      <c r="B5" s="14">
        <f>I4</f>
        <v>408</v>
      </c>
      <c r="C5" s="14">
        <v>144</v>
      </c>
      <c r="D5" s="14">
        <f t="shared" si="0"/>
        <v>552</v>
      </c>
      <c r="E5" s="8"/>
      <c r="F5" s="8"/>
      <c r="G5" s="13"/>
      <c r="H5" s="14">
        <f t="shared" si="1"/>
        <v>0</v>
      </c>
      <c r="I5" s="15">
        <f t="shared" si="2"/>
        <v>552</v>
      </c>
    </row>
    <row r="6" spans="1:11">
      <c r="A6" s="7" t="s">
        <v>40</v>
      </c>
      <c r="B6" s="14">
        <f t="shared" ref="B6:B10" si="3">I5</f>
        <v>552</v>
      </c>
      <c r="C6" s="14"/>
      <c r="D6" s="14">
        <f t="shared" si="0"/>
        <v>552</v>
      </c>
      <c r="E6" s="8">
        <v>11</v>
      </c>
      <c r="F6" s="8" t="s">
        <v>44</v>
      </c>
      <c r="G6" s="13">
        <v>120</v>
      </c>
      <c r="H6" s="14">
        <f t="shared" si="1"/>
        <v>120</v>
      </c>
      <c r="I6" s="15">
        <f t="shared" si="2"/>
        <v>432</v>
      </c>
    </row>
    <row r="7" spans="1:11">
      <c r="A7" s="7" t="s">
        <v>75</v>
      </c>
      <c r="B7" s="14">
        <f t="shared" si="3"/>
        <v>432</v>
      </c>
      <c r="C7" s="14"/>
      <c r="D7" s="14">
        <f t="shared" si="0"/>
        <v>432</v>
      </c>
      <c r="E7" s="8">
        <v>44</v>
      </c>
      <c r="F7" s="8" t="s">
        <v>64</v>
      </c>
      <c r="G7" s="13">
        <v>240</v>
      </c>
      <c r="H7" s="14">
        <f t="shared" si="1"/>
        <v>240</v>
      </c>
      <c r="I7" s="15">
        <f t="shared" si="2"/>
        <v>192</v>
      </c>
    </row>
    <row r="8" spans="1:11">
      <c r="A8" s="7"/>
      <c r="B8" s="14">
        <f t="shared" si="3"/>
        <v>192</v>
      </c>
      <c r="C8" s="14"/>
      <c r="D8" s="14">
        <f t="shared" si="0"/>
        <v>192</v>
      </c>
      <c r="E8" s="8"/>
      <c r="F8" s="8"/>
      <c r="G8" s="13"/>
      <c r="H8" s="14">
        <f t="shared" si="1"/>
        <v>0</v>
      </c>
      <c r="I8" s="15">
        <f t="shared" si="2"/>
        <v>192</v>
      </c>
    </row>
    <row r="9" spans="1:11">
      <c r="A9" s="7"/>
      <c r="B9" s="14">
        <f t="shared" si="3"/>
        <v>192</v>
      </c>
      <c r="C9" s="14"/>
      <c r="D9" s="14">
        <f t="shared" si="0"/>
        <v>192</v>
      </c>
      <c r="E9" s="8"/>
      <c r="F9" s="8"/>
      <c r="G9" s="13"/>
      <c r="H9" s="14">
        <f t="shared" si="1"/>
        <v>0</v>
      </c>
      <c r="I9" s="15">
        <f t="shared" si="2"/>
        <v>192</v>
      </c>
    </row>
    <row r="10" spans="1:11" ht="15.75" thickBot="1">
      <c r="A10" s="9"/>
      <c r="B10" s="14">
        <f t="shared" si="3"/>
        <v>192</v>
      </c>
      <c r="C10" s="16"/>
      <c r="D10" s="14">
        <f t="shared" si="0"/>
        <v>192</v>
      </c>
      <c r="E10" s="8"/>
      <c r="F10" s="8"/>
      <c r="G10" s="13"/>
      <c r="H10" s="14">
        <f t="shared" si="1"/>
        <v>0</v>
      </c>
      <c r="I10" s="15">
        <f t="shared" si="2"/>
        <v>192</v>
      </c>
      <c r="K10" s="18"/>
    </row>
    <row r="11" spans="1:11" ht="15.75" thickBot="1">
      <c r="A11" s="35" t="s">
        <v>2</v>
      </c>
      <c r="B11" s="31"/>
      <c r="C11" s="34">
        <f>SUM(C3:C10)</f>
        <v>552</v>
      </c>
      <c r="D11" s="31"/>
      <c r="E11" s="31"/>
      <c r="F11" s="31"/>
      <c r="G11" s="34">
        <f>SUM(G3:G10)</f>
        <v>360</v>
      </c>
      <c r="H11" s="31"/>
      <c r="I11" s="32"/>
    </row>
    <row r="14" spans="1:11" ht="19.5" thickBot="1">
      <c r="A14" s="45" t="s">
        <v>83</v>
      </c>
      <c r="B14" s="45"/>
      <c r="C14" s="45"/>
      <c r="D14" s="45"/>
      <c r="E14" s="45"/>
      <c r="F14" s="45"/>
      <c r="G14" s="45"/>
      <c r="H14" s="45"/>
      <c r="I14" s="45"/>
    </row>
    <row r="15" spans="1:11" ht="51.75" thickBot="1">
      <c r="A15" s="6" t="s">
        <v>0</v>
      </c>
      <c r="B15" s="3" t="s">
        <v>1</v>
      </c>
      <c r="C15" s="3" t="s">
        <v>5</v>
      </c>
      <c r="D15" s="3" t="s">
        <v>2</v>
      </c>
      <c r="E15" s="3" t="s">
        <v>8</v>
      </c>
      <c r="F15" s="3" t="s">
        <v>6</v>
      </c>
      <c r="G15" s="3" t="s">
        <v>7</v>
      </c>
      <c r="H15" s="3" t="s">
        <v>3</v>
      </c>
      <c r="I15" s="5" t="s">
        <v>4</v>
      </c>
    </row>
    <row r="16" spans="1:11">
      <c r="A16" s="7" t="s">
        <v>80</v>
      </c>
      <c r="B16" s="14">
        <v>192</v>
      </c>
      <c r="C16" s="14"/>
      <c r="D16" s="14">
        <f>B16+C16</f>
        <v>192</v>
      </c>
      <c r="E16" s="8"/>
      <c r="F16" s="8"/>
      <c r="G16" s="13"/>
      <c r="H16" s="14">
        <f>G16</f>
        <v>0</v>
      </c>
      <c r="I16" s="15">
        <f>D16-H16</f>
        <v>192</v>
      </c>
    </row>
    <row r="17" spans="1:9">
      <c r="A17" s="7"/>
      <c r="B17" s="14">
        <f>I16</f>
        <v>192</v>
      </c>
      <c r="C17" s="14"/>
      <c r="D17" s="14">
        <f t="shared" ref="D17" si="4">B17+C17</f>
        <v>192</v>
      </c>
      <c r="E17" s="8"/>
      <c r="F17" s="8"/>
      <c r="G17" s="13"/>
      <c r="H17" s="14">
        <f t="shared" ref="H17:H23" si="5">G17</f>
        <v>0</v>
      </c>
      <c r="I17" s="15">
        <f t="shared" ref="I17" si="6">D17-H17</f>
        <v>192</v>
      </c>
    </row>
    <row r="18" spans="1:9">
      <c r="A18" s="7"/>
      <c r="B18" s="14">
        <f t="shared" ref="B18:B23" si="7">I17</f>
        <v>192</v>
      </c>
      <c r="C18" s="14"/>
      <c r="D18" s="14">
        <f t="shared" ref="D18:D23" si="8">B18+C18</f>
        <v>192</v>
      </c>
      <c r="E18" s="8"/>
      <c r="F18" s="8"/>
      <c r="G18" s="13"/>
      <c r="H18" s="14">
        <f t="shared" si="5"/>
        <v>0</v>
      </c>
      <c r="I18" s="15">
        <f t="shared" ref="I18:I23" si="9">D18-H18</f>
        <v>192</v>
      </c>
    </row>
    <row r="19" spans="1:9">
      <c r="A19" s="7"/>
      <c r="B19" s="14">
        <f t="shared" si="7"/>
        <v>192</v>
      </c>
      <c r="C19" s="14"/>
      <c r="D19" s="14">
        <f t="shared" si="8"/>
        <v>192</v>
      </c>
      <c r="E19" s="8"/>
      <c r="F19" s="8"/>
      <c r="G19" s="13"/>
      <c r="H19" s="14">
        <f t="shared" si="5"/>
        <v>0</v>
      </c>
      <c r="I19" s="15">
        <f t="shared" si="9"/>
        <v>192</v>
      </c>
    </row>
    <row r="20" spans="1:9">
      <c r="A20" s="7"/>
      <c r="B20" s="14">
        <f t="shared" si="7"/>
        <v>192</v>
      </c>
      <c r="C20" s="14"/>
      <c r="D20" s="14">
        <f t="shared" si="8"/>
        <v>192</v>
      </c>
      <c r="E20" s="8"/>
      <c r="F20" s="8"/>
      <c r="G20" s="13"/>
      <c r="H20" s="14">
        <f t="shared" si="5"/>
        <v>0</v>
      </c>
      <c r="I20" s="15">
        <f t="shared" si="9"/>
        <v>192</v>
      </c>
    </row>
    <row r="21" spans="1:9">
      <c r="A21" s="7"/>
      <c r="B21" s="14">
        <f t="shared" si="7"/>
        <v>192</v>
      </c>
      <c r="C21" s="14"/>
      <c r="D21" s="14">
        <f t="shared" si="8"/>
        <v>192</v>
      </c>
      <c r="E21" s="8"/>
      <c r="F21" s="8"/>
      <c r="G21" s="13"/>
      <c r="H21" s="14">
        <f t="shared" si="5"/>
        <v>0</v>
      </c>
      <c r="I21" s="15">
        <f t="shared" si="9"/>
        <v>192</v>
      </c>
    </row>
    <row r="22" spans="1:9">
      <c r="A22" s="7"/>
      <c r="B22" s="14">
        <f t="shared" si="7"/>
        <v>192</v>
      </c>
      <c r="C22" s="14"/>
      <c r="D22" s="14">
        <f t="shared" si="8"/>
        <v>192</v>
      </c>
      <c r="E22" s="8"/>
      <c r="F22" s="8"/>
      <c r="G22" s="13"/>
      <c r="H22" s="14">
        <f t="shared" si="5"/>
        <v>0</v>
      </c>
      <c r="I22" s="15">
        <f t="shared" si="9"/>
        <v>192</v>
      </c>
    </row>
    <row r="23" spans="1:9" ht="15.75" thickBot="1">
      <c r="A23" s="9"/>
      <c r="B23" s="14">
        <f t="shared" si="7"/>
        <v>192</v>
      </c>
      <c r="C23" s="14"/>
      <c r="D23" s="14">
        <f t="shared" si="8"/>
        <v>192</v>
      </c>
      <c r="E23" s="8"/>
      <c r="F23" s="8"/>
      <c r="G23" s="13"/>
      <c r="H23" s="14">
        <f t="shared" si="5"/>
        <v>0</v>
      </c>
      <c r="I23" s="15">
        <f t="shared" si="9"/>
        <v>192</v>
      </c>
    </row>
    <row r="24" spans="1:9" ht="15.75" thickBot="1">
      <c r="A24" s="35" t="s">
        <v>2</v>
      </c>
      <c r="B24" s="31"/>
      <c r="C24" s="34">
        <f>SUM(C16:C23)</f>
        <v>0</v>
      </c>
      <c r="D24" s="31"/>
      <c r="E24" s="31"/>
      <c r="F24" s="31"/>
      <c r="G24" s="34">
        <f>SUM(G16:G23)</f>
        <v>0</v>
      </c>
      <c r="H24" s="31"/>
      <c r="I24" s="32"/>
    </row>
  </sheetData>
  <mergeCells count="2">
    <mergeCell ref="A1:I1"/>
    <mergeCell ref="A14:I14"/>
  </mergeCells>
  <pageMargins left="0.77" right="0.57999999999999996" top="0.52" bottom="0.47" header="0.3" footer="0.3"/>
  <pageSetup orientation="landscape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topLeftCell="A19" zoomScaleNormal="100" workbookViewId="0">
      <selection activeCell="K35" sqref="K35"/>
    </sheetView>
  </sheetViews>
  <sheetFormatPr defaultRowHeight="15"/>
  <cols>
    <col min="1" max="2" width="9.85546875" customWidth="1"/>
    <col min="3" max="3" width="8.7109375" customWidth="1"/>
    <col min="4" max="4" width="9" customWidth="1"/>
    <col min="5" max="5" width="10.28515625" customWidth="1"/>
    <col min="6" max="6" width="11.85546875" bestFit="1" customWidth="1"/>
    <col min="7" max="7" width="11.140625" customWidth="1"/>
    <col min="8" max="8" width="11" customWidth="1"/>
    <col min="9" max="9" width="10" customWidth="1"/>
  </cols>
  <sheetData>
    <row r="1" spans="1:9" ht="19.5" thickBot="1">
      <c r="A1" s="45" t="s">
        <v>15</v>
      </c>
      <c r="B1" s="45"/>
      <c r="C1" s="45"/>
      <c r="D1" s="45"/>
      <c r="E1" s="45"/>
      <c r="F1" s="45"/>
      <c r="G1" s="45"/>
      <c r="H1" s="45"/>
      <c r="I1" s="45"/>
    </row>
    <row r="2" spans="1:9" ht="39" thickBot="1">
      <c r="A2" s="6" t="s">
        <v>0</v>
      </c>
      <c r="B2" s="3" t="s">
        <v>1</v>
      </c>
      <c r="C2" s="3" t="s">
        <v>5</v>
      </c>
      <c r="D2" s="3" t="s">
        <v>2</v>
      </c>
      <c r="E2" s="3" t="s">
        <v>8</v>
      </c>
      <c r="F2" s="3" t="s">
        <v>6</v>
      </c>
      <c r="G2" s="3" t="s">
        <v>7</v>
      </c>
      <c r="H2" s="3" t="s">
        <v>3</v>
      </c>
      <c r="I2" s="5" t="s">
        <v>4</v>
      </c>
    </row>
    <row r="3" spans="1:9">
      <c r="A3" s="7" t="s">
        <v>18</v>
      </c>
      <c r="B3" s="14">
        <v>1122</v>
      </c>
      <c r="C3" s="14"/>
      <c r="D3" s="14">
        <f>B3+C3</f>
        <v>1122</v>
      </c>
      <c r="E3" s="8"/>
      <c r="F3" s="8"/>
      <c r="G3" s="13"/>
      <c r="H3" s="14">
        <f>G3</f>
        <v>0</v>
      </c>
      <c r="I3" s="15">
        <f>D3-H3</f>
        <v>1122</v>
      </c>
    </row>
    <row r="4" spans="1:9">
      <c r="A4" s="7" t="s">
        <v>21</v>
      </c>
      <c r="B4" s="14">
        <f>I3</f>
        <v>1122</v>
      </c>
      <c r="C4" s="14"/>
      <c r="D4" s="14">
        <f>B4+C4</f>
        <v>1122</v>
      </c>
      <c r="E4" s="17" t="s">
        <v>23</v>
      </c>
      <c r="F4" s="8" t="s">
        <v>24</v>
      </c>
      <c r="G4" s="13">
        <v>22</v>
      </c>
      <c r="H4" s="14">
        <f>G4</f>
        <v>22</v>
      </c>
      <c r="I4" s="15">
        <f>D4-H4</f>
        <v>1100</v>
      </c>
    </row>
    <row r="5" spans="1:9">
      <c r="A5" s="7" t="s">
        <v>40</v>
      </c>
      <c r="B5" s="14">
        <f t="shared" ref="B5:B10" si="0">I4</f>
        <v>1100</v>
      </c>
      <c r="C5" s="14"/>
      <c r="D5" s="14">
        <f t="shared" ref="D5:D10" si="1">B5+C5</f>
        <v>1100</v>
      </c>
      <c r="E5" s="8">
        <v>11</v>
      </c>
      <c r="F5" s="8" t="s">
        <v>44</v>
      </c>
      <c r="G5" s="13">
        <v>440</v>
      </c>
      <c r="H5" s="14">
        <f t="shared" ref="H5:H10" si="2">G5</f>
        <v>440</v>
      </c>
      <c r="I5" s="15">
        <f t="shared" ref="I5:I10" si="3">D5-H5</f>
        <v>660</v>
      </c>
    </row>
    <row r="6" spans="1:9">
      <c r="A6" s="7" t="s">
        <v>47</v>
      </c>
      <c r="B6" s="14">
        <f t="shared" si="0"/>
        <v>660</v>
      </c>
      <c r="C6" s="14"/>
      <c r="D6" s="14">
        <f t="shared" si="1"/>
        <v>660</v>
      </c>
      <c r="E6" s="8">
        <v>17</v>
      </c>
      <c r="F6" s="8" t="s">
        <v>26</v>
      </c>
      <c r="G6" s="13">
        <v>220</v>
      </c>
      <c r="H6" s="14">
        <f t="shared" si="2"/>
        <v>220</v>
      </c>
      <c r="I6" s="15">
        <f t="shared" si="3"/>
        <v>440</v>
      </c>
    </row>
    <row r="7" spans="1:9">
      <c r="A7" s="7" t="s">
        <v>50</v>
      </c>
      <c r="B7" s="14">
        <f t="shared" si="0"/>
        <v>440</v>
      </c>
      <c r="C7" s="14">
        <v>242</v>
      </c>
      <c r="D7" s="14">
        <f t="shared" si="1"/>
        <v>682</v>
      </c>
      <c r="E7" s="8"/>
      <c r="F7" s="8"/>
      <c r="G7" s="13"/>
      <c r="H7" s="14">
        <f t="shared" si="2"/>
        <v>0</v>
      </c>
      <c r="I7" s="15">
        <f t="shared" si="3"/>
        <v>682</v>
      </c>
    </row>
    <row r="8" spans="1:9">
      <c r="A8" s="7" t="s">
        <v>52</v>
      </c>
      <c r="B8" s="14">
        <f t="shared" si="0"/>
        <v>682</v>
      </c>
      <c r="C8" s="14">
        <v>88</v>
      </c>
      <c r="D8" s="14">
        <f t="shared" si="1"/>
        <v>770</v>
      </c>
      <c r="E8" s="8"/>
      <c r="F8" s="8"/>
      <c r="G8" s="13"/>
      <c r="H8" s="14">
        <f t="shared" si="2"/>
        <v>0</v>
      </c>
      <c r="I8" s="15">
        <f t="shared" si="3"/>
        <v>770</v>
      </c>
    </row>
    <row r="9" spans="1:9">
      <c r="A9" s="7" t="s">
        <v>52</v>
      </c>
      <c r="B9" s="14">
        <f t="shared" si="0"/>
        <v>770</v>
      </c>
      <c r="C9" s="14"/>
      <c r="D9" s="14">
        <f t="shared" si="1"/>
        <v>770</v>
      </c>
      <c r="E9" s="8">
        <v>19</v>
      </c>
      <c r="F9" s="8" t="s">
        <v>53</v>
      </c>
      <c r="G9" s="13">
        <v>660</v>
      </c>
      <c r="H9" s="14">
        <f t="shared" si="2"/>
        <v>660</v>
      </c>
      <c r="I9" s="15">
        <f t="shared" si="3"/>
        <v>110</v>
      </c>
    </row>
    <row r="10" spans="1:9">
      <c r="A10" s="7" t="s">
        <v>55</v>
      </c>
      <c r="B10" s="14">
        <f t="shared" si="0"/>
        <v>110</v>
      </c>
      <c r="C10" s="14">
        <v>550</v>
      </c>
      <c r="D10" s="14">
        <f t="shared" si="1"/>
        <v>660</v>
      </c>
      <c r="E10" s="8"/>
      <c r="F10" s="8"/>
      <c r="G10" s="13"/>
      <c r="H10" s="14">
        <f t="shared" si="2"/>
        <v>0</v>
      </c>
      <c r="I10" s="15">
        <f t="shared" si="3"/>
        <v>660</v>
      </c>
    </row>
    <row r="11" spans="1:9">
      <c r="A11" s="7" t="s">
        <v>65</v>
      </c>
      <c r="B11" s="14">
        <f t="shared" ref="B11:B18" si="4">I10</f>
        <v>660</v>
      </c>
      <c r="C11" s="14"/>
      <c r="D11" s="14">
        <f t="shared" ref="D11:D18" si="5">B11+C11</f>
        <v>660</v>
      </c>
      <c r="E11" s="8">
        <v>31</v>
      </c>
      <c r="F11" s="8" t="s">
        <v>44</v>
      </c>
      <c r="G11" s="13">
        <v>330</v>
      </c>
      <c r="H11" s="14">
        <f t="shared" ref="H11:H18" si="6">G11</f>
        <v>330</v>
      </c>
      <c r="I11" s="15">
        <f t="shared" ref="I11:I18" si="7">D11-H11</f>
        <v>330</v>
      </c>
    </row>
    <row r="12" spans="1:9">
      <c r="A12" s="7" t="s">
        <v>68</v>
      </c>
      <c r="B12" s="14">
        <f t="shared" si="4"/>
        <v>330</v>
      </c>
      <c r="C12" s="14"/>
      <c r="D12" s="14">
        <f t="shared" si="5"/>
        <v>330</v>
      </c>
      <c r="E12" s="8">
        <v>36</v>
      </c>
      <c r="F12" s="8" t="s">
        <v>44</v>
      </c>
      <c r="G12" s="13">
        <v>110</v>
      </c>
      <c r="H12" s="14">
        <f t="shared" si="6"/>
        <v>110</v>
      </c>
      <c r="I12" s="15">
        <f t="shared" si="7"/>
        <v>220</v>
      </c>
    </row>
    <row r="13" spans="1:9">
      <c r="A13" s="7" t="s">
        <v>73</v>
      </c>
      <c r="B13" s="14">
        <f t="shared" si="4"/>
        <v>220</v>
      </c>
      <c r="C13" s="14">
        <v>110</v>
      </c>
      <c r="D13" s="14">
        <f t="shared" si="5"/>
        <v>330</v>
      </c>
      <c r="E13" s="8"/>
      <c r="F13" s="8"/>
      <c r="G13" s="13"/>
      <c r="H13" s="14">
        <f t="shared" si="6"/>
        <v>0</v>
      </c>
      <c r="I13" s="15">
        <f t="shared" si="7"/>
        <v>330</v>
      </c>
    </row>
    <row r="14" spans="1:9">
      <c r="A14" s="7" t="s">
        <v>74</v>
      </c>
      <c r="B14" s="14">
        <f t="shared" si="4"/>
        <v>330</v>
      </c>
      <c r="C14" s="14">
        <v>264</v>
      </c>
      <c r="D14" s="14">
        <f t="shared" si="5"/>
        <v>594</v>
      </c>
      <c r="E14" s="8"/>
      <c r="F14" s="8"/>
      <c r="G14" s="13"/>
      <c r="H14" s="14">
        <f t="shared" si="6"/>
        <v>0</v>
      </c>
      <c r="I14" s="15">
        <f t="shared" si="7"/>
        <v>594</v>
      </c>
    </row>
    <row r="15" spans="1:9">
      <c r="A15" s="7" t="s">
        <v>75</v>
      </c>
      <c r="B15" s="14">
        <f t="shared" si="4"/>
        <v>594</v>
      </c>
      <c r="C15" s="14">
        <v>88</v>
      </c>
      <c r="D15" s="14">
        <f t="shared" si="5"/>
        <v>682</v>
      </c>
      <c r="E15" s="8"/>
      <c r="F15" s="8"/>
      <c r="G15" s="13"/>
      <c r="H15" s="14">
        <f t="shared" si="6"/>
        <v>0</v>
      </c>
      <c r="I15" s="15">
        <f t="shared" si="7"/>
        <v>682</v>
      </c>
    </row>
    <row r="16" spans="1:9">
      <c r="A16" s="7" t="s">
        <v>76</v>
      </c>
      <c r="B16" s="14">
        <f t="shared" si="4"/>
        <v>682</v>
      </c>
      <c r="C16" s="14">
        <v>154</v>
      </c>
      <c r="D16" s="14">
        <f t="shared" si="5"/>
        <v>836</v>
      </c>
      <c r="E16" s="8"/>
      <c r="F16" s="8"/>
      <c r="G16" s="13"/>
      <c r="H16" s="14">
        <f t="shared" si="6"/>
        <v>0</v>
      </c>
      <c r="I16" s="15">
        <f t="shared" si="7"/>
        <v>836</v>
      </c>
    </row>
    <row r="17" spans="1:9">
      <c r="A17" s="7" t="s">
        <v>76</v>
      </c>
      <c r="B17" s="14">
        <f t="shared" si="4"/>
        <v>836</v>
      </c>
      <c r="C17" s="14"/>
      <c r="D17" s="14">
        <f t="shared" si="5"/>
        <v>836</v>
      </c>
      <c r="E17" s="8">
        <v>48</v>
      </c>
      <c r="F17" s="8" t="s">
        <v>53</v>
      </c>
      <c r="G17" s="13">
        <v>660</v>
      </c>
      <c r="H17" s="14">
        <f t="shared" si="6"/>
        <v>660</v>
      </c>
      <c r="I17" s="15">
        <f t="shared" si="7"/>
        <v>176</v>
      </c>
    </row>
    <row r="18" spans="1:9">
      <c r="A18" s="7" t="s">
        <v>78</v>
      </c>
      <c r="B18" s="14">
        <f t="shared" si="4"/>
        <v>176</v>
      </c>
      <c r="C18" s="14">
        <v>44</v>
      </c>
      <c r="D18" s="14">
        <f t="shared" si="5"/>
        <v>220</v>
      </c>
      <c r="E18" s="8"/>
      <c r="F18" s="8"/>
      <c r="G18" s="13"/>
      <c r="H18" s="14">
        <f t="shared" si="6"/>
        <v>0</v>
      </c>
      <c r="I18" s="15">
        <f t="shared" si="7"/>
        <v>220</v>
      </c>
    </row>
    <row r="19" spans="1:9">
      <c r="A19" s="7" t="s">
        <v>103</v>
      </c>
      <c r="B19" s="14">
        <f t="shared" ref="B19" si="8">I18</f>
        <v>220</v>
      </c>
      <c r="C19" s="14">
        <v>330</v>
      </c>
      <c r="D19" s="14">
        <f t="shared" ref="D19" si="9">B19+C19</f>
        <v>550</v>
      </c>
      <c r="E19" s="8"/>
      <c r="F19" s="8"/>
      <c r="G19" s="13"/>
      <c r="H19" s="14">
        <f t="shared" ref="H19" si="10">G19</f>
        <v>0</v>
      </c>
      <c r="I19" s="15">
        <f t="shared" ref="I19" si="11">D19-H19</f>
        <v>550</v>
      </c>
    </row>
    <row r="20" spans="1:9" ht="15.75" thickBot="1">
      <c r="A20" s="7"/>
      <c r="B20" s="14">
        <f>I19</f>
        <v>550</v>
      </c>
      <c r="C20" s="14"/>
      <c r="D20" s="14">
        <f t="shared" ref="D20" si="12">B20+C20</f>
        <v>550</v>
      </c>
      <c r="E20" s="8"/>
      <c r="F20" s="8"/>
      <c r="G20" s="13"/>
      <c r="H20" s="14">
        <f t="shared" ref="H20" si="13">G20</f>
        <v>0</v>
      </c>
      <c r="I20" s="15">
        <f t="shared" ref="I20" si="14">D20-H20</f>
        <v>550</v>
      </c>
    </row>
    <row r="21" spans="1:9" ht="15.75" thickBot="1">
      <c r="A21" s="35" t="s">
        <v>2</v>
      </c>
      <c r="B21" s="31"/>
      <c r="C21" s="34">
        <f>SUM(C3:C20)</f>
        <v>1870</v>
      </c>
      <c r="D21" s="31"/>
      <c r="E21" s="31"/>
      <c r="F21" s="31"/>
      <c r="G21" s="34">
        <f>SUM(G3:G20)</f>
        <v>2442</v>
      </c>
      <c r="H21" s="31"/>
      <c r="I21" s="32"/>
    </row>
    <row r="25" spans="1:9" ht="19.5" thickBot="1">
      <c r="A25" s="45" t="s">
        <v>15</v>
      </c>
      <c r="B25" s="45"/>
      <c r="C25" s="45"/>
      <c r="D25" s="45"/>
      <c r="E25" s="45"/>
      <c r="F25" s="45"/>
      <c r="G25" s="45"/>
      <c r="H25" s="45"/>
      <c r="I25" s="45"/>
    </row>
    <row r="26" spans="1:9" ht="39" thickBot="1">
      <c r="A26" s="6" t="s">
        <v>0</v>
      </c>
      <c r="B26" s="3" t="s">
        <v>1</v>
      </c>
      <c r="C26" s="3" t="s">
        <v>5</v>
      </c>
      <c r="D26" s="3" t="s">
        <v>2</v>
      </c>
      <c r="E26" s="3" t="s">
        <v>8</v>
      </c>
      <c r="F26" s="3" t="s">
        <v>6</v>
      </c>
      <c r="G26" s="3" t="s">
        <v>7</v>
      </c>
      <c r="H26" s="3" t="s">
        <v>3</v>
      </c>
      <c r="I26" s="5" t="s">
        <v>4</v>
      </c>
    </row>
    <row r="27" spans="1:9">
      <c r="A27" s="7" t="s">
        <v>80</v>
      </c>
      <c r="B27" s="14">
        <v>550</v>
      </c>
      <c r="C27" s="14"/>
      <c r="D27" s="14">
        <f>B27+C27</f>
        <v>550</v>
      </c>
      <c r="E27" s="8"/>
      <c r="F27" s="8"/>
      <c r="G27" s="13"/>
      <c r="H27" s="14">
        <f>G27</f>
        <v>0</v>
      </c>
      <c r="I27" s="15">
        <f>D27-H27</f>
        <v>550</v>
      </c>
    </row>
    <row r="28" spans="1:9">
      <c r="A28" s="7" t="s">
        <v>91</v>
      </c>
      <c r="B28" s="14">
        <f>I27</f>
        <v>550</v>
      </c>
      <c r="C28" s="14">
        <v>132</v>
      </c>
      <c r="D28" s="14">
        <f t="shared" ref="D28" si="15">B28+C28</f>
        <v>682</v>
      </c>
      <c r="E28" s="8"/>
      <c r="F28" s="8"/>
      <c r="G28" s="13"/>
      <c r="H28" s="14">
        <f t="shared" ref="H28:H38" si="16">G28</f>
        <v>0</v>
      </c>
      <c r="I28" s="15">
        <f>D28-H28</f>
        <v>682</v>
      </c>
    </row>
    <row r="29" spans="1:9">
      <c r="A29" s="7" t="s">
        <v>27</v>
      </c>
      <c r="B29" s="14">
        <f t="shared" ref="B29:B38" si="17">I28</f>
        <v>682</v>
      </c>
      <c r="C29" s="14">
        <v>176</v>
      </c>
      <c r="D29" s="14">
        <f t="shared" ref="D29:D38" si="18">B29+C29</f>
        <v>858</v>
      </c>
      <c r="E29" s="8"/>
      <c r="F29" s="8"/>
      <c r="G29" s="13"/>
      <c r="H29" s="14">
        <f t="shared" si="16"/>
        <v>0</v>
      </c>
      <c r="I29" s="15">
        <f t="shared" ref="I29:I38" si="19">D29-H29</f>
        <v>858</v>
      </c>
    </row>
    <row r="30" spans="1:9">
      <c r="A30" s="7" t="s">
        <v>94</v>
      </c>
      <c r="B30" s="14">
        <f t="shared" si="17"/>
        <v>858</v>
      </c>
      <c r="C30" s="14">
        <v>264</v>
      </c>
      <c r="D30" s="14">
        <f t="shared" si="18"/>
        <v>1122</v>
      </c>
      <c r="E30" s="8"/>
      <c r="F30" s="8"/>
      <c r="G30" s="13"/>
      <c r="H30" s="14">
        <f t="shared" si="16"/>
        <v>0</v>
      </c>
      <c r="I30" s="15">
        <f t="shared" si="19"/>
        <v>1122</v>
      </c>
    </row>
    <row r="31" spans="1:9">
      <c r="A31" s="7" t="s">
        <v>95</v>
      </c>
      <c r="B31" s="14">
        <f t="shared" si="17"/>
        <v>1122</v>
      </c>
      <c r="C31" s="14"/>
      <c r="D31" s="14">
        <f t="shared" si="18"/>
        <v>1122</v>
      </c>
      <c r="E31" s="8">
        <v>62</v>
      </c>
      <c r="F31" s="8" t="s">
        <v>53</v>
      </c>
      <c r="G31" s="13">
        <v>220</v>
      </c>
      <c r="H31" s="14">
        <f t="shared" si="16"/>
        <v>220</v>
      </c>
      <c r="I31" s="15">
        <f t="shared" si="19"/>
        <v>902</v>
      </c>
    </row>
    <row r="32" spans="1:9">
      <c r="A32" s="7"/>
      <c r="B32" s="14">
        <f t="shared" si="17"/>
        <v>902</v>
      </c>
      <c r="C32" s="14"/>
      <c r="D32" s="14">
        <f t="shared" si="18"/>
        <v>902</v>
      </c>
      <c r="E32" s="8"/>
      <c r="F32" s="8"/>
      <c r="G32" s="13"/>
      <c r="H32" s="14">
        <f t="shared" si="16"/>
        <v>0</v>
      </c>
      <c r="I32" s="15">
        <f t="shared" si="19"/>
        <v>902</v>
      </c>
    </row>
    <row r="33" spans="1:9">
      <c r="A33" s="7"/>
      <c r="B33" s="14">
        <f t="shared" si="17"/>
        <v>902</v>
      </c>
      <c r="C33" s="14"/>
      <c r="D33" s="14">
        <f t="shared" si="18"/>
        <v>902</v>
      </c>
      <c r="E33" s="8"/>
      <c r="F33" s="8"/>
      <c r="G33" s="13"/>
      <c r="H33" s="14">
        <f t="shared" si="16"/>
        <v>0</v>
      </c>
      <c r="I33" s="15">
        <f t="shared" si="19"/>
        <v>902</v>
      </c>
    </row>
    <row r="34" spans="1:9">
      <c r="A34" s="7"/>
      <c r="B34" s="14">
        <f t="shared" si="17"/>
        <v>902</v>
      </c>
      <c r="C34" s="14"/>
      <c r="D34" s="14">
        <f t="shared" si="18"/>
        <v>902</v>
      </c>
      <c r="E34" s="8"/>
      <c r="F34" s="8"/>
      <c r="G34" s="13"/>
      <c r="H34" s="14">
        <f t="shared" si="16"/>
        <v>0</v>
      </c>
      <c r="I34" s="15">
        <f t="shared" si="19"/>
        <v>902</v>
      </c>
    </row>
    <row r="35" spans="1:9">
      <c r="A35" s="7"/>
      <c r="B35" s="14">
        <f t="shared" si="17"/>
        <v>902</v>
      </c>
      <c r="C35" s="14"/>
      <c r="D35" s="14">
        <f t="shared" si="18"/>
        <v>902</v>
      </c>
      <c r="E35" s="8"/>
      <c r="F35" s="8"/>
      <c r="G35" s="13"/>
      <c r="H35" s="14">
        <f t="shared" si="16"/>
        <v>0</v>
      </c>
      <c r="I35" s="15">
        <f t="shared" si="19"/>
        <v>902</v>
      </c>
    </row>
    <row r="36" spans="1:9">
      <c r="A36" s="7"/>
      <c r="B36" s="14">
        <f t="shared" si="17"/>
        <v>902</v>
      </c>
      <c r="C36" s="14"/>
      <c r="D36" s="14">
        <f t="shared" si="18"/>
        <v>902</v>
      </c>
      <c r="E36" s="8"/>
      <c r="F36" s="8"/>
      <c r="G36" s="13"/>
      <c r="H36" s="14">
        <f t="shared" si="16"/>
        <v>0</v>
      </c>
      <c r="I36" s="15">
        <f t="shared" si="19"/>
        <v>902</v>
      </c>
    </row>
    <row r="37" spans="1:9">
      <c r="A37" s="7"/>
      <c r="B37" s="14">
        <f t="shared" si="17"/>
        <v>902</v>
      </c>
      <c r="C37" s="14"/>
      <c r="D37" s="14">
        <f t="shared" si="18"/>
        <v>902</v>
      </c>
      <c r="E37" s="8"/>
      <c r="F37" s="8"/>
      <c r="G37" s="13"/>
      <c r="H37" s="14">
        <f t="shared" si="16"/>
        <v>0</v>
      </c>
      <c r="I37" s="15">
        <f t="shared" si="19"/>
        <v>902</v>
      </c>
    </row>
    <row r="38" spans="1:9" ht="15.75" thickBot="1">
      <c r="A38" s="9"/>
      <c r="B38" s="14">
        <f t="shared" si="17"/>
        <v>902</v>
      </c>
      <c r="C38" s="14"/>
      <c r="D38" s="14">
        <f t="shared" si="18"/>
        <v>902</v>
      </c>
      <c r="E38" s="8"/>
      <c r="F38" s="8"/>
      <c r="G38" s="13"/>
      <c r="H38" s="14">
        <f t="shared" si="16"/>
        <v>0</v>
      </c>
      <c r="I38" s="15">
        <f t="shared" si="19"/>
        <v>902</v>
      </c>
    </row>
    <row r="39" spans="1:9" ht="15.75" thickBot="1">
      <c r="A39" s="35" t="s">
        <v>2</v>
      </c>
      <c r="B39" s="31"/>
      <c r="C39" s="34">
        <f>SUM(C27:C38)</f>
        <v>572</v>
      </c>
      <c r="D39" s="31"/>
      <c r="E39" s="31"/>
      <c r="F39" s="31"/>
      <c r="G39" s="34">
        <f>SUM(G27:G38)</f>
        <v>220</v>
      </c>
      <c r="H39" s="31"/>
      <c r="I39" s="32"/>
    </row>
  </sheetData>
  <autoFilter ref="A2:I20"/>
  <mergeCells count="2">
    <mergeCell ref="A1:I1"/>
    <mergeCell ref="A25:I25"/>
  </mergeCells>
  <pageMargins left="0.77" right="0.57999999999999996" top="0.52" bottom="0.47" header="0.3" footer="0.3"/>
  <pageSetup orientation="landscape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8"/>
  <sheetViews>
    <sheetView zoomScaleNormal="100" workbookViewId="0">
      <selection activeCell="C16" sqref="C16"/>
    </sheetView>
  </sheetViews>
  <sheetFormatPr defaultRowHeight="15"/>
  <cols>
    <col min="1" max="1" width="10.140625" bestFit="1" customWidth="1"/>
    <col min="2" max="2" width="8.7109375" customWidth="1"/>
    <col min="3" max="3" width="8.5703125" customWidth="1"/>
    <col min="4" max="4" width="7.5703125" bestFit="1" customWidth="1"/>
    <col min="5" max="5" width="9.42578125" customWidth="1"/>
    <col min="6" max="6" width="12.28515625" bestFit="1" customWidth="1"/>
    <col min="7" max="7" width="11.5703125" customWidth="1"/>
    <col min="8" max="8" width="11.7109375" customWidth="1"/>
    <col min="9" max="9" width="10.28515625" customWidth="1"/>
  </cols>
  <sheetData>
    <row r="1" spans="1:9" ht="19.5" thickBot="1">
      <c r="A1" s="45" t="s">
        <v>16</v>
      </c>
      <c r="B1" s="45"/>
      <c r="C1" s="45"/>
      <c r="D1" s="45"/>
      <c r="E1" s="45"/>
      <c r="F1" s="45"/>
      <c r="G1" s="45"/>
      <c r="H1" s="45"/>
      <c r="I1" s="45"/>
    </row>
    <row r="2" spans="1:9" ht="39" thickBot="1">
      <c r="A2" s="6" t="s">
        <v>0</v>
      </c>
      <c r="B2" s="3" t="s">
        <v>1</v>
      </c>
      <c r="C2" s="3" t="s">
        <v>5</v>
      </c>
      <c r="D2" s="3" t="s">
        <v>2</v>
      </c>
      <c r="E2" s="3" t="s">
        <v>8</v>
      </c>
      <c r="F2" s="3" t="s">
        <v>6</v>
      </c>
      <c r="G2" s="3" t="s">
        <v>7</v>
      </c>
      <c r="H2" s="3" t="s">
        <v>3</v>
      </c>
      <c r="I2" s="5" t="s">
        <v>4</v>
      </c>
    </row>
    <row r="3" spans="1:9">
      <c r="A3" s="7" t="s">
        <v>18</v>
      </c>
      <c r="B3" s="14">
        <v>506</v>
      </c>
      <c r="C3" s="14"/>
      <c r="D3" s="14">
        <f>B3+C3</f>
        <v>506</v>
      </c>
      <c r="E3" s="8"/>
      <c r="F3" s="8"/>
      <c r="G3" s="13"/>
      <c r="H3" s="14">
        <f>G3</f>
        <v>0</v>
      </c>
      <c r="I3" s="15">
        <f>D3-H3</f>
        <v>506</v>
      </c>
    </row>
    <row r="4" spans="1:9">
      <c r="A4" s="9" t="s">
        <v>74</v>
      </c>
      <c r="B4" s="16">
        <f>I3</f>
        <v>506</v>
      </c>
      <c r="C4" s="16"/>
      <c r="D4" s="14">
        <f t="shared" ref="D4:D6" si="0">B4+C4</f>
        <v>506</v>
      </c>
      <c r="E4" s="12">
        <v>42</v>
      </c>
      <c r="F4" s="10" t="s">
        <v>26</v>
      </c>
      <c r="G4" s="16">
        <v>110</v>
      </c>
      <c r="H4" s="14">
        <f t="shared" ref="H4:H6" si="1">G4</f>
        <v>110</v>
      </c>
      <c r="I4" s="15">
        <f t="shared" ref="I4:I6" si="2">D4-H4</f>
        <v>396</v>
      </c>
    </row>
    <row r="5" spans="1:9">
      <c r="A5" s="9" t="s">
        <v>76</v>
      </c>
      <c r="B5" s="16">
        <f t="shared" ref="B5:B6" si="3">I4</f>
        <v>396</v>
      </c>
      <c r="C5" s="16"/>
      <c r="D5" s="14">
        <f t="shared" si="0"/>
        <v>396</v>
      </c>
      <c r="E5" s="12">
        <v>48</v>
      </c>
      <c r="F5" s="10" t="s">
        <v>53</v>
      </c>
      <c r="G5" s="16">
        <v>330</v>
      </c>
      <c r="H5" s="14">
        <f t="shared" si="1"/>
        <v>330</v>
      </c>
      <c r="I5" s="15">
        <f t="shared" si="2"/>
        <v>66</v>
      </c>
    </row>
    <row r="6" spans="1:9" ht="15.75" thickBot="1">
      <c r="A6" s="9"/>
      <c r="B6" s="16">
        <f t="shared" si="3"/>
        <v>66</v>
      </c>
      <c r="C6" s="16"/>
      <c r="D6" s="14">
        <f t="shared" si="0"/>
        <v>66</v>
      </c>
      <c r="E6" s="10"/>
      <c r="F6" s="10"/>
      <c r="G6" s="16"/>
      <c r="H6" s="14">
        <f t="shared" si="1"/>
        <v>0</v>
      </c>
      <c r="I6" s="15">
        <f t="shared" si="2"/>
        <v>66</v>
      </c>
    </row>
    <row r="7" spans="1:9" ht="15.75" thickBot="1">
      <c r="A7" s="35" t="s">
        <v>2</v>
      </c>
      <c r="B7" s="31"/>
      <c r="C7" s="34">
        <f>SUM(C3:C6)</f>
        <v>0</v>
      </c>
      <c r="D7" s="31"/>
      <c r="E7" s="31"/>
      <c r="F7" s="31"/>
      <c r="G7" s="34">
        <f>SUM(G3:G6)</f>
        <v>440</v>
      </c>
      <c r="H7" s="31"/>
      <c r="I7" s="32"/>
    </row>
    <row r="10" spans="1:9" ht="19.5" thickBot="1">
      <c r="A10" s="45" t="s">
        <v>84</v>
      </c>
      <c r="B10" s="45"/>
      <c r="C10" s="45"/>
      <c r="D10" s="45"/>
      <c r="E10" s="45"/>
      <c r="F10" s="45"/>
      <c r="G10" s="45"/>
      <c r="H10" s="45"/>
      <c r="I10" s="45"/>
    </row>
    <row r="11" spans="1:9" ht="39" thickBot="1">
      <c r="A11" s="6" t="s">
        <v>0</v>
      </c>
      <c r="B11" s="3" t="s">
        <v>1</v>
      </c>
      <c r="C11" s="3" t="s">
        <v>5</v>
      </c>
      <c r="D11" s="3" t="s">
        <v>2</v>
      </c>
      <c r="E11" s="3" t="s">
        <v>8</v>
      </c>
      <c r="F11" s="3" t="s">
        <v>6</v>
      </c>
      <c r="G11" s="3" t="s">
        <v>7</v>
      </c>
      <c r="H11" s="3" t="s">
        <v>3</v>
      </c>
      <c r="I11" s="5" t="s">
        <v>4</v>
      </c>
    </row>
    <row r="12" spans="1:9">
      <c r="A12" s="7" t="s">
        <v>80</v>
      </c>
      <c r="B12" s="14">
        <v>66</v>
      </c>
      <c r="C12" s="14"/>
      <c r="D12" s="14">
        <f>B12+C12</f>
        <v>66</v>
      </c>
      <c r="E12" s="8"/>
      <c r="F12" s="8"/>
      <c r="G12" s="13"/>
      <c r="H12" s="14">
        <f>G12</f>
        <v>0</v>
      </c>
      <c r="I12" s="15">
        <f>D12-H12</f>
        <v>66</v>
      </c>
    </row>
    <row r="13" spans="1:9">
      <c r="A13" s="7" t="s">
        <v>98</v>
      </c>
      <c r="B13" s="14">
        <f>I12</f>
        <v>66</v>
      </c>
      <c r="C13" s="14">
        <v>176</v>
      </c>
      <c r="D13" s="14">
        <f t="shared" ref="D13" si="4">B13+C13</f>
        <v>242</v>
      </c>
      <c r="E13" s="8"/>
      <c r="F13" s="8"/>
      <c r="G13" s="13"/>
      <c r="H13" s="14">
        <f t="shared" ref="H13:H17" si="5">G13</f>
        <v>0</v>
      </c>
      <c r="I13" s="15">
        <f>D13-H13</f>
        <v>242</v>
      </c>
    </row>
    <row r="14" spans="1:9">
      <c r="A14" s="7" t="s">
        <v>97</v>
      </c>
      <c r="B14" s="14">
        <f t="shared" ref="B14:B17" si="6">I13</f>
        <v>242</v>
      </c>
      <c r="C14" s="14">
        <v>44</v>
      </c>
      <c r="D14" s="14">
        <f t="shared" ref="D14:D17" si="7">B14+C14</f>
        <v>286</v>
      </c>
      <c r="E14" s="8"/>
      <c r="F14" s="8"/>
      <c r="G14" s="13"/>
      <c r="H14" s="14">
        <f t="shared" si="5"/>
        <v>0</v>
      </c>
      <c r="I14" s="15">
        <f t="shared" ref="I14:I17" si="8">D14-H14</f>
        <v>286</v>
      </c>
    </row>
    <row r="15" spans="1:9">
      <c r="A15" s="9" t="s">
        <v>95</v>
      </c>
      <c r="B15" s="14">
        <f t="shared" si="6"/>
        <v>286</v>
      </c>
      <c r="C15" s="14">
        <v>110</v>
      </c>
      <c r="D15" s="14">
        <f t="shared" si="7"/>
        <v>396</v>
      </c>
      <c r="E15" s="8"/>
      <c r="F15" s="8"/>
      <c r="G15" s="13"/>
      <c r="H15" s="14">
        <f t="shared" si="5"/>
        <v>0</v>
      </c>
      <c r="I15" s="15">
        <f t="shared" si="8"/>
        <v>396</v>
      </c>
    </row>
    <row r="16" spans="1:9">
      <c r="A16" s="9" t="s">
        <v>95</v>
      </c>
      <c r="B16" s="14">
        <f t="shared" si="6"/>
        <v>396</v>
      </c>
      <c r="C16" s="14"/>
      <c r="D16" s="14">
        <f t="shared" si="7"/>
        <v>396</v>
      </c>
      <c r="E16" s="8">
        <v>62</v>
      </c>
      <c r="F16" s="8" t="s">
        <v>53</v>
      </c>
      <c r="G16" s="13">
        <v>110</v>
      </c>
      <c r="H16" s="14">
        <f t="shared" si="5"/>
        <v>110</v>
      </c>
      <c r="I16" s="15">
        <f t="shared" si="8"/>
        <v>286</v>
      </c>
    </row>
    <row r="17" spans="1:9" ht="15.75" thickBot="1">
      <c r="A17" s="9"/>
      <c r="B17" s="14">
        <f t="shared" si="6"/>
        <v>286</v>
      </c>
      <c r="C17" s="14"/>
      <c r="D17" s="14">
        <f t="shared" si="7"/>
        <v>286</v>
      </c>
      <c r="E17" s="8"/>
      <c r="F17" s="8"/>
      <c r="G17" s="13"/>
      <c r="H17" s="14">
        <f t="shared" si="5"/>
        <v>0</v>
      </c>
      <c r="I17" s="15">
        <f t="shared" si="8"/>
        <v>286</v>
      </c>
    </row>
    <row r="18" spans="1:9" ht="15.75" thickBot="1">
      <c r="A18" s="35" t="s">
        <v>2</v>
      </c>
      <c r="B18" s="31"/>
      <c r="C18" s="34">
        <f>SUM(C12:C17)</f>
        <v>330</v>
      </c>
      <c r="D18" s="31"/>
      <c r="E18" s="31"/>
      <c r="F18" s="31"/>
      <c r="G18" s="34">
        <f>SUM(G12:G17)</f>
        <v>110</v>
      </c>
      <c r="H18" s="31"/>
      <c r="I18" s="32"/>
    </row>
  </sheetData>
  <mergeCells count="2">
    <mergeCell ref="A1:I1"/>
    <mergeCell ref="A10:I10"/>
  </mergeCells>
  <pageMargins left="0.77" right="0.57999999999999996" top="0.52" bottom="0.47" header="0.3" footer="0.3"/>
  <pageSetup orientation="landscape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I56"/>
  <sheetViews>
    <sheetView topLeftCell="A34" zoomScaleNormal="100" workbookViewId="0">
      <selection activeCell="M35" sqref="M35"/>
    </sheetView>
  </sheetViews>
  <sheetFormatPr defaultRowHeight="15"/>
  <cols>
    <col min="1" max="1" width="10.140625" bestFit="1" customWidth="1"/>
    <col min="2" max="2" width="10.140625" customWidth="1"/>
    <col min="3" max="3" width="9.5703125" customWidth="1"/>
    <col min="4" max="4" width="8" bestFit="1" customWidth="1"/>
    <col min="5" max="5" width="7.7109375" customWidth="1"/>
    <col min="6" max="6" width="11.85546875" bestFit="1" customWidth="1"/>
    <col min="7" max="7" width="11.28515625" customWidth="1"/>
    <col min="8" max="8" width="10.85546875" customWidth="1"/>
  </cols>
  <sheetData>
    <row r="1" spans="1:9" ht="19.5" thickBot="1">
      <c r="A1" s="45" t="s">
        <v>11</v>
      </c>
      <c r="B1" s="45"/>
      <c r="C1" s="45"/>
      <c r="D1" s="45"/>
      <c r="E1" s="45"/>
      <c r="F1" s="45"/>
      <c r="G1" s="45"/>
      <c r="H1" s="45"/>
      <c r="I1" s="45"/>
    </row>
    <row r="2" spans="1:9" s="2" customFormat="1" ht="51" customHeight="1" thickBot="1">
      <c r="A2" s="6" t="s">
        <v>0</v>
      </c>
      <c r="B2" s="3" t="s">
        <v>1</v>
      </c>
      <c r="C2" s="4" t="s">
        <v>5</v>
      </c>
      <c r="D2" s="3" t="s">
        <v>2</v>
      </c>
      <c r="E2" s="3" t="s">
        <v>8</v>
      </c>
      <c r="F2" s="3" t="s">
        <v>6</v>
      </c>
      <c r="G2" s="3" t="s">
        <v>7</v>
      </c>
      <c r="H2" s="3" t="s">
        <v>3</v>
      </c>
      <c r="I2" s="5" t="s">
        <v>4</v>
      </c>
    </row>
    <row r="3" spans="1:9">
      <c r="A3" s="7" t="s">
        <v>18</v>
      </c>
      <c r="B3" s="14">
        <v>0</v>
      </c>
      <c r="C3" s="14"/>
      <c r="D3" s="14">
        <f>B3+C3</f>
        <v>0</v>
      </c>
      <c r="E3" s="8"/>
      <c r="F3" s="8"/>
      <c r="G3" s="13"/>
      <c r="H3" s="14">
        <f>G3</f>
        <v>0</v>
      </c>
      <c r="I3" s="15">
        <f>D3-H3</f>
        <v>0</v>
      </c>
    </row>
    <row r="4" spans="1:9">
      <c r="A4" s="9" t="s">
        <v>22</v>
      </c>
      <c r="B4" s="16">
        <f>I3</f>
        <v>0</v>
      </c>
      <c r="C4" s="16">
        <v>1656</v>
      </c>
      <c r="D4" s="14">
        <f t="shared" ref="D4" si="0">B4+C4</f>
        <v>1656</v>
      </c>
      <c r="E4" s="12"/>
      <c r="F4" s="10"/>
      <c r="G4" s="16"/>
      <c r="H4" s="14">
        <f t="shared" ref="H4" si="1">G4</f>
        <v>0</v>
      </c>
      <c r="I4" s="15">
        <f t="shared" ref="I4" si="2">D4-H4</f>
        <v>1656</v>
      </c>
    </row>
    <row r="5" spans="1:9">
      <c r="A5" s="9" t="s">
        <v>22</v>
      </c>
      <c r="B5" s="16">
        <f t="shared" ref="B5:B22" si="3">I4</f>
        <v>1656</v>
      </c>
      <c r="C5" s="16"/>
      <c r="D5" s="14">
        <f t="shared" ref="D5:D22" si="4">B5+C5</f>
        <v>1656</v>
      </c>
      <c r="E5" s="12" t="s">
        <v>25</v>
      </c>
      <c r="F5" s="10" t="s">
        <v>26</v>
      </c>
      <c r="G5" s="16">
        <v>600</v>
      </c>
      <c r="H5" s="14">
        <f t="shared" ref="H5:H22" si="5">G5</f>
        <v>600</v>
      </c>
      <c r="I5" s="15">
        <f t="shared" ref="I5:I22" si="6">D5-H5</f>
        <v>1056</v>
      </c>
    </row>
    <row r="6" spans="1:9">
      <c r="A6" s="9" t="s">
        <v>40</v>
      </c>
      <c r="B6" s="16">
        <f t="shared" si="3"/>
        <v>1056</v>
      </c>
      <c r="C6" s="16"/>
      <c r="D6" s="14">
        <f t="shared" si="4"/>
        <v>1056</v>
      </c>
      <c r="E6" s="12">
        <v>11</v>
      </c>
      <c r="F6" s="10" t="s">
        <v>44</v>
      </c>
      <c r="G6" s="16">
        <v>840</v>
      </c>
      <c r="H6" s="14">
        <f t="shared" si="5"/>
        <v>840</v>
      </c>
      <c r="I6" s="15">
        <f t="shared" si="6"/>
        <v>216</v>
      </c>
    </row>
    <row r="7" spans="1:9">
      <c r="A7" s="9" t="s">
        <v>45</v>
      </c>
      <c r="B7" s="16">
        <f t="shared" si="3"/>
        <v>216</v>
      </c>
      <c r="C7" s="16">
        <v>2616</v>
      </c>
      <c r="D7" s="14">
        <f t="shared" si="4"/>
        <v>2832</v>
      </c>
      <c r="E7" s="12"/>
      <c r="F7" s="10"/>
      <c r="G7" s="16"/>
      <c r="H7" s="14">
        <f t="shared" si="5"/>
        <v>0</v>
      </c>
      <c r="I7" s="15">
        <f t="shared" si="6"/>
        <v>2832</v>
      </c>
    </row>
    <row r="8" spans="1:9">
      <c r="A8" s="9" t="s">
        <v>47</v>
      </c>
      <c r="B8" s="16">
        <f t="shared" si="3"/>
        <v>2832</v>
      </c>
      <c r="C8" s="16"/>
      <c r="D8" s="14">
        <f t="shared" si="4"/>
        <v>2832</v>
      </c>
      <c r="E8" s="12">
        <v>14</v>
      </c>
      <c r="F8" s="10" t="s">
        <v>49</v>
      </c>
      <c r="G8" s="16">
        <v>600</v>
      </c>
      <c r="H8" s="14">
        <f t="shared" si="5"/>
        <v>600</v>
      </c>
      <c r="I8" s="15">
        <f t="shared" si="6"/>
        <v>2232</v>
      </c>
    </row>
    <row r="9" spans="1:9">
      <c r="A9" s="9" t="s">
        <v>47</v>
      </c>
      <c r="B9" s="16">
        <f t="shared" si="3"/>
        <v>2232</v>
      </c>
      <c r="C9" s="16"/>
      <c r="D9" s="14">
        <f t="shared" si="4"/>
        <v>2232</v>
      </c>
      <c r="E9" s="12">
        <v>15</v>
      </c>
      <c r="F9" s="10" t="s">
        <v>49</v>
      </c>
      <c r="G9" s="16">
        <v>600</v>
      </c>
      <c r="H9" s="14">
        <f t="shared" si="5"/>
        <v>600</v>
      </c>
      <c r="I9" s="15">
        <f t="shared" si="6"/>
        <v>1632</v>
      </c>
    </row>
    <row r="10" spans="1:9">
      <c r="A10" s="9" t="s">
        <v>47</v>
      </c>
      <c r="B10" s="16">
        <f t="shared" si="3"/>
        <v>1632</v>
      </c>
      <c r="C10" s="16"/>
      <c r="D10" s="14">
        <f t="shared" si="4"/>
        <v>1632</v>
      </c>
      <c r="E10" s="12">
        <v>17</v>
      </c>
      <c r="F10" s="10" t="s">
        <v>26</v>
      </c>
      <c r="G10" s="16">
        <v>600</v>
      </c>
      <c r="H10" s="14">
        <f t="shared" si="5"/>
        <v>600</v>
      </c>
      <c r="I10" s="15">
        <f t="shared" si="6"/>
        <v>1032</v>
      </c>
    </row>
    <row r="11" spans="1:9">
      <c r="A11" s="9" t="s">
        <v>52</v>
      </c>
      <c r="B11" s="16">
        <f t="shared" si="3"/>
        <v>1032</v>
      </c>
      <c r="C11" s="16">
        <v>552</v>
      </c>
      <c r="D11" s="14">
        <f t="shared" si="4"/>
        <v>1584</v>
      </c>
      <c r="E11" s="12"/>
      <c r="F11" s="10"/>
      <c r="G11" s="16"/>
      <c r="H11" s="14">
        <f t="shared" si="5"/>
        <v>0</v>
      </c>
      <c r="I11" s="15">
        <f t="shared" si="6"/>
        <v>1584</v>
      </c>
    </row>
    <row r="12" spans="1:9">
      <c r="A12" s="9" t="s">
        <v>55</v>
      </c>
      <c r="B12" s="16">
        <f t="shared" si="3"/>
        <v>1584</v>
      </c>
      <c r="C12" s="16"/>
      <c r="D12" s="14">
        <f t="shared" si="4"/>
        <v>1584</v>
      </c>
      <c r="E12" s="12">
        <v>22</v>
      </c>
      <c r="F12" s="10" t="s">
        <v>26</v>
      </c>
      <c r="G12" s="16">
        <v>1200</v>
      </c>
      <c r="H12" s="14">
        <f t="shared" si="5"/>
        <v>1200</v>
      </c>
      <c r="I12" s="15">
        <f t="shared" si="6"/>
        <v>384</v>
      </c>
    </row>
    <row r="13" spans="1:9">
      <c r="A13" s="9" t="s">
        <v>62</v>
      </c>
      <c r="B13" s="16">
        <f t="shared" si="3"/>
        <v>384</v>
      </c>
      <c r="C13" s="16">
        <v>120</v>
      </c>
      <c r="D13" s="14">
        <f t="shared" si="4"/>
        <v>504</v>
      </c>
      <c r="E13" s="12"/>
      <c r="F13" s="10"/>
      <c r="G13" s="16"/>
      <c r="H13" s="14">
        <f t="shared" si="5"/>
        <v>0</v>
      </c>
      <c r="I13" s="15">
        <f t="shared" si="6"/>
        <v>504</v>
      </c>
    </row>
    <row r="14" spans="1:9">
      <c r="A14" s="9" t="s">
        <v>62</v>
      </c>
      <c r="B14" s="16">
        <f t="shared" si="3"/>
        <v>504</v>
      </c>
      <c r="C14" s="16"/>
      <c r="D14" s="14">
        <f t="shared" si="4"/>
        <v>504</v>
      </c>
      <c r="E14" s="12">
        <v>29</v>
      </c>
      <c r="F14" s="10" t="s">
        <v>64</v>
      </c>
      <c r="G14" s="16">
        <v>480</v>
      </c>
      <c r="H14" s="14">
        <f t="shared" si="5"/>
        <v>480</v>
      </c>
      <c r="I14" s="15">
        <f t="shared" si="6"/>
        <v>24</v>
      </c>
    </row>
    <row r="15" spans="1:9">
      <c r="A15" s="9" t="s">
        <v>67</v>
      </c>
      <c r="B15" s="16">
        <f t="shared" si="3"/>
        <v>24</v>
      </c>
      <c r="C15" s="16">
        <v>480</v>
      </c>
      <c r="D15" s="14">
        <f t="shared" si="4"/>
        <v>504</v>
      </c>
      <c r="E15" s="12"/>
      <c r="F15" s="10"/>
      <c r="G15" s="16"/>
      <c r="H15" s="14">
        <f t="shared" si="5"/>
        <v>0</v>
      </c>
      <c r="I15" s="15">
        <f t="shared" si="6"/>
        <v>504</v>
      </c>
    </row>
    <row r="16" spans="1:9">
      <c r="A16" s="9" t="s">
        <v>67</v>
      </c>
      <c r="B16" s="16">
        <f t="shared" si="3"/>
        <v>504</v>
      </c>
      <c r="C16" s="16"/>
      <c r="D16" s="14">
        <f t="shared" si="4"/>
        <v>504</v>
      </c>
      <c r="E16" s="12">
        <v>34</v>
      </c>
      <c r="F16" s="10" t="s">
        <v>26</v>
      </c>
      <c r="G16" s="16">
        <v>480</v>
      </c>
      <c r="H16" s="14">
        <f t="shared" si="5"/>
        <v>480</v>
      </c>
      <c r="I16" s="15">
        <f t="shared" si="6"/>
        <v>24</v>
      </c>
    </row>
    <row r="17" spans="1:9">
      <c r="A17" s="9" t="s">
        <v>68</v>
      </c>
      <c r="B17" s="16">
        <f t="shared" si="3"/>
        <v>24</v>
      </c>
      <c r="C17" s="16">
        <v>288</v>
      </c>
      <c r="D17" s="14">
        <f t="shared" si="4"/>
        <v>312</v>
      </c>
      <c r="E17" s="12"/>
      <c r="F17" s="10"/>
      <c r="G17" s="16"/>
      <c r="H17" s="14">
        <f t="shared" si="5"/>
        <v>0</v>
      </c>
      <c r="I17" s="15">
        <f t="shared" si="6"/>
        <v>312</v>
      </c>
    </row>
    <row r="18" spans="1:9">
      <c r="A18" s="9" t="s">
        <v>68</v>
      </c>
      <c r="B18" s="16">
        <f t="shared" si="3"/>
        <v>312</v>
      </c>
      <c r="C18" s="16"/>
      <c r="D18" s="14">
        <f t="shared" si="4"/>
        <v>312</v>
      </c>
      <c r="E18" s="12">
        <v>36</v>
      </c>
      <c r="F18" s="10" t="s">
        <v>44</v>
      </c>
      <c r="G18" s="16">
        <v>240</v>
      </c>
      <c r="H18" s="14">
        <f t="shared" si="5"/>
        <v>240</v>
      </c>
      <c r="I18" s="15">
        <f t="shared" si="6"/>
        <v>72</v>
      </c>
    </row>
    <row r="19" spans="1:9">
      <c r="A19" s="9" t="s">
        <v>70</v>
      </c>
      <c r="B19" s="16">
        <f t="shared" si="3"/>
        <v>72</v>
      </c>
      <c r="C19" s="16">
        <v>768</v>
      </c>
      <c r="D19" s="14">
        <f t="shared" si="4"/>
        <v>840</v>
      </c>
      <c r="E19" s="12"/>
      <c r="F19" s="10"/>
      <c r="G19" s="16"/>
      <c r="H19" s="14">
        <f t="shared" si="5"/>
        <v>0</v>
      </c>
      <c r="I19" s="15">
        <f t="shared" si="6"/>
        <v>840</v>
      </c>
    </row>
    <row r="20" spans="1:9">
      <c r="A20" s="9" t="s">
        <v>70</v>
      </c>
      <c r="B20" s="16">
        <f t="shared" si="3"/>
        <v>840</v>
      </c>
      <c r="C20" s="16"/>
      <c r="D20" s="14">
        <f t="shared" si="4"/>
        <v>840</v>
      </c>
      <c r="E20" s="12">
        <v>37</v>
      </c>
      <c r="F20" s="10" t="s">
        <v>49</v>
      </c>
      <c r="G20" s="16">
        <v>240</v>
      </c>
      <c r="H20" s="14">
        <f t="shared" si="5"/>
        <v>240</v>
      </c>
      <c r="I20" s="15">
        <f t="shared" si="6"/>
        <v>600</v>
      </c>
    </row>
    <row r="21" spans="1:9">
      <c r="A21" s="9" t="s">
        <v>70</v>
      </c>
      <c r="B21" s="16">
        <f t="shared" si="3"/>
        <v>600</v>
      </c>
      <c r="C21" s="16"/>
      <c r="D21" s="14">
        <f t="shared" si="4"/>
        <v>600</v>
      </c>
      <c r="E21" s="12">
        <v>38</v>
      </c>
      <c r="F21" s="10" t="s">
        <v>49</v>
      </c>
      <c r="G21" s="16">
        <v>600</v>
      </c>
      <c r="H21" s="14">
        <f t="shared" si="5"/>
        <v>600</v>
      </c>
      <c r="I21" s="15">
        <f t="shared" si="6"/>
        <v>0</v>
      </c>
    </row>
    <row r="22" spans="1:9">
      <c r="A22" s="9" t="s">
        <v>71</v>
      </c>
      <c r="B22" s="16">
        <f t="shared" si="3"/>
        <v>0</v>
      </c>
      <c r="C22" s="16">
        <v>1272</v>
      </c>
      <c r="D22" s="14">
        <f t="shared" si="4"/>
        <v>1272</v>
      </c>
      <c r="E22" s="12"/>
      <c r="F22" s="10"/>
      <c r="G22" s="16"/>
      <c r="H22" s="14">
        <f t="shared" si="5"/>
        <v>0</v>
      </c>
      <c r="I22" s="15">
        <f t="shared" si="6"/>
        <v>1272</v>
      </c>
    </row>
    <row r="23" spans="1:9">
      <c r="A23" s="9" t="s">
        <v>72</v>
      </c>
      <c r="B23" s="16">
        <f t="shared" ref="B23:B31" si="7">I22</f>
        <v>1272</v>
      </c>
      <c r="C23" s="16"/>
      <c r="D23" s="14">
        <f t="shared" ref="D23:D31" si="8">B23+C23</f>
        <v>1272</v>
      </c>
      <c r="E23" s="12">
        <v>40</v>
      </c>
      <c r="F23" s="10" t="s">
        <v>26</v>
      </c>
      <c r="G23" s="16">
        <v>1200</v>
      </c>
      <c r="H23" s="14">
        <f t="shared" ref="H23:H31" si="9">G23</f>
        <v>1200</v>
      </c>
      <c r="I23" s="15">
        <f t="shared" ref="I23:I31" si="10">D23-H23</f>
        <v>72</v>
      </c>
    </row>
    <row r="24" spans="1:9">
      <c r="A24" s="9" t="s">
        <v>74</v>
      </c>
      <c r="B24" s="16">
        <f t="shared" si="7"/>
        <v>72</v>
      </c>
      <c r="C24" s="16">
        <v>840</v>
      </c>
      <c r="D24" s="14">
        <f t="shared" si="8"/>
        <v>912</v>
      </c>
      <c r="E24" s="12"/>
      <c r="F24" s="10"/>
      <c r="G24" s="16"/>
      <c r="H24" s="14">
        <f t="shared" si="9"/>
        <v>0</v>
      </c>
      <c r="I24" s="15">
        <f t="shared" si="10"/>
        <v>912</v>
      </c>
    </row>
    <row r="25" spans="1:9">
      <c r="A25" s="9" t="s">
        <v>75</v>
      </c>
      <c r="B25" s="16">
        <f t="shared" si="7"/>
        <v>912</v>
      </c>
      <c r="C25" s="16">
        <v>1608</v>
      </c>
      <c r="D25" s="14">
        <f t="shared" si="8"/>
        <v>2520</v>
      </c>
      <c r="E25" s="12"/>
      <c r="F25" s="10"/>
      <c r="G25" s="16"/>
      <c r="H25" s="14">
        <f t="shared" si="9"/>
        <v>0</v>
      </c>
      <c r="I25" s="15">
        <f t="shared" si="10"/>
        <v>2520</v>
      </c>
    </row>
    <row r="26" spans="1:9">
      <c r="A26" s="9" t="s">
        <v>75</v>
      </c>
      <c r="B26" s="16">
        <f t="shared" si="7"/>
        <v>2520</v>
      </c>
      <c r="C26" s="16"/>
      <c r="D26" s="14">
        <f t="shared" si="8"/>
        <v>2520</v>
      </c>
      <c r="E26" s="12">
        <v>44</v>
      </c>
      <c r="F26" s="10" t="s">
        <v>64</v>
      </c>
      <c r="G26" s="16">
        <v>1200</v>
      </c>
      <c r="H26" s="14">
        <f t="shared" si="9"/>
        <v>1200</v>
      </c>
      <c r="I26" s="15">
        <f t="shared" si="10"/>
        <v>1320</v>
      </c>
    </row>
    <row r="27" spans="1:9">
      <c r="A27" s="9" t="s">
        <v>76</v>
      </c>
      <c r="B27" s="16">
        <f t="shared" si="7"/>
        <v>1320</v>
      </c>
      <c r="C27" s="16"/>
      <c r="D27" s="14">
        <f t="shared" si="8"/>
        <v>1320</v>
      </c>
      <c r="E27" s="12">
        <v>48</v>
      </c>
      <c r="F27" s="10" t="s">
        <v>53</v>
      </c>
      <c r="G27" s="16">
        <v>360</v>
      </c>
      <c r="H27" s="14">
        <f t="shared" si="9"/>
        <v>360</v>
      </c>
      <c r="I27" s="15">
        <f t="shared" si="10"/>
        <v>960</v>
      </c>
    </row>
    <row r="28" spans="1:9">
      <c r="A28" s="9" t="s">
        <v>78</v>
      </c>
      <c r="B28" s="16">
        <f t="shared" si="7"/>
        <v>960</v>
      </c>
      <c r="C28" s="16">
        <v>240</v>
      </c>
      <c r="D28" s="14">
        <f t="shared" si="8"/>
        <v>1200</v>
      </c>
      <c r="E28" s="12"/>
      <c r="F28" s="10"/>
      <c r="G28" s="16"/>
      <c r="H28" s="14">
        <f t="shared" si="9"/>
        <v>0</v>
      </c>
      <c r="I28" s="15">
        <f t="shared" si="10"/>
        <v>1200</v>
      </c>
    </row>
    <row r="29" spans="1:9">
      <c r="A29" s="9" t="s">
        <v>78</v>
      </c>
      <c r="B29" s="16">
        <f t="shared" si="7"/>
        <v>1200</v>
      </c>
      <c r="C29" s="16"/>
      <c r="D29" s="14">
        <f t="shared" si="8"/>
        <v>1200</v>
      </c>
      <c r="E29" s="12">
        <v>49</v>
      </c>
      <c r="F29" s="10" t="s">
        <v>49</v>
      </c>
      <c r="G29" s="16">
        <v>720</v>
      </c>
      <c r="H29" s="14">
        <f t="shared" si="9"/>
        <v>720</v>
      </c>
      <c r="I29" s="15">
        <f t="shared" si="10"/>
        <v>480</v>
      </c>
    </row>
    <row r="30" spans="1:9">
      <c r="A30" s="9" t="s">
        <v>78</v>
      </c>
      <c r="B30" s="16">
        <f t="shared" si="7"/>
        <v>480</v>
      </c>
      <c r="C30" s="16"/>
      <c r="D30" s="14">
        <f t="shared" si="8"/>
        <v>480</v>
      </c>
      <c r="E30" s="12">
        <v>51</v>
      </c>
      <c r="F30" s="10" t="s">
        <v>49</v>
      </c>
      <c r="G30" s="16">
        <v>480</v>
      </c>
      <c r="H30" s="14">
        <f t="shared" si="9"/>
        <v>480</v>
      </c>
      <c r="I30" s="15">
        <f t="shared" si="10"/>
        <v>0</v>
      </c>
    </row>
    <row r="31" spans="1:9" ht="15.75" thickBot="1">
      <c r="A31" s="9"/>
      <c r="B31" s="16">
        <f t="shared" si="7"/>
        <v>0</v>
      </c>
      <c r="C31" s="16"/>
      <c r="D31" s="14">
        <f t="shared" si="8"/>
        <v>0</v>
      </c>
      <c r="E31" s="12"/>
      <c r="F31" s="10"/>
      <c r="G31" s="16"/>
      <c r="H31" s="14">
        <f t="shared" si="9"/>
        <v>0</v>
      </c>
      <c r="I31" s="15">
        <f t="shared" si="10"/>
        <v>0</v>
      </c>
    </row>
    <row r="32" spans="1:9" ht="15.75" thickBot="1">
      <c r="A32" s="33" t="s">
        <v>2</v>
      </c>
      <c r="B32" s="31"/>
      <c r="C32" s="34">
        <f>SUM(C3:C31)</f>
        <v>10440</v>
      </c>
      <c r="D32" s="31"/>
      <c r="E32" s="31"/>
      <c r="F32" s="31"/>
      <c r="G32" s="34">
        <f>SUM(G3:G31)</f>
        <v>10440</v>
      </c>
      <c r="H32" s="31"/>
      <c r="I32" s="32"/>
    </row>
    <row r="35" spans="1:9" ht="19.5" thickBot="1">
      <c r="A35" s="45" t="s">
        <v>85</v>
      </c>
      <c r="B35" s="45"/>
      <c r="C35" s="45"/>
      <c r="D35" s="45"/>
      <c r="E35" s="45"/>
      <c r="F35" s="45"/>
      <c r="G35" s="45"/>
      <c r="H35" s="45"/>
      <c r="I35" s="45"/>
    </row>
    <row r="36" spans="1:9" ht="39.75" thickBot="1">
      <c r="A36" s="6" t="s">
        <v>0</v>
      </c>
      <c r="B36" s="3" t="s">
        <v>1</v>
      </c>
      <c r="C36" s="4" t="s">
        <v>5</v>
      </c>
      <c r="D36" s="3" t="s">
        <v>2</v>
      </c>
      <c r="E36" s="3" t="s">
        <v>8</v>
      </c>
      <c r="F36" s="3" t="s">
        <v>6</v>
      </c>
      <c r="G36" s="3" t="s">
        <v>7</v>
      </c>
      <c r="H36" s="3" t="s">
        <v>3</v>
      </c>
      <c r="I36" s="5" t="s">
        <v>4</v>
      </c>
    </row>
    <row r="37" spans="1:9">
      <c r="A37" s="7" t="s">
        <v>80</v>
      </c>
      <c r="B37" s="14">
        <v>0</v>
      </c>
      <c r="C37" s="14"/>
      <c r="D37" s="14">
        <f>B37+C37</f>
        <v>0</v>
      </c>
      <c r="E37" s="8"/>
      <c r="F37" s="8"/>
      <c r="G37" s="13"/>
      <c r="H37" s="14">
        <f>G37</f>
        <v>0</v>
      </c>
      <c r="I37" s="15">
        <f>D37-H37</f>
        <v>0</v>
      </c>
    </row>
    <row r="38" spans="1:9">
      <c r="A38" s="7" t="s">
        <v>80</v>
      </c>
      <c r="B38" s="14">
        <f>I37</f>
        <v>0</v>
      </c>
      <c r="C38" s="14">
        <v>2112</v>
      </c>
      <c r="D38" s="14">
        <f>B38+C38</f>
        <v>2112</v>
      </c>
      <c r="E38" s="8"/>
      <c r="F38" s="8"/>
      <c r="G38" s="13"/>
      <c r="H38" s="14">
        <f>G38</f>
        <v>0</v>
      </c>
      <c r="I38" s="15">
        <f>D38-H38</f>
        <v>2112</v>
      </c>
    </row>
    <row r="39" spans="1:9">
      <c r="A39" s="7" t="s">
        <v>36</v>
      </c>
      <c r="B39" s="14">
        <f>I38</f>
        <v>2112</v>
      </c>
      <c r="C39" s="14">
        <v>360</v>
      </c>
      <c r="D39" s="14">
        <f t="shared" ref="D39" si="11">B39+C39</f>
        <v>2472</v>
      </c>
      <c r="E39" s="8"/>
      <c r="F39" s="8"/>
      <c r="G39" s="13"/>
      <c r="H39" s="14">
        <f t="shared" ref="H39:H55" si="12">G39</f>
        <v>0</v>
      </c>
      <c r="I39" s="15">
        <f t="shared" ref="I39" si="13">D39-H39</f>
        <v>2472</v>
      </c>
    </row>
    <row r="40" spans="1:9">
      <c r="A40" s="7" t="s">
        <v>99</v>
      </c>
      <c r="B40" s="14">
        <f t="shared" ref="B40:B55" si="14">I39</f>
        <v>2472</v>
      </c>
      <c r="C40" s="14"/>
      <c r="D40" s="14">
        <f t="shared" ref="D40:D55" si="15">B40+C40</f>
        <v>2472</v>
      </c>
      <c r="E40" s="8">
        <v>53</v>
      </c>
      <c r="F40" s="8" t="s">
        <v>26</v>
      </c>
      <c r="G40" s="13">
        <v>960</v>
      </c>
      <c r="H40" s="14">
        <f t="shared" si="12"/>
        <v>960</v>
      </c>
      <c r="I40" s="15">
        <f t="shared" ref="I40:I55" si="16">D40-H40</f>
        <v>1512</v>
      </c>
    </row>
    <row r="41" spans="1:9">
      <c r="A41" s="7" t="s">
        <v>96</v>
      </c>
      <c r="B41" s="14">
        <f t="shared" si="14"/>
        <v>1512</v>
      </c>
      <c r="C41" s="14">
        <v>624</v>
      </c>
      <c r="D41" s="14">
        <f t="shared" si="15"/>
        <v>2136</v>
      </c>
      <c r="E41" s="8"/>
      <c r="F41" s="8"/>
      <c r="G41" s="13"/>
      <c r="H41" s="14">
        <f t="shared" si="12"/>
        <v>0</v>
      </c>
      <c r="I41" s="15">
        <f t="shared" si="16"/>
        <v>2136</v>
      </c>
    </row>
    <row r="42" spans="1:9">
      <c r="A42" s="7" t="s">
        <v>96</v>
      </c>
      <c r="B42" s="14">
        <f t="shared" si="14"/>
        <v>2136</v>
      </c>
      <c r="C42" s="14"/>
      <c r="D42" s="14">
        <f t="shared" si="15"/>
        <v>2136</v>
      </c>
      <c r="E42" s="8">
        <v>57</v>
      </c>
      <c r="F42" s="8" t="s">
        <v>49</v>
      </c>
      <c r="G42" s="13">
        <v>600</v>
      </c>
      <c r="H42" s="14">
        <f t="shared" si="12"/>
        <v>600</v>
      </c>
      <c r="I42" s="15">
        <f t="shared" si="16"/>
        <v>1536</v>
      </c>
    </row>
    <row r="43" spans="1:9">
      <c r="A43" s="7" t="s">
        <v>96</v>
      </c>
      <c r="B43" s="14">
        <f t="shared" si="14"/>
        <v>1536</v>
      </c>
      <c r="C43" s="14"/>
      <c r="D43" s="14">
        <f t="shared" si="15"/>
        <v>1536</v>
      </c>
      <c r="E43" s="8">
        <v>58</v>
      </c>
      <c r="F43" s="8" t="s">
        <v>49</v>
      </c>
      <c r="G43" s="13">
        <v>960</v>
      </c>
      <c r="H43" s="14">
        <f t="shared" si="12"/>
        <v>960</v>
      </c>
      <c r="I43" s="15">
        <f t="shared" si="16"/>
        <v>576</v>
      </c>
    </row>
    <row r="44" spans="1:9">
      <c r="A44" s="9" t="s">
        <v>95</v>
      </c>
      <c r="B44" s="14">
        <f t="shared" si="14"/>
        <v>576</v>
      </c>
      <c r="C44" s="14"/>
      <c r="D44" s="14">
        <f t="shared" si="15"/>
        <v>576</v>
      </c>
      <c r="E44" s="8">
        <v>62</v>
      </c>
      <c r="F44" s="8" t="s">
        <v>53</v>
      </c>
      <c r="G44" s="13">
        <v>240</v>
      </c>
      <c r="H44" s="14">
        <f t="shared" si="12"/>
        <v>240</v>
      </c>
      <c r="I44" s="15">
        <f t="shared" si="16"/>
        <v>336</v>
      </c>
    </row>
    <row r="45" spans="1:9">
      <c r="A45" s="9"/>
      <c r="B45" s="14">
        <f t="shared" si="14"/>
        <v>336</v>
      </c>
      <c r="C45" s="14"/>
      <c r="D45" s="14">
        <f t="shared" si="15"/>
        <v>336</v>
      </c>
      <c r="E45" s="8"/>
      <c r="F45" s="8"/>
      <c r="G45" s="13"/>
      <c r="H45" s="14">
        <f t="shared" si="12"/>
        <v>0</v>
      </c>
      <c r="I45" s="15">
        <f t="shared" si="16"/>
        <v>336</v>
      </c>
    </row>
    <row r="46" spans="1:9">
      <c r="A46" s="9"/>
      <c r="B46" s="14">
        <f t="shared" si="14"/>
        <v>336</v>
      </c>
      <c r="C46" s="14"/>
      <c r="D46" s="14">
        <f t="shared" si="15"/>
        <v>336</v>
      </c>
      <c r="E46" s="8"/>
      <c r="F46" s="8"/>
      <c r="G46" s="13"/>
      <c r="H46" s="14">
        <f t="shared" si="12"/>
        <v>0</v>
      </c>
      <c r="I46" s="15">
        <f t="shared" si="16"/>
        <v>336</v>
      </c>
    </row>
    <row r="47" spans="1:9">
      <c r="A47" s="9"/>
      <c r="B47" s="14">
        <f t="shared" si="14"/>
        <v>336</v>
      </c>
      <c r="C47" s="14"/>
      <c r="D47" s="14">
        <f t="shared" si="15"/>
        <v>336</v>
      </c>
      <c r="E47" s="8"/>
      <c r="F47" s="8"/>
      <c r="G47" s="13"/>
      <c r="H47" s="14">
        <f t="shared" si="12"/>
        <v>0</v>
      </c>
      <c r="I47" s="15">
        <f t="shared" si="16"/>
        <v>336</v>
      </c>
    </row>
    <row r="48" spans="1:9">
      <c r="A48" s="9"/>
      <c r="B48" s="14">
        <f t="shared" si="14"/>
        <v>336</v>
      </c>
      <c r="C48" s="14"/>
      <c r="D48" s="14">
        <f t="shared" si="15"/>
        <v>336</v>
      </c>
      <c r="E48" s="8"/>
      <c r="F48" s="8"/>
      <c r="G48" s="13"/>
      <c r="H48" s="14">
        <f t="shared" si="12"/>
        <v>0</v>
      </c>
      <c r="I48" s="15">
        <f t="shared" si="16"/>
        <v>336</v>
      </c>
    </row>
    <row r="49" spans="1:9">
      <c r="A49" s="9"/>
      <c r="B49" s="14">
        <f t="shared" si="14"/>
        <v>336</v>
      </c>
      <c r="C49" s="14"/>
      <c r="D49" s="14">
        <f t="shared" si="15"/>
        <v>336</v>
      </c>
      <c r="E49" s="8"/>
      <c r="F49" s="8"/>
      <c r="G49" s="13"/>
      <c r="H49" s="14">
        <f t="shared" si="12"/>
        <v>0</v>
      </c>
      <c r="I49" s="15">
        <f t="shared" si="16"/>
        <v>336</v>
      </c>
    </row>
    <row r="50" spans="1:9">
      <c r="A50" s="9"/>
      <c r="B50" s="14">
        <f t="shared" si="14"/>
        <v>336</v>
      </c>
      <c r="C50" s="14"/>
      <c r="D50" s="14">
        <f t="shared" si="15"/>
        <v>336</v>
      </c>
      <c r="E50" s="8"/>
      <c r="F50" s="8"/>
      <c r="G50" s="13"/>
      <c r="H50" s="14">
        <f t="shared" si="12"/>
        <v>0</v>
      </c>
      <c r="I50" s="15">
        <f t="shared" si="16"/>
        <v>336</v>
      </c>
    </row>
    <row r="51" spans="1:9">
      <c r="A51" s="9"/>
      <c r="B51" s="14">
        <f t="shared" si="14"/>
        <v>336</v>
      </c>
      <c r="C51" s="14"/>
      <c r="D51" s="14">
        <f t="shared" si="15"/>
        <v>336</v>
      </c>
      <c r="E51" s="8"/>
      <c r="F51" s="8"/>
      <c r="G51" s="13"/>
      <c r="H51" s="14">
        <f t="shared" si="12"/>
        <v>0</v>
      </c>
      <c r="I51" s="15">
        <f t="shared" si="16"/>
        <v>336</v>
      </c>
    </row>
    <row r="52" spans="1:9">
      <c r="A52" s="9"/>
      <c r="B52" s="14">
        <f t="shared" si="14"/>
        <v>336</v>
      </c>
      <c r="C52" s="14"/>
      <c r="D52" s="14">
        <f t="shared" si="15"/>
        <v>336</v>
      </c>
      <c r="E52" s="8"/>
      <c r="F52" s="8"/>
      <c r="G52" s="13"/>
      <c r="H52" s="14">
        <f t="shared" si="12"/>
        <v>0</v>
      </c>
      <c r="I52" s="15">
        <f t="shared" si="16"/>
        <v>336</v>
      </c>
    </row>
    <row r="53" spans="1:9">
      <c r="A53" s="9"/>
      <c r="B53" s="14">
        <f t="shared" si="14"/>
        <v>336</v>
      </c>
      <c r="C53" s="14"/>
      <c r="D53" s="14">
        <f t="shared" si="15"/>
        <v>336</v>
      </c>
      <c r="E53" s="8"/>
      <c r="F53" s="8"/>
      <c r="G53" s="13"/>
      <c r="H53" s="14">
        <f t="shared" si="12"/>
        <v>0</v>
      </c>
      <c r="I53" s="15">
        <f t="shared" si="16"/>
        <v>336</v>
      </c>
    </row>
    <row r="54" spans="1:9">
      <c r="A54" s="9"/>
      <c r="B54" s="14">
        <f t="shared" si="14"/>
        <v>336</v>
      </c>
      <c r="C54" s="14"/>
      <c r="D54" s="14">
        <f t="shared" si="15"/>
        <v>336</v>
      </c>
      <c r="E54" s="8"/>
      <c r="F54" s="8"/>
      <c r="G54" s="13"/>
      <c r="H54" s="14">
        <f t="shared" si="12"/>
        <v>0</v>
      </c>
      <c r="I54" s="15">
        <f t="shared" si="16"/>
        <v>336</v>
      </c>
    </row>
    <row r="55" spans="1:9" ht="15.75" thickBot="1">
      <c r="A55" s="9"/>
      <c r="B55" s="14">
        <f t="shared" si="14"/>
        <v>336</v>
      </c>
      <c r="C55" s="14"/>
      <c r="D55" s="14">
        <f t="shared" si="15"/>
        <v>336</v>
      </c>
      <c r="E55" s="8"/>
      <c r="F55" s="8"/>
      <c r="G55" s="13"/>
      <c r="H55" s="14">
        <f t="shared" si="12"/>
        <v>0</v>
      </c>
      <c r="I55" s="15">
        <f t="shared" si="16"/>
        <v>336</v>
      </c>
    </row>
    <row r="56" spans="1:9" ht="15.75" thickBot="1">
      <c r="A56" s="33" t="s">
        <v>2</v>
      </c>
      <c r="B56" s="31"/>
      <c r="C56" s="34">
        <f>SUM(C38:C55)</f>
        <v>3096</v>
      </c>
      <c r="D56" s="31"/>
      <c r="E56" s="31"/>
      <c r="F56" s="31"/>
      <c r="G56" s="34">
        <f>SUM(G38:G55)</f>
        <v>2760</v>
      </c>
      <c r="H56" s="31"/>
      <c r="I56" s="32"/>
    </row>
  </sheetData>
  <mergeCells count="2">
    <mergeCell ref="A1:I1"/>
    <mergeCell ref="A35:I35"/>
  </mergeCells>
  <pageMargins left="0.77" right="0.57999999999999996" top="0.52" bottom="0.47" header="0.3" footer="0.3"/>
  <pageSetup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9"/>
  <sheetViews>
    <sheetView topLeftCell="A38" zoomScaleNormal="100" workbookViewId="0">
      <selection activeCell="A45" sqref="A45"/>
    </sheetView>
  </sheetViews>
  <sheetFormatPr defaultRowHeight="15"/>
  <cols>
    <col min="1" max="1" width="10.140625" bestFit="1" customWidth="1"/>
    <col min="2" max="2" width="10.140625" customWidth="1"/>
    <col min="3" max="3" width="9.5703125" customWidth="1"/>
    <col min="4" max="4" width="10.5703125" bestFit="1" customWidth="1"/>
    <col min="5" max="5" width="7.85546875" customWidth="1"/>
    <col min="6" max="6" width="12.5703125" customWidth="1"/>
    <col min="7" max="7" width="11" customWidth="1"/>
    <col min="8" max="8" width="10.7109375" customWidth="1"/>
    <col min="9" max="9" width="8.140625" customWidth="1"/>
  </cols>
  <sheetData>
    <row r="1" spans="1:9" ht="19.5" thickBot="1">
      <c r="A1" s="45" t="s">
        <v>12</v>
      </c>
      <c r="B1" s="45"/>
      <c r="C1" s="45"/>
      <c r="D1" s="45"/>
      <c r="E1" s="45"/>
      <c r="F1" s="45"/>
      <c r="G1" s="45"/>
      <c r="H1" s="45"/>
      <c r="I1" s="45"/>
    </row>
    <row r="2" spans="1:9" ht="39.75" thickBot="1">
      <c r="A2" s="6" t="s">
        <v>0</v>
      </c>
      <c r="B2" s="3" t="s">
        <v>1</v>
      </c>
      <c r="C2" s="4" t="s">
        <v>5</v>
      </c>
      <c r="D2" s="3" t="s">
        <v>2</v>
      </c>
      <c r="E2" s="3" t="s">
        <v>8</v>
      </c>
      <c r="F2" s="3" t="s">
        <v>6</v>
      </c>
      <c r="G2" s="3" t="s">
        <v>7</v>
      </c>
      <c r="H2" s="3" t="s">
        <v>3</v>
      </c>
      <c r="I2" s="5" t="s">
        <v>4</v>
      </c>
    </row>
    <row r="3" spans="1:9">
      <c r="A3" s="7" t="s">
        <v>18</v>
      </c>
      <c r="B3" s="14">
        <v>1176</v>
      </c>
      <c r="C3" s="14"/>
      <c r="D3" s="14">
        <f>B3+C3</f>
        <v>1176</v>
      </c>
      <c r="E3" s="8"/>
      <c r="F3" s="8"/>
      <c r="G3" s="13"/>
      <c r="H3" s="14">
        <f>G3</f>
        <v>0</v>
      </c>
      <c r="I3" s="15">
        <f>D3-H3</f>
        <v>1176</v>
      </c>
    </row>
    <row r="4" spans="1:9">
      <c r="A4" s="9" t="s">
        <v>22</v>
      </c>
      <c r="B4" s="16">
        <f>I3</f>
        <v>1176</v>
      </c>
      <c r="C4" s="16"/>
      <c r="D4" s="14">
        <f t="shared" ref="D4" si="0">B4+C4</f>
        <v>1176</v>
      </c>
      <c r="E4" s="12" t="s">
        <v>25</v>
      </c>
      <c r="F4" s="10" t="s">
        <v>26</v>
      </c>
      <c r="G4" s="16">
        <v>480</v>
      </c>
      <c r="H4" s="14">
        <f t="shared" ref="H4" si="1">G4</f>
        <v>480</v>
      </c>
      <c r="I4" s="15">
        <f t="shared" ref="I4" si="2">D4-H4</f>
        <v>696</v>
      </c>
    </row>
    <row r="5" spans="1:9">
      <c r="A5" s="9" t="s">
        <v>47</v>
      </c>
      <c r="B5" s="16">
        <f t="shared" ref="B5:B14" si="3">I4</f>
        <v>696</v>
      </c>
      <c r="C5" s="16">
        <v>624</v>
      </c>
      <c r="D5" s="14">
        <f t="shared" ref="D5:D14" si="4">B5+C5</f>
        <v>1320</v>
      </c>
      <c r="E5" s="12"/>
      <c r="F5" s="10"/>
      <c r="G5" s="16"/>
      <c r="H5" s="14">
        <f t="shared" ref="H5:H14" si="5">G5</f>
        <v>0</v>
      </c>
      <c r="I5" s="15">
        <f t="shared" ref="I5:I14" si="6">D5-H5</f>
        <v>1320</v>
      </c>
    </row>
    <row r="6" spans="1:9">
      <c r="A6" s="9" t="s">
        <v>47</v>
      </c>
      <c r="B6" s="16">
        <f t="shared" si="3"/>
        <v>1320</v>
      </c>
      <c r="C6" s="16"/>
      <c r="D6" s="14">
        <f t="shared" si="4"/>
        <v>1320</v>
      </c>
      <c r="E6" s="12">
        <v>14</v>
      </c>
      <c r="F6" s="10" t="s">
        <v>49</v>
      </c>
      <c r="G6" s="16">
        <v>240</v>
      </c>
      <c r="H6" s="14">
        <f t="shared" si="5"/>
        <v>240</v>
      </c>
      <c r="I6" s="15">
        <f t="shared" si="6"/>
        <v>1080</v>
      </c>
    </row>
    <row r="7" spans="1:9">
      <c r="A7" s="9" t="s">
        <v>47</v>
      </c>
      <c r="B7" s="16">
        <f t="shared" si="3"/>
        <v>1080</v>
      </c>
      <c r="C7" s="16"/>
      <c r="D7" s="14">
        <f t="shared" si="4"/>
        <v>1080</v>
      </c>
      <c r="E7" s="12">
        <v>15</v>
      </c>
      <c r="F7" s="10" t="s">
        <v>49</v>
      </c>
      <c r="G7" s="16">
        <v>480</v>
      </c>
      <c r="H7" s="14">
        <f t="shared" si="5"/>
        <v>480</v>
      </c>
      <c r="I7" s="15">
        <f t="shared" si="6"/>
        <v>600</v>
      </c>
    </row>
    <row r="8" spans="1:9">
      <c r="A8" s="9" t="s">
        <v>47</v>
      </c>
      <c r="B8" s="16">
        <f t="shared" si="3"/>
        <v>600</v>
      </c>
      <c r="C8" s="16"/>
      <c r="D8" s="14">
        <f t="shared" si="4"/>
        <v>600</v>
      </c>
      <c r="E8" s="12">
        <v>17</v>
      </c>
      <c r="F8" s="10" t="s">
        <v>26</v>
      </c>
      <c r="G8" s="16">
        <v>240</v>
      </c>
      <c r="H8" s="14">
        <f t="shared" si="5"/>
        <v>240</v>
      </c>
      <c r="I8" s="15">
        <f t="shared" si="6"/>
        <v>360</v>
      </c>
    </row>
    <row r="9" spans="1:9">
      <c r="A9" s="9" t="s">
        <v>52</v>
      </c>
      <c r="B9" s="16">
        <f t="shared" si="3"/>
        <v>360</v>
      </c>
      <c r="C9" s="16">
        <v>216</v>
      </c>
      <c r="D9" s="14">
        <f t="shared" si="4"/>
        <v>576</v>
      </c>
      <c r="E9" s="12"/>
      <c r="F9" s="10"/>
      <c r="G9" s="16"/>
      <c r="H9" s="14">
        <f t="shared" si="5"/>
        <v>0</v>
      </c>
      <c r="I9" s="15">
        <f t="shared" si="6"/>
        <v>576</v>
      </c>
    </row>
    <row r="10" spans="1:9">
      <c r="A10" s="9" t="s">
        <v>55</v>
      </c>
      <c r="B10" s="16">
        <f t="shared" si="3"/>
        <v>576</v>
      </c>
      <c r="C10" s="16">
        <v>408</v>
      </c>
      <c r="D10" s="14">
        <f t="shared" si="4"/>
        <v>984</v>
      </c>
      <c r="E10" s="12"/>
      <c r="F10" s="10"/>
      <c r="G10" s="16"/>
      <c r="H10" s="14">
        <f t="shared" si="5"/>
        <v>0</v>
      </c>
      <c r="I10" s="15">
        <f t="shared" si="6"/>
        <v>984</v>
      </c>
    </row>
    <row r="11" spans="1:9">
      <c r="A11" s="9" t="s">
        <v>55</v>
      </c>
      <c r="B11" s="16">
        <f t="shared" si="3"/>
        <v>984</v>
      </c>
      <c r="C11" s="16"/>
      <c r="D11" s="14">
        <f t="shared" si="4"/>
        <v>984</v>
      </c>
      <c r="E11" s="12">
        <v>22</v>
      </c>
      <c r="F11" s="10" t="s">
        <v>26</v>
      </c>
      <c r="G11" s="16">
        <v>600</v>
      </c>
      <c r="H11" s="14">
        <f t="shared" si="5"/>
        <v>600</v>
      </c>
      <c r="I11" s="15">
        <f t="shared" si="6"/>
        <v>384</v>
      </c>
    </row>
    <row r="12" spans="1:9">
      <c r="A12" s="9" t="s">
        <v>58</v>
      </c>
      <c r="B12" s="16">
        <f t="shared" si="3"/>
        <v>384</v>
      </c>
      <c r="C12" s="16">
        <v>456</v>
      </c>
      <c r="D12" s="14">
        <f t="shared" si="4"/>
        <v>840</v>
      </c>
      <c r="E12" s="12"/>
      <c r="F12" s="10"/>
      <c r="G12" s="16"/>
      <c r="H12" s="14">
        <f t="shared" si="5"/>
        <v>0</v>
      </c>
      <c r="I12" s="15">
        <f t="shared" si="6"/>
        <v>840</v>
      </c>
    </row>
    <row r="13" spans="1:9">
      <c r="A13" s="9" t="s">
        <v>62</v>
      </c>
      <c r="B13" s="16">
        <f t="shared" si="3"/>
        <v>840</v>
      </c>
      <c r="C13" s="16">
        <v>168</v>
      </c>
      <c r="D13" s="14">
        <f t="shared" si="4"/>
        <v>1008</v>
      </c>
      <c r="E13" s="12"/>
      <c r="F13" s="10"/>
      <c r="G13" s="16"/>
      <c r="H13" s="14">
        <f t="shared" si="5"/>
        <v>0</v>
      </c>
      <c r="I13" s="15">
        <f t="shared" si="6"/>
        <v>1008</v>
      </c>
    </row>
    <row r="14" spans="1:9">
      <c r="A14" s="9" t="s">
        <v>62</v>
      </c>
      <c r="B14" s="16">
        <f t="shared" si="3"/>
        <v>1008</v>
      </c>
      <c r="C14" s="16"/>
      <c r="D14" s="14">
        <f t="shared" si="4"/>
        <v>1008</v>
      </c>
      <c r="E14" s="12">
        <v>28</v>
      </c>
      <c r="F14" s="10" t="s">
        <v>63</v>
      </c>
      <c r="G14" s="16">
        <v>144</v>
      </c>
      <c r="H14" s="14">
        <f t="shared" si="5"/>
        <v>144</v>
      </c>
      <c r="I14" s="15">
        <f t="shared" si="6"/>
        <v>864</v>
      </c>
    </row>
    <row r="15" spans="1:9">
      <c r="A15" s="9" t="s">
        <v>62</v>
      </c>
      <c r="B15" s="16">
        <f t="shared" ref="B15:B21" si="7">I14</f>
        <v>864</v>
      </c>
      <c r="C15" s="16"/>
      <c r="D15" s="14">
        <f t="shared" ref="D15:D21" si="8">B15+C15</f>
        <v>864</v>
      </c>
      <c r="E15" s="12">
        <v>29</v>
      </c>
      <c r="F15" s="10" t="s">
        <v>64</v>
      </c>
      <c r="G15" s="16">
        <v>720</v>
      </c>
      <c r="H15" s="14">
        <f t="shared" ref="H15:H21" si="9">G15</f>
        <v>720</v>
      </c>
      <c r="I15" s="15">
        <f t="shared" ref="I15:I21" si="10">D15-H15</f>
        <v>144</v>
      </c>
    </row>
    <row r="16" spans="1:9">
      <c r="A16" s="9" t="s">
        <v>65</v>
      </c>
      <c r="B16" s="16">
        <f t="shared" si="7"/>
        <v>144</v>
      </c>
      <c r="C16" s="16"/>
      <c r="D16" s="14">
        <f t="shared" si="8"/>
        <v>144</v>
      </c>
      <c r="E16" s="12">
        <v>31</v>
      </c>
      <c r="F16" s="10" t="s">
        <v>44</v>
      </c>
      <c r="G16" s="16">
        <v>120</v>
      </c>
      <c r="H16" s="14">
        <f t="shared" si="9"/>
        <v>120</v>
      </c>
      <c r="I16" s="15">
        <f t="shared" si="10"/>
        <v>24</v>
      </c>
    </row>
    <row r="17" spans="1:9">
      <c r="A17" s="9" t="s">
        <v>67</v>
      </c>
      <c r="B17" s="16">
        <f t="shared" si="7"/>
        <v>24</v>
      </c>
      <c r="C17" s="16">
        <v>552</v>
      </c>
      <c r="D17" s="14">
        <f t="shared" si="8"/>
        <v>576</v>
      </c>
      <c r="E17" s="12"/>
      <c r="F17" s="10"/>
      <c r="G17" s="16"/>
      <c r="H17" s="14">
        <f t="shared" si="9"/>
        <v>0</v>
      </c>
      <c r="I17" s="15">
        <f t="shared" si="10"/>
        <v>576</v>
      </c>
    </row>
    <row r="18" spans="1:9">
      <c r="A18" s="9" t="s">
        <v>67</v>
      </c>
      <c r="B18" s="16">
        <f t="shared" si="7"/>
        <v>576</v>
      </c>
      <c r="C18" s="16"/>
      <c r="D18" s="14">
        <f t="shared" si="8"/>
        <v>576</v>
      </c>
      <c r="E18" s="12">
        <v>34</v>
      </c>
      <c r="F18" s="10" t="s">
        <v>26</v>
      </c>
      <c r="G18" s="16">
        <v>480</v>
      </c>
      <c r="H18" s="14">
        <f t="shared" si="9"/>
        <v>480</v>
      </c>
      <c r="I18" s="15">
        <f t="shared" si="10"/>
        <v>96</v>
      </c>
    </row>
    <row r="19" spans="1:9">
      <c r="A19" s="9" t="s">
        <v>68</v>
      </c>
      <c r="B19" s="16">
        <f t="shared" si="7"/>
        <v>96</v>
      </c>
      <c r="C19" s="16">
        <v>24</v>
      </c>
      <c r="D19" s="14">
        <f t="shared" si="8"/>
        <v>120</v>
      </c>
      <c r="E19" s="12"/>
      <c r="F19" s="10"/>
      <c r="G19" s="16"/>
      <c r="H19" s="14">
        <f t="shared" si="9"/>
        <v>0</v>
      </c>
      <c r="I19" s="15">
        <f t="shared" si="10"/>
        <v>120</v>
      </c>
    </row>
    <row r="20" spans="1:9">
      <c r="A20" s="9" t="s">
        <v>68</v>
      </c>
      <c r="B20" s="16">
        <f t="shared" si="7"/>
        <v>120</v>
      </c>
      <c r="C20" s="16"/>
      <c r="D20" s="14">
        <f t="shared" si="8"/>
        <v>120</v>
      </c>
      <c r="E20" s="12">
        <v>36</v>
      </c>
      <c r="F20" s="10" t="s">
        <v>44</v>
      </c>
      <c r="G20" s="16">
        <v>120</v>
      </c>
      <c r="H20" s="14">
        <f t="shared" si="9"/>
        <v>120</v>
      </c>
      <c r="I20" s="15">
        <f t="shared" si="10"/>
        <v>0</v>
      </c>
    </row>
    <row r="21" spans="1:9">
      <c r="A21" s="9" t="s">
        <v>70</v>
      </c>
      <c r="B21" s="16">
        <f t="shared" si="7"/>
        <v>0</v>
      </c>
      <c r="C21" s="16">
        <v>240</v>
      </c>
      <c r="D21" s="14">
        <f t="shared" si="8"/>
        <v>240</v>
      </c>
      <c r="E21" s="12"/>
      <c r="F21" s="10"/>
      <c r="G21" s="16"/>
      <c r="H21" s="14">
        <f t="shared" si="9"/>
        <v>0</v>
      </c>
      <c r="I21" s="15">
        <f t="shared" si="10"/>
        <v>240</v>
      </c>
    </row>
    <row r="22" spans="1:9">
      <c r="A22" s="9" t="s">
        <v>70</v>
      </c>
      <c r="B22" s="16">
        <f t="shared" ref="B22:B30" si="11">I21</f>
        <v>240</v>
      </c>
      <c r="C22" s="16"/>
      <c r="D22" s="14">
        <f t="shared" ref="D22:D30" si="12">B22+C22</f>
        <v>240</v>
      </c>
      <c r="E22" s="12">
        <v>37</v>
      </c>
      <c r="F22" s="10" t="s">
        <v>49</v>
      </c>
      <c r="G22" s="16">
        <v>240</v>
      </c>
      <c r="H22" s="14">
        <f t="shared" ref="H22:H30" si="13">G22</f>
        <v>240</v>
      </c>
      <c r="I22" s="15">
        <f t="shared" ref="I22:I30" si="14">D22-H22</f>
        <v>0</v>
      </c>
    </row>
    <row r="23" spans="1:9">
      <c r="A23" s="9" t="s">
        <v>71</v>
      </c>
      <c r="B23" s="16">
        <f t="shared" si="11"/>
        <v>0</v>
      </c>
      <c r="C23" s="16">
        <v>984</v>
      </c>
      <c r="D23" s="14">
        <f t="shared" si="12"/>
        <v>984</v>
      </c>
      <c r="E23" s="12"/>
      <c r="F23" s="10"/>
      <c r="G23" s="16"/>
      <c r="H23" s="14">
        <f t="shared" si="13"/>
        <v>0</v>
      </c>
      <c r="I23" s="15">
        <f t="shared" si="14"/>
        <v>984</v>
      </c>
    </row>
    <row r="24" spans="1:9">
      <c r="A24" s="9" t="s">
        <v>72</v>
      </c>
      <c r="B24" s="16">
        <f t="shared" si="11"/>
        <v>984</v>
      </c>
      <c r="C24" s="16">
        <v>576</v>
      </c>
      <c r="D24" s="14">
        <f t="shared" si="12"/>
        <v>1560</v>
      </c>
      <c r="E24" s="12"/>
      <c r="F24" s="10"/>
      <c r="G24" s="16"/>
      <c r="H24" s="14">
        <f t="shared" si="13"/>
        <v>0</v>
      </c>
      <c r="I24" s="15">
        <f t="shared" si="14"/>
        <v>1560</v>
      </c>
    </row>
    <row r="25" spans="1:9">
      <c r="A25" s="9" t="s">
        <v>72</v>
      </c>
      <c r="B25" s="16">
        <f t="shared" si="11"/>
        <v>1560</v>
      </c>
      <c r="C25" s="16"/>
      <c r="D25" s="14">
        <f t="shared" si="12"/>
        <v>1560</v>
      </c>
      <c r="E25" s="12">
        <v>40</v>
      </c>
      <c r="F25" s="10" t="s">
        <v>26</v>
      </c>
      <c r="G25" s="16">
        <v>1200</v>
      </c>
      <c r="H25" s="14">
        <f t="shared" si="13"/>
        <v>1200</v>
      </c>
      <c r="I25" s="15">
        <f t="shared" si="14"/>
        <v>360</v>
      </c>
    </row>
    <row r="26" spans="1:9">
      <c r="A26" s="9" t="s">
        <v>75</v>
      </c>
      <c r="B26" s="16">
        <f t="shared" si="11"/>
        <v>360</v>
      </c>
      <c r="C26" s="16">
        <v>864</v>
      </c>
      <c r="D26" s="14">
        <f t="shared" si="12"/>
        <v>1224</v>
      </c>
      <c r="E26" s="12"/>
      <c r="F26" s="10"/>
      <c r="G26" s="16"/>
      <c r="H26" s="14">
        <f t="shared" si="13"/>
        <v>0</v>
      </c>
      <c r="I26" s="15">
        <f t="shared" si="14"/>
        <v>1224</v>
      </c>
    </row>
    <row r="27" spans="1:9">
      <c r="A27" s="9" t="s">
        <v>75</v>
      </c>
      <c r="B27" s="16">
        <f t="shared" si="11"/>
        <v>1224</v>
      </c>
      <c r="C27" s="16"/>
      <c r="D27" s="14">
        <f t="shared" si="12"/>
        <v>1224</v>
      </c>
      <c r="E27" s="12">
        <v>44</v>
      </c>
      <c r="F27" s="10" t="s">
        <v>64</v>
      </c>
      <c r="G27" s="16">
        <v>720</v>
      </c>
      <c r="H27" s="14">
        <f t="shared" si="13"/>
        <v>720</v>
      </c>
      <c r="I27" s="15">
        <f t="shared" si="14"/>
        <v>504</v>
      </c>
    </row>
    <row r="28" spans="1:9">
      <c r="A28" s="9" t="s">
        <v>76</v>
      </c>
      <c r="B28" s="16">
        <f t="shared" si="11"/>
        <v>504</v>
      </c>
      <c r="C28" s="16"/>
      <c r="D28" s="14">
        <f t="shared" si="12"/>
        <v>504</v>
      </c>
      <c r="E28" s="12">
        <v>48</v>
      </c>
      <c r="F28" s="10" t="s">
        <v>53</v>
      </c>
      <c r="G28" s="16">
        <v>240</v>
      </c>
      <c r="H28" s="14">
        <f t="shared" si="13"/>
        <v>240</v>
      </c>
      <c r="I28" s="15">
        <f t="shared" si="14"/>
        <v>264</v>
      </c>
    </row>
    <row r="29" spans="1:9">
      <c r="A29" s="9" t="s">
        <v>78</v>
      </c>
      <c r="B29" s="16">
        <f t="shared" si="11"/>
        <v>264</v>
      </c>
      <c r="C29" s="16">
        <v>216</v>
      </c>
      <c r="D29" s="14">
        <f t="shared" si="12"/>
        <v>480</v>
      </c>
      <c r="E29" s="12"/>
      <c r="F29" s="10"/>
      <c r="G29" s="16"/>
      <c r="H29" s="14">
        <f t="shared" si="13"/>
        <v>0</v>
      </c>
      <c r="I29" s="15">
        <f t="shared" si="14"/>
        <v>480</v>
      </c>
    </row>
    <row r="30" spans="1:9">
      <c r="A30" s="9" t="s">
        <v>78</v>
      </c>
      <c r="B30" s="16">
        <f t="shared" si="11"/>
        <v>480</v>
      </c>
      <c r="C30" s="16"/>
      <c r="D30" s="14">
        <f t="shared" si="12"/>
        <v>480</v>
      </c>
      <c r="E30" s="12">
        <v>49</v>
      </c>
      <c r="F30" s="10" t="s">
        <v>49</v>
      </c>
      <c r="G30" s="16">
        <v>240</v>
      </c>
      <c r="H30" s="14">
        <f t="shared" si="13"/>
        <v>240</v>
      </c>
      <c r="I30" s="15">
        <f t="shared" si="14"/>
        <v>240</v>
      </c>
    </row>
    <row r="31" spans="1:9">
      <c r="A31" s="9" t="s">
        <v>78</v>
      </c>
      <c r="B31" s="16">
        <f t="shared" ref="B31:B32" si="15">I30</f>
        <v>240</v>
      </c>
      <c r="C31" s="16"/>
      <c r="D31" s="14">
        <f t="shared" ref="D31:D32" si="16">B31+C31</f>
        <v>240</v>
      </c>
      <c r="E31" s="12">
        <v>51</v>
      </c>
      <c r="F31" s="10" t="s">
        <v>49</v>
      </c>
      <c r="G31" s="16">
        <v>240</v>
      </c>
      <c r="H31" s="14">
        <f t="shared" ref="H31:H32" si="17">G31</f>
        <v>240</v>
      </c>
      <c r="I31" s="15">
        <f t="shared" ref="I31:I32" si="18">D31-H31</f>
        <v>0</v>
      </c>
    </row>
    <row r="32" spans="1:9" ht="15.75" thickBot="1">
      <c r="A32" s="9"/>
      <c r="B32" s="16">
        <f t="shared" si="15"/>
        <v>0</v>
      </c>
      <c r="C32" s="16"/>
      <c r="D32" s="14">
        <f t="shared" si="16"/>
        <v>0</v>
      </c>
      <c r="E32" s="12"/>
      <c r="F32" s="10"/>
      <c r="G32" s="16"/>
      <c r="H32" s="14">
        <f t="shared" si="17"/>
        <v>0</v>
      </c>
      <c r="I32" s="15">
        <f t="shared" si="18"/>
        <v>0</v>
      </c>
    </row>
    <row r="33" spans="1:9" ht="15.75" thickBot="1">
      <c r="A33" s="33" t="s">
        <v>2</v>
      </c>
      <c r="B33" s="31"/>
      <c r="C33" s="34">
        <f>SUM(C3:C32)</f>
        <v>5328</v>
      </c>
      <c r="D33" s="31"/>
      <c r="E33" s="31"/>
      <c r="F33" s="31"/>
      <c r="G33" s="34">
        <f>SUM(G3:G32)</f>
        <v>6504</v>
      </c>
      <c r="H33" s="31"/>
      <c r="I33" s="32"/>
    </row>
    <row r="36" spans="1:9" ht="19.5" thickBot="1">
      <c r="A36" s="45" t="s">
        <v>86</v>
      </c>
      <c r="B36" s="45"/>
      <c r="C36" s="45"/>
      <c r="D36" s="45"/>
      <c r="E36" s="45"/>
      <c r="F36" s="45"/>
      <c r="G36" s="45"/>
      <c r="H36" s="45"/>
      <c r="I36" s="45"/>
    </row>
    <row r="37" spans="1:9" ht="39.75" thickBot="1">
      <c r="A37" s="6" t="s">
        <v>0</v>
      </c>
      <c r="B37" s="3" t="s">
        <v>1</v>
      </c>
      <c r="C37" s="4" t="s">
        <v>5</v>
      </c>
      <c r="D37" s="3" t="s">
        <v>2</v>
      </c>
      <c r="E37" s="3" t="s">
        <v>8</v>
      </c>
      <c r="F37" s="3" t="s">
        <v>6</v>
      </c>
      <c r="G37" s="3" t="s">
        <v>7</v>
      </c>
      <c r="H37" s="3" t="s">
        <v>3</v>
      </c>
      <c r="I37" s="5" t="s">
        <v>4</v>
      </c>
    </row>
    <row r="38" spans="1:9">
      <c r="A38" s="7" t="s">
        <v>80</v>
      </c>
      <c r="B38" s="14">
        <v>0</v>
      </c>
      <c r="C38" s="14">
        <v>264</v>
      </c>
      <c r="D38" s="14">
        <f>B38+C38</f>
        <v>264</v>
      </c>
      <c r="E38" s="8"/>
      <c r="F38" s="8"/>
      <c r="G38" s="13"/>
      <c r="H38" s="14">
        <f>G38</f>
        <v>0</v>
      </c>
      <c r="I38" s="15">
        <f>D38-H38</f>
        <v>264</v>
      </c>
    </row>
    <row r="39" spans="1:9">
      <c r="A39" s="7" t="s">
        <v>80</v>
      </c>
      <c r="B39" s="14">
        <v>0</v>
      </c>
      <c r="C39" s="14">
        <v>264</v>
      </c>
      <c r="D39" s="14">
        <f>B39+C39</f>
        <v>264</v>
      </c>
      <c r="E39" s="8"/>
      <c r="F39" s="8"/>
      <c r="G39" s="13"/>
      <c r="H39" s="14">
        <f>G39</f>
        <v>0</v>
      </c>
      <c r="I39" s="15">
        <f>D39-H39</f>
        <v>264</v>
      </c>
    </row>
    <row r="40" spans="1:9">
      <c r="A40" s="9" t="s">
        <v>90</v>
      </c>
      <c r="B40" s="16">
        <f>I38</f>
        <v>264</v>
      </c>
      <c r="C40" s="16">
        <v>552</v>
      </c>
      <c r="D40" s="14">
        <f t="shared" ref="D40:D68" si="19">B40+C40</f>
        <v>816</v>
      </c>
      <c r="E40" s="12"/>
      <c r="F40" s="10"/>
      <c r="G40" s="16"/>
      <c r="H40" s="14">
        <f t="shared" ref="H40:H68" si="20">G40</f>
        <v>0</v>
      </c>
      <c r="I40" s="15">
        <f t="shared" ref="I40:I68" si="21">D40-H40</f>
        <v>816</v>
      </c>
    </row>
    <row r="41" spans="1:9">
      <c r="A41" s="9" t="s">
        <v>91</v>
      </c>
      <c r="B41" s="16">
        <f t="shared" ref="B41:B68" si="22">I40</f>
        <v>816</v>
      </c>
      <c r="C41" s="16">
        <v>1656</v>
      </c>
      <c r="D41" s="14">
        <f t="shared" si="19"/>
        <v>2472</v>
      </c>
      <c r="E41" s="12"/>
      <c r="F41" s="10"/>
      <c r="G41" s="16"/>
      <c r="H41" s="14">
        <f t="shared" si="20"/>
        <v>0</v>
      </c>
      <c r="I41" s="15">
        <f t="shared" si="21"/>
        <v>2472</v>
      </c>
    </row>
    <row r="42" spans="1:9">
      <c r="A42" s="9" t="s">
        <v>36</v>
      </c>
      <c r="B42" s="16">
        <f t="shared" si="22"/>
        <v>2472</v>
      </c>
      <c r="C42" s="16">
        <v>24</v>
      </c>
      <c r="D42" s="14">
        <f t="shared" si="19"/>
        <v>2496</v>
      </c>
      <c r="E42" s="12"/>
      <c r="F42" s="10"/>
      <c r="G42" s="16"/>
      <c r="H42" s="14">
        <f t="shared" si="20"/>
        <v>0</v>
      </c>
      <c r="I42" s="15">
        <f t="shared" si="21"/>
        <v>2496</v>
      </c>
    </row>
    <row r="43" spans="1:9">
      <c r="A43" s="9" t="s">
        <v>99</v>
      </c>
      <c r="B43" s="16">
        <f t="shared" si="22"/>
        <v>2496</v>
      </c>
      <c r="C43" s="16"/>
      <c r="D43" s="14">
        <f t="shared" si="19"/>
        <v>2496</v>
      </c>
      <c r="E43" s="12">
        <v>53</v>
      </c>
      <c r="F43" s="10" t="s">
        <v>26</v>
      </c>
      <c r="G43" s="16">
        <v>600</v>
      </c>
      <c r="H43" s="14">
        <f t="shared" si="20"/>
        <v>600</v>
      </c>
      <c r="I43" s="15">
        <f t="shared" si="21"/>
        <v>1896</v>
      </c>
    </row>
    <row r="44" spans="1:9">
      <c r="A44" s="9" t="s">
        <v>96</v>
      </c>
      <c r="B44" s="16">
        <f t="shared" si="22"/>
        <v>1896</v>
      </c>
      <c r="C44" s="16"/>
      <c r="D44" s="14">
        <f t="shared" si="19"/>
        <v>1896</v>
      </c>
      <c r="E44" s="12">
        <v>58</v>
      </c>
      <c r="F44" s="10" t="s">
        <v>49</v>
      </c>
      <c r="G44" s="16">
        <v>480</v>
      </c>
      <c r="H44" s="14">
        <f t="shared" si="20"/>
        <v>480</v>
      </c>
      <c r="I44" s="15">
        <f t="shared" si="21"/>
        <v>1416</v>
      </c>
    </row>
    <row r="45" spans="1:9">
      <c r="A45" s="9"/>
      <c r="B45" s="16">
        <f t="shared" si="22"/>
        <v>1416</v>
      </c>
      <c r="C45" s="16"/>
      <c r="D45" s="14">
        <f t="shared" si="19"/>
        <v>1416</v>
      </c>
      <c r="E45" s="12"/>
      <c r="F45" s="10"/>
      <c r="G45" s="16"/>
      <c r="H45" s="14">
        <f t="shared" si="20"/>
        <v>0</v>
      </c>
      <c r="I45" s="15">
        <f t="shared" si="21"/>
        <v>1416</v>
      </c>
    </row>
    <row r="46" spans="1:9">
      <c r="A46" s="9"/>
      <c r="B46" s="16">
        <f t="shared" si="22"/>
        <v>1416</v>
      </c>
      <c r="C46" s="16"/>
      <c r="D46" s="14">
        <f t="shared" si="19"/>
        <v>1416</v>
      </c>
      <c r="E46" s="12"/>
      <c r="F46" s="10"/>
      <c r="G46" s="16"/>
      <c r="H46" s="14">
        <f t="shared" si="20"/>
        <v>0</v>
      </c>
      <c r="I46" s="15">
        <f t="shared" si="21"/>
        <v>1416</v>
      </c>
    </row>
    <row r="47" spans="1:9">
      <c r="A47" s="9"/>
      <c r="B47" s="16">
        <f t="shared" si="22"/>
        <v>1416</v>
      </c>
      <c r="C47" s="16"/>
      <c r="D47" s="14">
        <f t="shared" si="19"/>
        <v>1416</v>
      </c>
      <c r="E47" s="12"/>
      <c r="F47" s="10"/>
      <c r="G47" s="16"/>
      <c r="H47" s="14">
        <f t="shared" si="20"/>
        <v>0</v>
      </c>
      <c r="I47" s="15">
        <f t="shared" si="21"/>
        <v>1416</v>
      </c>
    </row>
    <row r="48" spans="1:9">
      <c r="A48" s="9"/>
      <c r="B48" s="16">
        <f t="shared" si="22"/>
        <v>1416</v>
      </c>
      <c r="C48" s="16"/>
      <c r="D48" s="14">
        <f t="shared" si="19"/>
        <v>1416</v>
      </c>
      <c r="E48" s="12"/>
      <c r="F48" s="10"/>
      <c r="G48" s="16"/>
      <c r="H48" s="14">
        <f t="shared" si="20"/>
        <v>0</v>
      </c>
      <c r="I48" s="15">
        <f t="shared" si="21"/>
        <v>1416</v>
      </c>
    </row>
    <row r="49" spans="1:9">
      <c r="A49" s="9"/>
      <c r="B49" s="16">
        <f t="shared" si="22"/>
        <v>1416</v>
      </c>
      <c r="C49" s="16"/>
      <c r="D49" s="14">
        <f t="shared" si="19"/>
        <v>1416</v>
      </c>
      <c r="E49" s="12"/>
      <c r="F49" s="10"/>
      <c r="G49" s="16"/>
      <c r="H49" s="14">
        <f t="shared" si="20"/>
        <v>0</v>
      </c>
      <c r="I49" s="15">
        <f t="shared" si="21"/>
        <v>1416</v>
      </c>
    </row>
    <row r="50" spans="1:9">
      <c r="A50" s="9"/>
      <c r="B50" s="16">
        <f t="shared" si="22"/>
        <v>1416</v>
      </c>
      <c r="C50" s="16"/>
      <c r="D50" s="14">
        <f t="shared" si="19"/>
        <v>1416</v>
      </c>
      <c r="E50" s="12"/>
      <c r="F50" s="10"/>
      <c r="G50" s="16"/>
      <c r="H50" s="14">
        <f t="shared" si="20"/>
        <v>0</v>
      </c>
      <c r="I50" s="15">
        <f t="shared" si="21"/>
        <v>1416</v>
      </c>
    </row>
    <row r="51" spans="1:9">
      <c r="A51" s="9"/>
      <c r="B51" s="16">
        <f t="shared" si="22"/>
        <v>1416</v>
      </c>
      <c r="C51" s="16"/>
      <c r="D51" s="14">
        <f t="shared" si="19"/>
        <v>1416</v>
      </c>
      <c r="E51" s="12"/>
      <c r="F51" s="10"/>
      <c r="G51" s="16"/>
      <c r="H51" s="14">
        <f t="shared" si="20"/>
        <v>0</v>
      </c>
      <c r="I51" s="15">
        <f t="shared" si="21"/>
        <v>1416</v>
      </c>
    </row>
    <row r="52" spans="1:9">
      <c r="A52" s="9"/>
      <c r="B52" s="16">
        <f t="shared" si="22"/>
        <v>1416</v>
      </c>
      <c r="C52" s="16"/>
      <c r="D52" s="14">
        <f t="shared" si="19"/>
        <v>1416</v>
      </c>
      <c r="E52" s="12"/>
      <c r="F52" s="10"/>
      <c r="G52" s="16"/>
      <c r="H52" s="14">
        <f t="shared" si="20"/>
        <v>0</v>
      </c>
      <c r="I52" s="15">
        <f t="shared" si="21"/>
        <v>1416</v>
      </c>
    </row>
    <row r="53" spans="1:9">
      <c r="A53" s="9"/>
      <c r="B53" s="16">
        <f t="shared" si="22"/>
        <v>1416</v>
      </c>
      <c r="C53" s="16"/>
      <c r="D53" s="14">
        <f t="shared" si="19"/>
        <v>1416</v>
      </c>
      <c r="E53" s="12"/>
      <c r="F53" s="10"/>
      <c r="G53" s="16"/>
      <c r="H53" s="14">
        <f t="shared" si="20"/>
        <v>0</v>
      </c>
      <c r="I53" s="15">
        <f t="shared" si="21"/>
        <v>1416</v>
      </c>
    </row>
    <row r="54" spans="1:9">
      <c r="A54" s="9"/>
      <c r="B54" s="16">
        <f t="shared" si="22"/>
        <v>1416</v>
      </c>
      <c r="C54" s="16"/>
      <c r="D54" s="14">
        <f t="shared" si="19"/>
        <v>1416</v>
      </c>
      <c r="E54" s="12"/>
      <c r="F54" s="10"/>
      <c r="G54" s="16"/>
      <c r="H54" s="14">
        <f t="shared" si="20"/>
        <v>0</v>
      </c>
      <c r="I54" s="15">
        <f t="shared" si="21"/>
        <v>1416</v>
      </c>
    </row>
    <row r="55" spans="1:9">
      <c r="A55" s="9"/>
      <c r="B55" s="16">
        <f t="shared" si="22"/>
        <v>1416</v>
      </c>
      <c r="C55" s="16"/>
      <c r="D55" s="14">
        <f t="shared" si="19"/>
        <v>1416</v>
      </c>
      <c r="E55" s="12"/>
      <c r="F55" s="10"/>
      <c r="G55" s="16"/>
      <c r="H55" s="14">
        <f t="shared" si="20"/>
        <v>0</v>
      </c>
      <c r="I55" s="15">
        <f t="shared" si="21"/>
        <v>1416</v>
      </c>
    </row>
    <row r="56" spans="1:9">
      <c r="A56" s="9"/>
      <c r="B56" s="16">
        <f t="shared" si="22"/>
        <v>1416</v>
      </c>
      <c r="C56" s="16"/>
      <c r="D56" s="14">
        <f t="shared" si="19"/>
        <v>1416</v>
      </c>
      <c r="E56" s="12"/>
      <c r="F56" s="10"/>
      <c r="G56" s="16"/>
      <c r="H56" s="14">
        <f t="shared" si="20"/>
        <v>0</v>
      </c>
      <c r="I56" s="15">
        <f t="shared" si="21"/>
        <v>1416</v>
      </c>
    </row>
    <row r="57" spans="1:9">
      <c r="A57" s="9"/>
      <c r="B57" s="16">
        <f t="shared" si="22"/>
        <v>1416</v>
      </c>
      <c r="C57" s="16"/>
      <c r="D57" s="14">
        <f t="shared" si="19"/>
        <v>1416</v>
      </c>
      <c r="E57" s="12"/>
      <c r="F57" s="10"/>
      <c r="G57" s="16"/>
      <c r="H57" s="14">
        <f t="shared" si="20"/>
        <v>0</v>
      </c>
      <c r="I57" s="15">
        <f t="shared" si="21"/>
        <v>1416</v>
      </c>
    </row>
    <row r="58" spans="1:9">
      <c r="A58" s="9"/>
      <c r="B58" s="16">
        <f t="shared" si="22"/>
        <v>1416</v>
      </c>
      <c r="C58" s="16"/>
      <c r="D58" s="14">
        <f t="shared" si="19"/>
        <v>1416</v>
      </c>
      <c r="E58" s="12"/>
      <c r="F58" s="10"/>
      <c r="G58" s="16"/>
      <c r="H58" s="14">
        <f t="shared" si="20"/>
        <v>0</v>
      </c>
      <c r="I58" s="15">
        <f t="shared" si="21"/>
        <v>1416</v>
      </c>
    </row>
    <row r="59" spans="1:9">
      <c r="A59" s="9"/>
      <c r="B59" s="16">
        <f t="shared" si="22"/>
        <v>1416</v>
      </c>
      <c r="C59" s="16"/>
      <c r="D59" s="14">
        <f t="shared" si="19"/>
        <v>1416</v>
      </c>
      <c r="E59" s="12"/>
      <c r="F59" s="10"/>
      <c r="G59" s="16"/>
      <c r="H59" s="14">
        <f t="shared" si="20"/>
        <v>0</v>
      </c>
      <c r="I59" s="15">
        <f t="shared" si="21"/>
        <v>1416</v>
      </c>
    </row>
    <row r="60" spans="1:9">
      <c r="A60" s="9"/>
      <c r="B60" s="16">
        <f t="shared" si="22"/>
        <v>1416</v>
      </c>
      <c r="C60" s="16"/>
      <c r="D60" s="14">
        <f t="shared" si="19"/>
        <v>1416</v>
      </c>
      <c r="E60" s="12"/>
      <c r="F60" s="10"/>
      <c r="G60" s="16"/>
      <c r="H60" s="14">
        <f t="shared" si="20"/>
        <v>0</v>
      </c>
      <c r="I60" s="15">
        <f t="shared" si="21"/>
        <v>1416</v>
      </c>
    </row>
    <row r="61" spans="1:9">
      <c r="A61" s="9"/>
      <c r="B61" s="16">
        <f t="shared" si="22"/>
        <v>1416</v>
      </c>
      <c r="C61" s="16"/>
      <c r="D61" s="14">
        <f t="shared" si="19"/>
        <v>1416</v>
      </c>
      <c r="E61" s="12"/>
      <c r="F61" s="10"/>
      <c r="G61" s="16"/>
      <c r="H61" s="14">
        <f t="shared" si="20"/>
        <v>0</v>
      </c>
      <c r="I61" s="15">
        <f t="shared" si="21"/>
        <v>1416</v>
      </c>
    </row>
    <row r="62" spans="1:9">
      <c r="A62" s="9"/>
      <c r="B62" s="16">
        <f t="shared" si="22"/>
        <v>1416</v>
      </c>
      <c r="C62" s="16"/>
      <c r="D62" s="14">
        <f t="shared" si="19"/>
        <v>1416</v>
      </c>
      <c r="E62" s="12"/>
      <c r="F62" s="10"/>
      <c r="G62" s="16"/>
      <c r="H62" s="14">
        <f t="shared" si="20"/>
        <v>0</v>
      </c>
      <c r="I62" s="15">
        <f t="shared" si="21"/>
        <v>1416</v>
      </c>
    </row>
    <row r="63" spans="1:9">
      <c r="A63" s="9"/>
      <c r="B63" s="16">
        <f t="shared" si="22"/>
        <v>1416</v>
      </c>
      <c r="C63" s="16"/>
      <c r="D63" s="14">
        <f t="shared" si="19"/>
        <v>1416</v>
      </c>
      <c r="E63" s="12"/>
      <c r="F63" s="10"/>
      <c r="G63" s="16"/>
      <c r="H63" s="14">
        <f t="shared" si="20"/>
        <v>0</v>
      </c>
      <c r="I63" s="15">
        <f t="shared" si="21"/>
        <v>1416</v>
      </c>
    </row>
    <row r="64" spans="1:9">
      <c r="A64" s="9"/>
      <c r="B64" s="16">
        <f t="shared" si="22"/>
        <v>1416</v>
      </c>
      <c r="C64" s="16"/>
      <c r="D64" s="14">
        <f t="shared" si="19"/>
        <v>1416</v>
      </c>
      <c r="E64" s="12"/>
      <c r="F64" s="10"/>
      <c r="G64" s="16"/>
      <c r="H64" s="14">
        <f t="shared" si="20"/>
        <v>0</v>
      </c>
      <c r="I64" s="15">
        <f t="shared" si="21"/>
        <v>1416</v>
      </c>
    </row>
    <row r="65" spans="1:9">
      <c r="A65" s="9"/>
      <c r="B65" s="16">
        <f t="shared" si="22"/>
        <v>1416</v>
      </c>
      <c r="C65" s="16"/>
      <c r="D65" s="14">
        <f t="shared" si="19"/>
        <v>1416</v>
      </c>
      <c r="E65" s="12"/>
      <c r="F65" s="10"/>
      <c r="G65" s="16"/>
      <c r="H65" s="14">
        <f t="shared" si="20"/>
        <v>0</v>
      </c>
      <c r="I65" s="15">
        <f t="shared" si="21"/>
        <v>1416</v>
      </c>
    </row>
    <row r="66" spans="1:9">
      <c r="A66" s="9"/>
      <c r="B66" s="16">
        <f t="shared" si="22"/>
        <v>1416</v>
      </c>
      <c r="C66" s="16"/>
      <c r="D66" s="14">
        <f t="shared" si="19"/>
        <v>1416</v>
      </c>
      <c r="E66" s="12"/>
      <c r="F66" s="10"/>
      <c r="G66" s="16"/>
      <c r="H66" s="14">
        <f t="shared" si="20"/>
        <v>0</v>
      </c>
      <c r="I66" s="15">
        <f t="shared" si="21"/>
        <v>1416</v>
      </c>
    </row>
    <row r="67" spans="1:9">
      <c r="A67" s="9"/>
      <c r="B67" s="16">
        <f t="shared" si="22"/>
        <v>1416</v>
      </c>
      <c r="C67" s="16"/>
      <c r="D67" s="14">
        <f t="shared" si="19"/>
        <v>1416</v>
      </c>
      <c r="E67" s="12"/>
      <c r="F67" s="10"/>
      <c r="G67" s="16"/>
      <c r="H67" s="14">
        <f t="shared" si="20"/>
        <v>0</v>
      </c>
      <c r="I67" s="15">
        <f t="shared" si="21"/>
        <v>1416</v>
      </c>
    </row>
    <row r="68" spans="1:9" ht="15.75" thickBot="1">
      <c r="A68" s="9"/>
      <c r="B68" s="16">
        <f t="shared" si="22"/>
        <v>1416</v>
      </c>
      <c r="C68" s="16"/>
      <c r="D68" s="14">
        <f t="shared" si="19"/>
        <v>1416</v>
      </c>
      <c r="E68" s="12"/>
      <c r="F68" s="10"/>
      <c r="G68" s="16"/>
      <c r="H68" s="14">
        <f t="shared" si="20"/>
        <v>0</v>
      </c>
      <c r="I68" s="15">
        <f t="shared" si="21"/>
        <v>1416</v>
      </c>
    </row>
    <row r="69" spans="1:9" ht="15.75" thickBot="1">
      <c r="A69" s="33" t="s">
        <v>2</v>
      </c>
      <c r="B69" s="31"/>
      <c r="C69" s="34">
        <f>SUM(C38:C68)</f>
        <v>2760</v>
      </c>
      <c r="D69" s="31"/>
      <c r="E69" s="31"/>
      <c r="F69" s="31"/>
      <c r="G69" s="34">
        <f>SUM(G38:G68)</f>
        <v>1080</v>
      </c>
      <c r="H69" s="31"/>
      <c r="I69" s="32"/>
    </row>
  </sheetData>
  <autoFilter ref="A2:I32"/>
  <mergeCells count="2">
    <mergeCell ref="A1:I1"/>
    <mergeCell ref="A36:I36"/>
  </mergeCells>
  <pageMargins left="0.77" right="0.57999999999999996" top="0.52" bottom="0.47" header="0.3" footer="0.3"/>
  <pageSetup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35"/>
  <sheetViews>
    <sheetView topLeftCell="A76" zoomScaleNormal="100" workbookViewId="0">
      <selection activeCell="B73" sqref="B73"/>
    </sheetView>
  </sheetViews>
  <sheetFormatPr defaultRowHeight="15"/>
  <cols>
    <col min="1" max="1" width="10.140625" bestFit="1" customWidth="1"/>
    <col min="2" max="2" width="9.85546875" customWidth="1"/>
    <col min="3" max="3" width="9.5703125" customWidth="1"/>
    <col min="4" max="4" width="8.7109375" customWidth="1"/>
    <col min="5" max="5" width="7.5703125" customWidth="1"/>
    <col min="6" max="6" width="13.140625" bestFit="1" customWidth="1"/>
    <col min="7" max="7" width="10.85546875" style="39" customWidth="1"/>
    <col min="8" max="8" width="10.85546875" style="41" customWidth="1"/>
    <col min="9" max="9" width="8.42578125" customWidth="1"/>
  </cols>
  <sheetData>
    <row r="1" spans="1:9" ht="19.5" thickBot="1">
      <c r="A1" s="45" t="s">
        <v>13</v>
      </c>
      <c r="B1" s="45"/>
      <c r="C1" s="45"/>
      <c r="D1" s="45"/>
      <c r="E1" s="45"/>
      <c r="F1" s="45"/>
      <c r="G1" s="45"/>
      <c r="H1" s="45"/>
      <c r="I1" s="45"/>
    </row>
    <row r="2" spans="1:9" s="11" customFormat="1" ht="39" thickBot="1">
      <c r="A2" s="6" t="s">
        <v>0</v>
      </c>
      <c r="B2" s="3" t="s">
        <v>1</v>
      </c>
      <c r="C2" s="3" t="s">
        <v>5</v>
      </c>
      <c r="D2" s="3" t="s">
        <v>2</v>
      </c>
      <c r="E2" s="3" t="s">
        <v>8</v>
      </c>
      <c r="F2" s="3" t="s">
        <v>6</v>
      </c>
      <c r="G2" s="23" t="s">
        <v>7</v>
      </c>
      <c r="H2" s="23" t="s">
        <v>3</v>
      </c>
      <c r="I2" s="5" t="s">
        <v>4</v>
      </c>
    </row>
    <row r="3" spans="1:9">
      <c r="A3" s="7" t="s">
        <v>18</v>
      </c>
      <c r="B3" s="14">
        <v>432</v>
      </c>
      <c r="C3" s="14"/>
      <c r="D3" s="14">
        <f>B3+C3</f>
        <v>432</v>
      </c>
      <c r="E3" s="8"/>
      <c r="F3" s="8"/>
      <c r="G3" s="38"/>
      <c r="H3" s="14">
        <f>G3</f>
        <v>0</v>
      </c>
      <c r="I3" s="15">
        <f>D3-H3</f>
        <v>432</v>
      </c>
    </row>
    <row r="4" spans="1:9">
      <c r="A4" s="9" t="s">
        <v>22</v>
      </c>
      <c r="B4" s="16">
        <f>I3</f>
        <v>432</v>
      </c>
      <c r="C4" s="16">
        <v>3168</v>
      </c>
      <c r="D4" s="14">
        <f t="shared" ref="D4:D5" si="0">B4+C4</f>
        <v>3600</v>
      </c>
      <c r="E4" s="12"/>
      <c r="F4" s="10"/>
      <c r="G4" s="36"/>
      <c r="H4" s="14">
        <f t="shared" ref="H4:H5" si="1">G4</f>
        <v>0</v>
      </c>
      <c r="I4" s="15">
        <f t="shared" ref="I4:I5" si="2">D4-H4</f>
        <v>3600</v>
      </c>
    </row>
    <row r="5" spans="1:9">
      <c r="A5" s="9" t="s">
        <v>22</v>
      </c>
      <c r="B5" s="16">
        <f t="shared" ref="B5" si="3">I4</f>
        <v>3600</v>
      </c>
      <c r="C5" s="16"/>
      <c r="D5" s="14">
        <f t="shared" si="0"/>
        <v>3600</v>
      </c>
      <c r="E5" s="12" t="s">
        <v>25</v>
      </c>
      <c r="F5" s="10" t="s">
        <v>26</v>
      </c>
      <c r="G5" s="36">
        <v>1800</v>
      </c>
      <c r="H5" s="14">
        <f t="shared" si="1"/>
        <v>1800</v>
      </c>
      <c r="I5" s="15">
        <f t="shared" si="2"/>
        <v>1800</v>
      </c>
    </row>
    <row r="6" spans="1:9">
      <c r="A6" s="9" t="s">
        <v>27</v>
      </c>
      <c r="B6" s="16">
        <f t="shared" ref="B6:B20" si="4">I5</f>
        <v>1800</v>
      </c>
      <c r="C6" s="16">
        <v>1512</v>
      </c>
      <c r="D6" s="14">
        <f t="shared" ref="D6:D20" si="5">B6+C6</f>
        <v>3312</v>
      </c>
      <c r="E6" s="12"/>
      <c r="F6" s="10"/>
      <c r="G6" s="36"/>
      <c r="H6" s="14">
        <f t="shared" ref="H6:H20" si="6">G6</f>
        <v>0</v>
      </c>
      <c r="I6" s="15">
        <f t="shared" ref="I6:I20" si="7">D6-H6</f>
        <v>3312</v>
      </c>
    </row>
    <row r="7" spans="1:9">
      <c r="A7" s="9" t="s">
        <v>27</v>
      </c>
      <c r="B7" s="16">
        <f>I6</f>
        <v>3312</v>
      </c>
      <c r="C7" s="16"/>
      <c r="D7" s="14">
        <f t="shared" ref="D7" si="8">B7+C7</f>
        <v>3312</v>
      </c>
      <c r="E7" s="12" t="s">
        <v>30</v>
      </c>
      <c r="F7" s="10" t="s">
        <v>35</v>
      </c>
      <c r="G7" s="36">
        <v>120</v>
      </c>
      <c r="H7" s="14">
        <f t="shared" ref="H7" si="9">G7</f>
        <v>120</v>
      </c>
      <c r="I7" s="15">
        <f t="shared" ref="I7" si="10">D7-H7</f>
        <v>3192</v>
      </c>
    </row>
    <row r="8" spans="1:9">
      <c r="A8" s="9" t="s">
        <v>27</v>
      </c>
      <c r="B8" s="16">
        <f>I7</f>
        <v>3192</v>
      </c>
      <c r="C8" s="16"/>
      <c r="D8" s="14">
        <f t="shared" si="5"/>
        <v>3192</v>
      </c>
      <c r="E8" s="12" t="s">
        <v>31</v>
      </c>
      <c r="F8" s="42" t="s">
        <v>32</v>
      </c>
      <c r="G8" s="36">
        <v>360</v>
      </c>
      <c r="H8" s="14">
        <f t="shared" si="6"/>
        <v>360</v>
      </c>
      <c r="I8" s="15">
        <f t="shared" si="7"/>
        <v>2832</v>
      </c>
    </row>
    <row r="9" spans="1:9">
      <c r="A9" s="9" t="s">
        <v>36</v>
      </c>
      <c r="B9" s="16">
        <f t="shared" si="4"/>
        <v>2832</v>
      </c>
      <c r="C9" s="16">
        <v>1800</v>
      </c>
      <c r="D9" s="14">
        <f t="shared" si="5"/>
        <v>4632</v>
      </c>
      <c r="E9" s="12"/>
      <c r="F9" s="10"/>
      <c r="G9" s="36"/>
      <c r="H9" s="14">
        <f t="shared" si="6"/>
        <v>0</v>
      </c>
      <c r="I9" s="15">
        <f t="shared" si="7"/>
        <v>4632</v>
      </c>
    </row>
    <row r="10" spans="1:9">
      <c r="A10" s="9" t="s">
        <v>36</v>
      </c>
      <c r="B10" s="16">
        <f t="shared" si="4"/>
        <v>4632</v>
      </c>
      <c r="C10" s="16"/>
      <c r="D10" s="14">
        <f t="shared" si="5"/>
        <v>4632</v>
      </c>
      <c r="E10" s="12" t="s">
        <v>37</v>
      </c>
      <c r="F10" s="10"/>
      <c r="G10" s="36">
        <v>480</v>
      </c>
      <c r="H10" s="14">
        <f t="shared" si="6"/>
        <v>480</v>
      </c>
      <c r="I10" s="15">
        <f t="shared" si="7"/>
        <v>4152</v>
      </c>
    </row>
    <row r="11" spans="1:9">
      <c r="A11" s="9" t="s">
        <v>40</v>
      </c>
      <c r="B11" s="16">
        <f t="shared" si="4"/>
        <v>4152</v>
      </c>
      <c r="C11" s="16">
        <v>1464</v>
      </c>
      <c r="D11" s="14">
        <f t="shared" si="5"/>
        <v>5616</v>
      </c>
      <c r="E11" s="12"/>
      <c r="F11" s="10"/>
      <c r="G11" s="36"/>
      <c r="H11" s="14">
        <f t="shared" si="6"/>
        <v>0</v>
      </c>
      <c r="I11" s="15">
        <f t="shared" si="7"/>
        <v>5616</v>
      </c>
    </row>
    <row r="12" spans="1:9">
      <c r="A12" s="9" t="s">
        <v>40</v>
      </c>
      <c r="B12" s="16">
        <f t="shared" si="4"/>
        <v>5616</v>
      </c>
      <c r="C12" s="16"/>
      <c r="D12" s="14">
        <f t="shared" si="5"/>
        <v>5616</v>
      </c>
      <c r="E12" s="12">
        <v>11</v>
      </c>
      <c r="F12" s="10" t="s">
        <v>44</v>
      </c>
      <c r="G12" s="36">
        <v>2400</v>
      </c>
      <c r="H12" s="14">
        <f t="shared" si="6"/>
        <v>2400</v>
      </c>
      <c r="I12" s="15">
        <f t="shared" si="7"/>
        <v>3216</v>
      </c>
    </row>
    <row r="13" spans="1:9">
      <c r="A13" s="9" t="s">
        <v>45</v>
      </c>
      <c r="B13" s="16">
        <f t="shared" si="4"/>
        <v>3216</v>
      </c>
      <c r="C13" s="16">
        <v>3528</v>
      </c>
      <c r="D13" s="14">
        <f t="shared" si="5"/>
        <v>6744</v>
      </c>
      <c r="E13" s="12"/>
      <c r="F13" s="10"/>
      <c r="G13" s="36"/>
      <c r="H13" s="14">
        <f t="shared" si="6"/>
        <v>0</v>
      </c>
      <c r="I13" s="15">
        <f t="shared" si="7"/>
        <v>6744</v>
      </c>
    </row>
    <row r="14" spans="1:9">
      <c r="A14" s="9" t="s">
        <v>45</v>
      </c>
      <c r="B14" s="16">
        <f t="shared" si="4"/>
        <v>6744</v>
      </c>
      <c r="C14" s="16"/>
      <c r="D14" s="14">
        <f t="shared" si="5"/>
        <v>6744</v>
      </c>
      <c r="E14" s="12">
        <v>12</v>
      </c>
      <c r="F14" s="10" t="s">
        <v>46</v>
      </c>
      <c r="G14" s="36">
        <v>264</v>
      </c>
      <c r="H14" s="14">
        <f t="shared" si="6"/>
        <v>264</v>
      </c>
      <c r="I14" s="15">
        <f t="shared" si="7"/>
        <v>6480</v>
      </c>
    </row>
    <row r="15" spans="1:9">
      <c r="A15" s="9" t="s">
        <v>47</v>
      </c>
      <c r="B15" s="16">
        <f t="shared" si="4"/>
        <v>6480</v>
      </c>
      <c r="C15" s="16">
        <v>2352</v>
      </c>
      <c r="D15" s="14">
        <f t="shared" si="5"/>
        <v>8832</v>
      </c>
      <c r="E15" s="12"/>
      <c r="F15" s="10"/>
      <c r="G15" s="36"/>
      <c r="H15" s="14">
        <f t="shared" si="6"/>
        <v>0</v>
      </c>
      <c r="I15" s="15">
        <f t="shared" si="7"/>
        <v>8832</v>
      </c>
    </row>
    <row r="16" spans="1:9">
      <c r="A16" s="9" t="s">
        <v>47</v>
      </c>
      <c r="B16" s="16">
        <f t="shared" si="4"/>
        <v>8832</v>
      </c>
      <c r="C16" s="16"/>
      <c r="D16" s="14">
        <f t="shared" si="5"/>
        <v>8832</v>
      </c>
      <c r="E16" s="12">
        <v>13</v>
      </c>
      <c r="F16" s="10" t="s">
        <v>48</v>
      </c>
      <c r="G16" s="36">
        <v>360</v>
      </c>
      <c r="H16" s="14">
        <f t="shared" si="6"/>
        <v>360</v>
      </c>
      <c r="I16" s="15">
        <f t="shared" si="7"/>
        <v>8472</v>
      </c>
    </row>
    <row r="17" spans="1:9">
      <c r="A17" s="9" t="s">
        <v>47</v>
      </c>
      <c r="B17" s="16">
        <f t="shared" si="4"/>
        <v>8472</v>
      </c>
      <c r="C17" s="16"/>
      <c r="D17" s="14">
        <f t="shared" si="5"/>
        <v>8472</v>
      </c>
      <c r="E17" s="12">
        <v>14</v>
      </c>
      <c r="F17" s="10" t="s">
        <v>49</v>
      </c>
      <c r="G17" s="36">
        <v>3600</v>
      </c>
      <c r="H17" s="14">
        <f t="shared" si="6"/>
        <v>3600</v>
      </c>
      <c r="I17" s="15">
        <f t="shared" si="7"/>
        <v>4872</v>
      </c>
    </row>
    <row r="18" spans="1:9">
      <c r="A18" s="9" t="s">
        <v>47</v>
      </c>
      <c r="B18" s="16">
        <f t="shared" si="4"/>
        <v>4872</v>
      </c>
      <c r="C18" s="16"/>
      <c r="D18" s="14">
        <f t="shared" si="5"/>
        <v>4872</v>
      </c>
      <c r="E18" s="12">
        <v>15</v>
      </c>
      <c r="F18" s="10" t="s">
        <v>49</v>
      </c>
      <c r="G18" s="36">
        <v>840</v>
      </c>
      <c r="H18" s="14">
        <f t="shared" si="6"/>
        <v>840</v>
      </c>
      <c r="I18" s="15">
        <f t="shared" si="7"/>
        <v>4032</v>
      </c>
    </row>
    <row r="19" spans="1:9">
      <c r="A19" s="9" t="s">
        <v>47</v>
      </c>
      <c r="B19" s="16">
        <f t="shared" si="4"/>
        <v>4032</v>
      </c>
      <c r="C19" s="16"/>
      <c r="D19" s="14">
        <f t="shared" si="5"/>
        <v>4032</v>
      </c>
      <c r="E19" s="12">
        <v>16</v>
      </c>
      <c r="F19" s="10" t="s">
        <v>49</v>
      </c>
      <c r="G19" s="36">
        <v>1920</v>
      </c>
      <c r="H19" s="14">
        <f t="shared" si="6"/>
        <v>1920</v>
      </c>
      <c r="I19" s="15">
        <f t="shared" si="7"/>
        <v>2112</v>
      </c>
    </row>
    <row r="20" spans="1:9">
      <c r="A20" s="9" t="s">
        <v>47</v>
      </c>
      <c r="B20" s="16">
        <f t="shared" si="4"/>
        <v>2112</v>
      </c>
      <c r="C20" s="16"/>
      <c r="D20" s="14">
        <f t="shared" si="5"/>
        <v>2112</v>
      </c>
      <c r="E20" s="12">
        <v>17</v>
      </c>
      <c r="F20" s="10" t="s">
        <v>26</v>
      </c>
      <c r="G20" s="36">
        <v>1440</v>
      </c>
      <c r="H20" s="14">
        <f t="shared" si="6"/>
        <v>1440</v>
      </c>
      <c r="I20" s="15">
        <f t="shared" si="7"/>
        <v>672</v>
      </c>
    </row>
    <row r="21" spans="1:9">
      <c r="A21" s="9" t="s">
        <v>50</v>
      </c>
      <c r="B21" s="16">
        <f t="shared" ref="B21:B35" si="11">I20</f>
        <v>672</v>
      </c>
      <c r="C21" s="16">
        <v>3600</v>
      </c>
      <c r="D21" s="14">
        <f t="shared" ref="D21:D45" si="12">B21+C21</f>
        <v>4272</v>
      </c>
      <c r="E21" s="12"/>
      <c r="F21" s="10"/>
      <c r="G21" s="36"/>
      <c r="H21" s="14">
        <f t="shared" ref="H21:H45" si="13">G21</f>
        <v>0</v>
      </c>
      <c r="I21" s="15">
        <f t="shared" ref="I21:I45" si="14">D21-H21</f>
        <v>4272</v>
      </c>
    </row>
    <row r="22" spans="1:9">
      <c r="A22" s="9" t="s">
        <v>50</v>
      </c>
      <c r="B22" s="16">
        <f t="shared" si="11"/>
        <v>4272</v>
      </c>
      <c r="C22" s="16"/>
      <c r="D22" s="14">
        <f t="shared" si="12"/>
        <v>4272</v>
      </c>
      <c r="E22" s="12">
        <v>18</v>
      </c>
      <c r="F22" s="10" t="s">
        <v>51</v>
      </c>
      <c r="G22" s="36">
        <v>72</v>
      </c>
      <c r="H22" s="14">
        <f t="shared" si="13"/>
        <v>72</v>
      </c>
      <c r="I22" s="15">
        <f t="shared" si="14"/>
        <v>4200</v>
      </c>
    </row>
    <row r="23" spans="1:9">
      <c r="A23" s="9" t="s">
        <v>52</v>
      </c>
      <c r="B23" s="16">
        <f t="shared" si="11"/>
        <v>4200</v>
      </c>
      <c r="C23" s="16">
        <v>3480</v>
      </c>
      <c r="D23" s="14">
        <f t="shared" si="12"/>
        <v>7680</v>
      </c>
      <c r="E23" s="12"/>
      <c r="F23" s="10"/>
      <c r="G23" s="36"/>
      <c r="H23" s="14">
        <f t="shared" si="13"/>
        <v>0</v>
      </c>
      <c r="I23" s="15">
        <f t="shared" si="14"/>
        <v>7680</v>
      </c>
    </row>
    <row r="24" spans="1:9">
      <c r="A24" s="9" t="s">
        <v>52</v>
      </c>
      <c r="B24" s="16">
        <f t="shared" si="11"/>
        <v>7680</v>
      </c>
      <c r="C24" s="16"/>
      <c r="D24" s="14">
        <f t="shared" si="12"/>
        <v>7680</v>
      </c>
      <c r="E24" s="12">
        <v>19</v>
      </c>
      <c r="F24" s="10" t="s">
        <v>53</v>
      </c>
      <c r="G24" s="36">
        <v>4320</v>
      </c>
      <c r="H24" s="14">
        <f t="shared" si="13"/>
        <v>4320</v>
      </c>
      <c r="I24" s="15">
        <f t="shared" si="14"/>
        <v>3360</v>
      </c>
    </row>
    <row r="25" spans="1:9">
      <c r="A25" s="9" t="s">
        <v>55</v>
      </c>
      <c r="B25" s="16">
        <f t="shared" si="11"/>
        <v>3360</v>
      </c>
      <c r="C25" s="16">
        <v>3456</v>
      </c>
      <c r="D25" s="14">
        <f t="shared" si="12"/>
        <v>6816</v>
      </c>
      <c r="E25" s="12"/>
      <c r="F25" s="10"/>
      <c r="G25" s="36"/>
      <c r="H25" s="14">
        <f t="shared" si="13"/>
        <v>0</v>
      </c>
      <c r="I25" s="15">
        <f t="shared" si="14"/>
        <v>6816</v>
      </c>
    </row>
    <row r="26" spans="1:9">
      <c r="A26" s="9" t="s">
        <v>55</v>
      </c>
      <c r="B26" s="16">
        <f t="shared" si="11"/>
        <v>6816</v>
      </c>
      <c r="C26" s="16"/>
      <c r="D26" s="14">
        <f t="shared" si="12"/>
        <v>6816</v>
      </c>
      <c r="E26" s="12">
        <v>22</v>
      </c>
      <c r="F26" s="10" t="s">
        <v>26</v>
      </c>
      <c r="G26" s="36">
        <v>2400</v>
      </c>
      <c r="H26" s="14">
        <f t="shared" si="13"/>
        <v>2400</v>
      </c>
      <c r="I26" s="15">
        <f t="shared" si="14"/>
        <v>4416</v>
      </c>
    </row>
    <row r="27" spans="1:9">
      <c r="A27" s="9" t="s">
        <v>55</v>
      </c>
      <c r="B27" s="16">
        <f t="shared" si="11"/>
        <v>4416</v>
      </c>
      <c r="C27" s="16"/>
      <c r="D27" s="14">
        <f t="shared" si="12"/>
        <v>4416</v>
      </c>
      <c r="E27" s="12">
        <v>23</v>
      </c>
      <c r="F27" s="10" t="s">
        <v>56</v>
      </c>
      <c r="G27" s="36">
        <v>120</v>
      </c>
      <c r="H27" s="14">
        <f t="shared" si="13"/>
        <v>120</v>
      </c>
      <c r="I27" s="15">
        <f t="shared" si="14"/>
        <v>4296</v>
      </c>
    </row>
    <row r="28" spans="1:9">
      <c r="A28" s="9" t="s">
        <v>55</v>
      </c>
      <c r="B28" s="16">
        <f t="shared" si="11"/>
        <v>4296</v>
      </c>
      <c r="C28" s="16"/>
      <c r="D28" s="14">
        <f t="shared" si="12"/>
        <v>4296</v>
      </c>
      <c r="E28" s="12">
        <v>24</v>
      </c>
      <c r="F28" s="10" t="s">
        <v>57</v>
      </c>
      <c r="G28" s="36">
        <v>120</v>
      </c>
      <c r="H28" s="14">
        <f t="shared" si="13"/>
        <v>120</v>
      </c>
      <c r="I28" s="15">
        <f t="shared" si="14"/>
        <v>4176</v>
      </c>
    </row>
    <row r="29" spans="1:9">
      <c r="A29" s="9" t="s">
        <v>58</v>
      </c>
      <c r="B29" s="16">
        <f t="shared" si="11"/>
        <v>4176</v>
      </c>
      <c r="C29" s="16">
        <v>3720</v>
      </c>
      <c r="D29" s="14">
        <f t="shared" si="12"/>
        <v>7896</v>
      </c>
      <c r="E29" s="12"/>
      <c r="F29" s="10"/>
      <c r="G29" s="36"/>
      <c r="H29" s="14">
        <f t="shared" si="13"/>
        <v>0</v>
      </c>
      <c r="I29" s="15">
        <f t="shared" si="14"/>
        <v>7896</v>
      </c>
    </row>
    <row r="30" spans="1:9">
      <c r="A30" s="9" t="s">
        <v>58</v>
      </c>
      <c r="B30" s="16">
        <f t="shared" si="11"/>
        <v>7896</v>
      </c>
      <c r="C30" s="16"/>
      <c r="D30" s="14">
        <f t="shared" si="12"/>
        <v>7896</v>
      </c>
      <c r="E30" s="12">
        <v>27</v>
      </c>
      <c r="F30" s="10" t="s">
        <v>61</v>
      </c>
      <c r="G30" s="36">
        <v>72</v>
      </c>
      <c r="H30" s="14">
        <f t="shared" si="13"/>
        <v>72</v>
      </c>
      <c r="I30" s="15">
        <f t="shared" si="14"/>
        <v>7824</v>
      </c>
    </row>
    <row r="31" spans="1:9">
      <c r="A31" s="9" t="s">
        <v>62</v>
      </c>
      <c r="B31" s="16">
        <f t="shared" si="11"/>
        <v>7824</v>
      </c>
      <c r="C31" s="16">
        <v>504</v>
      </c>
      <c r="D31" s="14">
        <f t="shared" si="12"/>
        <v>8328</v>
      </c>
      <c r="E31" s="12"/>
      <c r="F31" s="10"/>
      <c r="G31" s="36"/>
      <c r="H31" s="14">
        <f t="shared" si="13"/>
        <v>0</v>
      </c>
      <c r="I31" s="15">
        <f t="shared" si="14"/>
        <v>8328</v>
      </c>
    </row>
    <row r="32" spans="1:9">
      <c r="A32" s="9" t="s">
        <v>62</v>
      </c>
      <c r="B32" s="16">
        <f t="shared" si="11"/>
        <v>8328</v>
      </c>
      <c r="C32" s="16"/>
      <c r="D32" s="14">
        <f t="shared" si="12"/>
        <v>8328</v>
      </c>
      <c r="E32" s="12">
        <v>28</v>
      </c>
      <c r="F32" s="10" t="s">
        <v>63</v>
      </c>
      <c r="G32" s="36">
        <v>720</v>
      </c>
      <c r="H32" s="14">
        <f t="shared" si="13"/>
        <v>720</v>
      </c>
      <c r="I32" s="15">
        <f t="shared" si="14"/>
        <v>7608</v>
      </c>
    </row>
    <row r="33" spans="1:9">
      <c r="A33" s="9" t="s">
        <v>62</v>
      </c>
      <c r="B33" s="16">
        <f t="shared" si="11"/>
        <v>7608</v>
      </c>
      <c r="C33" s="16"/>
      <c r="D33" s="14">
        <f t="shared" si="12"/>
        <v>7608</v>
      </c>
      <c r="E33" s="12">
        <v>29</v>
      </c>
      <c r="F33" s="10" t="s">
        <v>64</v>
      </c>
      <c r="G33" s="36">
        <v>4800</v>
      </c>
      <c r="H33" s="14">
        <f t="shared" si="13"/>
        <v>4800</v>
      </c>
      <c r="I33" s="15">
        <f t="shared" si="14"/>
        <v>2808</v>
      </c>
    </row>
    <row r="34" spans="1:9">
      <c r="A34" s="9" t="s">
        <v>65</v>
      </c>
      <c r="B34" s="16">
        <f t="shared" si="11"/>
        <v>2808</v>
      </c>
      <c r="C34" s="16">
        <v>1488</v>
      </c>
      <c r="D34" s="14">
        <f t="shared" si="12"/>
        <v>4296</v>
      </c>
      <c r="E34" s="12"/>
      <c r="F34" s="10"/>
      <c r="G34" s="36"/>
      <c r="H34" s="14">
        <f t="shared" si="13"/>
        <v>0</v>
      </c>
      <c r="I34" s="15">
        <f t="shared" si="14"/>
        <v>4296</v>
      </c>
    </row>
    <row r="35" spans="1:9">
      <c r="A35" s="9" t="s">
        <v>65</v>
      </c>
      <c r="B35" s="16">
        <f t="shared" si="11"/>
        <v>4296</v>
      </c>
      <c r="C35" s="16"/>
      <c r="D35" s="14">
        <f t="shared" si="12"/>
        <v>4296</v>
      </c>
      <c r="E35" s="12">
        <v>30</v>
      </c>
      <c r="F35" s="10" t="s">
        <v>48</v>
      </c>
      <c r="G35" s="36">
        <v>480</v>
      </c>
      <c r="H35" s="14">
        <f t="shared" si="13"/>
        <v>480</v>
      </c>
      <c r="I35" s="15">
        <f t="shared" si="14"/>
        <v>3816</v>
      </c>
    </row>
    <row r="36" spans="1:9">
      <c r="A36" s="9" t="s">
        <v>65</v>
      </c>
      <c r="B36" s="16">
        <f t="shared" ref="B36:B44" si="15">I35</f>
        <v>3816</v>
      </c>
      <c r="C36" s="16"/>
      <c r="D36" s="14">
        <f t="shared" ref="D36:D44" si="16">B36+C36</f>
        <v>3816</v>
      </c>
      <c r="E36" s="12">
        <v>31</v>
      </c>
      <c r="F36" s="10" t="s">
        <v>44</v>
      </c>
      <c r="G36" s="36">
        <v>2400</v>
      </c>
      <c r="H36" s="14">
        <f t="shared" ref="H36:H44" si="17">G36</f>
        <v>2400</v>
      </c>
      <c r="I36" s="15">
        <f t="shared" ref="I36:I44" si="18">D36-H36</f>
        <v>1416</v>
      </c>
    </row>
    <row r="37" spans="1:9">
      <c r="A37" s="9" t="s">
        <v>66</v>
      </c>
      <c r="B37" s="16">
        <f t="shared" si="15"/>
        <v>1416</v>
      </c>
      <c r="C37" s="16">
        <v>3840</v>
      </c>
      <c r="D37" s="14">
        <f t="shared" si="16"/>
        <v>5256</v>
      </c>
      <c r="E37" s="12"/>
      <c r="F37" s="10"/>
      <c r="G37" s="36"/>
      <c r="H37" s="14">
        <f t="shared" si="17"/>
        <v>0</v>
      </c>
      <c r="I37" s="15">
        <f t="shared" si="18"/>
        <v>5256</v>
      </c>
    </row>
    <row r="38" spans="1:9">
      <c r="A38" s="9" t="s">
        <v>67</v>
      </c>
      <c r="B38" s="16">
        <f t="shared" si="15"/>
        <v>5256</v>
      </c>
      <c r="C38" s="16">
        <v>3432</v>
      </c>
      <c r="D38" s="14">
        <f t="shared" si="16"/>
        <v>8688</v>
      </c>
      <c r="E38" s="12"/>
      <c r="F38" s="10"/>
      <c r="G38" s="36"/>
      <c r="H38" s="14">
        <f t="shared" si="17"/>
        <v>0</v>
      </c>
      <c r="I38" s="15">
        <f t="shared" si="18"/>
        <v>8688</v>
      </c>
    </row>
    <row r="39" spans="1:9">
      <c r="A39" s="9" t="s">
        <v>67</v>
      </c>
      <c r="B39" s="16">
        <f t="shared" si="15"/>
        <v>8688</v>
      </c>
      <c r="C39" s="16"/>
      <c r="D39" s="14">
        <f t="shared" si="16"/>
        <v>8688</v>
      </c>
      <c r="E39" s="12">
        <v>33</v>
      </c>
      <c r="F39" s="10" t="s">
        <v>35</v>
      </c>
      <c r="G39" s="36">
        <v>120</v>
      </c>
      <c r="H39" s="14">
        <f t="shared" si="17"/>
        <v>120</v>
      </c>
      <c r="I39" s="15">
        <f t="shared" si="18"/>
        <v>8568</v>
      </c>
    </row>
    <row r="40" spans="1:9">
      <c r="A40" s="9" t="s">
        <v>67</v>
      </c>
      <c r="B40" s="16">
        <f t="shared" si="15"/>
        <v>8568</v>
      </c>
      <c r="C40" s="16"/>
      <c r="D40" s="14">
        <f t="shared" si="16"/>
        <v>8568</v>
      </c>
      <c r="E40" s="12">
        <v>34</v>
      </c>
      <c r="F40" s="10" t="s">
        <v>26</v>
      </c>
      <c r="G40" s="36">
        <v>1200</v>
      </c>
      <c r="H40" s="14">
        <f t="shared" si="17"/>
        <v>1200</v>
      </c>
      <c r="I40" s="15">
        <f t="shared" si="18"/>
        <v>7368</v>
      </c>
    </row>
    <row r="41" spans="1:9">
      <c r="A41" s="9" t="s">
        <v>68</v>
      </c>
      <c r="B41" s="16">
        <f t="shared" si="15"/>
        <v>7368</v>
      </c>
      <c r="C41" s="16">
        <v>336</v>
      </c>
      <c r="D41" s="14">
        <f t="shared" si="16"/>
        <v>7704</v>
      </c>
      <c r="E41" s="12"/>
      <c r="F41" s="10"/>
      <c r="G41" s="36"/>
      <c r="H41" s="14">
        <f t="shared" si="17"/>
        <v>0</v>
      </c>
      <c r="I41" s="15">
        <f t="shared" si="18"/>
        <v>7704</v>
      </c>
    </row>
    <row r="42" spans="1:9">
      <c r="A42" s="9" t="s">
        <v>68</v>
      </c>
      <c r="B42" s="16">
        <f t="shared" si="15"/>
        <v>7704</v>
      </c>
      <c r="C42" s="16"/>
      <c r="D42" s="14">
        <f t="shared" si="16"/>
        <v>7704</v>
      </c>
      <c r="E42" s="12">
        <v>36</v>
      </c>
      <c r="F42" s="10" t="s">
        <v>44</v>
      </c>
      <c r="G42" s="36">
        <v>4200</v>
      </c>
      <c r="H42" s="14">
        <f t="shared" si="17"/>
        <v>4200</v>
      </c>
      <c r="I42" s="15">
        <f t="shared" si="18"/>
        <v>3504</v>
      </c>
    </row>
    <row r="43" spans="1:9">
      <c r="A43" s="9" t="s">
        <v>70</v>
      </c>
      <c r="B43" s="16">
        <f t="shared" si="15"/>
        <v>3504</v>
      </c>
      <c r="C43" s="16">
        <v>3504</v>
      </c>
      <c r="D43" s="14">
        <f t="shared" si="16"/>
        <v>7008</v>
      </c>
      <c r="E43" s="12"/>
      <c r="F43" s="10"/>
      <c r="G43" s="36"/>
      <c r="H43" s="14">
        <f t="shared" si="17"/>
        <v>0</v>
      </c>
      <c r="I43" s="15">
        <f t="shared" si="18"/>
        <v>7008</v>
      </c>
    </row>
    <row r="44" spans="1:9">
      <c r="A44" s="9" t="s">
        <v>70</v>
      </c>
      <c r="B44" s="16">
        <f t="shared" si="15"/>
        <v>7008</v>
      </c>
      <c r="C44" s="16"/>
      <c r="D44" s="14">
        <f t="shared" si="16"/>
        <v>7008</v>
      </c>
      <c r="E44" s="12">
        <v>37</v>
      </c>
      <c r="F44" s="10" t="s">
        <v>49</v>
      </c>
      <c r="G44" s="36">
        <v>2640</v>
      </c>
      <c r="H44" s="14">
        <f t="shared" si="17"/>
        <v>2640</v>
      </c>
      <c r="I44" s="15">
        <f t="shared" si="18"/>
        <v>4368</v>
      </c>
    </row>
    <row r="45" spans="1:9">
      <c r="A45" s="9" t="s">
        <v>70</v>
      </c>
      <c r="B45" s="16">
        <f>I44</f>
        <v>4368</v>
      </c>
      <c r="C45" s="16"/>
      <c r="D45" s="14">
        <f t="shared" si="12"/>
        <v>4368</v>
      </c>
      <c r="E45" s="12">
        <v>38</v>
      </c>
      <c r="F45" s="10" t="s">
        <v>49</v>
      </c>
      <c r="G45" s="36">
        <v>1200</v>
      </c>
      <c r="H45" s="14">
        <f t="shared" si="13"/>
        <v>1200</v>
      </c>
      <c r="I45" s="15">
        <f t="shared" si="14"/>
        <v>3168</v>
      </c>
    </row>
    <row r="46" spans="1:9">
      <c r="A46" s="9" t="s">
        <v>70</v>
      </c>
      <c r="B46" s="16">
        <f t="shared" ref="B46:B49" si="19">I45</f>
        <v>3168</v>
      </c>
      <c r="C46" s="16"/>
      <c r="D46" s="14">
        <f t="shared" ref="D46:D49" si="20">B46+C46</f>
        <v>3168</v>
      </c>
      <c r="E46" s="12">
        <v>39</v>
      </c>
      <c r="F46" s="10" t="s">
        <v>49</v>
      </c>
      <c r="G46" s="36">
        <v>1800</v>
      </c>
      <c r="H46" s="14">
        <f t="shared" ref="H46:H49" si="21">G46</f>
        <v>1800</v>
      </c>
      <c r="I46" s="15">
        <f t="shared" ref="I46:I49" si="22">D46-H46</f>
        <v>1368</v>
      </c>
    </row>
    <row r="47" spans="1:9">
      <c r="A47" s="9" t="s">
        <v>71</v>
      </c>
      <c r="B47" s="16">
        <f t="shared" si="19"/>
        <v>1368</v>
      </c>
      <c r="C47" s="16">
        <v>3744</v>
      </c>
      <c r="D47" s="14">
        <f t="shared" si="20"/>
        <v>5112</v>
      </c>
      <c r="E47" s="12"/>
      <c r="F47" s="10"/>
      <c r="G47" s="36"/>
      <c r="H47" s="14">
        <f t="shared" si="21"/>
        <v>0</v>
      </c>
      <c r="I47" s="15">
        <f t="shared" si="22"/>
        <v>5112</v>
      </c>
    </row>
    <row r="48" spans="1:9">
      <c r="A48" s="9" t="s">
        <v>72</v>
      </c>
      <c r="B48" s="16">
        <f t="shared" si="19"/>
        <v>5112</v>
      </c>
      <c r="C48" s="16">
        <v>3432</v>
      </c>
      <c r="D48" s="14">
        <f t="shared" si="20"/>
        <v>8544</v>
      </c>
      <c r="E48" s="12"/>
      <c r="F48" s="10"/>
      <c r="G48" s="36"/>
      <c r="H48" s="14">
        <f t="shared" si="21"/>
        <v>0</v>
      </c>
      <c r="I48" s="15">
        <f t="shared" si="22"/>
        <v>8544</v>
      </c>
    </row>
    <row r="49" spans="1:9">
      <c r="A49" s="9" t="s">
        <v>72</v>
      </c>
      <c r="B49" s="16">
        <f t="shared" si="19"/>
        <v>8544</v>
      </c>
      <c r="C49" s="16"/>
      <c r="D49" s="14">
        <f t="shared" si="20"/>
        <v>8544</v>
      </c>
      <c r="E49" s="12">
        <v>40</v>
      </c>
      <c r="F49" s="10" t="s">
        <v>26</v>
      </c>
      <c r="G49" s="36">
        <v>5400</v>
      </c>
      <c r="H49" s="14">
        <f t="shared" si="21"/>
        <v>5400</v>
      </c>
      <c r="I49" s="15">
        <f t="shared" si="22"/>
        <v>3144</v>
      </c>
    </row>
    <row r="50" spans="1:9">
      <c r="A50" s="9" t="s">
        <v>73</v>
      </c>
      <c r="B50" s="16">
        <f t="shared" ref="B50:B55" si="23">I49</f>
        <v>3144</v>
      </c>
      <c r="C50" s="16">
        <v>3864</v>
      </c>
      <c r="D50" s="14">
        <f t="shared" ref="D50:D55" si="24">B50+C50</f>
        <v>7008</v>
      </c>
      <c r="E50" s="12"/>
      <c r="F50" s="10"/>
      <c r="G50" s="36"/>
      <c r="H50" s="14">
        <f t="shared" ref="H50:H55" si="25">G50</f>
        <v>0</v>
      </c>
      <c r="I50" s="15">
        <f t="shared" ref="I50:I55" si="26">D50-H50</f>
        <v>7008</v>
      </c>
    </row>
    <row r="51" spans="1:9">
      <c r="A51" s="9" t="s">
        <v>74</v>
      </c>
      <c r="B51" s="16">
        <f t="shared" si="23"/>
        <v>7008</v>
      </c>
      <c r="C51" s="16"/>
      <c r="D51" s="14">
        <f t="shared" si="24"/>
        <v>7008</v>
      </c>
      <c r="E51" s="12">
        <v>41</v>
      </c>
      <c r="F51" s="10" t="s">
        <v>34</v>
      </c>
      <c r="G51" s="36">
        <v>120</v>
      </c>
      <c r="H51" s="14">
        <f t="shared" si="25"/>
        <v>120</v>
      </c>
      <c r="I51" s="15">
        <f t="shared" si="26"/>
        <v>6888</v>
      </c>
    </row>
    <row r="52" spans="1:9">
      <c r="A52" s="9" t="s">
        <v>74</v>
      </c>
      <c r="B52" s="16">
        <f>I51</f>
        <v>6888</v>
      </c>
      <c r="C52" s="16"/>
      <c r="D52" s="14">
        <f t="shared" si="24"/>
        <v>6888</v>
      </c>
      <c r="E52" s="12">
        <v>43</v>
      </c>
      <c r="F52" s="10" t="s">
        <v>35</v>
      </c>
      <c r="G52" s="36">
        <v>120</v>
      </c>
      <c r="H52" s="14">
        <f t="shared" si="25"/>
        <v>120</v>
      </c>
      <c r="I52" s="15">
        <f t="shared" si="26"/>
        <v>6768</v>
      </c>
    </row>
    <row r="53" spans="1:9">
      <c r="A53" s="9" t="s">
        <v>75</v>
      </c>
      <c r="B53" s="16">
        <f t="shared" si="23"/>
        <v>6768</v>
      </c>
      <c r="C53" s="16">
        <v>240</v>
      </c>
      <c r="D53" s="14">
        <f t="shared" si="24"/>
        <v>7008</v>
      </c>
      <c r="E53" s="12"/>
      <c r="F53" s="10"/>
      <c r="G53" s="36"/>
      <c r="H53" s="14">
        <f t="shared" si="25"/>
        <v>0</v>
      </c>
      <c r="I53" s="15">
        <f t="shared" si="26"/>
        <v>7008</v>
      </c>
    </row>
    <row r="54" spans="1:9">
      <c r="A54" s="9" t="s">
        <v>75</v>
      </c>
      <c r="B54" s="16">
        <f t="shared" si="23"/>
        <v>7008</v>
      </c>
      <c r="C54" s="16"/>
      <c r="D54" s="14">
        <f t="shared" si="24"/>
        <v>7008</v>
      </c>
      <c r="E54" s="12">
        <v>44</v>
      </c>
      <c r="F54" s="10" t="s">
        <v>64</v>
      </c>
      <c r="G54" s="36">
        <v>3600</v>
      </c>
      <c r="H54" s="14">
        <f>G54</f>
        <v>3600</v>
      </c>
      <c r="I54" s="15">
        <f t="shared" si="26"/>
        <v>3408</v>
      </c>
    </row>
    <row r="55" spans="1:9">
      <c r="A55" s="9" t="s">
        <v>75</v>
      </c>
      <c r="B55" s="16">
        <f t="shared" si="23"/>
        <v>3408</v>
      </c>
      <c r="C55" s="16"/>
      <c r="D55" s="14">
        <f t="shared" si="24"/>
        <v>3408</v>
      </c>
      <c r="E55" s="12">
        <v>45</v>
      </c>
      <c r="F55" s="10"/>
      <c r="G55" s="36">
        <v>240</v>
      </c>
      <c r="H55" s="14">
        <f t="shared" si="25"/>
        <v>240</v>
      </c>
      <c r="I55" s="15">
        <f t="shared" si="26"/>
        <v>3168</v>
      </c>
    </row>
    <row r="56" spans="1:9">
      <c r="A56" s="9" t="s">
        <v>75</v>
      </c>
      <c r="B56" s="16">
        <f t="shared" ref="B56:B63" si="27">I55</f>
        <v>3168</v>
      </c>
      <c r="C56" s="16"/>
      <c r="D56" s="14">
        <f t="shared" ref="D56:D65" si="28">B56+C56</f>
        <v>3168</v>
      </c>
      <c r="E56" s="12">
        <v>46</v>
      </c>
      <c r="F56" s="10" t="s">
        <v>32</v>
      </c>
      <c r="G56" s="36">
        <v>360</v>
      </c>
      <c r="H56" s="14">
        <f t="shared" ref="H56:H65" si="29">G56</f>
        <v>360</v>
      </c>
      <c r="I56" s="15">
        <f t="shared" ref="I56:I65" si="30">D56-H56</f>
        <v>2808</v>
      </c>
    </row>
    <row r="57" spans="1:9">
      <c r="A57" s="9" t="s">
        <v>76</v>
      </c>
      <c r="B57" s="16">
        <f t="shared" si="27"/>
        <v>2808</v>
      </c>
      <c r="C57" s="16">
        <v>2064</v>
      </c>
      <c r="D57" s="14">
        <f t="shared" si="28"/>
        <v>4872</v>
      </c>
      <c r="E57" s="12"/>
      <c r="F57" s="10"/>
      <c r="G57" s="36"/>
      <c r="H57" s="14">
        <f t="shared" si="29"/>
        <v>0</v>
      </c>
      <c r="I57" s="15">
        <f t="shared" si="30"/>
        <v>4872</v>
      </c>
    </row>
    <row r="58" spans="1:9">
      <c r="A58" s="9" t="s">
        <v>76</v>
      </c>
      <c r="B58" s="16">
        <f t="shared" si="27"/>
        <v>4872</v>
      </c>
      <c r="C58" s="16"/>
      <c r="D58" s="14">
        <f t="shared" si="28"/>
        <v>4872</v>
      </c>
      <c r="E58" s="12">
        <v>47</v>
      </c>
      <c r="F58" s="10" t="s">
        <v>77</v>
      </c>
      <c r="G58" s="36">
        <v>240</v>
      </c>
      <c r="H58" s="14">
        <f t="shared" si="29"/>
        <v>240</v>
      </c>
      <c r="I58" s="15">
        <f t="shared" si="30"/>
        <v>4632</v>
      </c>
    </row>
    <row r="59" spans="1:9">
      <c r="A59" s="9" t="s">
        <v>76</v>
      </c>
      <c r="B59" s="16">
        <f t="shared" si="27"/>
        <v>4632</v>
      </c>
      <c r="C59" s="16"/>
      <c r="D59" s="14">
        <f t="shared" si="28"/>
        <v>4632</v>
      </c>
      <c r="E59" s="12">
        <v>48</v>
      </c>
      <c r="F59" s="10" t="s">
        <v>53</v>
      </c>
      <c r="G59" s="36">
        <v>1200</v>
      </c>
      <c r="H59" s="14">
        <f t="shared" si="29"/>
        <v>1200</v>
      </c>
      <c r="I59" s="15">
        <f t="shared" si="30"/>
        <v>3432</v>
      </c>
    </row>
    <row r="60" spans="1:9">
      <c r="A60" s="9" t="s">
        <v>78</v>
      </c>
      <c r="B60" s="16">
        <f t="shared" si="27"/>
        <v>3432</v>
      </c>
      <c r="C60" s="16">
        <v>2856</v>
      </c>
      <c r="D60" s="14">
        <f t="shared" si="28"/>
        <v>6288</v>
      </c>
      <c r="E60" s="12"/>
      <c r="F60" s="10"/>
      <c r="G60" s="36"/>
      <c r="H60" s="14">
        <f t="shared" si="29"/>
        <v>0</v>
      </c>
      <c r="I60" s="15">
        <f t="shared" si="30"/>
        <v>6288</v>
      </c>
    </row>
    <row r="61" spans="1:9">
      <c r="A61" s="9" t="s">
        <v>78</v>
      </c>
      <c r="B61" s="16">
        <f t="shared" si="27"/>
        <v>6288</v>
      </c>
      <c r="C61" s="16"/>
      <c r="D61" s="14">
        <f t="shared" si="28"/>
        <v>6288</v>
      </c>
      <c r="E61" s="12">
        <v>49</v>
      </c>
      <c r="F61" s="10" t="s">
        <v>49</v>
      </c>
      <c r="G61" s="36">
        <v>2640</v>
      </c>
      <c r="H61" s="14">
        <f t="shared" si="29"/>
        <v>2640</v>
      </c>
      <c r="I61" s="15">
        <f t="shared" si="30"/>
        <v>3648</v>
      </c>
    </row>
    <row r="62" spans="1:9">
      <c r="A62" s="9" t="s">
        <v>78</v>
      </c>
      <c r="B62" s="16">
        <f t="shared" si="27"/>
        <v>3648</v>
      </c>
      <c r="C62" s="16"/>
      <c r="D62" s="14">
        <f t="shared" si="28"/>
        <v>3648</v>
      </c>
      <c r="E62" s="12">
        <v>50</v>
      </c>
      <c r="F62" s="10" t="s">
        <v>49</v>
      </c>
      <c r="G62" s="36">
        <v>1200</v>
      </c>
      <c r="H62" s="14">
        <f t="shared" si="29"/>
        <v>1200</v>
      </c>
      <c r="I62" s="15">
        <f t="shared" si="30"/>
        <v>2448</v>
      </c>
    </row>
    <row r="63" spans="1:9">
      <c r="A63" s="9" t="s">
        <v>78</v>
      </c>
      <c r="B63" s="16">
        <f t="shared" si="27"/>
        <v>2448</v>
      </c>
      <c r="C63" s="16"/>
      <c r="D63" s="14">
        <f t="shared" si="28"/>
        <v>2448</v>
      </c>
      <c r="E63" s="12">
        <v>51</v>
      </c>
      <c r="F63" s="10" t="s">
        <v>49</v>
      </c>
      <c r="G63" s="36">
        <v>480</v>
      </c>
      <c r="H63" s="14">
        <f t="shared" si="29"/>
        <v>480</v>
      </c>
      <c r="I63" s="15">
        <f t="shared" si="30"/>
        <v>1968</v>
      </c>
    </row>
    <row r="64" spans="1:9">
      <c r="A64" s="9" t="s">
        <v>103</v>
      </c>
      <c r="B64" s="16">
        <f t="shared" ref="B64:B65" si="31">I63</f>
        <v>1968</v>
      </c>
      <c r="C64" s="16">
        <v>984</v>
      </c>
      <c r="D64" s="14">
        <f t="shared" ref="D64:D65" si="32">B64+C64</f>
        <v>2952</v>
      </c>
      <c r="E64" s="12"/>
      <c r="F64" s="10"/>
      <c r="G64" s="36"/>
      <c r="H64" s="14">
        <f t="shared" ref="H64:H65" si="33">G64</f>
        <v>0</v>
      </c>
      <c r="I64" s="15">
        <f t="shared" ref="I64:I65" si="34">D64-H64</f>
        <v>2952</v>
      </c>
    </row>
    <row r="65" spans="1:9" ht="15.75" thickBot="1">
      <c r="A65" s="9"/>
      <c r="B65" s="16">
        <f t="shared" si="31"/>
        <v>2952</v>
      </c>
      <c r="C65" s="16"/>
      <c r="D65" s="14">
        <f t="shared" si="32"/>
        <v>2952</v>
      </c>
      <c r="E65" s="12"/>
      <c r="F65" s="10"/>
      <c r="G65" s="36"/>
      <c r="H65" s="14">
        <f t="shared" si="33"/>
        <v>0</v>
      </c>
      <c r="I65" s="15">
        <f t="shared" si="34"/>
        <v>2952</v>
      </c>
    </row>
    <row r="66" spans="1:9" ht="15.75" thickBot="1">
      <c r="A66" s="33" t="s">
        <v>2</v>
      </c>
      <c r="B66" s="31"/>
      <c r="C66" s="34">
        <f>SUM(C3:C65)</f>
        <v>58368</v>
      </c>
      <c r="D66" s="31"/>
      <c r="E66" s="31"/>
      <c r="F66" s="31"/>
      <c r="G66" s="37">
        <f>SUM(G3:G65)</f>
        <v>55848</v>
      </c>
      <c r="H66" s="40"/>
      <c r="I66" s="32"/>
    </row>
    <row r="69" spans="1:9" ht="19.5" thickBot="1">
      <c r="A69" s="45" t="s">
        <v>87</v>
      </c>
      <c r="B69" s="45"/>
      <c r="C69" s="45"/>
      <c r="D69" s="45"/>
      <c r="E69" s="45"/>
      <c r="F69" s="45"/>
      <c r="G69" s="45"/>
      <c r="H69" s="45"/>
      <c r="I69" s="45"/>
    </row>
    <row r="70" spans="1:9" ht="39" thickBot="1">
      <c r="A70" s="6" t="s">
        <v>0</v>
      </c>
      <c r="B70" s="3" t="s">
        <v>1</v>
      </c>
      <c r="C70" s="3" t="s">
        <v>5</v>
      </c>
      <c r="D70" s="3" t="s">
        <v>2</v>
      </c>
      <c r="E70" s="3" t="s">
        <v>8</v>
      </c>
      <c r="F70" s="3" t="s">
        <v>6</v>
      </c>
      <c r="G70" s="23" t="s">
        <v>7</v>
      </c>
      <c r="H70" s="23" t="s">
        <v>3</v>
      </c>
      <c r="I70" s="5" t="s">
        <v>4</v>
      </c>
    </row>
    <row r="71" spans="1:9">
      <c r="A71" s="7" t="s">
        <v>80</v>
      </c>
      <c r="B71" s="14">
        <v>2952</v>
      </c>
      <c r="C71" s="14"/>
      <c r="D71" s="14">
        <f>B71+C71</f>
        <v>2952</v>
      </c>
      <c r="E71" s="8"/>
      <c r="F71" s="8"/>
      <c r="G71" s="38"/>
      <c r="H71" s="14">
        <f>G71</f>
        <v>0</v>
      </c>
      <c r="I71" s="15">
        <f>D71-H71</f>
        <v>2952</v>
      </c>
    </row>
    <row r="72" spans="1:9">
      <c r="A72" s="9" t="s">
        <v>93</v>
      </c>
      <c r="B72" s="14">
        <f>I71</f>
        <v>2952</v>
      </c>
      <c r="C72" s="14">
        <v>2328</v>
      </c>
      <c r="D72" s="14">
        <f t="shared" ref="D72" si="35">B72+C72</f>
        <v>5280</v>
      </c>
      <c r="E72" s="8"/>
      <c r="F72" s="8"/>
      <c r="G72" s="38"/>
      <c r="H72" s="14">
        <f t="shared" ref="H72:H134" si="36">G72</f>
        <v>0</v>
      </c>
      <c r="I72" s="15">
        <f t="shared" ref="I72" si="37">D72-H72</f>
        <v>5280</v>
      </c>
    </row>
    <row r="73" spans="1:9">
      <c r="A73" s="9" t="s">
        <v>94</v>
      </c>
      <c r="B73" s="14">
        <f t="shared" ref="B73:B134" si="38">I72</f>
        <v>5280</v>
      </c>
      <c r="C73" s="14">
        <v>3456</v>
      </c>
      <c r="D73" s="14">
        <f t="shared" ref="D73:D134" si="39">B73+C73</f>
        <v>8736</v>
      </c>
      <c r="E73" s="8"/>
      <c r="F73" s="8"/>
      <c r="G73" s="38"/>
      <c r="H73" s="14">
        <f t="shared" si="36"/>
        <v>0</v>
      </c>
      <c r="I73" s="15">
        <f t="shared" ref="I73:I134" si="40">D73-H73</f>
        <v>8736</v>
      </c>
    </row>
    <row r="74" spans="1:9">
      <c r="A74" s="9" t="s">
        <v>98</v>
      </c>
      <c r="B74" s="14">
        <f t="shared" si="38"/>
        <v>8736</v>
      </c>
      <c r="C74" s="14">
        <v>2568</v>
      </c>
      <c r="D74" s="14">
        <f t="shared" si="39"/>
        <v>11304</v>
      </c>
      <c r="E74" s="8"/>
      <c r="F74" s="8"/>
      <c r="G74" s="38"/>
      <c r="H74" s="14">
        <f t="shared" si="36"/>
        <v>0</v>
      </c>
      <c r="I74" s="15">
        <f t="shared" si="40"/>
        <v>11304</v>
      </c>
    </row>
    <row r="75" spans="1:9">
      <c r="A75" s="9" t="s">
        <v>99</v>
      </c>
      <c r="B75" s="14">
        <f t="shared" si="38"/>
        <v>11304</v>
      </c>
      <c r="C75" s="14">
        <v>3048</v>
      </c>
      <c r="D75" s="14">
        <f t="shared" si="39"/>
        <v>14352</v>
      </c>
      <c r="E75" s="8"/>
      <c r="F75" s="8"/>
      <c r="G75" s="38"/>
      <c r="H75" s="14">
        <f t="shared" si="36"/>
        <v>0</v>
      </c>
      <c r="I75" s="15">
        <f t="shared" si="40"/>
        <v>14352</v>
      </c>
    </row>
    <row r="76" spans="1:9">
      <c r="A76" s="9" t="s">
        <v>99</v>
      </c>
      <c r="B76" s="14">
        <f t="shared" si="38"/>
        <v>14352</v>
      </c>
      <c r="C76" s="14"/>
      <c r="D76" s="14">
        <f t="shared" si="39"/>
        <v>14352</v>
      </c>
      <c r="E76" s="8">
        <v>53</v>
      </c>
      <c r="F76" s="8" t="s">
        <v>26</v>
      </c>
      <c r="G76" s="38">
        <v>2400</v>
      </c>
      <c r="H76" s="14">
        <f t="shared" si="36"/>
        <v>2400</v>
      </c>
      <c r="I76" s="15">
        <f t="shared" si="40"/>
        <v>11952</v>
      </c>
    </row>
    <row r="77" spans="1:9">
      <c r="A77" s="9" t="s">
        <v>100</v>
      </c>
      <c r="B77" s="14">
        <f t="shared" si="38"/>
        <v>11952</v>
      </c>
      <c r="C77" s="14">
        <v>1560</v>
      </c>
      <c r="D77" s="14">
        <f t="shared" si="39"/>
        <v>13512</v>
      </c>
      <c r="E77" s="8"/>
      <c r="F77" s="8"/>
      <c r="G77" s="38"/>
      <c r="H77" s="14">
        <f t="shared" si="36"/>
        <v>0</v>
      </c>
      <c r="I77" s="15">
        <f t="shared" si="40"/>
        <v>13512</v>
      </c>
    </row>
    <row r="78" spans="1:9">
      <c r="A78" s="9" t="s">
        <v>100</v>
      </c>
      <c r="B78" s="14">
        <f t="shared" si="38"/>
        <v>13512</v>
      </c>
      <c r="C78" s="14"/>
      <c r="D78" s="14">
        <f t="shared" si="39"/>
        <v>13512</v>
      </c>
      <c r="E78" s="8">
        <v>55</v>
      </c>
      <c r="F78" s="8" t="s">
        <v>35</v>
      </c>
      <c r="G78" s="38">
        <v>120</v>
      </c>
      <c r="H78" s="14">
        <f t="shared" si="36"/>
        <v>120</v>
      </c>
      <c r="I78" s="15">
        <f t="shared" si="40"/>
        <v>13392</v>
      </c>
    </row>
    <row r="79" spans="1:9">
      <c r="A79" s="9" t="s">
        <v>96</v>
      </c>
      <c r="B79" s="14">
        <f t="shared" si="38"/>
        <v>13392</v>
      </c>
      <c r="C79" s="14"/>
      <c r="D79" s="14">
        <f t="shared" si="39"/>
        <v>13392</v>
      </c>
      <c r="E79" s="8">
        <v>57</v>
      </c>
      <c r="F79" s="8" t="s">
        <v>49</v>
      </c>
      <c r="G79" s="38">
        <v>2400</v>
      </c>
      <c r="H79" s="14">
        <f t="shared" si="36"/>
        <v>2400</v>
      </c>
      <c r="I79" s="15">
        <f t="shared" si="40"/>
        <v>10992</v>
      </c>
    </row>
    <row r="80" spans="1:9">
      <c r="A80" s="9" t="s">
        <v>96</v>
      </c>
      <c r="B80" s="14">
        <f t="shared" si="38"/>
        <v>10992</v>
      </c>
      <c r="C80" s="14"/>
      <c r="D80" s="14">
        <f t="shared" si="39"/>
        <v>10992</v>
      </c>
      <c r="E80" s="8">
        <v>58</v>
      </c>
      <c r="F80" s="8" t="s">
        <v>49</v>
      </c>
      <c r="G80" s="38">
        <v>840</v>
      </c>
      <c r="H80" s="14">
        <f t="shared" si="36"/>
        <v>840</v>
      </c>
      <c r="I80" s="15">
        <f t="shared" si="40"/>
        <v>10152</v>
      </c>
    </row>
    <row r="81" spans="1:9">
      <c r="A81" s="9" t="s">
        <v>96</v>
      </c>
      <c r="B81" s="14">
        <f t="shared" si="38"/>
        <v>10152</v>
      </c>
      <c r="C81" s="14"/>
      <c r="D81" s="14">
        <f t="shared" si="39"/>
        <v>10152</v>
      </c>
      <c r="E81" s="8">
        <v>59</v>
      </c>
      <c r="F81" s="8" t="s">
        <v>49</v>
      </c>
      <c r="G81" s="38">
        <v>1320</v>
      </c>
      <c r="H81" s="14">
        <f t="shared" si="36"/>
        <v>1320</v>
      </c>
      <c r="I81" s="15">
        <f t="shared" si="40"/>
        <v>8832</v>
      </c>
    </row>
    <row r="82" spans="1:9">
      <c r="A82" s="9" t="s">
        <v>97</v>
      </c>
      <c r="B82" s="14">
        <f t="shared" si="38"/>
        <v>8832</v>
      </c>
      <c r="C82" s="14">
        <v>2424</v>
      </c>
      <c r="D82" s="14">
        <f t="shared" si="39"/>
        <v>11256</v>
      </c>
      <c r="E82" s="8"/>
      <c r="F82" s="8"/>
      <c r="G82" s="38"/>
      <c r="H82" s="14">
        <f t="shared" si="36"/>
        <v>0</v>
      </c>
      <c r="I82" s="15">
        <f t="shared" si="40"/>
        <v>11256</v>
      </c>
    </row>
    <row r="83" spans="1:9">
      <c r="A83" s="9" t="s">
        <v>95</v>
      </c>
      <c r="B83" s="14">
        <f t="shared" si="38"/>
        <v>11256</v>
      </c>
      <c r="C83" s="14">
        <v>3024</v>
      </c>
      <c r="D83" s="14">
        <f t="shared" si="39"/>
        <v>14280</v>
      </c>
      <c r="E83" s="8"/>
      <c r="F83" s="8"/>
      <c r="G83" s="38"/>
      <c r="H83" s="14">
        <f t="shared" si="36"/>
        <v>0</v>
      </c>
      <c r="I83" s="15">
        <f t="shared" si="40"/>
        <v>14280</v>
      </c>
    </row>
    <row r="84" spans="1:9">
      <c r="A84" s="9" t="s">
        <v>95</v>
      </c>
      <c r="B84" s="14">
        <f t="shared" si="38"/>
        <v>14280</v>
      </c>
      <c r="C84" s="14"/>
      <c r="D84" s="14">
        <f t="shared" si="39"/>
        <v>14280</v>
      </c>
      <c r="E84" s="8">
        <v>62</v>
      </c>
      <c r="F84" s="8" t="s">
        <v>53</v>
      </c>
      <c r="G84" s="38">
        <v>4200</v>
      </c>
      <c r="H84" s="14">
        <f t="shared" si="36"/>
        <v>4200</v>
      </c>
      <c r="I84" s="15">
        <f t="shared" si="40"/>
        <v>10080</v>
      </c>
    </row>
    <row r="85" spans="1:9">
      <c r="A85" s="9"/>
      <c r="B85" s="14">
        <f t="shared" si="38"/>
        <v>10080</v>
      </c>
      <c r="C85" s="14"/>
      <c r="D85" s="14">
        <f t="shared" si="39"/>
        <v>10080</v>
      </c>
      <c r="E85" s="8"/>
      <c r="F85" s="8"/>
      <c r="G85" s="38"/>
      <c r="H85" s="14">
        <f t="shared" si="36"/>
        <v>0</v>
      </c>
      <c r="I85" s="15">
        <f t="shared" si="40"/>
        <v>10080</v>
      </c>
    </row>
    <row r="86" spans="1:9">
      <c r="A86" s="9"/>
      <c r="B86" s="14">
        <f t="shared" si="38"/>
        <v>10080</v>
      </c>
      <c r="C86" s="14"/>
      <c r="D86" s="14">
        <f t="shared" si="39"/>
        <v>10080</v>
      </c>
      <c r="E86" s="8"/>
      <c r="F86" s="8"/>
      <c r="G86" s="38"/>
      <c r="H86" s="14">
        <f t="shared" si="36"/>
        <v>0</v>
      </c>
      <c r="I86" s="15">
        <f t="shared" si="40"/>
        <v>10080</v>
      </c>
    </row>
    <row r="87" spans="1:9">
      <c r="A87" s="9"/>
      <c r="B87" s="14">
        <f t="shared" si="38"/>
        <v>10080</v>
      </c>
      <c r="C87" s="14"/>
      <c r="D87" s="14">
        <f t="shared" si="39"/>
        <v>10080</v>
      </c>
      <c r="E87" s="8"/>
      <c r="F87" s="8"/>
      <c r="G87" s="38"/>
      <c r="H87" s="14">
        <f t="shared" si="36"/>
        <v>0</v>
      </c>
      <c r="I87" s="15">
        <f t="shared" si="40"/>
        <v>10080</v>
      </c>
    </row>
    <row r="88" spans="1:9">
      <c r="A88" s="9"/>
      <c r="B88" s="14">
        <f t="shared" si="38"/>
        <v>10080</v>
      </c>
      <c r="C88" s="14"/>
      <c r="D88" s="14">
        <f t="shared" si="39"/>
        <v>10080</v>
      </c>
      <c r="E88" s="8"/>
      <c r="F88" s="8"/>
      <c r="G88" s="38"/>
      <c r="H88" s="14">
        <f t="shared" si="36"/>
        <v>0</v>
      </c>
      <c r="I88" s="15">
        <f t="shared" si="40"/>
        <v>10080</v>
      </c>
    </row>
    <row r="89" spans="1:9">
      <c r="A89" s="9"/>
      <c r="B89" s="14">
        <f t="shared" si="38"/>
        <v>10080</v>
      </c>
      <c r="C89" s="14"/>
      <c r="D89" s="14">
        <f t="shared" si="39"/>
        <v>10080</v>
      </c>
      <c r="E89" s="8"/>
      <c r="F89" s="8"/>
      <c r="G89" s="38"/>
      <c r="H89" s="14">
        <f t="shared" si="36"/>
        <v>0</v>
      </c>
      <c r="I89" s="15">
        <f t="shared" si="40"/>
        <v>10080</v>
      </c>
    </row>
    <row r="90" spans="1:9">
      <c r="A90" s="9"/>
      <c r="B90" s="14">
        <f t="shared" si="38"/>
        <v>10080</v>
      </c>
      <c r="C90" s="14"/>
      <c r="D90" s="14">
        <f t="shared" si="39"/>
        <v>10080</v>
      </c>
      <c r="E90" s="8"/>
      <c r="F90" s="8"/>
      <c r="G90" s="38"/>
      <c r="H90" s="14">
        <f t="shared" si="36"/>
        <v>0</v>
      </c>
      <c r="I90" s="15">
        <f t="shared" si="40"/>
        <v>10080</v>
      </c>
    </row>
    <row r="91" spans="1:9">
      <c r="A91" s="9"/>
      <c r="B91" s="14">
        <f t="shared" si="38"/>
        <v>10080</v>
      </c>
      <c r="C91" s="14"/>
      <c r="D91" s="14">
        <f t="shared" si="39"/>
        <v>10080</v>
      </c>
      <c r="E91" s="8"/>
      <c r="F91" s="8"/>
      <c r="G91" s="38"/>
      <c r="H91" s="14">
        <f t="shared" si="36"/>
        <v>0</v>
      </c>
      <c r="I91" s="15">
        <f t="shared" si="40"/>
        <v>10080</v>
      </c>
    </row>
    <row r="92" spans="1:9">
      <c r="A92" s="9"/>
      <c r="B92" s="14">
        <f t="shared" si="38"/>
        <v>10080</v>
      </c>
      <c r="C92" s="14"/>
      <c r="D92" s="14">
        <f t="shared" si="39"/>
        <v>10080</v>
      </c>
      <c r="E92" s="8"/>
      <c r="F92" s="8"/>
      <c r="G92" s="38"/>
      <c r="H92" s="14">
        <f t="shared" si="36"/>
        <v>0</v>
      </c>
      <c r="I92" s="15">
        <f t="shared" si="40"/>
        <v>10080</v>
      </c>
    </row>
    <row r="93" spans="1:9">
      <c r="A93" s="9"/>
      <c r="B93" s="14">
        <f t="shared" si="38"/>
        <v>10080</v>
      </c>
      <c r="C93" s="14"/>
      <c r="D93" s="14">
        <f t="shared" si="39"/>
        <v>10080</v>
      </c>
      <c r="E93" s="8"/>
      <c r="F93" s="8"/>
      <c r="G93" s="38"/>
      <c r="H93" s="14">
        <f t="shared" si="36"/>
        <v>0</v>
      </c>
      <c r="I93" s="15">
        <f t="shared" si="40"/>
        <v>10080</v>
      </c>
    </row>
    <row r="94" spans="1:9">
      <c r="A94" s="9"/>
      <c r="B94" s="14">
        <f t="shared" si="38"/>
        <v>10080</v>
      </c>
      <c r="C94" s="14"/>
      <c r="D94" s="14">
        <f t="shared" si="39"/>
        <v>10080</v>
      </c>
      <c r="E94" s="8"/>
      <c r="F94" s="8"/>
      <c r="G94" s="38"/>
      <c r="H94" s="14">
        <f t="shared" si="36"/>
        <v>0</v>
      </c>
      <c r="I94" s="15">
        <f t="shared" si="40"/>
        <v>10080</v>
      </c>
    </row>
    <row r="95" spans="1:9">
      <c r="A95" s="9"/>
      <c r="B95" s="14">
        <f t="shared" si="38"/>
        <v>10080</v>
      </c>
      <c r="C95" s="14"/>
      <c r="D95" s="14">
        <f t="shared" si="39"/>
        <v>10080</v>
      </c>
      <c r="E95" s="8"/>
      <c r="F95" s="8"/>
      <c r="G95" s="38"/>
      <c r="H95" s="14">
        <f t="shared" si="36"/>
        <v>0</v>
      </c>
      <c r="I95" s="15">
        <f t="shared" si="40"/>
        <v>10080</v>
      </c>
    </row>
    <row r="96" spans="1:9">
      <c r="A96" s="9"/>
      <c r="B96" s="14">
        <f t="shared" si="38"/>
        <v>10080</v>
      </c>
      <c r="C96" s="14"/>
      <c r="D96" s="14">
        <f t="shared" si="39"/>
        <v>10080</v>
      </c>
      <c r="E96" s="8"/>
      <c r="F96" s="8"/>
      <c r="G96" s="38"/>
      <c r="H96" s="14">
        <f t="shared" si="36"/>
        <v>0</v>
      </c>
      <c r="I96" s="15">
        <f t="shared" si="40"/>
        <v>10080</v>
      </c>
    </row>
    <row r="97" spans="1:9">
      <c r="A97" s="9"/>
      <c r="B97" s="14">
        <f t="shared" si="38"/>
        <v>10080</v>
      </c>
      <c r="C97" s="14"/>
      <c r="D97" s="14">
        <f t="shared" si="39"/>
        <v>10080</v>
      </c>
      <c r="E97" s="8"/>
      <c r="F97" s="8"/>
      <c r="G97" s="38"/>
      <c r="H97" s="14">
        <f t="shared" si="36"/>
        <v>0</v>
      </c>
      <c r="I97" s="15">
        <f t="shared" si="40"/>
        <v>10080</v>
      </c>
    </row>
    <row r="98" spans="1:9">
      <c r="A98" s="9"/>
      <c r="B98" s="14">
        <f t="shared" si="38"/>
        <v>10080</v>
      </c>
      <c r="C98" s="14"/>
      <c r="D98" s="14">
        <f t="shared" si="39"/>
        <v>10080</v>
      </c>
      <c r="E98" s="8"/>
      <c r="F98" s="8"/>
      <c r="G98" s="38"/>
      <c r="H98" s="14">
        <f t="shared" si="36"/>
        <v>0</v>
      </c>
      <c r="I98" s="15">
        <f t="shared" si="40"/>
        <v>10080</v>
      </c>
    </row>
    <row r="99" spans="1:9">
      <c r="A99" s="9"/>
      <c r="B99" s="14">
        <f t="shared" si="38"/>
        <v>10080</v>
      </c>
      <c r="C99" s="14"/>
      <c r="D99" s="14">
        <f t="shared" si="39"/>
        <v>10080</v>
      </c>
      <c r="E99" s="8"/>
      <c r="F99" s="8"/>
      <c r="G99" s="38"/>
      <c r="H99" s="14">
        <f t="shared" si="36"/>
        <v>0</v>
      </c>
      <c r="I99" s="15">
        <f t="shared" si="40"/>
        <v>10080</v>
      </c>
    </row>
    <row r="100" spans="1:9">
      <c r="A100" s="9"/>
      <c r="B100" s="14">
        <f t="shared" si="38"/>
        <v>10080</v>
      </c>
      <c r="C100" s="14"/>
      <c r="D100" s="14">
        <f t="shared" si="39"/>
        <v>10080</v>
      </c>
      <c r="E100" s="8"/>
      <c r="F100" s="8"/>
      <c r="G100" s="38"/>
      <c r="H100" s="14">
        <f t="shared" si="36"/>
        <v>0</v>
      </c>
      <c r="I100" s="15">
        <f t="shared" si="40"/>
        <v>10080</v>
      </c>
    </row>
    <row r="101" spans="1:9">
      <c r="A101" s="9"/>
      <c r="B101" s="14">
        <f t="shared" si="38"/>
        <v>10080</v>
      </c>
      <c r="C101" s="14"/>
      <c r="D101" s="14">
        <f t="shared" si="39"/>
        <v>10080</v>
      </c>
      <c r="E101" s="8"/>
      <c r="F101" s="8"/>
      <c r="G101" s="38"/>
      <c r="H101" s="14">
        <f t="shared" si="36"/>
        <v>0</v>
      </c>
      <c r="I101" s="15">
        <f t="shared" si="40"/>
        <v>10080</v>
      </c>
    </row>
    <row r="102" spans="1:9">
      <c r="A102" s="9"/>
      <c r="B102" s="14">
        <f t="shared" si="38"/>
        <v>10080</v>
      </c>
      <c r="C102" s="14"/>
      <c r="D102" s="14">
        <f t="shared" si="39"/>
        <v>10080</v>
      </c>
      <c r="E102" s="8"/>
      <c r="F102" s="8"/>
      <c r="G102" s="38"/>
      <c r="H102" s="14">
        <f t="shared" si="36"/>
        <v>0</v>
      </c>
      <c r="I102" s="15">
        <f t="shared" si="40"/>
        <v>10080</v>
      </c>
    </row>
    <row r="103" spans="1:9">
      <c r="A103" s="9"/>
      <c r="B103" s="14">
        <f t="shared" si="38"/>
        <v>10080</v>
      </c>
      <c r="C103" s="14"/>
      <c r="D103" s="14">
        <f t="shared" si="39"/>
        <v>10080</v>
      </c>
      <c r="E103" s="8"/>
      <c r="F103" s="8"/>
      <c r="G103" s="38"/>
      <c r="H103" s="14">
        <f t="shared" si="36"/>
        <v>0</v>
      </c>
      <c r="I103" s="15">
        <f t="shared" si="40"/>
        <v>10080</v>
      </c>
    </row>
    <row r="104" spans="1:9">
      <c r="A104" s="9"/>
      <c r="B104" s="14">
        <f t="shared" si="38"/>
        <v>10080</v>
      </c>
      <c r="C104" s="14"/>
      <c r="D104" s="14">
        <f t="shared" si="39"/>
        <v>10080</v>
      </c>
      <c r="E104" s="8"/>
      <c r="F104" s="8"/>
      <c r="G104" s="38"/>
      <c r="H104" s="14">
        <f t="shared" si="36"/>
        <v>0</v>
      </c>
      <c r="I104" s="15">
        <f t="shared" si="40"/>
        <v>10080</v>
      </c>
    </row>
    <row r="105" spans="1:9">
      <c r="A105" s="9"/>
      <c r="B105" s="14">
        <f t="shared" si="38"/>
        <v>10080</v>
      </c>
      <c r="C105" s="14"/>
      <c r="D105" s="14">
        <f t="shared" si="39"/>
        <v>10080</v>
      </c>
      <c r="E105" s="8"/>
      <c r="F105" s="8"/>
      <c r="G105" s="38"/>
      <c r="H105" s="14">
        <f t="shared" si="36"/>
        <v>0</v>
      </c>
      <c r="I105" s="15">
        <f t="shared" si="40"/>
        <v>10080</v>
      </c>
    </row>
    <row r="106" spans="1:9">
      <c r="A106" s="9"/>
      <c r="B106" s="14">
        <f t="shared" si="38"/>
        <v>10080</v>
      </c>
      <c r="C106" s="14"/>
      <c r="D106" s="14">
        <f t="shared" si="39"/>
        <v>10080</v>
      </c>
      <c r="E106" s="8"/>
      <c r="F106" s="8"/>
      <c r="G106" s="38"/>
      <c r="H106" s="14">
        <f t="shared" si="36"/>
        <v>0</v>
      </c>
      <c r="I106" s="15">
        <f t="shared" si="40"/>
        <v>10080</v>
      </c>
    </row>
    <row r="107" spans="1:9">
      <c r="A107" s="9"/>
      <c r="B107" s="14">
        <f t="shared" si="38"/>
        <v>10080</v>
      </c>
      <c r="C107" s="14"/>
      <c r="D107" s="14">
        <f t="shared" si="39"/>
        <v>10080</v>
      </c>
      <c r="E107" s="8"/>
      <c r="F107" s="8"/>
      <c r="G107" s="38"/>
      <c r="H107" s="14">
        <f t="shared" si="36"/>
        <v>0</v>
      </c>
      <c r="I107" s="15">
        <f t="shared" si="40"/>
        <v>10080</v>
      </c>
    </row>
    <row r="108" spans="1:9">
      <c r="A108" s="9"/>
      <c r="B108" s="14">
        <f t="shared" si="38"/>
        <v>10080</v>
      </c>
      <c r="C108" s="14"/>
      <c r="D108" s="14">
        <f t="shared" si="39"/>
        <v>10080</v>
      </c>
      <c r="E108" s="8"/>
      <c r="F108" s="8"/>
      <c r="G108" s="38"/>
      <c r="H108" s="14">
        <f t="shared" si="36"/>
        <v>0</v>
      </c>
      <c r="I108" s="15">
        <f t="shared" si="40"/>
        <v>10080</v>
      </c>
    </row>
    <row r="109" spans="1:9">
      <c r="A109" s="9"/>
      <c r="B109" s="14">
        <f t="shared" si="38"/>
        <v>10080</v>
      </c>
      <c r="C109" s="14"/>
      <c r="D109" s="14">
        <f t="shared" si="39"/>
        <v>10080</v>
      </c>
      <c r="E109" s="8"/>
      <c r="F109" s="8"/>
      <c r="G109" s="38"/>
      <c r="H109" s="14">
        <f t="shared" si="36"/>
        <v>0</v>
      </c>
      <c r="I109" s="15">
        <f t="shared" si="40"/>
        <v>10080</v>
      </c>
    </row>
    <row r="110" spans="1:9">
      <c r="A110" s="9"/>
      <c r="B110" s="14">
        <f t="shared" si="38"/>
        <v>10080</v>
      </c>
      <c r="C110" s="14"/>
      <c r="D110" s="14">
        <f t="shared" si="39"/>
        <v>10080</v>
      </c>
      <c r="E110" s="8"/>
      <c r="F110" s="8"/>
      <c r="G110" s="38"/>
      <c r="H110" s="14">
        <f t="shared" si="36"/>
        <v>0</v>
      </c>
      <c r="I110" s="15">
        <f t="shared" si="40"/>
        <v>10080</v>
      </c>
    </row>
    <row r="111" spans="1:9">
      <c r="A111" s="9"/>
      <c r="B111" s="14">
        <f t="shared" si="38"/>
        <v>10080</v>
      </c>
      <c r="C111" s="14"/>
      <c r="D111" s="14">
        <f t="shared" si="39"/>
        <v>10080</v>
      </c>
      <c r="E111" s="8"/>
      <c r="F111" s="8"/>
      <c r="G111" s="38"/>
      <c r="H111" s="14">
        <f t="shared" si="36"/>
        <v>0</v>
      </c>
      <c r="I111" s="15">
        <f t="shared" si="40"/>
        <v>10080</v>
      </c>
    </row>
    <row r="112" spans="1:9">
      <c r="A112" s="9"/>
      <c r="B112" s="14">
        <f t="shared" si="38"/>
        <v>10080</v>
      </c>
      <c r="C112" s="14"/>
      <c r="D112" s="14">
        <f t="shared" si="39"/>
        <v>10080</v>
      </c>
      <c r="E112" s="8"/>
      <c r="F112" s="8"/>
      <c r="G112" s="38"/>
      <c r="H112" s="14">
        <f t="shared" si="36"/>
        <v>0</v>
      </c>
      <c r="I112" s="15">
        <f t="shared" si="40"/>
        <v>10080</v>
      </c>
    </row>
    <row r="113" spans="1:9">
      <c r="A113" s="9"/>
      <c r="B113" s="14">
        <f t="shared" si="38"/>
        <v>10080</v>
      </c>
      <c r="C113" s="14"/>
      <c r="D113" s="14">
        <f t="shared" si="39"/>
        <v>10080</v>
      </c>
      <c r="E113" s="8"/>
      <c r="F113" s="8"/>
      <c r="G113" s="38"/>
      <c r="H113" s="14">
        <f t="shared" si="36"/>
        <v>0</v>
      </c>
      <c r="I113" s="15">
        <f t="shared" si="40"/>
        <v>10080</v>
      </c>
    </row>
    <row r="114" spans="1:9">
      <c r="A114" s="9"/>
      <c r="B114" s="14">
        <f t="shared" si="38"/>
        <v>10080</v>
      </c>
      <c r="C114" s="14"/>
      <c r="D114" s="14">
        <f t="shared" si="39"/>
        <v>10080</v>
      </c>
      <c r="E114" s="8"/>
      <c r="F114" s="8"/>
      <c r="G114" s="38"/>
      <c r="H114" s="14">
        <f t="shared" si="36"/>
        <v>0</v>
      </c>
      <c r="I114" s="15">
        <f t="shared" si="40"/>
        <v>10080</v>
      </c>
    </row>
    <row r="115" spans="1:9">
      <c r="A115" s="9"/>
      <c r="B115" s="14">
        <f t="shared" si="38"/>
        <v>10080</v>
      </c>
      <c r="C115" s="14"/>
      <c r="D115" s="14">
        <f t="shared" si="39"/>
        <v>10080</v>
      </c>
      <c r="E115" s="8"/>
      <c r="F115" s="8"/>
      <c r="G115" s="38"/>
      <c r="H115" s="14">
        <f t="shared" si="36"/>
        <v>0</v>
      </c>
      <c r="I115" s="15">
        <f t="shared" si="40"/>
        <v>10080</v>
      </c>
    </row>
    <row r="116" spans="1:9">
      <c r="A116" s="9"/>
      <c r="B116" s="14">
        <f t="shared" si="38"/>
        <v>10080</v>
      </c>
      <c r="C116" s="14"/>
      <c r="D116" s="14">
        <f t="shared" si="39"/>
        <v>10080</v>
      </c>
      <c r="E116" s="8"/>
      <c r="F116" s="8"/>
      <c r="G116" s="38"/>
      <c r="H116" s="14">
        <f t="shared" si="36"/>
        <v>0</v>
      </c>
      <c r="I116" s="15">
        <f t="shared" si="40"/>
        <v>10080</v>
      </c>
    </row>
    <row r="117" spans="1:9">
      <c r="A117" s="9"/>
      <c r="B117" s="14">
        <f t="shared" si="38"/>
        <v>10080</v>
      </c>
      <c r="C117" s="14"/>
      <c r="D117" s="14">
        <f t="shared" si="39"/>
        <v>10080</v>
      </c>
      <c r="E117" s="8"/>
      <c r="F117" s="8"/>
      <c r="G117" s="38"/>
      <c r="H117" s="14">
        <f t="shared" si="36"/>
        <v>0</v>
      </c>
      <c r="I117" s="15">
        <f t="shared" si="40"/>
        <v>10080</v>
      </c>
    </row>
    <row r="118" spans="1:9">
      <c r="A118" s="9"/>
      <c r="B118" s="14">
        <f t="shared" si="38"/>
        <v>10080</v>
      </c>
      <c r="C118" s="14"/>
      <c r="D118" s="14">
        <f t="shared" si="39"/>
        <v>10080</v>
      </c>
      <c r="E118" s="8"/>
      <c r="F118" s="8"/>
      <c r="G118" s="38"/>
      <c r="H118" s="14">
        <f t="shared" si="36"/>
        <v>0</v>
      </c>
      <c r="I118" s="15">
        <f t="shared" si="40"/>
        <v>10080</v>
      </c>
    </row>
    <row r="119" spans="1:9">
      <c r="A119" s="9"/>
      <c r="B119" s="14">
        <f t="shared" si="38"/>
        <v>10080</v>
      </c>
      <c r="C119" s="14"/>
      <c r="D119" s="14">
        <f t="shared" si="39"/>
        <v>10080</v>
      </c>
      <c r="E119" s="8"/>
      <c r="F119" s="8"/>
      <c r="G119" s="38"/>
      <c r="H119" s="14">
        <f t="shared" si="36"/>
        <v>0</v>
      </c>
      <c r="I119" s="15">
        <f t="shared" si="40"/>
        <v>10080</v>
      </c>
    </row>
    <row r="120" spans="1:9">
      <c r="A120" s="9"/>
      <c r="B120" s="14">
        <f t="shared" si="38"/>
        <v>10080</v>
      </c>
      <c r="C120" s="14"/>
      <c r="D120" s="14">
        <f t="shared" si="39"/>
        <v>10080</v>
      </c>
      <c r="E120" s="8"/>
      <c r="F120" s="8"/>
      <c r="G120" s="38"/>
      <c r="H120" s="14">
        <f t="shared" si="36"/>
        <v>0</v>
      </c>
      <c r="I120" s="15">
        <f t="shared" si="40"/>
        <v>10080</v>
      </c>
    </row>
    <row r="121" spans="1:9">
      <c r="A121" s="9"/>
      <c r="B121" s="14">
        <f t="shared" si="38"/>
        <v>10080</v>
      </c>
      <c r="C121" s="14"/>
      <c r="D121" s="14">
        <f t="shared" si="39"/>
        <v>10080</v>
      </c>
      <c r="E121" s="8"/>
      <c r="F121" s="8"/>
      <c r="G121" s="38"/>
      <c r="H121" s="14">
        <f t="shared" si="36"/>
        <v>0</v>
      </c>
      <c r="I121" s="15">
        <f t="shared" si="40"/>
        <v>10080</v>
      </c>
    </row>
    <row r="122" spans="1:9">
      <c r="A122" s="9"/>
      <c r="B122" s="14">
        <f t="shared" si="38"/>
        <v>10080</v>
      </c>
      <c r="C122" s="14"/>
      <c r="D122" s="14">
        <f t="shared" si="39"/>
        <v>10080</v>
      </c>
      <c r="E122" s="8"/>
      <c r="F122" s="8"/>
      <c r="G122" s="38"/>
      <c r="H122" s="14">
        <f t="shared" si="36"/>
        <v>0</v>
      </c>
      <c r="I122" s="15">
        <f t="shared" si="40"/>
        <v>10080</v>
      </c>
    </row>
    <row r="123" spans="1:9">
      <c r="A123" s="9"/>
      <c r="B123" s="14">
        <f t="shared" si="38"/>
        <v>10080</v>
      </c>
      <c r="C123" s="14"/>
      <c r="D123" s="14">
        <f t="shared" si="39"/>
        <v>10080</v>
      </c>
      <c r="E123" s="8"/>
      <c r="F123" s="8"/>
      <c r="G123" s="38"/>
      <c r="H123" s="14">
        <f t="shared" si="36"/>
        <v>0</v>
      </c>
      <c r="I123" s="15">
        <f t="shared" si="40"/>
        <v>10080</v>
      </c>
    </row>
    <row r="124" spans="1:9">
      <c r="A124" s="9"/>
      <c r="B124" s="14">
        <f t="shared" si="38"/>
        <v>10080</v>
      </c>
      <c r="C124" s="14"/>
      <c r="D124" s="14">
        <f t="shared" si="39"/>
        <v>10080</v>
      </c>
      <c r="E124" s="8"/>
      <c r="F124" s="8"/>
      <c r="G124" s="38"/>
      <c r="H124" s="14">
        <f t="shared" si="36"/>
        <v>0</v>
      </c>
      <c r="I124" s="15">
        <f t="shared" si="40"/>
        <v>10080</v>
      </c>
    </row>
    <row r="125" spans="1:9">
      <c r="A125" s="9"/>
      <c r="B125" s="14">
        <f t="shared" si="38"/>
        <v>10080</v>
      </c>
      <c r="C125" s="14"/>
      <c r="D125" s="14">
        <f t="shared" si="39"/>
        <v>10080</v>
      </c>
      <c r="E125" s="8"/>
      <c r="F125" s="8"/>
      <c r="G125" s="38"/>
      <c r="H125" s="14">
        <f t="shared" si="36"/>
        <v>0</v>
      </c>
      <c r="I125" s="15">
        <f t="shared" si="40"/>
        <v>10080</v>
      </c>
    </row>
    <row r="126" spans="1:9">
      <c r="A126" s="9"/>
      <c r="B126" s="14">
        <f t="shared" si="38"/>
        <v>10080</v>
      </c>
      <c r="C126" s="14"/>
      <c r="D126" s="14">
        <f t="shared" si="39"/>
        <v>10080</v>
      </c>
      <c r="E126" s="8"/>
      <c r="F126" s="8"/>
      <c r="G126" s="38"/>
      <c r="H126" s="14">
        <f t="shared" si="36"/>
        <v>0</v>
      </c>
      <c r="I126" s="15">
        <f t="shared" si="40"/>
        <v>10080</v>
      </c>
    </row>
    <row r="127" spans="1:9">
      <c r="A127" s="9"/>
      <c r="B127" s="14">
        <f t="shared" si="38"/>
        <v>10080</v>
      </c>
      <c r="C127" s="14"/>
      <c r="D127" s="14">
        <f t="shared" si="39"/>
        <v>10080</v>
      </c>
      <c r="E127" s="8"/>
      <c r="F127" s="8"/>
      <c r="G127" s="38"/>
      <c r="H127" s="14">
        <f t="shared" si="36"/>
        <v>0</v>
      </c>
      <c r="I127" s="15">
        <f t="shared" si="40"/>
        <v>10080</v>
      </c>
    </row>
    <row r="128" spans="1:9">
      <c r="A128" s="9"/>
      <c r="B128" s="14">
        <f t="shared" si="38"/>
        <v>10080</v>
      </c>
      <c r="C128" s="14"/>
      <c r="D128" s="14">
        <f t="shared" si="39"/>
        <v>10080</v>
      </c>
      <c r="E128" s="8"/>
      <c r="F128" s="8"/>
      <c r="G128" s="38"/>
      <c r="H128" s="14">
        <f t="shared" si="36"/>
        <v>0</v>
      </c>
      <c r="I128" s="15">
        <f t="shared" si="40"/>
        <v>10080</v>
      </c>
    </row>
    <row r="129" spans="1:9">
      <c r="A129" s="9"/>
      <c r="B129" s="14">
        <f t="shared" si="38"/>
        <v>10080</v>
      </c>
      <c r="C129" s="14"/>
      <c r="D129" s="14">
        <f t="shared" si="39"/>
        <v>10080</v>
      </c>
      <c r="E129" s="8"/>
      <c r="F129" s="8"/>
      <c r="G129" s="38"/>
      <c r="H129" s="14">
        <f t="shared" si="36"/>
        <v>0</v>
      </c>
      <c r="I129" s="15">
        <f t="shared" si="40"/>
        <v>10080</v>
      </c>
    </row>
    <row r="130" spans="1:9">
      <c r="A130" s="9"/>
      <c r="B130" s="14">
        <f t="shared" si="38"/>
        <v>10080</v>
      </c>
      <c r="C130" s="14"/>
      <c r="D130" s="14">
        <f t="shared" si="39"/>
        <v>10080</v>
      </c>
      <c r="E130" s="8"/>
      <c r="F130" s="8"/>
      <c r="G130" s="38"/>
      <c r="H130" s="14">
        <f t="shared" si="36"/>
        <v>0</v>
      </c>
      <c r="I130" s="15">
        <f t="shared" si="40"/>
        <v>10080</v>
      </c>
    </row>
    <row r="131" spans="1:9">
      <c r="A131" s="9"/>
      <c r="B131" s="14">
        <f t="shared" si="38"/>
        <v>10080</v>
      </c>
      <c r="C131" s="14"/>
      <c r="D131" s="14">
        <f t="shared" si="39"/>
        <v>10080</v>
      </c>
      <c r="E131" s="8"/>
      <c r="F131" s="8"/>
      <c r="G131" s="38"/>
      <c r="H131" s="14">
        <f t="shared" si="36"/>
        <v>0</v>
      </c>
      <c r="I131" s="15">
        <f t="shared" si="40"/>
        <v>10080</v>
      </c>
    </row>
    <row r="132" spans="1:9">
      <c r="A132" s="9"/>
      <c r="B132" s="14">
        <f t="shared" si="38"/>
        <v>10080</v>
      </c>
      <c r="C132" s="14"/>
      <c r="D132" s="14">
        <f t="shared" si="39"/>
        <v>10080</v>
      </c>
      <c r="E132" s="8"/>
      <c r="F132" s="8"/>
      <c r="G132" s="38"/>
      <c r="H132" s="14">
        <f t="shared" si="36"/>
        <v>0</v>
      </c>
      <c r="I132" s="15">
        <f t="shared" si="40"/>
        <v>10080</v>
      </c>
    </row>
    <row r="133" spans="1:9">
      <c r="A133" s="9"/>
      <c r="B133" s="14">
        <f t="shared" si="38"/>
        <v>10080</v>
      </c>
      <c r="C133" s="14"/>
      <c r="D133" s="14">
        <f t="shared" si="39"/>
        <v>10080</v>
      </c>
      <c r="E133" s="8"/>
      <c r="F133" s="8"/>
      <c r="G133" s="38"/>
      <c r="H133" s="14">
        <f t="shared" si="36"/>
        <v>0</v>
      </c>
      <c r="I133" s="15">
        <f t="shared" si="40"/>
        <v>10080</v>
      </c>
    </row>
    <row r="134" spans="1:9" ht="15.75" thickBot="1">
      <c r="A134" s="9"/>
      <c r="B134" s="14">
        <f t="shared" si="38"/>
        <v>10080</v>
      </c>
      <c r="C134" s="14"/>
      <c r="D134" s="14">
        <f t="shared" si="39"/>
        <v>10080</v>
      </c>
      <c r="E134" s="8"/>
      <c r="F134" s="8"/>
      <c r="G134" s="38"/>
      <c r="H134" s="14">
        <f t="shared" si="36"/>
        <v>0</v>
      </c>
      <c r="I134" s="15">
        <f t="shared" si="40"/>
        <v>10080</v>
      </c>
    </row>
    <row r="135" spans="1:9" ht="15.75" thickBot="1">
      <c r="A135" s="33" t="s">
        <v>2</v>
      </c>
      <c r="B135" s="31"/>
      <c r="C135" s="34">
        <f>SUM(C71:C134)</f>
        <v>18408</v>
      </c>
      <c r="D135" s="31"/>
      <c r="E135" s="31"/>
      <c r="F135" s="31"/>
      <c r="G135" s="37">
        <f>SUM(G71:G134)</f>
        <v>11280</v>
      </c>
      <c r="H135" s="40"/>
      <c r="I135" s="32"/>
    </row>
  </sheetData>
  <mergeCells count="2">
    <mergeCell ref="A1:I1"/>
    <mergeCell ref="A69:I69"/>
  </mergeCells>
  <pageMargins left="0.77" right="0.57999999999999996" top="0.16" bottom="0.17" header="0.16" footer="0.17"/>
  <pageSetup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64"/>
  <sheetViews>
    <sheetView topLeftCell="A30" zoomScaleNormal="100" workbookViewId="0">
      <selection activeCell="F42" sqref="F42"/>
    </sheetView>
  </sheetViews>
  <sheetFormatPr defaultRowHeight="15"/>
  <cols>
    <col min="1" max="1" width="10.140625" bestFit="1" customWidth="1"/>
    <col min="2" max="2" width="9.5703125" customWidth="1"/>
    <col min="3" max="3" width="9" customWidth="1"/>
    <col min="4" max="4" width="7.85546875" customWidth="1"/>
    <col min="5" max="5" width="8.7109375" customWidth="1"/>
    <col min="6" max="6" width="12.42578125" customWidth="1"/>
    <col min="7" max="7" width="11" customWidth="1"/>
    <col min="8" max="8" width="12.42578125" customWidth="1"/>
    <col min="9" max="9" width="9.28515625" customWidth="1"/>
  </cols>
  <sheetData>
    <row r="1" spans="1:9" ht="19.5" thickBot="1">
      <c r="A1" s="45" t="s">
        <v>9</v>
      </c>
      <c r="B1" s="45"/>
      <c r="C1" s="45"/>
      <c r="D1" s="45"/>
      <c r="E1" s="45"/>
      <c r="F1" s="45"/>
      <c r="G1" s="45"/>
      <c r="H1" s="45"/>
      <c r="I1" s="45"/>
    </row>
    <row r="2" spans="1:9" ht="39" thickBot="1">
      <c r="A2" s="19" t="s">
        <v>0</v>
      </c>
      <c r="B2" s="20" t="s">
        <v>1</v>
      </c>
      <c r="C2" s="20" t="s">
        <v>5</v>
      </c>
      <c r="D2" s="20" t="s">
        <v>2</v>
      </c>
      <c r="E2" s="20" t="s">
        <v>8</v>
      </c>
      <c r="F2" s="20" t="s">
        <v>6</v>
      </c>
      <c r="G2" s="20" t="s">
        <v>7</v>
      </c>
      <c r="H2" s="20" t="s">
        <v>3</v>
      </c>
      <c r="I2" s="21" t="s">
        <v>4</v>
      </c>
    </row>
    <row r="3" spans="1:9">
      <c r="A3" s="7" t="s">
        <v>18</v>
      </c>
      <c r="B3" s="14">
        <v>420</v>
      </c>
      <c r="C3" s="14"/>
      <c r="D3" s="14">
        <f>B3+C3</f>
        <v>420</v>
      </c>
      <c r="E3" s="8"/>
      <c r="F3" s="8"/>
      <c r="G3" s="13"/>
      <c r="H3" s="14">
        <f>G3</f>
        <v>0</v>
      </c>
      <c r="I3" s="15">
        <f>D3-H3</f>
        <v>420</v>
      </c>
    </row>
    <row r="4" spans="1:9">
      <c r="A4" s="7" t="s">
        <v>18</v>
      </c>
      <c r="B4" s="43">
        <f>I3</f>
        <v>420</v>
      </c>
      <c r="C4" s="14"/>
      <c r="D4" s="14">
        <f>B4+C4</f>
        <v>420</v>
      </c>
      <c r="E4" s="17" t="s">
        <v>38</v>
      </c>
      <c r="F4" s="8" t="s">
        <v>39</v>
      </c>
      <c r="G4" s="13">
        <v>120</v>
      </c>
      <c r="H4" s="14">
        <f>G4</f>
        <v>120</v>
      </c>
      <c r="I4" s="15">
        <f>D4-H4</f>
        <v>300</v>
      </c>
    </row>
    <row r="5" spans="1:9">
      <c r="A5" s="7" t="s">
        <v>27</v>
      </c>
      <c r="B5" s="15">
        <f>I4</f>
        <v>300</v>
      </c>
      <c r="C5" s="14"/>
      <c r="D5" s="14">
        <f>B5+C5</f>
        <v>300</v>
      </c>
      <c r="E5" s="17" t="s">
        <v>33</v>
      </c>
      <c r="F5" s="8" t="s">
        <v>34</v>
      </c>
      <c r="G5" s="13">
        <v>48</v>
      </c>
      <c r="H5" s="14">
        <f>G5</f>
        <v>48</v>
      </c>
      <c r="I5" s="15">
        <f>D5-H5</f>
        <v>252</v>
      </c>
    </row>
    <row r="6" spans="1:9">
      <c r="A6" s="7" t="s">
        <v>36</v>
      </c>
      <c r="B6" s="15">
        <f t="shared" ref="B6:B10" si="0">I5</f>
        <v>252</v>
      </c>
      <c r="C6" s="14">
        <v>1068</v>
      </c>
      <c r="D6" s="14">
        <f t="shared" ref="D6:D10" si="1">B6+C6</f>
        <v>1320</v>
      </c>
      <c r="E6" s="8"/>
      <c r="F6" s="8"/>
      <c r="G6" s="13"/>
      <c r="H6" s="14">
        <f t="shared" ref="H6:H10" si="2">G6</f>
        <v>0</v>
      </c>
      <c r="I6" s="15">
        <f t="shared" ref="I6:I10" si="3">D6-H6</f>
        <v>1320</v>
      </c>
    </row>
    <row r="7" spans="1:9">
      <c r="A7" s="7" t="s">
        <v>36</v>
      </c>
      <c r="B7" s="15">
        <f t="shared" si="0"/>
        <v>1320</v>
      </c>
      <c r="C7" s="14"/>
      <c r="D7" s="14">
        <f t="shared" si="1"/>
        <v>1320</v>
      </c>
      <c r="E7" s="17" t="s">
        <v>37</v>
      </c>
      <c r="F7" s="8"/>
      <c r="G7" s="13">
        <v>48</v>
      </c>
      <c r="H7" s="14">
        <f t="shared" si="2"/>
        <v>48</v>
      </c>
      <c r="I7" s="15">
        <f t="shared" si="3"/>
        <v>1272</v>
      </c>
    </row>
    <row r="8" spans="1:9">
      <c r="A8" s="7" t="s">
        <v>40</v>
      </c>
      <c r="B8" s="15">
        <f t="shared" si="0"/>
        <v>1272</v>
      </c>
      <c r="C8" s="14">
        <v>768</v>
      </c>
      <c r="D8" s="14">
        <f t="shared" si="1"/>
        <v>2040</v>
      </c>
      <c r="E8" s="8"/>
      <c r="F8" s="8"/>
      <c r="G8" s="13"/>
      <c r="H8" s="14">
        <f t="shared" si="2"/>
        <v>0</v>
      </c>
      <c r="I8" s="15">
        <f t="shared" si="3"/>
        <v>2040</v>
      </c>
    </row>
    <row r="9" spans="1:9">
      <c r="A9" s="7" t="s">
        <v>40</v>
      </c>
      <c r="B9" s="15">
        <f t="shared" si="0"/>
        <v>2040</v>
      </c>
      <c r="C9" s="14"/>
      <c r="D9" s="14">
        <f t="shared" si="1"/>
        <v>2040</v>
      </c>
      <c r="E9" s="8">
        <v>11</v>
      </c>
      <c r="F9" s="8" t="s">
        <v>44</v>
      </c>
      <c r="G9" s="13">
        <v>1560</v>
      </c>
      <c r="H9" s="14">
        <f t="shared" si="2"/>
        <v>1560</v>
      </c>
      <c r="I9" s="15">
        <f t="shared" si="3"/>
        <v>480</v>
      </c>
    </row>
    <row r="10" spans="1:9">
      <c r="A10" s="7" t="s">
        <v>45</v>
      </c>
      <c r="B10" s="15">
        <f t="shared" si="0"/>
        <v>480</v>
      </c>
      <c r="C10" s="14"/>
      <c r="D10" s="14">
        <f t="shared" si="1"/>
        <v>480</v>
      </c>
      <c r="E10" s="8">
        <v>12</v>
      </c>
      <c r="F10" s="8" t="s">
        <v>46</v>
      </c>
      <c r="G10" s="13">
        <v>24</v>
      </c>
      <c r="H10" s="14">
        <f t="shared" si="2"/>
        <v>24</v>
      </c>
      <c r="I10" s="15">
        <f t="shared" si="3"/>
        <v>456</v>
      </c>
    </row>
    <row r="11" spans="1:9">
      <c r="A11" s="7" t="s">
        <v>50</v>
      </c>
      <c r="B11" s="15">
        <f t="shared" ref="B11:B21" si="4">I10</f>
        <v>456</v>
      </c>
      <c r="C11" s="14"/>
      <c r="D11" s="14">
        <f t="shared" ref="D11:D21" si="5">B11+C11</f>
        <v>456</v>
      </c>
      <c r="E11" s="8">
        <v>18</v>
      </c>
      <c r="F11" s="8" t="s">
        <v>51</v>
      </c>
      <c r="G11" s="13">
        <v>24</v>
      </c>
      <c r="H11" s="14">
        <f t="shared" ref="H11:H21" si="6">G11</f>
        <v>24</v>
      </c>
      <c r="I11" s="15">
        <f t="shared" ref="I11:I21" si="7">D11-H11</f>
        <v>432</v>
      </c>
    </row>
    <row r="12" spans="1:9">
      <c r="A12" s="7" t="s">
        <v>52</v>
      </c>
      <c r="B12" s="15">
        <f t="shared" si="4"/>
        <v>432</v>
      </c>
      <c r="C12" s="14">
        <v>1092</v>
      </c>
      <c r="D12" s="14">
        <f t="shared" si="5"/>
        <v>1524</v>
      </c>
      <c r="E12" s="8"/>
      <c r="F12" s="8"/>
      <c r="G12" s="13"/>
      <c r="H12" s="14">
        <f t="shared" si="6"/>
        <v>0</v>
      </c>
      <c r="I12" s="15">
        <f t="shared" si="7"/>
        <v>1524</v>
      </c>
    </row>
    <row r="13" spans="1:9">
      <c r="A13" s="7" t="s">
        <v>52</v>
      </c>
      <c r="B13" s="15">
        <f t="shared" si="4"/>
        <v>1524</v>
      </c>
      <c r="C13" s="14"/>
      <c r="D13" s="14">
        <f t="shared" si="5"/>
        <v>1524</v>
      </c>
      <c r="E13" s="8">
        <v>20</v>
      </c>
      <c r="F13" s="8" t="s">
        <v>35</v>
      </c>
      <c r="G13" s="13">
        <v>24</v>
      </c>
      <c r="H13" s="14">
        <f t="shared" si="6"/>
        <v>24</v>
      </c>
      <c r="I13" s="15">
        <f t="shared" si="7"/>
        <v>1500</v>
      </c>
    </row>
    <row r="14" spans="1:9">
      <c r="A14" s="7" t="s">
        <v>55</v>
      </c>
      <c r="B14" s="15">
        <f t="shared" si="4"/>
        <v>1500</v>
      </c>
      <c r="C14" s="14"/>
      <c r="D14" s="14">
        <f t="shared" si="5"/>
        <v>1500</v>
      </c>
      <c r="E14" s="8">
        <v>22</v>
      </c>
      <c r="F14" s="8" t="s">
        <v>26</v>
      </c>
      <c r="G14" s="13">
        <v>120</v>
      </c>
      <c r="H14" s="14">
        <f t="shared" si="6"/>
        <v>120</v>
      </c>
      <c r="I14" s="15">
        <f t="shared" si="7"/>
        <v>1380</v>
      </c>
    </row>
    <row r="15" spans="1:9">
      <c r="A15" s="7" t="s">
        <v>55</v>
      </c>
      <c r="B15" s="15">
        <f t="shared" si="4"/>
        <v>1380</v>
      </c>
      <c r="C15" s="14"/>
      <c r="D15" s="14">
        <f t="shared" si="5"/>
        <v>1380</v>
      </c>
      <c r="E15" s="8">
        <v>24</v>
      </c>
      <c r="F15" s="8" t="s">
        <v>57</v>
      </c>
      <c r="G15" s="13">
        <v>120</v>
      </c>
      <c r="H15" s="14">
        <f t="shared" si="6"/>
        <v>120</v>
      </c>
      <c r="I15" s="15">
        <f t="shared" si="7"/>
        <v>1260</v>
      </c>
    </row>
    <row r="16" spans="1:9">
      <c r="A16" s="7" t="s">
        <v>58</v>
      </c>
      <c r="B16" s="15">
        <f t="shared" si="4"/>
        <v>1260</v>
      </c>
      <c r="C16" s="14"/>
      <c r="D16" s="14">
        <f t="shared" si="5"/>
        <v>1260</v>
      </c>
      <c r="E16" s="8">
        <v>25</v>
      </c>
      <c r="F16" s="8" t="s">
        <v>59</v>
      </c>
      <c r="G16" s="13">
        <v>60</v>
      </c>
      <c r="H16" s="14">
        <f t="shared" si="6"/>
        <v>60</v>
      </c>
      <c r="I16" s="15">
        <f t="shared" si="7"/>
        <v>1200</v>
      </c>
    </row>
    <row r="17" spans="1:9">
      <c r="A17" s="7" t="s">
        <v>58</v>
      </c>
      <c r="B17" s="15">
        <f t="shared" si="4"/>
        <v>1200</v>
      </c>
      <c r="C17" s="14"/>
      <c r="D17" s="14">
        <f t="shared" si="5"/>
        <v>1200</v>
      </c>
      <c r="E17" s="8">
        <v>26</v>
      </c>
      <c r="F17" s="8" t="s">
        <v>60</v>
      </c>
      <c r="G17" s="13">
        <v>60</v>
      </c>
      <c r="H17" s="14">
        <f t="shared" si="6"/>
        <v>60</v>
      </c>
      <c r="I17" s="15">
        <f t="shared" si="7"/>
        <v>1140</v>
      </c>
    </row>
    <row r="18" spans="1:9">
      <c r="A18" s="7" t="s">
        <v>62</v>
      </c>
      <c r="B18" s="15">
        <f t="shared" si="4"/>
        <v>1140</v>
      </c>
      <c r="C18" s="14"/>
      <c r="D18" s="14">
        <f t="shared" si="5"/>
        <v>1140</v>
      </c>
      <c r="E18" s="8">
        <v>28</v>
      </c>
      <c r="F18" s="8" t="s">
        <v>63</v>
      </c>
      <c r="G18" s="13">
        <v>120</v>
      </c>
      <c r="H18" s="14">
        <f t="shared" si="6"/>
        <v>120</v>
      </c>
      <c r="I18" s="15">
        <f t="shared" si="7"/>
        <v>1020</v>
      </c>
    </row>
    <row r="19" spans="1:9">
      <c r="A19" s="7" t="s">
        <v>65</v>
      </c>
      <c r="B19" s="15">
        <f t="shared" si="4"/>
        <v>1020</v>
      </c>
      <c r="C19" s="14">
        <v>720</v>
      </c>
      <c r="D19" s="14">
        <f t="shared" si="5"/>
        <v>1740</v>
      </c>
      <c r="E19" s="8"/>
      <c r="F19" s="8"/>
      <c r="G19" s="13"/>
      <c r="H19" s="14">
        <f t="shared" si="6"/>
        <v>0</v>
      </c>
      <c r="I19" s="15">
        <f t="shared" si="7"/>
        <v>1740</v>
      </c>
    </row>
    <row r="20" spans="1:9">
      <c r="A20" s="7" t="s">
        <v>65</v>
      </c>
      <c r="B20" s="15">
        <f t="shared" si="4"/>
        <v>1740</v>
      </c>
      <c r="C20" s="14"/>
      <c r="D20" s="14">
        <f t="shared" si="5"/>
        <v>1740</v>
      </c>
      <c r="E20" s="8">
        <v>31</v>
      </c>
      <c r="F20" s="8" t="s">
        <v>44</v>
      </c>
      <c r="G20" s="13">
        <v>1500</v>
      </c>
      <c r="H20" s="14">
        <f t="shared" si="6"/>
        <v>1500</v>
      </c>
      <c r="I20" s="15">
        <f t="shared" si="7"/>
        <v>240</v>
      </c>
    </row>
    <row r="21" spans="1:9">
      <c r="A21" s="7" t="s">
        <v>66</v>
      </c>
      <c r="B21" s="15">
        <f t="shared" si="4"/>
        <v>240</v>
      </c>
      <c r="C21" s="14">
        <v>912</v>
      </c>
      <c r="D21" s="14">
        <f t="shared" si="5"/>
        <v>1152</v>
      </c>
      <c r="E21" s="8"/>
      <c r="F21" s="8"/>
      <c r="G21" s="13"/>
      <c r="H21" s="14">
        <f t="shared" si="6"/>
        <v>0</v>
      </c>
      <c r="I21" s="15">
        <f t="shared" si="7"/>
        <v>1152</v>
      </c>
    </row>
    <row r="22" spans="1:9">
      <c r="A22" s="7" t="s">
        <v>67</v>
      </c>
      <c r="B22" s="15">
        <f t="shared" ref="B22:B28" si="8">I21</f>
        <v>1152</v>
      </c>
      <c r="C22" s="14"/>
      <c r="D22" s="14">
        <f t="shared" ref="D22:D28" si="9">B22+C22</f>
        <v>1152</v>
      </c>
      <c r="E22" s="8">
        <v>32</v>
      </c>
      <c r="F22" s="8" t="s">
        <v>34</v>
      </c>
      <c r="G22" s="13">
        <v>60</v>
      </c>
      <c r="H22" s="14">
        <f t="shared" ref="H22:H28" si="10">G22</f>
        <v>60</v>
      </c>
      <c r="I22" s="15">
        <f t="shared" ref="I22:I28" si="11">D22-H22</f>
        <v>1092</v>
      </c>
    </row>
    <row r="23" spans="1:9">
      <c r="A23" s="7" t="s">
        <v>67</v>
      </c>
      <c r="B23" s="15">
        <f t="shared" si="8"/>
        <v>1092</v>
      </c>
      <c r="C23" s="14"/>
      <c r="D23" s="14">
        <f t="shared" si="9"/>
        <v>1092</v>
      </c>
      <c r="E23" s="8">
        <v>33</v>
      </c>
      <c r="F23" s="8" t="s">
        <v>35</v>
      </c>
      <c r="G23" s="13">
        <v>24</v>
      </c>
      <c r="H23" s="14">
        <f t="shared" si="10"/>
        <v>24</v>
      </c>
      <c r="I23" s="15">
        <f t="shared" si="11"/>
        <v>1068</v>
      </c>
    </row>
    <row r="24" spans="1:9">
      <c r="A24" s="7" t="s">
        <v>68</v>
      </c>
      <c r="B24" s="15">
        <f t="shared" si="8"/>
        <v>1068</v>
      </c>
      <c r="C24" s="14">
        <v>1200</v>
      </c>
      <c r="D24" s="14">
        <f t="shared" si="9"/>
        <v>2268</v>
      </c>
      <c r="E24" s="8"/>
      <c r="F24" s="8"/>
      <c r="G24" s="13"/>
      <c r="H24" s="14">
        <f t="shared" si="10"/>
        <v>0</v>
      </c>
      <c r="I24" s="15">
        <f t="shared" si="11"/>
        <v>2268</v>
      </c>
    </row>
    <row r="25" spans="1:9">
      <c r="A25" s="7" t="s">
        <v>68</v>
      </c>
      <c r="B25" s="15">
        <f t="shared" si="8"/>
        <v>2268</v>
      </c>
      <c r="C25" s="14"/>
      <c r="D25" s="14">
        <f t="shared" si="9"/>
        <v>2268</v>
      </c>
      <c r="E25" s="8">
        <v>36</v>
      </c>
      <c r="F25" s="8" t="s">
        <v>44</v>
      </c>
      <c r="G25" s="13">
        <v>2100</v>
      </c>
      <c r="H25" s="14">
        <f t="shared" si="10"/>
        <v>2100</v>
      </c>
      <c r="I25" s="15">
        <f t="shared" si="11"/>
        <v>168</v>
      </c>
    </row>
    <row r="26" spans="1:9">
      <c r="A26" s="7" t="s">
        <v>74</v>
      </c>
      <c r="B26" s="15">
        <f t="shared" si="8"/>
        <v>168</v>
      </c>
      <c r="C26" s="14">
        <v>900</v>
      </c>
      <c r="D26" s="14">
        <f t="shared" si="9"/>
        <v>1068</v>
      </c>
      <c r="E26" s="8"/>
      <c r="F26" s="8"/>
      <c r="G26" s="13"/>
      <c r="H26" s="14">
        <f t="shared" si="10"/>
        <v>0</v>
      </c>
      <c r="I26" s="15">
        <f t="shared" si="11"/>
        <v>1068</v>
      </c>
    </row>
    <row r="27" spans="1:9">
      <c r="A27" s="7" t="s">
        <v>74</v>
      </c>
      <c r="B27" s="15">
        <f t="shared" si="8"/>
        <v>1068</v>
      </c>
      <c r="C27" s="14"/>
      <c r="D27" s="14">
        <f t="shared" si="9"/>
        <v>1068</v>
      </c>
      <c r="E27" s="8">
        <v>41</v>
      </c>
      <c r="F27" s="8" t="s">
        <v>34</v>
      </c>
      <c r="G27" s="13">
        <v>60</v>
      </c>
      <c r="H27" s="14">
        <f t="shared" si="10"/>
        <v>60</v>
      </c>
      <c r="I27" s="15">
        <f t="shared" si="11"/>
        <v>1008</v>
      </c>
    </row>
    <row r="28" spans="1:9">
      <c r="A28" s="7" t="s">
        <v>75</v>
      </c>
      <c r="B28" s="15">
        <f t="shared" si="8"/>
        <v>1008</v>
      </c>
      <c r="C28" s="14"/>
      <c r="D28" s="14">
        <f t="shared" si="9"/>
        <v>1008</v>
      </c>
      <c r="E28" s="8">
        <v>44</v>
      </c>
      <c r="F28" s="8" t="s">
        <v>64</v>
      </c>
      <c r="G28" s="13">
        <v>240</v>
      </c>
      <c r="H28" s="14">
        <f t="shared" si="10"/>
        <v>240</v>
      </c>
      <c r="I28" s="15">
        <f t="shared" si="11"/>
        <v>768</v>
      </c>
    </row>
    <row r="29" spans="1:9">
      <c r="A29" s="7" t="s">
        <v>76</v>
      </c>
      <c r="B29" s="15">
        <f t="shared" ref="B29:B30" si="12">I28</f>
        <v>768</v>
      </c>
      <c r="C29" s="14"/>
      <c r="D29" s="14">
        <f t="shared" ref="D29:D30" si="13">B29+C29</f>
        <v>768</v>
      </c>
      <c r="E29" s="8">
        <v>48</v>
      </c>
      <c r="F29" s="8" t="s">
        <v>53</v>
      </c>
      <c r="G29" s="13">
        <v>360</v>
      </c>
      <c r="H29" s="14">
        <f t="shared" ref="H29:H30" si="14">G29</f>
        <v>360</v>
      </c>
      <c r="I29" s="15">
        <f t="shared" ref="I29:I30" si="15">D29-H29</f>
        <v>408</v>
      </c>
    </row>
    <row r="30" spans="1:9" ht="15.75" thickBot="1">
      <c r="A30" s="7"/>
      <c r="B30" s="15">
        <f t="shared" si="12"/>
        <v>408</v>
      </c>
      <c r="C30" s="14"/>
      <c r="D30" s="14">
        <f t="shared" si="13"/>
        <v>408</v>
      </c>
      <c r="E30" s="8"/>
      <c r="F30" s="8"/>
      <c r="G30" s="13"/>
      <c r="H30" s="14">
        <f t="shared" si="14"/>
        <v>0</v>
      </c>
      <c r="I30" s="15">
        <f t="shared" si="15"/>
        <v>408</v>
      </c>
    </row>
    <row r="31" spans="1:9" ht="15.75" thickBot="1">
      <c r="A31" s="35" t="s">
        <v>2</v>
      </c>
      <c r="B31" s="31"/>
      <c r="C31" s="34">
        <f>SUM(C3:C30)</f>
        <v>6660</v>
      </c>
      <c r="D31" s="31"/>
      <c r="E31" s="31"/>
      <c r="F31" s="31"/>
      <c r="G31" s="34">
        <f>SUM(G3:G30)</f>
        <v>6672</v>
      </c>
      <c r="H31" s="31"/>
      <c r="I31" s="32"/>
    </row>
    <row r="34" spans="1:9" ht="19.5" thickBot="1">
      <c r="A34" s="45" t="s">
        <v>88</v>
      </c>
      <c r="B34" s="45"/>
      <c r="C34" s="45"/>
      <c r="D34" s="45"/>
      <c r="E34" s="45"/>
      <c r="F34" s="45"/>
      <c r="G34" s="45"/>
      <c r="H34" s="45"/>
      <c r="I34" s="45"/>
    </row>
    <row r="35" spans="1:9" ht="39" thickBot="1">
      <c r="A35" s="19" t="s">
        <v>0</v>
      </c>
      <c r="B35" s="20" t="s">
        <v>1</v>
      </c>
      <c r="C35" s="20" t="s">
        <v>5</v>
      </c>
      <c r="D35" s="20" t="s">
        <v>2</v>
      </c>
      <c r="E35" s="20" t="s">
        <v>8</v>
      </c>
      <c r="F35" s="20" t="s">
        <v>6</v>
      </c>
      <c r="G35" s="20" t="s">
        <v>7</v>
      </c>
      <c r="H35" s="20" t="s">
        <v>3</v>
      </c>
      <c r="I35" s="21" t="s">
        <v>4</v>
      </c>
    </row>
    <row r="36" spans="1:9">
      <c r="A36" s="7" t="s">
        <v>80</v>
      </c>
      <c r="B36" s="14">
        <v>408</v>
      </c>
      <c r="C36" s="14"/>
      <c r="D36" s="14">
        <f>B36+C36</f>
        <v>408</v>
      </c>
      <c r="E36" s="8"/>
      <c r="F36" s="8"/>
      <c r="G36" s="13"/>
      <c r="H36" s="14">
        <f>G36</f>
        <v>0</v>
      </c>
      <c r="I36" s="15">
        <f>D36-H36</f>
        <v>408</v>
      </c>
    </row>
    <row r="37" spans="1:9">
      <c r="A37" s="7" t="s">
        <v>90</v>
      </c>
      <c r="B37" s="14">
        <f>I36</f>
        <v>408</v>
      </c>
      <c r="C37" s="14">
        <v>1104</v>
      </c>
      <c r="D37" s="14">
        <f>B37+C37</f>
        <v>1512</v>
      </c>
      <c r="E37" s="8"/>
      <c r="F37" s="8"/>
      <c r="G37" s="13"/>
      <c r="H37" s="14">
        <f>G37</f>
        <v>0</v>
      </c>
      <c r="I37" s="15">
        <f>D37-H37</f>
        <v>1512</v>
      </c>
    </row>
    <row r="38" spans="1:9">
      <c r="A38" s="7" t="s">
        <v>99</v>
      </c>
      <c r="B38" s="14">
        <f t="shared" ref="B38:B63" si="16">I37</f>
        <v>1512</v>
      </c>
      <c r="C38" s="14">
        <v>960</v>
      </c>
      <c r="D38" s="14">
        <f t="shared" ref="D38:D63" si="17">B38+C38</f>
        <v>2472</v>
      </c>
      <c r="E38" s="8"/>
      <c r="F38" s="8"/>
      <c r="G38" s="13"/>
      <c r="H38" s="14">
        <f t="shared" ref="H38:H63" si="18">G38</f>
        <v>0</v>
      </c>
      <c r="I38" s="15">
        <f t="shared" ref="I38:I63" si="19">D38-H38</f>
        <v>2472</v>
      </c>
    </row>
    <row r="39" spans="1:9">
      <c r="A39" s="7" t="s">
        <v>96</v>
      </c>
      <c r="B39" s="14">
        <f t="shared" si="16"/>
        <v>2472</v>
      </c>
      <c r="C39" s="14"/>
      <c r="D39" s="14">
        <f t="shared" si="17"/>
        <v>2472</v>
      </c>
      <c r="E39" s="8">
        <v>56</v>
      </c>
      <c r="F39" s="8" t="s">
        <v>59</v>
      </c>
      <c r="G39" s="13">
        <v>60</v>
      </c>
      <c r="H39" s="14">
        <f t="shared" si="18"/>
        <v>60</v>
      </c>
      <c r="I39" s="15">
        <f t="shared" si="19"/>
        <v>2412</v>
      </c>
    </row>
    <row r="40" spans="1:9">
      <c r="A40" s="7" t="s">
        <v>96</v>
      </c>
      <c r="B40" s="14">
        <f t="shared" si="16"/>
        <v>2412</v>
      </c>
      <c r="C40" s="14"/>
      <c r="D40" s="14">
        <f t="shared" si="17"/>
        <v>2412</v>
      </c>
      <c r="E40" s="8">
        <v>60</v>
      </c>
      <c r="F40" s="8" t="s">
        <v>101</v>
      </c>
      <c r="G40" s="13">
        <v>120</v>
      </c>
      <c r="H40" s="14">
        <f t="shared" si="18"/>
        <v>120</v>
      </c>
      <c r="I40" s="15">
        <f t="shared" si="19"/>
        <v>2292</v>
      </c>
    </row>
    <row r="41" spans="1:9">
      <c r="A41" s="7" t="s">
        <v>95</v>
      </c>
      <c r="B41" s="14">
        <f t="shared" si="16"/>
        <v>2292</v>
      </c>
      <c r="C41" s="14"/>
      <c r="D41" s="14">
        <f t="shared" si="17"/>
        <v>2292</v>
      </c>
      <c r="E41" s="8">
        <v>62</v>
      </c>
      <c r="F41" s="8" t="s">
        <v>53</v>
      </c>
      <c r="G41" s="13">
        <v>360</v>
      </c>
      <c r="H41" s="14">
        <f t="shared" si="18"/>
        <v>360</v>
      </c>
      <c r="I41" s="15">
        <f t="shared" si="19"/>
        <v>1932</v>
      </c>
    </row>
    <row r="42" spans="1:9">
      <c r="A42" s="7"/>
      <c r="B42" s="14">
        <f t="shared" si="16"/>
        <v>1932</v>
      </c>
      <c r="C42" s="14"/>
      <c r="D42" s="14">
        <f t="shared" si="17"/>
        <v>1932</v>
      </c>
      <c r="E42" s="8"/>
      <c r="F42" s="8"/>
      <c r="G42" s="13"/>
      <c r="H42" s="14">
        <f t="shared" si="18"/>
        <v>0</v>
      </c>
      <c r="I42" s="15">
        <f t="shared" si="19"/>
        <v>1932</v>
      </c>
    </row>
    <row r="43" spans="1:9">
      <c r="A43" s="7"/>
      <c r="B43" s="14">
        <f t="shared" si="16"/>
        <v>1932</v>
      </c>
      <c r="C43" s="14"/>
      <c r="D43" s="14">
        <f t="shared" si="17"/>
        <v>1932</v>
      </c>
      <c r="E43" s="8"/>
      <c r="F43" s="8"/>
      <c r="G43" s="13"/>
      <c r="H43" s="14">
        <f t="shared" si="18"/>
        <v>0</v>
      </c>
      <c r="I43" s="15">
        <f t="shared" si="19"/>
        <v>1932</v>
      </c>
    </row>
    <row r="44" spans="1:9">
      <c r="A44" s="7"/>
      <c r="B44" s="14">
        <f t="shared" si="16"/>
        <v>1932</v>
      </c>
      <c r="C44" s="14"/>
      <c r="D44" s="14">
        <f t="shared" si="17"/>
        <v>1932</v>
      </c>
      <c r="E44" s="8"/>
      <c r="F44" s="8"/>
      <c r="G44" s="13"/>
      <c r="H44" s="14">
        <f t="shared" si="18"/>
        <v>0</v>
      </c>
      <c r="I44" s="15">
        <f t="shared" si="19"/>
        <v>1932</v>
      </c>
    </row>
    <row r="45" spans="1:9">
      <c r="A45" s="7"/>
      <c r="B45" s="14">
        <f t="shared" si="16"/>
        <v>1932</v>
      </c>
      <c r="C45" s="14"/>
      <c r="D45" s="14">
        <f t="shared" si="17"/>
        <v>1932</v>
      </c>
      <c r="E45" s="8"/>
      <c r="F45" s="8"/>
      <c r="G45" s="13"/>
      <c r="H45" s="14">
        <f t="shared" si="18"/>
        <v>0</v>
      </c>
      <c r="I45" s="15">
        <f t="shared" si="19"/>
        <v>1932</v>
      </c>
    </row>
    <row r="46" spans="1:9">
      <c r="A46" s="7"/>
      <c r="B46" s="14">
        <f t="shared" si="16"/>
        <v>1932</v>
      </c>
      <c r="C46" s="14"/>
      <c r="D46" s="14">
        <f t="shared" si="17"/>
        <v>1932</v>
      </c>
      <c r="E46" s="8"/>
      <c r="F46" s="8"/>
      <c r="G46" s="13"/>
      <c r="H46" s="14">
        <f t="shared" si="18"/>
        <v>0</v>
      </c>
      <c r="I46" s="15">
        <f t="shared" si="19"/>
        <v>1932</v>
      </c>
    </row>
    <row r="47" spans="1:9">
      <c r="A47" s="7"/>
      <c r="B47" s="14">
        <f t="shared" si="16"/>
        <v>1932</v>
      </c>
      <c r="C47" s="14"/>
      <c r="D47" s="14">
        <f t="shared" si="17"/>
        <v>1932</v>
      </c>
      <c r="E47" s="8"/>
      <c r="F47" s="8"/>
      <c r="G47" s="13"/>
      <c r="H47" s="14">
        <f t="shared" si="18"/>
        <v>0</v>
      </c>
      <c r="I47" s="15">
        <f t="shared" si="19"/>
        <v>1932</v>
      </c>
    </row>
    <row r="48" spans="1:9">
      <c r="A48" s="7"/>
      <c r="B48" s="14">
        <f t="shared" si="16"/>
        <v>1932</v>
      </c>
      <c r="C48" s="14"/>
      <c r="D48" s="14">
        <f t="shared" si="17"/>
        <v>1932</v>
      </c>
      <c r="E48" s="8"/>
      <c r="F48" s="8"/>
      <c r="G48" s="13"/>
      <c r="H48" s="14">
        <f t="shared" si="18"/>
        <v>0</v>
      </c>
      <c r="I48" s="15">
        <f t="shared" si="19"/>
        <v>1932</v>
      </c>
    </row>
    <row r="49" spans="1:9">
      <c r="A49" s="7"/>
      <c r="B49" s="14">
        <f t="shared" si="16"/>
        <v>1932</v>
      </c>
      <c r="C49" s="14"/>
      <c r="D49" s="14">
        <f t="shared" si="17"/>
        <v>1932</v>
      </c>
      <c r="E49" s="8"/>
      <c r="F49" s="8"/>
      <c r="G49" s="13"/>
      <c r="H49" s="14">
        <f t="shared" si="18"/>
        <v>0</v>
      </c>
      <c r="I49" s="15">
        <f t="shared" si="19"/>
        <v>1932</v>
      </c>
    </row>
    <row r="50" spans="1:9">
      <c r="A50" s="7"/>
      <c r="B50" s="14">
        <f t="shared" si="16"/>
        <v>1932</v>
      </c>
      <c r="C50" s="14"/>
      <c r="D50" s="14">
        <f t="shared" si="17"/>
        <v>1932</v>
      </c>
      <c r="E50" s="8"/>
      <c r="F50" s="8"/>
      <c r="G50" s="13"/>
      <c r="H50" s="14">
        <f t="shared" si="18"/>
        <v>0</v>
      </c>
      <c r="I50" s="15">
        <f t="shared" si="19"/>
        <v>1932</v>
      </c>
    </row>
    <row r="51" spans="1:9">
      <c r="A51" s="7"/>
      <c r="B51" s="14">
        <f t="shared" si="16"/>
        <v>1932</v>
      </c>
      <c r="C51" s="14"/>
      <c r="D51" s="14">
        <f t="shared" si="17"/>
        <v>1932</v>
      </c>
      <c r="E51" s="8"/>
      <c r="F51" s="8"/>
      <c r="G51" s="13"/>
      <c r="H51" s="14">
        <f t="shared" si="18"/>
        <v>0</v>
      </c>
      <c r="I51" s="15">
        <f t="shared" si="19"/>
        <v>1932</v>
      </c>
    </row>
    <row r="52" spans="1:9">
      <c r="A52" s="7"/>
      <c r="B52" s="14">
        <f t="shared" si="16"/>
        <v>1932</v>
      </c>
      <c r="C52" s="14"/>
      <c r="D52" s="14">
        <f t="shared" si="17"/>
        <v>1932</v>
      </c>
      <c r="E52" s="8"/>
      <c r="F52" s="8"/>
      <c r="G52" s="13"/>
      <c r="H52" s="14">
        <f t="shared" si="18"/>
        <v>0</v>
      </c>
      <c r="I52" s="15">
        <f t="shared" si="19"/>
        <v>1932</v>
      </c>
    </row>
    <row r="53" spans="1:9">
      <c r="A53" s="7"/>
      <c r="B53" s="14">
        <f t="shared" si="16"/>
        <v>1932</v>
      </c>
      <c r="C53" s="14"/>
      <c r="D53" s="14">
        <f t="shared" si="17"/>
        <v>1932</v>
      </c>
      <c r="E53" s="8"/>
      <c r="F53" s="8"/>
      <c r="G53" s="13"/>
      <c r="H53" s="14">
        <f t="shared" si="18"/>
        <v>0</v>
      </c>
      <c r="I53" s="15">
        <f t="shared" si="19"/>
        <v>1932</v>
      </c>
    </row>
    <row r="54" spans="1:9">
      <c r="A54" s="7"/>
      <c r="B54" s="14">
        <f t="shared" si="16"/>
        <v>1932</v>
      </c>
      <c r="C54" s="14"/>
      <c r="D54" s="14">
        <f t="shared" si="17"/>
        <v>1932</v>
      </c>
      <c r="E54" s="8"/>
      <c r="F54" s="8"/>
      <c r="G54" s="13"/>
      <c r="H54" s="14">
        <f t="shared" si="18"/>
        <v>0</v>
      </c>
      <c r="I54" s="15">
        <f t="shared" si="19"/>
        <v>1932</v>
      </c>
    </row>
    <row r="55" spans="1:9">
      <c r="A55" s="7"/>
      <c r="B55" s="14">
        <f t="shared" si="16"/>
        <v>1932</v>
      </c>
      <c r="C55" s="14"/>
      <c r="D55" s="14">
        <f t="shared" si="17"/>
        <v>1932</v>
      </c>
      <c r="E55" s="8"/>
      <c r="F55" s="8"/>
      <c r="G55" s="13"/>
      <c r="H55" s="14">
        <f t="shared" si="18"/>
        <v>0</v>
      </c>
      <c r="I55" s="15">
        <f t="shared" si="19"/>
        <v>1932</v>
      </c>
    </row>
    <row r="56" spans="1:9">
      <c r="A56" s="7"/>
      <c r="B56" s="14">
        <f t="shared" si="16"/>
        <v>1932</v>
      </c>
      <c r="C56" s="14"/>
      <c r="D56" s="14">
        <f t="shared" si="17"/>
        <v>1932</v>
      </c>
      <c r="E56" s="8"/>
      <c r="F56" s="8"/>
      <c r="G56" s="13"/>
      <c r="H56" s="14">
        <f t="shared" si="18"/>
        <v>0</v>
      </c>
      <c r="I56" s="15">
        <f t="shared" si="19"/>
        <v>1932</v>
      </c>
    </row>
    <row r="57" spans="1:9">
      <c r="A57" s="7"/>
      <c r="B57" s="14">
        <f t="shared" si="16"/>
        <v>1932</v>
      </c>
      <c r="C57" s="14"/>
      <c r="D57" s="14">
        <f t="shared" si="17"/>
        <v>1932</v>
      </c>
      <c r="E57" s="8"/>
      <c r="F57" s="8"/>
      <c r="G57" s="13"/>
      <c r="H57" s="14">
        <f t="shared" si="18"/>
        <v>0</v>
      </c>
      <c r="I57" s="15">
        <f t="shared" si="19"/>
        <v>1932</v>
      </c>
    </row>
    <row r="58" spans="1:9">
      <c r="A58" s="7"/>
      <c r="B58" s="14">
        <f t="shared" si="16"/>
        <v>1932</v>
      </c>
      <c r="C58" s="14"/>
      <c r="D58" s="14">
        <f t="shared" si="17"/>
        <v>1932</v>
      </c>
      <c r="E58" s="8"/>
      <c r="F58" s="8"/>
      <c r="G58" s="13"/>
      <c r="H58" s="14">
        <f t="shared" si="18"/>
        <v>0</v>
      </c>
      <c r="I58" s="15">
        <f t="shared" si="19"/>
        <v>1932</v>
      </c>
    </row>
    <row r="59" spans="1:9">
      <c r="A59" s="7"/>
      <c r="B59" s="14">
        <f t="shared" si="16"/>
        <v>1932</v>
      </c>
      <c r="C59" s="14"/>
      <c r="D59" s="14">
        <f t="shared" si="17"/>
        <v>1932</v>
      </c>
      <c r="E59" s="8"/>
      <c r="F59" s="8"/>
      <c r="G59" s="13"/>
      <c r="H59" s="14">
        <f t="shared" si="18"/>
        <v>0</v>
      </c>
      <c r="I59" s="15">
        <f t="shared" si="19"/>
        <v>1932</v>
      </c>
    </row>
    <row r="60" spans="1:9">
      <c r="A60" s="7"/>
      <c r="B60" s="14">
        <f t="shared" si="16"/>
        <v>1932</v>
      </c>
      <c r="C60" s="14"/>
      <c r="D60" s="14">
        <f t="shared" si="17"/>
        <v>1932</v>
      </c>
      <c r="E60" s="8"/>
      <c r="F60" s="8"/>
      <c r="G60" s="13"/>
      <c r="H60" s="14">
        <f t="shared" si="18"/>
        <v>0</v>
      </c>
      <c r="I60" s="15">
        <f t="shared" si="19"/>
        <v>1932</v>
      </c>
    </row>
    <row r="61" spans="1:9">
      <c r="A61" s="7"/>
      <c r="B61" s="14">
        <f t="shared" si="16"/>
        <v>1932</v>
      </c>
      <c r="C61" s="14"/>
      <c r="D61" s="14">
        <f t="shared" si="17"/>
        <v>1932</v>
      </c>
      <c r="E61" s="8"/>
      <c r="F61" s="8"/>
      <c r="G61" s="13"/>
      <c r="H61" s="14">
        <f t="shared" si="18"/>
        <v>0</v>
      </c>
      <c r="I61" s="15">
        <f t="shared" si="19"/>
        <v>1932</v>
      </c>
    </row>
    <row r="62" spans="1:9">
      <c r="A62" s="7"/>
      <c r="B62" s="14">
        <f t="shared" si="16"/>
        <v>1932</v>
      </c>
      <c r="C62" s="14"/>
      <c r="D62" s="14">
        <f t="shared" si="17"/>
        <v>1932</v>
      </c>
      <c r="E62" s="8"/>
      <c r="F62" s="8"/>
      <c r="G62" s="13"/>
      <c r="H62" s="14">
        <f t="shared" si="18"/>
        <v>0</v>
      </c>
      <c r="I62" s="15">
        <f t="shared" si="19"/>
        <v>1932</v>
      </c>
    </row>
    <row r="63" spans="1:9" ht="15.75" thickBot="1">
      <c r="A63" s="7"/>
      <c r="B63" s="14">
        <f t="shared" si="16"/>
        <v>1932</v>
      </c>
      <c r="C63" s="14"/>
      <c r="D63" s="14">
        <f t="shared" si="17"/>
        <v>1932</v>
      </c>
      <c r="E63" s="8"/>
      <c r="F63" s="8"/>
      <c r="G63" s="13"/>
      <c r="H63" s="14">
        <f t="shared" si="18"/>
        <v>0</v>
      </c>
      <c r="I63" s="15">
        <f t="shared" si="19"/>
        <v>1932</v>
      </c>
    </row>
    <row r="64" spans="1:9" ht="15.75" thickBot="1">
      <c r="A64" s="35" t="s">
        <v>2</v>
      </c>
      <c r="B64" s="31"/>
      <c r="C64" s="34">
        <f>SUM(C36:C63)</f>
        <v>2064</v>
      </c>
      <c r="D64" s="31"/>
      <c r="E64" s="31"/>
      <c r="F64" s="31"/>
      <c r="G64" s="34">
        <f>SUM(G36:G63)</f>
        <v>540</v>
      </c>
      <c r="H64" s="31"/>
      <c r="I64" s="32"/>
    </row>
  </sheetData>
  <mergeCells count="2">
    <mergeCell ref="A1:I1"/>
    <mergeCell ref="A34:I34"/>
  </mergeCells>
  <pageMargins left="0.77" right="0.57999999999999996" top="0.52" bottom="0.39" header="0.3" footer="0.3"/>
  <pageSetup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21"/>
  <sheetViews>
    <sheetView tabSelected="1" topLeftCell="A10" zoomScaleNormal="100" workbookViewId="0">
      <selection activeCell="L22" sqref="L22"/>
    </sheetView>
  </sheetViews>
  <sheetFormatPr defaultRowHeight="15"/>
  <cols>
    <col min="1" max="1" width="12" customWidth="1"/>
    <col min="2" max="2" width="12.42578125" customWidth="1"/>
    <col min="3" max="3" width="8.85546875" customWidth="1"/>
    <col min="4" max="4" width="7.5703125" bestFit="1" customWidth="1"/>
    <col min="5" max="5" width="9.7109375" customWidth="1"/>
    <col min="6" max="6" width="12.5703125" customWidth="1"/>
    <col min="7" max="7" width="10.85546875" customWidth="1"/>
    <col min="8" max="8" width="13.5703125" customWidth="1"/>
    <col min="9" max="9" width="14.7109375" customWidth="1"/>
    <col min="10" max="10" width="7.28515625" customWidth="1"/>
    <col min="11" max="11" width="7.85546875" customWidth="1"/>
    <col min="12" max="12" width="9.85546875" customWidth="1"/>
    <col min="13" max="13" width="7.85546875" customWidth="1"/>
  </cols>
  <sheetData>
    <row r="1" spans="1:11" ht="19.5" thickBot="1">
      <c r="A1" s="45" t="s">
        <v>17</v>
      </c>
      <c r="B1" s="45"/>
      <c r="C1" s="45"/>
      <c r="D1" s="45"/>
      <c r="E1" s="45"/>
      <c r="F1" s="45"/>
      <c r="G1" s="45"/>
      <c r="H1" s="45"/>
      <c r="I1" s="45"/>
      <c r="J1" s="1"/>
      <c r="K1" s="1"/>
    </row>
    <row r="2" spans="1:11" ht="39" thickBot="1">
      <c r="A2" s="6" t="s">
        <v>0</v>
      </c>
      <c r="B2" s="3" t="s">
        <v>1</v>
      </c>
      <c r="C2" s="3" t="s">
        <v>5</v>
      </c>
      <c r="D2" s="3" t="s">
        <v>2</v>
      </c>
      <c r="E2" s="3" t="s">
        <v>8</v>
      </c>
      <c r="F2" s="3" t="s">
        <v>6</v>
      </c>
      <c r="G2" s="3" t="s">
        <v>7</v>
      </c>
      <c r="H2" s="3" t="s">
        <v>3</v>
      </c>
      <c r="I2" s="5" t="s">
        <v>4</v>
      </c>
    </row>
    <row r="3" spans="1:11">
      <c r="A3" s="7" t="s">
        <v>18</v>
      </c>
      <c r="B3" s="14">
        <v>0</v>
      </c>
      <c r="C3" s="13"/>
      <c r="D3" s="14">
        <f>B3+C3</f>
        <v>0</v>
      </c>
      <c r="E3" s="8"/>
      <c r="F3" s="8"/>
      <c r="G3" s="13"/>
      <c r="H3" s="14">
        <f>G3</f>
        <v>0</v>
      </c>
      <c r="I3" s="15">
        <f>D3-H3</f>
        <v>0</v>
      </c>
    </row>
    <row r="4" spans="1:11">
      <c r="A4" s="9" t="s">
        <v>27</v>
      </c>
      <c r="B4" s="16">
        <f>I3</f>
        <v>0</v>
      </c>
      <c r="C4" s="13">
        <v>384</v>
      </c>
      <c r="D4" s="14">
        <f t="shared" ref="D4:D5" si="0">B4+C4</f>
        <v>384</v>
      </c>
      <c r="E4" s="8"/>
      <c r="F4" s="8"/>
      <c r="G4" s="13"/>
      <c r="H4" s="14">
        <f t="shared" ref="H4:H5" si="1">G4</f>
        <v>0</v>
      </c>
      <c r="I4" s="15">
        <f t="shared" ref="I4:I5" si="2">D4-H4</f>
        <v>384</v>
      </c>
    </row>
    <row r="5" spans="1:11">
      <c r="A5" s="9" t="s">
        <v>36</v>
      </c>
      <c r="B5" s="16">
        <f t="shared" ref="B5" si="3">I4</f>
        <v>384</v>
      </c>
      <c r="C5" s="13">
        <v>516</v>
      </c>
      <c r="D5" s="14">
        <f t="shared" si="0"/>
        <v>900</v>
      </c>
      <c r="E5" s="17"/>
      <c r="F5" s="8"/>
      <c r="G5" s="13"/>
      <c r="H5" s="14">
        <f t="shared" si="1"/>
        <v>0</v>
      </c>
      <c r="I5" s="15">
        <f t="shared" si="2"/>
        <v>900</v>
      </c>
    </row>
    <row r="6" spans="1:11">
      <c r="A6" s="9" t="s">
        <v>40</v>
      </c>
      <c r="B6" s="16">
        <f t="shared" ref="B6" si="4">I5</f>
        <v>900</v>
      </c>
      <c r="C6" s="13"/>
      <c r="D6" s="14">
        <f t="shared" ref="D6" si="5">B6+C6</f>
        <v>900</v>
      </c>
      <c r="E6" s="17">
        <v>11</v>
      </c>
      <c r="F6" s="8" t="s">
        <v>44</v>
      </c>
      <c r="G6" s="13">
        <v>900</v>
      </c>
      <c r="H6" s="14">
        <f t="shared" ref="H6" si="6">G6</f>
        <v>900</v>
      </c>
      <c r="I6" s="15">
        <f t="shared" ref="I6" si="7">D6-H6</f>
        <v>0</v>
      </c>
    </row>
    <row r="7" spans="1:11" ht="15.75" thickBot="1">
      <c r="A7" s="9"/>
      <c r="B7" s="16">
        <f t="shared" ref="B7" si="8">I6</f>
        <v>0</v>
      </c>
      <c r="C7" s="13"/>
      <c r="D7" s="14">
        <f t="shared" ref="D7" si="9">B7+C7</f>
        <v>0</v>
      </c>
      <c r="E7" s="17"/>
      <c r="F7" s="8"/>
      <c r="G7" s="13"/>
      <c r="H7" s="14">
        <f t="shared" ref="H7" si="10">G7</f>
        <v>0</v>
      </c>
      <c r="I7" s="15">
        <f t="shared" ref="I7" si="11">D7-H7</f>
        <v>0</v>
      </c>
    </row>
    <row r="8" spans="1:11" ht="15.75" thickBot="1">
      <c r="A8" s="35" t="s">
        <v>2</v>
      </c>
      <c r="B8" s="31"/>
      <c r="C8" s="34">
        <f>SUM(C3:C7)</f>
        <v>900</v>
      </c>
      <c r="D8" s="31"/>
      <c r="E8" s="31"/>
      <c r="F8" s="31"/>
      <c r="G8" s="34">
        <f>SUM(G3:G7)</f>
        <v>900</v>
      </c>
      <c r="H8" s="31"/>
      <c r="I8" s="32"/>
    </row>
    <row r="11" spans="1:11" ht="19.5" thickBot="1">
      <c r="A11" s="45" t="s">
        <v>89</v>
      </c>
      <c r="B11" s="45"/>
      <c r="C11" s="45"/>
      <c r="D11" s="45"/>
      <c r="E11" s="45"/>
      <c r="F11" s="45"/>
      <c r="G11" s="45"/>
      <c r="H11" s="45"/>
      <c r="I11" s="45"/>
    </row>
    <row r="12" spans="1:11" ht="39" thickBot="1">
      <c r="A12" s="6" t="s">
        <v>0</v>
      </c>
      <c r="B12" s="3" t="s">
        <v>1</v>
      </c>
      <c r="C12" s="3" t="s">
        <v>5</v>
      </c>
      <c r="D12" s="3" t="s">
        <v>2</v>
      </c>
      <c r="E12" s="3" t="s">
        <v>8</v>
      </c>
      <c r="F12" s="3" t="s">
        <v>6</v>
      </c>
      <c r="G12" s="3" t="s">
        <v>7</v>
      </c>
      <c r="H12" s="3" t="s">
        <v>3</v>
      </c>
      <c r="I12" s="5" t="s">
        <v>4</v>
      </c>
    </row>
    <row r="13" spans="1:11">
      <c r="A13" s="7" t="s">
        <v>80</v>
      </c>
      <c r="B13" s="14">
        <v>0</v>
      </c>
      <c r="C13" s="13"/>
      <c r="D13" s="14">
        <f>B13+C13</f>
        <v>0</v>
      </c>
      <c r="E13" s="8"/>
      <c r="F13" s="8"/>
      <c r="G13" s="13"/>
      <c r="H13" s="14">
        <f>G13</f>
        <v>0</v>
      </c>
      <c r="I13" s="15">
        <f>D13-H13</f>
        <v>0</v>
      </c>
    </row>
    <row r="14" spans="1:11">
      <c r="A14" s="9" t="s">
        <v>99</v>
      </c>
      <c r="B14" s="16">
        <f>I13</f>
        <v>0</v>
      </c>
      <c r="C14" s="13">
        <v>540</v>
      </c>
      <c r="D14" s="14">
        <f t="shared" ref="D14" si="12">B14+C14</f>
        <v>540</v>
      </c>
      <c r="E14" s="17"/>
      <c r="F14" s="8"/>
      <c r="G14" s="13"/>
      <c r="H14" s="14">
        <f t="shared" ref="H14" si="13">G14</f>
        <v>0</v>
      </c>
      <c r="I14" s="15">
        <f t="shared" ref="I14" si="14">D14-H14</f>
        <v>540</v>
      </c>
    </row>
    <row r="15" spans="1:11">
      <c r="A15" s="9" t="s">
        <v>100</v>
      </c>
      <c r="B15" s="16">
        <f t="shared" ref="B15:B16" si="15">I14</f>
        <v>540</v>
      </c>
      <c r="C15" s="13">
        <v>1128</v>
      </c>
      <c r="D15" s="14">
        <f t="shared" ref="D15:D20" si="16">B15+C15</f>
        <v>1668</v>
      </c>
      <c r="E15" s="17"/>
      <c r="F15" s="8"/>
      <c r="G15" s="13"/>
      <c r="H15" s="14">
        <f t="shared" ref="H15:H20" si="17">G15</f>
        <v>0</v>
      </c>
      <c r="I15" s="15">
        <f t="shared" ref="I15:I20" si="18">D15-H15</f>
        <v>1668</v>
      </c>
    </row>
    <row r="16" spans="1:11">
      <c r="A16" s="9" t="s">
        <v>96</v>
      </c>
      <c r="B16" s="16">
        <f t="shared" si="15"/>
        <v>1668</v>
      </c>
      <c r="C16" s="13">
        <v>588</v>
      </c>
      <c r="D16" s="14">
        <f t="shared" si="16"/>
        <v>2256</v>
      </c>
      <c r="E16" s="17"/>
      <c r="F16" s="8"/>
      <c r="G16" s="13"/>
      <c r="H16" s="14">
        <f t="shared" si="17"/>
        <v>0</v>
      </c>
      <c r="I16" s="15">
        <f t="shared" si="18"/>
        <v>2256</v>
      </c>
    </row>
    <row r="17" spans="1:9">
      <c r="A17" s="9" t="s">
        <v>96</v>
      </c>
      <c r="B17" s="16">
        <f t="shared" ref="B17:B20" si="19">I16</f>
        <v>2256</v>
      </c>
      <c r="C17" s="13"/>
      <c r="D17" s="14">
        <f t="shared" ref="D17:D20" si="20">B17+C17</f>
        <v>2256</v>
      </c>
      <c r="E17" s="17">
        <v>60</v>
      </c>
      <c r="F17" s="8" t="s">
        <v>101</v>
      </c>
      <c r="G17" s="13">
        <v>720</v>
      </c>
      <c r="H17" s="14">
        <f t="shared" ref="H17:H20" si="21">G17</f>
        <v>720</v>
      </c>
      <c r="I17" s="15">
        <f t="shared" ref="I17:I20" si="22">D17-H17</f>
        <v>1536</v>
      </c>
    </row>
    <row r="18" spans="1:9">
      <c r="A18" s="9" t="s">
        <v>97</v>
      </c>
      <c r="B18" s="16">
        <f t="shared" si="19"/>
        <v>1536</v>
      </c>
      <c r="C18" s="13">
        <v>876</v>
      </c>
      <c r="D18" s="14">
        <f t="shared" si="20"/>
        <v>2412</v>
      </c>
      <c r="E18" s="17"/>
      <c r="F18" s="8"/>
      <c r="G18" s="13"/>
      <c r="H18" s="14">
        <f t="shared" si="21"/>
        <v>0</v>
      </c>
      <c r="I18" s="15">
        <f t="shared" si="22"/>
        <v>2412</v>
      </c>
    </row>
    <row r="19" spans="1:9">
      <c r="A19" s="9" t="s">
        <v>97</v>
      </c>
      <c r="B19" s="16">
        <f t="shared" si="19"/>
        <v>2412</v>
      </c>
      <c r="C19" s="13"/>
      <c r="D19" s="14">
        <f t="shared" si="20"/>
        <v>2412</v>
      </c>
      <c r="E19" s="17">
        <v>61</v>
      </c>
      <c r="F19" s="8" t="s">
        <v>44</v>
      </c>
      <c r="G19" s="13">
        <v>2412</v>
      </c>
      <c r="H19" s="14">
        <f t="shared" si="21"/>
        <v>2412</v>
      </c>
      <c r="I19" s="15">
        <f t="shared" si="22"/>
        <v>0</v>
      </c>
    </row>
    <row r="20" spans="1:9" ht="15.75" thickBot="1">
      <c r="A20" s="9"/>
      <c r="B20" s="16">
        <f t="shared" si="19"/>
        <v>0</v>
      </c>
      <c r="C20" s="13"/>
      <c r="D20" s="14">
        <f t="shared" si="20"/>
        <v>0</v>
      </c>
      <c r="E20" s="17"/>
      <c r="F20" s="8"/>
      <c r="G20" s="13"/>
      <c r="H20" s="14">
        <f t="shared" si="21"/>
        <v>0</v>
      </c>
      <c r="I20" s="15">
        <f t="shared" si="22"/>
        <v>0</v>
      </c>
    </row>
    <row r="21" spans="1:9" ht="15.75" thickBot="1">
      <c r="A21" s="35" t="s">
        <v>2</v>
      </c>
      <c r="B21" s="31"/>
      <c r="C21" s="34">
        <f>SUM(C13:C20)</f>
        <v>3132</v>
      </c>
      <c r="D21" s="31"/>
      <c r="E21" s="31"/>
      <c r="F21" s="31"/>
      <c r="G21" s="34">
        <f>SUM(G13:G20)</f>
        <v>3132</v>
      </c>
      <c r="H21" s="31"/>
      <c r="I21" s="32"/>
    </row>
  </sheetData>
  <mergeCells count="2">
    <mergeCell ref="A1:I1"/>
    <mergeCell ref="A11:I11"/>
  </mergeCells>
  <pageMargins left="0.77" right="0.57999999999999996" top="0.52" bottom="0.47" header="0.3" footer="0.3"/>
  <pageSetup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2019-20-1kg PREMIUM</vt:lpstr>
      <vt:lpstr>2019-20-250GM.PREM.</vt:lpstr>
      <vt:lpstr>2019-20-5kg</vt:lpstr>
      <vt:lpstr>2018-20-100GM.PREM. </vt:lpstr>
      <vt:lpstr>2019-20- RS 10</vt:lpstr>
      <vt:lpstr>2019-20- RS 5.</vt:lpstr>
      <vt:lpstr>2019-20-1kg SPL </vt:lpstr>
      <vt:lpstr>2019-20-500GM. SPL</vt:lpstr>
      <vt:lpstr>2019-20-250GM. SPL</vt:lpstr>
      <vt:lpstr>2019-20- 500GM JAR</vt:lpstr>
      <vt:lpstr>2019-20-250GM. CRT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pataka</cp:lastModifiedBy>
  <cp:lastPrinted>2021-01-04T06:01:23Z</cp:lastPrinted>
  <dcterms:created xsi:type="dcterms:W3CDTF">2016-12-10T07:03:34Z</dcterms:created>
  <dcterms:modified xsi:type="dcterms:W3CDTF">2021-05-17T05:40:46Z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d2f69c9c-acf3-41a4-a1b5-579df61709f4</vt:lpwstr>
  </property>
</Properties>
</file>