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60" windowWidth="15015" windowHeight="7650" firstSheet="54" activeTab="58"/>
  </bookViews>
  <sheets>
    <sheet name="BIL-OCT-2016" sheetId="2" r:id="rId1"/>
    <sheet name="JULY-16" sheetId="3" r:id="rId2"/>
    <sheet name="Sheet3" sheetId="4" r:id="rId3"/>
    <sheet name="Sheet4" sheetId="6" r:id="rId4"/>
    <sheet name="NOVEM-16" sheetId="8" r:id="rId5"/>
    <sheet name="DECEMBER-16 " sheetId="9" r:id="rId6"/>
    <sheet name="JANUARY-17" sheetId="10" r:id="rId7"/>
    <sheet name="februry" sheetId="11" r:id="rId8"/>
    <sheet name="MARCH" sheetId="12" r:id="rId9"/>
    <sheet name="APRIL17" sheetId="13" r:id="rId10"/>
    <sheet name="may 17" sheetId="14" r:id="rId11"/>
    <sheet name="JUNE" sheetId="15" r:id="rId12"/>
    <sheet name="JULY" sheetId="16" r:id="rId13"/>
    <sheet name="AUJUST" sheetId="17" r:id="rId14"/>
    <sheet name="SEPTEMBER" sheetId="18" r:id="rId15"/>
    <sheet name="october" sheetId="19" r:id="rId16"/>
    <sheet name="NOVEMBER" sheetId="20" r:id="rId17"/>
    <sheet name="DECEMBER" sheetId="21" r:id="rId18"/>
    <sheet name="JANUARY 2018" sheetId="23" r:id="rId19"/>
    <sheet name="FEBRUARY" sheetId="24" r:id="rId20"/>
    <sheet name="MARCH ACTUAL" sheetId="25" r:id="rId21"/>
    <sheet name="APRIL-2018" sheetId="26" r:id="rId22"/>
    <sheet name="MAY" sheetId="27" r:id="rId23"/>
    <sheet name="JUN " sheetId="28" r:id="rId24"/>
    <sheet name="JULY-2018-19" sheetId="30" r:id="rId25"/>
    <sheet name="AUGUST" sheetId="29" r:id="rId26"/>
    <sheet name="SEPTEMBER-2018-19" sheetId="31" r:id="rId27"/>
    <sheet name="OCTOBER-2018-19" sheetId="32" r:id="rId28"/>
    <sheet name="NOVEMBER-2018-19" sheetId="33" r:id="rId29"/>
    <sheet name="NOVEMBER-2018-19 (2)" sheetId="36" r:id="rId30"/>
    <sheet name="DECEMBER 2018-19" sheetId="37" r:id="rId31"/>
    <sheet name="JANUARY 2018-19" sheetId="38" r:id="rId32"/>
    <sheet name="FEBRUARY 2018-19" sheetId="39" r:id="rId33"/>
    <sheet name="MARCH-2018-19" sheetId="40" r:id="rId34"/>
    <sheet name="APRIL-2019-20" sheetId="41" r:id="rId35"/>
    <sheet name="MAY 2019-20" sheetId="42" r:id="rId36"/>
    <sheet name="JUNE 2019-20" sheetId="43" r:id="rId37"/>
    <sheet name="JULY 2019-20" sheetId="44" r:id="rId38"/>
    <sheet name="AUGUST 2019-20" sheetId="45" r:id="rId39"/>
    <sheet name="SEPTEMBER 2019-20" sheetId="46" r:id="rId40"/>
    <sheet name="OCTOBER 2019-20" sheetId="48" r:id="rId41"/>
    <sheet name="NOVEMBER 2019-20" sheetId="49" r:id="rId42"/>
    <sheet name="DECEMBER 2019-20" sheetId="50" r:id="rId43"/>
    <sheet name="JANUARY 2019-20" sheetId="51" r:id="rId44"/>
    <sheet name="FEBRUARY 2019-20" sheetId="52" r:id="rId45"/>
    <sheet name="March 2019-20" sheetId="53" r:id="rId46"/>
    <sheet name="April 2020-21" sheetId="54" r:id="rId47"/>
    <sheet name="May 2020-21" sheetId="55" r:id="rId48"/>
    <sheet name="June 2020-21" sheetId="56" r:id="rId49"/>
    <sheet name="July 2020-21" sheetId="57" r:id="rId50"/>
    <sheet name="August 2020-21" sheetId="58" r:id="rId51"/>
    <sheet name="Depacketed" sheetId="59" r:id="rId52"/>
    <sheet name="September 2020-21" sheetId="60" r:id="rId53"/>
    <sheet name="October 2020-21" sheetId="62" r:id="rId54"/>
    <sheet name="November 2020-21" sheetId="63" r:id="rId55"/>
    <sheet name="December 2020-21" sheetId="64" r:id="rId56"/>
    <sheet name="January 2020-21" sheetId="65" r:id="rId57"/>
    <sheet name="February 2020-21" sheetId="66" r:id="rId58"/>
    <sheet name="March 2021" sheetId="67" r:id="rId59"/>
  </sheets>
  <externalReferences>
    <externalReference r:id="rId60"/>
  </externalReferences>
  <calcPr calcId="125725"/>
</workbook>
</file>

<file path=xl/calcChain.xml><?xml version="1.0" encoding="utf-8"?>
<calcChain xmlns="http://schemas.openxmlformats.org/spreadsheetml/2006/main">
  <c r="E22" i="67"/>
  <c r="E25" s="1"/>
  <c r="C22"/>
  <c r="E16"/>
  <c r="C22" i="66"/>
  <c r="E16"/>
  <c r="E22" s="1"/>
  <c r="E25" s="1"/>
  <c r="C22" i="65"/>
  <c r="E16"/>
  <c r="E22" s="1"/>
  <c r="E25" s="1"/>
  <c r="C22" i="64"/>
  <c r="E16"/>
  <c r="E22" s="1"/>
  <c r="E26" i="63"/>
  <c r="E25"/>
  <c r="E26" i="67" l="1"/>
  <c r="E30" s="1"/>
  <c r="E26" i="66"/>
  <c r="E30" s="1"/>
  <c r="E26" i="65"/>
  <c r="E30" s="1"/>
  <c r="E26" i="64"/>
  <c r="E30" s="1"/>
  <c r="E25"/>
  <c r="C22" i="63"/>
  <c r="E16"/>
  <c r="E22" s="1"/>
  <c r="C22" i="62"/>
  <c r="E16"/>
  <c r="E22" s="1"/>
  <c r="E22" i="60"/>
  <c r="E29" s="1"/>
  <c r="C22"/>
  <c r="E16"/>
  <c r="E22" i="59"/>
  <c r="E29" s="1"/>
  <c r="C22"/>
  <c r="E16"/>
  <c r="C22" i="58"/>
  <c r="E16"/>
  <c r="E22" s="1"/>
  <c r="E25" s="1"/>
  <c r="C22" i="57"/>
  <c r="E16"/>
  <c r="E22" s="1"/>
  <c r="C22" i="56"/>
  <c r="E16"/>
  <c r="E22" s="1"/>
  <c r="C22" i="55"/>
  <c r="E16"/>
  <c r="E22" s="1"/>
  <c r="E25" s="1"/>
  <c r="E22" i="54"/>
  <c r="E25" s="1"/>
  <c r="C22"/>
  <c r="E16"/>
  <c r="B32" i="65"/>
  <c r="B36" i="53"/>
  <c r="B32" i="64"/>
  <c r="B32" i="66"/>
  <c r="B32" i="67"/>
  <c r="E46" i="53"/>
  <c r="E30" i="63" l="1"/>
  <c r="E26" i="62"/>
  <c r="E30" s="1"/>
  <c r="E25"/>
  <c r="E30" i="60"/>
  <c r="E34" s="1"/>
  <c r="E30" i="59"/>
  <c r="E34" s="1"/>
  <c r="E26" i="58"/>
  <c r="E30" s="1"/>
  <c r="E26" i="57"/>
  <c r="E30" s="1"/>
  <c r="E25"/>
  <c r="E25" i="56"/>
  <c r="E26"/>
  <c r="E26" i="55"/>
  <c r="E30" s="1"/>
  <c r="E26" i="54"/>
  <c r="E30" s="1"/>
  <c r="B32"/>
  <c r="B32" i="57"/>
  <c r="B32" i="55"/>
  <c r="B32" i="62"/>
  <c r="B36" i="59"/>
  <c r="B36" i="60"/>
  <c r="B32" i="63"/>
  <c r="B32" i="58"/>
  <c r="E30" i="56" l="1"/>
  <c r="C26" i="53"/>
  <c r="E16"/>
  <c r="E26" s="1"/>
  <c r="E29" s="1"/>
  <c r="C22" i="52"/>
  <c r="E16"/>
  <c r="E22" s="1"/>
  <c r="C22" i="51"/>
  <c r="E16"/>
  <c r="E22" s="1"/>
  <c r="E25" s="1"/>
  <c r="C22" i="50"/>
  <c r="E16"/>
  <c r="E22" s="1"/>
  <c r="E25" s="1"/>
  <c r="C22" i="49"/>
  <c r="E16"/>
  <c r="E22" s="1"/>
  <c r="E25" s="1"/>
  <c r="C22" i="48"/>
  <c r="E16"/>
  <c r="E22" s="1"/>
  <c r="E25" s="1"/>
  <c r="C22" i="46"/>
  <c r="E16"/>
  <c r="E22" s="1"/>
  <c r="C22" i="45"/>
  <c r="E16"/>
  <c r="E22" s="1"/>
  <c r="E25" s="1"/>
  <c r="E22" i="44"/>
  <c r="E25" s="1"/>
  <c r="C22"/>
  <c r="E16"/>
  <c r="C22" i="43"/>
  <c r="E16"/>
  <c r="E22" s="1"/>
  <c r="E25" s="1"/>
  <c r="E22" i="42"/>
  <c r="E25" s="1"/>
  <c r="C22"/>
  <c r="E16"/>
  <c r="E22" i="41"/>
  <c r="E25" s="1"/>
  <c r="C22"/>
  <c r="E16"/>
  <c r="C22" i="40"/>
  <c r="E16"/>
  <c r="E22" s="1"/>
  <c r="E25" s="1"/>
  <c r="C22" i="39"/>
  <c r="E16"/>
  <c r="E22" s="1"/>
  <c r="C22" i="38"/>
  <c r="E16"/>
  <c r="E22" s="1"/>
  <c r="E25" s="1"/>
  <c r="C22" i="37"/>
  <c r="E16"/>
  <c r="E22" s="1"/>
  <c r="C22" i="36"/>
  <c r="E16"/>
  <c r="E22" s="1"/>
  <c r="C23" i="33"/>
  <c r="E17"/>
  <c r="E23" s="1"/>
  <c r="E26" s="1"/>
  <c r="E22" i="32"/>
  <c r="E25" s="1"/>
  <c r="C22"/>
  <c r="E16"/>
  <c r="C22" i="31"/>
  <c r="E16"/>
  <c r="E22" s="1"/>
  <c r="E25" s="1"/>
  <c r="C22" i="30"/>
  <c r="E16"/>
  <c r="E22" s="1"/>
  <c r="E25" s="1"/>
  <c r="C22" i="29"/>
  <c r="E16"/>
  <c r="E22" s="1"/>
  <c r="E25" s="1"/>
  <c r="E25" i="28"/>
  <c r="E22"/>
  <c r="E26" s="1"/>
  <c r="E30" s="1"/>
  <c r="C22"/>
  <c r="E16"/>
  <c r="C22" i="27"/>
  <c r="E16"/>
  <c r="E22" s="1"/>
  <c r="E25" s="1"/>
  <c r="C22" i="26"/>
  <c r="E16"/>
  <c r="E22" s="1"/>
  <c r="C22" i="25"/>
  <c r="E16"/>
  <c r="E22" s="1"/>
  <c r="E25" s="1"/>
  <c r="C22" i="24"/>
  <c r="E16"/>
  <c r="E22" s="1"/>
  <c r="E22" i="23"/>
  <c r="E25" s="1"/>
  <c r="C22"/>
  <c r="E16"/>
  <c r="C22" i="21"/>
  <c r="E16"/>
  <c r="E22" s="1"/>
  <c r="E25" s="1"/>
  <c r="E22" i="20"/>
  <c r="E25" s="1"/>
  <c r="C22"/>
  <c r="E16"/>
  <c r="C22" i="19"/>
  <c r="E16"/>
  <c r="E22" s="1"/>
  <c r="E25" s="1"/>
  <c r="B32" i="28"/>
  <c r="B32" i="56"/>
  <c r="B32" i="19"/>
  <c r="E30" i="53" l="1"/>
  <c r="E34" s="1"/>
  <c r="E26" i="52"/>
  <c r="E30" s="1"/>
  <c r="E25"/>
  <c r="E26" i="51"/>
  <c r="E30" s="1"/>
  <c r="E26" i="50"/>
  <c r="E30" s="1"/>
  <c r="E26" i="49"/>
  <c r="E30" s="1"/>
  <c r="E26" i="48"/>
  <c r="E30" s="1"/>
  <c r="E25" i="46"/>
  <c r="E26"/>
  <c r="E26" i="45"/>
  <c r="E30" s="1"/>
  <c r="E26" i="44"/>
  <c r="E30" s="1"/>
  <c r="E26" i="43"/>
  <c r="E30" s="1"/>
  <c r="E26" i="42"/>
  <c r="E30" s="1"/>
  <c r="E26" i="41"/>
  <c r="E30" s="1"/>
  <c r="E26" i="40"/>
  <c r="E30" s="1"/>
  <c r="E26" i="39"/>
  <c r="E30" s="1"/>
  <c r="E25"/>
  <c r="E26" i="38"/>
  <c r="E30" s="1"/>
  <c r="E26" i="37"/>
  <c r="E30" s="1"/>
  <c r="E25"/>
  <c r="E26" i="36"/>
  <c r="E30" s="1"/>
  <c r="E25"/>
  <c r="E27" i="33"/>
  <c r="E31" s="1"/>
  <c r="E26" i="32"/>
  <c r="E30" s="1"/>
  <c r="E26" i="31"/>
  <c r="E30" s="1"/>
  <c r="E26" i="30"/>
  <c r="E30" s="1"/>
  <c r="E26" i="29"/>
  <c r="E30" s="1"/>
  <c r="E26" i="27"/>
  <c r="E30" s="1"/>
  <c r="E25" i="26"/>
  <c r="E26"/>
  <c r="E26" i="25"/>
  <c r="E30" s="1"/>
  <c r="E26" i="24"/>
  <c r="E30" s="1"/>
  <c r="E25"/>
  <c r="E26" i="23"/>
  <c r="E30" s="1"/>
  <c r="E26" i="21"/>
  <c r="E30" s="1"/>
  <c r="E26" i="20"/>
  <c r="E30" s="1"/>
  <c r="E26" i="19"/>
  <c r="E30" s="1"/>
  <c r="C22" i="18"/>
  <c r="E16"/>
  <c r="E22" s="1"/>
  <c r="C22" i="17"/>
  <c r="E16"/>
  <c r="E22" s="1"/>
  <c r="E25" s="1"/>
  <c r="E25" i="16"/>
  <c r="E22"/>
  <c r="E26" s="1"/>
  <c r="E30" s="1"/>
  <c r="C22"/>
  <c r="E16"/>
  <c r="E30" i="15"/>
  <c r="E26"/>
  <c r="E25"/>
  <c r="C22"/>
  <c r="E16"/>
  <c r="E22" s="1"/>
  <c r="E16" i="14"/>
  <c r="E19" s="1"/>
  <c r="C16"/>
  <c r="E9"/>
  <c r="C16" i="13"/>
  <c r="E9"/>
  <c r="E16" s="1"/>
  <c r="E19" i="12"/>
  <c r="E16"/>
  <c r="C16"/>
  <c r="E9"/>
  <c r="E21" i="11"/>
  <c r="C16"/>
  <c r="E9"/>
  <c r="E16" s="1"/>
  <c r="E19" s="1"/>
  <c r="C16" i="10"/>
  <c r="E9"/>
  <c r="E16" s="1"/>
  <c r="E9" i="9"/>
  <c r="E24"/>
  <c r="B32" i="39"/>
  <c r="B32" i="17"/>
  <c r="B32" i="52"/>
  <c r="B32" i="38"/>
  <c r="B26" i="11"/>
  <c r="B32" i="40"/>
  <c r="B26" i="12"/>
  <c r="B32" i="49"/>
  <c r="B32" i="48"/>
  <c r="B32" i="32"/>
  <c r="B32" i="20"/>
  <c r="B32" i="51"/>
  <c r="B32" i="31"/>
  <c r="B32" i="25"/>
  <c r="B32" i="36"/>
  <c r="B32" i="27"/>
  <c r="B32" i="50"/>
  <c r="B32" i="24"/>
  <c r="B32" i="30"/>
  <c r="B26" i="14"/>
  <c r="B26" i="9"/>
  <c r="B32" i="16"/>
  <c r="B32" i="42"/>
  <c r="B32" i="15"/>
  <c r="B32" i="45"/>
  <c r="B32" i="21"/>
  <c r="B33" i="33"/>
  <c r="B32" i="37"/>
  <c r="B32" i="29"/>
  <c r="B32" i="44"/>
  <c r="B32" i="41"/>
  <c r="B32" i="43"/>
  <c r="B32" i="23"/>
  <c r="B26" i="13"/>
  <c r="B26" i="10"/>
  <c r="E30" i="46" l="1"/>
  <c r="E30" i="26"/>
  <c r="E26" i="18"/>
  <c r="E30" s="1"/>
  <c r="E25"/>
  <c r="E26" i="17"/>
  <c r="E30" s="1"/>
  <c r="E24" i="14"/>
  <c r="E19" i="13"/>
  <c r="E24" s="1"/>
  <c r="E24" i="12"/>
  <c r="E24" i="11"/>
  <c r="E19" i="10"/>
  <c r="E24" s="1"/>
  <c r="C16" i="9"/>
  <c r="E16"/>
  <c r="C16" i="8"/>
  <c r="E9"/>
  <c r="E16" s="1"/>
  <c r="E9" i="2"/>
  <c r="E16" s="1"/>
  <c r="E21" i="3"/>
  <c r="E25" s="1"/>
  <c r="E19"/>
  <c r="E17"/>
  <c r="C17"/>
  <c r="E13"/>
  <c r="E10"/>
  <c r="C16" i="2"/>
  <c r="B32" i="46"/>
  <c r="B26" i="3"/>
  <c r="B32" i="26"/>
  <c r="B32" i="18"/>
  <c r="E19" i="9" l="1"/>
  <c r="E19" i="8"/>
  <c r="E24" s="1"/>
  <c r="E19" i="2"/>
  <c r="E24" s="1"/>
  <c r="B26" i="8"/>
  <c r="B26" i="2"/>
</calcChain>
</file>

<file path=xl/sharedStrings.xml><?xml version="1.0" encoding="utf-8"?>
<sst xmlns="http://schemas.openxmlformats.org/spreadsheetml/2006/main" count="1652" uniqueCount="306">
  <si>
    <t>Amount</t>
  </si>
  <si>
    <t>M/s PATAKA INDUSTRIES PVT.LTD</t>
  </si>
  <si>
    <t>24.Gyani Border, Ghaziabad</t>
  </si>
  <si>
    <t>SL No.</t>
  </si>
  <si>
    <t>Particulars</t>
  </si>
  <si>
    <t>Labour Charges for blending &amp;</t>
  </si>
  <si>
    <t>Service Tax @ 14.00 %</t>
  </si>
  <si>
    <t>R/o</t>
  </si>
  <si>
    <t>Grand Total</t>
  </si>
  <si>
    <t>PAN NO</t>
  </si>
  <si>
    <t xml:space="preserve">      APOPP4450N</t>
  </si>
  <si>
    <t>For Riya Packaging</t>
  </si>
  <si>
    <t>Service Tax No.        APOPP4450NSD002</t>
  </si>
  <si>
    <t>Rs.in word.</t>
  </si>
  <si>
    <t>Qty.In kg.</t>
  </si>
  <si>
    <t>Rate Per kg.</t>
  </si>
  <si>
    <t xml:space="preserve">             Date  :- 03.10.2015</t>
  </si>
  <si>
    <t xml:space="preserve">                              Bill No.:-007</t>
  </si>
  <si>
    <t>Packaging for the Month of JULY -2015</t>
  </si>
  <si>
    <t>Packaging for the Month of AUGUST -2015</t>
  </si>
  <si>
    <t>TOTAL</t>
  </si>
  <si>
    <t>PAYMENT RECEIVED FOR JULY-2015</t>
  </si>
  <si>
    <t>PAYMENT RECEIVED FOR AUGUST-2015</t>
  </si>
  <si>
    <t>ARREAR BILL (JULY &amp;AUGUST-2015)</t>
  </si>
  <si>
    <t>R/O</t>
  </si>
  <si>
    <t>SL.NO</t>
  </si>
  <si>
    <t>NAME</t>
  </si>
  <si>
    <t>MEMBER I.D</t>
  </si>
  <si>
    <t>FATHER NAME</t>
  </si>
  <si>
    <t>UAN ALLOTMENT</t>
  </si>
  <si>
    <t>GENERATION DATE</t>
  </si>
  <si>
    <t>LIST OF PREVIOUS MEMBER ID.</t>
  </si>
  <si>
    <t>MOBILE   NO</t>
  </si>
  <si>
    <t>PUNEET KUMAR</t>
  </si>
  <si>
    <t>SUKANTA BERA</t>
  </si>
  <si>
    <t>ASHOK JAINA</t>
  </si>
  <si>
    <t>SURESH KUMAR</t>
  </si>
  <si>
    <t>SHIV CHARAN SINGH</t>
  </si>
  <si>
    <t>OMKAR KUMAR</t>
  </si>
  <si>
    <t>ASGAR KHAN</t>
  </si>
  <si>
    <t>SATYAWAN MANDAL</t>
  </si>
  <si>
    <t>ASHLAM SHAIKH</t>
  </si>
  <si>
    <t>BABAN GHARUI</t>
  </si>
  <si>
    <t>MORSALIM SHAIKH</t>
  </si>
  <si>
    <t>RIYA PANJA</t>
  </si>
  <si>
    <t>HABIB HUSSAIN</t>
  </si>
  <si>
    <t>RAHUL SHAIKH</t>
  </si>
  <si>
    <t>RAVI KUMAR RANA</t>
  </si>
  <si>
    <t>BARUN BARIKA</t>
  </si>
  <si>
    <t>RAJESH KUMAR</t>
  </si>
  <si>
    <t>PAWAN KUMAR</t>
  </si>
  <si>
    <t>CHINAMAY SAMANTA</t>
  </si>
  <si>
    <t>SOUMITRA SAMANTA</t>
  </si>
  <si>
    <t>PARTHA RANGI</t>
  </si>
  <si>
    <t>PRASENJIT SINGH</t>
  </si>
  <si>
    <t>RANJIT SINGH</t>
  </si>
  <si>
    <t>KARTIK BERA</t>
  </si>
  <si>
    <t>BASANT</t>
  </si>
  <si>
    <t>MULA SINGH</t>
  </si>
  <si>
    <t>RAM PRASAD</t>
  </si>
  <si>
    <t>JAY PAL</t>
  </si>
  <si>
    <t>CHURA MANI</t>
  </si>
  <si>
    <t>KISHMAT SHAIKH</t>
  </si>
  <si>
    <t>BISWANATH PANJA</t>
  </si>
  <si>
    <t>ATAUR</t>
  </si>
  <si>
    <t>ASRAF SHAIKH</t>
  </si>
  <si>
    <t>MOHAN SINGH</t>
  </si>
  <si>
    <t>AJIT BARIKA</t>
  </si>
  <si>
    <t>KAUSAL</t>
  </si>
  <si>
    <t>SORAN SINGH</t>
  </si>
  <si>
    <t>NAKUL</t>
  </si>
  <si>
    <t>YADITRA</t>
  </si>
  <si>
    <t>MOHAN RANGI</t>
  </si>
  <si>
    <t>RANJIT GHARUI</t>
  </si>
  <si>
    <t>SANAUL SHAIKH</t>
  </si>
  <si>
    <t>SAHRUM KHAN</t>
  </si>
  <si>
    <t>MRMRT00565600000000001</t>
  </si>
  <si>
    <t>MRMRT00565600000000002</t>
  </si>
  <si>
    <t>MRMRT00565600000000003</t>
  </si>
  <si>
    <t>MRMRT00565600000000006</t>
  </si>
  <si>
    <t>MRMRT00565600000000007</t>
  </si>
  <si>
    <t>MRMRT00565600000000013</t>
  </si>
  <si>
    <t>MRMRT00565600000000020</t>
  </si>
  <si>
    <t>MRMRT00565600000000021</t>
  </si>
  <si>
    <t>MRMRT00565600000000022</t>
  </si>
  <si>
    <t>MRMRT00565600000000023</t>
  </si>
  <si>
    <t>MRMRT00565600000000025</t>
  </si>
  <si>
    <t>MRMRT00565600000000026</t>
  </si>
  <si>
    <t>MRMRT00565600000000027</t>
  </si>
  <si>
    <t>MRMRT00565600000000028</t>
  </si>
  <si>
    <t>MRMRT00565600000000029</t>
  </si>
  <si>
    <t>MRMRT00565600000000030</t>
  </si>
  <si>
    <t>MRMRT00565600000000034</t>
  </si>
  <si>
    <t>MRMRT00565600000000039</t>
  </si>
  <si>
    <t>MRMRT00565600000000035</t>
  </si>
  <si>
    <t>MRMRT00565600000000038</t>
  </si>
  <si>
    <t>MRMRT00565600000000036</t>
  </si>
  <si>
    <t>MRMRT00565600000000037</t>
  </si>
  <si>
    <t>PRATAP SINGH</t>
  </si>
  <si>
    <t>`</t>
  </si>
  <si>
    <t>15-07-2014</t>
  </si>
  <si>
    <t>TQB/0223545</t>
  </si>
  <si>
    <t>WB/17/117/477438</t>
  </si>
  <si>
    <t>CVR/1362300</t>
  </si>
  <si>
    <t>CVR/2249910</t>
  </si>
  <si>
    <t>WB/36/247/279225</t>
  </si>
  <si>
    <t>ROE-1384510</t>
  </si>
  <si>
    <t>TQB-0852251</t>
  </si>
  <si>
    <t>WB/08/051/516075</t>
  </si>
  <si>
    <t>XPD/5985791</t>
  </si>
  <si>
    <t>ROE-1151554</t>
  </si>
  <si>
    <t>ROE-1151547</t>
  </si>
  <si>
    <t>TQB-0740910</t>
  </si>
  <si>
    <t>XPD-2282846</t>
  </si>
  <si>
    <t>XPD-3643699</t>
  </si>
  <si>
    <t>UBL1426691</t>
  </si>
  <si>
    <t>TBQ1122977</t>
  </si>
  <si>
    <t>Packing Material Usage Statement</t>
  </si>
  <si>
    <t>Laminate</t>
  </si>
  <si>
    <t>Op/Stk</t>
  </si>
  <si>
    <t>Received</t>
  </si>
  <si>
    <t>(if any)</t>
  </si>
  <si>
    <t>Used</t>
  </si>
  <si>
    <t>1st - 15th</t>
  </si>
  <si>
    <t>15th - 30th</t>
  </si>
  <si>
    <t>Closing</t>
  </si>
  <si>
    <t>Balance</t>
  </si>
  <si>
    <t>Premium</t>
  </si>
  <si>
    <t>1kg</t>
  </si>
  <si>
    <t>250 (co)</t>
  </si>
  <si>
    <t>Special</t>
  </si>
  <si>
    <t>100g</t>
  </si>
  <si>
    <t>5kg</t>
  </si>
  <si>
    <t>Mukta</t>
  </si>
  <si>
    <t>Harpal</t>
  </si>
  <si>
    <t>Zipper Bg</t>
  </si>
  <si>
    <t>C/stk mar</t>
  </si>
  <si>
    <t>Linner</t>
  </si>
  <si>
    <t>Op/stk</t>
  </si>
  <si>
    <t>Clossing</t>
  </si>
  <si>
    <t>Jar label</t>
  </si>
  <si>
    <t>Top label</t>
  </si>
  <si>
    <t>Foil Disk</t>
  </si>
  <si>
    <t>250g</t>
  </si>
  <si>
    <t>100 C</t>
  </si>
  <si>
    <t>50 C</t>
  </si>
  <si>
    <t>250 C</t>
  </si>
  <si>
    <t>500 J</t>
  </si>
  <si>
    <t>500g</t>
  </si>
  <si>
    <t>N/W bag</t>
  </si>
  <si>
    <t>250 J</t>
  </si>
  <si>
    <t>Service Tax @ 15.00%</t>
  </si>
  <si>
    <t xml:space="preserve">             Date  :- 01.11.2016</t>
  </si>
  <si>
    <t>Packaging for the Month of OCT-2016</t>
  </si>
  <si>
    <t xml:space="preserve">                              Bill No.:-008</t>
  </si>
  <si>
    <t xml:space="preserve">             Date  :- 01.12.2016</t>
  </si>
  <si>
    <t>Packaging for the Month of NOV-2016</t>
  </si>
  <si>
    <t xml:space="preserve">                              Bill No.:-009</t>
  </si>
  <si>
    <t xml:space="preserve">             Date  :- 01.01.2017</t>
  </si>
  <si>
    <t>Packaging for the Month of DEC-2016</t>
  </si>
  <si>
    <t xml:space="preserve">                              Bill No.:-010</t>
  </si>
  <si>
    <t xml:space="preserve">             Date  :- 01.02.2017</t>
  </si>
  <si>
    <t>Packaging for the Month of JAN-2017</t>
  </si>
  <si>
    <t xml:space="preserve">                              Bill No.:-011</t>
  </si>
  <si>
    <t xml:space="preserve">             Date  :- 01.03.2017</t>
  </si>
  <si>
    <t>Packaging for the Month of FEB-2017</t>
  </si>
  <si>
    <t xml:space="preserve">                              Bill No.:-012</t>
  </si>
  <si>
    <t xml:space="preserve">             Date  :- 01.04.2017</t>
  </si>
  <si>
    <t>Packaging for the Month of MARCH-2017</t>
  </si>
  <si>
    <t xml:space="preserve">             Date  :- 01.05.2017</t>
  </si>
  <si>
    <t xml:space="preserve">                              Bill No.:-01</t>
  </si>
  <si>
    <t xml:space="preserve">                              Bill No.:-02</t>
  </si>
  <si>
    <t xml:space="preserve">             Date  :- 01.06.2017</t>
  </si>
  <si>
    <t>Packaging for the Month of MAY-2017</t>
  </si>
  <si>
    <t xml:space="preserve">Mob.: 9717553839                 </t>
  </si>
  <si>
    <t>RIYA PACKAGING</t>
  </si>
  <si>
    <t>Ref. ……………………</t>
  </si>
  <si>
    <t>Dated……………….</t>
  </si>
  <si>
    <t>Works at : 24 Gyani Border, Sahibabad, Ghaziabad, U.P.</t>
  </si>
  <si>
    <t>B-97, C-3, Shalimar Garden, sahibabad, Ghaziabad.</t>
  </si>
  <si>
    <t>SGST @ 9%</t>
  </si>
  <si>
    <t>CGST @ 9%</t>
  </si>
  <si>
    <t>GSTIN  :</t>
  </si>
  <si>
    <t>09APOPP4450N1Z4</t>
  </si>
  <si>
    <t>Packaging for the Month of JULY-2017</t>
  </si>
  <si>
    <t xml:space="preserve">             Date  :- 01.08.2017</t>
  </si>
  <si>
    <t xml:space="preserve">                              Bill No.:-04</t>
  </si>
  <si>
    <t>CUSTOMER'S GSTIN NO-09AABCP5057C1ZL</t>
  </si>
  <si>
    <t>INVOICE/REVIESED INVOICE</t>
  </si>
  <si>
    <t xml:space="preserve">                              Bill No.:-05</t>
  </si>
  <si>
    <t xml:space="preserve">             Date  :- 01.09.2017</t>
  </si>
  <si>
    <t>Packaging for the Month of AUGUST-2017</t>
  </si>
  <si>
    <t xml:space="preserve">                              Bill No.:-06</t>
  </si>
  <si>
    <t xml:space="preserve">             Date  :- 01.10.2017</t>
  </si>
  <si>
    <t>Labour Charges for blending &amp;Packaging</t>
  </si>
  <si>
    <t xml:space="preserve"> for the Month of SEPTEMBER-2017</t>
  </si>
  <si>
    <t xml:space="preserve"> for the Month of OCTOBER-2017</t>
  </si>
  <si>
    <t xml:space="preserve">                              Bill No.:-07</t>
  </si>
  <si>
    <t xml:space="preserve">             Date  :- 03.11.2017</t>
  </si>
  <si>
    <t xml:space="preserve">                              Bill No.:-08</t>
  </si>
  <si>
    <t xml:space="preserve">             Date  :- 01.12.2017</t>
  </si>
  <si>
    <t xml:space="preserve"> for the Month of NOVEMBER-2017</t>
  </si>
  <si>
    <t xml:space="preserve">                              Bill No.:-09</t>
  </si>
  <si>
    <t xml:space="preserve">             Date  :- 01.01.2018</t>
  </si>
  <si>
    <t xml:space="preserve"> for the Month of DECEMBER-2017</t>
  </si>
  <si>
    <t xml:space="preserve">                              Bill No.:-10</t>
  </si>
  <si>
    <t xml:space="preserve">             Date  :- 01.02.2018</t>
  </si>
  <si>
    <t xml:space="preserve"> for the Month of JANUARY -2018</t>
  </si>
  <si>
    <t xml:space="preserve">                              Bill No.:-11</t>
  </si>
  <si>
    <t xml:space="preserve">             Date  :- 01.03.2018</t>
  </si>
  <si>
    <t xml:space="preserve"> for the Month of FEBRUARY -2018</t>
  </si>
  <si>
    <t xml:space="preserve">                              Bill No.:-12</t>
  </si>
  <si>
    <t xml:space="preserve">             Date  :- 31.03.2018</t>
  </si>
  <si>
    <t xml:space="preserve"> for the Month of APRIL -2018</t>
  </si>
  <si>
    <t xml:space="preserve">             Date  :- 01.05.2018</t>
  </si>
  <si>
    <t xml:space="preserve">             Date  :- 01.06.2018</t>
  </si>
  <si>
    <t xml:space="preserve"> for the Month of  MAY -2018</t>
  </si>
  <si>
    <t xml:space="preserve">                              Bill No.:-03</t>
  </si>
  <si>
    <t xml:space="preserve">             Date  :- 02.07.2018</t>
  </si>
  <si>
    <t xml:space="preserve"> for the Month of  JUNE -2018</t>
  </si>
  <si>
    <t xml:space="preserve">             Date  :- 01.09.2018</t>
  </si>
  <si>
    <t xml:space="preserve"> for the Month of  August -2018</t>
  </si>
  <si>
    <t>B-97, C-3, Shalimar Garden, Sahibabad, Ghaziabad.</t>
  </si>
  <si>
    <t xml:space="preserve"> for the Month of  JULY -2018</t>
  </si>
  <si>
    <t xml:space="preserve">             Date  :- 01.08.2018</t>
  </si>
  <si>
    <t xml:space="preserve"> for the Month of  September -2018</t>
  </si>
  <si>
    <t xml:space="preserve">             Date  :- 01.10.2018</t>
  </si>
  <si>
    <t xml:space="preserve">             Date  :- 01.11.2018</t>
  </si>
  <si>
    <t xml:space="preserve"> for the Month of  october -2018</t>
  </si>
  <si>
    <t xml:space="preserve">             Date  :- 01.12.2018</t>
  </si>
  <si>
    <t xml:space="preserve"> for the Month of  November -2018</t>
  </si>
  <si>
    <t>TAX INVOICE</t>
  </si>
  <si>
    <t>B-97, C-3, Shalimar Garden, Sahibabad, Ghaziabad. Pin Code - 201006</t>
  </si>
  <si>
    <t>Particular's</t>
  </si>
  <si>
    <t>Amount.</t>
  </si>
  <si>
    <t xml:space="preserve">Invoice No:- 08/18-19 Date          :- 01.12.2018          </t>
  </si>
  <si>
    <t xml:space="preserve"> for the Month of  December -2018-19</t>
  </si>
  <si>
    <t xml:space="preserve">Invoice No:- 09/18-19 Date          :- 01.01.2019          </t>
  </si>
  <si>
    <t xml:space="preserve">Invoice No:- 10/18-19 Date          :- 01.02.2019          </t>
  </si>
  <si>
    <t xml:space="preserve"> for the Month of  January -2018-19</t>
  </si>
  <si>
    <t xml:space="preserve">Invoice No:- 11/18-19 Date          :- 01.03.2019          </t>
  </si>
  <si>
    <t xml:space="preserve"> for the Month of  February -2018-19</t>
  </si>
  <si>
    <t xml:space="preserve">Invoice No:- 12/18-19 Date          :- 30.03.2019          </t>
  </si>
  <si>
    <t xml:space="preserve"> for the Month of  March -2018-19</t>
  </si>
  <si>
    <t xml:space="preserve"> for the Month of  April 2019-20</t>
  </si>
  <si>
    <t xml:space="preserve">Invoice No :- 01/19-20 Date          :- 30.04.2019          </t>
  </si>
  <si>
    <t xml:space="preserve">Invoice No :- 02/19-20 Date          :- 01.06.2019          </t>
  </si>
  <si>
    <t xml:space="preserve"> for the Month of  May 2019-20</t>
  </si>
  <si>
    <t xml:space="preserve">Invoice No :- 03/19-20 Date          :- 01.07.2019          </t>
  </si>
  <si>
    <t xml:space="preserve"> for the Month of  June 2019-20</t>
  </si>
  <si>
    <t xml:space="preserve">Invoice No :- 04/19-20 Date          :- 01.08.2019          </t>
  </si>
  <si>
    <t xml:space="preserve"> for the Month of  July 2019-20</t>
  </si>
  <si>
    <t xml:space="preserve">Invoice No :- 05/19-20 Date          :- 01.09.2019          </t>
  </si>
  <si>
    <t xml:space="preserve"> for the Month of  August 2019-20</t>
  </si>
  <si>
    <t xml:space="preserve"> for the Month of  September 2019-20</t>
  </si>
  <si>
    <t xml:space="preserve">Invoice No :- 06/19-20 Date          :- 01.10.2019          </t>
  </si>
  <si>
    <t xml:space="preserve">Invoice No :- 07/19-20 Date          :- 01.11.2019          </t>
  </si>
  <si>
    <t xml:space="preserve"> for the Month of  October  2019-20</t>
  </si>
  <si>
    <t xml:space="preserve"> for the Month of  November  2019-20</t>
  </si>
  <si>
    <t xml:space="preserve">Invoice No :- 08/19-20 Date          :- 02.12.2019          </t>
  </si>
  <si>
    <t xml:space="preserve">Invoice No :- 09/19-20 Date          :- 01.01.2020          </t>
  </si>
  <si>
    <t xml:space="preserve"> for the Month of  December  2019-20</t>
  </si>
  <si>
    <t xml:space="preserve">Invoice No :- 10/19-20 Date          :- 01.02.2020          </t>
  </si>
  <si>
    <t xml:space="preserve"> for the Month of January  2019-20</t>
  </si>
  <si>
    <t xml:space="preserve">Invoice No :- 11/19-20 Date          :- 02.03.2020          </t>
  </si>
  <si>
    <t xml:space="preserve"> for the Month of February  2019-20</t>
  </si>
  <si>
    <t xml:space="preserve"> for the Month of March  2019-20</t>
  </si>
  <si>
    <t xml:space="preserve"> for the Month of April  2020-21</t>
  </si>
  <si>
    <t>Grantate Quantity 85000.0 kgs.</t>
  </si>
  <si>
    <t xml:space="preserve">Invoice No :- 12/19-20 Date          :- 01.04.2020          </t>
  </si>
  <si>
    <t>Qnty.  In Kgs.</t>
  </si>
  <si>
    <t xml:space="preserve">Invoice No :- 01/20-21 Date          :- 04.05.2020          </t>
  </si>
  <si>
    <t>Amanded</t>
  </si>
  <si>
    <t xml:space="preserve">Invoice No :- 02/20-21 Date          :- 01.06.2020          </t>
  </si>
  <si>
    <t xml:space="preserve"> for the Month of May  2020-21</t>
  </si>
  <si>
    <t xml:space="preserve"> for the Month of June  2020-21</t>
  </si>
  <si>
    <t xml:space="preserve">Invoice No :- 03/20-21 Date          :- 01.07.2020          </t>
  </si>
  <si>
    <t xml:space="preserve">Invoice No :- 04/20-21 Date          :- 01.08.2020          </t>
  </si>
  <si>
    <t xml:space="preserve"> for the Month of July  2020-21</t>
  </si>
  <si>
    <t xml:space="preserve">Invoice No :- 05/20-21 Date          :- 01.09.2020          </t>
  </si>
  <si>
    <t xml:space="preserve"> for the Month of August  2020-21</t>
  </si>
  <si>
    <t>R.F.D (Kundli)</t>
  </si>
  <si>
    <t>5 Kg                              2010.0 KG</t>
  </si>
  <si>
    <t xml:space="preserve">Invoice No :- 06/20-21 Date          :- 02.09.2020          </t>
  </si>
  <si>
    <t>250 G Premium          1536.0 KG</t>
  </si>
  <si>
    <t>250 G Special             5520.0 KG</t>
  </si>
  <si>
    <t>1 KG Special               720.0 KG</t>
  </si>
  <si>
    <t>500 G Special             600 .0 KG</t>
  </si>
  <si>
    <r>
      <t xml:space="preserve">Labour Charges for De packeted Tea </t>
    </r>
    <r>
      <rPr>
        <b/>
        <i/>
        <sz val="12"/>
        <color theme="1"/>
        <rFont val="Calibri"/>
        <family val="2"/>
        <scheme val="minor"/>
      </rPr>
      <t>(OLD PRICE)</t>
    </r>
  </si>
  <si>
    <t xml:space="preserve">Invoice No :- 07/20-21 Date          :- 01.10.2020          </t>
  </si>
  <si>
    <t xml:space="preserve"> for the Month of September  2020-21</t>
  </si>
  <si>
    <t xml:space="preserve"> for the Month of October  2020-21</t>
  </si>
  <si>
    <t xml:space="preserve">Invoice No :- 08/20-21 Date          :- 02.11.2020          </t>
  </si>
  <si>
    <t xml:space="preserve"> for the Month of November  2020-21</t>
  </si>
  <si>
    <t xml:space="preserve">Invoice No :- 10/20-21 Date          :- 01.12.2020          </t>
  </si>
  <si>
    <t xml:space="preserve">Invoice No :- 11/20-21 Date          :- 01.01.2021          </t>
  </si>
  <si>
    <t xml:space="preserve"> for the Month of December  2020-21</t>
  </si>
  <si>
    <t xml:space="preserve">Invoice No :- 12/20-21 Date          :- 01.02.2021          </t>
  </si>
  <si>
    <t xml:space="preserve"> for the Month of January  2020-21</t>
  </si>
  <si>
    <t xml:space="preserve">Invoice No :- 13/20-21 Date          :- 01.03.2021          </t>
  </si>
  <si>
    <t xml:space="preserve"> for the Month of February  2020-21</t>
  </si>
  <si>
    <t xml:space="preserve">Invoice No :- 14/20-21 Date          :- 31.03.2021          </t>
  </si>
  <si>
    <t xml:space="preserve">    </t>
  </si>
  <si>
    <t xml:space="preserve">Production. 80100.0Kgs </t>
  </si>
  <si>
    <t xml:space="preserve">Labour Charges for blending &amp;Packaging for the month </t>
  </si>
  <si>
    <t xml:space="preserve"> of March  2020-21 Grantate Quantity . 85000.0 kgs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</si>
</sst>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7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2" fontId="0" fillId="0" borderId="2" xfId="0" applyNumberFormat="1" applyBorder="1" applyAlignment="1">
      <alignment horizontal="center"/>
    </xf>
    <xf numFmtId="0" fontId="0" fillId="0" borderId="11" xfId="0" applyBorder="1"/>
    <xf numFmtId="0" fontId="0" fillId="0" borderId="5" xfId="0" applyBorder="1"/>
    <xf numFmtId="0" fontId="0" fillId="0" borderId="11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12" xfId="0" applyBorder="1"/>
    <xf numFmtId="0" fontId="0" fillId="0" borderId="7" xfId="0" applyBorder="1"/>
    <xf numFmtId="4" fontId="0" fillId="0" borderId="5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4" fontId="1" fillId="0" borderId="13" xfId="0" applyNumberFormat="1" applyFont="1" applyBorder="1"/>
    <xf numFmtId="0" fontId="1" fillId="0" borderId="0" xfId="0" applyFont="1"/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Font="1" applyBorder="1" applyAlignment="1">
      <alignment horizontal="center"/>
    </xf>
    <xf numFmtId="17" fontId="0" fillId="0" borderId="11" xfId="0" applyNumberFormat="1" applyBorder="1"/>
    <xf numFmtId="0" fontId="1" fillId="0" borderId="0" xfId="0" applyFont="1" applyAlignment="1">
      <alignment horizontal="center"/>
    </xf>
    <xf numFmtId="2" fontId="0" fillId="0" borderId="5" xfId="0" applyNumberFormat="1" applyBorder="1"/>
    <xf numFmtId="0" fontId="0" fillId="0" borderId="11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1" fillId="0" borderId="9" xfId="0" applyFont="1" applyBorder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0" borderId="0" xfId="0" applyBorder="1"/>
    <xf numFmtId="0" fontId="0" fillId="0" borderId="18" xfId="0" applyBorder="1"/>
    <xf numFmtId="0" fontId="0" fillId="0" borderId="1" xfId="0" applyBorder="1"/>
    <xf numFmtId="2" fontId="0" fillId="0" borderId="10" xfId="0" applyNumberFormat="1" applyFont="1" applyBorder="1" applyAlignment="1">
      <alignment horizontal="center"/>
    </xf>
    <xf numFmtId="2" fontId="0" fillId="0" borderId="10" xfId="0" applyNumberFormat="1" applyBorder="1" applyAlignment="1"/>
    <xf numFmtId="0" fontId="0" fillId="0" borderId="11" xfId="0" applyBorder="1" applyAlignment="1"/>
    <xf numFmtId="2" fontId="0" fillId="0" borderId="11" xfId="0" applyNumberFormat="1" applyBorder="1" applyAlignment="1"/>
    <xf numFmtId="4" fontId="0" fillId="0" borderId="11" xfId="0" applyNumberFormat="1" applyBorder="1" applyAlignment="1"/>
    <xf numFmtId="2" fontId="0" fillId="0" borderId="16" xfId="0" applyNumberFormat="1" applyBorder="1" applyAlignment="1"/>
    <xf numFmtId="2" fontId="0" fillId="0" borderId="11" xfId="0" applyNumberFormat="1" applyBorder="1" applyAlignment="1">
      <alignment horizontal="right"/>
    </xf>
    <xf numFmtId="4" fontId="1" fillId="0" borderId="9" xfId="0" applyNumberFormat="1" applyFont="1" applyBorder="1"/>
    <xf numFmtId="0" fontId="4" fillId="0" borderId="20" xfId="0" applyFont="1" applyBorder="1"/>
    <xf numFmtId="0" fontId="4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3" fillId="0" borderId="19" xfId="0" applyFont="1" applyBorder="1"/>
    <xf numFmtId="0" fontId="0" fillId="0" borderId="23" xfId="0" applyBorder="1" applyAlignment="1">
      <alignment horizontal="center"/>
    </xf>
    <xf numFmtId="1" fontId="3" fillId="0" borderId="19" xfId="0" applyNumberFormat="1" applyFont="1" applyBorder="1"/>
    <xf numFmtId="0" fontId="3" fillId="0" borderId="19" xfId="0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19" xfId="0" applyFont="1" applyBorder="1" applyAlignment="1">
      <alignment horizontal="left" wrapText="1"/>
    </xf>
    <xf numFmtId="0" fontId="3" fillId="0" borderId="24" xfId="0" applyFont="1" applyBorder="1" applyAlignment="1">
      <alignment horizontal="center"/>
    </xf>
    <xf numFmtId="0" fontId="0" fillId="0" borderId="19" xfId="0" applyBorder="1"/>
    <xf numFmtId="0" fontId="0" fillId="0" borderId="33" xfId="0" applyBorder="1"/>
    <xf numFmtId="0" fontId="1" fillId="0" borderId="29" xfId="0" applyFont="1" applyBorder="1" applyAlignment="1">
      <alignment horizontal="center"/>
    </xf>
    <xf numFmtId="0" fontId="1" fillId="0" borderId="32" xfId="0" applyFont="1" applyBorder="1"/>
    <xf numFmtId="0" fontId="0" fillId="0" borderId="28" xfId="0" applyBorder="1"/>
    <xf numFmtId="0" fontId="0" fillId="0" borderId="20" xfId="0" applyBorder="1"/>
    <xf numFmtId="0" fontId="0" fillId="0" borderId="21" xfId="0" applyBorder="1"/>
    <xf numFmtId="0" fontId="1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0" xfId="0" applyFont="1" applyBorder="1"/>
    <xf numFmtId="0" fontId="0" fillId="0" borderId="22" xfId="0" applyBorder="1"/>
    <xf numFmtId="0" fontId="0" fillId="0" borderId="24" xfId="0" applyBorder="1"/>
    <xf numFmtId="0" fontId="1" fillId="0" borderId="21" xfId="0" applyFont="1" applyBorder="1"/>
    <xf numFmtId="0" fontId="1" fillId="0" borderId="26" xfId="0" applyFont="1" applyBorder="1"/>
    <xf numFmtId="0" fontId="1" fillId="0" borderId="22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" fillId="0" borderId="24" xfId="0" applyFont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2" xfId="0" applyBorder="1"/>
    <xf numFmtId="0" fontId="0" fillId="0" borderId="39" xfId="0" applyBorder="1"/>
    <xf numFmtId="0" fontId="0" fillId="0" borderId="23" xfId="0" applyBorder="1"/>
    <xf numFmtId="0" fontId="0" fillId="0" borderId="30" xfId="0" applyBorder="1"/>
    <xf numFmtId="0" fontId="0" fillId="0" borderId="40" xfId="0" applyBorder="1"/>
    <xf numFmtId="0" fontId="1" fillId="0" borderId="41" xfId="0" applyFont="1" applyBorder="1"/>
    <xf numFmtId="0" fontId="1" fillId="0" borderId="42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3" xfId="0" applyFont="1" applyBorder="1"/>
    <xf numFmtId="0" fontId="0" fillId="0" borderId="42" xfId="0" applyBorder="1"/>
    <xf numFmtId="0" fontId="0" fillId="0" borderId="44" xfId="0" applyBorder="1"/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46" xfId="0" applyBorder="1"/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41" xfId="0" applyBorder="1"/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47" xfId="0" applyBorder="1"/>
    <xf numFmtId="0" fontId="1" fillId="0" borderId="22" xfId="0" applyFont="1" applyBorder="1"/>
    <xf numFmtId="0" fontId="1" fillId="0" borderId="27" xfId="0" applyFont="1" applyBorder="1"/>
    <xf numFmtId="0" fontId="0" fillId="0" borderId="31" xfId="0" applyBorder="1"/>
    <xf numFmtId="0" fontId="1" fillId="0" borderId="53" xfId="0" applyFont="1" applyBorder="1"/>
    <xf numFmtId="0" fontId="1" fillId="0" borderId="54" xfId="0" applyFont="1" applyBorder="1"/>
    <xf numFmtId="0" fontId="1" fillId="0" borderId="51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2" fontId="0" fillId="0" borderId="0" xfId="0" applyNumberFormat="1"/>
    <xf numFmtId="0" fontId="0" fillId="0" borderId="29" xfId="0" applyBorder="1"/>
    <xf numFmtId="0" fontId="1" fillId="0" borderId="32" xfId="0" applyFont="1" applyBorder="1" applyAlignment="1">
      <alignment horizontal="center"/>
    </xf>
    <xf numFmtId="0" fontId="0" fillId="0" borderId="43" xfId="0" applyBorder="1"/>
    <xf numFmtId="0" fontId="1" fillId="0" borderId="0" xfId="0" applyFont="1" applyAlignment="1">
      <alignment horizontal="center"/>
    </xf>
    <xf numFmtId="2" fontId="0" fillId="0" borderId="5" xfId="0" applyNumberFormat="1" applyBorder="1" applyAlignment="1">
      <alignment horizontal="right"/>
    </xf>
    <xf numFmtId="2" fontId="0" fillId="0" borderId="11" xfId="0" applyNumberFormat="1" applyFont="1" applyBorder="1" applyAlignment="1"/>
    <xf numFmtId="4" fontId="0" fillId="0" borderId="5" xfId="0" applyNumberFormat="1" applyBorder="1" applyAlignment="1"/>
    <xf numFmtId="0" fontId="1" fillId="0" borderId="0" xfId="0" applyFont="1" applyAlignment="1">
      <alignment horizontal="center"/>
    </xf>
    <xf numFmtId="0" fontId="0" fillId="2" borderId="5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11" xfId="1" applyBorder="1" applyAlignment="1" applyProtection="1"/>
    <xf numFmtId="0" fontId="1" fillId="0" borderId="0" xfId="0" applyFont="1" applyAlignment="1">
      <alignment horizontal="center"/>
    </xf>
    <xf numFmtId="0" fontId="0" fillId="0" borderId="5" xfId="0" applyNumberFormat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5" xfId="0" applyNumberFormat="1" applyBorder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11" xfId="0" applyNumberForma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Border="1" applyAlignment="1"/>
    <xf numFmtId="0" fontId="8" fillId="0" borderId="8" xfId="0" applyFont="1" applyBorder="1" applyAlignment="1"/>
    <xf numFmtId="0" fontId="2" fillId="0" borderId="1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0" xfId="0" applyFont="1" applyBorder="1" applyAlignment="1"/>
    <xf numFmtId="0" fontId="2" fillId="0" borderId="6" xfId="0" applyFont="1" applyBorder="1" applyAlignment="1"/>
    <xf numFmtId="0" fontId="2" fillId="0" borderId="8" xfId="0" applyFont="1" applyBorder="1" applyAlignment="1"/>
    <xf numFmtId="0" fontId="0" fillId="0" borderId="3" xfId="0" applyBorder="1"/>
    <xf numFmtId="0" fontId="0" fillId="0" borderId="2" xfId="0" applyBorder="1"/>
    <xf numFmtId="0" fontId="1" fillId="0" borderId="4" xfId="0" applyFont="1" applyBorder="1"/>
    <xf numFmtId="0" fontId="1" fillId="0" borderId="0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11" fillId="0" borderId="0" xfId="0" applyFont="1" applyBorder="1"/>
    <xf numFmtId="0" fontId="12" fillId="0" borderId="0" xfId="0" applyFo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ftware\SureshAddin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rsword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2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6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1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4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7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9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6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7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9.bin"/><Relationship Id="rId2" Type="http://schemas.openxmlformats.org/officeDocument/2006/relationships/hyperlink" Target="mailto:SGST@%209%25" TargetMode="External"/><Relationship Id="rId1" Type="http://schemas.openxmlformats.org/officeDocument/2006/relationships/hyperlink" Target="mailto:CGST@%209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K16" sqref="K16"/>
    </sheetView>
  </sheetViews>
  <sheetFormatPr defaultRowHeight="15"/>
  <cols>
    <col min="1" max="1" width="7.85546875" customWidth="1"/>
    <col min="2" max="2" width="35.140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7" ht="15.75" thickBot="1">
      <c r="A1" s="1"/>
      <c r="B1" s="1"/>
      <c r="C1" s="1"/>
      <c r="D1" s="1"/>
      <c r="E1" s="1"/>
    </row>
    <row r="2" spans="1:7">
      <c r="A2" s="2"/>
      <c r="B2" s="3"/>
      <c r="C2" s="2"/>
      <c r="D2" s="4"/>
      <c r="E2" s="3"/>
    </row>
    <row r="3" spans="1:7" ht="15.75">
      <c r="A3" s="238" t="s">
        <v>1</v>
      </c>
      <c r="B3" s="239"/>
      <c r="C3" s="240" t="s">
        <v>17</v>
      </c>
      <c r="D3" s="241"/>
      <c r="E3" s="242"/>
    </row>
    <row r="4" spans="1:7" ht="15.75" thickBot="1">
      <c r="A4" s="243" t="s">
        <v>2</v>
      </c>
      <c r="B4" s="244"/>
      <c r="C4" s="245" t="s">
        <v>152</v>
      </c>
      <c r="D4" s="246"/>
      <c r="E4" s="247"/>
    </row>
    <row r="5" spans="1:7" ht="15.75" thickBot="1"/>
    <row r="6" spans="1:7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7" ht="15.75" thickBot="1"/>
    <row r="8" spans="1:7">
      <c r="A8" s="6">
        <v>1</v>
      </c>
      <c r="B8" s="7" t="s">
        <v>5</v>
      </c>
      <c r="C8" s="19"/>
      <c r="D8" s="19"/>
      <c r="E8" s="8"/>
    </row>
    <row r="9" spans="1:7">
      <c r="A9" s="9"/>
      <c r="B9" s="9" t="s">
        <v>153</v>
      </c>
      <c r="C9" s="20">
        <v>183470</v>
      </c>
      <c r="D9" s="20">
        <v>2.2000000000000002</v>
      </c>
      <c r="E9" s="10">
        <f>C9*D9</f>
        <v>403634.00000000006</v>
      </c>
    </row>
    <row r="10" spans="1:7">
      <c r="A10" s="9"/>
      <c r="B10" s="22"/>
      <c r="C10" s="9"/>
      <c r="D10" s="9"/>
      <c r="E10" s="10"/>
    </row>
    <row r="11" spans="1:7">
      <c r="A11" s="11"/>
      <c r="B11" s="9"/>
      <c r="C11" s="20"/>
      <c r="D11" s="20"/>
      <c r="E11" s="12"/>
    </row>
    <row r="12" spans="1:7">
      <c r="A12" s="9"/>
      <c r="B12" s="9"/>
      <c r="C12" s="9"/>
      <c r="D12" s="9"/>
      <c r="E12" s="10"/>
    </row>
    <row r="13" spans="1:7">
      <c r="A13" s="9"/>
      <c r="B13" s="9"/>
      <c r="C13" s="9"/>
      <c r="D13" s="9"/>
      <c r="E13" s="10"/>
    </row>
    <row r="14" spans="1:7">
      <c r="A14" s="9"/>
      <c r="B14" s="9"/>
      <c r="C14" s="9"/>
      <c r="D14" s="9"/>
      <c r="E14" s="10"/>
    </row>
    <row r="15" spans="1:7" ht="15.75" thickBot="1">
      <c r="A15" s="9"/>
      <c r="B15" s="9"/>
      <c r="C15" s="13"/>
      <c r="D15" s="13"/>
      <c r="E15" s="14"/>
    </row>
    <row r="16" spans="1:7">
      <c r="A16" s="9"/>
      <c r="B16" s="9"/>
      <c r="C16" s="21">
        <f>C9</f>
        <v>183470</v>
      </c>
      <c r="D16" s="9"/>
      <c r="E16" s="12">
        <f>SUM(E8:E11)</f>
        <v>403634.00000000006</v>
      </c>
      <c r="G16" s="124"/>
    </row>
    <row r="17" spans="1:5">
      <c r="A17" s="9"/>
      <c r="B17" s="9"/>
      <c r="C17" s="9"/>
      <c r="D17" s="9"/>
      <c r="E17" s="10"/>
    </row>
    <row r="18" spans="1:5">
      <c r="A18" s="9"/>
      <c r="B18" s="9"/>
      <c r="C18" s="9"/>
      <c r="D18" s="9"/>
      <c r="E18" s="10"/>
    </row>
    <row r="19" spans="1:5">
      <c r="A19" s="9"/>
      <c r="B19" s="9" t="s">
        <v>151</v>
      </c>
      <c r="C19" s="9"/>
      <c r="D19" s="9"/>
      <c r="E19" s="15">
        <f>E16*15%</f>
        <v>60545.100000000006</v>
      </c>
    </row>
    <row r="20" spans="1:5">
      <c r="A20" s="9"/>
      <c r="B20" s="9"/>
      <c r="C20" s="9"/>
      <c r="D20" s="9"/>
      <c r="E20" s="10"/>
    </row>
    <row r="21" spans="1:5">
      <c r="A21" s="9"/>
      <c r="B21" s="9"/>
      <c r="C21" s="11" t="s">
        <v>7</v>
      </c>
      <c r="D21" s="9"/>
      <c r="E21" s="12">
        <v>-0.1</v>
      </c>
    </row>
    <row r="22" spans="1:5">
      <c r="A22" s="9"/>
      <c r="B22" s="9"/>
      <c r="C22" s="9"/>
      <c r="D22" s="9"/>
      <c r="E22" s="10"/>
    </row>
    <row r="23" spans="1:5" ht="15.75" thickBot="1">
      <c r="A23" s="9"/>
      <c r="B23" s="9"/>
      <c r="C23" s="9"/>
      <c r="D23" s="9"/>
      <c r="E23" s="10"/>
    </row>
    <row r="24" spans="1:5" ht="15.75" thickBot="1">
      <c r="A24" s="13"/>
      <c r="B24" s="13"/>
      <c r="C24" s="16" t="s">
        <v>8</v>
      </c>
      <c r="D24" s="13"/>
      <c r="E24" s="17">
        <f>E16+E19+E21</f>
        <v>464179.00000000012</v>
      </c>
    </row>
    <row r="26" spans="1:5">
      <c r="A26" t="s">
        <v>13</v>
      </c>
      <c r="B26" t="str">
        <f>[1]!rswords(E24)</f>
        <v>Rupees Four Lakh(s) Sixty Four Thousand One Hundred Seventy Nine Only</v>
      </c>
    </row>
    <row r="28" spans="1:5">
      <c r="A28" s="18" t="s">
        <v>9</v>
      </c>
      <c r="B28" s="18" t="s">
        <v>10</v>
      </c>
      <c r="C28" s="18"/>
      <c r="D28" s="237" t="s">
        <v>11</v>
      </c>
      <c r="E28" s="237"/>
    </row>
    <row r="29" spans="1:5">
      <c r="A29" s="18" t="s">
        <v>12</v>
      </c>
      <c r="B29" s="18"/>
      <c r="C29" s="18"/>
      <c r="D29" s="18"/>
      <c r="E29" s="18"/>
    </row>
  </sheetData>
  <mergeCells count="5">
    <mergeCell ref="D28:E28"/>
    <mergeCell ref="A3:B3"/>
    <mergeCell ref="C3:E3"/>
    <mergeCell ref="A4:B4"/>
    <mergeCell ref="C4:E4"/>
  </mergeCells>
  <pageMargins left="1" right="0.4" top="2.3199999999999998" bottom="0.75" header="0.45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>
      <selection activeCell="C10" sqref="C10"/>
    </sheetView>
  </sheetViews>
  <sheetFormatPr defaultRowHeight="15"/>
  <cols>
    <col min="1" max="1" width="5.140625" customWidth="1"/>
    <col min="2" max="2" width="38" customWidth="1"/>
    <col min="3" max="3" width="11.28515625" customWidth="1"/>
    <col min="4" max="4" width="10.7109375" customWidth="1"/>
    <col min="5" max="5" width="13.5703125" customWidth="1"/>
  </cols>
  <sheetData>
    <row r="1" spans="1:5" ht="15.75" thickBot="1">
      <c r="A1" s="23"/>
      <c r="B1" s="23"/>
      <c r="C1" s="23"/>
      <c r="D1" s="23"/>
      <c r="E1" s="23"/>
    </row>
    <row r="2" spans="1:5">
      <c r="A2" s="2"/>
      <c r="B2" s="3"/>
      <c r="C2" s="2"/>
      <c r="D2" s="4"/>
      <c r="E2" s="3"/>
    </row>
    <row r="3" spans="1:5" ht="15.75">
      <c r="A3" s="238" t="s">
        <v>1</v>
      </c>
      <c r="B3" s="239"/>
      <c r="C3" s="240" t="s">
        <v>17</v>
      </c>
      <c r="D3" s="241"/>
      <c r="E3" s="242"/>
    </row>
    <row r="4" spans="1:5" ht="15.75" thickBot="1">
      <c r="A4" s="243" t="s">
        <v>2</v>
      </c>
      <c r="B4" s="244"/>
      <c r="C4" s="245" t="s">
        <v>16</v>
      </c>
      <c r="D4" s="246"/>
      <c r="E4" s="247"/>
    </row>
    <row r="5" spans="1:5" ht="15.75" thickBot="1">
      <c r="A5" s="26"/>
      <c r="B5" s="34"/>
      <c r="C5" s="34"/>
      <c r="D5" s="34"/>
      <c r="E5" s="10"/>
    </row>
    <row r="6" spans="1:5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5" ht="15.75" thickBot="1">
      <c r="A7" s="26"/>
      <c r="B7" s="34"/>
      <c r="C7" s="34"/>
      <c r="D7" s="34"/>
      <c r="E7" s="10"/>
    </row>
    <row r="8" spans="1:5" ht="15.75" thickBot="1">
      <c r="A8" s="28"/>
      <c r="B8" s="31" t="s">
        <v>23</v>
      </c>
      <c r="C8" s="29"/>
      <c r="D8" s="29"/>
      <c r="E8" s="30"/>
    </row>
    <row r="9" spans="1:5">
      <c r="A9" s="6">
        <v>1</v>
      </c>
      <c r="B9" s="7" t="s">
        <v>5</v>
      </c>
      <c r="C9" s="19"/>
      <c r="D9" s="19"/>
      <c r="E9" s="8"/>
    </row>
    <row r="10" spans="1:5">
      <c r="A10" s="9"/>
      <c r="B10" s="9" t="s">
        <v>18</v>
      </c>
      <c r="C10" s="20">
        <v>143610</v>
      </c>
      <c r="D10" s="20">
        <v>2.2000000000000002</v>
      </c>
      <c r="E10" s="24">
        <f>C10*D10</f>
        <v>315942</v>
      </c>
    </row>
    <row r="11" spans="1:5" ht="15.75" thickBot="1">
      <c r="A11" s="13"/>
      <c r="B11" s="13"/>
      <c r="C11" s="13"/>
      <c r="D11" s="13"/>
      <c r="E11" s="14"/>
    </row>
    <row r="12" spans="1:5">
      <c r="A12" s="6">
        <v>2</v>
      </c>
      <c r="B12" s="7" t="s">
        <v>5</v>
      </c>
      <c r="C12" s="19"/>
      <c r="D12" s="19"/>
      <c r="E12" s="8"/>
    </row>
    <row r="13" spans="1:5">
      <c r="A13" s="9"/>
      <c r="B13" s="9" t="s">
        <v>19</v>
      </c>
      <c r="C13" s="20">
        <v>137946</v>
      </c>
      <c r="D13" s="20">
        <v>2.2000000000000002</v>
      </c>
      <c r="E13" s="24">
        <f>D13*C13</f>
        <v>303481.2</v>
      </c>
    </row>
    <row r="14" spans="1:5" ht="15.75" thickBot="1">
      <c r="A14" s="13"/>
      <c r="B14" s="13"/>
      <c r="C14" s="13"/>
      <c r="D14" s="13"/>
      <c r="E14" s="14"/>
    </row>
    <row r="15" spans="1:5">
      <c r="A15" s="7"/>
      <c r="B15" s="7"/>
      <c r="C15" s="9"/>
      <c r="D15" s="9"/>
      <c r="E15" s="10"/>
    </row>
    <row r="16" spans="1:5" ht="15.75" thickBot="1">
      <c r="A16" s="13"/>
      <c r="B16" s="9"/>
      <c r="C16" s="13"/>
      <c r="D16" s="13"/>
      <c r="E16" s="14"/>
    </row>
    <row r="17" spans="1:5">
      <c r="A17" s="26"/>
      <c r="B17" s="36"/>
      <c r="C17" s="37">
        <f>C10+C13</f>
        <v>281556</v>
      </c>
      <c r="D17" s="7"/>
      <c r="E17" s="38">
        <f>E10+E13</f>
        <v>619423.19999999995</v>
      </c>
    </row>
    <row r="18" spans="1:5">
      <c r="A18" s="26"/>
      <c r="B18" s="26"/>
      <c r="C18" s="9"/>
      <c r="D18" s="9"/>
      <c r="E18" s="39"/>
    </row>
    <row r="19" spans="1:5">
      <c r="A19" s="26"/>
      <c r="B19" s="26" t="s">
        <v>6</v>
      </c>
      <c r="C19" s="9"/>
      <c r="D19" s="9"/>
      <c r="E19" s="40">
        <f>E17*14%</f>
        <v>86719.248000000007</v>
      </c>
    </row>
    <row r="20" spans="1:5">
      <c r="A20" s="26"/>
      <c r="B20" s="26"/>
      <c r="C20" s="9"/>
      <c r="D20" s="11" t="s">
        <v>24</v>
      </c>
      <c r="E20" s="41">
        <v>-0.45</v>
      </c>
    </row>
    <row r="21" spans="1:5" ht="15.75" thickBot="1">
      <c r="A21" s="32"/>
      <c r="B21" s="35" t="s">
        <v>20</v>
      </c>
      <c r="C21" s="33"/>
      <c r="D21" s="33"/>
      <c r="E21" s="42">
        <f>E17+E19+E20</f>
        <v>706141.99800000002</v>
      </c>
    </row>
    <row r="22" spans="1:5" ht="15.75" thickTop="1">
      <c r="A22" s="26"/>
      <c r="B22" s="26" t="s">
        <v>21</v>
      </c>
      <c r="C22" s="11"/>
      <c r="D22" s="25"/>
      <c r="E22" s="43">
        <v>300040</v>
      </c>
    </row>
    <row r="23" spans="1:5">
      <c r="A23" s="26"/>
      <c r="B23" s="26" t="s">
        <v>22</v>
      </c>
      <c r="C23" s="9"/>
      <c r="D23" s="9"/>
      <c r="E23" s="43">
        <v>291646</v>
      </c>
    </row>
    <row r="24" spans="1:5" ht="15.75" thickBot="1">
      <c r="A24" s="26"/>
      <c r="B24" s="26"/>
      <c r="C24" s="9"/>
      <c r="D24" s="11"/>
      <c r="E24" s="9"/>
    </row>
    <row r="25" spans="1:5" ht="15.75" thickBot="1">
      <c r="A25" s="27"/>
      <c r="B25" s="27"/>
      <c r="C25" s="16" t="s">
        <v>8</v>
      </c>
      <c r="D25" s="13"/>
      <c r="E25" s="44">
        <f>E21-E22-E23</f>
        <v>114455.99800000002</v>
      </c>
    </row>
    <row r="26" spans="1:5">
      <c r="A26" t="s">
        <v>13</v>
      </c>
      <c r="B26" t="str">
        <f>[1]!rswords(E25)</f>
        <v>Rupees One Lakh(s) Fourteen Thousand Four Hundred Fifty Six Only</v>
      </c>
    </row>
    <row r="28" spans="1:5">
      <c r="A28" s="18" t="s">
        <v>9</v>
      </c>
      <c r="B28" s="18" t="s">
        <v>10</v>
      </c>
    </row>
    <row r="29" spans="1:5">
      <c r="B29" s="18"/>
      <c r="C29" s="18"/>
      <c r="D29" s="237" t="s">
        <v>11</v>
      </c>
      <c r="E29" s="237"/>
    </row>
    <row r="30" spans="1:5">
      <c r="A30" s="18" t="s">
        <v>12</v>
      </c>
      <c r="C30" s="18"/>
      <c r="D30" s="18"/>
      <c r="E30" s="18"/>
    </row>
  </sheetData>
  <mergeCells count="5">
    <mergeCell ref="A3:B3"/>
    <mergeCell ref="C3:E3"/>
    <mergeCell ref="A4:B4"/>
    <mergeCell ref="C4:E4"/>
    <mergeCell ref="D29:E29"/>
  </mergeCells>
  <pageMargins left="0.99" right="0.7" top="2.44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selection activeCell="H36" sqref="H36"/>
    </sheetView>
  </sheetViews>
  <sheetFormatPr defaultRowHeight="15"/>
  <cols>
    <col min="1" max="1" width="4.28515625" customWidth="1"/>
    <col min="2" max="2" width="16.42578125" customWidth="1"/>
    <col min="3" max="3" width="15" customWidth="1"/>
    <col min="4" max="4" width="21.28515625" customWidth="1"/>
    <col min="5" max="5" width="11.28515625" customWidth="1"/>
    <col min="6" max="6" width="9.42578125" customWidth="1"/>
    <col min="7" max="7" width="14.5703125" customWidth="1"/>
    <col min="8" max="8" width="9.7109375" customWidth="1"/>
  </cols>
  <sheetData>
    <row r="1" spans="1:8" ht="36" customHeight="1">
      <c r="A1" s="45" t="s">
        <v>25</v>
      </c>
      <c r="B1" s="46" t="s">
        <v>26</v>
      </c>
      <c r="C1" s="47" t="s">
        <v>28</v>
      </c>
      <c r="D1" s="47" t="s">
        <v>27</v>
      </c>
      <c r="E1" s="47" t="s">
        <v>29</v>
      </c>
      <c r="F1" s="47" t="s">
        <v>30</v>
      </c>
      <c r="G1" s="47" t="s">
        <v>31</v>
      </c>
      <c r="H1" s="48" t="s">
        <v>32</v>
      </c>
    </row>
    <row r="2" spans="1:8">
      <c r="A2" s="53">
        <v>1</v>
      </c>
      <c r="B2" s="57" t="s">
        <v>33</v>
      </c>
      <c r="C2" s="57" t="s">
        <v>55</v>
      </c>
      <c r="D2" s="52" t="s">
        <v>76</v>
      </c>
      <c r="E2" s="56">
        <v>100282263015</v>
      </c>
      <c r="F2" s="55" t="s">
        <v>100</v>
      </c>
      <c r="G2" s="56">
        <v>286295481421</v>
      </c>
      <c r="H2" s="59">
        <v>7827288832</v>
      </c>
    </row>
    <row r="3" spans="1:8">
      <c r="A3" s="53">
        <v>2</v>
      </c>
      <c r="B3" s="57" t="s">
        <v>34</v>
      </c>
      <c r="C3" s="57" t="s">
        <v>56</v>
      </c>
      <c r="D3" s="52" t="s">
        <v>77</v>
      </c>
      <c r="E3" s="56">
        <v>100367297179</v>
      </c>
      <c r="F3" s="55" t="s">
        <v>100</v>
      </c>
      <c r="G3" s="56" t="s">
        <v>101</v>
      </c>
      <c r="H3" s="59">
        <v>8285265295</v>
      </c>
    </row>
    <row r="4" spans="1:8">
      <c r="A4" s="53">
        <v>3</v>
      </c>
      <c r="B4" s="57" t="s">
        <v>35</v>
      </c>
      <c r="C4" s="57" t="s">
        <v>57</v>
      </c>
      <c r="D4" s="52" t="s">
        <v>78</v>
      </c>
      <c r="E4" s="56">
        <v>100093469772</v>
      </c>
      <c r="F4" s="55" t="s">
        <v>100</v>
      </c>
      <c r="G4" s="54" t="s">
        <v>102</v>
      </c>
      <c r="H4" s="59"/>
    </row>
    <row r="5" spans="1:8">
      <c r="A5" s="53">
        <v>4</v>
      </c>
      <c r="B5" s="57" t="s">
        <v>36</v>
      </c>
      <c r="C5" s="57" t="s">
        <v>58</v>
      </c>
      <c r="D5" s="52" t="s">
        <v>79</v>
      </c>
      <c r="E5" s="56">
        <v>100373993172</v>
      </c>
      <c r="F5" s="55" t="s">
        <v>100</v>
      </c>
      <c r="G5" s="54"/>
      <c r="H5" s="59"/>
    </row>
    <row r="6" spans="1:8" ht="16.5" customHeight="1">
      <c r="A6" s="53">
        <v>5</v>
      </c>
      <c r="B6" s="58" t="s">
        <v>37</v>
      </c>
      <c r="C6" s="57" t="s">
        <v>59</v>
      </c>
      <c r="D6" s="52" t="s">
        <v>80</v>
      </c>
      <c r="E6" s="56">
        <v>100351312653</v>
      </c>
      <c r="F6" s="55" t="s">
        <v>100</v>
      </c>
      <c r="G6" s="56" t="s">
        <v>103</v>
      </c>
      <c r="H6" s="59">
        <v>9990951373</v>
      </c>
    </row>
    <row r="7" spans="1:8">
      <c r="A7" s="53">
        <v>6</v>
      </c>
      <c r="B7" s="57" t="s">
        <v>38</v>
      </c>
      <c r="C7" s="57" t="s">
        <v>60</v>
      </c>
      <c r="D7" s="52" t="s">
        <v>81</v>
      </c>
      <c r="E7" s="56">
        <v>100261122872</v>
      </c>
      <c r="F7" s="55" t="s">
        <v>100</v>
      </c>
      <c r="G7" s="56" t="s">
        <v>104</v>
      </c>
      <c r="H7" s="59"/>
    </row>
    <row r="8" spans="1:8">
      <c r="A8" s="53">
        <v>7</v>
      </c>
      <c r="B8" s="57" t="s">
        <v>39</v>
      </c>
      <c r="C8" s="57" t="s">
        <v>75</v>
      </c>
      <c r="D8" s="52" t="s">
        <v>82</v>
      </c>
      <c r="E8" s="56">
        <v>100092088254</v>
      </c>
      <c r="F8" s="55" t="s">
        <v>100</v>
      </c>
      <c r="G8" s="54"/>
      <c r="H8" s="59"/>
    </row>
    <row r="9" spans="1:8">
      <c r="A9" s="53">
        <v>8</v>
      </c>
      <c r="B9" s="57" t="s">
        <v>40</v>
      </c>
      <c r="C9" s="57" t="s">
        <v>61</v>
      </c>
      <c r="D9" s="52" t="s">
        <v>83</v>
      </c>
      <c r="E9" s="56">
        <v>100342208887</v>
      </c>
      <c r="F9" s="55" t="s">
        <v>100</v>
      </c>
      <c r="G9" s="54" t="s">
        <v>105</v>
      </c>
      <c r="H9" s="59">
        <v>9540335631</v>
      </c>
    </row>
    <row r="10" spans="1:8">
      <c r="A10" s="53">
        <v>9</v>
      </c>
      <c r="B10" s="57" t="s">
        <v>41</v>
      </c>
      <c r="C10" s="57" t="s">
        <v>74</v>
      </c>
      <c r="D10" s="52" t="s">
        <v>84</v>
      </c>
      <c r="E10" s="56">
        <v>100095375491</v>
      </c>
      <c r="F10" s="55" t="s">
        <v>100</v>
      </c>
      <c r="G10" s="56" t="s">
        <v>106</v>
      </c>
      <c r="H10" s="59"/>
    </row>
    <row r="11" spans="1:8">
      <c r="A11" s="53">
        <v>10</v>
      </c>
      <c r="B11" s="57" t="s">
        <v>42</v>
      </c>
      <c r="C11" s="57" t="s">
        <v>73</v>
      </c>
      <c r="D11" s="52" t="s">
        <v>85</v>
      </c>
      <c r="E11" s="56">
        <v>100103870637</v>
      </c>
      <c r="F11" s="55" t="s">
        <v>100</v>
      </c>
      <c r="G11" s="56" t="s">
        <v>107</v>
      </c>
      <c r="H11" s="59">
        <v>8017328427</v>
      </c>
    </row>
    <row r="12" spans="1:8">
      <c r="A12" s="53">
        <v>11</v>
      </c>
      <c r="B12" s="57" t="s">
        <v>43</v>
      </c>
      <c r="C12" s="57" t="s">
        <v>62</v>
      </c>
      <c r="D12" s="52" t="s">
        <v>86</v>
      </c>
      <c r="E12" s="56">
        <v>100231816078</v>
      </c>
      <c r="F12" s="55" t="s">
        <v>100</v>
      </c>
      <c r="G12" s="54" t="s">
        <v>108</v>
      </c>
      <c r="H12" s="59">
        <v>8010476851</v>
      </c>
    </row>
    <row r="13" spans="1:8">
      <c r="A13" s="53">
        <v>12</v>
      </c>
      <c r="B13" s="57" t="s">
        <v>44</v>
      </c>
      <c r="C13" s="57" t="s">
        <v>63</v>
      </c>
      <c r="D13" s="52" t="s">
        <v>87</v>
      </c>
      <c r="E13" s="56">
        <v>100314332786</v>
      </c>
      <c r="F13" s="55" t="s">
        <v>100</v>
      </c>
      <c r="G13" s="56" t="s">
        <v>109</v>
      </c>
      <c r="H13" s="59">
        <v>9650348059</v>
      </c>
    </row>
    <row r="14" spans="1:8">
      <c r="A14" s="53">
        <v>13</v>
      </c>
      <c r="B14" s="57" t="s">
        <v>45</v>
      </c>
      <c r="C14" s="57" t="s">
        <v>64</v>
      </c>
      <c r="D14" s="52" t="s">
        <v>88</v>
      </c>
      <c r="E14" s="56">
        <v>100159997217</v>
      </c>
      <c r="F14" s="55" t="s">
        <v>100</v>
      </c>
      <c r="G14" s="56" t="s">
        <v>111</v>
      </c>
      <c r="H14" s="59">
        <v>7602395276</v>
      </c>
    </row>
    <row r="15" spans="1:8">
      <c r="A15" s="53">
        <v>14</v>
      </c>
      <c r="B15" s="57" t="s">
        <v>46</v>
      </c>
      <c r="C15" s="57" t="s">
        <v>65</v>
      </c>
      <c r="D15" s="52" t="s">
        <v>89</v>
      </c>
      <c r="E15" s="56">
        <v>100291574727</v>
      </c>
      <c r="F15" s="55" t="s">
        <v>100</v>
      </c>
      <c r="G15" s="56" t="s">
        <v>110</v>
      </c>
      <c r="H15" s="59"/>
    </row>
    <row r="16" spans="1:8">
      <c r="A16" s="53">
        <v>15</v>
      </c>
      <c r="B16" s="57" t="s">
        <v>47</v>
      </c>
      <c r="C16" s="57" t="s">
        <v>66</v>
      </c>
      <c r="D16" s="52" t="s">
        <v>90</v>
      </c>
      <c r="E16" s="56">
        <v>100310251196</v>
      </c>
      <c r="F16" s="55" t="s">
        <v>100</v>
      </c>
      <c r="G16" s="56"/>
      <c r="H16" s="59">
        <v>8527828910</v>
      </c>
    </row>
    <row r="17" spans="1:8">
      <c r="A17" s="53">
        <v>16</v>
      </c>
      <c r="B17" s="57" t="s">
        <v>48</v>
      </c>
      <c r="C17" s="57" t="s">
        <v>67</v>
      </c>
      <c r="D17" s="52" t="s">
        <v>91</v>
      </c>
      <c r="E17" s="56">
        <v>100108164146</v>
      </c>
      <c r="F17" s="55" t="s">
        <v>100</v>
      </c>
      <c r="G17" s="56" t="s">
        <v>112</v>
      </c>
      <c r="H17" s="59">
        <v>8826158051</v>
      </c>
    </row>
    <row r="18" spans="1:8">
      <c r="A18" s="53">
        <v>17</v>
      </c>
      <c r="B18" s="57" t="s">
        <v>49</v>
      </c>
      <c r="C18" s="57" t="s">
        <v>68</v>
      </c>
      <c r="D18" s="52" t="s">
        <v>92</v>
      </c>
      <c r="E18" s="56">
        <v>100295254211</v>
      </c>
      <c r="F18" s="55" t="s">
        <v>100</v>
      </c>
      <c r="G18" s="56" t="s">
        <v>113</v>
      </c>
      <c r="H18" s="59">
        <v>9582919840</v>
      </c>
    </row>
    <row r="19" spans="1:8">
      <c r="A19" s="53">
        <v>18</v>
      </c>
      <c r="B19" s="57" t="s">
        <v>50</v>
      </c>
      <c r="C19" s="57" t="s">
        <v>69</v>
      </c>
      <c r="D19" s="52" t="s">
        <v>93</v>
      </c>
      <c r="E19" s="54"/>
      <c r="F19" s="55" t="s">
        <v>100</v>
      </c>
      <c r="G19" s="56" t="s">
        <v>114</v>
      </c>
      <c r="H19" s="59">
        <v>9971632004</v>
      </c>
    </row>
    <row r="20" spans="1:8">
      <c r="A20" s="53">
        <v>19</v>
      </c>
      <c r="B20" s="57" t="s">
        <v>51</v>
      </c>
      <c r="C20" s="57" t="s">
        <v>70</v>
      </c>
      <c r="D20" s="52" t="s">
        <v>94</v>
      </c>
      <c r="E20" s="54" t="s">
        <v>99</v>
      </c>
      <c r="F20" s="55" t="s">
        <v>100</v>
      </c>
      <c r="G20" s="54"/>
      <c r="H20" s="59">
        <v>7531970929</v>
      </c>
    </row>
    <row r="21" spans="1:8">
      <c r="A21" s="53">
        <v>20</v>
      </c>
      <c r="B21" s="57" t="s">
        <v>52</v>
      </c>
      <c r="C21" s="57" t="s">
        <v>71</v>
      </c>
      <c r="D21" s="52" t="s">
        <v>95</v>
      </c>
      <c r="E21" s="54"/>
      <c r="F21" s="55" t="s">
        <v>100</v>
      </c>
      <c r="G21" s="54"/>
      <c r="H21" s="59">
        <v>7836910976</v>
      </c>
    </row>
    <row r="22" spans="1:8">
      <c r="A22" s="53">
        <v>21</v>
      </c>
      <c r="B22" s="57" t="s">
        <v>54</v>
      </c>
      <c r="C22" s="57" t="s">
        <v>98</v>
      </c>
      <c r="D22" s="52" t="s">
        <v>96</v>
      </c>
      <c r="E22" s="54"/>
      <c r="F22" s="55" t="s">
        <v>100</v>
      </c>
      <c r="G22" s="56" t="s">
        <v>115</v>
      </c>
      <c r="H22" s="59">
        <v>8013144979</v>
      </c>
    </row>
    <row r="23" spans="1:8">
      <c r="A23" s="53">
        <v>22</v>
      </c>
      <c r="B23" s="57" t="s">
        <v>53</v>
      </c>
      <c r="C23" s="57" t="s">
        <v>72</v>
      </c>
      <c r="D23" s="52" t="s">
        <v>97</v>
      </c>
      <c r="E23" s="54"/>
      <c r="F23" s="55" t="s">
        <v>100</v>
      </c>
      <c r="G23" s="56" t="s">
        <v>116</v>
      </c>
      <c r="H23" s="59">
        <v>8013662170</v>
      </c>
    </row>
    <row r="24" spans="1:8" ht="15.75" thickBot="1">
      <c r="A24" s="49"/>
      <c r="B24" s="50"/>
      <c r="C24" s="50"/>
      <c r="D24" s="50"/>
      <c r="E24" s="50"/>
      <c r="F24" s="50"/>
      <c r="G24" s="50"/>
      <c r="H24" s="51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workbookViewId="0">
      <selection activeCell="J12" sqref="J12"/>
    </sheetView>
  </sheetViews>
  <sheetFormatPr defaultRowHeight="15"/>
  <cols>
    <col min="1" max="1" width="8.85546875" customWidth="1"/>
    <col min="2" max="2" width="8.140625" customWidth="1"/>
    <col min="8" max="8" width="8.7109375" customWidth="1"/>
    <col min="9" max="9" width="7.28515625" customWidth="1"/>
    <col min="10" max="10" width="8.7109375" customWidth="1"/>
    <col min="11" max="11" width="8.28515625" customWidth="1"/>
    <col min="12" max="12" width="8.7109375" customWidth="1"/>
    <col min="13" max="13" width="9.7109375" customWidth="1"/>
  </cols>
  <sheetData>
    <row r="1" spans="1:14" ht="15.75" thickBot="1">
      <c r="A1" s="237" t="s">
        <v>117</v>
      </c>
      <c r="B1" s="237"/>
      <c r="C1" s="237"/>
      <c r="D1" s="237"/>
      <c r="E1" s="237"/>
      <c r="F1" s="237"/>
      <c r="G1" s="237"/>
      <c r="H1" s="237"/>
      <c r="I1" s="237"/>
    </row>
    <row r="2" spans="1:14">
      <c r="A2" s="65"/>
      <c r="B2" s="72"/>
      <c r="C2" s="77" t="s">
        <v>118</v>
      </c>
      <c r="D2" s="67" t="s">
        <v>120</v>
      </c>
      <c r="E2" s="67" t="s">
        <v>122</v>
      </c>
      <c r="F2" s="67" t="s">
        <v>122</v>
      </c>
      <c r="G2" s="95" t="s">
        <v>125</v>
      </c>
      <c r="H2" s="93"/>
      <c r="I2" s="68"/>
      <c r="J2" s="77" t="s">
        <v>137</v>
      </c>
      <c r="K2" s="74" t="s">
        <v>120</v>
      </c>
      <c r="L2" s="74" t="s">
        <v>122</v>
      </c>
      <c r="M2" s="74" t="s">
        <v>122</v>
      </c>
      <c r="N2" s="115" t="s">
        <v>139</v>
      </c>
    </row>
    <row r="3" spans="1:14" ht="15.75" thickBot="1">
      <c r="A3" s="49"/>
      <c r="B3" s="51"/>
      <c r="C3" s="78" t="s">
        <v>119</v>
      </c>
      <c r="D3" s="69" t="s">
        <v>121</v>
      </c>
      <c r="E3" s="69" t="s">
        <v>123</v>
      </c>
      <c r="F3" s="69" t="s">
        <v>124</v>
      </c>
      <c r="G3" s="96" t="s">
        <v>126</v>
      </c>
      <c r="H3" s="94"/>
      <c r="I3" s="70"/>
      <c r="J3" s="78" t="s">
        <v>138</v>
      </c>
      <c r="K3" s="75" t="s">
        <v>121</v>
      </c>
      <c r="L3" s="75" t="s">
        <v>123</v>
      </c>
      <c r="M3" s="75" t="s">
        <v>124</v>
      </c>
      <c r="N3" s="116" t="s">
        <v>126</v>
      </c>
    </row>
    <row r="4" spans="1:14">
      <c r="A4" s="103" t="s">
        <v>127</v>
      </c>
      <c r="B4" s="76" t="s">
        <v>128</v>
      </c>
      <c r="C4" s="65"/>
      <c r="D4" s="66"/>
      <c r="E4" s="66"/>
      <c r="F4" s="66"/>
      <c r="G4" s="84"/>
      <c r="H4" s="106" t="s">
        <v>130</v>
      </c>
      <c r="I4" s="92" t="s">
        <v>143</v>
      </c>
      <c r="J4" s="85"/>
      <c r="K4" s="64"/>
      <c r="L4" s="64"/>
      <c r="M4" s="64"/>
      <c r="N4" s="86"/>
    </row>
    <row r="5" spans="1:14">
      <c r="A5" s="104"/>
      <c r="B5" s="81" t="s">
        <v>143</v>
      </c>
      <c r="C5" s="87"/>
      <c r="D5" s="60"/>
      <c r="E5" s="60"/>
      <c r="F5" s="60"/>
      <c r="G5" s="82"/>
      <c r="H5" s="104"/>
      <c r="I5" s="81" t="s">
        <v>131</v>
      </c>
      <c r="J5" s="61"/>
      <c r="K5" s="60"/>
      <c r="L5" s="60"/>
      <c r="M5" s="60"/>
      <c r="N5" s="73"/>
    </row>
    <row r="6" spans="1:14">
      <c r="A6" s="104"/>
      <c r="B6" s="81" t="s">
        <v>129</v>
      </c>
      <c r="C6" s="87"/>
      <c r="D6" s="60"/>
      <c r="E6" s="60"/>
      <c r="F6" s="60"/>
      <c r="G6" s="82"/>
      <c r="H6" s="104"/>
      <c r="I6" s="81" t="s">
        <v>132</v>
      </c>
      <c r="J6" s="61"/>
      <c r="K6" s="60"/>
      <c r="L6" s="60"/>
      <c r="M6" s="60"/>
      <c r="N6" s="73"/>
    </row>
    <row r="7" spans="1:14">
      <c r="A7" s="104" t="s">
        <v>130</v>
      </c>
      <c r="B7" s="81" t="s">
        <v>128</v>
      </c>
      <c r="C7" s="87"/>
      <c r="D7" s="60"/>
      <c r="E7" s="60"/>
      <c r="F7" s="60"/>
      <c r="G7" s="82"/>
      <c r="H7" s="104"/>
      <c r="I7" s="81">
        <v>10</v>
      </c>
      <c r="J7" s="61"/>
      <c r="K7" s="60"/>
      <c r="L7" s="60"/>
      <c r="M7" s="60"/>
      <c r="N7" s="73"/>
    </row>
    <row r="8" spans="1:14">
      <c r="A8" s="104"/>
      <c r="B8" s="81" t="s">
        <v>148</v>
      </c>
      <c r="C8" s="87"/>
      <c r="D8" s="60"/>
      <c r="E8" s="60"/>
      <c r="F8" s="60"/>
      <c r="G8" s="82"/>
      <c r="H8" s="104"/>
      <c r="I8" s="81">
        <v>5</v>
      </c>
      <c r="J8" s="61"/>
      <c r="K8" s="60"/>
      <c r="L8" s="60"/>
      <c r="M8" s="60"/>
      <c r="N8" s="73"/>
    </row>
    <row r="9" spans="1:14">
      <c r="A9" s="104"/>
      <c r="B9" s="81" t="s">
        <v>143</v>
      </c>
      <c r="C9" s="87"/>
      <c r="D9" s="60"/>
      <c r="E9" s="60"/>
      <c r="F9" s="60"/>
      <c r="G9" s="82"/>
      <c r="H9" s="104"/>
      <c r="I9" s="81"/>
      <c r="J9" s="61"/>
      <c r="K9" s="60"/>
      <c r="L9" s="60"/>
      <c r="M9" s="60"/>
      <c r="N9" s="73"/>
    </row>
    <row r="10" spans="1:14">
      <c r="A10" s="104"/>
      <c r="B10" s="81" t="s">
        <v>131</v>
      </c>
      <c r="C10" s="87"/>
      <c r="D10" s="60"/>
      <c r="E10" s="60"/>
      <c r="F10" s="60"/>
      <c r="G10" s="82"/>
      <c r="H10" s="104"/>
      <c r="I10" s="81"/>
      <c r="J10" s="61"/>
      <c r="K10" s="60"/>
      <c r="L10" s="60"/>
      <c r="M10" s="60"/>
      <c r="N10" s="73"/>
    </row>
    <row r="11" spans="1:14">
      <c r="A11" s="104" t="s">
        <v>149</v>
      </c>
      <c r="B11" s="81" t="s">
        <v>132</v>
      </c>
      <c r="C11" s="87"/>
      <c r="D11" s="60"/>
      <c r="E11" s="60"/>
      <c r="F11" s="60"/>
      <c r="G11" s="82"/>
      <c r="H11" s="104"/>
      <c r="I11" s="81"/>
      <c r="J11" s="61"/>
      <c r="K11" s="60"/>
      <c r="L11" s="60"/>
      <c r="M11" s="60"/>
      <c r="N11" s="73"/>
    </row>
    <row r="12" spans="1:14">
      <c r="A12" s="104"/>
      <c r="B12" s="81">
        <v>10</v>
      </c>
      <c r="C12" s="87"/>
      <c r="D12" s="60"/>
      <c r="E12" s="60"/>
      <c r="F12" s="60"/>
      <c r="G12" s="82"/>
      <c r="H12" s="104"/>
      <c r="I12" s="81"/>
      <c r="J12" s="61"/>
      <c r="K12" s="60"/>
      <c r="L12" s="60"/>
      <c r="M12" s="60"/>
      <c r="N12" s="73"/>
    </row>
    <row r="13" spans="1:14">
      <c r="A13" s="104"/>
      <c r="B13" s="81">
        <v>5</v>
      </c>
      <c r="C13" s="87"/>
      <c r="D13" s="60"/>
      <c r="E13" s="60"/>
      <c r="F13" s="60"/>
      <c r="G13" s="82"/>
      <c r="H13" s="104" t="s">
        <v>133</v>
      </c>
      <c r="I13" s="81" t="s">
        <v>146</v>
      </c>
      <c r="J13" s="61"/>
      <c r="K13" s="60"/>
      <c r="L13" s="60"/>
      <c r="M13" s="60"/>
      <c r="N13" s="73"/>
    </row>
    <row r="14" spans="1:14">
      <c r="A14" s="104" t="s">
        <v>133</v>
      </c>
      <c r="B14" s="81" t="s">
        <v>147</v>
      </c>
      <c r="C14" s="87"/>
      <c r="D14" s="60"/>
      <c r="E14" s="60"/>
      <c r="F14" s="60"/>
      <c r="G14" s="82"/>
      <c r="H14" s="104"/>
      <c r="I14" s="81" t="s">
        <v>144</v>
      </c>
      <c r="J14" s="61"/>
      <c r="K14" s="60"/>
      <c r="L14" s="60"/>
      <c r="M14" s="60"/>
      <c r="N14" s="73"/>
    </row>
    <row r="15" spans="1:14" ht="15.75" thickBot="1">
      <c r="A15" s="104"/>
      <c r="B15" s="81" t="s">
        <v>146</v>
      </c>
      <c r="C15" s="87"/>
      <c r="D15" s="60"/>
      <c r="E15" s="60"/>
      <c r="F15" s="60"/>
      <c r="G15" s="82"/>
      <c r="H15" s="105"/>
      <c r="I15" s="91" t="s">
        <v>145</v>
      </c>
      <c r="J15" s="108"/>
      <c r="K15" s="102"/>
      <c r="L15" s="102"/>
      <c r="M15" s="102"/>
      <c r="N15" s="98"/>
    </row>
    <row r="16" spans="1:14" ht="15.75" thickBot="1">
      <c r="A16" s="104"/>
      <c r="B16" s="81" t="s">
        <v>144</v>
      </c>
      <c r="C16" s="87"/>
      <c r="D16" s="60"/>
      <c r="E16" s="60"/>
      <c r="F16" s="60"/>
      <c r="G16" s="82"/>
      <c r="H16" s="62"/>
      <c r="I16" s="89"/>
      <c r="J16" s="117"/>
      <c r="K16" s="88"/>
      <c r="L16" s="88"/>
      <c r="M16" s="88"/>
      <c r="N16" s="89"/>
    </row>
    <row r="17" spans="1:14">
      <c r="A17" s="104"/>
      <c r="B17" s="81" t="s">
        <v>145</v>
      </c>
      <c r="C17" s="87"/>
      <c r="D17" s="60"/>
      <c r="E17" s="60"/>
      <c r="F17" s="60"/>
      <c r="G17" s="82"/>
      <c r="H17" s="106"/>
      <c r="I17" s="86"/>
      <c r="J17" s="63" t="s">
        <v>140</v>
      </c>
      <c r="K17" s="64"/>
      <c r="L17" s="64"/>
      <c r="M17" s="64"/>
      <c r="N17" s="86"/>
    </row>
    <row r="18" spans="1:14" ht="15.75" thickBot="1">
      <c r="A18" s="104" t="s">
        <v>134</v>
      </c>
      <c r="B18" s="81" t="s">
        <v>143</v>
      </c>
      <c r="C18" s="87"/>
      <c r="D18" s="60"/>
      <c r="E18" s="60"/>
      <c r="F18" s="60"/>
      <c r="G18" s="82"/>
      <c r="H18" s="105" t="s">
        <v>133</v>
      </c>
      <c r="I18" s="91" t="s">
        <v>147</v>
      </c>
      <c r="J18" s="90"/>
      <c r="K18" s="102"/>
      <c r="L18" s="102"/>
      <c r="M18" s="102"/>
      <c r="N18" s="98"/>
    </row>
    <row r="19" spans="1:14" ht="15.75" thickBot="1">
      <c r="A19" s="94"/>
      <c r="B19" s="51"/>
      <c r="C19" s="49"/>
      <c r="D19" s="50"/>
      <c r="E19" s="50"/>
      <c r="F19" s="50"/>
      <c r="G19" s="83"/>
      <c r="H19" s="62"/>
      <c r="I19" s="120"/>
      <c r="J19" s="118"/>
      <c r="K19" s="111"/>
      <c r="L19" s="111"/>
      <c r="M19" s="111"/>
      <c r="N19" s="112"/>
    </row>
    <row r="20" spans="1:14" ht="13.5" customHeight="1">
      <c r="A20" s="93"/>
      <c r="B20" s="72"/>
      <c r="C20" s="71" t="s">
        <v>135</v>
      </c>
      <c r="D20" s="66"/>
      <c r="E20" s="66"/>
      <c r="F20" s="66"/>
      <c r="G20" s="84"/>
      <c r="H20" s="109"/>
      <c r="I20" s="121"/>
      <c r="J20" s="79" t="s">
        <v>141</v>
      </c>
      <c r="K20" s="66"/>
      <c r="L20" s="66"/>
      <c r="M20" s="66"/>
      <c r="N20" s="72"/>
    </row>
    <row r="21" spans="1:14" ht="16.5" customHeight="1" thickBot="1">
      <c r="A21" s="94"/>
      <c r="B21" s="51"/>
      <c r="C21" s="97" t="s">
        <v>136</v>
      </c>
      <c r="D21" s="102"/>
      <c r="E21" s="102"/>
      <c r="F21" s="102"/>
      <c r="G21" s="114"/>
      <c r="H21" s="110" t="s">
        <v>133</v>
      </c>
      <c r="I21" s="122" t="s">
        <v>147</v>
      </c>
      <c r="J21" s="80"/>
      <c r="K21" s="50"/>
      <c r="L21" s="50"/>
      <c r="M21" s="50"/>
      <c r="N21" s="51"/>
    </row>
    <row r="22" spans="1:14" ht="15.75" thickBot="1">
      <c r="A22" s="103" t="s">
        <v>127</v>
      </c>
      <c r="B22" s="95" t="s">
        <v>128</v>
      </c>
      <c r="C22" s="65"/>
      <c r="D22" s="66"/>
      <c r="E22" s="66"/>
      <c r="F22" s="66"/>
      <c r="G22" s="84"/>
      <c r="H22" s="62"/>
      <c r="I22" s="123"/>
      <c r="J22" s="119"/>
      <c r="K22" s="113"/>
      <c r="L22" s="113"/>
      <c r="M22" s="113"/>
      <c r="N22" s="100"/>
    </row>
    <row r="23" spans="1:14">
      <c r="A23" s="104"/>
      <c r="B23" s="101" t="s">
        <v>143</v>
      </c>
      <c r="C23" s="87"/>
      <c r="D23" s="60"/>
      <c r="E23" s="60"/>
      <c r="F23" s="60"/>
      <c r="G23" s="82"/>
      <c r="H23" s="103"/>
      <c r="I23" s="76"/>
      <c r="J23" s="63" t="s">
        <v>142</v>
      </c>
      <c r="K23" s="64"/>
      <c r="L23" s="64"/>
      <c r="M23" s="64"/>
      <c r="N23" s="86"/>
    </row>
    <row r="24" spans="1:14" ht="15.75" thickBot="1">
      <c r="A24" s="104"/>
      <c r="B24" s="101" t="s">
        <v>129</v>
      </c>
      <c r="C24" s="87"/>
      <c r="D24" s="60"/>
      <c r="E24" s="60"/>
      <c r="F24" s="60"/>
      <c r="G24" s="82"/>
      <c r="H24" s="105" t="s">
        <v>133</v>
      </c>
      <c r="I24" s="91" t="s">
        <v>147</v>
      </c>
      <c r="J24" s="108"/>
      <c r="K24" s="102"/>
      <c r="L24" s="102"/>
      <c r="M24" s="102"/>
      <c r="N24" s="98"/>
    </row>
    <row r="25" spans="1:14" ht="15.75" thickBot="1">
      <c r="A25" s="104" t="s">
        <v>130</v>
      </c>
      <c r="B25" s="101" t="s">
        <v>128</v>
      </c>
      <c r="C25" s="87"/>
      <c r="D25" s="60"/>
      <c r="E25" s="60"/>
      <c r="F25" s="60"/>
      <c r="G25" s="82"/>
      <c r="H25" s="125"/>
      <c r="I25" s="89"/>
      <c r="J25" s="117"/>
      <c r="K25" s="88"/>
      <c r="L25" s="88"/>
      <c r="M25" s="88"/>
      <c r="N25" s="89"/>
    </row>
    <row r="26" spans="1:14">
      <c r="A26" s="104"/>
      <c r="B26" s="101" t="s">
        <v>148</v>
      </c>
      <c r="C26" s="87"/>
      <c r="D26" s="60"/>
      <c r="E26" s="60"/>
      <c r="F26" s="60"/>
      <c r="G26" s="82"/>
      <c r="H26" s="99"/>
      <c r="I26" s="86"/>
      <c r="J26" s="126" t="s">
        <v>140</v>
      </c>
      <c r="K26" s="64"/>
      <c r="L26" s="64"/>
      <c r="M26" s="64"/>
      <c r="N26" s="64"/>
    </row>
    <row r="27" spans="1:14" ht="15.75" thickBot="1">
      <c r="A27" s="104"/>
      <c r="B27" s="101" t="s">
        <v>143</v>
      </c>
      <c r="C27" s="87"/>
      <c r="D27" s="60"/>
      <c r="E27" s="60"/>
      <c r="F27" s="60"/>
      <c r="G27" s="82"/>
      <c r="H27" s="105" t="s">
        <v>127</v>
      </c>
      <c r="I27" s="91" t="s">
        <v>150</v>
      </c>
      <c r="J27" s="108"/>
      <c r="K27" s="102"/>
      <c r="L27" s="102"/>
      <c r="M27" s="102"/>
      <c r="N27" s="102"/>
    </row>
    <row r="28" spans="1:14" ht="15.75" thickBot="1">
      <c r="A28" s="104"/>
      <c r="B28" s="101" t="s">
        <v>131</v>
      </c>
      <c r="C28" s="87"/>
      <c r="D28" s="60"/>
      <c r="E28" s="60"/>
      <c r="F28" s="60"/>
      <c r="G28" s="82"/>
      <c r="H28" s="125"/>
      <c r="I28" s="89"/>
      <c r="J28" s="117"/>
      <c r="K28" s="88"/>
      <c r="L28" s="88"/>
      <c r="M28" s="88"/>
      <c r="N28" s="89"/>
    </row>
    <row r="29" spans="1:14">
      <c r="A29" s="104"/>
      <c r="B29" s="101" t="s">
        <v>132</v>
      </c>
      <c r="C29" s="87"/>
      <c r="D29" s="60"/>
      <c r="E29" s="60"/>
      <c r="F29" s="60"/>
      <c r="G29" s="82"/>
      <c r="H29" s="65"/>
      <c r="I29" s="72"/>
      <c r="J29" s="71" t="s">
        <v>118</v>
      </c>
      <c r="K29" s="66"/>
      <c r="L29" s="66"/>
      <c r="M29" s="66"/>
      <c r="N29" s="72"/>
    </row>
    <row r="30" spans="1:14">
      <c r="A30" s="104"/>
      <c r="B30" s="101">
        <v>10</v>
      </c>
      <c r="C30" s="87"/>
      <c r="D30" s="60"/>
      <c r="E30" s="60"/>
      <c r="F30" s="60"/>
      <c r="G30" s="82"/>
      <c r="H30" s="104" t="s">
        <v>133</v>
      </c>
      <c r="I30" s="81" t="s">
        <v>144</v>
      </c>
      <c r="J30" s="87"/>
      <c r="K30" s="60"/>
      <c r="L30" s="60"/>
      <c r="M30" s="60"/>
      <c r="N30" s="73"/>
    </row>
    <row r="31" spans="1:14" ht="15.75" thickBot="1">
      <c r="A31" s="104"/>
      <c r="B31" s="101">
        <v>5</v>
      </c>
      <c r="C31" s="87"/>
      <c r="D31" s="60"/>
      <c r="E31" s="60"/>
      <c r="F31" s="60"/>
      <c r="G31" s="82"/>
      <c r="H31" s="105"/>
      <c r="I31" s="91" t="s">
        <v>145</v>
      </c>
      <c r="J31" s="127"/>
      <c r="K31" s="102"/>
      <c r="L31" s="102"/>
      <c r="M31" s="102"/>
      <c r="N31" s="98"/>
    </row>
    <row r="32" spans="1:14" ht="15.75" thickBot="1">
      <c r="A32" s="104" t="s">
        <v>133</v>
      </c>
      <c r="B32" s="101" t="s">
        <v>147</v>
      </c>
      <c r="C32" s="87"/>
      <c r="D32" s="60"/>
      <c r="E32" s="60"/>
      <c r="F32" s="60"/>
      <c r="G32" s="82"/>
      <c r="H32" s="125"/>
      <c r="I32" s="89"/>
      <c r="J32" s="125"/>
      <c r="K32" s="88"/>
      <c r="L32" s="88"/>
      <c r="M32" s="88"/>
      <c r="N32" s="89"/>
    </row>
    <row r="33" spans="1:14">
      <c r="A33" s="104"/>
      <c r="B33" s="101" t="s">
        <v>146</v>
      </c>
      <c r="C33" s="87"/>
      <c r="D33" s="60"/>
      <c r="E33" s="60"/>
      <c r="F33" s="60"/>
      <c r="G33" s="82"/>
      <c r="H33" s="99"/>
      <c r="I33" s="86"/>
      <c r="J33" s="99"/>
      <c r="K33" s="64"/>
      <c r="L33" s="64"/>
      <c r="M33" s="64"/>
      <c r="N33" s="86"/>
    </row>
    <row r="34" spans="1:14" ht="15.75" thickBot="1">
      <c r="A34" s="104"/>
      <c r="B34" s="101" t="s">
        <v>144</v>
      </c>
      <c r="C34" s="87"/>
      <c r="D34" s="60"/>
      <c r="E34" s="60"/>
      <c r="F34" s="60"/>
      <c r="G34" s="82"/>
      <c r="H34" s="87"/>
      <c r="I34" s="73"/>
      <c r="J34" s="49"/>
      <c r="K34" s="50"/>
      <c r="L34" s="50"/>
      <c r="M34" s="50"/>
      <c r="N34" s="51"/>
    </row>
    <row r="35" spans="1:14">
      <c r="A35" s="104"/>
      <c r="B35" s="101" t="s">
        <v>145</v>
      </c>
      <c r="C35" s="87"/>
      <c r="D35" s="60"/>
      <c r="E35" s="60"/>
      <c r="F35" s="60"/>
      <c r="G35" s="82"/>
      <c r="H35" s="87"/>
      <c r="I35" s="73"/>
    </row>
    <row r="36" spans="1:14" ht="15.75" thickBot="1">
      <c r="A36" s="107" t="s">
        <v>134</v>
      </c>
      <c r="B36" s="96" t="s">
        <v>143</v>
      </c>
      <c r="C36" s="49"/>
      <c r="D36" s="50"/>
      <c r="E36" s="50"/>
      <c r="F36" s="50"/>
      <c r="G36" s="83"/>
      <c r="H36" s="49"/>
      <c r="I36" s="51"/>
    </row>
  </sheetData>
  <mergeCells count="1">
    <mergeCell ref="A1:I1"/>
  </mergeCells>
  <pageMargins left="0.7" right="0.28000000000000003" top="0.4" bottom="0.67" header="0.3" footer="0.3"/>
  <pageSetup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L16" sqref="L16"/>
    </sheetView>
  </sheetViews>
  <sheetFormatPr defaultRowHeight="15"/>
  <cols>
    <col min="1" max="1" width="7.85546875" customWidth="1"/>
    <col min="2" max="2" width="35.140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7" ht="15.75" thickBot="1">
      <c r="A1" s="128"/>
      <c r="B1" s="128"/>
      <c r="C1" s="128"/>
      <c r="D1" s="128"/>
      <c r="E1" s="128"/>
    </row>
    <row r="2" spans="1:7">
      <c r="A2" s="2"/>
      <c r="B2" s="3"/>
      <c r="C2" s="2"/>
      <c r="D2" s="4"/>
      <c r="E2" s="3"/>
    </row>
    <row r="3" spans="1:7" ht="15.75">
      <c r="A3" s="238" t="s">
        <v>1</v>
      </c>
      <c r="B3" s="239"/>
      <c r="C3" s="240" t="s">
        <v>154</v>
      </c>
      <c r="D3" s="241"/>
      <c r="E3" s="242"/>
    </row>
    <row r="4" spans="1:7" ht="15.75" thickBot="1">
      <c r="A4" s="243" t="s">
        <v>2</v>
      </c>
      <c r="B4" s="244"/>
      <c r="C4" s="245" t="s">
        <v>155</v>
      </c>
      <c r="D4" s="246"/>
      <c r="E4" s="247"/>
    </row>
    <row r="5" spans="1:7" ht="15.75" thickBot="1"/>
    <row r="6" spans="1:7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7" ht="15.75" thickBot="1"/>
    <row r="8" spans="1:7">
      <c r="A8" s="6">
        <v>1</v>
      </c>
      <c r="B8" s="7" t="s">
        <v>5</v>
      </c>
      <c r="C8" s="19"/>
      <c r="D8" s="19"/>
      <c r="E8" s="8"/>
    </row>
    <row r="9" spans="1:7">
      <c r="A9" s="9"/>
      <c r="B9" s="9" t="s">
        <v>156</v>
      </c>
      <c r="C9" s="43">
        <v>181460</v>
      </c>
      <c r="D9" s="20">
        <v>2.2000000000000002</v>
      </c>
      <c r="E9" s="24">
        <f>C9*D9</f>
        <v>399212.00000000006</v>
      </c>
    </row>
    <row r="10" spans="1:7">
      <c r="A10" s="9"/>
      <c r="B10" s="22"/>
      <c r="C10" s="9"/>
      <c r="D10" s="9"/>
      <c r="E10" s="10"/>
    </row>
    <row r="11" spans="1:7">
      <c r="A11" s="11"/>
      <c r="B11" s="9"/>
      <c r="C11" s="20"/>
      <c r="D11" s="20"/>
      <c r="E11" s="12"/>
    </row>
    <row r="12" spans="1:7">
      <c r="A12" s="9"/>
      <c r="B12" s="9"/>
      <c r="C12" s="9"/>
      <c r="D12" s="9"/>
      <c r="E12" s="10"/>
    </row>
    <row r="13" spans="1:7">
      <c r="A13" s="9"/>
      <c r="B13" s="9"/>
      <c r="C13" s="9"/>
      <c r="D13" s="9"/>
      <c r="E13" s="10"/>
    </row>
    <row r="14" spans="1:7">
      <c r="A14" s="9"/>
      <c r="B14" s="9"/>
      <c r="C14" s="9"/>
      <c r="D14" s="9"/>
      <c r="E14" s="10"/>
    </row>
    <row r="15" spans="1:7" ht="15.75" thickBot="1">
      <c r="A15" s="9"/>
      <c r="B15" s="9"/>
      <c r="C15" s="13"/>
      <c r="D15" s="13"/>
      <c r="E15" s="14"/>
    </row>
    <row r="16" spans="1:7">
      <c r="A16" s="9"/>
      <c r="B16" s="9"/>
      <c r="C16" s="130">
        <f>C9</f>
        <v>181460</v>
      </c>
      <c r="D16" s="9"/>
      <c r="E16" s="129">
        <f>SUM(E8:E11)</f>
        <v>399212.00000000006</v>
      </c>
      <c r="G16" s="124"/>
    </row>
    <row r="17" spans="1:5">
      <c r="A17" s="9"/>
      <c r="B17" s="9"/>
      <c r="C17" s="9"/>
      <c r="D17" s="9"/>
      <c r="E17" s="10"/>
    </row>
    <row r="18" spans="1:5">
      <c r="A18" s="9"/>
      <c r="B18" s="9"/>
      <c r="C18" s="9"/>
      <c r="D18" s="9"/>
      <c r="E18" s="10"/>
    </row>
    <row r="19" spans="1:5">
      <c r="A19" s="9"/>
      <c r="B19" s="9" t="s">
        <v>151</v>
      </c>
      <c r="C19" s="9"/>
      <c r="D19" s="9"/>
      <c r="E19" s="131">
        <f>E16*15%</f>
        <v>59881.8</v>
      </c>
    </row>
    <row r="20" spans="1:5">
      <c r="A20" s="9"/>
      <c r="B20" s="9"/>
      <c r="C20" s="9"/>
      <c r="D20" s="9"/>
      <c r="E20" s="10"/>
    </row>
    <row r="21" spans="1:5">
      <c r="A21" s="9"/>
      <c r="B21" s="9"/>
      <c r="C21" s="11" t="s">
        <v>7</v>
      </c>
      <c r="D21" s="9"/>
      <c r="E21" s="129">
        <v>0.2</v>
      </c>
    </row>
    <row r="22" spans="1:5">
      <c r="A22" s="9"/>
      <c r="B22" s="9"/>
      <c r="C22" s="9"/>
      <c r="D22" s="9"/>
      <c r="E22" s="133"/>
    </row>
    <row r="23" spans="1:5" ht="15.75" thickBot="1">
      <c r="A23" s="9"/>
      <c r="B23" s="9"/>
      <c r="C23" s="9"/>
      <c r="D23" s="9"/>
      <c r="E23" s="10"/>
    </row>
    <row r="24" spans="1:5" ht="15.75" thickBot="1">
      <c r="A24" s="13"/>
      <c r="B24" s="13"/>
      <c r="C24" s="16" t="s">
        <v>8</v>
      </c>
      <c r="D24" s="13"/>
      <c r="E24" s="17">
        <f>E16+E19+E21</f>
        <v>459094.00000000006</v>
      </c>
    </row>
    <row r="26" spans="1:5">
      <c r="A26" t="s">
        <v>13</v>
      </c>
      <c r="B26" t="str">
        <f>[1]!rswords(E24)</f>
        <v>Rupees Four Lakh(s) Fifty Nine Thousand Ninety Four Only</v>
      </c>
    </row>
    <row r="28" spans="1:5">
      <c r="A28" s="18" t="s">
        <v>9</v>
      </c>
      <c r="B28" s="18" t="s">
        <v>10</v>
      </c>
      <c r="C28" s="18"/>
      <c r="D28" s="237" t="s">
        <v>11</v>
      </c>
      <c r="E28" s="237"/>
    </row>
    <row r="29" spans="1:5">
      <c r="A29" s="18" t="s">
        <v>12</v>
      </c>
      <c r="B29" s="18"/>
      <c r="C29" s="18"/>
      <c r="D29" s="18"/>
      <c r="E29" s="18"/>
    </row>
  </sheetData>
  <mergeCells count="5">
    <mergeCell ref="A3:B3"/>
    <mergeCell ref="C3:E3"/>
    <mergeCell ref="A4:B4"/>
    <mergeCell ref="C4:E4"/>
    <mergeCell ref="D28:E28"/>
  </mergeCells>
  <pageMargins left="1" right="0.4" top="2.3199999999999998" bottom="0.75" header="0.45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"/>
  <sheetViews>
    <sheetView topLeftCell="A10" workbookViewId="0">
      <selection activeCell="I16" sqref="I16"/>
    </sheetView>
  </sheetViews>
  <sheetFormatPr defaultRowHeight="15"/>
  <cols>
    <col min="1" max="1" width="7.85546875" customWidth="1"/>
    <col min="2" max="2" width="35.140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7" ht="15.75" thickBot="1">
      <c r="A1" s="132"/>
      <c r="B1" s="132"/>
      <c r="C1" s="132"/>
      <c r="D1" s="132"/>
      <c r="E1" s="132"/>
    </row>
    <row r="2" spans="1:7">
      <c r="A2" s="2"/>
      <c r="B2" s="3"/>
      <c r="C2" s="2"/>
      <c r="D2" s="4"/>
      <c r="E2" s="3"/>
    </row>
    <row r="3" spans="1:7" ht="15.75">
      <c r="A3" s="238" t="s">
        <v>1</v>
      </c>
      <c r="B3" s="239"/>
      <c r="C3" s="240" t="s">
        <v>157</v>
      </c>
      <c r="D3" s="241"/>
      <c r="E3" s="242"/>
    </row>
    <row r="4" spans="1:7" ht="15.75" thickBot="1">
      <c r="A4" s="243" t="s">
        <v>2</v>
      </c>
      <c r="B4" s="244"/>
      <c r="C4" s="245" t="s">
        <v>158</v>
      </c>
      <c r="D4" s="246"/>
      <c r="E4" s="247"/>
    </row>
    <row r="5" spans="1:7" ht="15.75" thickBot="1"/>
    <row r="6" spans="1:7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7" ht="15.75" thickBot="1"/>
    <row r="8" spans="1:7">
      <c r="A8" s="6">
        <v>1</v>
      </c>
      <c r="B8" s="7" t="s">
        <v>5</v>
      </c>
      <c r="C8" s="19"/>
      <c r="D8" s="19"/>
      <c r="E8" s="8"/>
    </row>
    <row r="9" spans="1:7">
      <c r="A9" s="9"/>
      <c r="B9" s="9" t="s">
        <v>159</v>
      </c>
      <c r="C9" s="43">
        <v>178236</v>
      </c>
      <c r="D9" s="20">
        <v>2.2000000000000002</v>
      </c>
      <c r="E9" s="24">
        <f>C9*D9</f>
        <v>392119.2</v>
      </c>
    </row>
    <row r="10" spans="1:7">
      <c r="A10" s="9"/>
      <c r="B10" s="22"/>
      <c r="C10" s="9"/>
      <c r="D10" s="9"/>
      <c r="E10" s="10"/>
    </row>
    <row r="11" spans="1:7">
      <c r="A11" s="11"/>
      <c r="B11" s="9"/>
      <c r="C11" s="20"/>
      <c r="D11" s="20"/>
      <c r="E11" s="12"/>
    </row>
    <row r="12" spans="1:7">
      <c r="A12" s="9"/>
      <c r="B12" s="9"/>
      <c r="C12" s="9"/>
      <c r="D12" s="9"/>
      <c r="E12" s="10"/>
    </row>
    <row r="13" spans="1:7">
      <c r="A13" s="9"/>
      <c r="B13" s="9"/>
      <c r="C13" s="9"/>
      <c r="D13" s="9"/>
      <c r="E13" s="10"/>
    </row>
    <row r="14" spans="1:7">
      <c r="A14" s="9"/>
      <c r="B14" s="9"/>
      <c r="C14" s="9"/>
      <c r="D14" s="9"/>
      <c r="E14" s="10"/>
    </row>
    <row r="15" spans="1:7" ht="15.75" thickBot="1">
      <c r="A15" s="9"/>
      <c r="B15" s="9"/>
      <c r="C15" s="13"/>
      <c r="D15" s="13"/>
      <c r="E15" s="14"/>
    </row>
    <row r="16" spans="1:7">
      <c r="A16" s="9"/>
      <c r="B16" s="9"/>
      <c r="C16" s="130">
        <f>C9</f>
        <v>178236</v>
      </c>
      <c r="D16" s="9"/>
      <c r="E16" s="129">
        <f>SUM(E8:E11)</f>
        <v>392119.2</v>
      </c>
      <c r="G16" s="124"/>
    </row>
    <row r="17" spans="1:5">
      <c r="A17" s="9"/>
      <c r="B17" s="9"/>
      <c r="C17" s="9"/>
      <c r="D17" s="9"/>
      <c r="E17" s="10"/>
    </row>
    <row r="18" spans="1:5">
      <c r="A18" s="9"/>
      <c r="B18" s="9"/>
      <c r="C18" s="9"/>
      <c r="D18" s="9"/>
      <c r="E18" s="10"/>
    </row>
    <row r="19" spans="1:5">
      <c r="A19" s="9"/>
      <c r="B19" s="9" t="s">
        <v>151</v>
      </c>
      <c r="C19" s="9"/>
      <c r="D19" s="9"/>
      <c r="E19" s="131">
        <f>E16*15%</f>
        <v>58817.88</v>
      </c>
    </row>
    <row r="20" spans="1:5">
      <c r="A20" s="9"/>
      <c r="B20" s="9"/>
      <c r="C20" s="9"/>
      <c r="D20" s="9"/>
      <c r="E20" s="10"/>
    </row>
    <row r="21" spans="1:5">
      <c r="A21" s="9"/>
      <c r="B21" s="9"/>
      <c r="C21" s="11" t="s">
        <v>7</v>
      </c>
      <c r="D21" s="9"/>
      <c r="E21" s="9">
        <v>-0.08</v>
      </c>
    </row>
    <row r="22" spans="1:5">
      <c r="A22" s="9"/>
      <c r="B22" s="9"/>
      <c r="C22" s="9"/>
      <c r="D22" s="9"/>
      <c r="E22" s="9"/>
    </row>
    <row r="23" spans="1:5" ht="15.75" thickBot="1">
      <c r="A23" s="9"/>
      <c r="B23" s="9"/>
      <c r="C23" s="9"/>
      <c r="D23" s="9"/>
      <c r="E23" s="9"/>
    </row>
    <row r="24" spans="1:5" ht="15.75" thickBot="1">
      <c r="A24" s="13"/>
      <c r="B24" s="13"/>
      <c r="C24" s="16" t="s">
        <v>8</v>
      </c>
      <c r="D24" s="13"/>
      <c r="E24" s="17">
        <f>E16+E19+E21</f>
        <v>450937</v>
      </c>
    </row>
    <row r="26" spans="1:5">
      <c r="A26" t="s">
        <v>13</v>
      </c>
      <c r="B26" t="str">
        <f>[1]!rswords(E24)</f>
        <v>Rupees Four Lakh(s) Fifty Thousand Nine Hundred Thirty Seven Only</v>
      </c>
    </row>
    <row r="28" spans="1:5">
      <c r="A28" s="18" t="s">
        <v>9</v>
      </c>
      <c r="B28" s="18" t="s">
        <v>10</v>
      </c>
      <c r="C28" s="18"/>
      <c r="D28" s="237" t="s">
        <v>11</v>
      </c>
      <c r="E28" s="237"/>
    </row>
    <row r="29" spans="1:5">
      <c r="A29" s="18" t="s">
        <v>12</v>
      </c>
      <c r="B29" s="18"/>
      <c r="C29" s="18"/>
      <c r="D29" s="18"/>
      <c r="E29" s="18"/>
    </row>
  </sheetData>
  <mergeCells count="5">
    <mergeCell ref="A3:B3"/>
    <mergeCell ref="C3:E3"/>
    <mergeCell ref="A4:B4"/>
    <mergeCell ref="C4:E4"/>
    <mergeCell ref="D28:E28"/>
  </mergeCells>
  <pageMargins left="1" right="0.4" top="2.3199999999999998" bottom="0.75" header="0.45" footer="0.3"/>
  <pageSetup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E22" sqref="E22"/>
    </sheetView>
  </sheetViews>
  <sheetFormatPr defaultRowHeight="15"/>
  <cols>
    <col min="1" max="1" width="7.85546875" customWidth="1"/>
    <col min="2" max="2" width="35.140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7" ht="15.75" thickBot="1">
      <c r="A1" s="134"/>
      <c r="B1" s="134"/>
      <c r="C1" s="134"/>
      <c r="D1" s="134"/>
      <c r="E1" s="134"/>
    </row>
    <row r="2" spans="1:7">
      <c r="A2" s="2"/>
      <c r="B2" s="3"/>
      <c r="C2" s="2"/>
      <c r="D2" s="4"/>
      <c r="E2" s="3"/>
    </row>
    <row r="3" spans="1:7" ht="15.75">
      <c r="A3" s="238" t="s">
        <v>1</v>
      </c>
      <c r="B3" s="239"/>
      <c r="C3" s="240" t="s">
        <v>160</v>
      </c>
      <c r="D3" s="241"/>
      <c r="E3" s="242"/>
    </row>
    <row r="4" spans="1:7" ht="15.75" thickBot="1">
      <c r="A4" s="243" t="s">
        <v>2</v>
      </c>
      <c r="B4" s="244"/>
      <c r="C4" s="245" t="s">
        <v>161</v>
      </c>
      <c r="D4" s="246"/>
      <c r="E4" s="247"/>
    </row>
    <row r="5" spans="1:7" ht="15.75" thickBot="1"/>
    <row r="6" spans="1:7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7" ht="15.75" thickBot="1"/>
    <row r="8" spans="1:7">
      <c r="A8" s="6">
        <v>1</v>
      </c>
      <c r="B8" s="7" t="s">
        <v>5</v>
      </c>
      <c r="C8" s="19"/>
      <c r="D8" s="19"/>
      <c r="E8" s="8"/>
    </row>
    <row r="9" spans="1:7">
      <c r="A9" s="9"/>
      <c r="B9" s="9" t="s">
        <v>162</v>
      </c>
      <c r="C9" s="43">
        <v>172896</v>
      </c>
      <c r="D9" s="20">
        <v>2.2000000000000002</v>
      </c>
      <c r="E9" s="24">
        <f>C9*D9</f>
        <v>380371.20000000001</v>
      </c>
    </row>
    <row r="10" spans="1:7">
      <c r="A10" s="9"/>
      <c r="B10" s="22"/>
      <c r="C10" s="9"/>
      <c r="D10" s="9"/>
      <c r="E10" s="10"/>
    </row>
    <row r="11" spans="1:7">
      <c r="A11" s="11"/>
      <c r="B11" s="9"/>
      <c r="C11" s="20"/>
      <c r="D11" s="20"/>
      <c r="E11" s="12"/>
    </row>
    <row r="12" spans="1:7">
      <c r="A12" s="9"/>
      <c r="B12" s="9"/>
      <c r="C12" s="9"/>
      <c r="D12" s="9"/>
      <c r="E12" s="10"/>
    </row>
    <row r="13" spans="1:7">
      <c r="A13" s="9"/>
      <c r="B13" s="9"/>
      <c r="C13" s="9"/>
      <c r="D13" s="9"/>
      <c r="E13" s="10"/>
    </row>
    <row r="14" spans="1:7">
      <c r="A14" s="9"/>
      <c r="B14" s="9"/>
      <c r="C14" s="9"/>
      <c r="D14" s="9"/>
      <c r="E14" s="10"/>
    </row>
    <row r="15" spans="1:7" ht="15.75" thickBot="1">
      <c r="A15" s="9"/>
      <c r="B15" s="9"/>
      <c r="C15" s="13"/>
      <c r="D15" s="13"/>
      <c r="E15" s="14"/>
    </row>
    <row r="16" spans="1:7">
      <c r="A16" s="9"/>
      <c r="B16" s="9"/>
      <c r="C16" s="130">
        <f>C9</f>
        <v>172896</v>
      </c>
      <c r="D16" s="9"/>
      <c r="E16" s="129">
        <f>SUM(E8:E11)</f>
        <v>380371.20000000001</v>
      </c>
      <c r="G16" s="124"/>
    </row>
    <row r="17" spans="1:5">
      <c r="A17" s="9"/>
      <c r="B17" s="9"/>
      <c r="C17" s="9"/>
      <c r="D17" s="9"/>
      <c r="E17" s="10"/>
    </row>
    <row r="18" spans="1:5">
      <c r="A18" s="9"/>
      <c r="B18" s="9"/>
      <c r="C18" s="9"/>
      <c r="D18" s="9"/>
      <c r="E18" s="10"/>
    </row>
    <row r="19" spans="1:5">
      <c r="A19" s="9"/>
      <c r="B19" s="9" t="s">
        <v>151</v>
      </c>
      <c r="C19" s="9"/>
      <c r="D19" s="9"/>
      <c r="E19" s="131">
        <f>E16*15%</f>
        <v>57055.68</v>
      </c>
    </row>
    <row r="20" spans="1:5">
      <c r="A20" s="9"/>
      <c r="B20" s="9"/>
      <c r="C20" s="9"/>
      <c r="D20" s="9"/>
      <c r="E20" s="10"/>
    </row>
    <row r="21" spans="1:5">
      <c r="A21" s="9"/>
      <c r="B21" s="9"/>
      <c r="C21" s="11" t="s">
        <v>7</v>
      </c>
      <c r="D21" s="9"/>
      <c r="E21" s="9">
        <v>0.12</v>
      </c>
    </row>
    <row r="22" spans="1:5">
      <c r="A22" s="9"/>
      <c r="B22" s="9"/>
      <c r="C22" s="9"/>
      <c r="D22" s="9"/>
      <c r="E22" s="9"/>
    </row>
    <row r="23" spans="1:5" ht="15.75" thickBot="1">
      <c r="A23" s="9"/>
      <c r="B23" s="9"/>
      <c r="C23" s="9"/>
      <c r="D23" s="9"/>
      <c r="E23" s="9"/>
    </row>
    <row r="24" spans="1:5" ht="15.75" thickBot="1">
      <c r="A24" s="13"/>
      <c r="B24" s="13"/>
      <c r="C24" s="16" t="s">
        <v>8</v>
      </c>
      <c r="D24" s="13"/>
      <c r="E24" s="17">
        <f>E16+E19+E21</f>
        <v>437427</v>
      </c>
    </row>
    <row r="26" spans="1:5">
      <c r="A26" t="s">
        <v>13</v>
      </c>
      <c r="B26" t="str">
        <f>[1]!rswords(E24)</f>
        <v>Rupees Four Lakh(s) Thirty Seven Thousand Four Hundred Twenty Seven Only</v>
      </c>
    </row>
    <row r="28" spans="1:5">
      <c r="A28" s="18" t="s">
        <v>9</v>
      </c>
      <c r="B28" s="18" t="s">
        <v>10</v>
      </c>
      <c r="C28" s="18"/>
      <c r="D28" s="237" t="s">
        <v>11</v>
      </c>
      <c r="E28" s="237"/>
    </row>
    <row r="29" spans="1:5">
      <c r="A29" s="18" t="s">
        <v>12</v>
      </c>
      <c r="B29" s="18"/>
      <c r="C29" s="18"/>
      <c r="D29" s="18"/>
      <c r="E29" s="18"/>
    </row>
  </sheetData>
  <mergeCells count="5">
    <mergeCell ref="A3:B3"/>
    <mergeCell ref="C3:E3"/>
    <mergeCell ref="A4:B4"/>
    <mergeCell ref="C4:E4"/>
    <mergeCell ref="D28:E28"/>
  </mergeCells>
  <pageMargins left="1" right="0.4" top="2.3199999999999998" bottom="0.75" header="0.45" footer="0.3"/>
  <pageSetup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H16" sqref="H16"/>
    </sheetView>
  </sheetViews>
  <sheetFormatPr defaultRowHeight="15"/>
  <cols>
    <col min="1" max="1" width="7.85546875" customWidth="1"/>
    <col min="2" max="2" width="35.140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7" ht="15.75" thickBot="1">
      <c r="A1" s="135"/>
      <c r="B1" s="135"/>
      <c r="C1" s="135"/>
      <c r="D1" s="135"/>
      <c r="E1" s="135"/>
    </row>
    <row r="2" spans="1:7">
      <c r="A2" s="2"/>
      <c r="B2" s="3"/>
      <c r="C2" s="2"/>
      <c r="D2" s="4"/>
      <c r="E2" s="3"/>
    </row>
    <row r="3" spans="1:7" ht="15.75">
      <c r="A3" s="238" t="s">
        <v>1</v>
      </c>
      <c r="B3" s="239"/>
      <c r="C3" s="240" t="s">
        <v>163</v>
      </c>
      <c r="D3" s="241"/>
      <c r="E3" s="242"/>
    </row>
    <row r="4" spans="1:7" ht="15.75" thickBot="1">
      <c r="A4" s="243" t="s">
        <v>2</v>
      </c>
      <c r="B4" s="244"/>
      <c r="C4" s="245" t="s">
        <v>164</v>
      </c>
      <c r="D4" s="246"/>
      <c r="E4" s="247"/>
    </row>
    <row r="5" spans="1:7" ht="15.75" thickBot="1"/>
    <row r="6" spans="1:7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7" ht="15.75" thickBot="1"/>
    <row r="8" spans="1:7">
      <c r="A8" s="6">
        <v>1</v>
      </c>
      <c r="B8" s="7" t="s">
        <v>5</v>
      </c>
      <c r="C8" s="19"/>
      <c r="D8" s="19"/>
      <c r="E8" s="8"/>
    </row>
    <row r="9" spans="1:7">
      <c r="A9" s="9"/>
      <c r="B9" s="9" t="s">
        <v>165</v>
      </c>
      <c r="C9" s="43">
        <v>189122</v>
      </c>
      <c r="D9" s="20">
        <v>2.2000000000000002</v>
      </c>
      <c r="E9" s="24">
        <f>C9*D9</f>
        <v>416068.4</v>
      </c>
    </row>
    <row r="10" spans="1:7">
      <c r="A10" s="9"/>
      <c r="B10" s="22"/>
      <c r="C10" s="9"/>
      <c r="D10" s="9"/>
      <c r="E10" s="10"/>
    </row>
    <row r="11" spans="1:7">
      <c r="A11" s="11"/>
      <c r="B11" s="9"/>
      <c r="C11" s="20"/>
      <c r="D11" s="20"/>
      <c r="E11" s="12"/>
    </row>
    <row r="12" spans="1:7">
      <c r="A12" s="9"/>
      <c r="B12" s="9"/>
      <c r="C12" s="9"/>
      <c r="D12" s="9"/>
      <c r="E12" s="10"/>
    </row>
    <row r="13" spans="1:7">
      <c r="A13" s="9"/>
      <c r="B13" s="9"/>
      <c r="C13" s="9"/>
      <c r="D13" s="9"/>
      <c r="E13" s="10"/>
    </row>
    <row r="14" spans="1:7">
      <c r="A14" s="9"/>
      <c r="B14" s="9"/>
      <c r="C14" s="9"/>
      <c r="D14" s="9"/>
      <c r="E14" s="10"/>
    </row>
    <row r="15" spans="1:7" ht="15.75" thickBot="1">
      <c r="A15" s="9"/>
      <c r="B15" s="9"/>
      <c r="C15" s="13"/>
      <c r="D15" s="13"/>
      <c r="E15" s="14"/>
    </row>
    <row r="16" spans="1:7">
      <c r="A16" s="9"/>
      <c r="B16" s="9"/>
      <c r="C16" s="130">
        <f>C9</f>
        <v>189122</v>
      </c>
      <c r="D16" s="9"/>
      <c r="E16" s="129">
        <f>SUM(E8:E11)</f>
        <v>416068.4</v>
      </c>
      <c r="G16" s="124"/>
    </row>
    <row r="17" spans="1:5">
      <c r="A17" s="9"/>
      <c r="B17" s="9"/>
      <c r="C17" s="9"/>
      <c r="D17" s="9"/>
      <c r="E17" s="10"/>
    </row>
    <row r="18" spans="1:5">
      <c r="A18" s="9"/>
      <c r="B18" s="9"/>
      <c r="C18" s="9"/>
      <c r="D18" s="9"/>
      <c r="E18" s="10"/>
    </row>
    <row r="19" spans="1:5">
      <c r="A19" s="9"/>
      <c r="B19" s="9" t="s">
        <v>151</v>
      </c>
      <c r="C19" s="9"/>
      <c r="D19" s="9"/>
      <c r="E19" s="131">
        <f>E16*15%</f>
        <v>62410.26</v>
      </c>
    </row>
    <row r="20" spans="1:5">
      <c r="A20" s="9"/>
      <c r="B20" s="9"/>
      <c r="C20" s="9"/>
      <c r="D20" s="9"/>
      <c r="E20" s="10"/>
    </row>
    <row r="21" spans="1:5">
      <c r="A21" s="9"/>
      <c r="B21" s="9"/>
      <c r="C21" s="11" t="s">
        <v>7</v>
      </c>
      <c r="D21" s="9"/>
      <c r="E21" s="9">
        <f>-0.66</f>
        <v>-0.66</v>
      </c>
    </row>
    <row r="22" spans="1:5">
      <c r="A22" s="9"/>
      <c r="B22" s="9"/>
      <c r="C22" s="9"/>
      <c r="D22" s="9"/>
      <c r="E22" s="9"/>
    </row>
    <row r="23" spans="1:5" ht="15.75" thickBot="1">
      <c r="A23" s="9"/>
      <c r="B23" s="9"/>
      <c r="C23" s="9"/>
      <c r="D23" s="9"/>
      <c r="E23" s="9"/>
    </row>
    <row r="24" spans="1:5" ht="15.75" thickBot="1">
      <c r="A24" s="13"/>
      <c r="B24" s="13"/>
      <c r="C24" s="16" t="s">
        <v>8</v>
      </c>
      <c r="D24" s="13"/>
      <c r="E24" s="17">
        <f>E16+E19+E21</f>
        <v>478478.00000000006</v>
      </c>
    </row>
    <row r="26" spans="1:5">
      <c r="A26" t="s">
        <v>13</v>
      </c>
      <c r="B26" t="str">
        <f>[1]!rswords(E24)</f>
        <v>Rupees Four Lakh(s) Seventy Eight Thousand Four Hundred Seventy Eight Only</v>
      </c>
    </row>
    <row r="28" spans="1:5">
      <c r="A28" s="18" t="s">
        <v>9</v>
      </c>
      <c r="B28" s="18" t="s">
        <v>10</v>
      </c>
      <c r="C28" s="18"/>
      <c r="D28" s="237" t="s">
        <v>11</v>
      </c>
      <c r="E28" s="237"/>
    </row>
    <row r="29" spans="1:5">
      <c r="A29" s="18" t="s">
        <v>12</v>
      </c>
      <c r="B29" s="18"/>
      <c r="C29" s="18"/>
      <c r="D29" s="18"/>
      <c r="E29" s="18"/>
    </row>
  </sheetData>
  <mergeCells count="5">
    <mergeCell ref="A3:B3"/>
    <mergeCell ref="C3:E3"/>
    <mergeCell ref="A4:B4"/>
    <mergeCell ref="C4:E4"/>
    <mergeCell ref="D28:E28"/>
  </mergeCells>
  <pageMargins left="1" right="0.4" top="2.3199999999999998" bottom="0.75" header="0.45" footer="0.3"/>
  <pageSetup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H8" sqref="H8"/>
    </sheetView>
  </sheetViews>
  <sheetFormatPr defaultRowHeight="15"/>
  <cols>
    <col min="1" max="1" width="7.85546875" customWidth="1"/>
    <col min="2" max="2" width="36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7" ht="15.75" thickBot="1">
      <c r="A1" s="136"/>
      <c r="B1" s="136"/>
      <c r="C1" s="136"/>
      <c r="D1" s="136"/>
      <c r="E1" s="136"/>
    </row>
    <row r="2" spans="1:7">
      <c r="A2" s="2"/>
      <c r="B2" s="3"/>
      <c r="C2" s="2"/>
      <c r="D2" s="4"/>
      <c r="E2" s="3"/>
    </row>
    <row r="3" spans="1:7" ht="15.75">
      <c r="A3" s="238" t="s">
        <v>1</v>
      </c>
      <c r="B3" s="239"/>
      <c r="C3" s="240" t="s">
        <v>166</v>
      </c>
      <c r="D3" s="241"/>
      <c r="E3" s="242"/>
    </row>
    <row r="4" spans="1:7" ht="15.75" thickBot="1">
      <c r="A4" s="243" t="s">
        <v>2</v>
      </c>
      <c r="B4" s="244"/>
      <c r="C4" s="245" t="s">
        <v>167</v>
      </c>
      <c r="D4" s="246"/>
      <c r="E4" s="247"/>
    </row>
    <row r="5" spans="1:7" ht="15.75" thickBot="1"/>
    <row r="6" spans="1:7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7" ht="15.75" thickBot="1"/>
    <row r="8" spans="1:7">
      <c r="A8" s="6">
        <v>1</v>
      </c>
      <c r="B8" s="7" t="s">
        <v>5</v>
      </c>
      <c r="C8" s="19"/>
      <c r="D8" s="19"/>
      <c r="E8" s="8"/>
    </row>
    <row r="9" spans="1:7">
      <c r="A9" s="9"/>
      <c r="B9" s="9" t="s">
        <v>168</v>
      </c>
      <c r="C9" s="43">
        <v>126398</v>
      </c>
      <c r="D9" s="20">
        <v>2.2000000000000002</v>
      </c>
      <c r="E9" s="24">
        <f>C9*D9</f>
        <v>278075.60000000003</v>
      </c>
    </row>
    <row r="10" spans="1:7">
      <c r="A10" s="9"/>
      <c r="B10" s="22"/>
      <c r="C10" s="9"/>
      <c r="D10" s="9"/>
      <c r="E10" s="10"/>
    </row>
    <row r="11" spans="1:7">
      <c r="A11" s="11"/>
      <c r="B11" s="9"/>
      <c r="C11" s="20"/>
      <c r="D11" s="20"/>
      <c r="E11" s="12"/>
    </row>
    <row r="12" spans="1:7">
      <c r="A12" s="9"/>
      <c r="B12" s="9"/>
      <c r="C12" s="9"/>
      <c r="D12" s="9"/>
      <c r="E12" s="10"/>
    </row>
    <row r="13" spans="1:7">
      <c r="A13" s="9"/>
      <c r="B13" s="9"/>
      <c r="C13" s="9"/>
      <c r="D13" s="9"/>
      <c r="E13" s="10"/>
    </row>
    <row r="14" spans="1:7">
      <c r="A14" s="9"/>
      <c r="B14" s="9"/>
      <c r="C14" s="9"/>
      <c r="D14" s="9"/>
      <c r="E14" s="10"/>
    </row>
    <row r="15" spans="1:7" ht="15.75" thickBot="1">
      <c r="A15" s="9"/>
      <c r="B15" s="9"/>
      <c r="C15" s="13"/>
      <c r="D15" s="13"/>
      <c r="E15" s="14"/>
    </row>
    <row r="16" spans="1:7">
      <c r="A16" s="9"/>
      <c r="B16" s="9"/>
      <c r="C16" s="130">
        <f>C9</f>
        <v>126398</v>
      </c>
      <c r="D16" s="9"/>
      <c r="E16" s="129">
        <f>SUM(E8:E11)</f>
        <v>278075.60000000003</v>
      </c>
      <c r="G16" s="124"/>
    </row>
    <row r="17" spans="1:5">
      <c r="A17" s="9"/>
      <c r="B17" s="9"/>
      <c r="C17" s="9"/>
      <c r="D17" s="9"/>
      <c r="E17" s="10"/>
    </row>
    <row r="18" spans="1:5">
      <c r="A18" s="9"/>
      <c r="B18" s="9"/>
      <c r="C18" s="9"/>
      <c r="D18" s="9"/>
      <c r="E18" s="10"/>
    </row>
    <row r="19" spans="1:5">
      <c r="A19" s="9"/>
      <c r="B19" s="9" t="s">
        <v>151</v>
      </c>
      <c r="C19" s="9"/>
      <c r="D19" s="9"/>
      <c r="E19" s="131">
        <f>E16*15%</f>
        <v>41711.340000000004</v>
      </c>
    </row>
    <row r="20" spans="1:5">
      <c r="A20" s="9"/>
      <c r="B20" s="9"/>
      <c r="C20" s="9"/>
      <c r="D20" s="9"/>
      <c r="E20" s="10"/>
    </row>
    <row r="21" spans="1:5">
      <c r="A21" s="9"/>
      <c r="B21" s="9"/>
      <c r="C21" s="11" t="s">
        <v>7</v>
      </c>
      <c r="D21" s="9"/>
      <c r="E21" s="9">
        <v>0.06</v>
      </c>
    </row>
    <row r="22" spans="1:5">
      <c r="A22" s="9"/>
      <c r="B22" s="9"/>
      <c r="C22" s="9"/>
      <c r="D22" s="9"/>
      <c r="E22" s="9"/>
    </row>
    <row r="23" spans="1:5" ht="15.75" thickBot="1">
      <c r="A23" s="9"/>
      <c r="B23" s="9"/>
      <c r="C23" s="9"/>
      <c r="D23" s="9"/>
      <c r="E23" s="9"/>
    </row>
    <row r="24" spans="1:5" ht="15.75" thickBot="1">
      <c r="A24" s="13"/>
      <c r="B24" s="13"/>
      <c r="C24" s="16" t="s">
        <v>8</v>
      </c>
      <c r="D24" s="13"/>
      <c r="E24" s="17">
        <f>E16+E19+E21</f>
        <v>319787.00000000006</v>
      </c>
    </row>
    <row r="26" spans="1:5">
      <c r="A26" t="s">
        <v>13</v>
      </c>
      <c r="B26" t="str">
        <f>[1]!rswords(E24)</f>
        <v>Rupees Three Lakh(s) Nineteen Thousand Seven Hundred Eighty Seven Only</v>
      </c>
    </row>
    <row r="28" spans="1:5">
      <c r="A28" s="18" t="s">
        <v>9</v>
      </c>
      <c r="B28" s="18" t="s">
        <v>10</v>
      </c>
      <c r="C28" s="18"/>
      <c r="D28" s="237" t="s">
        <v>11</v>
      </c>
      <c r="E28" s="237"/>
    </row>
    <row r="29" spans="1:5">
      <c r="A29" s="18" t="s">
        <v>12</v>
      </c>
      <c r="B29" s="18"/>
      <c r="C29" s="18"/>
      <c r="D29" s="18"/>
      <c r="E29" s="18"/>
    </row>
  </sheetData>
  <mergeCells count="5">
    <mergeCell ref="A3:B3"/>
    <mergeCell ref="C3:E3"/>
    <mergeCell ref="A4:B4"/>
    <mergeCell ref="C4:E4"/>
    <mergeCell ref="D28:E28"/>
  </mergeCells>
  <pageMargins left="1" right="0.4" top="2.3199999999999998" bottom="0.75" header="0.45" footer="0.3"/>
  <pageSetup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B26" sqref="B26"/>
    </sheetView>
  </sheetViews>
  <sheetFormatPr defaultRowHeight="15"/>
  <cols>
    <col min="1" max="1" width="7.85546875" customWidth="1"/>
    <col min="2" max="2" width="36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7" ht="15.75" thickBot="1">
      <c r="A1" s="137"/>
      <c r="B1" s="137"/>
      <c r="C1" s="137"/>
      <c r="D1" s="137"/>
      <c r="E1" s="137"/>
    </row>
    <row r="2" spans="1:7">
      <c r="A2" s="2"/>
      <c r="B2" s="3"/>
      <c r="C2" s="2"/>
      <c r="D2" s="4"/>
      <c r="E2" s="3"/>
    </row>
    <row r="3" spans="1:7" ht="15.75">
      <c r="A3" s="238" t="s">
        <v>1</v>
      </c>
      <c r="B3" s="239"/>
      <c r="C3" s="240" t="s">
        <v>170</v>
      </c>
      <c r="D3" s="241"/>
      <c r="E3" s="242"/>
    </row>
    <row r="4" spans="1:7" ht="15.75" thickBot="1">
      <c r="A4" s="243" t="s">
        <v>2</v>
      </c>
      <c r="B4" s="244"/>
      <c r="C4" s="245" t="s">
        <v>169</v>
      </c>
      <c r="D4" s="246"/>
      <c r="E4" s="247"/>
    </row>
    <row r="5" spans="1:7" ht="15.75" thickBot="1"/>
    <row r="6" spans="1:7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7" ht="15.75" thickBot="1"/>
    <row r="8" spans="1:7">
      <c r="A8" s="6">
        <v>1</v>
      </c>
      <c r="B8" s="7" t="s">
        <v>5</v>
      </c>
      <c r="C8" s="19"/>
      <c r="D8" s="19"/>
      <c r="E8" s="8"/>
    </row>
    <row r="9" spans="1:7">
      <c r="A9" s="9"/>
      <c r="B9" s="9" t="s">
        <v>168</v>
      </c>
      <c r="C9" s="43">
        <v>175234</v>
      </c>
      <c r="D9" s="20">
        <v>2.2000000000000002</v>
      </c>
      <c r="E9" s="24">
        <f>C9*D9</f>
        <v>385514.80000000005</v>
      </c>
    </row>
    <row r="10" spans="1:7">
      <c r="A10" s="9"/>
      <c r="B10" s="22"/>
      <c r="C10" s="9"/>
      <c r="D10" s="9"/>
      <c r="E10" s="10"/>
    </row>
    <row r="11" spans="1:7">
      <c r="A11" s="11"/>
      <c r="B11" s="9"/>
      <c r="C11" s="20"/>
      <c r="D11" s="20"/>
      <c r="E11" s="12"/>
    </row>
    <row r="12" spans="1:7">
      <c r="A12" s="9"/>
      <c r="B12" s="9"/>
      <c r="C12" s="9"/>
      <c r="D12" s="9"/>
      <c r="E12" s="10"/>
    </row>
    <row r="13" spans="1:7">
      <c r="A13" s="9"/>
      <c r="B13" s="9"/>
      <c r="C13" s="9"/>
      <c r="D13" s="9"/>
      <c r="E13" s="10"/>
    </row>
    <row r="14" spans="1:7">
      <c r="A14" s="9"/>
      <c r="B14" s="9"/>
      <c r="C14" s="9"/>
      <c r="D14" s="9"/>
      <c r="E14" s="10"/>
    </row>
    <row r="15" spans="1:7" ht="15.75" thickBot="1">
      <c r="A15" s="9"/>
      <c r="B15" s="9"/>
      <c r="C15" s="13"/>
      <c r="D15" s="13"/>
      <c r="E15" s="14"/>
    </row>
    <row r="16" spans="1:7">
      <c r="A16" s="9"/>
      <c r="B16" s="9"/>
      <c r="C16" s="130">
        <f>C9</f>
        <v>175234</v>
      </c>
      <c r="D16" s="9"/>
      <c r="E16" s="129">
        <f>SUM(E8:E11)</f>
        <v>385514.80000000005</v>
      </c>
      <c r="G16" s="124"/>
    </row>
    <row r="17" spans="1:5">
      <c r="A17" s="9"/>
      <c r="B17" s="9"/>
      <c r="C17" s="9"/>
      <c r="D17" s="9"/>
      <c r="E17" s="10"/>
    </row>
    <row r="18" spans="1:5">
      <c r="A18" s="9"/>
      <c r="B18" s="9"/>
      <c r="C18" s="9"/>
      <c r="D18" s="9"/>
      <c r="E18" s="10"/>
    </row>
    <row r="19" spans="1:5">
      <c r="A19" s="9"/>
      <c r="B19" s="9" t="s">
        <v>151</v>
      </c>
      <c r="C19" s="9"/>
      <c r="D19" s="9"/>
      <c r="E19" s="131">
        <f>E16*15%</f>
        <v>57827.220000000008</v>
      </c>
    </row>
    <row r="20" spans="1:5">
      <c r="A20" s="9"/>
      <c r="B20" s="9"/>
      <c r="C20" s="9"/>
      <c r="D20" s="9"/>
      <c r="E20" s="10"/>
    </row>
    <row r="21" spans="1:5">
      <c r="A21" s="9"/>
      <c r="B21" s="9"/>
      <c r="C21" s="11" t="s">
        <v>7</v>
      </c>
      <c r="D21" s="9"/>
      <c r="E21" s="9">
        <v>-0.02</v>
      </c>
    </row>
    <row r="22" spans="1:5">
      <c r="A22" s="9"/>
      <c r="B22" s="9"/>
      <c r="C22" s="9"/>
      <c r="D22" s="9"/>
      <c r="E22" s="9"/>
    </row>
    <row r="23" spans="1:5" ht="15.75" thickBot="1">
      <c r="A23" s="9"/>
      <c r="B23" s="9"/>
      <c r="C23" s="9"/>
      <c r="D23" s="9"/>
      <c r="E23" s="9"/>
    </row>
    <row r="24" spans="1:5" ht="15.75" thickBot="1">
      <c r="A24" s="13"/>
      <c r="B24" s="13"/>
      <c r="C24" s="16" t="s">
        <v>8</v>
      </c>
      <c r="D24" s="13"/>
      <c r="E24" s="17">
        <f>E16+E19+E21</f>
        <v>443342.00000000006</v>
      </c>
    </row>
    <row r="26" spans="1:5">
      <c r="A26" t="s">
        <v>13</v>
      </c>
      <c r="B26" t="str">
        <f>[1]!rswords(E24)</f>
        <v>Rupees Four Lakh(s) Forty Three Thousand Three Hundred Forty Two Only</v>
      </c>
    </row>
    <row r="28" spans="1:5">
      <c r="A28" s="18" t="s">
        <v>9</v>
      </c>
      <c r="B28" s="18" t="s">
        <v>10</v>
      </c>
      <c r="C28" s="18"/>
      <c r="D28" s="237" t="s">
        <v>11</v>
      </c>
      <c r="E28" s="237"/>
    </row>
    <row r="29" spans="1:5">
      <c r="A29" s="18" t="s">
        <v>12</v>
      </c>
      <c r="B29" s="18"/>
      <c r="C29" s="18"/>
      <c r="D29" s="18"/>
      <c r="E29" s="18"/>
    </row>
  </sheetData>
  <mergeCells count="5">
    <mergeCell ref="A3:B3"/>
    <mergeCell ref="C3:E3"/>
    <mergeCell ref="A4:B4"/>
    <mergeCell ref="C4:E4"/>
    <mergeCell ref="D28:E28"/>
  </mergeCells>
  <pageMargins left="1" right="0.4" top="2.3199999999999998" bottom="0.75" header="0.45" footer="0.3"/>
  <pageSetup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selection activeCell="G25" sqref="G25"/>
    </sheetView>
  </sheetViews>
  <sheetFormatPr defaultRowHeight="15"/>
  <cols>
    <col min="1" max="1" width="7.85546875" customWidth="1"/>
    <col min="2" max="2" width="36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7" ht="15.75" thickBot="1">
      <c r="A1" s="138"/>
      <c r="B1" s="138"/>
      <c r="C1" s="138"/>
      <c r="D1" s="138"/>
      <c r="E1" s="138"/>
    </row>
    <row r="2" spans="1:7">
      <c r="A2" s="2"/>
      <c r="B2" s="3"/>
      <c r="C2" s="2"/>
      <c r="D2" s="4"/>
      <c r="E2" s="3"/>
    </row>
    <row r="3" spans="1:7" ht="15.75">
      <c r="A3" s="238" t="s">
        <v>1</v>
      </c>
      <c r="B3" s="239"/>
      <c r="C3" s="240" t="s">
        <v>171</v>
      </c>
      <c r="D3" s="241"/>
      <c r="E3" s="242"/>
    </row>
    <row r="4" spans="1:7" ht="15.75" thickBot="1">
      <c r="A4" s="243" t="s">
        <v>2</v>
      </c>
      <c r="B4" s="244"/>
      <c r="C4" s="245" t="s">
        <v>172</v>
      </c>
      <c r="D4" s="246"/>
      <c r="E4" s="247"/>
    </row>
    <row r="5" spans="1:7" ht="15.75" thickBot="1"/>
    <row r="6" spans="1:7" ht="15.75" thickBot="1">
      <c r="A6" s="5" t="s">
        <v>3</v>
      </c>
      <c r="B6" s="5" t="s">
        <v>4</v>
      </c>
      <c r="C6" s="5" t="s">
        <v>14</v>
      </c>
      <c r="D6" s="5" t="s">
        <v>15</v>
      </c>
      <c r="E6" s="5" t="s">
        <v>0</v>
      </c>
    </row>
    <row r="7" spans="1:7" ht="15.75" thickBot="1"/>
    <row r="8" spans="1:7">
      <c r="A8" s="6">
        <v>1</v>
      </c>
      <c r="B8" s="7" t="s">
        <v>5</v>
      </c>
      <c r="C8" s="19"/>
      <c r="D8" s="19"/>
      <c r="E8" s="8"/>
    </row>
    <row r="9" spans="1:7">
      <c r="A9" s="9"/>
      <c r="B9" s="9" t="s">
        <v>173</v>
      </c>
      <c r="C9" s="43">
        <v>137286</v>
      </c>
      <c r="D9" s="20">
        <v>2.2000000000000002</v>
      </c>
      <c r="E9" s="24">
        <f>C9*D9</f>
        <v>302029.2</v>
      </c>
    </row>
    <row r="10" spans="1:7">
      <c r="A10" s="9"/>
      <c r="B10" s="22"/>
      <c r="C10" s="9"/>
      <c r="D10" s="9"/>
      <c r="E10" s="10"/>
    </row>
    <row r="11" spans="1:7">
      <c r="A11" s="11"/>
      <c r="B11" s="9"/>
      <c r="C11" s="20"/>
      <c r="D11" s="20"/>
      <c r="E11" s="12"/>
    </row>
    <row r="12" spans="1:7">
      <c r="A12" s="9"/>
      <c r="B12" s="9"/>
      <c r="C12" s="9"/>
      <c r="D12" s="9"/>
      <c r="E12" s="10"/>
    </row>
    <row r="13" spans="1:7">
      <c r="A13" s="9"/>
      <c r="B13" s="9"/>
      <c r="C13" s="9"/>
      <c r="D13" s="9"/>
      <c r="E13" s="10"/>
    </row>
    <row r="14" spans="1:7">
      <c r="A14" s="9"/>
      <c r="B14" s="9"/>
      <c r="C14" s="9"/>
      <c r="D14" s="9"/>
      <c r="E14" s="10"/>
    </row>
    <row r="15" spans="1:7" ht="15.75" thickBot="1">
      <c r="A15" s="9"/>
      <c r="B15" s="9"/>
      <c r="C15" s="13"/>
      <c r="D15" s="13"/>
      <c r="E15" s="14"/>
    </row>
    <row r="16" spans="1:7">
      <c r="A16" s="9"/>
      <c r="B16" s="9"/>
      <c r="C16" s="130">
        <f>C9</f>
        <v>137286</v>
      </c>
      <c r="D16" s="9"/>
      <c r="E16" s="129">
        <f>SUM(E8:E11)</f>
        <v>302029.2</v>
      </c>
      <c r="G16" s="124"/>
    </row>
    <row r="17" spans="1:5">
      <c r="A17" s="9"/>
      <c r="B17" s="9"/>
      <c r="C17" s="9"/>
      <c r="D17" s="9"/>
      <c r="E17" s="10"/>
    </row>
    <row r="18" spans="1:5">
      <c r="A18" s="9"/>
      <c r="B18" s="9"/>
      <c r="C18" s="9"/>
      <c r="D18" s="9"/>
      <c r="E18" s="10"/>
    </row>
    <row r="19" spans="1:5">
      <c r="A19" s="9"/>
      <c r="B19" s="9" t="s">
        <v>151</v>
      </c>
      <c r="C19" s="9"/>
      <c r="D19" s="9"/>
      <c r="E19" s="131">
        <f>E16*15%</f>
        <v>45304.38</v>
      </c>
    </row>
    <row r="20" spans="1:5">
      <c r="A20" s="9"/>
      <c r="B20" s="9"/>
      <c r="C20" s="9"/>
      <c r="D20" s="9"/>
      <c r="E20" s="10"/>
    </row>
    <row r="21" spans="1:5">
      <c r="A21" s="9"/>
      <c r="B21" s="9"/>
      <c r="C21" s="11" t="s">
        <v>7</v>
      </c>
      <c r="D21" s="9"/>
      <c r="E21" s="9">
        <v>0.42</v>
      </c>
    </row>
    <row r="22" spans="1:5">
      <c r="A22" s="9"/>
      <c r="B22" s="9"/>
      <c r="C22" s="9"/>
      <c r="D22" s="9"/>
      <c r="E22" s="9"/>
    </row>
    <row r="23" spans="1:5" ht="15.75" thickBot="1">
      <c r="A23" s="9"/>
      <c r="B23" s="9"/>
      <c r="C23" s="9"/>
      <c r="D23" s="9"/>
      <c r="E23" s="9"/>
    </row>
    <row r="24" spans="1:5" ht="15.75" thickBot="1">
      <c r="A24" s="13"/>
      <c r="B24" s="13"/>
      <c r="C24" s="16" t="s">
        <v>8</v>
      </c>
      <c r="D24" s="13"/>
      <c r="E24" s="17">
        <f>E16+E19+E21</f>
        <v>347334</v>
      </c>
    </row>
    <row r="26" spans="1:5">
      <c r="A26" t="s">
        <v>13</v>
      </c>
      <c r="B26" t="str">
        <f>[1]!rswords(E24)</f>
        <v>Rupees Three Lakh(s) Forty Seven Thousand Three Hundred Thirty Four Only</v>
      </c>
    </row>
    <row r="28" spans="1:5">
      <c r="A28" s="18" t="s">
        <v>9</v>
      </c>
      <c r="B28" s="18" t="s">
        <v>10</v>
      </c>
      <c r="C28" s="18"/>
      <c r="D28" s="237" t="s">
        <v>11</v>
      </c>
      <c r="E28" s="237"/>
    </row>
    <row r="29" spans="1:5">
      <c r="A29" s="18" t="s">
        <v>12</v>
      </c>
      <c r="B29" s="18"/>
      <c r="C29" s="18"/>
      <c r="D29" s="18"/>
      <c r="E29" s="18"/>
    </row>
  </sheetData>
  <mergeCells count="5">
    <mergeCell ref="A3:B3"/>
    <mergeCell ref="C3:E3"/>
    <mergeCell ref="A4:B4"/>
    <mergeCell ref="C4:E4"/>
    <mergeCell ref="D28:E28"/>
  </mergeCells>
  <pageMargins left="1" right="0.4" top="2.3199999999999998" bottom="0.75" header="0.45" footer="0.3"/>
  <pageSetup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0"/>
  <sheetViews>
    <sheetView topLeftCell="A9" workbookViewId="0">
      <selection activeCell="E30" sqref="E30"/>
    </sheetView>
  </sheetViews>
  <sheetFormatPr defaultRowHeight="15"/>
  <cols>
    <col min="1" max="1" width="7.85546875" customWidth="1"/>
    <col min="2" max="2" width="36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B5" s="251" t="s">
        <v>179</v>
      </c>
      <c r="C5" s="252"/>
      <c r="D5" s="253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39"/>
      <c r="B8" s="139"/>
      <c r="C8" s="139"/>
      <c r="D8" s="139"/>
      <c r="E8" s="139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57" t="s">
        <v>2</v>
      </c>
      <c r="B10" s="257"/>
      <c r="C10" s="241" t="s">
        <v>186</v>
      </c>
      <c r="D10" s="241"/>
      <c r="E10" s="242"/>
    </row>
    <row r="11" spans="1:5" ht="15.75" thickBot="1">
      <c r="A11" s="258" t="s">
        <v>187</v>
      </c>
      <c r="B11" s="259"/>
      <c r="C11" s="246" t="s">
        <v>185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5</v>
      </c>
      <c r="C15" s="19"/>
      <c r="D15" s="19"/>
      <c r="E15" s="8"/>
    </row>
    <row r="16" spans="1:5">
      <c r="A16" s="9"/>
      <c r="B16" s="9" t="s">
        <v>184</v>
      </c>
      <c r="C16" s="43">
        <v>147495</v>
      </c>
      <c r="D16" s="20">
        <v>2.2000000000000002</v>
      </c>
      <c r="E16" s="24">
        <f>C16*D16</f>
        <v>324489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147495</v>
      </c>
      <c r="D22" s="9"/>
      <c r="E22" s="129">
        <f>SUM(E15:E18)</f>
        <v>324489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31">
        <f>E22*9%</f>
        <v>29204.01</v>
      </c>
    </row>
    <row r="26" spans="1:7">
      <c r="A26" s="9"/>
      <c r="B26" s="141" t="s">
        <v>180</v>
      </c>
      <c r="C26" s="9"/>
      <c r="D26" s="9"/>
      <c r="E26" s="10">
        <f>E22*9%</f>
        <v>29204.01</v>
      </c>
    </row>
    <row r="27" spans="1:7">
      <c r="A27" s="9"/>
      <c r="B27" s="9"/>
      <c r="C27" s="11" t="s">
        <v>7</v>
      </c>
      <c r="D27" s="9"/>
      <c r="E27" s="9">
        <v>-0.02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382897</v>
      </c>
    </row>
    <row r="32" spans="1:7">
      <c r="A32" t="s">
        <v>13</v>
      </c>
      <c r="B32" t="str">
        <f>[1]!rswords(E30)</f>
        <v>Rupees Three Lakh(s) Eighty Two Thousand Eight Hundred Ninety Seven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A37:E37"/>
    <mergeCell ref="B5:D5"/>
    <mergeCell ref="D1:E1"/>
    <mergeCell ref="A3:E3"/>
    <mergeCell ref="A7:B7"/>
    <mergeCell ref="D7:E7"/>
    <mergeCell ref="A10:B10"/>
    <mergeCell ref="C10:E10"/>
    <mergeCell ref="A11:B11"/>
    <mergeCell ref="C11:E11"/>
    <mergeCell ref="D34:E34"/>
    <mergeCell ref="A9:B9"/>
    <mergeCell ref="A2:E2"/>
  </mergeCells>
  <hyperlinks>
    <hyperlink ref="B25" r:id="rId1" display="CGST@ 9%"/>
    <hyperlink ref="B26" r:id="rId2" display="SGST@ 9%"/>
  </hyperlinks>
  <pageMargins left="1" right="0.4" top="2.3199999999999998" bottom="0.75" header="0.45" footer="0.3"/>
  <pageSetup orientation="portrait" verticalDpi="300"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0"/>
  <sheetViews>
    <sheetView topLeftCell="A19" workbookViewId="0">
      <selection activeCell="G31" sqref="G31"/>
    </sheetView>
  </sheetViews>
  <sheetFormatPr defaultRowHeight="15"/>
  <cols>
    <col min="1" max="1" width="7.85546875" customWidth="1"/>
    <col min="2" max="2" width="36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40"/>
      <c r="B8" s="140"/>
      <c r="C8" s="140"/>
      <c r="D8" s="140"/>
      <c r="E8" s="140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57" t="s">
        <v>2</v>
      </c>
      <c r="B10" s="257"/>
      <c r="C10" s="241" t="s">
        <v>186</v>
      </c>
      <c r="D10" s="241"/>
      <c r="E10" s="242"/>
    </row>
    <row r="11" spans="1:5" ht="15.75" thickBot="1">
      <c r="A11" s="258" t="s">
        <v>187</v>
      </c>
      <c r="B11" s="259"/>
      <c r="C11" s="246" t="s">
        <v>185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5</v>
      </c>
      <c r="C15" s="19"/>
      <c r="D15" s="19"/>
      <c r="E15" s="8"/>
    </row>
    <row r="16" spans="1:5">
      <c r="A16" s="9"/>
      <c r="B16" s="9" t="s">
        <v>184</v>
      </c>
      <c r="C16" s="43">
        <v>147495</v>
      </c>
      <c r="D16" s="20">
        <v>2.2000000000000002</v>
      </c>
      <c r="E16" s="24">
        <f>C16*D16</f>
        <v>324489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147495</v>
      </c>
      <c r="D22" s="9"/>
      <c r="E22" s="129">
        <f>SUM(E15:E18)</f>
        <v>324489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3">
        <f>E22*9%</f>
        <v>29204.01</v>
      </c>
    </row>
    <row r="26" spans="1:7">
      <c r="A26" s="9"/>
      <c r="B26" s="141" t="s">
        <v>180</v>
      </c>
      <c r="C26" s="9"/>
      <c r="D26" s="9"/>
      <c r="E26" s="10">
        <f>E22*9%</f>
        <v>29204.01</v>
      </c>
    </row>
    <row r="27" spans="1:7">
      <c r="A27" s="9"/>
      <c r="B27" s="9"/>
      <c r="C27" s="11" t="s">
        <v>7</v>
      </c>
      <c r="D27" s="9"/>
      <c r="E27" s="9">
        <v>-0.02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382897</v>
      </c>
    </row>
    <row r="32" spans="1:7">
      <c r="A32" t="s">
        <v>13</v>
      </c>
      <c r="B32" t="str">
        <f>[1]!rswords(E30)</f>
        <v>Rupees Three Lakh(s) Eighty Two Thousand Eight Hundred Ninety Seven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A37:E37"/>
    <mergeCell ref="A9:B9"/>
    <mergeCell ref="A10:B10"/>
    <mergeCell ref="C10:E10"/>
    <mergeCell ref="A11:B11"/>
    <mergeCell ref="C11:E11"/>
    <mergeCell ref="D34:E34"/>
    <mergeCell ref="D1:E1"/>
    <mergeCell ref="A2:E2"/>
    <mergeCell ref="A3:E3"/>
    <mergeCell ref="B5:D5"/>
    <mergeCell ref="A7:B7"/>
    <mergeCell ref="D7:E7"/>
  </mergeCells>
  <hyperlinks>
    <hyperlink ref="B25" r:id="rId1" display="CGST@ 9%"/>
    <hyperlink ref="B26" r:id="rId2" display="SGST@ 9%"/>
  </hyperlinks>
  <pageMargins left="1" right="0.4" top="2.3199999999999998" bottom="0.75" header="0.45" footer="0.3"/>
  <pageSetup orientation="portrait" verticalDpi="300" r:id="rId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0"/>
  <sheetViews>
    <sheetView topLeftCell="A16" workbookViewId="0">
      <selection activeCell="E28" sqref="E28"/>
    </sheetView>
  </sheetViews>
  <sheetFormatPr defaultRowHeight="15"/>
  <cols>
    <col min="1" max="1" width="7.85546875" customWidth="1"/>
    <col min="2" max="2" width="37.28515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42"/>
      <c r="B8" s="142"/>
      <c r="C8" s="142"/>
      <c r="D8" s="142"/>
      <c r="E8" s="142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57" t="s">
        <v>2</v>
      </c>
      <c r="B10" s="257"/>
      <c r="C10" s="241" t="s">
        <v>189</v>
      </c>
      <c r="D10" s="241"/>
      <c r="E10" s="242"/>
    </row>
    <row r="11" spans="1:5" ht="15.75" thickBot="1">
      <c r="A11" s="258" t="s">
        <v>187</v>
      </c>
      <c r="B11" s="259"/>
      <c r="C11" s="246" t="s">
        <v>190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5</v>
      </c>
      <c r="C15" s="19"/>
      <c r="D15" s="19"/>
      <c r="E15" s="8"/>
    </row>
    <row r="16" spans="1:5">
      <c r="A16" s="9"/>
      <c r="B16" s="9" t="s">
        <v>191</v>
      </c>
      <c r="C16" s="43">
        <v>156090</v>
      </c>
      <c r="D16" s="20">
        <v>2.2000000000000002</v>
      </c>
      <c r="E16" s="24">
        <f>C16*D16</f>
        <v>343398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156090</v>
      </c>
      <c r="D22" s="9"/>
      <c r="E22" s="129">
        <f>SUM(E15:E18)</f>
        <v>343398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3">
        <f>E22*9%</f>
        <v>30905.82</v>
      </c>
    </row>
    <row r="26" spans="1:7">
      <c r="A26" s="9"/>
      <c r="B26" s="141" t="s">
        <v>180</v>
      </c>
      <c r="C26" s="9"/>
      <c r="D26" s="9"/>
      <c r="E26" s="10">
        <f>E22*9%</f>
        <v>30905.82</v>
      </c>
    </row>
    <row r="27" spans="1:7">
      <c r="A27" s="9"/>
      <c r="B27" s="9"/>
      <c r="C27" s="11" t="s">
        <v>7</v>
      </c>
      <c r="D27" s="9"/>
      <c r="E27" s="9">
        <v>-0.64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405209</v>
      </c>
    </row>
    <row r="32" spans="1:7">
      <c r="A32" t="s">
        <v>13</v>
      </c>
      <c r="B32" t="str">
        <f>[1]!rswords(E30)</f>
        <v>Rupees Four Lakh(s) Five Thousand Two Hundred Nine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1" right="0.4" top="2.3199999999999998" bottom="0.75" header="0.45" footer="0.3"/>
  <pageSetup orientation="portrait" verticalDpi="300" r:id="rId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0"/>
  <sheetViews>
    <sheetView topLeftCell="A7" workbookViewId="0">
      <selection activeCell="F24" sqref="F24"/>
    </sheetView>
  </sheetViews>
  <sheetFormatPr defaultRowHeight="15"/>
  <cols>
    <col min="1" max="1" width="7.85546875" customWidth="1"/>
    <col min="2" max="2" width="37.28515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44"/>
      <c r="B8" s="144"/>
      <c r="C8" s="144"/>
      <c r="D8" s="144"/>
      <c r="E8" s="144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57" t="s">
        <v>2</v>
      </c>
      <c r="B10" s="257"/>
      <c r="C10" s="241" t="s">
        <v>192</v>
      </c>
      <c r="D10" s="241"/>
      <c r="E10" s="242"/>
    </row>
    <row r="11" spans="1:5" ht="15.75" thickBot="1">
      <c r="A11" s="258" t="s">
        <v>187</v>
      </c>
      <c r="B11" s="259"/>
      <c r="C11" s="246" t="s">
        <v>193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195</v>
      </c>
      <c r="C16" s="43">
        <v>154026</v>
      </c>
      <c r="D16" s="20">
        <v>2.2000000000000002</v>
      </c>
      <c r="E16" s="24">
        <f>C16*D16</f>
        <v>338857.2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154026</v>
      </c>
      <c r="D22" s="9"/>
      <c r="E22" s="129">
        <f>SUM(E15:E18)</f>
        <v>338857.2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30497.148000000001</v>
      </c>
    </row>
    <row r="26" spans="1:7">
      <c r="A26" s="9"/>
      <c r="B26" s="141" t="s">
        <v>180</v>
      </c>
      <c r="C26" s="9"/>
      <c r="D26" s="9"/>
      <c r="E26" s="24">
        <f>E22*9%</f>
        <v>30497.148000000001</v>
      </c>
    </row>
    <row r="27" spans="1:7">
      <c r="A27" s="9"/>
      <c r="B27" s="9"/>
      <c r="C27" s="11" t="s">
        <v>7</v>
      </c>
      <c r="D27" s="9"/>
      <c r="E27" s="9">
        <v>-0.5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399850.99600000004</v>
      </c>
    </row>
    <row r="32" spans="1:7">
      <c r="A32" t="s">
        <v>13</v>
      </c>
      <c r="B32" t="str">
        <f>[1]!rswords(E30)</f>
        <v>Rupees Three Lakh(s) Ninety Nine Thousand Eight Hundred Fifty One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A37:E37"/>
    <mergeCell ref="A9:B9"/>
    <mergeCell ref="A10:B10"/>
    <mergeCell ref="C10:E10"/>
    <mergeCell ref="A11:B11"/>
    <mergeCell ref="C11:E11"/>
    <mergeCell ref="D34:E34"/>
    <mergeCell ref="D1:E1"/>
    <mergeCell ref="A2:E2"/>
    <mergeCell ref="A3:E3"/>
    <mergeCell ref="B5:D5"/>
    <mergeCell ref="A7:B7"/>
    <mergeCell ref="D7:E7"/>
  </mergeCells>
  <hyperlinks>
    <hyperlink ref="B25" r:id="rId1" display="CGST@ 9%"/>
    <hyperlink ref="B26" r:id="rId2" display="SGST@ 9%"/>
  </hyperlinks>
  <pageMargins left="0.83" right="0.4" top="0.61" bottom="0.75" header="0.32" footer="0.3"/>
  <pageSetup orientation="portrait" verticalDpi="300" r:id="rId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M4" sqref="M4"/>
    </sheetView>
  </sheetViews>
  <sheetFormatPr defaultRowHeight="15"/>
  <cols>
    <col min="1" max="1" width="7.85546875" customWidth="1"/>
    <col min="2" max="2" width="37.28515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45"/>
      <c r="B8" s="145"/>
      <c r="C8" s="145"/>
      <c r="D8" s="145"/>
      <c r="E8" s="145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57" t="s">
        <v>2</v>
      </c>
      <c r="B10" s="257"/>
      <c r="C10" s="241" t="s">
        <v>197</v>
      </c>
      <c r="D10" s="241"/>
      <c r="E10" s="242"/>
    </row>
    <row r="11" spans="1:5" ht="15.75" thickBot="1">
      <c r="A11" s="258" t="s">
        <v>187</v>
      </c>
      <c r="B11" s="259"/>
      <c r="C11" s="246" t="s">
        <v>198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196</v>
      </c>
      <c r="C16" s="43">
        <v>176268</v>
      </c>
      <c r="D16" s="20">
        <v>2.2000000000000002</v>
      </c>
      <c r="E16" s="24">
        <f>C16*D16</f>
        <v>387789.60000000003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176268</v>
      </c>
      <c r="D22" s="9"/>
      <c r="E22" s="129">
        <f>SUM(E15:E18)</f>
        <v>387789.60000000003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34901.063999999998</v>
      </c>
    </row>
    <row r="26" spans="1:7">
      <c r="A26" s="9"/>
      <c r="B26" s="141" t="s">
        <v>180</v>
      </c>
      <c r="C26" s="9"/>
      <c r="D26" s="9"/>
      <c r="E26" s="24">
        <f>E22*9%</f>
        <v>34901.063999999998</v>
      </c>
    </row>
    <row r="27" spans="1:7">
      <c r="A27" s="9"/>
      <c r="B27" s="9"/>
      <c r="C27" s="11" t="s">
        <v>7</v>
      </c>
      <c r="D27" s="9"/>
      <c r="E27" s="9">
        <v>0.27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457591.99800000002</v>
      </c>
    </row>
    <row r="32" spans="1:7">
      <c r="A32" t="s">
        <v>13</v>
      </c>
      <c r="B32" t="str">
        <f>[1]!rswords(E30)</f>
        <v>Rupees Four Lakh(s) Fifty Seven Thousand Five Hundred Ninety Two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1" right="0.4" top="0.97" bottom="0.75" header="0.45" footer="0.3"/>
  <pageSetup orientation="portrait" verticalDpi="300" r:id="rId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0"/>
  <sheetViews>
    <sheetView topLeftCell="A16" workbookViewId="0">
      <selection activeCell="B32" sqref="B32"/>
    </sheetView>
  </sheetViews>
  <sheetFormatPr defaultRowHeight="15"/>
  <cols>
    <col min="1" max="1" width="9" customWidth="1"/>
    <col min="2" max="2" width="37.28515625" customWidth="1"/>
    <col min="3" max="3" width="14.85546875" customWidth="1"/>
    <col min="4" max="4" width="13" customWidth="1"/>
    <col min="5" max="5" width="14.1406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47"/>
      <c r="B8" s="147"/>
      <c r="C8" s="147"/>
      <c r="D8" s="147"/>
      <c r="E8" s="147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199</v>
      </c>
      <c r="D10" s="241"/>
      <c r="E10" s="242"/>
    </row>
    <row r="11" spans="1:5" ht="15.75" thickBot="1">
      <c r="A11" s="258" t="s">
        <v>187</v>
      </c>
      <c r="B11" s="259"/>
      <c r="C11" s="246" t="s">
        <v>200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201</v>
      </c>
      <c r="C16" s="43">
        <v>191415</v>
      </c>
      <c r="D16" s="20">
        <v>2.2000000000000002</v>
      </c>
      <c r="E16" s="24">
        <f>C16*D16</f>
        <v>421113.00000000006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191415</v>
      </c>
      <c r="D22" s="9"/>
      <c r="E22" s="129">
        <f>SUM(E15:E18)</f>
        <v>421113.00000000006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37900.170000000006</v>
      </c>
    </row>
    <row r="26" spans="1:7">
      <c r="A26" s="9"/>
      <c r="B26" s="141" t="s">
        <v>180</v>
      </c>
      <c r="C26" s="9"/>
      <c r="D26" s="9"/>
      <c r="E26" s="24">
        <f>E22*9%</f>
        <v>37900.170000000006</v>
      </c>
    </row>
    <row r="27" spans="1:7">
      <c r="A27" s="9"/>
      <c r="B27" s="9"/>
      <c r="C27" s="11" t="s">
        <v>7</v>
      </c>
      <c r="D27" s="9"/>
      <c r="E27" s="9">
        <v>-0.34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496913.00000000006</v>
      </c>
    </row>
    <row r="32" spans="1:7">
      <c r="A32" t="s">
        <v>13</v>
      </c>
      <c r="B32" t="str">
        <f>[1]!rswords(E30)</f>
        <v>Rupees Four Lakh(s) Ninety Six Thousand Nine Hundred Thirteen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0.87" right="0.4" top="0.97" bottom="0.75" header="0.45" footer="0.3"/>
  <pageSetup orientation="portrait" verticalDpi="300" r:id="rId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0"/>
  <sheetViews>
    <sheetView topLeftCell="A16" workbookViewId="0">
      <selection activeCell="G22" sqref="G22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3.1406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48"/>
      <c r="B8" s="148"/>
      <c r="C8" s="148"/>
      <c r="D8" s="148"/>
      <c r="E8" s="148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202</v>
      </c>
      <c r="D10" s="241"/>
      <c r="E10" s="242"/>
    </row>
    <row r="11" spans="1:5" ht="15.75" thickBot="1">
      <c r="A11" s="258" t="s">
        <v>187</v>
      </c>
      <c r="B11" s="259"/>
      <c r="C11" s="246" t="s">
        <v>203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204</v>
      </c>
      <c r="C16" s="43">
        <v>147585</v>
      </c>
      <c r="D16" s="20">
        <v>2.2000000000000002</v>
      </c>
      <c r="E16" s="24">
        <f>C16*D16</f>
        <v>324687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147585</v>
      </c>
      <c r="D22" s="9"/>
      <c r="E22" s="129">
        <f>SUM(E15:E18)</f>
        <v>324687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29221.829999999998</v>
      </c>
    </row>
    <row r="26" spans="1:7">
      <c r="A26" s="9"/>
      <c r="B26" s="141" t="s">
        <v>180</v>
      </c>
      <c r="C26" s="9"/>
      <c r="D26" s="9"/>
      <c r="E26" s="24">
        <f>E22*9%</f>
        <v>29221.829999999998</v>
      </c>
    </row>
    <row r="27" spans="1:7">
      <c r="A27" s="9"/>
      <c r="B27" s="9"/>
      <c r="C27" s="11" t="s">
        <v>7</v>
      </c>
      <c r="D27" s="9"/>
      <c r="E27" s="9">
        <v>0.34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383131</v>
      </c>
    </row>
    <row r="32" spans="1:7">
      <c r="A32" t="s">
        <v>13</v>
      </c>
      <c r="B32" t="str">
        <f>[1]!rswords(E30)</f>
        <v>Rupees Three Lakh(s) Eighty Three Thousand One Hundred Thirty One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A37:E37"/>
    <mergeCell ref="A9:B9"/>
    <mergeCell ref="A10:B10"/>
    <mergeCell ref="C10:E10"/>
    <mergeCell ref="A11:B11"/>
    <mergeCell ref="C11:E11"/>
    <mergeCell ref="D34:E34"/>
    <mergeCell ref="D1:E1"/>
    <mergeCell ref="A2:E2"/>
    <mergeCell ref="A3:E3"/>
    <mergeCell ref="B5:D5"/>
    <mergeCell ref="A7:B7"/>
    <mergeCell ref="D7:E7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I29" sqref="I29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49"/>
      <c r="B8" s="149"/>
      <c r="C8" s="149"/>
      <c r="D8" s="149"/>
      <c r="E8" s="149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205</v>
      </c>
      <c r="D10" s="241"/>
      <c r="E10" s="242"/>
    </row>
    <row r="11" spans="1:5" ht="15.75" thickBot="1">
      <c r="A11" s="258" t="s">
        <v>187</v>
      </c>
      <c r="B11" s="259"/>
      <c r="C11" s="246" t="s">
        <v>206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207</v>
      </c>
      <c r="C16" s="43">
        <v>185565</v>
      </c>
      <c r="D16" s="20">
        <v>2.2000000000000002</v>
      </c>
      <c r="E16" s="24">
        <f>C16*D16</f>
        <v>408243.00000000006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185565</v>
      </c>
      <c r="D22" s="9"/>
      <c r="E22" s="129">
        <f>SUM(E15:E18)</f>
        <v>408243.00000000006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36741.870000000003</v>
      </c>
    </row>
    <row r="26" spans="1:7">
      <c r="A26" s="9"/>
      <c r="B26" s="141" t="s">
        <v>180</v>
      </c>
      <c r="C26" s="9"/>
      <c r="D26" s="9"/>
      <c r="E26" s="24">
        <f>E22*9%</f>
        <v>36741.870000000003</v>
      </c>
    </row>
    <row r="27" spans="1:7">
      <c r="A27" s="9"/>
      <c r="B27" s="9"/>
      <c r="C27" s="11" t="s">
        <v>7</v>
      </c>
      <c r="D27" s="9"/>
      <c r="E27" s="9">
        <v>0.26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481727.00000000006</v>
      </c>
    </row>
    <row r="32" spans="1:7">
      <c r="A32" t="s">
        <v>13</v>
      </c>
      <c r="B32" t="str">
        <f>[1]!rswords(E30)</f>
        <v>Rupees Four Lakh(s) Eighty One Thousand Seven Hundred Twenty Seven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A37:E37"/>
    <mergeCell ref="A9:B9"/>
    <mergeCell ref="A10:B10"/>
    <mergeCell ref="C10:E10"/>
    <mergeCell ref="A11:B11"/>
    <mergeCell ref="C11:E11"/>
    <mergeCell ref="D34:E34"/>
    <mergeCell ref="D1:E1"/>
    <mergeCell ref="A2:E2"/>
    <mergeCell ref="A3:E3"/>
    <mergeCell ref="B5:D5"/>
    <mergeCell ref="A7:B7"/>
    <mergeCell ref="D7:E7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B34" sqref="B34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0"/>
      <c r="B8" s="150"/>
      <c r="C8" s="150"/>
      <c r="D8" s="150"/>
      <c r="E8" s="150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208</v>
      </c>
      <c r="D10" s="241"/>
      <c r="E10" s="242"/>
    </row>
    <row r="11" spans="1:5" ht="15.75" thickBot="1">
      <c r="A11" s="258" t="s">
        <v>187</v>
      </c>
      <c r="B11" s="259"/>
      <c r="C11" s="246" t="s">
        <v>209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210</v>
      </c>
      <c r="C16" s="43">
        <v>178761</v>
      </c>
      <c r="D16" s="20">
        <v>2.2000000000000002</v>
      </c>
      <c r="E16" s="24">
        <f>C16*D16</f>
        <v>393274.2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178761</v>
      </c>
      <c r="D22" s="9"/>
      <c r="E22" s="129">
        <f>SUM(E15:E18)</f>
        <v>393274.2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35394.678</v>
      </c>
    </row>
    <row r="26" spans="1:7">
      <c r="A26" s="9"/>
      <c r="B26" s="141" t="s">
        <v>180</v>
      </c>
      <c r="C26" s="9"/>
      <c r="D26" s="9"/>
      <c r="E26" s="24">
        <f>E22*9%</f>
        <v>35394.678</v>
      </c>
    </row>
    <row r="27" spans="1:7">
      <c r="A27" s="9"/>
      <c r="B27" s="9"/>
      <c r="C27" s="11" t="s">
        <v>7</v>
      </c>
      <c r="D27" s="9"/>
      <c r="E27" s="9">
        <v>0.44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464063.99600000004</v>
      </c>
    </row>
    <row r="32" spans="1:7">
      <c r="A32" t="s">
        <v>13</v>
      </c>
      <c r="B32" t="str">
        <f>[1]!rswords(E30)</f>
        <v>Rupees Four Lakh(s) Sixty Four Thousand Sixty Four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F27" sqref="F27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1"/>
      <c r="B8" s="151"/>
      <c r="C8" s="151"/>
      <c r="D8" s="151"/>
      <c r="E8" s="151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211</v>
      </c>
      <c r="D10" s="241"/>
      <c r="E10" s="242"/>
    </row>
    <row r="11" spans="1:5" ht="15.75" thickBot="1">
      <c r="A11" s="258" t="s">
        <v>187</v>
      </c>
      <c r="B11" s="259"/>
      <c r="C11" s="246" t="s">
        <v>212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210</v>
      </c>
      <c r="C16" s="43">
        <v>142290</v>
      </c>
      <c r="D16" s="20">
        <v>2.2000000000000002</v>
      </c>
      <c r="E16" s="24">
        <f>C16*D16</f>
        <v>313038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142290</v>
      </c>
      <c r="D22" s="9"/>
      <c r="E22" s="129">
        <f>SUM(E15:E18)</f>
        <v>313038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28173.42</v>
      </c>
    </row>
    <row r="26" spans="1:7">
      <c r="A26" s="9"/>
      <c r="B26" s="141" t="s">
        <v>180</v>
      </c>
      <c r="C26" s="9"/>
      <c r="D26" s="9"/>
      <c r="E26" s="24">
        <f>E22*9%</f>
        <v>28173.42</v>
      </c>
    </row>
    <row r="27" spans="1:7">
      <c r="A27" s="9"/>
      <c r="B27" s="9"/>
      <c r="C27" s="11" t="s">
        <v>7</v>
      </c>
      <c r="D27" s="9"/>
      <c r="E27" s="9">
        <v>0.16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369385</v>
      </c>
    </row>
    <row r="32" spans="1:7">
      <c r="A32" t="s">
        <v>13</v>
      </c>
      <c r="B32" t="str">
        <f>[1]!rswords(E30)</f>
        <v>Rupees Three Lakh(s) Sixty Nine Thousand Three Hundred Eighty Five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C12" sqref="C12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2"/>
      <c r="B8" s="152"/>
      <c r="C8" s="152"/>
      <c r="D8" s="152"/>
      <c r="E8" s="152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170</v>
      </c>
      <c r="D10" s="241"/>
      <c r="E10" s="242"/>
    </row>
    <row r="11" spans="1:5" ht="15.75" thickBot="1">
      <c r="A11" s="258" t="s">
        <v>187</v>
      </c>
      <c r="B11" s="259"/>
      <c r="C11" s="246" t="s">
        <v>214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213</v>
      </c>
      <c r="C16" s="43">
        <v>177501</v>
      </c>
      <c r="D16" s="20">
        <v>2.2000000000000002</v>
      </c>
      <c r="E16" s="24">
        <f>C16*D16</f>
        <v>390502.2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177501</v>
      </c>
      <c r="D22" s="9"/>
      <c r="E22" s="129">
        <f>SUM(E15:E18)</f>
        <v>390502.2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35145.197999999997</v>
      </c>
    </row>
    <row r="26" spans="1:7">
      <c r="A26" s="9"/>
      <c r="B26" s="141" t="s">
        <v>180</v>
      </c>
      <c r="C26" s="9"/>
      <c r="D26" s="9"/>
      <c r="E26" s="24">
        <f>E22*9%</f>
        <v>35145.197999999997</v>
      </c>
    </row>
    <row r="27" spans="1:7">
      <c r="A27" s="9"/>
      <c r="B27" s="9"/>
      <c r="C27" s="11" t="s">
        <v>7</v>
      </c>
      <c r="D27" s="9"/>
      <c r="E27" s="154">
        <v>0.4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460792.99600000004</v>
      </c>
    </row>
    <row r="32" spans="1:7">
      <c r="A32" s="18" t="s">
        <v>13</v>
      </c>
      <c r="B32" s="18" t="str">
        <f>[1]!rswords(E30)</f>
        <v>Rupees Four Lakh(s) Sixty Thousand Seven Hundred Ninety Three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A37:E37"/>
    <mergeCell ref="A9:B9"/>
    <mergeCell ref="A10:B10"/>
    <mergeCell ref="C10:E10"/>
    <mergeCell ref="A11:B11"/>
    <mergeCell ref="C11:E11"/>
    <mergeCell ref="D34:E34"/>
    <mergeCell ref="D1:E1"/>
    <mergeCell ref="A2:E2"/>
    <mergeCell ref="A3:E3"/>
    <mergeCell ref="B5:D5"/>
    <mergeCell ref="A7:B7"/>
    <mergeCell ref="D7:E7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0"/>
  <sheetViews>
    <sheetView topLeftCell="A7" workbookViewId="0">
      <selection activeCell="G16" sqref="G16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3"/>
      <c r="B8" s="153"/>
      <c r="C8" s="153"/>
      <c r="D8" s="153"/>
      <c r="E8" s="153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171</v>
      </c>
      <c r="D10" s="241"/>
      <c r="E10" s="242"/>
    </row>
    <row r="11" spans="1:5" ht="15.75" thickBot="1">
      <c r="A11" s="258" t="s">
        <v>187</v>
      </c>
      <c r="B11" s="259"/>
      <c r="C11" s="246" t="s">
        <v>215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216</v>
      </c>
      <c r="C16" s="43">
        <v>142497</v>
      </c>
      <c r="D16" s="20">
        <v>2.2000000000000002</v>
      </c>
      <c r="E16" s="24">
        <f>C16*D16</f>
        <v>313493.40000000002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142497</v>
      </c>
      <c r="D22" s="9"/>
      <c r="E22" s="129">
        <f>SUM(E15:E18)</f>
        <v>313493.40000000002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28214.406000000003</v>
      </c>
    </row>
    <row r="26" spans="1:7">
      <c r="A26" s="9"/>
      <c r="B26" s="141" t="s">
        <v>180</v>
      </c>
      <c r="C26" s="9"/>
      <c r="D26" s="9"/>
      <c r="E26" s="24">
        <f>E22*9%</f>
        <v>28214.406000000003</v>
      </c>
    </row>
    <row r="27" spans="1:7">
      <c r="A27" s="9"/>
      <c r="B27" s="9"/>
      <c r="C27" s="11" t="s">
        <v>7</v>
      </c>
      <c r="D27" s="9"/>
      <c r="E27" s="154">
        <v>-0.21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369922.00200000004</v>
      </c>
    </row>
    <row r="32" spans="1:7">
      <c r="A32" s="18" t="s">
        <v>13</v>
      </c>
      <c r="B32" s="18" t="str">
        <f>[1]!rswords(E30)</f>
        <v>Rupees Three Lakh(s) Sixty Nine Thousand Nine Hundred Twenty Two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40"/>
  <sheetViews>
    <sheetView topLeftCell="A4" workbookViewId="0">
      <selection activeCell="G27" sqref="G27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5"/>
      <c r="B8" s="155"/>
      <c r="C8" s="155"/>
      <c r="D8" s="155"/>
      <c r="E8" s="155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217</v>
      </c>
      <c r="D10" s="241"/>
      <c r="E10" s="242"/>
    </row>
    <row r="11" spans="1:5" ht="15.75" thickBot="1">
      <c r="A11" s="258" t="s">
        <v>187</v>
      </c>
      <c r="B11" s="259"/>
      <c r="C11" s="246" t="s">
        <v>218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219</v>
      </c>
      <c r="C16" s="43">
        <v>114585</v>
      </c>
      <c r="D16" s="20">
        <v>2.2000000000000002</v>
      </c>
      <c r="E16" s="24">
        <f>C16*D16</f>
        <v>252087.00000000003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114585</v>
      </c>
      <c r="D22" s="9"/>
      <c r="E22" s="129">
        <f>SUM(E15:E18)</f>
        <v>252087.00000000003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22687.83</v>
      </c>
    </row>
    <row r="26" spans="1:7">
      <c r="A26" s="9"/>
      <c r="B26" s="141" t="s">
        <v>180</v>
      </c>
      <c r="C26" s="9"/>
      <c r="D26" s="9"/>
      <c r="E26" s="24">
        <f>E22*9%</f>
        <v>22687.83</v>
      </c>
    </row>
    <row r="27" spans="1:7">
      <c r="A27" s="9"/>
      <c r="B27" s="9"/>
      <c r="C27" s="11" t="s">
        <v>7</v>
      </c>
      <c r="D27" s="9"/>
      <c r="E27" s="154">
        <v>0.34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297463</v>
      </c>
    </row>
    <row r="32" spans="1:7">
      <c r="A32" s="18" t="s">
        <v>13</v>
      </c>
      <c r="B32" s="18" t="str">
        <f>[1]!rswords(E30)</f>
        <v>Rupees Two Lakh(s) Ninety Seven Thousand Four Hundred Sixty Three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A37:E37"/>
    <mergeCell ref="A9:B9"/>
    <mergeCell ref="A10:B10"/>
    <mergeCell ref="C10:E10"/>
    <mergeCell ref="A11:B11"/>
    <mergeCell ref="C11:E11"/>
    <mergeCell ref="D34:E34"/>
    <mergeCell ref="D1:E1"/>
    <mergeCell ref="A2:E2"/>
    <mergeCell ref="A3:E3"/>
    <mergeCell ref="B5:D5"/>
    <mergeCell ref="A7:B7"/>
    <mergeCell ref="D7:E7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E28" sqref="E28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179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7"/>
      <c r="B8" s="157"/>
      <c r="C8" s="157"/>
      <c r="D8" s="157"/>
      <c r="E8" s="157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186</v>
      </c>
      <c r="D10" s="241"/>
      <c r="E10" s="242"/>
    </row>
    <row r="11" spans="1:5" ht="15.75" thickBot="1">
      <c r="A11" s="258" t="s">
        <v>187</v>
      </c>
      <c r="B11" s="259"/>
      <c r="C11" s="246" t="s">
        <v>224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223</v>
      </c>
      <c r="C16" s="43">
        <v>137268</v>
      </c>
      <c r="D16" s="20">
        <v>2.2000000000000002</v>
      </c>
      <c r="E16" s="24">
        <f>C16*D16</f>
        <v>301989.60000000003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137268</v>
      </c>
      <c r="D22" s="9"/>
      <c r="E22" s="129">
        <f>SUM(E15:E18)</f>
        <v>301989.60000000003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27179.064000000002</v>
      </c>
    </row>
    <row r="26" spans="1:7">
      <c r="A26" s="9"/>
      <c r="B26" s="141" t="s">
        <v>180</v>
      </c>
      <c r="C26" s="9"/>
      <c r="D26" s="9"/>
      <c r="E26" s="24">
        <f>E22*9%</f>
        <v>27179.064000000002</v>
      </c>
    </row>
    <row r="27" spans="1:7">
      <c r="A27" s="9"/>
      <c r="B27" s="9"/>
      <c r="C27" s="11" t="s">
        <v>7</v>
      </c>
      <c r="D27" s="9"/>
      <c r="E27" s="154">
        <v>0.27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356347.99800000002</v>
      </c>
    </row>
    <row r="32" spans="1:7">
      <c r="A32" s="18" t="s">
        <v>13</v>
      </c>
      <c r="B32" s="18" t="str">
        <f>[1]!rswords(E30)</f>
        <v>Rupees Three Lakh(s) Fifty Six Thousand Three Hundred Forty Eight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B34" sqref="B34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222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6"/>
      <c r="B8" s="156"/>
      <c r="C8" s="156"/>
      <c r="D8" s="156"/>
      <c r="E8" s="156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189</v>
      </c>
      <c r="D10" s="241"/>
      <c r="E10" s="242"/>
    </row>
    <row r="11" spans="1:5" ht="15.75" thickBot="1">
      <c r="A11" s="258" t="s">
        <v>187</v>
      </c>
      <c r="B11" s="259"/>
      <c r="C11" s="246" t="s">
        <v>220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221</v>
      </c>
      <c r="C16" s="43">
        <v>137268</v>
      </c>
      <c r="D16" s="20">
        <v>2.2000000000000002</v>
      </c>
      <c r="E16" s="24">
        <f>C16*D16</f>
        <v>301989.60000000003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137268</v>
      </c>
      <c r="D22" s="9"/>
      <c r="E22" s="129">
        <f>SUM(E15:E18)</f>
        <v>301989.60000000003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27179.064000000002</v>
      </c>
    </row>
    <row r="26" spans="1:7">
      <c r="A26" s="9"/>
      <c r="B26" s="141" t="s">
        <v>180</v>
      </c>
      <c r="C26" s="9"/>
      <c r="D26" s="9"/>
      <c r="E26" s="24">
        <f>E22*9%</f>
        <v>27179.064000000002</v>
      </c>
    </row>
    <row r="27" spans="1:7">
      <c r="A27" s="9"/>
      <c r="B27" s="9"/>
      <c r="C27" s="11" t="s">
        <v>7</v>
      </c>
      <c r="D27" s="9"/>
      <c r="E27" s="154">
        <v>0.27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356347.99800000002</v>
      </c>
    </row>
    <row r="32" spans="1:7">
      <c r="A32" s="18" t="s">
        <v>13</v>
      </c>
      <c r="B32" s="18" t="str">
        <f>[1]!rswords(E30)</f>
        <v>Rupees Three Lakh(s) Fifty Six Thousand Three Hundred Forty Eight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F21" sqref="F21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222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8"/>
      <c r="B8" s="158"/>
      <c r="C8" s="158"/>
      <c r="D8" s="158"/>
      <c r="E8" s="158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192</v>
      </c>
      <c r="D10" s="241"/>
      <c r="E10" s="242"/>
    </row>
    <row r="11" spans="1:5" ht="15.75" thickBot="1">
      <c r="A11" s="258" t="s">
        <v>187</v>
      </c>
      <c r="B11" s="259"/>
      <c r="C11" s="246" t="s">
        <v>226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225</v>
      </c>
      <c r="C16" s="43">
        <v>138444</v>
      </c>
      <c r="D16" s="20">
        <v>2.2000000000000002</v>
      </c>
      <c r="E16" s="24">
        <f>C16*D16</f>
        <v>304576.80000000005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138444</v>
      </c>
      <c r="D22" s="9"/>
      <c r="E22" s="129">
        <f>SUM(E15:E18)</f>
        <v>304576.80000000005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27411.912000000004</v>
      </c>
    </row>
    <row r="26" spans="1:7">
      <c r="A26" s="9"/>
      <c r="B26" s="141" t="s">
        <v>180</v>
      </c>
      <c r="C26" s="9"/>
      <c r="D26" s="9"/>
      <c r="E26" s="24">
        <f>E22*9%</f>
        <v>27411.912000000004</v>
      </c>
    </row>
    <row r="27" spans="1:7">
      <c r="A27" s="9"/>
      <c r="B27" s="9"/>
      <c r="C27" s="11" t="s">
        <v>7</v>
      </c>
      <c r="D27" s="9"/>
      <c r="E27" s="154">
        <v>0.38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359401.00400000007</v>
      </c>
    </row>
    <row r="32" spans="1:7">
      <c r="A32" s="18" t="s">
        <v>13</v>
      </c>
      <c r="B32" s="18" t="str">
        <f>[1]!rswords(E30)</f>
        <v>Rupees Three Lakh(s) Fifty Nine Thousand Four Hundred One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A37:E37"/>
    <mergeCell ref="A9:B9"/>
    <mergeCell ref="A10:B10"/>
    <mergeCell ref="C10:E10"/>
    <mergeCell ref="A11:B11"/>
    <mergeCell ref="C11:E11"/>
    <mergeCell ref="D34:E34"/>
    <mergeCell ref="D1:E1"/>
    <mergeCell ref="A2:E2"/>
    <mergeCell ref="A3:E3"/>
    <mergeCell ref="B5:D5"/>
    <mergeCell ref="A7:B7"/>
    <mergeCell ref="D7:E7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B21" sqref="B21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188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222</v>
      </c>
      <c r="C5" s="252"/>
      <c r="D5" s="252"/>
      <c r="E5" s="30"/>
    </row>
    <row r="7" spans="1:5">
      <c r="A7" s="256" t="s">
        <v>176</v>
      </c>
      <c r="B7" s="256"/>
      <c r="D7" s="254" t="s">
        <v>177</v>
      </c>
      <c r="E7" s="254"/>
    </row>
    <row r="8" spans="1:5" ht="15.75" thickBot="1">
      <c r="A8" s="159"/>
      <c r="B8" s="159"/>
      <c r="C8" s="159"/>
      <c r="D8" s="159"/>
      <c r="E8" s="159"/>
    </row>
    <row r="9" spans="1:5" ht="12.75" customHeight="1">
      <c r="A9" s="260" t="s">
        <v>1</v>
      </c>
      <c r="B9" s="261"/>
      <c r="C9" s="4"/>
      <c r="D9" s="4"/>
      <c r="E9" s="3"/>
    </row>
    <row r="10" spans="1:5">
      <c r="A10" s="262" t="s">
        <v>2</v>
      </c>
      <c r="B10" s="263"/>
      <c r="C10" s="241" t="s">
        <v>197</v>
      </c>
      <c r="D10" s="241"/>
      <c r="E10" s="242"/>
    </row>
    <row r="11" spans="1:5" ht="15.75" thickBot="1">
      <c r="A11" s="258" t="s">
        <v>187</v>
      </c>
      <c r="B11" s="259"/>
      <c r="C11" s="246" t="s">
        <v>227</v>
      </c>
      <c r="D11" s="246"/>
      <c r="E11" s="247"/>
    </row>
    <row r="12" spans="1:5" ht="15.75" thickBot="1"/>
    <row r="13" spans="1:5" ht="15.75" thickBot="1">
      <c r="A13" s="5" t="s">
        <v>3</v>
      </c>
      <c r="B13" s="5" t="s">
        <v>4</v>
      </c>
      <c r="C13" s="5" t="s">
        <v>14</v>
      </c>
      <c r="D13" s="5" t="s">
        <v>15</v>
      </c>
      <c r="E13" s="5" t="s">
        <v>0</v>
      </c>
    </row>
    <row r="14" spans="1:5" ht="15.75" thickBot="1"/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228</v>
      </c>
      <c r="C16" s="43">
        <v>162798</v>
      </c>
      <c r="D16" s="20">
        <v>2.2000000000000002</v>
      </c>
      <c r="E16" s="24">
        <f>C16*D16</f>
        <v>358155.60000000003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162798</v>
      </c>
      <c r="D22" s="9"/>
      <c r="E22" s="129">
        <f>SUM(E15:E18)</f>
        <v>358155.60000000003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32234.004000000001</v>
      </c>
    </row>
    <row r="26" spans="1:7">
      <c r="A26" s="9"/>
      <c r="B26" s="141" t="s">
        <v>180</v>
      </c>
      <c r="C26" s="9"/>
      <c r="D26" s="9"/>
      <c r="E26" s="24">
        <f>E22*9%</f>
        <v>32234.004000000001</v>
      </c>
    </row>
    <row r="27" spans="1:7">
      <c r="A27" s="9"/>
      <c r="B27" s="9"/>
      <c r="C27" s="11" t="s">
        <v>7</v>
      </c>
      <c r="D27" s="9"/>
      <c r="E27" s="154">
        <v>0.39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422623.99800000002</v>
      </c>
    </row>
    <row r="32" spans="1:7">
      <c r="A32" s="18" t="s">
        <v>13</v>
      </c>
      <c r="B32" s="18" t="str">
        <f>[1]!rswords(E30)</f>
        <v>Rupees Four Lakh(s) Twenty Two Thousand Six Hundred Twenty Four Only</v>
      </c>
    </row>
    <row r="34" spans="1:5">
      <c r="A34" s="18" t="s">
        <v>9</v>
      </c>
      <c r="B34" s="18" t="s">
        <v>10</v>
      </c>
      <c r="C34" s="18"/>
      <c r="D34" s="237" t="s">
        <v>11</v>
      </c>
      <c r="E34" s="237"/>
    </row>
    <row r="35" spans="1:5">
      <c r="A35" s="18" t="s">
        <v>182</v>
      </c>
      <c r="B35" s="18" t="s">
        <v>183</v>
      </c>
      <c r="C35" s="18"/>
      <c r="D35" s="18"/>
      <c r="E35" s="18"/>
    </row>
    <row r="36" spans="1:5" ht="15.75" thickBot="1">
      <c r="A36" s="18"/>
      <c r="B36" s="18"/>
      <c r="C36" s="18"/>
      <c r="D36" s="18"/>
      <c r="E36" s="18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13">
    <mergeCell ref="D1:E1"/>
    <mergeCell ref="A2:E2"/>
    <mergeCell ref="A3:E3"/>
    <mergeCell ref="B5:D5"/>
    <mergeCell ref="A7:B7"/>
    <mergeCell ref="D7:E7"/>
    <mergeCell ref="A37:E37"/>
    <mergeCell ref="A9:B9"/>
    <mergeCell ref="A10:B10"/>
    <mergeCell ref="C10:E10"/>
    <mergeCell ref="A11:B11"/>
    <mergeCell ref="C11:E11"/>
    <mergeCell ref="D34:E34"/>
  </mergeCells>
  <hyperlinks>
    <hyperlink ref="B25" r:id="rId1" display="CGST@ 9%"/>
    <hyperlink ref="B26" r:id="rId2" display="SGST@ 9%"/>
  </hyperlinks>
  <pageMargins left="0.51" right="0.4" top="0.97" bottom="0.75" header="0.45" footer="0.3"/>
  <pageSetup orientation="portrait" verticalDpi="300" r:id="rId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41"/>
  <sheetViews>
    <sheetView topLeftCell="A13" workbookViewId="0">
      <selection activeCell="G22" sqref="G22"/>
    </sheetView>
  </sheetViews>
  <sheetFormatPr defaultRowHeight="15"/>
  <cols>
    <col min="1" max="1" width="13.7109375" customWidth="1"/>
    <col min="2" max="2" width="37.28515625" customWidth="1"/>
    <col min="3" max="3" width="14" customWidth="1"/>
    <col min="4" max="4" width="13" customWidth="1"/>
    <col min="5" max="5" width="18.42578125" customWidth="1"/>
    <col min="7" max="7" width="9.5703125" bestFit="1" customWidth="1"/>
  </cols>
  <sheetData>
    <row r="1" spans="1:5">
      <c r="D1" s="254" t="s">
        <v>174</v>
      </c>
      <c r="E1" s="254"/>
    </row>
    <row r="2" spans="1:5">
      <c r="A2" s="237" t="s">
        <v>231</v>
      </c>
      <c r="B2" s="237"/>
      <c r="C2" s="237"/>
      <c r="D2" s="237"/>
      <c r="E2" s="237"/>
    </row>
    <row r="3" spans="1:5" ht="30" customHeight="1">
      <c r="A3" s="255" t="s">
        <v>175</v>
      </c>
      <c r="B3" s="255"/>
      <c r="C3" s="255"/>
      <c r="D3" s="255"/>
      <c r="E3" s="255"/>
    </row>
    <row r="4" spans="1:5" ht="15.75" thickBot="1"/>
    <row r="5" spans="1:5" ht="19.5" thickBot="1">
      <c r="A5" s="28"/>
      <c r="B5" s="252" t="s">
        <v>222</v>
      </c>
      <c r="C5" s="252"/>
      <c r="D5" s="252"/>
      <c r="E5" s="30"/>
    </row>
    <row r="6" spans="1:5" ht="12.75" customHeight="1"/>
    <row r="7" spans="1:5">
      <c r="A7" s="18" t="s">
        <v>9</v>
      </c>
      <c r="B7" s="18" t="s">
        <v>10</v>
      </c>
    </row>
    <row r="8" spans="1:5">
      <c r="A8" s="18" t="s">
        <v>182</v>
      </c>
      <c r="B8" s="18" t="s">
        <v>183</v>
      </c>
    </row>
    <row r="9" spans="1:5" ht="9" customHeight="1" thickBot="1">
      <c r="A9" s="160"/>
      <c r="B9" s="160"/>
      <c r="C9" s="160"/>
      <c r="D9" s="160"/>
      <c r="E9" s="160"/>
    </row>
    <row r="10" spans="1:5" ht="15.75" customHeight="1">
      <c r="A10" s="260" t="s">
        <v>1</v>
      </c>
      <c r="B10" s="261"/>
      <c r="C10" s="4"/>
      <c r="D10" s="4"/>
      <c r="E10" s="3"/>
    </row>
    <row r="11" spans="1:5" ht="17.25" customHeight="1">
      <c r="A11" s="262" t="s">
        <v>2</v>
      </c>
      <c r="B11" s="263"/>
      <c r="C11" s="241" t="s">
        <v>199</v>
      </c>
      <c r="D11" s="241"/>
      <c r="E11" s="242"/>
    </row>
    <row r="12" spans="1:5" ht="15.75" thickBot="1">
      <c r="A12" s="258" t="s">
        <v>187</v>
      </c>
      <c r="B12" s="259"/>
      <c r="C12" s="246" t="s">
        <v>229</v>
      </c>
      <c r="D12" s="246"/>
      <c r="E12" s="247"/>
    </row>
    <row r="13" spans="1:5" ht="15.75" thickBot="1"/>
    <row r="14" spans="1:5" ht="15.75" thickBot="1">
      <c r="A14" s="5" t="s">
        <v>3</v>
      </c>
      <c r="B14" s="5" t="s">
        <v>4</v>
      </c>
      <c r="C14" s="5" t="s">
        <v>14</v>
      </c>
      <c r="D14" s="5" t="s">
        <v>15</v>
      </c>
      <c r="E14" s="5" t="s">
        <v>0</v>
      </c>
    </row>
    <row r="15" spans="1:5" ht="15.75" thickBot="1"/>
    <row r="16" spans="1:5">
      <c r="A16" s="6">
        <v>1</v>
      </c>
      <c r="B16" s="7" t="s">
        <v>194</v>
      </c>
      <c r="C16" s="19"/>
      <c r="D16" s="19"/>
      <c r="E16" s="8"/>
    </row>
    <row r="17" spans="1:7">
      <c r="A17" s="9"/>
      <c r="B17" s="9" t="s">
        <v>230</v>
      </c>
      <c r="C17" s="43">
        <v>194604</v>
      </c>
      <c r="D17" s="20">
        <v>2.2000000000000002</v>
      </c>
      <c r="E17" s="24">
        <f>C17*D17</f>
        <v>428128.80000000005</v>
      </c>
    </row>
    <row r="18" spans="1:7">
      <c r="A18" s="9"/>
      <c r="B18" s="22"/>
      <c r="C18" s="9"/>
      <c r="D18" s="9"/>
      <c r="E18" s="10"/>
    </row>
    <row r="19" spans="1:7">
      <c r="A19" s="11"/>
      <c r="B19" s="9"/>
      <c r="C19" s="20"/>
      <c r="D19" s="20"/>
      <c r="E19" s="12"/>
    </row>
    <row r="20" spans="1:7">
      <c r="A20" s="9"/>
      <c r="B20" s="9"/>
      <c r="C20" s="9"/>
      <c r="D20" s="9"/>
      <c r="E20" s="10"/>
    </row>
    <row r="21" spans="1:7">
      <c r="A21" s="9"/>
      <c r="B21" s="9"/>
      <c r="C21" s="9"/>
      <c r="D21" s="9"/>
      <c r="E21" s="10"/>
    </row>
    <row r="22" spans="1:7" ht="15.75" thickBot="1">
      <c r="A22" s="9"/>
      <c r="B22" s="9"/>
      <c r="C22" s="13"/>
      <c r="D22" s="13"/>
      <c r="E22" s="14"/>
    </row>
    <row r="23" spans="1:7">
      <c r="A23" s="9"/>
      <c r="B23" s="9"/>
      <c r="C23" s="130">
        <f>C17</f>
        <v>194604</v>
      </c>
      <c r="D23" s="9"/>
      <c r="E23" s="129">
        <f>SUM(E16:E19)</f>
        <v>428128.80000000005</v>
      </c>
      <c r="G23" s="124"/>
    </row>
    <row r="24" spans="1:7">
      <c r="A24" s="9"/>
      <c r="B24" s="9"/>
      <c r="C24" s="9"/>
      <c r="D24" s="9"/>
      <c r="E24" s="10"/>
    </row>
    <row r="25" spans="1:7">
      <c r="A25" s="9"/>
      <c r="B25" s="9"/>
      <c r="C25" s="9"/>
      <c r="D25" s="9"/>
      <c r="E25" s="10"/>
    </row>
    <row r="26" spans="1:7">
      <c r="A26" s="9"/>
      <c r="B26" s="141" t="s">
        <v>181</v>
      </c>
      <c r="C26" s="9"/>
      <c r="D26" s="9"/>
      <c r="E26" s="146">
        <f>E23*9%</f>
        <v>38531.592000000004</v>
      </c>
    </row>
    <row r="27" spans="1:7">
      <c r="A27" s="9"/>
      <c r="B27" s="141" t="s">
        <v>180</v>
      </c>
      <c r="C27" s="9"/>
      <c r="D27" s="9"/>
      <c r="E27" s="24">
        <f>E23*9%</f>
        <v>38531.592000000004</v>
      </c>
    </row>
    <row r="28" spans="1:7">
      <c r="A28" s="9"/>
      <c r="B28" s="9"/>
      <c r="C28" s="11" t="s">
        <v>7</v>
      </c>
      <c r="D28" s="9"/>
      <c r="E28" s="154">
        <v>0.02</v>
      </c>
    </row>
    <row r="29" spans="1:7">
      <c r="A29" s="9"/>
      <c r="B29" s="9"/>
      <c r="C29" s="9"/>
      <c r="D29" s="9"/>
      <c r="E29" s="9"/>
    </row>
    <row r="30" spans="1:7" ht="15.75" thickBot="1">
      <c r="A30" s="9"/>
      <c r="B30" s="9"/>
      <c r="C30" s="9"/>
      <c r="D30" s="9"/>
      <c r="E30" s="9"/>
    </row>
    <row r="31" spans="1:7" ht="15.75" thickBot="1">
      <c r="A31" s="13"/>
      <c r="B31" s="13"/>
      <c r="C31" s="16" t="s">
        <v>8</v>
      </c>
      <c r="D31" s="13"/>
      <c r="E31" s="17">
        <f>E28+E27+E26+E23</f>
        <v>505192.00400000007</v>
      </c>
    </row>
    <row r="33" spans="1:5">
      <c r="A33" s="18" t="s">
        <v>13</v>
      </c>
      <c r="B33" s="18" t="str">
        <f>[1]!rswords(E31)</f>
        <v>Rupees Five Lakh(s) Five Thousand One Hundred Ninety Two Only</v>
      </c>
    </row>
    <row r="35" spans="1:5">
      <c r="C35" s="18"/>
      <c r="D35" s="237" t="s">
        <v>11</v>
      </c>
      <c r="E35" s="237"/>
    </row>
    <row r="36" spans="1:5">
      <c r="C36" s="18"/>
      <c r="D36" s="18"/>
      <c r="E36" s="18"/>
    </row>
    <row r="37" spans="1:5" ht="15.75" thickBot="1">
      <c r="A37" s="18"/>
      <c r="B37" s="18"/>
      <c r="C37" s="18"/>
      <c r="D37" s="18"/>
      <c r="E37" s="18"/>
    </row>
    <row r="38" spans="1:5" ht="16.5" thickBot="1">
      <c r="A38" s="248" t="s">
        <v>178</v>
      </c>
      <c r="B38" s="249"/>
      <c r="C38" s="249"/>
      <c r="D38" s="249"/>
      <c r="E38" s="250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  <row r="41" spans="1:5">
      <c r="A41" s="18"/>
      <c r="B41" s="18"/>
      <c r="C41" s="18"/>
      <c r="D41" s="18"/>
      <c r="E41" s="18"/>
    </row>
  </sheetData>
  <mergeCells count="11">
    <mergeCell ref="D1:E1"/>
    <mergeCell ref="A2:E2"/>
    <mergeCell ref="A3:E3"/>
    <mergeCell ref="B5:D5"/>
    <mergeCell ref="A38:E38"/>
    <mergeCell ref="A10:B10"/>
    <mergeCell ref="A11:B11"/>
    <mergeCell ref="C11:E11"/>
    <mergeCell ref="A12:B12"/>
    <mergeCell ref="C12:E12"/>
    <mergeCell ref="D35:E35"/>
  </mergeCells>
  <hyperlinks>
    <hyperlink ref="B26" r:id="rId1" display="CGST@ 9%"/>
    <hyperlink ref="B27" r:id="rId2" display="SGST@ 9%"/>
  </hyperlinks>
  <pageMargins left="0.51" right="0.4" top="0.97" bottom="0.75" header="0.45" footer="0.3"/>
  <pageSetup orientation="portrait" verticalDpi="300" r:id="rId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40"/>
  <sheetViews>
    <sheetView topLeftCell="A13" workbookViewId="0">
      <selection activeCell="H12" sqref="H12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74"/>
      <c r="C8" s="174"/>
      <c r="D8" s="174"/>
      <c r="E8" s="175"/>
    </row>
    <row r="9" spans="1:5" ht="15.75" customHeight="1">
      <c r="A9" s="163" t="s">
        <v>1</v>
      </c>
      <c r="B9" s="164"/>
      <c r="C9" s="4"/>
      <c r="D9" s="4"/>
      <c r="E9" s="269" t="s">
        <v>235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230</v>
      </c>
      <c r="C16" s="43">
        <v>194604</v>
      </c>
      <c r="D16" s="20">
        <v>2.2000000000000002</v>
      </c>
      <c r="E16" s="24">
        <f>C16*D16</f>
        <v>428128.80000000005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194604</v>
      </c>
      <c r="D22" s="9"/>
      <c r="E22" s="129">
        <f>SUM(E15:E18)</f>
        <v>428128.80000000005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38531.592000000004</v>
      </c>
    </row>
    <row r="26" spans="1:7">
      <c r="A26" s="9"/>
      <c r="B26" s="141" t="s">
        <v>180</v>
      </c>
      <c r="C26" s="9"/>
      <c r="D26" s="9"/>
      <c r="E26" s="24">
        <f>E22*9%</f>
        <v>38531.592000000004</v>
      </c>
    </row>
    <row r="27" spans="1:7">
      <c r="A27" s="9"/>
      <c r="B27" s="9"/>
      <c r="C27" s="11" t="s">
        <v>7</v>
      </c>
      <c r="D27" s="9"/>
      <c r="E27" s="154">
        <v>0.02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505192.00400000007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Five Lakh(s) Five Thousand One Hundred Ninety Two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D34:E34"/>
    <mergeCell ref="A37:E37"/>
    <mergeCell ref="A4:E4"/>
    <mergeCell ref="D1:E1"/>
    <mergeCell ref="A2:E2"/>
    <mergeCell ref="A3:E3"/>
    <mergeCell ref="E9:E11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G19" sqref="G19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77"/>
      <c r="C8" s="177"/>
      <c r="D8" s="177"/>
      <c r="E8" s="178"/>
    </row>
    <row r="9" spans="1:5" ht="15.75" customHeight="1">
      <c r="A9" s="163" t="s">
        <v>1</v>
      </c>
      <c r="B9" s="164"/>
      <c r="C9" s="4"/>
      <c r="D9" s="4"/>
      <c r="E9" s="269" t="s">
        <v>237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236</v>
      </c>
      <c r="C16" s="43">
        <v>165990</v>
      </c>
      <c r="D16" s="20">
        <v>2.2000000000000002</v>
      </c>
      <c r="E16" s="24">
        <f>C16*D16</f>
        <v>365178.00000000006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165990</v>
      </c>
      <c r="D22" s="9"/>
      <c r="E22" s="129">
        <f>SUM(E15:E18)</f>
        <v>365178.00000000006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32866.020000000004</v>
      </c>
    </row>
    <row r="26" spans="1:7">
      <c r="A26" s="9"/>
      <c r="B26" s="141" t="s">
        <v>180</v>
      </c>
      <c r="C26" s="9"/>
      <c r="D26" s="9"/>
      <c r="E26" s="24">
        <f>E22*9%</f>
        <v>32866.020000000004</v>
      </c>
    </row>
    <row r="27" spans="1:7">
      <c r="A27" s="9"/>
      <c r="B27" s="9"/>
      <c r="C27" s="11" t="s">
        <v>7</v>
      </c>
      <c r="D27" s="9"/>
      <c r="E27" s="154">
        <v>-0.04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430910.00000000006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Four Lakh(s) Thirty Thousand Nine Hundred Ten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I32" sqref="I32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79"/>
      <c r="C8" s="179"/>
      <c r="D8" s="179"/>
      <c r="E8" s="180"/>
    </row>
    <row r="9" spans="1:5" ht="15.75" customHeight="1">
      <c r="A9" s="163" t="s">
        <v>1</v>
      </c>
      <c r="B9" s="164"/>
      <c r="C9" s="4"/>
      <c r="D9" s="4"/>
      <c r="E9" s="269" t="s">
        <v>238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239</v>
      </c>
      <c r="C16" s="43">
        <v>202974</v>
      </c>
      <c r="D16" s="20">
        <v>2.2000000000000002</v>
      </c>
      <c r="E16" s="24">
        <f>C16*D16</f>
        <v>446542.80000000005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202974</v>
      </c>
      <c r="D22" s="9"/>
      <c r="E22" s="129">
        <f>SUM(E15:E18)</f>
        <v>446542.80000000005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40188.852000000006</v>
      </c>
    </row>
    <row r="26" spans="1:7">
      <c r="A26" s="9"/>
      <c r="B26" s="141" t="s">
        <v>180</v>
      </c>
      <c r="C26" s="9"/>
      <c r="D26" s="9"/>
      <c r="E26" s="24">
        <f>E22*9%</f>
        <v>40188.852000000006</v>
      </c>
    </row>
    <row r="27" spans="1:7">
      <c r="A27" s="9"/>
      <c r="B27" s="9"/>
      <c r="C27" s="11" t="s">
        <v>7</v>
      </c>
      <c r="D27" s="9"/>
      <c r="E27" s="154">
        <v>0.5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526921.00400000007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Five Lakh(s) Twenty Six Thousand Nine Hundred Twenty One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81"/>
      <c r="C8" s="181"/>
      <c r="D8" s="181"/>
      <c r="E8" s="182"/>
    </row>
    <row r="9" spans="1:5" ht="15.75" customHeight="1">
      <c r="A9" s="163" t="s">
        <v>1</v>
      </c>
      <c r="B9" s="164"/>
      <c r="C9" s="4"/>
      <c r="D9" s="4"/>
      <c r="E9" s="269" t="s">
        <v>240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241</v>
      </c>
      <c r="C16" s="43">
        <v>182085</v>
      </c>
      <c r="D16" s="20">
        <v>2.2000000000000002</v>
      </c>
      <c r="E16" s="24">
        <f>C16*D16</f>
        <v>400587.00000000006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182085</v>
      </c>
      <c r="D22" s="9"/>
      <c r="E22" s="129">
        <f>SUM(E15:E18)</f>
        <v>400587.00000000006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36052.83</v>
      </c>
    </row>
    <row r="26" spans="1:7">
      <c r="A26" s="9"/>
      <c r="B26" s="141" t="s">
        <v>180</v>
      </c>
      <c r="C26" s="9"/>
      <c r="D26" s="9"/>
      <c r="E26" s="24">
        <f>E22*9%</f>
        <v>36052.83</v>
      </c>
    </row>
    <row r="27" spans="1:7">
      <c r="A27" s="9"/>
      <c r="B27" s="9"/>
      <c r="C27" s="11" t="s">
        <v>7</v>
      </c>
      <c r="D27" s="9"/>
      <c r="E27" s="154">
        <v>0.34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472693.00000000006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Four Lakh(s) Seventy Two Thousand Six Hundred Ninety Three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83"/>
      <c r="C8" s="183"/>
      <c r="D8" s="183"/>
      <c r="E8" s="184"/>
    </row>
    <row r="9" spans="1:5" ht="15.75" customHeight="1">
      <c r="A9" s="163" t="s">
        <v>1</v>
      </c>
      <c r="B9" s="164"/>
      <c r="C9" s="4"/>
      <c r="D9" s="4"/>
      <c r="E9" s="269" t="s">
        <v>242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243</v>
      </c>
      <c r="C16" s="43">
        <v>134391</v>
      </c>
      <c r="D16" s="20">
        <v>2.2000000000000002</v>
      </c>
      <c r="E16" s="24">
        <f>C16*D16</f>
        <v>295660.2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134391</v>
      </c>
      <c r="D22" s="9"/>
      <c r="E22" s="129">
        <f>SUM(E15:E18)</f>
        <v>295660.2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26609.418000000001</v>
      </c>
    </row>
    <row r="26" spans="1:7">
      <c r="A26" s="9"/>
      <c r="B26" s="141" t="s">
        <v>180</v>
      </c>
      <c r="C26" s="9"/>
      <c r="D26" s="9"/>
      <c r="E26" s="24">
        <f>E22*9%</f>
        <v>26609.418000000001</v>
      </c>
    </row>
    <row r="27" spans="1:7">
      <c r="A27" s="9"/>
      <c r="B27" s="9"/>
      <c r="C27" s="11" t="s">
        <v>7</v>
      </c>
      <c r="D27" s="9"/>
      <c r="E27" s="154">
        <v>-0.04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348878.99600000004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Forty Eight Thousand Eight Hundred Seventy Nine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40"/>
  <sheetViews>
    <sheetView topLeftCell="A4" workbookViewId="0">
      <selection activeCell="G3" sqref="G3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85"/>
      <c r="C8" s="185"/>
      <c r="D8" s="185"/>
      <c r="E8" s="186"/>
    </row>
    <row r="9" spans="1:5" ht="15.75" customHeight="1">
      <c r="A9" s="163" t="s">
        <v>1</v>
      </c>
      <c r="B9" s="164"/>
      <c r="C9" s="4"/>
      <c r="D9" s="4"/>
      <c r="E9" s="269" t="s">
        <v>245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244</v>
      </c>
      <c r="C16" s="43">
        <v>109320</v>
      </c>
      <c r="D16" s="20">
        <v>2.2000000000000002</v>
      </c>
      <c r="E16" s="24">
        <f>C16*D16</f>
        <v>240504.00000000003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109320</v>
      </c>
      <c r="D22" s="9"/>
      <c r="E22" s="129">
        <f>SUM(E15:E18)</f>
        <v>240504.00000000003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21645.360000000001</v>
      </c>
    </row>
    <row r="26" spans="1:7">
      <c r="A26" s="9"/>
      <c r="B26" s="141" t="s">
        <v>180</v>
      </c>
      <c r="C26" s="9"/>
      <c r="D26" s="9"/>
      <c r="E26" s="24">
        <f>E22*9%</f>
        <v>21645.360000000001</v>
      </c>
    </row>
    <row r="27" spans="1:7">
      <c r="A27" s="9"/>
      <c r="B27" s="9"/>
      <c r="C27" s="11" t="s">
        <v>7</v>
      </c>
      <c r="D27" s="9"/>
      <c r="E27" s="154">
        <v>0.28000000000000003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283795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Two Lakh(s) Eighty Three Thousand Seven Hundred Ninety Five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40"/>
  <sheetViews>
    <sheetView topLeftCell="A16" workbookViewId="0">
      <selection activeCell="F34" sqref="F34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87"/>
      <c r="C8" s="187"/>
      <c r="D8" s="187"/>
      <c r="E8" s="188"/>
    </row>
    <row r="9" spans="1:5" ht="15.75" customHeight="1">
      <c r="A9" s="163" t="s">
        <v>1</v>
      </c>
      <c r="B9" s="164"/>
      <c r="C9" s="4"/>
      <c r="D9" s="4"/>
      <c r="E9" s="269" t="s">
        <v>246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247</v>
      </c>
      <c r="C16" s="43">
        <v>134649</v>
      </c>
      <c r="D16" s="20">
        <v>2.2000000000000002</v>
      </c>
      <c r="E16" s="24">
        <f>C16*D16</f>
        <v>296227.80000000005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134649</v>
      </c>
      <c r="D22" s="9"/>
      <c r="E22" s="129">
        <f>SUM(E15:E18)</f>
        <v>296227.80000000005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26660.502000000004</v>
      </c>
    </row>
    <row r="26" spans="1:7">
      <c r="A26" s="9"/>
      <c r="B26" s="141" t="s">
        <v>180</v>
      </c>
      <c r="C26" s="9"/>
      <c r="D26" s="9"/>
      <c r="E26" s="24">
        <f>E22*9%</f>
        <v>26660.502000000004</v>
      </c>
    </row>
    <row r="27" spans="1:7">
      <c r="A27" s="9"/>
      <c r="B27" s="9"/>
      <c r="C27" s="11" t="s">
        <v>7</v>
      </c>
      <c r="D27" s="9"/>
      <c r="E27" s="154">
        <v>0.2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349549.00400000007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Forty Nine Thousand Five Hundred Forty Nine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E9" sqref="E9:E11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89"/>
      <c r="C8" s="189"/>
      <c r="D8" s="189"/>
      <c r="E8" s="190"/>
    </row>
    <row r="9" spans="1:5" ht="15.75" customHeight="1">
      <c r="A9" s="163" t="s">
        <v>1</v>
      </c>
      <c r="B9" s="164"/>
      <c r="C9" s="4"/>
      <c r="D9" s="4"/>
      <c r="E9" s="269" t="s">
        <v>248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249</v>
      </c>
      <c r="C16" s="43">
        <v>128337</v>
      </c>
      <c r="D16" s="20">
        <v>2.2000000000000002</v>
      </c>
      <c r="E16" s="24">
        <f>C16*D16</f>
        <v>282341.40000000002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128337</v>
      </c>
      <c r="D22" s="9"/>
      <c r="E22" s="129">
        <f>SUM(E15:E18)</f>
        <v>282341.40000000002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25410.726000000002</v>
      </c>
    </row>
    <row r="26" spans="1:7">
      <c r="A26" s="9"/>
      <c r="B26" s="141" t="s">
        <v>180</v>
      </c>
      <c r="C26" s="9"/>
      <c r="D26" s="9"/>
      <c r="E26" s="24">
        <f>E22*9%</f>
        <v>25410.726000000002</v>
      </c>
    </row>
    <row r="27" spans="1:7">
      <c r="A27" s="9"/>
      <c r="B27" s="9"/>
      <c r="C27" s="11" t="s">
        <v>7</v>
      </c>
      <c r="D27" s="9"/>
      <c r="E27" s="154">
        <v>0.15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333163.00200000004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Thirty Three Thousand One Hundred Sixty Three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40"/>
  <sheetViews>
    <sheetView topLeftCell="A13"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91"/>
      <c r="C8" s="191"/>
      <c r="D8" s="191"/>
      <c r="E8" s="192"/>
    </row>
    <row r="9" spans="1:5" ht="15.75" customHeight="1">
      <c r="A9" s="163" t="s">
        <v>1</v>
      </c>
      <c r="B9" s="164"/>
      <c r="C9" s="4"/>
      <c r="D9" s="4"/>
      <c r="E9" s="269" t="s">
        <v>250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251</v>
      </c>
      <c r="C16" s="43">
        <v>165861</v>
      </c>
      <c r="D16" s="20">
        <v>2.2000000000000002</v>
      </c>
      <c r="E16" s="24">
        <f>C16*D16</f>
        <v>364894.2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165861</v>
      </c>
      <c r="D22" s="9"/>
      <c r="E22" s="129">
        <f>SUM(E15:E18)</f>
        <v>364894.2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32840.478000000003</v>
      </c>
    </row>
    <row r="26" spans="1:7">
      <c r="A26" s="9"/>
      <c r="B26" s="141" t="s">
        <v>180</v>
      </c>
      <c r="C26" s="9"/>
      <c r="D26" s="9"/>
      <c r="E26" s="24">
        <f>E22*9%</f>
        <v>32840.478000000003</v>
      </c>
    </row>
    <row r="27" spans="1:7">
      <c r="A27" s="9"/>
      <c r="B27" s="9"/>
      <c r="C27" s="11" t="s">
        <v>7</v>
      </c>
      <c r="D27" s="9"/>
      <c r="E27" s="154">
        <v>-0.16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430574.99600000004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Four Lakh(s) Thirty Thousand Five Hundred Seventy Five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40"/>
  <sheetViews>
    <sheetView topLeftCell="A13" workbookViewId="0">
      <selection activeCell="G26" sqref="G26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93"/>
      <c r="C8" s="193"/>
      <c r="D8" s="193"/>
      <c r="E8" s="194"/>
    </row>
    <row r="9" spans="1:5" ht="15.75" customHeight="1">
      <c r="A9" s="163" t="s">
        <v>1</v>
      </c>
      <c r="B9" s="164"/>
      <c r="C9" s="4"/>
      <c r="D9" s="4"/>
      <c r="E9" s="269" t="s">
        <v>252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253</v>
      </c>
      <c r="C16" s="43">
        <v>127719</v>
      </c>
      <c r="D16" s="20">
        <v>2.2000000000000002</v>
      </c>
      <c r="E16" s="24">
        <f>C16*D16</f>
        <v>280981.80000000005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127719</v>
      </c>
      <c r="D22" s="9"/>
      <c r="E22" s="129">
        <f>SUM(E15:E18)</f>
        <v>280981.80000000005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25288.362000000005</v>
      </c>
    </row>
    <row r="26" spans="1:7">
      <c r="A26" s="9"/>
      <c r="B26" s="141" t="s">
        <v>180</v>
      </c>
      <c r="C26" s="9"/>
      <c r="D26" s="9"/>
      <c r="E26" s="24">
        <f>E22*9%</f>
        <v>25288.362000000005</v>
      </c>
    </row>
    <row r="27" spans="1:7">
      <c r="A27" s="9"/>
      <c r="B27" s="9"/>
      <c r="C27" s="11" t="s">
        <v>7</v>
      </c>
      <c r="D27" s="9"/>
      <c r="E27" s="154">
        <v>0.48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331559.00400000007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Thirty One Thousand Five Hundred Fifty Nine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E12" sqref="E12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95"/>
      <c r="C8" s="195"/>
      <c r="D8" s="195"/>
      <c r="E8" s="196"/>
    </row>
    <row r="9" spans="1:5" ht="15.75" customHeight="1">
      <c r="A9" s="163" t="s">
        <v>1</v>
      </c>
      <c r="B9" s="164"/>
      <c r="C9" s="4"/>
      <c r="D9" s="4"/>
      <c r="E9" s="269" t="s">
        <v>255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254</v>
      </c>
      <c r="C16" s="43">
        <v>153648</v>
      </c>
      <c r="D16" s="20">
        <v>2.2000000000000002</v>
      </c>
      <c r="E16" s="24">
        <f>C16*D16</f>
        <v>338025.60000000003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153648</v>
      </c>
      <c r="D22" s="9"/>
      <c r="E22" s="129">
        <f>SUM(E15:E18)</f>
        <v>338025.60000000003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30422.304000000004</v>
      </c>
    </row>
    <row r="26" spans="1:7">
      <c r="A26" s="9"/>
      <c r="B26" s="141" t="s">
        <v>180</v>
      </c>
      <c r="C26" s="9"/>
      <c r="D26" s="9"/>
      <c r="E26" s="24">
        <f>E22*9%</f>
        <v>30422.304000000004</v>
      </c>
    </row>
    <row r="27" spans="1:7">
      <c r="A27" s="9"/>
      <c r="B27" s="9"/>
      <c r="C27" s="11" t="s">
        <v>7</v>
      </c>
      <c r="D27" s="9"/>
      <c r="E27" s="154">
        <v>-0.21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398869.99800000002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Ninety Eight Thousand Eight Hundred Seventy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40"/>
  <sheetViews>
    <sheetView topLeftCell="A13"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97"/>
      <c r="C8" s="197"/>
      <c r="D8" s="197"/>
      <c r="E8" s="198"/>
    </row>
    <row r="9" spans="1:5" ht="15.75" customHeight="1">
      <c r="A9" s="163" t="s">
        <v>1</v>
      </c>
      <c r="B9" s="164"/>
      <c r="C9" s="4"/>
      <c r="D9" s="4"/>
      <c r="E9" s="269" t="s">
        <v>256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257</v>
      </c>
      <c r="C16" s="43">
        <v>151659</v>
      </c>
      <c r="D16" s="20">
        <v>2.2000000000000002</v>
      </c>
      <c r="E16" s="24">
        <f>C16*D16</f>
        <v>333649.80000000005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151659</v>
      </c>
      <c r="D22" s="9"/>
      <c r="E22" s="129">
        <f>SUM(E15:E18)</f>
        <v>333649.80000000005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30028.482000000004</v>
      </c>
    </row>
    <row r="26" spans="1:7">
      <c r="A26" s="9"/>
      <c r="B26" s="141" t="s">
        <v>180</v>
      </c>
      <c r="C26" s="9"/>
      <c r="D26" s="9"/>
      <c r="E26" s="24">
        <f>E22*9%</f>
        <v>30028.482000000004</v>
      </c>
    </row>
    <row r="27" spans="1:7">
      <c r="A27" s="9"/>
      <c r="B27" s="9"/>
      <c r="C27" s="11" t="s">
        <v>7</v>
      </c>
      <c r="D27" s="9"/>
      <c r="E27" s="154">
        <v>0.24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393707.00400000007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Ninety Three Thousand Seven Hundred Seven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199"/>
      <c r="C8" s="199"/>
      <c r="D8" s="199"/>
      <c r="E8" s="200"/>
    </row>
    <row r="9" spans="1:5" ht="15.75" customHeight="1">
      <c r="A9" s="163" t="s">
        <v>1</v>
      </c>
      <c r="B9" s="164"/>
      <c r="C9" s="4"/>
      <c r="D9" s="4"/>
      <c r="E9" s="269" t="s">
        <v>259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258</v>
      </c>
      <c r="C16" s="43">
        <v>157008</v>
      </c>
      <c r="D16" s="20">
        <v>2.2000000000000002</v>
      </c>
      <c r="E16" s="24">
        <f>C16*D16</f>
        <v>345417.60000000003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157008</v>
      </c>
      <c r="D22" s="9"/>
      <c r="E22" s="129">
        <f>SUM(E15:E18)</f>
        <v>345417.60000000003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31087.584000000003</v>
      </c>
    </row>
    <row r="26" spans="1:7">
      <c r="A26" s="9"/>
      <c r="B26" s="141" t="s">
        <v>180</v>
      </c>
      <c r="C26" s="9"/>
      <c r="D26" s="9"/>
      <c r="E26" s="24">
        <f>E22*9%</f>
        <v>31087.584000000003</v>
      </c>
    </row>
    <row r="27" spans="1:7">
      <c r="A27" s="9"/>
      <c r="B27" s="9"/>
      <c r="C27" s="11" t="s">
        <v>7</v>
      </c>
      <c r="D27" s="9"/>
      <c r="E27" s="154">
        <v>0.23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407592.99800000002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Four Lakh(s) Seven Thousand Five Hundred Ninety Three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G21" sqref="G21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01"/>
      <c r="C8" s="201"/>
      <c r="D8" s="201"/>
      <c r="E8" s="202"/>
    </row>
    <row r="9" spans="1:5" ht="15.75" customHeight="1">
      <c r="A9" s="163" t="s">
        <v>1</v>
      </c>
      <c r="B9" s="164"/>
      <c r="C9" s="4"/>
      <c r="D9" s="4"/>
      <c r="E9" s="269" t="s">
        <v>260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261</v>
      </c>
      <c r="C16" s="43">
        <v>166524</v>
      </c>
      <c r="D16" s="20">
        <v>2.2000000000000002</v>
      </c>
      <c r="E16" s="24">
        <f>C16*D16</f>
        <v>366352.80000000005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166524</v>
      </c>
      <c r="D22" s="9"/>
      <c r="E22" s="129">
        <f>SUM(E15:E18)</f>
        <v>366352.80000000005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32971.752</v>
      </c>
    </row>
    <row r="26" spans="1:7">
      <c r="A26" s="9"/>
      <c r="B26" s="141" t="s">
        <v>180</v>
      </c>
      <c r="C26" s="9"/>
      <c r="D26" s="9"/>
      <c r="E26" s="24">
        <f>E22*9%</f>
        <v>32971.752</v>
      </c>
    </row>
    <row r="27" spans="1:7">
      <c r="A27" s="9"/>
      <c r="B27" s="9"/>
      <c r="C27" s="11" t="s">
        <v>7</v>
      </c>
      <c r="D27" s="9"/>
      <c r="E27" s="154">
        <v>-0.3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432296.00400000007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Four Lakh(s) Thirty Two Thousand Two Hundred Ninety Six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40"/>
  <sheetViews>
    <sheetView topLeftCell="A16" workbookViewId="0">
      <selection activeCell="F40" sqref="F40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03"/>
      <c r="C8" s="203"/>
      <c r="D8" s="203"/>
      <c r="E8" s="204"/>
    </row>
    <row r="9" spans="1:5" ht="15.75" customHeight="1">
      <c r="A9" s="163" t="s">
        <v>1</v>
      </c>
      <c r="B9" s="164"/>
      <c r="C9" s="4"/>
      <c r="D9" s="4"/>
      <c r="E9" s="269" t="s">
        <v>262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263</v>
      </c>
      <c r="C16" s="43">
        <v>187320</v>
      </c>
      <c r="D16" s="20">
        <v>2.2000000000000002</v>
      </c>
      <c r="E16" s="24">
        <f>C16*D16</f>
        <v>412104.00000000006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187320</v>
      </c>
      <c r="D22" s="9"/>
      <c r="E22" s="129">
        <f>SUM(E15:E18)</f>
        <v>412104.00000000006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37089.360000000001</v>
      </c>
    </row>
    <row r="26" spans="1:7">
      <c r="A26" s="9"/>
      <c r="B26" s="141" t="s">
        <v>180</v>
      </c>
      <c r="C26" s="9"/>
      <c r="D26" s="9"/>
      <c r="E26" s="24">
        <f>E22*9%</f>
        <v>37089.360000000001</v>
      </c>
    </row>
    <row r="27" spans="1:7">
      <c r="A27" s="9"/>
      <c r="B27" s="9"/>
      <c r="C27" s="11" t="s">
        <v>7</v>
      </c>
      <c r="D27" s="9"/>
      <c r="E27" s="154">
        <v>0.28000000000000003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486283.00000000006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Four Lakh(s) Eighty Six Thousand Two Hundred Eighty Three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05"/>
      <c r="C8" s="205"/>
      <c r="D8" s="205"/>
      <c r="E8" s="206"/>
    </row>
    <row r="9" spans="1:5" ht="15.75" customHeight="1">
      <c r="A9" s="163" t="s">
        <v>1</v>
      </c>
      <c r="B9" s="164"/>
      <c r="C9" s="4"/>
      <c r="D9" s="4"/>
      <c r="E9" s="269" t="s">
        <v>264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265</v>
      </c>
      <c r="C16" s="43">
        <v>155244</v>
      </c>
      <c r="D16" s="20">
        <v>2.2000000000000002</v>
      </c>
      <c r="E16" s="24">
        <f>C16*D16</f>
        <v>341536.80000000005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155244</v>
      </c>
      <c r="D22" s="9"/>
      <c r="E22" s="129">
        <f>SUM(E15:E18)</f>
        <v>341536.80000000005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30738.312000000002</v>
      </c>
    </row>
    <row r="26" spans="1:7">
      <c r="A26" s="9"/>
      <c r="B26" s="141" t="s">
        <v>180</v>
      </c>
      <c r="C26" s="9"/>
      <c r="D26" s="9"/>
      <c r="E26" s="24">
        <f>E22*9%</f>
        <v>30738.312000000002</v>
      </c>
    </row>
    <row r="27" spans="1:7">
      <c r="A27" s="9"/>
      <c r="B27" s="9"/>
      <c r="C27" s="11" t="s">
        <v>7</v>
      </c>
      <c r="D27" s="9"/>
      <c r="E27" s="154">
        <v>-0.42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403013.00400000007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Four Lakh(s) Three Thousand Thirteen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46"/>
  <sheetViews>
    <sheetView topLeftCell="A4" workbookViewId="0">
      <selection activeCell="B36" sqref="B36"/>
    </sheetView>
  </sheetViews>
  <sheetFormatPr defaultRowHeight="15"/>
  <cols>
    <col min="1" max="1" width="11.42578125" customWidth="1"/>
    <col min="2" max="2" width="37.28515625" customWidth="1"/>
    <col min="3" max="3" width="12.85546875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 ht="21">
      <c r="B1" s="213"/>
      <c r="C1" s="214" t="s">
        <v>272</v>
      </c>
      <c r="D1" s="212"/>
      <c r="E1" s="212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07"/>
      <c r="C8" s="207"/>
      <c r="D8" s="207"/>
      <c r="E8" s="208"/>
    </row>
    <row r="9" spans="1:5" ht="15.75" customHeight="1">
      <c r="A9" s="163" t="s">
        <v>1</v>
      </c>
      <c r="B9" s="164"/>
      <c r="C9" s="4"/>
      <c r="D9" s="4"/>
      <c r="E9" s="269" t="s">
        <v>269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5" t="s">
        <v>14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266</v>
      </c>
      <c r="C16" s="43">
        <v>106788</v>
      </c>
      <c r="D16" s="20">
        <v>2.2000000000000002</v>
      </c>
      <c r="E16" s="24">
        <f>C16*D16</f>
        <v>234933.6</v>
      </c>
    </row>
    <row r="17" spans="1:7">
      <c r="A17" s="9"/>
      <c r="B17" s="22"/>
      <c r="C17" s="9"/>
      <c r="D17" s="9"/>
      <c r="E17" s="10"/>
    </row>
    <row r="18" spans="1:7">
      <c r="A18" s="9"/>
      <c r="B18" s="22"/>
      <c r="C18" s="9"/>
      <c r="D18" s="9"/>
      <c r="E18" s="10"/>
    </row>
    <row r="19" spans="1:7">
      <c r="A19" s="9"/>
      <c r="B19" s="22"/>
      <c r="C19" s="9"/>
      <c r="D19" s="9"/>
      <c r="E19" s="10"/>
    </row>
    <row r="20" spans="1:7">
      <c r="A20" s="9"/>
      <c r="B20" s="22"/>
      <c r="C20" s="9"/>
      <c r="D20" s="9"/>
      <c r="E20" s="10"/>
    </row>
    <row r="21" spans="1:7">
      <c r="A21" s="9"/>
      <c r="B21" s="22"/>
      <c r="C21" s="9"/>
      <c r="D21" s="9"/>
      <c r="E21" s="10"/>
    </row>
    <row r="22" spans="1:7">
      <c r="A22" s="11"/>
      <c r="B22" s="9"/>
      <c r="C22" s="20"/>
      <c r="D22" s="20"/>
      <c r="E22" s="12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 ht="15.75" thickBot="1">
      <c r="A25" s="9"/>
      <c r="B25" s="9"/>
      <c r="C25" s="13"/>
      <c r="D25" s="13"/>
      <c r="E25" s="14"/>
    </row>
    <row r="26" spans="1:7">
      <c r="A26" s="9"/>
      <c r="B26" s="9"/>
      <c r="C26" s="130">
        <f>C16</f>
        <v>106788</v>
      </c>
      <c r="D26" s="9"/>
      <c r="E26" s="129">
        <f>SUM(E15:E22)</f>
        <v>234933.6</v>
      </c>
      <c r="G26" s="124"/>
    </row>
    <row r="27" spans="1:7">
      <c r="A27" s="9"/>
      <c r="B27" s="9"/>
      <c r="C27" s="9"/>
      <c r="D27" s="9"/>
      <c r="E27" s="10"/>
    </row>
    <row r="28" spans="1:7">
      <c r="A28" s="9"/>
      <c r="B28" s="9"/>
      <c r="C28" s="9"/>
      <c r="D28" s="9"/>
      <c r="E28" s="10"/>
    </row>
    <row r="29" spans="1:7">
      <c r="A29" s="9"/>
      <c r="B29" s="141" t="s">
        <v>181</v>
      </c>
      <c r="C29" s="9"/>
      <c r="D29" s="9"/>
      <c r="E29" s="146">
        <f>E26*9%</f>
        <v>21144.024000000001</v>
      </c>
    </row>
    <row r="30" spans="1:7">
      <c r="A30" s="9"/>
      <c r="B30" s="141" t="s">
        <v>180</v>
      </c>
      <c r="C30" s="9"/>
      <c r="D30" s="9"/>
      <c r="E30" s="24">
        <f>E26*9%</f>
        <v>21144.024000000001</v>
      </c>
    </row>
    <row r="31" spans="1:7">
      <c r="A31" s="9"/>
      <c r="B31" s="9"/>
      <c r="C31" s="11" t="s">
        <v>7</v>
      </c>
      <c r="D31" s="9"/>
      <c r="E31" s="154">
        <v>0.35</v>
      </c>
    </row>
    <row r="32" spans="1:7">
      <c r="A32" s="9"/>
      <c r="B32" s="9"/>
      <c r="C32" s="9"/>
      <c r="D32" s="9"/>
      <c r="E32" s="9"/>
    </row>
    <row r="33" spans="1:5" ht="15.75" thickBot="1">
      <c r="A33" s="9"/>
      <c r="B33" s="9"/>
      <c r="C33" s="9"/>
      <c r="D33" s="9"/>
      <c r="E33" s="9"/>
    </row>
    <row r="34" spans="1:5" ht="15.75" thickBot="1">
      <c r="A34" s="13"/>
      <c r="B34" s="13"/>
      <c r="C34" s="16" t="s">
        <v>8</v>
      </c>
      <c r="D34" s="13"/>
      <c r="E34" s="17">
        <f>E31+E30+E29+E26</f>
        <v>277221.99800000002</v>
      </c>
    </row>
    <row r="35" spans="1:5">
      <c r="A35" s="26"/>
      <c r="B35" s="34"/>
      <c r="C35" s="34"/>
      <c r="D35" s="34"/>
      <c r="E35" s="10"/>
    </row>
    <row r="36" spans="1:5">
      <c r="A36" s="171" t="s">
        <v>13</v>
      </c>
      <c r="B36" s="172" t="str">
        <f>[1]!rswords(E34)</f>
        <v>Rupees Two Lakh(s) Seventy Seven Thousand Two Hundred Twenty Two Only</v>
      </c>
      <c r="C36" s="34"/>
      <c r="D36" s="34"/>
      <c r="E36" s="10"/>
    </row>
    <row r="37" spans="1:5">
      <c r="A37" s="26"/>
      <c r="B37" s="34"/>
      <c r="C37" s="34"/>
      <c r="D37" s="34"/>
      <c r="E37" s="10"/>
    </row>
    <row r="38" spans="1:5">
      <c r="A38" s="26"/>
      <c r="B38" s="34"/>
      <c r="C38" s="172"/>
      <c r="D38" s="264" t="s">
        <v>11</v>
      </c>
      <c r="E38" s="265"/>
    </row>
    <row r="39" spans="1:5">
      <c r="A39" s="26"/>
      <c r="B39" s="34"/>
      <c r="C39" s="172"/>
      <c r="D39" s="172"/>
      <c r="E39" s="176"/>
    </row>
    <row r="40" spans="1:5" ht="15.75" thickBot="1">
      <c r="A40" s="171"/>
      <c r="B40" s="172"/>
      <c r="C40" s="172"/>
      <c r="D40" s="172"/>
      <c r="E40" s="176"/>
    </row>
    <row r="41" spans="1:5" ht="16.5" thickBot="1">
      <c r="A41" s="248" t="s">
        <v>178</v>
      </c>
      <c r="B41" s="249"/>
      <c r="C41" s="249"/>
      <c r="D41" s="249"/>
      <c r="E41" s="250"/>
    </row>
    <row r="42" spans="1:5">
      <c r="A42" s="18"/>
      <c r="B42" s="18"/>
      <c r="C42" s="18"/>
      <c r="D42" s="18"/>
      <c r="E42" s="18"/>
    </row>
    <row r="43" spans="1:5">
      <c r="A43" s="18"/>
      <c r="B43" s="18"/>
      <c r="C43" s="18"/>
      <c r="D43" s="18"/>
      <c r="E43" s="18"/>
    </row>
    <row r="44" spans="1:5">
      <c r="A44" s="18"/>
      <c r="B44" s="18"/>
      <c r="C44" s="18"/>
      <c r="D44" s="18"/>
      <c r="E44" s="18"/>
    </row>
    <row r="46" spans="1:5">
      <c r="E46" t="str">
        <f>[1]!rswords(E34)</f>
        <v>Rupees Two Lakh(s) Seventy Seven Thousand Two Hundred Twenty Two Only</v>
      </c>
    </row>
  </sheetData>
  <mergeCells count="6">
    <mergeCell ref="A41:E41"/>
    <mergeCell ref="A2:E2"/>
    <mergeCell ref="A3:E3"/>
    <mergeCell ref="A4:E4"/>
    <mergeCell ref="E9:E11"/>
    <mergeCell ref="D38:E38"/>
  </mergeCells>
  <hyperlinks>
    <hyperlink ref="B29" r:id="rId1" display="CGST@ 9%"/>
    <hyperlink ref="B30" r:id="rId2" display="SGST@ 9%"/>
  </hyperlinks>
  <pageMargins left="0.49" right="0.4" top="0.97" bottom="0.75" header="0.45" footer="0.3"/>
  <pageSetup orientation="portrait" verticalDpi="300" r:id="rId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C27" sqref="C27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07"/>
      <c r="C8" s="207"/>
      <c r="D8" s="207"/>
      <c r="E8" s="208"/>
    </row>
    <row r="9" spans="1:5" ht="15.75" customHeight="1">
      <c r="A9" s="163" t="s">
        <v>1</v>
      </c>
      <c r="B9" s="164"/>
      <c r="C9" s="4"/>
      <c r="D9" s="4"/>
      <c r="E9" s="269" t="s">
        <v>271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267</v>
      </c>
      <c r="C16" s="43">
        <v>85000</v>
      </c>
      <c r="D16" s="20">
        <v>2.2000000000000002</v>
      </c>
      <c r="E16" s="24">
        <f>C16*D16</f>
        <v>187000.00000000003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 t="s">
        <v>268</v>
      </c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85000</v>
      </c>
      <c r="D22" s="9"/>
      <c r="E22" s="129">
        <f>E16</f>
        <v>187000.00000000003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16830.000000000004</v>
      </c>
    </row>
    <row r="26" spans="1:7">
      <c r="A26" s="9"/>
      <c r="B26" s="141" t="s">
        <v>180</v>
      </c>
      <c r="C26" s="9"/>
      <c r="D26" s="9"/>
      <c r="E26" s="24">
        <f>E22*9%</f>
        <v>16830.000000000004</v>
      </c>
    </row>
    <row r="27" spans="1:7">
      <c r="A27" s="9"/>
      <c r="B27" s="9"/>
      <c r="C27" s="11" t="s">
        <v>7</v>
      </c>
      <c r="D27" s="9"/>
      <c r="E27" s="154">
        <v>0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220660.00000000003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Two Lakh(s) Twenty Thousand Six Hundred Sixty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40"/>
  <sheetViews>
    <sheetView topLeftCell="A10" workbookViewId="0">
      <selection activeCell="B17" sqref="B17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10"/>
      <c r="C8" s="210"/>
      <c r="D8" s="210"/>
      <c r="E8" s="211"/>
    </row>
    <row r="9" spans="1:5" ht="15.75" customHeight="1">
      <c r="A9" s="163" t="s">
        <v>1</v>
      </c>
      <c r="B9" s="164"/>
      <c r="C9" s="4"/>
      <c r="D9" s="4"/>
      <c r="E9" s="269" t="s">
        <v>273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274</v>
      </c>
      <c r="C16" s="43">
        <v>109218</v>
      </c>
      <c r="D16" s="20">
        <v>2.2000000000000002</v>
      </c>
      <c r="E16" s="24">
        <f>C16*D16</f>
        <v>240279.6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109218</v>
      </c>
      <c r="D22" s="9"/>
      <c r="E22" s="129">
        <f>E16</f>
        <v>240279.6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21625.164000000001</v>
      </c>
    </row>
    <row r="26" spans="1:7">
      <c r="A26" s="9"/>
      <c r="B26" s="141" t="s">
        <v>180</v>
      </c>
      <c r="C26" s="9"/>
      <c r="D26" s="9"/>
      <c r="E26" s="24">
        <f>E22*9%</f>
        <v>21625.164000000001</v>
      </c>
    </row>
    <row r="27" spans="1:7">
      <c r="A27" s="9"/>
      <c r="B27" s="9"/>
      <c r="C27" s="11" t="s">
        <v>7</v>
      </c>
      <c r="D27" s="9"/>
      <c r="E27" s="154">
        <v>7.0000000000000007E-2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283529.99800000002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Two Lakh(s) Eighty Three Thousand Five Hundred Thirty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40"/>
  <sheetViews>
    <sheetView topLeftCell="A7"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15"/>
      <c r="C8" s="215"/>
      <c r="D8" s="215"/>
      <c r="E8" s="216"/>
    </row>
    <row r="9" spans="1:5" ht="15.75" customHeight="1">
      <c r="A9" s="163" t="s">
        <v>1</v>
      </c>
      <c r="B9" s="164"/>
      <c r="C9" s="4"/>
      <c r="D9" s="4"/>
      <c r="E9" s="269" t="s">
        <v>276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275</v>
      </c>
      <c r="C16" s="43">
        <v>178254</v>
      </c>
      <c r="D16" s="20">
        <v>2.2000000000000002</v>
      </c>
      <c r="E16" s="24">
        <f>C16*D16</f>
        <v>392158.80000000005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178254</v>
      </c>
      <c r="D22" s="9"/>
      <c r="E22" s="129">
        <f>E16</f>
        <v>392158.80000000005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35294.292000000001</v>
      </c>
    </row>
    <row r="26" spans="1:7">
      <c r="A26" s="9"/>
      <c r="B26" s="141" t="s">
        <v>180</v>
      </c>
      <c r="C26" s="9"/>
      <c r="D26" s="9"/>
      <c r="E26" s="24">
        <f>E22*9%</f>
        <v>35294.292000000001</v>
      </c>
    </row>
    <row r="27" spans="1:7">
      <c r="A27" s="9"/>
      <c r="B27" s="9"/>
      <c r="C27" s="11" t="s">
        <v>7</v>
      </c>
      <c r="D27" s="9"/>
      <c r="E27" s="154">
        <v>-0.38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462747.00400000007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Four Lakh(s) Sixty Two Thousand Seven Hundred Forty Seven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17"/>
      <c r="C8" s="217"/>
      <c r="D8" s="217"/>
      <c r="E8" s="218"/>
    </row>
    <row r="9" spans="1:5" ht="15.75" customHeight="1">
      <c r="A9" s="163" t="s">
        <v>1</v>
      </c>
      <c r="B9" s="164"/>
      <c r="C9" s="4"/>
      <c r="D9" s="4"/>
      <c r="E9" s="269" t="s">
        <v>277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278</v>
      </c>
      <c r="C16" s="43">
        <v>141810</v>
      </c>
      <c r="D16" s="20">
        <v>2.2000000000000002</v>
      </c>
      <c r="E16" s="24">
        <f>C16*D16</f>
        <v>311982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141810</v>
      </c>
      <c r="D22" s="9"/>
      <c r="E22" s="129">
        <f>E16</f>
        <v>311982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28078.379999999997</v>
      </c>
    </row>
    <row r="26" spans="1:7">
      <c r="A26" s="9"/>
      <c r="B26" s="141" t="s">
        <v>180</v>
      </c>
      <c r="C26" s="9"/>
      <c r="D26" s="9"/>
      <c r="E26" s="24">
        <f>E22*9%</f>
        <v>28078.379999999997</v>
      </c>
    </row>
    <row r="27" spans="1:7">
      <c r="A27" s="9"/>
      <c r="B27" s="9"/>
      <c r="C27" s="11" t="s">
        <v>7</v>
      </c>
      <c r="D27" s="9"/>
      <c r="E27" s="154">
        <v>0.24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368139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Sixty Eight Thousand One Hundred Thirty Nine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J40"/>
  <sheetViews>
    <sheetView topLeftCell="A5" workbookViewId="0">
      <selection activeCell="A3" sqref="A3:E3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19"/>
      <c r="C8" s="219"/>
      <c r="D8" s="219"/>
      <c r="E8" s="220"/>
    </row>
    <row r="9" spans="1:5" ht="15.75" customHeight="1">
      <c r="A9" s="163" t="s">
        <v>1</v>
      </c>
      <c r="B9" s="164"/>
      <c r="C9" s="4"/>
      <c r="D9" s="4"/>
      <c r="E9" s="269" t="s">
        <v>279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280</v>
      </c>
      <c r="C16" s="43">
        <v>184266</v>
      </c>
      <c r="D16" s="20">
        <v>2.2000000000000002</v>
      </c>
      <c r="E16" s="24">
        <f>C16*D16</f>
        <v>405385.2</v>
      </c>
    </row>
    <row r="17" spans="1:10">
      <c r="A17" s="9"/>
      <c r="B17" s="22"/>
      <c r="C17" s="9"/>
      <c r="D17" s="9"/>
      <c r="E17" s="10"/>
    </row>
    <row r="18" spans="1:10">
      <c r="A18" s="11"/>
      <c r="B18" s="9"/>
      <c r="C18" s="20"/>
      <c r="D18" s="20"/>
      <c r="E18" s="12"/>
    </row>
    <row r="19" spans="1:10">
      <c r="A19" s="9"/>
      <c r="B19" s="9"/>
      <c r="C19" s="9"/>
      <c r="D19" s="9"/>
      <c r="E19" s="10"/>
    </row>
    <row r="20" spans="1:10">
      <c r="A20" s="9"/>
      <c r="B20" s="9"/>
      <c r="C20" s="9"/>
      <c r="D20" s="9"/>
      <c r="E20" s="10"/>
      <c r="J20">
        <v>250</v>
      </c>
    </row>
    <row r="21" spans="1:10" ht="15.75" thickBot="1">
      <c r="A21" s="9"/>
      <c r="B21" s="9"/>
      <c r="C21" s="13"/>
      <c r="D21" s="13"/>
      <c r="E21" s="14"/>
      <c r="J21">
        <v>5</v>
      </c>
    </row>
    <row r="22" spans="1:10">
      <c r="A22" s="9"/>
      <c r="B22" s="9"/>
      <c r="C22" s="130">
        <f>C16</f>
        <v>184266</v>
      </c>
      <c r="D22" s="9"/>
      <c r="E22" s="129">
        <f>E16</f>
        <v>405385.2</v>
      </c>
      <c r="G22" s="124"/>
    </row>
    <row r="23" spans="1:10">
      <c r="A23" s="9"/>
      <c r="B23" s="9"/>
      <c r="C23" s="9"/>
      <c r="D23" s="9"/>
      <c r="E23" s="10"/>
    </row>
    <row r="24" spans="1:10">
      <c r="A24" s="9"/>
      <c r="B24" s="9"/>
      <c r="C24" s="9"/>
      <c r="D24" s="9"/>
      <c r="E24" s="10"/>
    </row>
    <row r="25" spans="1:10">
      <c r="A25" s="9"/>
      <c r="B25" s="141" t="s">
        <v>181</v>
      </c>
      <c r="C25" s="9"/>
      <c r="D25" s="9"/>
      <c r="E25" s="146">
        <f>E22*9%</f>
        <v>36484.667999999998</v>
      </c>
    </row>
    <row r="26" spans="1:10">
      <c r="A26" s="9"/>
      <c r="B26" s="141" t="s">
        <v>180</v>
      </c>
      <c r="C26" s="9"/>
      <c r="D26" s="9"/>
      <c r="E26" s="24">
        <f>E22*9%</f>
        <v>36484.667999999998</v>
      </c>
    </row>
    <row r="27" spans="1:10">
      <c r="A27" s="9"/>
      <c r="B27" s="9"/>
      <c r="C27" s="11" t="s">
        <v>7</v>
      </c>
      <c r="D27" s="9"/>
      <c r="E27" s="154">
        <v>0.46</v>
      </c>
    </row>
    <row r="28" spans="1:10">
      <c r="A28" s="9"/>
      <c r="B28" s="9"/>
      <c r="C28" s="9"/>
      <c r="D28" s="9"/>
      <c r="E28" s="9"/>
    </row>
    <row r="29" spans="1:10" ht="15.75" thickBot="1">
      <c r="A29" s="9"/>
      <c r="B29" s="9"/>
      <c r="C29" s="9"/>
      <c r="D29" s="9"/>
      <c r="E29" s="9"/>
    </row>
    <row r="30" spans="1:10" ht="15.75" thickBot="1">
      <c r="A30" s="13"/>
      <c r="B30" s="13"/>
      <c r="C30" s="16" t="s">
        <v>8</v>
      </c>
      <c r="D30" s="13"/>
      <c r="E30" s="17">
        <f>E27+E26+E25+E22</f>
        <v>478354.99600000004</v>
      </c>
    </row>
    <row r="31" spans="1:10">
      <c r="A31" s="26"/>
      <c r="B31" s="34"/>
      <c r="C31" s="34"/>
      <c r="D31" s="34"/>
      <c r="E31" s="10"/>
    </row>
    <row r="32" spans="1:10">
      <c r="A32" s="171" t="s">
        <v>13</v>
      </c>
      <c r="B32" s="172" t="str">
        <f>[1]!rswords(E30)</f>
        <v>Rupees Four Lakh(s) Seventy Eight Thousand Three Hundred Fifty Five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44"/>
  <sheetViews>
    <sheetView topLeftCell="A4" zoomScale="84" zoomScaleNormal="84" workbookViewId="0">
      <selection activeCell="I12" sqref="I12"/>
    </sheetView>
  </sheetViews>
  <sheetFormatPr defaultRowHeight="15"/>
  <cols>
    <col min="1" max="1" width="10.42578125" customWidth="1"/>
    <col min="2" max="2" width="45.5703125" customWidth="1"/>
    <col min="3" max="3" width="12.42578125" bestFit="1" customWidth="1"/>
    <col min="4" max="4" width="10.85546875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21"/>
      <c r="C8" s="221"/>
      <c r="D8" s="221"/>
      <c r="E8" s="222"/>
    </row>
    <row r="9" spans="1:5" ht="15.75" customHeight="1">
      <c r="A9" s="163" t="s">
        <v>1</v>
      </c>
      <c r="B9" s="164"/>
      <c r="C9" s="4"/>
      <c r="D9" s="4"/>
      <c r="E9" s="269" t="s">
        <v>283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 ht="15.75">
      <c r="A15" s="6">
        <v>1</v>
      </c>
      <c r="B15" s="7" t="s">
        <v>288</v>
      </c>
      <c r="C15" s="19"/>
      <c r="D15" s="19"/>
      <c r="E15" s="8"/>
    </row>
    <row r="16" spans="1:5">
      <c r="A16" s="9"/>
      <c r="B16" s="9" t="s">
        <v>275</v>
      </c>
      <c r="C16" s="43">
        <v>10386</v>
      </c>
      <c r="D16" s="20">
        <v>2.2000000000000002</v>
      </c>
      <c r="E16" s="24">
        <f>C16*D16</f>
        <v>22849.200000000001</v>
      </c>
    </row>
    <row r="17" spans="1:8">
      <c r="A17" s="9"/>
      <c r="B17" s="22"/>
      <c r="C17" s="9"/>
      <c r="D17" s="9"/>
      <c r="E17" s="10"/>
    </row>
    <row r="18" spans="1:8">
      <c r="A18" s="11"/>
      <c r="B18" s="9" t="s">
        <v>284</v>
      </c>
      <c r="C18" s="20"/>
      <c r="D18" s="20"/>
      <c r="E18" s="12"/>
    </row>
    <row r="19" spans="1:8">
      <c r="A19" s="9"/>
      <c r="B19" s="9" t="s">
        <v>285</v>
      </c>
      <c r="C19" s="9"/>
      <c r="D19" s="9"/>
      <c r="E19" s="10"/>
    </row>
    <row r="20" spans="1:8">
      <c r="A20" s="9"/>
      <c r="B20" s="9" t="s">
        <v>282</v>
      </c>
      <c r="C20" s="9"/>
      <c r="D20" s="9"/>
      <c r="E20" s="10"/>
    </row>
    <row r="21" spans="1:8" ht="15.75" thickBot="1">
      <c r="A21" s="9"/>
      <c r="B21" s="9"/>
      <c r="C21" s="13"/>
      <c r="D21" s="13"/>
      <c r="E21" s="14"/>
    </row>
    <row r="22" spans="1:8">
      <c r="A22" s="9"/>
      <c r="B22" s="9" t="s">
        <v>281</v>
      </c>
      <c r="C22" s="130">
        <f>C16</f>
        <v>10386</v>
      </c>
      <c r="D22" s="9"/>
      <c r="E22" s="129">
        <f>E16</f>
        <v>22849.200000000001</v>
      </c>
      <c r="G22" s="124"/>
      <c r="H22" s="124"/>
    </row>
    <row r="23" spans="1:8">
      <c r="A23" s="9"/>
      <c r="B23" s="9" t="s">
        <v>286</v>
      </c>
      <c r="C23" s="9"/>
      <c r="D23" s="9"/>
      <c r="E23" s="10"/>
      <c r="H23" s="124"/>
    </row>
    <row r="24" spans="1:8">
      <c r="A24" s="9"/>
      <c r="B24" s="9" t="s">
        <v>287</v>
      </c>
      <c r="C24" s="9"/>
      <c r="D24" s="9"/>
      <c r="E24" s="10"/>
    </row>
    <row r="25" spans="1:8">
      <c r="A25" s="9"/>
      <c r="B25" s="9"/>
      <c r="C25" s="9"/>
      <c r="D25" s="9"/>
      <c r="E25" s="10"/>
    </row>
    <row r="26" spans="1:8">
      <c r="A26" s="9"/>
      <c r="B26" s="9"/>
      <c r="C26" s="9"/>
      <c r="D26" s="9"/>
      <c r="E26" s="10"/>
    </row>
    <row r="27" spans="1:8">
      <c r="A27" s="9"/>
      <c r="B27" s="9"/>
      <c r="C27" s="9"/>
      <c r="D27" s="9"/>
      <c r="E27" s="10"/>
    </row>
    <row r="28" spans="1:8">
      <c r="A28" s="9"/>
      <c r="B28" s="9"/>
      <c r="C28" s="9"/>
      <c r="D28" s="9"/>
      <c r="E28" s="10"/>
    </row>
    <row r="29" spans="1:8">
      <c r="A29" s="9"/>
      <c r="B29" s="141" t="s">
        <v>181</v>
      </c>
      <c r="C29" s="9"/>
      <c r="D29" s="9"/>
      <c r="E29" s="146">
        <f>E22*9%</f>
        <v>2056.4279999999999</v>
      </c>
    </row>
    <row r="30" spans="1:8">
      <c r="A30" s="9"/>
      <c r="B30" s="141" t="s">
        <v>180</v>
      </c>
      <c r="C30" s="9"/>
      <c r="D30" s="9"/>
      <c r="E30" s="24">
        <f>E22*9%</f>
        <v>2056.4279999999999</v>
      </c>
    </row>
    <row r="31" spans="1:8">
      <c r="A31" s="9"/>
      <c r="B31" s="9"/>
      <c r="C31" s="11" t="s">
        <v>7</v>
      </c>
      <c r="D31" s="9"/>
      <c r="E31" s="154">
        <v>-0.06</v>
      </c>
    </row>
    <row r="32" spans="1:8">
      <c r="A32" s="9"/>
      <c r="B32" s="9"/>
      <c r="C32" s="9"/>
      <c r="D32" s="9"/>
      <c r="E32" s="9"/>
    </row>
    <row r="33" spans="1:5" ht="15.75" thickBot="1">
      <c r="A33" s="9"/>
      <c r="B33" s="9"/>
      <c r="C33" s="9"/>
      <c r="D33" s="9"/>
      <c r="E33" s="9"/>
    </row>
    <row r="34" spans="1:5" ht="15.75" thickBot="1">
      <c r="A34" s="13"/>
      <c r="B34" s="13"/>
      <c r="C34" s="16" t="s">
        <v>8</v>
      </c>
      <c r="D34" s="13"/>
      <c r="E34" s="17">
        <f>E31+E30+E29+E22</f>
        <v>26961.995999999999</v>
      </c>
    </row>
    <row r="35" spans="1:5">
      <c r="A35" s="26"/>
      <c r="B35" s="34"/>
      <c r="C35" s="34"/>
      <c r="D35" s="34"/>
      <c r="E35" s="10"/>
    </row>
    <row r="36" spans="1:5">
      <c r="A36" s="171" t="s">
        <v>13</v>
      </c>
      <c r="B36" s="172" t="str">
        <f>[1]!rswords(E34)</f>
        <v>Rupees Twenty Six Thousand Nine Hundred Sixty Two Only</v>
      </c>
      <c r="C36" s="34"/>
      <c r="D36" s="34"/>
      <c r="E36" s="10"/>
    </row>
    <row r="37" spans="1:5">
      <c r="A37" s="26"/>
      <c r="B37" s="34"/>
      <c r="C37" s="34"/>
      <c r="D37" s="34"/>
      <c r="E37" s="10"/>
    </row>
    <row r="38" spans="1:5">
      <c r="A38" s="26"/>
      <c r="B38" s="34"/>
      <c r="C38" s="172"/>
      <c r="D38" s="264" t="s">
        <v>11</v>
      </c>
      <c r="E38" s="265"/>
    </row>
    <row r="39" spans="1:5">
      <c r="A39" s="26"/>
      <c r="B39" s="34"/>
      <c r="C39" s="172"/>
      <c r="D39" s="172"/>
      <c r="E39" s="176"/>
    </row>
    <row r="40" spans="1:5" ht="15.75" thickBot="1">
      <c r="A40" s="171"/>
      <c r="B40" s="172"/>
      <c r="C40" s="172"/>
      <c r="D40" s="172"/>
      <c r="E40" s="176"/>
    </row>
    <row r="41" spans="1:5" ht="16.5" thickBot="1">
      <c r="A41" s="248" t="s">
        <v>178</v>
      </c>
      <c r="B41" s="249"/>
      <c r="C41" s="249"/>
      <c r="D41" s="249"/>
      <c r="E41" s="250"/>
    </row>
    <row r="42" spans="1:5">
      <c r="A42" s="18"/>
      <c r="B42" s="18"/>
      <c r="C42" s="18"/>
      <c r="D42" s="18"/>
      <c r="E42" s="18"/>
    </row>
    <row r="43" spans="1:5">
      <c r="A43" s="18"/>
      <c r="B43" s="18"/>
      <c r="C43" s="18"/>
      <c r="D43" s="18"/>
      <c r="E43" s="18"/>
    </row>
    <row r="44" spans="1:5">
      <c r="A44" s="18"/>
      <c r="B44" s="18"/>
      <c r="C44" s="18"/>
      <c r="D44" s="18"/>
      <c r="E44" s="18"/>
    </row>
  </sheetData>
  <mergeCells count="7">
    <mergeCell ref="A41:E41"/>
    <mergeCell ref="D1:E1"/>
    <mergeCell ref="A2:E2"/>
    <mergeCell ref="A3:E3"/>
    <mergeCell ref="A4:E4"/>
    <mergeCell ref="E9:E11"/>
    <mergeCell ref="D38:E38"/>
  </mergeCells>
  <hyperlinks>
    <hyperlink ref="B29" r:id="rId1" display="CGST@ 9%"/>
    <hyperlink ref="B30" r:id="rId2" display="SGST@ 9%"/>
  </hyperlinks>
  <pageMargins left="0.16" right="0.24" top="0.97" bottom="0.75" header="0.45" footer="0.3"/>
  <pageSetup orientation="portrait" verticalDpi="300" r:id="rId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44"/>
  <sheetViews>
    <sheetView zoomScale="84" zoomScaleNormal="84" workbookViewId="0">
      <selection activeCell="E32" sqref="E32"/>
    </sheetView>
  </sheetViews>
  <sheetFormatPr defaultRowHeight="15"/>
  <cols>
    <col min="1" max="1" width="10.42578125" customWidth="1"/>
    <col min="2" max="2" width="45.5703125" customWidth="1"/>
    <col min="3" max="3" width="12.42578125" bestFit="1" customWidth="1"/>
    <col min="4" max="4" width="10.85546875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23"/>
      <c r="C8" s="223"/>
      <c r="D8" s="223"/>
      <c r="E8" s="224"/>
    </row>
    <row r="9" spans="1:5" ht="15.75" customHeight="1">
      <c r="A9" s="163" t="s">
        <v>1</v>
      </c>
      <c r="B9" s="164"/>
      <c r="C9" s="4"/>
      <c r="D9" s="4"/>
      <c r="E9" s="269" t="s">
        <v>289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290</v>
      </c>
      <c r="C16" s="43">
        <v>154986</v>
      </c>
      <c r="D16" s="20">
        <v>2.2000000000000002</v>
      </c>
      <c r="E16" s="24">
        <f>C16*D16</f>
        <v>340969.2</v>
      </c>
    </row>
    <row r="17" spans="1:8">
      <c r="A17" s="9"/>
      <c r="B17" s="22"/>
      <c r="C17" s="9"/>
      <c r="D17" s="9"/>
      <c r="E17" s="10"/>
    </row>
    <row r="18" spans="1:8">
      <c r="A18" s="11"/>
      <c r="B18" s="9"/>
      <c r="C18" s="20"/>
      <c r="D18" s="20"/>
      <c r="E18" s="12"/>
    </row>
    <row r="19" spans="1:8">
      <c r="A19" s="9"/>
      <c r="B19" s="9"/>
      <c r="C19" s="9"/>
      <c r="D19" s="9"/>
      <c r="E19" s="10"/>
    </row>
    <row r="20" spans="1:8">
      <c r="A20" s="9"/>
      <c r="B20" s="9"/>
      <c r="C20" s="9"/>
      <c r="D20" s="9"/>
      <c r="E20" s="10"/>
    </row>
    <row r="21" spans="1:8" ht="15.75" thickBot="1">
      <c r="A21" s="9"/>
      <c r="B21" s="9"/>
      <c r="C21" s="13"/>
      <c r="D21" s="13"/>
      <c r="E21" s="14"/>
    </row>
    <row r="22" spans="1:8">
      <c r="A22" s="9"/>
      <c r="B22" s="9"/>
      <c r="C22" s="130">
        <f>C16</f>
        <v>154986</v>
      </c>
      <c r="D22" s="9"/>
      <c r="E22" s="129">
        <f>E16</f>
        <v>340969.2</v>
      </c>
      <c r="G22" s="124"/>
      <c r="H22" s="124"/>
    </row>
    <row r="23" spans="1:8">
      <c r="A23" s="9"/>
      <c r="B23" s="9"/>
      <c r="C23" s="9"/>
      <c r="D23" s="9"/>
      <c r="E23" s="10"/>
      <c r="H23" s="124"/>
    </row>
    <row r="24" spans="1:8">
      <c r="A24" s="9"/>
      <c r="B24" s="9"/>
      <c r="C24" s="9"/>
      <c r="D24" s="9"/>
      <c r="E24" s="10"/>
    </row>
    <row r="25" spans="1:8">
      <c r="A25" s="9"/>
      <c r="B25" s="9"/>
      <c r="C25" s="9"/>
      <c r="D25" s="9"/>
      <c r="E25" s="10"/>
    </row>
    <row r="26" spans="1:8">
      <c r="A26" s="9"/>
      <c r="B26" s="9"/>
      <c r="C26" s="9"/>
      <c r="D26" s="9"/>
      <c r="E26" s="10"/>
    </row>
    <row r="27" spans="1:8">
      <c r="A27" s="9"/>
      <c r="B27" s="9"/>
      <c r="C27" s="9"/>
      <c r="D27" s="9"/>
      <c r="E27" s="10"/>
    </row>
    <row r="28" spans="1:8">
      <c r="A28" s="9"/>
      <c r="B28" s="9"/>
      <c r="C28" s="9"/>
      <c r="D28" s="9"/>
      <c r="E28" s="10"/>
    </row>
    <row r="29" spans="1:8">
      <c r="A29" s="9"/>
      <c r="B29" s="141" t="s">
        <v>181</v>
      </c>
      <c r="C29" s="9"/>
      <c r="D29" s="9"/>
      <c r="E29" s="146">
        <f>E22*9%</f>
        <v>30687.227999999999</v>
      </c>
    </row>
    <row r="30" spans="1:8">
      <c r="A30" s="9"/>
      <c r="B30" s="141" t="s">
        <v>180</v>
      </c>
      <c r="C30" s="9"/>
      <c r="D30" s="9"/>
      <c r="E30" s="24">
        <f>E22*9%</f>
        <v>30687.227999999999</v>
      </c>
    </row>
    <row r="31" spans="1:8">
      <c r="A31" s="9"/>
      <c r="B31" s="9"/>
      <c r="C31" s="11" t="s">
        <v>7</v>
      </c>
      <c r="D31" s="9"/>
      <c r="E31" s="154">
        <v>0.34</v>
      </c>
    </row>
    <row r="32" spans="1:8">
      <c r="A32" s="9"/>
      <c r="B32" s="9"/>
      <c r="C32" s="9"/>
      <c r="D32" s="9"/>
      <c r="E32" s="9"/>
    </row>
    <row r="33" spans="1:5" ht="15.75" thickBot="1">
      <c r="A33" s="9"/>
      <c r="B33" s="9"/>
      <c r="C33" s="9"/>
      <c r="D33" s="9"/>
      <c r="E33" s="9"/>
    </row>
    <row r="34" spans="1:5" ht="15.75" thickBot="1">
      <c r="A34" s="13"/>
      <c r="B34" s="13"/>
      <c r="C34" s="16" t="s">
        <v>8</v>
      </c>
      <c r="D34" s="13"/>
      <c r="E34" s="17">
        <f>E31+E30+E29+E22</f>
        <v>402343.99600000004</v>
      </c>
    </row>
    <row r="35" spans="1:5">
      <c r="A35" s="26"/>
      <c r="B35" s="34"/>
      <c r="C35" s="34"/>
      <c r="D35" s="34"/>
      <c r="E35" s="10"/>
    </row>
    <row r="36" spans="1:5">
      <c r="A36" s="171" t="s">
        <v>13</v>
      </c>
      <c r="B36" s="172" t="str">
        <f>[1]!rswords(E34)</f>
        <v>Rupees Four Lakh(s) Two Thousand Three Hundred Forty Four Only</v>
      </c>
      <c r="C36" s="34"/>
      <c r="D36" s="34"/>
      <c r="E36" s="10"/>
    </row>
    <row r="37" spans="1:5">
      <c r="A37" s="26"/>
      <c r="B37" s="34"/>
      <c r="C37" s="34"/>
      <c r="D37" s="34"/>
      <c r="E37" s="10"/>
    </row>
    <row r="38" spans="1:5">
      <c r="A38" s="26"/>
      <c r="B38" s="34"/>
      <c r="C38" s="172"/>
      <c r="D38" s="264" t="s">
        <v>11</v>
      </c>
      <c r="E38" s="265"/>
    </row>
    <row r="39" spans="1:5">
      <c r="A39" s="26"/>
      <c r="B39" s="34"/>
      <c r="C39" s="172"/>
      <c r="D39" s="172"/>
      <c r="E39" s="176"/>
    </row>
    <row r="40" spans="1:5" ht="15.75" thickBot="1">
      <c r="A40" s="171"/>
      <c r="B40" s="172"/>
      <c r="C40" s="172"/>
      <c r="D40" s="172"/>
      <c r="E40" s="176"/>
    </row>
    <row r="41" spans="1:5" ht="16.5" thickBot="1">
      <c r="A41" s="248" t="s">
        <v>178</v>
      </c>
      <c r="B41" s="249"/>
      <c r="C41" s="249"/>
      <c r="D41" s="249"/>
      <c r="E41" s="250"/>
    </row>
    <row r="42" spans="1:5">
      <c r="A42" s="18"/>
      <c r="B42" s="18"/>
      <c r="C42" s="18"/>
      <c r="D42" s="18"/>
      <c r="E42" s="18"/>
    </row>
    <row r="43" spans="1:5">
      <c r="A43" s="18"/>
      <c r="B43" s="18"/>
      <c r="C43" s="18"/>
      <c r="D43" s="18"/>
      <c r="E43" s="18"/>
    </row>
    <row r="44" spans="1:5">
      <c r="A44" s="18"/>
      <c r="B44" s="18"/>
      <c r="C44" s="18"/>
      <c r="D44" s="18"/>
      <c r="E44" s="18"/>
    </row>
  </sheetData>
  <mergeCells count="7">
    <mergeCell ref="A41:E41"/>
    <mergeCell ref="D1:E1"/>
    <mergeCell ref="A2:E2"/>
    <mergeCell ref="A3:E3"/>
    <mergeCell ref="A4:E4"/>
    <mergeCell ref="E9:E11"/>
    <mergeCell ref="D38:E38"/>
  </mergeCells>
  <hyperlinks>
    <hyperlink ref="B29" r:id="rId1" display="CGST@ 9%"/>
    <hyperlink ref="B30" r:id="rId2" display="SGST@ 9%"/>
  </hyperlinks>
  <pageMargins left="0.16" right="0.24" top="0.97" bottom="0.75" header="0.45" footer="0.3"/>
  <pageSetup orientation="portrait" verticalDpi="300" r:id="rId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E25" sqref="E25:E26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25"/>
      <c r="C8" s="225"/>
      <c r="D8" s="225"/>
      <c r="E8" s="226"/>
    </row>
    <row r="9" spans="1:5" ht="15.75" customHeight="1">
      <c r="A9" s="163" t="s">
        <v>1</v>
      </c>
      <c r="B9" s="164"/>
      <c r="C9" s="4"/>
      <c r="D9" s="4"/>
      <c r="E9" s="269" t="s">
        <v>292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291</v>
      </c>
      <c r="C16" s="43">
        <v>149450</v>
      </c>
      <c r="D16" s="20">
        <v>2.2000000000000002</v>
      </c>
      <c r="E16" s="24">
        <f>C16*D16</f>
        <v>328790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149450</v>
      </c>
      <c r="D22" s="9"/>
      <c r="E22" s="129">
        <f>E16</f>
        <v>328790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29591.1</v>
      </c>
    </row>
    <row r="26" spans="1:7">
      <c r="A26" s="9"/>
      <c r="B26" s="141" t="s">
        <v>180</v>
      </c>
      <c r="C26" s="9"/>
      <c r="D26" s="9"/>
      <c r="E26" s="24">
        <f>E22*9%</f>
        <v>29591.1</v>
      </c>
    </row>
    <row r="27" spans="1:7">
      <c r="A27" s="9"/>
      <c r="B27" s="9"/>
      <c r="C27" s="11" t="s">
        <v>7</v>
      </c>
      <c r="D27" s="9"/>
      <c r="E27" s="154">
        <v>-0.2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387972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Eighty Seven Thousand Nine Hundred Seventy Two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40"/>
  <sheetViews>
    <sheetView topLeftCell="A7" workbookViewId="0">
      <selection activeCell="J27" sqref="J27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27"/>
      <c r="C8" s="227"/>
      <c r="D8" s="227"/>
      <c r="E8" s="228"/>
    </row>
    <row r="9" spans="1:5" ht="15.75" customHeight="1">
      <c r="A9" s="163" t="s">
        <v>1</v>
      </c>
      <c r="B9" s="164"/>
      <c r="C9" s="4"/>
      <c r="D9" s="4"/>
      <c r="E9" s="269" t="s">
        <v>294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293</v>
      </c>
      <c r="C16" s="43">
        <v>102040</v>
      </c>
      <c r="D16" s="20">
        <v>2.2000000000000002</v>
      </c>
      <c r="E16" s="24">
        <f>C16*D16</f>
        <v>224488.00000000003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102040</v>
      </c>
      <c r="D22" s="9"/>
      <c r="E22" s="129">
        <f>E16</f>
        <v>224488.00000000003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20203.920000000002</v>
      </c>
    </row>
    <row r="26" spans="1:7">
      <c r="A26" s="9"/>
      <c r="B26" s="141" t="s">
        <v>180</v>
      </c>
      <c r="C26" s="9"/>
      <c r="D26" s="9"/>
      <c r="E26" s="24">
        <f>E22*9%</f>
        <v>20203.920000000002</v>
      </c>
    </row>
    <row r="27" spans="1:7">
      <c r="A27" s="9"/>
      <c r="B27" s="9"/>
      <c r="C27" s="11" t="s">
        <v>7</v>
      </c>
      <c r="D27" s="9"/>
      <c r="E27" s="154">
        <v>0.16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264896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Two Lakh(s) Sixty Four Thousand Eight Hundred Ninety Six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29"/>
      <c r="C8" s="229"/>
      <c r="D8" s="229"/>
      <c r="E8" s="230"/>
    </row>
    <row r="9" spans="1:5" ht="15.75" customHeight="1">
      <c r="A9" s="163" t="s">
        <v>1</v>
      </c>
      <c r="B9" s="164"/>
      <c r="C9" s="4"/>
      <c r="D9" s="4"/>
      <c r="E9" s="269" t="s">
        <v>295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296</v>
      </c>
      <c r="C16" s="43">
        <v>149892</v>
      </c>
      <c r="D16" s="20">
        <v>2.2000000000000002</v>
      </c>
      <c r="E16" s="24">
        <f>C16*D16</f>
        <v>329762.40000000002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149892</v>
      </c>
      <c r="D22" s="9"/>
      <c r="E22" s="129">
        <f>E16</f>
        <v>329762.40000000002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29678.616000000002</v>
      </c>
    </row>
    <row r="26" spans="1:7">
      <c r="A26" s="9"/>
      <c r="B26" s="141" t="s">
        <v>180</v>
      </c>
      <c r="C26" s="9"/>
      <c r="D26" s="9"/>
      <c r="E26" s="24">
        <f>E22*9%</f>
        <v>29678.616000000002</v>
      </c>
    </row>
    <row r="27" spans="1:7">
      <c r="A27" s="9"/>
      <c r="B27" s="9"/>
      <c r="C27" s="11" t="s">
        <v>7</v>
      </c>
      <c r="D27" s="9"/>
      <c r="E27" s="154">
        <v>0.37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389120.00200000004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Eighty Nine Thousand One Hundred Twenty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31"/>
      <c r="C8" s="231"/>
      <c r="D8" s="231"/>
      <c r="E8" s="232"/>
    </row>
    <row r="9" spans="1:5" ht="15.75" customHeight="1">
      <c r="A9" s="163" t="s">
        <v>1</v>
      </c>
      <c r="B9" s="164"/>
      <c r="C9" s="4"/>
      <c r="D9" s="4"/>
      <c r="E9" s="269" t="s">
        <v>297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298</v>
      </c>
      <c r="C16" s="43">
        <v>121684</v>
      </c>
      <c r="D16" s="20">
        <v>2.2000000000000002</v>
      </c>
      <c r="E16" s="24">
        <f>C16*D16</f>
        <v>267704.80000000005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121684</v>
      </c>
      <c r="D22" s="9"/>
      <c r="E22" s="129">
        <f>E16</f>
        <v>267704.80000000005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24093.432000000004</v>
      </c>
    </row>
    <row r="26" spans="1:7">
      <c r="A26" s="9"/>
      <c r="B26" s="141" t="s">
        <v>180</v>
      </c>
      <c r="C26" s="9"/>
      <c r="D26" s="9"/>
      <c r="E26" s="24">
        <f>E22*9%</f>
        <v>24093.432000000004</v>
      </c>
    </row>
    <row r="27" spans="1:7">
      <c r="A27" s="9"/>
      <c r="B27" s="9"/>
      <c r="C27" s="11" t="s">
        <v>7</v>
      </c>
      <c r="D27" s="9"/>
      <c r="E27" s="154">
        <v>0.34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315892.00400000007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Three Lakh(s) Fifteen Thousand Eight Hundred Ninety Two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40"/>
  <sheetViews>
    <sheetView workbookViewId="0">
      <selection activeCell="E28" sqref="E28"/>
    </sheetView>
  </sheetViews>
  <sheetFormatPr defaultRowHeight="15"/>
  <cols>
    <col min="1" max="1" width="11.42578125" customWidth="1"/>
    <col min="2" max="2" width="37.28515625" customWidth="1"/>
    <col min="3" max="3" width="12.42578125" bestFit="1" customWidth="1"/>
    <col min="4" max="4" width="11.42578125" bestFit="1" customWidth="1"/>
    <col min="5" max="5" width="23.28515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33"/>
      <c r="C8" s="233"/>
      <c r="D8" s="233"/>
      <c r="E8" s="234"/>
    </row>
    <row r="9" spans="1:5" ht="15.75" customHeight="1">
      <c r="A9" s="163" t="s">
        <v>1</v>
      </c>
      <c r="B9" s="164"/>
      <c r="C9" s="4"/>
      <c r="D9" s="4"/>
      <c r="E9" s="269" t="s">
        <v>299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194</v>
      </c>
      <c r="C15" s="19"/>
      <c r="D15" s="19"/>
      <c r="E15" s="8"/>
    </row>
    <row r="16" spans="1:5">
      <c r="A16" s="9"/>
      <c r="B16" s="9" t="s">
        <v>300</v>
      </c>
      <c r="C16" s="43">
        <v>111230</v>
      </c>
      <c r="D16" s="20">
        <v>2.2000000000000002</v>
      </c>
      <c r="E16" s="24">
        <f>C16*D16</f>
        <v>244706.00000000003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/>
      <c r="C18" s="20"/>
      <c r="D18" s="20"/>
      <c r="E18" s="12"/>
    </row>
    <row r="19" spans="1:7">
      <c r="A19" s="9"/>
      <c r="B19" s="9"/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111230</v>
      </c>
      <c r="D22" s="9"/>
      <c r="E22" s="129">
        <f>E16</f>
        <v>244706.00000000003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22023.54</v>
      </c>
    </row>
    <row r="26" spans="1:7">
      <c r="A26" s="9"/>
      <c r="B26" s="141" t="s">
        <v>180</v>
      </c>
      <c r="C26" s="9"/>
      <c r="D26" s="9"/>
      <c r="E26" s="24">
        <f>E22*9%</f>
        <v>22023.54</v>
      </c>
    </row>
    <row r="27" spans="1:7">
      <c r="A27" s="9"/>
      <c r="B27" s="9"/>
      <c r="C27" s="11" t="s">
        <v>7</v>
      </c>
      <c r="D27" s="9"/>
      <c r="E27" s="154">
        <v>-0.08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288753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Two Lakh(s) Eighty Eight Thousand Seven Hundred Fifty Three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49" right="0.4" top="0.97" bottom="0.75" header="0.45" footer="0.3"/>
  <pageSetup orientation="portrait" verticalDpi="300" r:id="rId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40"/>
  <sheetViews>
    <sheetView tabSelected="1" topLeftCell="A22" workbookViewId="0">
      <selection activeCell="B17" sqref="B17"/>
    </sheetView>
  </sheetViews>
  <sheetFormatPr defaultRowHeight="15"/>
  <cols>
    <col min="1" max="1" width="6.85546875" customWidth="1"/>
    <col min="2" max="2" width="49" customWidth="1"/>
    <col min="3" max="3" width="12.28515625" customWidth="1"/>
    <col min="4" max="4" width="11" customWidth="1"/>
    <col min="5" max="5" width="23.140625" customWidth="1"/>
    <col min="7" max="7" width="9.5703125" bestFit="1" customWidth="1"/>
  </cols>
  <sheetData>
    <row r="1" spans="1:5">
      <c r="D1" s="254"/>
      <c r="E1" s="254"/>
    </row>
    <row r="2" spans="1:5" ht="21">
      <c r="A2" s="267" t="s">
        <v>231</v>
      </c>
      <c r="B2" s="267"/>
      <c r="C2" s="267"/>
      <c r="D2" s="267"/>
      <c r="E2" s="267"/>
    </row>
    <row r="3" spans="1:5" ht="43.5" customHeight="1">
      <c r="A3" s="268" t="s">
        <v>175</v>
      </c>
      <c r="B3" s="268"/>
      <c r="C3" s="268"/>
      <c r="D3" s="268"/>
      <c r="E3" s="268"/>
    </row>
    <row r="4" spans="1:5" ht="19.5" thickBot="1">
      <c r="A4" s="266" t="s">
        <v>232</v>
      </c>
      <c r="B4" s="266"/>
      <c r="C4" s="266"/>
      <c r="D4" s="266"/>
      <c r="E4" s="266"/>
    </row>
    <row r="5" spans="1:5" ht="12.75" customHeight="1">
      <c r="A5" s="36"/>
      <c r="B5" s="169"/>
      <c r="C5" s="169"/>
      <c r="D5" s="169"/>
      <c r="E5" s="170"/>
    </row>
    <row r="6" spans="1:5">
      <c r="A6" s="171" t="s">
        <v>9</v>
      </c>
      <c r="B6" s="172" t="s">
        <v>10</v>
      </c>
      <c r="C6" s="34"/>
      <c r="D6" s="34"/>
      <c r="E6" s="10"/>
    </row>
    <row r="7" spans="1:5">
      <c r="A7" s="171" t="s">
        <v>182</v>
      </c>
      <c r="B7" s="172" t="s">
        <v>183</v>
      </c>
      <c r="C7" s="34"/>
      <c r="D7" s="34"/>
      <c r="E7" s="10"/>
    </row>
    <row r="8" spans="1:5" ht="9" customHeight="1" thickBot="1">
      <c r="A8" s="173"/>
      <c r="B8" s="235"/>
      <c r="C8" s="235"/>
      <c r="D8" s="235"/>
      <c r="E8" s="236"/>
    </row>
    <row r="9" spans="1:5" ht="15.75" customHeight="1">
      <c r="A9" s="163" t="s">
        <v>1</v>
      </c>
      <c r="B9" s="164"/>
      <c r="C9" s="4"/>
      <c r="D9" s="4"/>
      <c r="E9" s="269" t="s">
        <v>301</v>
      </c>
    </row>
    <row r="10" spans="1:5" ht="15.75">
      <c r="A10" s="165" t="s">
        <v>2</v>
      </c>
      <c r="B10" s="166"/>
      <c r="C10" s="161"/>
      <c r="D10" s="161"/>
      <c r="E10" s="270"/>
    </row>
    <row r="11" spans="1:5" ht="16.5" customHeight="1" thickBot="1">
      <c r="A11" s="167" t="s">
        <v>187</v>
      </c>
      <c r="B11" s="168"/>
      <c r="C11" s="162"/>
      <c r="D11" s="162"/>
      <c r="E11" s="271"/>
    </row>
    <row r="12" spans="1:5" ht="15.75" thickBot="1">
      <c r="A12" s="26"/>
      <c r="B12" s="34"/>
      <c r="C12" s="34"/>
      <c r="D12" s="34"/>
      <c r="E12" s="10"/>
    </row>
    <row r="13" spans="1:5" ht="15.75" thickBot="1">
      <c r="A13" s="5" t="s">
        <v>3</v>
      </c>
      <c r="B13" s="5" t="s">
        <v>233</v>
      </c>
      <c r="C13" s="209" t="s">
        <v>270</v>
      </c>
      <c r="D13" s="5" t="s">
        <v>15</v>
      </c>
      <c r="E13" s="5" t="s">
        <v>234</v>
      </c>
    </row>
    <row r="14" spans="1:5" ht="15.75" thickBot="1">
      <c r="A14" s="26"/>
      <c r="B14" s="34"/>
      <c r="C14" s="34"/>
      <c r="D14" s="34"/>
      <c r="E14" s="10"/>
    </row>
    <row r="15" spans="1:5">
      <c r="A15" s="6">
        <v>1</v>
      </c>
      <c r="B15" s="7" t="s">
        <v>304</v>
      </c>
      <c r="C15" s="19"/>
      <c r="D15" s="19"/>
      <c r="E15" s="8"/>
    </row>
    <row r="16" spans="1:5">
      <c r="A16" s="9"/>
      <c r="B16" s="9" t="s">
        <v>305</v>
      </c>
      <c r="C16" s="43">
        <v>85000</v>
      </c>
      <c r="D16" s="20">
        <v>2.2000000000000002</v>
      </c>
      <c r="E16" s="24">
        <f>C16*D16</f>
        <v>187000.00000000003</v>
      </c>
    </row>
    <row r="17" spans="1:7">
      <c r="A17" s="9"/>
      <c r="B17" s="22"/>
      <c r="C17" s="9"/>
      <c r="D17" s="9"/>
      <c r="E17" s="10"/>
    </row>
    <row r="18" spans="1:7">
      <c r="A18" s="11"/>
      <c r="B18" s="9" t="s">
        <v>303</v>
      </c>
      <c r="C18" s="20"/>
      <c r="D18" s="20"/>
      <c r="E18" s="12"/>
    </row>
    <row r="19" spans="1:7">
      <c r="A19" s="9"/>
      <c r="B19" s="9" t="s">
        <v>302</v>
      </c>
      <c r="C19" s="9"/>
      <c r="D19" s="9"/>
      <c r="E19" s="10"/>
    </row>
    <row r="20" spans="1:7">
      <c r="A20" s="9"/>
      <c r="B20" s="9"/>
      <c r="C20" s="9"/>
      <c r="D20" s="9"/>
      <c r="E20" s="10"/>
    </row>
    <row r="21" spans="1:7" ht="15.75" thickBot="1">
      <c r="A21" s="9"/>
      <c r="B21" s="9"/>
      <c r="C21" s="13"/>
      <c r="D21" s="13"/>
      <c r="E21" s="14"/>
    </row>
    <row r="22" spans="1:7">
      <c r="A22" s="9"/>
      <c r="B22" s="9"/>
      <c r="C22" s="130">
        <f>C16</f>
        <v>85000</v>
      </c>
      <c r="D22" s="9"/>
      <c r="E22" s="129">
        <f>E16</f>
        <v>187000.00000000003</v>
      </c>
      <c r="G22" s="124"/>
    </row>
    <row r="23" spans="1:7">
      <c r="A23" s="9"/>
      <c r="B23" s="9"/>
      <c r="C23" s="9"/>
      <c r="D23" s="9"/>
      <c r="E23" s="10"/>
    </row>
    <row r="24" spans="1:7">
      <c r="A24" s="9"/>
      <c r="B24" s="9"/>
      <c r="C24" s="9"/>
      <c r="D24" s="9"/>
      <c r="E24" s="10"/>
    </row>
    <row r="25" spans="1:7">
      <c r="A25" s="9"/>
      <c r="B25" s="141" t="s">
        <v>181</v>
      </c>
      <c r="C25" s="9"/>
      <c r="D25" s="9"/>
      <c r="E25" s="146">
        <f>E22*9%</f>
        <v>16830.000000000004</v>
      </c>
    </row>
    <row r="26" spans="1:7">
      <c r="A26" s="9"/>
      <c r="B26" s="141" t="s">
        <v>180</v>
      </c>
      <c r="C26" s="9"/>
      <c r="D26" s="9"/>
      <c r="E26" s="24">
        <f>E22*9%</f>
        <v>16830.000000000004</v>
      </c>
    </row>
    <row r="27" spans="1:7">
      <c r="A27" s="9"/>
      <c r="B27" s="9"/>
      <c r="C27" s="11" t="s">
        <v>7</v>
      </c>
      <c r="D27" s="9"/>
      <c r="E27" s="154">
        <v>0</v>
      </c>
    </row>
    <row r="28" spans="1:7">
      <c r="A28" s="9"/>
      <c r="B28" s="9"/>
      <c r="C28" s="9"/>
      <c r="D28" s="9"/>
      <c r="E28" s="9"/>
    </row>
    <row r="29" spans="1:7" ht="15.75" thickBot="1">
      <c r="A29" s="9"/>
      <c r="B29" s="9"/>
      <c r="C29" s="9"/>
      <c r="D29" s="9"/>
      <c r="E29" s="9"/>
    </row>
    <row r="30" spans="1:7" ht="15.75" thickBot="1">
      <c r="A30" s="13"/>
      <c r="B30" s="13"/>
      <c r="C30" s="16" t="s">
        <v>8</v>
      </c>
      <c r="D30" s="13"/>
      <c r="E30" s="17">
        <f>E27+E26+E25+E22</f>
        <v>220660.00000000003</v>
      </c>
    </row>
    <row r="31" spans="1:7">
      <c r="A31" s="26"/>
      <c r="B31" s="34"/>
      <c r="C31" s="34"/>
      <c r="D31" s="34"/>
      <c r="E31" s="10"/>
    </row>
    <row r="32" spans="1:7">
      <c r="A32" s="171" t="s">
        <v>13</v>
      </c>
      <c r="B32" s="172" t="str">
        <f>[1]!rswords(E30)</f>
        <v>Rupees Two Lakh(s) Twenty Thousand Six Hundred Sixty Only</v>
      </c>
      <c r="C32" s="34"/>
      <c r="D32" s="34"/>
      <c r="E32" s="10"/>
    </row>
    <row r="33" spans="1:5">
      <c r="A33" s="26"/>
      <c r="B33" s="34"/>
      <c r="C33" s="34"/>
      <c r="D33" s="34"/>
      <c r="E33" s="10"/>
    </row>
    <row r="34" spans="1:5">
      <c r="A34" s="26"/>
      <c r="B34" s="34"/>
      <c r="C34" s="172"/>
      <c r="D34" s="264" t="s">
        <v>11</v>
      </c>
      <c r="E34" s="265"/>
    </row>
    <row r="35" spans="1:5">
      <c r="A35" s="26"/>
      <c r="B35" s="34"/>
      <c r="C35" s="172"/>
      <c r="D35" s="172"/>
      <c r="E35" s="176"/>
    </row>
    <row r="36" spans="1:5" ht="15.75" thickBot="1">
      <c r="A36" s="171"/>
      <c r="B36" s="172"/>
      <c r="C36" s="172"/>
      <c r="D36" s="172"/>
      <c r="E36" s="176"/>
    </row>
    <row r="37" spans="1:5" ht="16.5" thickBot="1">
      <c r="A37" s="248" t="s">
        <v>178</v>
      </c>
      <c r="B37" s="249"/>
      <c r="C37" s="249"/>
      <c r="D37" s="249"/>
      <c r="E37" s="250"/>
    </row>
    <row r="38" spans="1:5">
      <c r="A38" s="18"/>
      <c r="B38" s="18"/>
      <c r="C38" s="18"/>
      <c r="D38" s="18"/>
      <c r="E38" s="18"/>
    </row>
    <row r="39" spans="1:5">
      <c r="A39" s="18"/>
      <c r="B39" s="18"/>
      <c r="C39" s="18"/>
      <c r="D39" s="18"/>
      <c r="E39" s="18"/>
    </row>
    <row r="40" spans="1:5">
      <c r="A40" s="18"/>
      <c r="B40" s="18"/>
      <c r="C40" s="18"/>
      <c r="D40" s="18"/>
      <c r="E40" s="18"/>
    </row>
  </sheetData>
  <mergeCells count="7">
    <mergeCell ref="A37:E37"/>
    <mergeCell ref="D1:E1"/>
    <mergeCell ref="A2:E2"/>
    <mergeCell ref="A3:E3"/>
    <mergeCell ref="A4:E4"/>
    <mergeCell ref="E9:E11"/>
    <mergeCell ref="D34:E34"/>
  </mergeCells>
  <hyperlinks>
    <hyperlink ref="B25" r:id="rId1" display="CGST@ 9%"/>
    <hyperlink ref="B26" r:id="rId2" display="SGST@ 9%"/>
  </hyperlinks>
  <pageMargins left="0.16" right="0.24" top="0.97" bottom="0.75" header="0.45" footer="0.3"/>
  <pageSetup orientation="portrait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BIL-OCT-2016</vt:lpstr>
      <vt:lpstr>JULY-16</vt:lpstr>
      <vt:lpstr>Sheet3</vt:lpstr>
      <vt:lpstr>Sheet4</vt:lpstr>
      <vt:lpstr>NOVEM-16</vt:lpstr>
      <vt:lpstr>DECEMBER-16 </vt:lpstr>
      <vt:lpstr>JANUARY-17</vt:lpstr>
      <vt:lpstr>februry</vt:lpstr>
      <vt:lpstr>MARCH</vt:lpstr>
      <vt:lpstr>APRIL17</vt:lpstr>
      <vt:lpstr>may 17</vt:lpstr>
      <vt:lpstr>JUNE</vt:lpstr>
      <vt:lpstr>JULY</vt:lpstr>
      <vt:lpstr>AUJUST</vt:lpstr>
      <vt:lpstr>SEPTEMBER</vt:lpstr>
      <vt:lpstr>october</vt:lpstr>
      <vt:lpstr>NOVEMBER</vt:lpstr>
      <vt:lpstr>DECEMBER</vt:lpstr>
      <vt:lpstr>JANUARY 2018</vt:lpstr>
      <vt:lpstr>FEBRUARY</vt:lpstr>
      <vt:lpstr>MARCH ACTUAL</vt:lpstr>
      <vt:lpstr>APRIL-2018</vt:lpstr>
      <vt:lpstr>MAY</vt:lpstr>
      <vt:lpstr>JUN </vt:lpstr>
      <vt:lpstr>JULY-2018-19</vt:lpstr>
      <vt:lpstr>AUGUST</vt:lpstr>
      <vt:lpstr>SEPTEMBER-2018-19</vt:lpstr>
      <vt:lpstr>OCTOBER-2018-19</vt:lpstr>
      <vt:lpstr>NOVEMBER-2018-19</vt:lpstr>
      <vt:lpstr>NOVEMBER-2018-19 (2)</vt:lpstr>
      <vt:lpstr>DECEMBER 2018-19</vt:lpstr>
      <vt:lpstr>JANUARY 2018-19</vt:lpstr>
      <vt:lpstr>FEBRUARY 2018-19</vt:lpstr>
      <vt:lpstr>MARCH-2018-19</vt:lpstr>
      <vt:lpstr>APRIL-2019-20</vt:lpstr>
      <vt:lpstr>MAY 2019-20</vt:lpstr>
      <vt:lpstr>JUNE 2019-20</vt:lpstr>
      <vt:lpstr>JULY 2019-20</vt:lpstr>
      <vt:lpstr>AUGUST 2019-20</vt:lpstr>
      <vt:lpstr>SEPTEMBER 2019-20</vt:lpstr>
      <vt:lpstr>OCTOBER 2019-20</vt:lpstr>
      <vt:lpstr>NOVEMBER 2019-20</vt:lpstr>
      <vt:lpstr>DECEMBER 2019-20</vt:lpstr>
      <vt:lpstr>JANUARY 2019-20</vt:lpstr>
      <vt:lpstr>FEBRUARY 2019-20</vt:lpstr>
      <vt:lpstr>March 2019-20</vt:lpstr>
      <vt:lpstr>April 2020-21</vt:lpstr>
      <vt:lpstr>May 2020-21</vt:lpstr>
      <vt:lpstr>June 2020-21</vt:lpstr>
      <vt:lpstr>July 2020-21</vt:lpstr>
      <vt:lpstr>August 2020-21</vt:lpstr>
      <vt:lpstr>Depacketed</vt:lpstr>
      <vt:lpstr>September 2020-21</vt:lpstr>
      <vt:lpstr>October 2020-21</vt:lpstr>
      <vt:lpstr>November 2020-21</vt:lpstr>
      <vt:lpstr>December 2020-21</vt:lpstr>
      <vt:lpstr>January 2020-21</vt:lpstr>
      <vt:lpstr>February 2020-21</vt:lpstr>
      <vt:lpstr>March 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pataka</cp:lastModifiedBy>
  <cp:lastPrinted>2021-04-01T05:05:53Z</cp:lastPrinted>
  <dcterms:created xsi:type="dcterms:W3CDTF">2015-07-09T05:08:52Z</dcterms:created>
  <dcterms:modified xsi:type="dcterms:W3CDTF">2021-04-01T05:06:44Z</dcterms:modified>
</cp:coreProperties>
</file>